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gusthodt/Desktop/Aksjemodellering/"/>
    </mc:Choice>
  </mc:AlternateContent>
  <xr:revisionPtr revIDLastSave="0" documentId="13_ncr:1_{24CD70D8-53D0-1844-9BAE-2287F671B51C}" xr6:coauthVersionLast="47" xr6:coauthVersionMax="47" xr10:uidLastSave="{00000000-0000-0000-0000-000000000000}"/>
  <bookViews>
    <workbookView xWindow="25220" yWindow="500" windowWidth="25980" windowHeight="26740" activeTab="1" xr2:uid="{59E7E053-0337-3F47-9975-1F1A44F3F134}"/>
  </bookViews>
  <sheets>
    <sheet name="Info" sheetId="1" r:id="rId1"/>
    <sheet name="Modell" sheetId="2" r:id="rId2"/>
    <sheet name="Segment" sheetId="4" r:id="rId3"/>
    <sheet name="SOTP" sheetId="6" r:id="rId4"/>
    <sheet name="Nøkkeltall" sheetId="3" r:id="rId5"/>
    <sheet name="Nedsideberegning" sheetId="5" r:id="rId6"/>
  </sheets>
  <externalReferences>
    <externalReference r:id="rId7"/>
  </externalReferences>
  <definedNames>
    <definedName name="_xlchart.v1.0" hidden="1">SOTP!$C$11:$C$17</definedName>
    <definedName name="_xlchart.v1.1" hidden="1">SOTP!$H$11:$H$17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3" i="2" l="1"/>
  <c r="AC23" i="2"/>
  <c r="AD23" i="2"/>
  <c r="AE23" i="2"/>
  <c r="AF23" i="2"/>
  <c r="AG23" i="2"/>
  <c r="AH23" i="2"/>
  <c r="AI23" i="2"/>
  <c r="AJ23" i="2"/>
  <c r="AK23" i="2"/>
  <c r="AL23" i="2"/>
  <c r="AM23" i="2"/>
  <c r="AN23" i="2"/>
  <c r="AO23" i="2"/>
  <c r="AP23" i="2"/>
  <c r="AQ23" i="2"/>
  <c r="AR23" i="2"/>
  <c r="AS23" i="2"/>
  <c r="AT23" i="2"/>
  <c r="AA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B12" i="2"/>
  <c r="U21" i="2"/>
  <c r="B8" i="2"/>
  <c r="U74" i="2"/>
  <c r="U89" i="2"/>
  <c r="U79" i="2"/>
  <c r="U75" i="2"/>
  <c r="U95" i="2" s="1"/>
  <c r="U68" i="2"/>
  <c r="U64" i="2"/>
  <c r="U53" i="2"/>
  <c r="U48" i="2"/>
  <c r="U8" i="2"/>
  <c r="U12" i="2" s="1"/>
  <c r="U6" i="2"/>
  <c r="AK4" i="2"/>
  <c r="AL4" i="2" s="1"/>
  <c r="AM4" i="2" s="1"/>
  <c r="AN4" i="2" s="1"/>
  <c r="AO4" i="2" s="1"/>
  <c r="AP4" i="2" s="1"/>
  <c r="AQ4" i="2" s="1"/>
  <c r="AR4" i="2" s="1"/>
  <c r="AS4" i="2" s="1"/>
  <c r="AT4" i="2" s="1"/>
  <c r="U30" i="2"/>
  <c r="U29" i="2"/>
  <c r="D13" i="6"/>
  <c r="O10" i="5"/>
  <c r="O11" i="5"/>
  <c r="O9" i="5"/>
  <c r="P9" i="5" s="1"/>
  <c r="Q9" i="5" s="1"/>
  <c r="R9" i="5" s="1"/>
  <c r="S9" i="5" s="1"/>
  <c r="T9" i="5" s="1"/>
  <c r="U9" i="5" s="1"/>
  <c r="V9" i="5" s="1"/>
  <c r="W9" i="5" s="1"/>
  <c r="X9" i="5" s="1"/>
  <c r="P10" i="5"/>
  <c r="Q10" i="5" s="1"/>
  <c r="R10" i="5" s="1"/>
  <c r="S10" i="5" s="1"/>
  <c r="T10" i="5" s="1"/>
  <c r="U10" i="5" s="1"/>
  <c r="V10" i="5" s="1"/>
  <c r="W10" i="5" s="1"/>
  <c r="X10" i="5" s="1"/>
  <c r="P11" i="5"/>
  <c r="Q11" i="5" s="1"/>
  <c r="R11" i="5" s="1"/>
  <c r="S11" i="5" s="1"/>
  <c r="T11" i="5" s="1"/>
  <c r="U11" i="5" s="1"/>
  <c r="V11" i="5" s="1"/>
  <c r="W11" i="5" s="1"/>
  <c r="X11" i="5" s="1"/>
  <c r="P4" i="5"/>
  <c r="Q4" i="5" s="1"/>
  <c r="R4" i="5" s="1"/>
  <c r="S4" i="5" s="1"/>
  <c r="T4" i="5" s="1"/>
  <c r="U4" i="5" s="1"/>
  <c r="V4" i="5" s="1"/>
  <c r="W4" i="5" s="1"/>
  <c r="X4" i="5" s="1"/>
  <c r="O4" i="5"/>
  <c r="N23" i="5"/>
  <c r="M23" i="5"/>
  <c r="L23" i="5"/>
  <c r="K23" i="5"/>
  <c r="J23" i="5"/>
  <c r="I23" i="5"/>
  <c r="H23" i="5"/>
  <c r="G23" i="5"/>
  <c r="F23" i="5"/>
  <c r="E23" i="5"/>
  <c r="K21" i="5"/>
  <c r="J21" i="5"/>
  <c r="I21" i="5"/>
  <c r="O13" i="5"/>
  <c r="P13" i="5" s="1"/>
  <c r="Q13" i="5" s="1"/>
  <c r="R13" i="5" s="1"/>
  <c r="S13" i="5" s="1"/>
  <c r="T13" i="5" s="1"/>
  <c r="U13" i="5" s="1"/>
  <c r="V13" i="5" s="1"/>
  <c r="W13" i="5" s="1"/>
  <c r="X13" i="5" s="1"/>
  <c r="K8" i="5"/>
  <c r="I7" i="5"/>
  <c r="I8" i="5" s="1"/>
  <c r="H7" i="5"/>
  <c r="N6" i="5"/>
  <c r="N21" i="5" s="1"/>
  <c r="M6" i="5"/>
  <c r="M8" i="5" s="1"/>
  <c r="L6" i="5"/>
  <c r="K6" i="5"/>
  <c r="J6" i="5"/>
  <c r="J8" i="5" s="1"/>
  <c r="I6" i="5"/>
  <c r="H6" i="5"/>
  <c r="H8" i="5" s="1"/>
  <c r="H12" i="5" s="1"/>
  <c r="G6" i="5"/>
  <c r="G8" i="5" s="1"/>
  <c r="F6" i="5"/>
  <c r="F21" i="5" s="1"/>
  <c r="E6" i="5"/>
  <c r="D6" i="5"/>
  <c r="D8" i="5" s="1"/>
  <c r="O6" i="5"/>
  <c r="G15" i="6"/>
  <c r="H15" i="6" s="1"/>
  <c r="M26" i="1"/>
  <c r="M25" i="1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AK10" i="2"/>
  <c r="AK11" i="2"/>
  <c r="AL11" i="2" s="1"/>
  <c r="AM11" i="2" s="1"/>
  <c r="AN11" i="2" s="1"/>
  <c r="AO11" i="2" s="1"/>
  <c r="AP11" i="2" s="1"/>
  <c r="AQ11" i="2" s="1"/>
  <c r="AR11" i="2" s="1"/>
  <c r="AS11" i="2" s="1"/>
  <c r="AT11" i="2" s="1"/>
  <c r="AK9" i="2"/>
  <c r="AL9" i="2" s="1"/>
  <c r="AM9" i="2" s="1"/>
  <c r="AN9" i="2" s="1"/>
  <c r="AO9" i="2" s="1"/>
  <c r="AP9" i="2" s="1"/>
  <c r="AQ9" i="2" s="1"/>
  <c r="AR9" i="2" s="1"/>
  <c r="AS9" i="2" s="1"/>
  <c r="AT9" i="2" s="1"/>
  <c r="AK5" i="2"/>
  <c r="AL5" i="2" s="1"/>
  <c r="AM5" i="2" s="1"/>
  <c r="AN5" i="2" s="1"/>
  <c r="AO5" i="2" s="1"/>
  <c r="AP5" i="2" s="1"/>
  <c r="AQ5" i="2" s="1"/>
  <c r="AR5" i="2" s="1"/>
  <c r="AS5" i="2" s="1"/>
  <c r="AT5" i="2" s="1"/>
  <c r="AC89" i="2"/>
  <c r="AC79" i="2"/>
  <c r="AC75" i="2"/>
  <c r="AC95" i="2" s="1"/>
  <c r="Z89" i="2"/>
  <c r="Z79" i="2"/>
  <c r="Z75" i="2"/>
  <c r="Z95" i="2" s="1"/>
  <c r="Z64" i="2"/>
  <c r="Z53" i="2"/>
  <c r="Z48" i="2"/>
  <c r="AA89" i="2"/>
  <c r="AA79" i="2"/>
  <c r="AA75" i="2"/>
  <c r="AA95" i="2" s="1"/>
  <c r="AB89" i="2"/>
  <c r="AB79" i="2"/>
  <c r="AB75" i="2"/>
  <c r="AB95" i="2" s="1"/>
  <c r="AC64" i="2"/>
  <c r="AC53" i="2"/>
  <c r="AC48" i="2"/>
  <c r="AB64" i="2"/>
  <c r="AB53" i="2"/>
  <c r="AB48" i="2"/>
  <c r="AA64" i="2"/>
  <c r="AA53" i="2"/>
  <c r="AA65" i="2" s="1"/>
  <c r="AA48" i="2"/>
  <c r="AE64" i="2"/>
  <c r="AD64" i="2"/>
  <c r="AE53" i="2"/>
  <c r="AD53" i="2"/>
  <c r="AE48" i="2"/>
  <c r="AD48" i="2"/>
  <c r="AF65" i="2"/>
  <c r="AJ89" i="2"/>
  <c r="AJ79" i="2"/>
  <c r="AJ75" i="2"/>
  <c r="AJ95" i="2" s="1"/>
  <c r="AH64" i="2"/>
  <c r="AH53" i="2"/>
  <c r="AH48" i="2"/>
  <c r="AI64" i="2"/>
  <c r="AI53" i="2"/>
  <c r="AI48" i="2"/>
  <c r="AJ64" i="2"/>
  <c r="AJ53" i="2"/>
  <c r="AJ48" i="2"/>
  <c r="T89" i="2"/>
  <c r="T79" i="2"/>
  <c r="T75" i="2"/>
  <c r="T95" i="2" s="1"/>
  <c r="T64" i="2"/>
  <c r="T53" i="2"/>
  <c r="T48" i="2"/>
  <c r="T6" i="2"/>
  <c r="T8" i="2" s="1"/>
  <c r="S74" i="2"/>
  <c r="S48" i="2"/>
  <c r="U12" i="4"/>
  <c r="G11" i="6"/>
  <c r="H11" i="6" s="1"/>
  <c r="G12" i="6"/>
  <c r="H12" i="6" s="1"/>
  <c r="U93" i="2" l="1"/>
  <c r="U65" i="2"/>
  <c r="U15" i="2"/>
  <c r="U17" i="2" s="1"/>
  <c r="U19" i="2" s="1"/>
  <c r="U25" i="2"/>
  <c r="U24" i="2"/>
  <c r="H13" i="6"/>
  <c r="G13" i="6"/>
  <c r="AC65" i="2"/>
  <c r="AJ65" i="2"/>
  <c r="AL10" i="2"/>
  <c r="AM10" i="2" s="1"/>
  <c r="AN10" i="2" s="1"/>
  <c r="AO10" i="2" s="1"/>
  <c r="AP10" i="2" s="1"/>
  <c r="AQ10" i="2" s="1"/>
  <c r="AR10" i="2" s="1"/>
  <c r="AS10" i="2" s="1"/>
  <c r="AT10" i="2" s="1"/>
  <c r="H25" i="5"/>
  <c r="H15" i="5"/>
  <c r="H17" i="5" s="1"/>
  <c r="H19" i="5" s="1"/>
  <c r="Q23" i="5"/>
  <c r="G24" i="5"/>
  <c r="G12" i="5"/>
  <c r="P23" i="5"/>
  <c r="O23" i="5"/>
  <c r="I24" i="5"/>
  <c r="I12" i="5"/>
  <c r="H24" i="5"/>
  <c r="O7" i="5"/>
  <c r="O8" i="5" s="1"/>
  <c r="O21" i="5"/>
  <c r="J12" i="5"/>
  <c r="J24" i="5"/>
  <c r="D24" i="5"/>
  <c r="D12" i="5"/>
  <c r="L21" i="5"/>
  <c r="L8" i="5"/>
  <c r="K24" i="5"/>
  <c r="K12" i="5"/>
  <c r="E21" i="5"/>
  <c r="M24" i="5"/>
  <c r="M12" i="5"/>
  <c r="G21" i="5"/>
  <c r="P5" i="5"/>
  <c r="Q5" i="5" s="1"/>
  <c r="R5" i="5" s="1"/>
  <c r="S5" i="5" s="1"/>
  <c r="T5" i="5" s="1"/>
  <c r="U5" i="5" s="1"/>
  <c r="V5" i="5" s="1"/>
  <c r="W5" i="5" s="1"/>
  <c r="X5" i="5" s="1"/>
  <c r="H21" i="5"/>
  <c r="E8" i="5"/>
  <c r="F8" i="5"/>
  <c r="M21" i="5"/>
  <c r="N8" i="5"/>
  <c r="T29" i="2"/>
  <c r="Z65" i="2"/>
  <c r="AH65" i="2"/>
  <c r="AB65" i="2"/>
  <c r="AC93" i="2"/>
  <c r="AA93" i="2"/>
  <c r="Z93" i="2"/>
  <c r="AD65" i="2"/>
  <c r="AE65" i="2"/>
  <c r="AB93" i="2"/>
  <c r="AI65" i="2"/>
  <c r="AG65" i="2"/>
  <c r="AJ93" i="2"/>
  <c r="T93" i="2"/>
  <c r="T65" i="2"/>
  <c r="T12" i="2"/>
  <c r="T24" i="2"/>
  <c r="AA23" i="4"/>
  <c r="Z22" i="4"/>
  <c r="Y22" i="4"/>
  <c r="X22" i="4"/>
  <c r="W22" i="4"/>
  <c r="AA21" i="4"/>
  <c r="Z20" i="4"/>
  <c r="Y20" i="4"/>
  <c r="X20" i="4"/>
  <c r="W20" i="4"/>
  <c r="AA19" i="4"/>
  <c r="AA16" i="4"/>
  <c r="AA13" i="4"/>
  <c r="Z12" i="4"/>
  <c r="Y12" i="4"/>
  <c r="X12" i="4"/>
  <c r="W12" i="4"/>
  <c r="AA11" i="4"/>
  <c r="Z10" i="4"/>
  <c r="Y10" i="4"/>
  <c r="X10" i="4"/>
  <c r="W10" i="4"/>
  <c r="AA9" i="4"/>
  <c r="AA6" i="4"/>
  <c r="AA7" i="4" s="1"/>
  <c r="P6" i="5" l="1"/>
  <c r="O24" i="5"/>
  <c r="O12" i="5"/>
  <c r="G25" i="5"/>
  <c r="G15" i="5"/>
  <c r="G17" i="5" s="1"/>
  <c r="G19" i="5" s="1"/>
  <c r="M15" i="5"/>
  <c r="M17" i="5" s="1"/>
  <c r="M19" i="5" s="1"/>
  <c r="M25" i="5"/>
  <c r="N24" i="5"/>
  <c r="N12" i="5"/>
  <c r="J15" i="5"/>
  <c r="J17" i="5" s="1"/>
  <c r="J19" i="5" s="1"/>
  <c r="J25" i="5"/>
  <c r="E24" i="5"/>
  <c r="E12" i="5"/>
  <c r="P21" i="5"/>
  <c r="P7" i="5"/>
  <c r="P8" i="5" s="1"/>
  <c r="L24" i="5"/>
  <c r="L12" i="5"/>
  <c r="D15" i="5"/>
  <c r="D17" i="5" s="1"/>
  <c r="D19" i="5" s="1"/>
  <c r="D25" i="5"/>
  <c r="I25" i="5"/>
  <c r="I15" i="5"/>
  <c r="I17" i="5" s="1"/>
  <c r="I19" i="5" s="1"/>
  <c r="R23" i="5"/>
  <c r="F24" i="5"/>
  <c r="F12" i="5"/>
  <c r="K15" i="5"/>
  <c r="K17" i="5" s="1"/>
  <c r="K19" i="5" s="1"/>
  <c r="K25" i="5"/>
  <c r="Q6" i="5"/>
  <c r="AA10" i="4"/>
  <c r="T15" i="2"/>
  <c r="T25" i="2"/>
  <c r="AA22" i="4"/>
  <c r="AA20" i="4"/>
  <c r="AA12" i="4"/>
  <c r="P12" i="5" l="1"/>
  <c r="P24" i="5"/>
  <c r="N15" i="5"/>
  <c r="N17" i="5" s="1"/>
  <c r="N19" i="5" s="1"/>
  <c r="N25" i="5"/>
  <c r="O25" i="5"/>
  <c r="O15" i="5"/>
  <c r="S23" i="5"/>
  <c r="R6" i="5"/>
  <c r="Q7" i="5"/>
  <c r="Q8" i="5" s="1"/>
  <c r="Q21" i="5"/>
  <c r="E15" i="5"/>
  <c r="E17" i="5" s="1"/>
  <c r="E19" i="5" s="1"/>
  <c r="E25" i="5"/>
  <c r="F15" i="5"/>
  <c r="F17" i="5" s="1"/>
  <c r="F19" i="5" s="1"/>
  <c r="F25" i="5"/>
  <c r="L25" i="5"/>
  <c r="L15" i="5"/>
  <c r="L17" i="5" s="1"/>
  <c r="L19" i="5" s="1"/>
  <c r="T17" i="2"/>
  <c r="T19" i="2" s="1"/>
  <c r="T68" i="2"/>
  <c r="AJ6" i="2"/>
  <c r="R74" i="2"/>
  <c r="R75" i="2" s="1"/>
  <c r="R95" i="2" s="1"/>
  <c r="S89" i="2"/>
  <c r="R89" i="2"/>
  <c r="S79" i="2"/>
  <c r="R79" i="2"/>
  <c r="S75" i="2"/>
  <c r="S95" i="2" s="1"/>
  <c r="T12" i="4"/>
  <c r="R64" i="2"/>
  <c r="S64" i="2"/>
  <c r="R53" i="2"/>
  <c r="R65" i="2" s="1"/>
  <c r="S53" i="2"/>
  <c r="R48" i="2"/>
  <c r="R6" i="2"/>
  <c r="S6" i="2"/>
  <c r="AG6" i="2"/>
  <c r="Q74" i="2"/>
  <c r="Q75" i="2" s="1"/>
  <c r="Q89" i="2"/>
  <c r="Q79" i="2"/>
  <c r="Q64" i="2"/>
  <c r="Q53" i="2"/>
  <c r="Q48" i="2"/>
  <c r="Q6" i="2"/>
  <c r="S12" i="4"/>
  <c r="G16" i="6" l="1"/>
  <c r="Q24" i="5"/>
  <c r="Q12" i="5"/>
  <c r="S6" i="5"/>
  <c r="T23" i="5"/>
  <c r="O16" i="5"/>
  <c r="O17" i="5" s="1"/>
  <c r="O19" i="5" s="1"/>
  <c r="R21" i="5"/>
  <c r="R7" i="5"/>
  <c r="R8" i="5" s="1"/>
  <c r="P25" i="5"/>
  <c r="P15" i="5"/>
  <c r="AJ8" i="2"/>
  <c r="AJ12" i="2" s="1"/>
  <c r="AJ29" i="2"/>
  <c r="AG8" i="2"/>
  <c r="AG24" i="2" s="1"/>
  <c r="AG29" i="2"/>
  <c r="R8" i="2"/>
  <c r="R24" i="2" s="1"/>
  <c r="R29" i="2"/>
  <c r="Q8" i="2"/>
  <c r="Q24" i="2" s="1"/>
  <c r="Q29" i="2"/>
  <c r="S8" i="2"/>
  <c r="S12" i="2" s="1"/>
  <c r="S29" i="2"/>
  <c r="AG12" i="2"/>
  <c r="Q93" i="2"/>
  <c r="S93" i="2"/>
  <c r="S65" i="2"/>
  <c r="R93" i="2"/>
  <c r="Q95" i="2"/>
  <c r="Q65" i="2"/>
  <c r="H16" i="6" l="1"/>
  <c r="H17" i="6" s="1"/>
  <c r="G17" i="6"/>
  <c r="S24" i="2"/>
  <c r="AJ24" i="2"/>
  <c r="R24" i="5"/>
  <c r="R12" i="5"/>
  <c r="P16" i="5"/>
  <c r="P17" i="5" s="1"/>
  <c r="P19" i="5" s="1"/>
  <c r="Q25" i="5"/>
  <c r="Q15" i="5"/>
  <c r="U23" i="5"/>
  <c r="T6" i="5"/>
  <c r="S7" i="5"/>
  <c r="S21" i="5"/>
  <c r="S8" i="5"/>
  <c r="R12" i="2"/>
  <c r="Q12" i="2"/>
  <c r="S15" i="2"/>
  <c r="S25" i="2"/>
  <c r="R25" i="2"/>
  <c r="R15" i="2"/>
  <c r="Z6" i="2"/>
  <c r="AA6" i="2"/>
  <c r="AB6" i="2"/>
  <c r="AC6" i="2"/>
  <c r="S22" i="4"/>
  <c r="T22" i="4"/>
  <c r="U22" i="4"/>
  <c r="S20" i="4"/>
  <c r="T20" i="4"/>
  <c r="U20" i="4"/>
  <c r="S10" i="4"/>
  <c r="T10" i="4"/>
  <c r="U10" i="4"/>
  <c r="P74" i="2"/>
  <c r="P75" i="2" s="1"/>
  <c r="P89" i="2"/>
  <c r="P79" i="2"/>
  <c r="P64" i="2"/>
  <c r="P53" i="2"/>
  <c r="P48" i="2"/>
  <c r="V23" i="5" l="1"/>
  <c r="S24" i="5"/>
  <c r="S12" i="5"/>
  <c r="Q16" i="5"/>
  <c r="Q17" i="5" s="1"/>
  <c r="Q19" i="5" s="1"/>
  <c r="T7" i="5"/>
  <c r="T8" i="5" s="1"/>
  <c r="T21" i="5"/>
  <c r="R15" i="5"/>
  <c r="R25" i="5"/>
  <c r="U6" i="5"/>
  <c r="AA8" i="2"/>
  <c r="AA12" i="2" s="1"/>
  <c r="AA25" i="2" s="1"/>
  <c r="AA29" i="2"/>
  <c r="Z8" i="2"/>
  <c r="Z24" i="2" s="1"/>
  <c r="Z29" i="2"/>
  <c r="AC8" i="2"/>
  <c r="AC12" i="2" s="1"/>
  <c r="AC29" i="2"/>
  <c r="AB8" i="2"/>
  <c r="AB24" i="2" s="1"/>
  <c r="AB29" i="2"/>
  <c r="AA24" i="2"/>
  <c r="R17" i="2"/>
  <c r="R19" i="2" s="1"/>
  <c r="R68" i="2"/>
  <c r="S68" i="2"/>
  <c r="S17" i="2"/>
  <c r="S19" i="2" s="1"/>
  <c r="AA21" i="2"/>
  <c r="AB21" i="2"/>
  <c r="AC21" i="2"/>
  <c r="P65" i="2"/>
  <c r="Q25" i="2"/>
  <c r="P93" i="2"/>
  <c r="P95" i="2"/>
  <c r="AD89" i="2"/>
  <c r="AD74" i="2"/>
  <c r="AD75" i="2" s="1"/>
  <c r="AE74" i="2"/>
  <c r="AE75" i="2" s="1"/>
  <c r="AD7" i="2"/>
  <c r="AD6" i="2"/>
  <c r="AD29" i="2" s="1"/>
  <c r="AE7" i="2"/>
  <c r="AE6" i="2"/>
  <c r="AF6" i="2"/>
  <c r="AH89" i="2"/>
  <c r="AI89" i="2"/>
  <c r="AG89" i="2"/>
  <c r="AF89" i="2"/>
  <c r="AF74" i="2"/>
  <c r="AF75" i="2" s="1"/>
  <c r="AF95" i="2" s="1"/>
  <c r="AG74" i="2"/>
  <c r="AG75" i="2" s="1"/>
  <c r="AH74" i="2"/>
  <c r="AH75" i="2" s="1"/>
  <c r="AH95" i="2" s="1"/>
  <c r="AE89" i="2"/>
  <c r="AD79" i="2"/>
  <c r="AE79" i="2"/>
  <c r="AF79" i="2"/>
  <c r="AG79" i="2"/>
  <c r="AH79" i="2"/>
  <c r="AI79" i="2"/>
  <c r="AI74" i="2"/>
  <c r="AI75" i="2" s="1"/>
  <c r="AI95" i="2" s="1"/>
  <c r="K74" i="2"/>
  <c r="K75" i="2" s="1"/>
  <c r="K95" i="2" s="1"/>
  <c r="N89" i="2"/>
  <c r="M89" i="2"/>
  <c r="L89" i="2"/>
  <c r="K89" i="2"/>
  <c r="J89" i="2"/>
  <c r="I89" i="2"/>
  <c r="H89" i="2"/>
  <c r="G89" i="2"/>
  <c r="F89" i="2"/>
  <c r="E89" i="2"/>
  <c r="D89" i="2"/>
  <c r="N79" i="2"/>
  <c r="M79" i="2"/>
  <c r="L79" i="2"/>
  <c r="K79" i="2"/>
  <c r="J79" i="2"/>
  <c r="I79" i="2"/>
  <c r="H79" i="2"/>
  <c r="G79" i="2"/>
  <c r="F79" i="2"/>
  <c r="E79" i="2"/>
  <c r="D79" i="2"/>
  <c r="N75" i="2"/>
  <c r="N95" i="2" s="1"/>
  <c r="M75" i="2"/>
  <c r="M95" i="2" s="1"/>
  <c r="L75" i="2"/>
  <c r="L95" i="2" s="1"/>
  <c r="J75" i="2"/>
  <c r="J95" i="2" s="1"/>
  <c r="I75" i="2"/>
  <c r="I95" i="2" s="1"/>
  <c r="H75" i="2"/>
  <c r="G75" i="2"/>
  <c r="G95" i="2" s="1"/>
  <c r="F75" i="2"/>
  <c r="E75" i="2"/>
  <c r="E95" i="2" s="1"/>
  <c r="D75" i="2"/>
  <c r="D95" i="2" s="1"/>
  <c r="O74" i="2"/>
  <c r="O75" i="2" s="1"/>
  <c r="O95" i="2" s="1"/>
  <c r="O89" i="2"/>
  <c r="O79" i="2"/>
  <c r="R22" i="4"/>
  <c r="R20" i="4"/>
  <c r="R12" i="4"/>
  <c r="R10" i="4"/>
  <c r="V9" i="4"/>
  <c r="Q11" i="4"/>
  <c r="Q12" i="4" s="1"/>
  <c r="V23" i="4"/>
  <c r="V21" i="4"/>
  <c r="V18" i="4"/>
  <c r="V16" i="4"/>
  <c r="V13" i="4"/>
  <c r="V11" i="4"/>
  <c r="V6" i="4"/>
  <c r="V7" i="4" s="1"/>
  <c r="Q23" i="4"/>
  <c r="Q13" i="4"/>
  <c r="Q10" i="4"/>
  <c r="Q9" i="4"/>
  <c r="Q8" i="4"/>
  <c r="Q7" i="4"/>
  <c r="Q6" i="4"/>
  <c r="Q21" i="4"/>
  <c r="Q22" i="4" s="1"/>
  <c r="Q19" i="4"/>
  <c r="Q20" i="4" s="1"/>
  <c r="Q18" i="4"/>
  <c r="Q16" i="4"/>
  <c r="Q17" i="4" s="1"/>
  <c r="L17" i="4"/>
  <c r="L23" i="4"/>
  <c r="L21" i="4"/>
  <c r="L22" i="4" s="1"/>
  <c r="L19" i="4"/>
  <c r="L20" i="4" s="1"/>
  <c r="L18" i="4"/>
  <c r="L16" i="4"/>
  <c r="G23" i="4"/>
  <c r="G21" i="4"/>
  <c r="G22" i="4" s="1"/>
  <c r="G19" i="4"/>
  <c r="G18" i="4"/>
  <c r="G16" i="4"/>
  <c r="G20" i="4" s="1"/>
  <c r="L8" i="4"/>
  <c r="G8" i="4"/>
  <c r="L7" i="4"/>
  <c r="L6" i="4"/>
  <c r="L12" i="4" s="1"/>
  <c r="L13" i="4"/>
  <c r="L11" i="4"/>
  <c r="L9" i="4"/>
  <c r="G13" i="4"/>
  <c r="G12" i="4"/>
  <c r="G11" i="4"/>
  <c r="G10" i="4"/>
  <c r="G9" i="4"/>
  <c r="G6" i="4"/>
  <c r="Z12" i="2" l="1"/>
  <c r="Z15" i="2" s="1"/>
  <c r="T24" i="5"/>
  <c r="T12" i="5"/>
  <c r="U7" i="5"/>
  <c r="U21" i="5"/>
  <c r="U8" i="5"/>
  <c r="S15" i="5"/>
  <c r="S25" i="5"/>
  <c r="R16" i="5"/>
  <c r="R17" i="5" s="1"/>
  <c r="R19" i="5" s="1"/>
  <c r="V6" i="5"/>
  <c r="W23" i="5"/>
  <c r="X23" i="5"/>
  <c r="AB12" i="2"/>
  <c r="AB25" i="2" s="1"/>
  <c r="AE8" i="2"/>
  <c r="AE24" i="2" s="1"/>
  <c r="AE29" i="2"/>
  <c r="AF8" i="2"/>
  <c r="AF29" i="2"/>
  <c r="AC24" i="2"/>
  <c r="AD8" i="2"/>
  <c r="AD24" i="2" s="1"/>
  <c r="Z17" i="2"/>
  <c r="Z26" i="2" s="1"/>
  <c r="Z68" i="2"/>
  <c r="AA15" i="2"/>
  <c r="Z25" i="2"/>
  <c r="AF24" i="2"/>
  <c r="AF12" i="2"/>
  <c r="AF15" i="2" s="1"/>
  <c r="AD21" i="2"/>
  <c r="AD93" i="2"/>
  <c r="V17" i="4"/>
  <c r="AA17" i="4"/>
  <c r="Q15" i="2"/>
  <c r="AC15" i="2"/>
  <c r="AC25" i="2"/>
  <c r="AG93" i="2"/>
  <c r="AE21" i="2"/>
  <c r="AE93" i="2"/>
  <c r="V19" i="4"/>
  <c r="V20" i="4" s="1"/>
  <c r="AH93" i="2"/>
  <c r="AF93" i="2"/>
  <c r="AI93" i="2"/>
  <c r="AF21" i="2"/>
  <c r="AG95" i="2"/>
  <c r="AE95" i="2"/>
  <c r="AD95" i="2"/>
  <c r="E93" i="2"/>
  <c r="H93" i="2"/>
  <c r="F93" i="2"/>
  <c r="F95" i="2"/>
  <c r="L93" i="2"/>
  <c r="D93" i="2"/>
  <c r="M93" i="2"/>
  <c r="N93" i="2"/>
  <c r="G93" i="2"/>
  <c r="I93" i="2"/>
  <c r="J93" i="2"/>
  <c r="H95" i="2"/>
  <c r="K93" i="2"/>
  <c r="O93" i="2"/>
  <c r="V22" i="4"/>
  <c r="V10" i="4"/>
  <c r="V12" i="4"/>
  <c r="L10" i="4"/>
  <c r="AE12" i="2" l="1"/>
  <c r="AB15" i="2"/>
  <c r="AB17" i="2" s="1"/>
  <c r="S16" i="5"/>
  <c r="S17" i="5" s="1"/>
  <c r="S19" i="5" s="1"/>
  <c r="U24" i="5"/>
  <c r="U12" i="5"/>
  <c r="X6" i="5"/>
  <c r="W6" i="5"/>
  <c r="V21" i="5"/>
  <c r="V8" i="5"/>
  <c r="V7" i="5"/>
  <c r="T15" i="5"/>
  <c r="T25" i="5"/>
  <c r="Z19" i="2"/>
  <c r="AD12" i="2"/>
  <c r="AD15" i="2" s="1"/>
  <c r="AD68" i="2" s="1"/>
  <c r="AB68" i="2"/>
  <c r="AA17" i="2"/>
  <c r="AA68" i="2"/>
  <c r="AC17" i="2"/>
  <c r="AC19" i="2" s="1"/>
  <c r="AC68" i="2"/>
  <c r="Q17" i="2"/>
  <c r="Q19" i="2" s="1"/>
  <c r="Q68" i="2"/>
  <c r="AF17" i="2"/>
  <c r="AF68" i="2"/>
  <c r="AF25" i="2"/>
  <c r="AE15" i="2"/>
  <c r="AE25" i="2"/>
  <c r="AD25" i="2" l="1"/>
  <c r="AD17" i="2"/>
  <c r="AD19" i="2" s="1"/>
  <c r="V24" i="5"/>
  <c r="V12" i="5"/>
  <c r="W7" i="5"/>
  <c r="W8" i="5" s="1"/>
  <c r="W21" i="5"/>
  <c r="X21" i="5"/>
  <c r="X7" i="5"/>
  <c r="X8" i="5" s="1"/>
  <c r="U25" i="5"/>
  <c r="U15" i="5"/>
  <c r="T16" i="5"/>
  <c r="T17" i="5" s="1"/>
  <c r="T19" i="5" s="1"/>
  <c r="AC26" i="2"/>
  <c r="AA19" i="2"/>
  <c r="AA26" i="2"/>
  <c r="AB19" i="2"/>
  <c r="AB26" i="2"/>
  <c r="AD26" i="2"/>
  <c r="AF19" i="2"/>
  <c r="AF26" i="2"/>
  <c r="AE68" i="2"/>
  <c r="AE17" i="2"/>
  <c r="X24" i="5" l="1"/>
  <c r="X12" i="5"/>
  <c r="W24" i="5"/>
  <c r="W12" i="5"/>
  <c r="U16" i="5"/>
  <c r="U17" i="5" s="1"/>
  <c r="U19" i="5" s="1"/>
  <c r="V15" i="5"/>
  <c r="V25" i="5"/>
  <c r="AE19" i="2"/>
  <c r="AE26" i="2"/>
  <c r="P6" i="2"/>
  <c r="V16" i="5" l="1"/>
  <c r="V17" i="5" s="1"/>
  <c r="V19" i="5" s="1"/>
  <c r="W25" i="5"/>
  <c r="W15" i="5"/>
  <c r="X25" i="5"/>
  <c r="X15" i="5"/>
  <c r="P8" i="2"/>
  <c r="P12" i="2" s="1"/>
  <c r="P29" i="2"/>
  <c r="T21" i="2"/>
  <c r="E53" i="2"/>
  <c r="K53" i="2"/>
  <c r="H64" i="2"/>
  <c r="D48" i="2"/>
  <c r="E48" i="2"/>
  <c r="F48" i="2"/>
  <c r="G48" i="2"/>
  <c r="H48" i="2"/>
  <c r="I48" i="2"/>
  <c r="J48" i="2"/>
  <c r="K48" i="2"/>
  <c r="L48" i="2"/>
  <c r="M48" i="2"/>
  <c r="D53" i="2"/>
  <c r="F53" i="2"/>
  <c r="G53" i="2"/>
  <c r="H53" i="2"/>
  <c r="I53" i="2"/>
  <c r="J53" i="2"/>
  <c r="L53" i="2"/>
  <c r="M53" i="2"/>
  <c r="D64" i="2"/>
  <c r="E64" i="2"/>
  <c r="F64" i="2"/>
  <c r="G64" i="2"/>
  <c r="I64" i="2"/>
  <c r="J64" i="2"/>
  <c r="K64" i="2"/>
  <c r="L64" i="2"/>
  <c r="M64" i="2"/>
  <c r="P24" i="2" l="1"/>
  <c r="W16" i="5"/>
  <c r="W17" i="5" s="1"/>
  <c r="W19" i="5" s="1"/>
  <c r="X16" i="5"/>
  <c r="X17" i="5" s="1"/>
  <c r="X19" i="5" s="1"/>
  <c r="P25" i="2"/>
  <c r="P15" i="2"/>
  <c r="M65" i="2"/>
  <c r="G65" i="2"/>
  <c r="I65" i="2"/>
  <c r="E65" i="2"/>
  <c r="D65" i="2"/>
  <c r="F65" i="2"/>
  <c r="H65" i="2"/>
  <c r="L65" i="2"/>
  <c r="K65" i="2"/>
  <c r="J65" i="2"/>
  <c r="O6" i="2"/>
  <c r="O8" i="2" l="1"/>
  <c r="O29" i="2"/>
  <c r="O24" i="2"/>
  <c r="O12" i="2"/>
  <c r="S21" i="2"/>
  <c r="P17" i="2"/>
  <c r="P19" i="2" s="1"/>
  <c r="P68" i="2"/>
  <c r="O64" i="2"/>
  <c r="O53" i="2"/>
  <c r="O48" i="2"/>
  <c r="AK13" i="2"/>
  <c r="AL13" i="2" s="1"/>
  <c r="AM13" i="2" s="1"/>
  <c r="AN13" i="2" s="1"/>
  <c r="AO13" i="2" s="1"/>
  <c r="AP13" i="2" s="1"/>
  <c r="AQ13" i="2" s="1"/>
  <c r="AR13" i="2" s="1"/>
  <c r="AS13" i="2" s="1"/>
  <c r="AT13" i="2" s="1"/>
  <c r="O65" i="2" l="1"/>
  <c r="E6" i="2"/>
  <c r="F6" i="2"/>
  <c r="G6" i="2"/>
  <c r="K6" i="2"/>
  <c r="I6" i="2"/>
  <c r="M6" i="2"/>
  <c r="N64" i="2"/>
  <c r="N53" i="2"/>
  <c r="N48" i="2"/>
  <c r="J6" i="2"/>
  <c r="N6" i="2"/>
  <c r="B6" i="2"/>
  <c r="B14" i="2" s="1"/>
  <c r="J8" i="2" l="1"/>
  <c r="J29" i="2"/>
  <c r="N8" i="2"/>
  <c r="N24" i="2" s="1"/>
  <c r="N29" i="2"/>
  <c r="G8" i="2"/>
  <c r="G12" i="2" s="1"/>
  <c r="G25" i="2" s="1"/>
  <c r="G29" i="2"/>
  <c r="F8" i="2"/>
  <c r="F12" i="2" s="1"/>
  <c r="F29" i="2"/>
  <c r="E8" i="2"/>
  <c r="E29" i="2"/>
  <c r="M8" i="2"/>
  <c r="M29" i="2"/>
  <c r="I8" i="2"/>
  <c r="I12" i="2" s="1"/>
  <c r="I15" i="2" s="1"/>
  <c r="I29" i="2"/>
  <c r="K8" i="2"/>
  <c r="K24" i="2" s="1"/>
  <c r="K29" i="2"/>
  <c r="E24" i="2"/>
  <c r="E12" i="2"/>
  <c r="E25" i="2" s="1"/>
  <c r="J24" i="2"/>
  <c r="J12" i="2"/>
  <c r="M24" i="2"/>
  <c r="M12" i="2"/>
  <c r="I24" i="2"/>
  <c r="R21" i="2"/>
  <c r="Q21" i="2"/>
  <c r="N21" i="2"/>
  <c r="D6" i="2"/>
  <c r="L6" i="2"/>
  <c r="AI6" i="2"/>
  <c r="H6" i="2"/>
  <c r="AH6" i="2"/>
  <c r="B9" i="2"/>
  <c r="O21" i="2"/>
  <c r="O15" i="2"/>
  <c r="O68" i="2" s="1"/>
  <c r="N65" i="2"/>
  <c r="J21" i="2"/>
  <c r="K21" i="2"/>
  <c r="I21" i="2"/>
  <c r="M21" i="2"/>
  <c r="K12" i="2" l="1"/>
  <c r="K25" i="2" s="1"/>
  <c r="N12" i="2"/>
  <c r="L8" i="2"/>
  <c r="L29" i="2"/>
  <c r="F24" i="2"/>
  <c r="G24" i="2"/>
  <c r="H8" i="2"/>
  <c r="H12" i="2" s="1"/>
  <c r="H29" i="2"/>
  <c r="AI8" i="2"/>
  <c r="AI24" i="2" s="1"/>
  <c r="AI29" i="2"/>
  <c r="D8" i="2"/>
  <c r="D12" i="2" s="1"/>
  <c r="D25" i="2" s="1"/>
  <c r="D29" i="2"/>
  <c r="AH8" i="2"/>
  <c r="AH24" i="2" s="1"/>
  <c r="AH29" i="2"/>
  <c r="AI12" i="2"/>
  <c r="D24" i="2"/>
  <c r="K15" i="2"/>
  <c r="K17" i="2" s="1"/>
  <c r="K19" i="2" s="1"/>
  <c r="E15" i="2"/>
  <c r="E17" i="2" s="1"/>
  <c r="E19" i="2" s="1"/>
  <c r="L24" i="2"/>
  <c r="L12" i="2"/>
  <c r="L25" i="2" s="1"/>
  <c r="G15" i="2"/>
  <c r="G68" i="2" s="1"/>
  <c r="Y17" i="5"/>
  <c r="Z17" i="5" s="1"/>
  <c r="AA17" i="5" s="1"/>
  <c r="AB17" i="5" s="1"/>
  <c r="AC17" i="5" s="1"/>
  <c r="AD17" i="5" s="1"/>
  <c r="AE17" i="5" s="1"/>
  <c r="AF17" i="5" s="1"/>
  <c r="AG17" i="5" s="1"/>
  <c r="AH17" i="5" s="1"/>
  <c r="AI17" i="5" s="1"/>
  <c r="AJ17" i="5" s="1"/>
  <c r="AK17" i="5" s="1"/>
  <c r="AL17" i="5" s="1"/>
  <c r="AM17" i="5" s="1"/>
  <c r="AN17" i="5" s="1"/>
  <c r="AO17" i="5" s="1"/>
  <c r="AP17" i="5" s="1"/>
  <c r="AQ17" i="5" s="1"/>
  <c r="AR17" i="5" s="1"/>
  <c r="AS17" i="5" s="1"/>
  <c r="AT17" i="5" s="1"/>
  <c r="AU17" i="5" s="1"/>
  <c r="AV17" i="5" s="1"/>
  <c r="AW17" i="5" s="1"/>
  <c r="AX17" i="5" s="1"/>
  <c r="AY17" i="5" s="1"/>
  <c r="AZ17" i="5" s="1"/>
  <c r="BA17" i="5" s="1"/>
  <c r="BB17" i="5" s="1"/>
  <c r="BC17" i="5" s="1"/>
  <c r="BD17" i="5" s="1"/>
  <c r="BE17" i="5" s="1"/>
  <c r="BF17" i="5" s="1"/>
  <c r="BG17" i="5" s="1"/>
  <c r="BH17" i="5" s="1"/>
  <c r="BI17" i="5" s="1"/>
  <c r="BJ17" i="5" s="1"/>
  <c r="BK17" i="5" s="1"/>
  <c r="BL17" i="5" s="1"/>
  <c r="BM17" i="5" s="1"/>
  <c r="BN17" i="5" s="1"/>
  <c r="BO17" i="5" s="1"/>
  <c r="BP17" i="5" s="1"/>
  <c r="BQ17" i="5" s="1"/>
  <c r="BR17" i="5" s="1"/>
  <c r="BS17" i="5" s="1"/>
  <c r="BT17" i="5" s="1"/>
  <c r="BU17" i="5" s="1"/>
  <c r="BV17" i="5" s="1"/>
  <c r="BW17" i="5" s="1"/>
  <c r="BX17" i="5" s="1"/>
  <c r="BY17" i="5" s="1"/>
  <c r="BZ17" i="5" s="1"/>
  <c r="CA17" i="5" s="1"/>
  <c r="CB17" i="5" s="1"/>
  <c r="CC17" i="5" s="1"/>
  <c r="CD17" i="5" s="1"/>
  <c r="CE17" i="5" s="1"/>
  <c r="CF17" i="5" s="1"/>
  <c r="CG17" i="5" s="1"/>
  <c r="CH17" i="5" s="1"/>
  <c r="CI17" i="5" s="1"/>
  <c r="CJ17" i="5" s="1"/>
  <c r="CK17" i="5" s="1"/>
  <c r="CL17" i="5" s="1"/>
  <c r="CM17" i="5" s="1"/>
  <c r="CN17" i="5" s="1"/>
  <c r="CO17" i="5" s="1"/>
  <c r="CP17" i="5" s="1"/>
  <c r="CQ17" i="5" s="1"/>
  <c r="CR17" i="5" s="1"/>
  <c r="CS17" i="5" s="1"/>
  <c r="CT17" i="5" s="1"/>
  <c r="CU17" i="5" s="1"/>
  <c r="CV17" i="5" s="1"/>
  <c r="CW17" i="5" s="1"/>
  <c r="CX17" i="5" s="1"/>
  <c r="CY17" i="5" s="1"/>
  <c r="CZ17" i="5" s="1"/>
  <c r="DA17" i="5" s="1"/>
  <c r="DB17" i="5" s="1"/>
  <c r="DC17" i="5" s="1"/>
  <c r="DD17" i="5" s="1"/>
  <c r="DE17" i="5" s="1"/>
  <c r="DF17" i="5" s="1"/>
  <c r="DG17" i="5" s="1"/>
  <c r="DH17" i="5" s="1"/>
  <c r="DI17" i="5" s="1"/>
  <c r="DJ17" i="5" s="1"/>
  <c r="DK17" i="5" s="1"/>
  <c r="DL17" i="5" s="1"/>
  <c r="DM17" i="5" s="1"/>
  <c r="DN17" i="5" s="1"/>
  <c r="DO17" i="5" s="1"/>
  <c r="DP17" i="5" s="1"/>
  <c r="DQ17" i="5" s="1"/>
  <c r="DR17" i="5" s="1"/>
  <c r="DS17" i="5" s="1"/>
  <c r="DT17" i="5" s="1"/>
  <c r="DU17" i="5" s="1"/>
  <c r="DV17" i="5" s="1"/>
  <c r="DW17" i="5" s="1"/>
  <c r="DX17" i="5" s="1"/>
  <c r="DY17" i="5" s="1"/>
  <c r="DZ17" i="5" s="1"/>
  <c r="EA17" i="5" s="1"/>
  <c r="EB17" i="5" s="1"/>
  <c r="EC17" i="5" s="1"/>
  <c r="ED17" i="5" s="1"/>
  <c r="EE17" i="5" s="1"/>
  <c r="EF17" i="5" s="1"/>
  <c r="EG17" i="5" s="1"/>
  <c r="EH17" i="5" s="1"/>
  <c r="EI17" i="5" s="1"/>
  <c r="EJ17" i="5" s="1"/>
  <c r="EK17" i="5" s="1"/>
  <c r="EL17" i="5" s="1"/>
  <c r="EM17" i="5" s="1"/>
  <c r="EN17" i="5" s="1"/>
  <c r="EO17" i="5" s="1"/>
  <c r="EP17" i="5" s="1"/>
  <c r="EQ17" i="5" s="1"/>
  <c r="ER17" i="5" s="1"/>
  <c r="ES17" i="5" s="1"/>
  <c r="ET17" i="5" s="1"/>
  <c r="EU17" i="5" s="1"/>
  <c r="AJ21" i="2"/>
  <c r="P21" i="2"/>
  <c r="AG21" i="2"/>
  <c r="I17" i="2"/>
  <c r="I19" i="2" s="1"/>
  <c r="I68" i="2"/>
  <c r="L21" i="2"/>
  <c r="H21" i="2"/>
  <c r="AH21" i="2"/>
  <c r="AG25" i="2"/>
  <c r="AG15" i="2"/>
  <c r="AI21" i="2"/>
  <c r="O25" i="2"/>
  <c r="N15" i="2"/>
  <c r="N25" i="2"/>
  <c r="J15" i="2"/>
  <c r="J25" i="2"/>
  <c r="F25" i="2"/>
  <c r="F15" i="2"/>
  <c r="I25" i="2"/>
  <c r="M15" i="2"/>
  <c r="M25" i="2"/>
  <c r="H24" i="2" l="1"/>
  <c r="G17" i="2"/>
  <c r="G19" i="2" s="1"/>
  <c r="H15" i="2"/>
  <c r="H17" i="2" s="1"/>
  <c r="H19" i="2" s="1"/>
  <c r="H25" i="2"/>
  <c r="AH12" i="2"/>
  <c r="AH25" i="2" s="1"/>
  <c r="K68" i="2"/>
  <c r="E68" i="2"/>
  <c r="AA22" i="5"/>
  <c r="AA24" i="5" s="1"/>
  <c r="AA25" i="5" s="1"/>
  <c r="D15" i="2"/>
  <c r="D17" i="2" s="1"/>
  <c r="D19" i="2" s="1"/>
  <c r="M17" i="2"/>
  <c r="M19" i="2" s="1"/>
  <c r="M68" i="2"/>
  <c r="N17" i="2"/>
  <c r="N19" i="2" s="1"/>
  <c r="N68" i="2"/>
  <c r="AG17" i="2"/>
  <c r="AG68" i="2"/>
  <c r="J17" i="2"/>
  <c r="J19" i="2" s="1"/>
  <c r="J68" i="2"/>
  <c r="F17" i="2"/>
  <c r="F19" i="2" s="1"/>
  <c r="F68" i="2"/>
  <c r="O17" i="2"/>
  <c r="O19" i="2" s="1"/>
  <c r="AK6" i="2"/>
  <c r="L15" i="2"/>
  <c r="AI15" i="2"/>
  <c r="AI25" i="2"/>
  <c r="H68" i="2" l="1"/>
  <c r="AH15" i="2"/>
  <c r="AK7" i="2"/>
  <c r="AK8" i="2" s="1"/>
  <c r="D68" i="2"/>
  <c r="A7" i="5"/>
  <c r="A6" i="5"/>
  <c r="AG19" i="2"/>
  <c r="AK21" i="2"/>
  <c r="AI17" i="2"/>
  <c r="AI68" i="2"/>
  <c r="AH17" i="2"/>
  <c r="AH68" i="2"/>
  <c r="L17" i="2"/>
  <c r="L19" i="2" s="1"/>
  <c r="L68" i="2"/>
  <c r="AJ15" i="2"/>
  <c r="AJ68" i="2" s="1"/>
  <c r="AJ25" i="2"/>
  <c r="AL6" i="2"/>
  <c r="AK12" i="2" l="1"/>
  <c r="AK24" i="2"/>
  <c r="AL7" i="2"/>
  <c r="AL8" i="2" s="1"/>
  <c r="AI19" i="2"/>
  <c r="AH19" i="2"/>
  <c r="AL21" i="2"/>
  <c r="AM6" i="2"/>
  <c r="AK25" i="2"/>
  <c r="AK15" i="2"/>
  <c r="AJ17" i="2"/>
  <c r="AJ26" i="2" s="1"/>
  <c r="F8" i="3" l="1"/>
  <c r="AK28" i="2"/>
  <c r="A4" i="6" s="1"/>
  <c r="AL24" i="2"/>
  <c r="AL12" i="2"/>
  <c r="AL25" i="2" s="1"/>
  <c r="AM7" i="2"/>
  <c r="AM8" i="2" s="1"/>
  <c r="AJ19" i="2"/>
  <c r="AM21" i="2"/>
  <c r="AK16" i="2"/>
  <c r="AK17" i="2" s="1"/>
  <c r="AN6" i="2"/>
  <c r="AK29" i="2" l="1"/>
  <c r="F7" i="3"/>
  <c r="G8" i="3"/>
  <c r="AL28" i="2"/>
  <c r="AL15" i="2"/>
  <c r="AL16" i="2" s="1"/>
  <c r="AL17" i="2" s="1"/>
  <c r="AL19" i="2" s="1"/>
  <c r="G9" i="3" s="1"/>
  <c r="AM24" i="2"/>
  <c r="AM12" i="2"/>
  <c r="AN7" i="2"/>
  <c r="AN8" i="2" s="1"/>
  <c r="AK19" i="2"/>
  <c r="F9" i="3" s="1"/>
  <c r="AO6" i="2"/>
  <c r="AN21" i="2"/>
  <c r="H8" i="3" l="1"/>
  <c r="AM28" i="2"/>
  <c r="AM15" i="2"/>
  <c r="AM16" i="2" s="1"/>
  <c r="AM17" i="2" s="1"/>
  <c r="AL29" i="2"/>
  <c r="G7" i="3"/>
  <c r="AM25" i="2"/>
  <c r="AN24" i="2"/>
  <c r="AN12" i="2"/>
  <c r="AO7" i="2"/>
  <c r="AO8" i="2" s="1"/>
  <c r="AO21" i="2"/>
  <c r="AP6" i="2"/>
  <c r="AN25" i="2" l="1"/>
  <c r="AN28" i="2"/>
  <c r="AN29" i="2" s="1"/>
  <c r="AM29" i="2"/>
  <c r="H7" i="3"/>
  <c r="AN15" i="2"/>
  <c r="AN16" i="2" s="1"/>
  <c r="AN17" i="2" s="1"/>
  <c r="AO24" i="2"/>
  <c r="AO12" i="2"/>
  <c r="AO15" i="2" s="1"/>
  <c r="AP7" i="2"/>
  <c r="AP8" i="2" s="1"/>
  <c r="AM19" i="2"/>
  <c r="H9" i="3" s="1"/>
  <c r="AP21" i="2"/>
  <c r="AQ6" i="2"/>
  <c r="AO25" i="2" l="1"/>
  <c r="AO28" i="2"/>
  <c r="AO29" i="2" s="1"/>
  <c r="AP24" i="2"/>
  <c r="AP12" i="2"/>
  <c r="AP28" i="2" s="1"/>
  <c r="AP29" i="2" s="1"/>
  <c r="AQ7" i="2"/>
  <c r="AQ8" i="2" s="1"/>
  <c r="AN19" i="2"/>
  <c r="AO16" i="2"/>
  <c r="AO17" i="2" s="1"/>
  <c r="AO19" i="2" s="1"/>
  <c r="AR6" i="2"/>
  <c r="AQ21" i="2"/>
  <c r="AP15" i="2" l="1"/>
  <c r="AP16" i="2" s="1"/>
  <c r="AP17" i="2" s="1"/>
  <c r="AP19" i="2" s="1"/>
  <c r="AP25" i="2"/>
  <c r="AQ24" i="2"/>
  <c r="AQ12" i="2"/>
  <c r="AR7" i="2"/>
  <c r="AR8" i="2" s="1"/>
  <c r="AR21" i="2"/>
  <c r="AQ25" i="2"/>
  <c r="AS6" i="2"/>
  <c r="AQ15" i="2" l="1"/>
  <c r="AQ28" i="2"/>
  <c r="AQ29" i="2" s="1"/>
  <c r="AR24" i="2"/>
  <c r="AR12" i="2"/>
  <c r="AR28" i="2" s="1"/>
  <c r="AR29" i="2" s="1"/>
  <c r="AS7" i="2"/>
  <c r="AS8" i="2" s="1"/>
  <c r="AS21" i="2"/>
  <c r="AT6" i="2"/>
  <c r="AQ16" i="2"/>
  <c r="AQ17" i="2" s="1"/>
  <c r="AQ19" i="2" s="1"/>
  <c r="AR15" i="2" l="1"/>
  <c r="AR25" i="2"/>
  <c r="AS12" i="2"/>
  <c r="AS28" i="2" s="1"/>
  <c r="AS29" i="2" s="1"/>
  <c r="AS24" i="2"/>
  <c r="AT7" i="2"/>
  <c r="AT8" i="2" s="1"/>
  <c r="AR16" i="2"/>
  <c r="AR17" i="2" s="1"/>
  <c r="AR19" i="2" s="1"/>
  <c r="AT21" i="2"/>
  <c r="AS25" i="2"/>
  <c r="AS15" i="2" l="1"/>
  <c r="AT24" i="2"/>
  <c r="AT12" i="2"/>
  <c r="AT28" i="2" s="1"/>
  <c r="AT29" i="2" s="1"/>
  <c r="AS16" i="2"/>
  <c r="AS17" i="2" s="1"/>
  <c r="AS19" i="2" s="1"/>
  <c r="AT15" i="2"/>
  <c r="AT25" i="2"/>
  <c r="AT16" i="2" l="1"/>
  <c r="AT17" i="2" s="1"/>
  <c r="AU17" i="2" s="1"/>
  <c r="AT19" i="2" l="1"/>
  <c r="AV17" i="2"/>
  <c r="AW17" i="2" s="1"/>
  <c r="AX17" i="2" s="1"/>
  <c r="AY17" i="2" s="1"/>
  <c r="AZ17" i="2" s="1"/>
  <c r="BA17" i="2" s="1"/>
  <c r="BB17" i="2" s="1"/>
  <c r="BC17" i="2" s="1"/>
  <c r="BD17" i="2" s="1"/>
  <c r="BE17" i="2" s="1"/>
  <c r="BF17" i="2" s="1"/>
  <c r="BG17" i="2" s="1"/>
  <c r="BH17" i="2" s="1"/>
  <c r="BI17" i="2" s="1"/>
  <c r="BJ17" i="2" s="1"/>
  <c r="BK17" i="2" s="1"/>
  <c r="BL17" i="2" s="1"/>
  <c r="BM17" i="2" s="1"/>
  <c r="BN17" i="2" s="1"/>
  <c r="BO17" i="2" s="1"/>
  <c r="BP17" i="2" s="1"/>
  <c r="BQ17" i="2" s="1"/>
  <c r="BR17" i="2" s="1"/>
  <c r="BS17" i="2" s="1"/>
  <c r="BT17" i="2" s="1"/>
  <c r="BU17" i="2" s="1"/>
  <c r="BV17" i="2" s="1"/>
  <c r="BW17" i="2" s="1"/>
  <c r="BX17" i="2" s="1"/>
  <c r="BY17" i="2" s="1"/>
  <c r="BZ17" i="2" s="1"/>
  <c r="CA17" i="2" s="1"/>
  <c r="CB17" i="2" s="1"/>
  <c r="CC17" i="2" s="1"/>
  <c r="CD17" i="2" s="1"/>
  <c r="CE17" i="2" s="1"/>
  <c r="CF17" i="2" s="1"/>
  <c r="CG17" i="2" s="1"/>
  <c r="CH17" i="2" s="1"/>
  <c r="CI17" i="2" s="1"/>
  <c r="CJ17" i="2" s="1"/>
  <c r="CK17" i="2" s="1"/>
  <c r="CL17" i="2" s="1"/>
  <c r="CM17" i="2" s="1"/>
  <c r="CN17" i="2" s="1"/>
  <c r="CO17" i="2" s="1"/>
  <c r="CP17" i="2" s="1"/>
  <c r="CQ17" i="2" s="1"/>
  <c r="CR17" i="2" s="1"/>
  <c r="CS17" i="2" s="1"/>
  <c r="CT17" i="2" s="1"/>
  <c r="CU17" i="2" s="1"/>
  <c r="CV17" i="2" s="1"/>
  <c r="CW17" i="2" s="1"/>
  <c r="CX17" i="2" s="1"/>
  <c r="CY17" i="2" s="1"/>
  <c r="CZ17" i="2" s="1"/>
  <c r="DA17" i="2" s="1"/>
  <c r="DB17" i="2" s="1"/>
  <c r="DC17" i="2" s="1"/>
  <c r="DD17" i="2" s="1"/>
  <c r="DE17" i="2" s="1"/>
  <c r="DF17" i="2" s="1"/>
  <c r="DG17" i="2" s="1"/>
  <c r="DH17" i="2" s="1"/>
  <c r="DI17" i="2" s="1"/>
  <c r="DJ17" i="2" s="1"/>
  <c r="DK17" i="2" s="1"/>
  <c r="DL17" i="2" s="1"/>
  <c r="DM17" i="2" s="1"/>
  <c r="DN17" i="2" s="1"/>
  <c r="DO17" i="2" s="1"/>
  <c r="DP17" i="2" s="1"/>
  <c r="DQ17" i="2" s="1"/>
  <c r="DR17" i="2" s="1"/>
  <c r="DS17" i="2" s="1"/>
  <c r="DT17" i="2" s="1"/>
  <c r="DU17" i="2" s="1"/>
  <c r="DV17" i="2" s="1"/>
  <c r="DW17" i="2" s="1"/>
  <c r="DX17" i="2" s="1"/>
  <c r="DY17" i="2" s="1"/>
  <c r="DZ17" i="2" s="1"/>
  <c r="EA17" i="2" s="1"/>
  <c r="EB17" i="2" s="1"/>
  <c r="EC17" i="2" s="1"/>
  <c r="AW22" i="2" s="1"/>
  <c r="AW24" i="2" l="1"/>
  <c r="AW25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tc={3DE9D668-B8E0-E444-82E1-9C0634559C68}</author>
  </authors>
  <commentList>
    <comment ref="AD3" authorId="0" shapeId="0" xr:uid="{3DE9D668-B8E0-E444-82E1-9C0634559C68}">
      <text>
        <t>[Kommentartråd]
Din versjon av Excel lar deg lese denne kommentartråden. Eventuelle endringer i den vil imidlertid bli fjernet hvis filen åpnes i en nyere versjon av Excel. Finn ut mer: https://go.microsoft.com/fwlink/?linkid=870924
Kommentar:
    Kid kjøper Hemtex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tc={E5AC6F7C-3B31-4F42-8D30-536EDA8ABC8C}</author>
  </authors>
  <commentList>
    <comment ref="H3" authorId="0" shapeId="0" xr:uid="{E5AC6F7C-3B31-4F42-8D30-536EDA8ABC8C}">
      <text>
        <t>[Kommentartråd]
Din versjon av Excel lar deg lese denne kommentartråden. Eventuelle endringer i den vil imidlertid bli fjernet hvis filen åpnes i en nyere versjon av Excel. Finn ut mer: https://go.microsoft.com/fwlink/?linkid=870924
Kommentar:
    Kid kjøper Hemtex</t>
      </text>
    </comment>
  </commentList>
</comments>
</file>

<file path=xl/sharedStrings.xml><?xml version="1.0" encoding="utf-8"?>
<sst xmlns="http://schemas.openxmlformats.org/spreadsheetml/2006/main" count="266" uniqueCount="177">
  <si>
    <t>Kapitalstruktur</t>
  </si>
  <si>
    <t>Price</t>
  </si>
  <si>
    <t>S/O</t>
  </si>
  <si>
    <t>MC NOKm</t>
  </si>
  <si>
    <t>Cash NOKm</t>
  </si>
  <si>
    <t>Debt NOKm</t>
  </si>
  <si>
    <t>EV NOKm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</si>
  <si>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</si>
  <si>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</si>
  <si>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</si>
  <si>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</si>
  <si>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</si>
  <si>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</si>
  <si>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</si>
  <si>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</si>
  <si>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</si>
  <si>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</si>
  <si>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</si>
  <si>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</si>
  <si>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Kid interiør</t>
  </si>
  <si>
    <t>Hemtex</t>
  </si>
  <si>
    <t>Revenue</t>
  </si>
  <si>
    <t>Total revenue</t>
  </si>
  <si>
    <t>Purchased goods/Change in inventory</t>
  </si>
  <si>
    <t>Employee benefits</t>
  </si>
  <si>
    <t>D/A</t>
  </si>
  <si>
    <t>Other opex</t>
  </si>
  <si>
    <t>Operating profit (EBIT)</t>
  </si>
  <si>
    <t>Net financial</t>
  </si>
  <si>
    <t>Share of JV</t>
  </si>
  <si>
    <t>PTP</t>
  </si>
  <si>
    <t>Tax</t>
  </si>
  <si>
    <t>Net income</t>
  </si>
  <si>
    <t>EPS</t>
  </si>
  <si>
    <t>Revenue y/y</t>
  </si>
  <si>
    <t>Goodwill</t>
  </si>
  <si>
    <t>Trademark</t>
  </si>
  <si>
    <t>Other intang assets</t>
  </si>
  <si>
    <t>Deferred tax assets</t>
  </si>
  <si>
    <t>Right of use assets</t>
  </si>
  <si>
    <t>Fixture and fittings, tools. Office machins</t>
  </si>
  <si>
    <t>Investments in JV</t>
  </si>
  <si>
    <t>Loans to assosciated JV</t>
  </si>
  <si>
    <t>Inventories</t>
  </si>
  <si>
    <t>Trade receivables</t>
  </si>
  <si>
    <t>Other receivables</t>
  </si>
  <si>
    <t>Derivatives</t>
  </si>
  <si>
    <t>Cash</t>
  </si>
  <si>
    <t>Total assets</t>
  </si>
  <si>
    <t>Share capital</t>
  </si>
  <si>
    <t>Share premium</t>
  </si>
  <si>
    <t>Other paid-in Equity</t>
  </si>
  <si>
    <t>other Equity</t>
  </si>
  <si>
    <t>Total Equity</t>
  </si>
  <si>
    <t>Deferred tax</t>
  </si>
  <si>
    <t>Trade payable</t>
  </si>
  <si>
    <t>Tax payable</t>
  </si>
  <si>
    <t>Public duties payable</t>
  </si>
  <si>
    <t>Total Liabilities</t>
  </si>
  <si>
    <t>Total E/L</t>
  </si>
  <si>
    <t>CFFO</t>
  </si>
  <si>
    <t>CFFI</t>
  </si>
  <si>
    <t>CFFF</t>
  </si>
  <si>
    <t>Liabilties to financial institutuions</t>
  </si>
  <si>
    <t>Liabilities to financial institutions</t>
  </si>
  <si>
    <t>Other short-term liabilities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</si>
  <si>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</si>
  <si>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</si>
  <si>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</si>
  <si>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</si>
  <si>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</si>
  <si>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</si>
  <si>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</si>
  <si>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</si>
  <si>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</si>
  <si>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</si>
  <si>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</si>
  <si>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FY 2033</t>
  </si>
  <si>
    <t>FY 2034</t>
  </si>
  <si>
    <t>FY 2035</t>
  </si>
  <si>
    <t>Press releases</t>
  </si>
  <si>
    <t>other revenue</t>
  </si>
  <si>
    <t>EV/EBIT</t>
  </si>
  <si>
    <t>P/E</t>
  </si>
  <si>
    <t>Discount</t>
  </si>
  <si>
    <t>TV</t>
  </si>
  <si>
    <t>NPV</t>
  </si>
  <si>
    <t>NPV/Share</t>
  </si>
  <si>
    <t>Opp/nedside</t>
  </si>
  <si>
    <t>NOKm</t>
  </si>
  <si>
    <t>NOK million</t>
  </si>
  <si>
    <t>Balanse NOK million</t>
  </si>
  <si>
    <t>Lease long-term liabilties</t>
  </si>
  <si>
    <t>Lease short-term liabilities</t>
  </si>
  <si>
    <t>Growth %</t>
  </si>
  <si>
    <t>LFL inc online sales</t>
  </si>
  <si>
    <t>Gross profit</t>
  </si>
  <si>
    <t>Gross margin %</t>
  </si>
  <si>
    <t>EBITDA</t>
  </si>
  <si>
    <t>EBITDA %</t>
  </si>
  <si>
    <t>Shopping days</t>
  </si>
  <si>
    <t>Physical stores</t>
  </si>
  <si>
    <t>Q125</t>
  </si>
  <si>
    <t>Q225</t>
  </si>
  <si>
    <t>Q325</t>
  </si>
  <si>
    <t>Q425</t>
  </si>
  <si>
    <t>Cash flow NOK millioner</t>
  </si>
  <si>
    <t>19.02.25: Anders Lorentzon, sheriff over Hemtex, kjøper 4 950 aksjer, eier 4 950</t>
  </si>
  <si>
    <t>11.02.25: Marianne Fulford blir ny CEO, hun vil tre inn 1.mai 2025</t>
  </si>
  <si>
    <t>03.12.24: Kid selger varehus og kontorbygg i Vserige til STB nordic real estate. Solgt for 600 mill</t>
  </si>
  <si>
    <t>22.11.24: Kaja Myhra kjøper 600 aksjer, eier 600 etter dette</t>
  </si>
  <si>
    <t>12.11.24: Mads Kigen, CFO, kjøper 1 500 aksjer, eier 2 000 etter dette</t>
  </si>
  <si>
    <t>01.11.24: Andere Fjeld slutter som CEO</t>
  </si>
  <si>
    <t>Model PTP</t>
  </si>
  <si>
    <t>Reprted PTP</t>
  </si>
  <si>
    <t>Taxes paid</t>
  </si>
  <si>
    <t>Effexct of exchange fluctuations</t>
  </si>
  <si>
    <t>WC</t>
  </si>
  <si>
    <t>Capex</t>
  </si>
  <si>
    <t>Loans to associated comp</t>
  </si>
  <si>
    <t>Proceeds from long term loans</t>
  </si>
  <si>
    <t>Proceeds from revovlning credit</t>
  </si>
  <si>
    <t>Repayment of revolving credit</t>
  </si>
  <si>
    <t>Repayment of term loans</t>
  </si>
  <si>
    <t>Overdraft facility</t>
  </si>
  <si>
    <t>Lease payment for principal portion</t>
  </si>
  <si>
    <t>Dividend</t>
  </si>
  <si>
    <t>FX</t>
  </si>
  <si>
    <t>CIC</t>
  </si>
  <si>
    <t>FCF</t>
  </si>
  <si>
    <t>FY 2019</t>
  </si>
  <si>
    <t>FY 2020</t>
  </si>
  <si>
    <t>FY 2021</t>
  </si>
  <si>
    <t>Net interest expense</t>
  </si>
  <si>
    <t>Net ineterest</t>
  </si>
  <si>
    <t>Like-for-like y/y</t>
  </si>
  <si>
    <t>Opex y/y</t>
  </si>
  <si>
    <t>19.05.25: Jon Brannsten, styremedlem, kjøper 1 000 aksjer til 149,60</t>
  </si>
  <si>
    <t>FY 2015</t>
  </si>
  <si>
    <t>FY 2016</t>
  </si>
  <si>
    <t>FY 2017</t>
  </si>
  <si>
    <t>FY 2018</t>
  </si>
  <si>
    <t>ROE</t>
  </si>
  <si>
    <t xml:space="preserve">Shares </t>
  </si>
  <si>
    <t>Nedside</t>
  </si>
  <si>
    <t>0 vekst og konstante marginer</t>
  </si>
  <si>
    <t>Q126</t>
  </si>
  <si>
    <t>Q226</t>
  </si>
  <si>
    <t>Q326</t>
  </si>
  <si>
    <t>Q426</t>
  </si>
  <si>
    <t>SOTP 26E valuation</t>
  </si>
  <si>
    <t>EBITDA 26E</t>
  </si>
  <si>
    <t>EV/EBITDA (x)</t>
  </si>
  <si>
    <t>EV</t>
  </si>
  <si>
    <t>Per share</t>
  </si>
  <si>
    <t>EBIT margin</t>
  </si>
  <si>
    <t>Gross margin</t>
  </si>
  <si>
    <t>Gearing</t>
  </si>
  <si>
    <t>EBITDA LTM</t>
  </si>
  <si>
    <t>EBITDA margin</t>
  </si>
  <si>
    <t>EV/EBITDA</t>
  </si>
  <si>
    <t>13.01.26: DNB AM solgte 314 121 aksjer og flagger under 5%</t>
  </si>
  <si>
    <t>07.11.25: Mads Kigen, CFO, kjøpte 1 100 aksjer på 133,6 NOK</t>
  </si>
  <si>
    <t>07.11.25: Marianne Fulford, CEO, kjøpte 1 350 aksjer til 133,35 NOK</t>
  </si>
  <si>
    <t>06.11.25: Josephine Gisaeus kjøpte 1 480 aksjer til 133,6 NOK</t>
  </si>
  <si>
    <t>Antall butikker totalt</t>
  </si>
  <si>
    <t>Antall butikker &lt; 600 sqm</t>
  </si>
  <si>
    <t>Antall butikker &gt; 600 sqm</t>
  </si>
  <si>
    <t>%</t>
  </si>
  <si>
    <t>Enterprise value</t>
  </si>
  <si>
    <t>Debt</t>
  </si>
  <si>
    <t>Equity value</t>
  </si>
  <si>
    <t>26E EBITDA</t>
  </si>
  <si>
    <t>Share of online sales</t>
  </si>
  <si>
    <t>P/B</t>
  </si>
  <si>
    <t>07.09.26: Salt Value flagger 5%</t>
  </si>
  <si>
    <t>KID jobber aktivt med å ekspandere alle sine butikker til å at de er minst 600 kvadratmeter, på denne måten får de stilt ut hele sortimentet sitt på en god måte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</si>
</sst>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0.0\ %"/>
    <numFmt numFmtId="167" formatCode="0.0%"/>
  </numFmts>
  <fonts count="13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2E4A2E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0" xfId="0" applyFont="1"/>
    <xf numFmtId="0" fontId="3" fillId="0" borderId="0" xfId="0" applyFont="1"/>
    <xf numFmtId="2" fontId="2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4" fillId="0" borderId="0" xfId="0" applyFont="1"/>
    <xf numFmtId="10" fontId="2" fillId="0" borderId="0" xfId="0" applyNumberFormat="1" applyFont="1"/>
    <xf numFmtId="10" fontId="2" fillId="0" borderId="1" xfId="0" applyNumberFormat="1" applyFont="1" applyBorder="1"/>
    <xf numFmtId="0" fontId="5" fillId="0" borderId="0" xfId="0" applyFont="1"/>
    <xf numFmtId="3" fontId="2" fillId="0" borderId="0" xfId="0" applyNumberFormat="1" applyFont="1"/>
    <xf numFmtId="3" fontId="2" fillId="0" borderId="1" xfId="0" applyNumberFormat="1" applyFont="1" applyBorder="1"/>
    <xf numFmtId="3" fontId="1" fillId="0" borderId="1" xfId="0" applyNumberFormat="1" applyFont="1" applyBorder="1"/>
    <xf numFmtId="165" fontId="2" fillId="0" borderId="0" xfId="0" applyNumberFormat="1" applyFont="1"/>
    <xf numFmtId="3" fontId="1" fillId="0" borderId="0" xfId="0" applyNumberFormat="1" applyFont="1"/>
    <xf numFmtId="2" fontId="2" fillId="0" borderId="0" xfId="0" applyNumberFormat="1" applyFont="1"/>
    <xf numFmtId="10" fontId="1" fillId="0" borderId="0" xfId="0" applyNumberFormat="1" applyFont="1"/>
    <xf numFmtId="10" fontId="1" fillId="0" borderId="1" xfId="0" applyNumberFormat="1" applyFont="1" applyBorder="1"/>
    <xf numFmtId="0" fontId="2" fillId="0" borderId="2" xfId="0" applyFont="1" applyBorder="1"/>
    <xf numFmtId="164" fontId="2" fillId="0" borderId="0" xfId="0" applyNumberFormat="1" applyFont="1"/>
    <xf numFmtId="9" fontId="2" fillId="0" borderId="0" xfId="0" applyNumberFormat="1" applyFont="1"/>
    <xf numFmtId="164" fontId="1" fillId="0" borderId="0" xfId="0" applyNumberFormat="1" applyFont="1"/>
    <xf numFmtId="165" fontId="2" fillId="0" borderId="2" xfId="0" applyNumberFormat="1" applyFont="1" applyBorder="1"/>
    <xf numFmtId="166" fontId="1" fillId="0" borderId="0" xfId="0" applyNumberFormat="1" applyFont="1"/>
    <xf numFmtId="164" fontId="6" fillId="0" borderId="3" xfId="0" applyNumberFormat="1" applyFont="1" applyBorder="1"/>
    <xf numFmtId="0" fontId="7" fillId="0" borderId="3" xfId="0" applyFont="1" applyBorder="1"/>
    <xf numFmtId="3" fontId="5" fillId="0" borderId="0" xfId="0" applyNumberFormat="1" applyFont="1"/>
    <xf numFmtId="0" fontId="8" fillId="0" borderId="0" xfId="0" applyFont="1"/>
    <xf numFmtId="0" fontId="4" fillId="0" borderId="0" xfId="0" applyFont="1" applyAlignment="1">
      <alignment horizontal="right"/>
    </xf>
    <xf numFmtId="0" fontId="9" fillId="0" borderId="0" xfId="0" applyFont="1"/>
    <xf numFmtId="166" fontId="9" fillId="0" borderId="0" xfId="0" applyNumberFormat="1" applyFont="1"/>
    <xf numFmtId="0" fontId="4" fillId="0" borderId="2" xfId="0" applyFont="1" applyBorder="1"/>
    <xf numFmtId="165" fontId="3" fillId="0" borderId="1" xfId="0" applyNumberFormat="1" applyFont="1" applyBorder="1"/>
    <xf numFmtId="0" fontId="10" fillId="0" borderId="0" xfId="0" applyFont="1"/>
    <xf numFmtId="166" fontId="9" fillId="0" borderId="4" xfId="0" applyNumberFormat="1" applyFont="1" applyBorder="1"/>
    <xf numFmtId="0" fontId="8" fillId="0" borderId="6" xfId="0" applyFont="1" applyBorder="1" applyAlignment="1">
      <alignment horizontal="right"/>
    </xf>
    <xf numFmtId="0" fontId="4" fillId="0" borderId="6" xfId="0" applyFont="1" applyBorder="1"/>
    <xf numFmtId="0" fontId="8" fillId="0" borderId="6" xfId="0" applyFont="1" applyBorder="1"/>
    <xf numFmtId="166" fontId="9" fillId="0" borderId="6" xfId="0" applyNumberFormat="1" applyFont="1" applyBorder="1"/>
    <xf numFmtId="0" fontId="4" fillId="0" borderId="5" xfId="0" applyFont="1" applyBorder="1"/>
    <xf numFmtId="0" fontId="4" fillId="0" borderId="1" xfId="0" applyFont="1" applyBorder="1"/>
    <xf numFmtId="166" fontId="9" fillId="0" borderId="1" xfId="0" applyNumberFormat="1" applyFont="1" applyBorder="1"/>
    <xf numFmtId="0" fontId="4" fillId="0" borderId="7" xfId="0" applyFont="1" applyBorder="1"/>
    <xf numFmtId="3" fontId="8" fillId="0" borderId="0" xfId="0" applyNumberFormat="1" applyFont="1"/>
    <xf numFmtId="3" fontId="8" fillId="0" borderId="6" xfId="0" applyNumberFormat="1" applyFont="1" applyBorder="1"/>
    <xf numFmtId="1" fontId="8" fillId="0" borderId="0" xfId="0" applyNumberFormat="1" applyFont="1"/>
    <xf numFmtId="1" fontId="8" fillId="0" borderId="6" xfId="0" applyNumberFormat="1" applyFont="1" applyBorder="1"/>
    <xf numFmtId="1" fontId="8" fillId="0" borderId="1" xfId="0" applyNumberFormat="1" applyFont="1" applyBorder="1"/>
    <xf numFmtId="3" fontId="8" fillId="0" borderId="1" xfId="0" applyNumberFormat="1" applyFont="1" applyBorder="1"/>
    <xf numFmtId="1" fontId="2" fillId="0" borderId="0" xfId="0" applyNumberFormat="1" applyFont="1"/>
    <xf numFmtId="166" fontId="2" fillId="0" borderId="0" xfId="0" applyNumberFormat="1" applyFont="1"/>
    <xf numFmtId="166" fontId="2" fillId="0" borderId="1" xfId="0" applyNumberFormat="1" applyFont="1" applyBorder="1"/>
    <xf numFmtId="0" fontId="4" fillId="0" borderId="3" xfId="0" applyFont="1" applyBorder="1"/>
    <xf numFmtId="1" fontId="8" fillId="0" borderId="3" xfId="0" applyNumberFormat="1" applyFont="1" applyBorder="1"/>
    <xf numFmtId="1" fontId="4" fillId="0" borderId="3" xfId="0" applyNumberFormat="1" applyFont="1" applyBorder="1"/>
    <xf numFmtId="0" fontId="8" fillId="0" borderId="3" xfId="0" applyFont="1" applyBorder="1"/>
    <xf numFmtId="3" fontId="4" fillId="0" borderId="3" xfId="0" applyNumberFormat="1" applyFont="1" applyBorder="1"/>
    <xf numFmtId="4" fontId="2" fillId="0" borderId="0" xfId="0" applyNumberFormat="1" applyFont="1"/>
    <xf numFmtId="166" fontId="2" fillId="0" borderId="2" xfId="0" applyNumberFormat="1" applyFont="1" applyBorder="1"/>
    <xf numFmtId="166" fontId="1" fillId="0" borderId="1" xfId="0" applyNumberFormat="1" applyFont="1" applyBorder="1"/>
    <xf numFmtId="1" fontId="2" fillId="0" borderId="1" xfId="0" applyNumberFormat="1" applyFont="1" applyBorder="1"/>
    <xf numFmtId="1" fontId="5" fillId="0" borderId="0" xfId="0" applyNumberFormat="1" applyFont="1"/>
    <xf numFmtId="1" fontId="1" fillId="0" borderId="0" xfId="0" applyNumberFormat="1" applyFont="1"/>
    <xf numFmtId="0" fontId="4" fillId="0" borderId="0" xfId="0" applyFont="1" applyAlignment="1">
      <alignment horizontal="center"/>
    </xf>
    <xf numFmtId="167" fontId="4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7" fontId="12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167" fontId="8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2" xfId="0" applyFont="1" applyBorder="1"/>
    <xf numFmtId="0" fontId="4" fillId="0" borderId="2" xfId="0" applyFont="1" applyBorder="1" applyAlignment="1">
      <alignment horizontal="left"/>
    </xf>
    <xf numFmtId="10" fontId="8" fillId="0" borderId="0" xfId="0" applyNumberFormat="1" applyFont="1" applyAlignment="1">
      <alignment horizontal="left"/>
    </xf>
    <xf numFmtId="0" fontId="0" fillId="2" borderId="0" xfId="0" applyFill="1"/>
    <xf numFmtId="0" fontId="0" fillId="0" borderId="3" xfId="0" applyBorder="1"/>
    <xf numFmtId="2" fontId="1" fillId="0" borderId="0" xfId="0" applyNumberFormat="1" applyFon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SOTP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nb-NO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SOTP</a:t>
          </a:r>
        </a:p>
      </cx:txPr>
    </cx:title>
    <cx:plotArea>
      <cx:plotAreaRegion>
        <cx:series layoutId="waterfall" uniqueId="{00000000-E2CA-964F-ADC2-0877FA4A478B}">
          <cx:dataPt idx="2"/>
          <cx:dataPt idx="5">
            <cx:spPr>
              <a:solidFill>
                <a:srgbClr val="FF0000"/>
              </a:solidFill>
            </cx:spPr>
          </cx:dataPt>
          <cx:dataPt idx="6"/>
          <cx:dataLabels pos="outEnd">
            <cx:visibility seriesName="0" categoryName="0" value="1"/>
          </cx:dataLabels>
          <cx:dataId val="0"/>
          <cx:layoutPr>
            <cx:subtotals>
              <cx:idx val="2"/>
              <cx:idx val="6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177800</xdr:colOff>
      <xdr:row>27</xdr:row>
      <xdr:rowOff>54881</xdr:rowOff>
    </xdr:to>
    <xdr:pic>
      <xdr:nvPicPr>
        <xdr:cNvPr id="2" name="Bilde 1">
          <a:extLst>
            <a:ext uri="{FF2B5EF4-FFF2-40B4-BE49-F238E27FC236}">
              <a16:creationId xmlns:a16="http://schemas.microsoft.com/office/drawing/2014/main" id="{CD618A40-D426-5AB7-0964-A672392AB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283200" cy="6711092"/>
        </a:xfrm>
        <a:prstGeom prst="rect">
          <a:avLst/>
        </a:prstGeom>
      </xdr:spPr>
    </xdr:pic>
    <xdr:clientData/>
  </xdr:twoCellAnchor>
  <xdr:twoCellAnchor editAs="oneCell">
    <xdr:from>
      <xdr:col>9</xdr:col>
      <xdr:colOff>831145</xdr:colOff>
      <xdr:row>1</xdr:row>
      <xdr:rowOff>38100</xdr:rowOff>
    </xdr:from>
    <xdr:to>
      <xdr:col>16</xdr:col>
      <xdr:colOff>42334</xdr:colOff>
      <xdr:row>20</xdr:row>
      <xdr:rowOff>189089</xdr:rowOff>
    </xdr:to>
    <xdr:pic>
      <xdr:nvPicPr>
        <xdr:cNvPr id="3" name="Bilde 2">
          <a:extLst>
            <a:ext uri="{FF2B5EF4-FFF2-40B4-BE49-F238E27FC236}">
              <a16:creationId xmlns:a16="http://schemas.microsoft.com/office/drawing/2014/main" id="{FE50062D-EA54-DB99-1181-5FEA39DCC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65256" y="277989"/>
          <a:ext cx="6323189" cy="47088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18</xdr:row>
      <xdr:rowOff>120650</xdr:rowOff>
    </xdr:from>
    <xdr:to>
      <xdr:col>8</xdr:col>
      <xdr:colOff>444500</xdr:colOff>
      <xdr:row>37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17C9D605-2F52-A1CA-57FE-C11487FE49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01800" y="4540250"/>
              <a:ext cx="6934200" cy="385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nb-NO" sz="1100"/>
                <a:t>Diagrammet er ikke tilgjengelig i din versjon av Excel.
Hvis du redigerer denne figuren eller lagrer denne arbeidsboken i et annet filformat, blir diagrammet ødelagt for godt.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ugusthodt/Desktop/Aksjemodellering/Elimp%20modell.xlsx" TargetMode="External"/><Relationship Id="rId1" Type="http://schemas.openxmlformats.org/officeDocument/2006/relationships/externalLinkPath" Target="Elimp%20mode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o"/>
      <sheetName val="Modell"/>
      <sheetName val="Segementer"/>
      <sheetName val="SOTP"/>
      <sheetName val="Nøkkeltall"/>
      <sheetName val="Nedsideberegning"/>
    </sheetNames>
    <sheetDataSet>
      <sheetData sheetId="0"/>
      <sheetData sheetId="1">
        <row r="5">
          <cell r="B5">
            <v>50.782200000000003</v>
          </cell>
        </row>
      </sheetData>
      <sheetData sheetId="2"/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ugust Hodt" id="{79261F7E-5B7F-A049-BBBB-1E3C27E4599A}" userId="a530012ce760c12d" providerId="Windows Live"/>
</personList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D3" dT="2025-07-18T20:01:31.33" personId="{79261F7E-5B7F-A049-BBBB-1E3C27E4599A}" id="{3DE9D668-B8E0-E444-82E1-9C0634559C68}">
    <text>Kid kjøper Hemtex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3" dT="2025-07-18T20:01:31.33" personId="{79261F7E-5B7F-A049-BBBB-1E3C27E4599A}" id="{E5AC6F7C-3B31-4F42-8D30-536EDA8ABC8C}">
    <text>Kid kjøper Hemtex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B047A8-5E7C-B24A-9237-237443F4FA1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ba90a6e-dc98-4d84-b18e-7a846cd2efc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F3DF-A903-9D43-9470-5629624CD829}">
  <dimension ref="A1:Q48"/>
  <sheetViews>
    <sheetView showGridLines="0" zoomScale="90" zoomScaleNormal="90" workbookViewId="0">
      <selection activeCell="K36" sqref="K36"/>
    </sheetView>
  </sheetViews>
  <sheetFormatPr baseColWidth="10" defaultRowHeight="19" x14ac:dyDescent="0.25"/>
  <cols>
    <col min="1" max="1" width="12.83203125" style="3" bestFit="1" customWidth="1"/>
    <col min="2" max="10" width="10.83203125" style="3"/>
    <col min="11" max="11" width="27.83203125" style="3" customWidth="1"/>
    <col min="12" max="16384" width="10.83203125" style="3"/>
  </cols>
  <sheetData>
    <row r="1" spans="8:14" x14ac:dyDescent="0.25">
      <c r="H1" s="3" t="s">
        <v>146</v>
      </c>
      <c r="K1" s="3" t="s">
        <v>176</v>
      </c>
      <c r="N1" s="1"/>
    </row>
    <row r="23" spans="11:17" ht="21" x14ac:dyDescent="0.25">
      <c r="K23" s="10"/>
      <c r="L23" s="10"/>
      <c r="M23" s="10"/>
      <c r="N23" s="10"/>
      <c r="O23" s="10"/>
      <c r="P23" s="10"/>
      <c r="Q23" s="10"/>
    </row>
    <row r="24" spans="11:17" ht="21" x14ac:dyDescent="0.25">
      <c r="K24" s="76" t="s">
        <v>165</v>
      </c>
      <c r="L24" s="77">
        <v>286</v>
      </c>
      <c r="M24" s="35" t="s">
        <v>168</v>
      </c>
      <c r="N24" s="10"/>
      <c r="O24" s="10"/>
      <c r="P24" s="10"/>
      <c r="Q24" s="10"/>
    </row>
    <row r="25" spans="11:17" ht="21" x14ac:dyDescent="0.25">
      <c r="K25" s="10" t="s">
        <v>167</v>
      </c>
      <c r="L25" s="75">
        <v>69</v>
      </c>
      <c r="M25" s="78">
        <f>L25/L24</f>
        <v>0.24125874125874125</v>
      </c>
      <c r="N25" s="10"/>
      <c r="O25" s="10"/>
      <c r="P25" s="10"/>
      <c r="Q25" s="10"/>
    </row>
    <row r="26" spans="11:17" ht="21" x14ac:dyDescent="0.25">
      <c r="K26" s="75" t="s">
        <v>166</v>
      </c>
      <c r="L26" s="75">
        <v>207</v>
      </c>
      <c r="M26" s="78">
        <f>L26/L24</f>
        <v>0.72377622377622375</v>
      </c>
      <c r="N26" s="10"/>
      <c r="O26" s="10"/>
      <c r="P26" s="10"/>
      <c r="Q26" s="10"/>
    </row>
    <row r="27" spans="11:17" ht="21" x14ac:dyDescent="0.25">
      <c r="K27" s="67"/>
      <c r="L27" s="67"/>
      <c r="M27" s="68"/>
      <c r="N27" s="10"/>
      <c r="O27" s="10"/>
      <c r="P27" s="10"/>
      <c r="Q27" s="10"/>
    </row>
    <row r="28" spans="11:17" ht="21" x14ac:dyDescent="0.25">
      <c r="K28" s="67"/>
      <c r="L28" s="67"/>
      <c r="M28" s="68"/>
      <c r="N28" s="10"/>
      <c r="O28" s="10"/>
      <c r="P28" s="10"/>
      <c r="Q28" s="10"/>
    </row>
    <row r="29" spans="11:17" ht="21" x14ac:dyDescent="0.25">
      <c r="K29" s="67"/>
      <c r="L29" s="67"/>
      <c r="M29" s="68"/>
      <c r="N29" s="10"/>
      <c r="O29" s="10"/>
    </row>
    <row r="30" spans="11:17" ht="21" x14ac:dyDescent="0.25">
      <c r="K30" s="67"/>
      <c r="L30" s="67"/>
      <c r="M30" s="68"/>
      <c r="N30" s="10"/>
      <c r="O30" s="10"/>
    </row>
    <row r="31" spans="11:17" ht="21" x14ac:dyDescent="0.25">
      <c r="K31" s="67"/>
      <c r="L31" s="67"/>
      <c r="M31" s="68"/>
      <c r="N31" s="10"/>
      <c r="O31" s="10"/>
      <c r="P31" s="10"/>
      <c r="Q31" s="10"/>
    </row>
    <row r="32" spans="11:17" ht="21" x14ac:dyDescent="0.25">
      <c r="K32" s="72"/>
      <c r="L32" s="72"/>
      <c r="M32" s="73"/>
      <c r="N32" s="10"/>
      <c r="O32" s="10"/>
      <c r="P32" s="10"/>
      <c r="Q32" s="10"/>
    </row>
    <row r="33" spans="1:17" ht="21" x14ac:dyDescent="0.25">
      <c r="K33" s="72"/>
      <c r="L33" s="72"/>
      <c r="M33" s="73"/>
      <c r="N33" s="10"/>
      <c r="O33" s="10"/>
      <c r="P33" s="10"/>
      <c r="Q33" s="10"/>
    </row>
    <row r="34" spans="1:17" ht="21" x14ac:dyDescent="0.25">
      <c r="K34" s="72"/>
      <c r="L34" s="72"/>
      <c r="M34" s="73"/>
      <c r="N34" s="10"/>
      <c r="O34" s="10"/>
      <c r="P34" s="10"/>
      <c r="Q34" s="10"/>
    </row>
    <row r="35" spans="1:17" ht="21" x14ac:dyDescent="0.25">
      <c r="K35" s="10"/>
      <c r="L35" s="10"/>
      <c r="M35" s="10"/>
      <c r="N35" s="10"/>
      <c r="O35" s="10"/>
      <c r="P35" s="10"/>
      <c r="Q35" s="10"/>
    </row>
    <row r="36" spans="1:17" ht="21" x14ac:dyDescent="0.25">
      <c r="A36" s="1" t="s">
        <v>80</v>
      </c>
      <c r="K36" s="71"/>
      <c r="L36" s="72"/>
      <c r="M36" s="73"/>
      <c r="N36" s="10"/>
      <c r="O36" s="10"/>
      <c r="P36" s="10"/>
      <c r="Q36" s="10"/>
    </row>
    <row r="37" spans="1:17" ht="21" x14ac:dyDescent="0.25">
      <c r="A37" s="3" t="s">
        <v>175</v>
      </c>
      <c r="K37" s="74"/>
      <c r="L37" s="69"/>
      <c r="M37" s="70"/>
      <c r="N37" s="10"/>
      <c r="O37" s="10"/>
      <c r="P37" s="10"/>
      <c r="Q37" s="10"/>
    </row>
    <row r="38" spans="1:17" ht="21" x14ac:dyDescent="0.25">
      <c r="A38" s="3" t="s">
        <v>161</v>
      </c>
      <c r="K38" s="10"/>
      <c r="L38" s="10"/>
      <c r="M38" s="10"/>
      <c r="N38" s="10"/>
      <c r="O38" s="10"/>
      <c r="P38" s="10"/>
      <c r="Q38" s="10"/>
    </row>
    <row r="39" spans="1:17" ht="21" x14ac:dyDescent="0.25">
      <c r="A39" s="3" t="s">
        <v>162</v>
      </c>
      <c r="K39" s="10"/>
      <c r="L39" s="10"/>
      <c r="M39" s="10"/>
      <c r="N39" s="10"/>
      <c r="O39" s="10"/>
      <c r="P39" s="10"/>
      <c r="Q39" s="10"/>
    </row>
    <row r="40" spans="1:17" ht="21" x14ac:dyDescent="0.25">
      <c r="A40" s="3" t="s">
        <v>163</v>
      </c>
      <c r="K40" s="10"/>
      <c r="L40" s="10"/>
      <c r="M40" s="10"/>
      <c r="N40" s="10"/>
      <c r="O40" s="10"/>
      <c r="P40" s="10"/>
      <c r="Q40" s="10"/>
    </row>
    <row r="41" spans="1:17" ht="21" x14ac:dyDescent="0.25">
      <c r="A41" s="3" t="s">
        <v>164</v>
      </c>
      <c r="K41" s="10"/>
      <c r="L41" s="10"/>
      <c r="M41" s="10"/>
      <c r="N41" s="10"/>
      <c r="O41" s="10"/>
      <c r="P41" s="10"/>
      <c r="Q41" s="10"/>
    </row>
    <row r="42" spans="1:17" ht="21" x14ac:dyDescent="0.25">
      <c r="A42" s="3" t="s">
        <v>137</v>
      </c>
      <c r="K42" s="10"/>
      <c r="L42" s="10"/>
      <c r="M42" s="10"/>
      <c r="N42" s="10"/>
      <c r="O42" s="10"/>
      <c r="P42" s="10"/>
      <c r="Q42" s="10"/>
    </row>
    <row r="43" spans="1:17" ht="21" x14ac:dyDescent="0.25">
      <c r="A43" s="3" t="s">
        <v>107</v>
      </c>
      <c r="K43" s="10"/>
      <c r="L43" s="10"/>
      <c r="M43" s="10"/>
      <c r="N43" s="10"/>
      <c r="O43" s="10"/>
      <c r="P43" s="10"/>
      <c r="Q43" s="10"/>
    </row>
    <row r="44" spans="1:17" x14ac:dyDescent="0.25">
      <c r="A44" s="3" t="s">
        <v>108</v>
      </c>
    </row>
    <row r="45" spans="1:17" x14ac:dyDescent="0.25">
      <c r="A45" s="3" t="s">
        <v>109</v>
      </c>
    </row>
    <row r="46" spans="1:17" x14ac:dyDescent="0.25">
      <c r="A46" s="3" t="s">
        <v>110</v>
      </c>
    </row>
    <row r="47" spans="1:17" x14ac:dyDescent="0.25">
      <c r="A47" s="3" t="s">
        <v>111</v>
      </c>
    </row>
    <row r="48" spans="1:17" x14ac:dyDescent="0.25">
      <c r="A48" s="3" t="s">
        <v>112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84289-3A77-D440-A429-4F2F309015F1}">
  <dimension ref="A3:EC96"/>
  <sheetViews>
    <sheetView showGridLines="0" tabSelected="1" workbookViewId="0">
      <pane xSplit="3" ySplit="3" topLeftCell="N4" activePane="bottomRight" state="frozen"/>
      <selection pane="topRight" activeCell="D1" sqref="D1"/>
      <selection pane="bottomLeft" activeCell="A4" sqref="A4"/>
      <selection pane="bottomRight" activeCell="U11" sqref="U11"/>
    </sheetView>
  </sheetViews>
  <sheetFormatPr baseColWidth="10" defaultRowHeight="19" x14ac:dyDescent="0.25"/>
  <cols>
    <col min="1" max="1" width="16.33203125" style="3" bestFit="1" customWidth="1"/>
    <col min="2" max="2" width="10.83203125" style="2"/>
    <col min="3" max="3" width="38.6640625" style="3" customWidth="1"/>
    <col min="4" max="13" width="10.83203125" style="3"/>
    <col min="14" max="14" width="11.5" style="3" bestFit="1" customWidth="1"/>
    <col min="15" max="19" width="10.83203125" style="3"/>
    <col min="20" max="20" width="11.6640625" style="3" bestFit="1" customWidth="1"/>
    <col min="21" max="23" width="10.83203125" style="3"/>
    <col min="24" max="24" width="0" style="3" hidden="1" customWidth="1"/>
    <col min="25" max="36" width="10.83203125" style="3"/>
    <col min="37" max="37" width="10.83203125" style="2"/>
    <col min="38" max="44" width="10.83203125" style="3"/>
    <col min="45" max="46" width="11.5" style="3" bestFit="1" customWidth="1"/>
    <col min="47" max="47" width="10.83203125" style="3"/>
    <col min="48" max="48" width="14.1640625" style="3" bestFit="1" customWidth="1"/>
    <col min="49" max="49" width="16.33203125" style="3" bestFit="1" customWidth="1"/>
    <col min="50" max="16384" width="10.83203125" style="3"/>
  </cols>
  <sheetData>
    <row r="3" spans="1:73" x14ac:dyDescent="0.25">
      <c r="A3" s="1" t="s">
        <v>0</v>
      </c>
      <c r="C3" s="3" t="s">
        <v>90</v>
      </c>
      <c r="D3" s="8" t="s">
        <v>7</v>
      </c>
      <c r="E3" s="8" t="s">
        <v>8</v>
      </c>
      <c r="F3" s="8" t="s">
        <v>9</v>
      </c>
      <c r="G3" s="8" t="s">
        <v>10</v>
      </c>
      <c r="H3" s="8" t="s">
        <v>11</v>
      </c>
      <c r="I3" s="8" t="s">
        <v>12</v>
      </c>
      <c r="J3" s="8" t="s">
        <v>13</v>
      </c>
      <c r="K3" s="8" t="s">
        <v>14</v>
      </c>
      <c r="L3" s="8" t="s">
        <v>15</v>
      </c>
      <c r="M3" s="8" t="s">
        <v>16</v>
      </c>
      <c r="N3" s="8" t="s">
        <v>17</v>
      </c>
      <c r="O3" s="8" t="s">
        <v>18</v>
      </c>
      <c r="P3" s="8" t="s">
        <v>102</v>
      </c>
      <c r="Q3" s="8" t="s">
        <v>103</v>
      </c>
      <c r="R3" s="8" t="s">
        <v>104</v>
      </c>
      <c r="S3" s="8" t="s">
        <v>105</v>
      </c>
      <c r="T3" s="8" t="s">
        <v>146</v>
      </c>
      <c r="U3" s="8" t="s">
        <v>147</v>
      </c>
      <c r="V3" s="8" t="s">
        <v>148</v>
      </c>
      <c r="W3" s="8" t="s">
        <v>149</v>
      </c>
      <c r="X3" s="8"/>
      <c r="Z3" s="8" t="s">
        <v>138</v>
      </c>
      <c r="AA3" s="8" t="s">
        <v>139</v>
      </c>
      <c r="AB3" s="8" t="s">
        <v>140</v>
      </c>
      <c r="AC3" s="8" t="s">
        <v>141</v>
      </c>
      <c r="AD3" s="8" t="s">
        <v>130</v>
      </c>
      <c r="AE3" s="8" t="s">
        <v>131</v>
      </c>
      <c r="AF3" s="8" t="s">
        <v>132</v>
      </c>
      <c r="AG3" s="8" t="s">
        <v>66</v>
      </c>
      <c r="AH3" s="8" t="s">
        <v>67</v>
      </c>
      <c r="AI3" s="8" t="s">
        <v>68</v>
      </c>
      <c r="AJ3" s="8" t="s">
        <v>69</v>
      </c>
      <c r="AK3" s="9" t="s">
        <v>70</v>
      </c>
      <c r="AL3" s="8" t="s">
        <v>71</v>
      </c>
      <c r="AM3" s="8" t="s">
        <v>72</v>
      </c>
      <c r="AN3" s="8" t="s">
        <v>73</v>
      </c>
      <c r="AO3" s="8" t="s">
        <v>74</v>
      </c>
      <c r="AP3" s="8" t="s">
        <v>75</v>
      </c>
      <c r="AQ3" s="8" t="s">
        <v>76</v>
      </c>
      <c r="AR3" s="8" t="s">
        <v>77</v>
      </c>
      <c r="AS3" s="8" t="s">
        <v>78</v>
      </c>
      <c r="AT3" s="8" t="s">
        <v>79</v>
      </c>
    </row>
    <row r="4" spans="1:73" s="14" customFormat="1" x14ac:dyDescent="0.25">
      <c r="A4" s="3" t="s">
        <v>1</v>
      </c>
      <c r="B4" s="2">
        <v>118</v>
      </c>
      <c r="C4" s="3" t="s">
        <v>21</v>
      </c>
      <c r="D4" s="14">
        <v>605</v>
      </c>
      <c r="E4" s="14">
        <v>730</v>
      </c>
      <c r="F4" s="14">
        <v>735</v>
      </c>
      <c r="G4" s="14">
        <v>1109</v>
      </c>
      <c r="H4" s="14">
        <v>605</v>
      </c>
      <c r="I4" s="14">
        <v>724</v>
      </c>
      <c r="J4" s="14">
        <v>831</v>
      </c>
      <c r="K4" s="14">
        <v>1253</v>
      </c>
      <c r="L4" s="14">
        <v>696</v>
      </c>
      <c r="M4" s="14">
        <v>798</v>
      </c>
      <c r="N4" s="14">
        <v>887</v>
      </c>
      <c r="O4" s="14">
        <v>1404</v>
      </c>
      <c r="P4" s="14">
        <v>733.7</v>
      </c>
      <c r="Q4" s="53">
        <v>856.4</v>
      </c>
      <c r="R4" s="14">
        <v>902</v>
      </c>
      <c r="S4" s="14">
        <v>1452</v>
      </c>
      <c r="T4" s="14">
        <v>800.45699999999999</v>
      </c>
      <c r="U4" s="14">
        <v>914.79399999999998</v>
      </c>
      <c r="Z4" s="14">
        <v>1188.433</v>
      </c>
      <c r="AA4" s="14">
        <v>1293.932</v>
      </c>
      <c r="AB4" s="14">
        <v>1381.675</v>
      </c>
      <c r="AC4" s="14">
        <v>1466.729</v>
      </c>
      <c r="AD4" s="14">
        <v>2342.1799999999998</v>
      </c>
      <c r="AE4" s="14">
        <v>2994.6579999999999</v>
      </c>
      <c r="AF4" s="14">
        <v>3097.096</v>
      </c>
      <c r="AG4" s="14">
        <v>3179</v>
      </c>
      <c r="AH4" s="14">
        <v>3413</v>
      </c>
      <c r="AI4" s="14">
        <v>3785</v>
      </c>
      <c r="AJ4" s="14">
        <v>3944</v>
      </c>
      <c r="AK4" s="15">
        <f>AJ4*1.075</f>
        <v>4239.8</v>
      </c>
      <c r="AL4" s="14">
        <f t="shared" ref="AL4:AT4" si="0">AK4*1.065</f>
        <v>4515.3869999999997</v>
      </c>
      <c r="AM4" s="14">
        <f t="shared" si="0"/>
        <v>4808.8871549999994</v>
      </c>
      <c r="AN4" s="14">
        <f t="shared" si="0"/>
        <v>5121.4648200749989</v>
      </c>
      <c r="AO4" s="14">
        <f t="shared" si="0"/>
        <v>5454.3600333798731</v>
      </c>
      <c r="AP4" s="14">
        <f t="shared" si="0"/>
        <v>5808.8934355495649</v>
      </c>
      <c r="AQ4" s="14">
        <f t="shared" si="0"/>
        <v>6186.4715088602861</v>
      </c>
      <c r="AR4" s="14">
        <f t="shared" si="0"/>
        <v>6588.5921569362044</v>
      </c>
      <c r="AS4" s="14">
        <f t="shared" si="0"/>
        <v>7016.8506471370574</v>
      </c>
      <c r="AT4" s="14">
        <f t="shared" si="0"/>
        <v>7472.9459392009658</v>
      </c>
    </row>
    <row r="5" spans="1:73" s="53" customFormat="1" x14ac:dyDescent="0.25">
      <c r="A5" s="53" t="s">
        <v>2</v>
      </c>
      <c r="B5" s="6">
        <v>40.645161999999999</v>
      </c>
      <c r="C5" s="53" t="s">
        <v>81</v>
      </c>
      <c r="D5" s="53">
        <v>0.69899999999999995</v>
      </c>
      <c r="E5" s="53">
        <v>1.7949999999999999</v>
      </c>
      <c r="F5" s="53">
        <v>1.532</v>
      </c>
      <c r="G5" s="53">
        <v>1.2010000000000001</v>
      </c>
      <c r="H5" s="53">
        <v>0.623</v>
      </c>
      <c r="I5" s="53">
        <v>0.95199999999999996</v>
      </c>
      <c r="J5" s="53">
        <v>1.0069999999999999</v>
      </c>
      <c r="K5" s="53">
        <v>1.661</v>
      </c>
      <c r="L5" s="53">
        <v>0.84399999999999997</v>
      </c>
      <c r="M5" s="53">
        <v>1.333</v>
      </c>
      <c r="N5" s="53">
        <v>1.304</v>
      </c>
      <c r="O5" s="53">
        <v>1.357</v>
      </c>
      <c r="P5" s="53">
        <v>0</v>
      </c>
      <c r="Q5" s="53">
        <v>1.3</v>
      </c>
      <c r="R5" s="53">
        <v>1</v>
      </c>
      <c r="S5" s="53">
        <v>2</v>
      </c>
      <c r="T5" s="53">
        <v>1.355</v>
      </c>
      <c r="U5" s="14">
        <v>4.1929999999999996</v>
      </c>
      <c r="V5" s="14"/>
      <c r="W5" s="14"/>
      <c r="X5" s="14"/>
      <c r="Y5" s="14"/>
      <c r="Z5" s="53">
        <v>1.3</v>
      </c>
      <c r="AA5" s="53">
        <v>1.6</v>
      </c>
      <c r="AB5" s="53">
        <v>0.66700000000000004</v>
      </c>
      <c r="AC5" s="53">
        <v>0.33600000000000002</v>
      </c>
      <c r="AD5" s="53">
        <v>2</v>
      </c>
      <c r="AE5" s="53">
        <v>1.6</v>
      </c>
      <c r="AF5" s="53">
        <v>10</v>
      </c>
      <c r="AG5" s="53">
        <v>5</v>
      </c>
      <c r="AH5" s="53">
        <v>4</v>
      </c>
      <c r="AI5" s="53">
        <v>5</v>
      </c>
      <c r="AJ5" s="53">
        <v>4</v>
      </c>
      <c r="AK5" s="64">
        <f>AJ5*1.065</f>
        <v>4.26</v>
      </c>
      <c r="AL5" s="53">
        <f t="shared" ref="AL5:AT5" si="1">AK5*1.065</f>
        <v>4.5368999999999993</v>
      </c>
      <c r="AM5" s="53">
        <f t="shared" si="1"/>
        <v>4.8317984999999988</v>
      </c>
      <c r="AN5" s="53">
        <f t="shared" si="1"/>
        <v>5.1458654024999984</v>
      </c>
      <c r="AO5" s="53">
        <f t="shared" si="1"/>
        <v>5.4803466536624983</v>
      </c>
      <c r="AP5" s="53">
        <f t="shared" si="1"/>
        <v>5.8365691861505606</v>
      </c>
      <c r="AQ5" s="53">
        <f t="shared" si="1"/>
        <v>6.2159461832503471</v>
      </c>
      <c r="AR5" s="53">
        <f t="shared" si="1"/>
        <v>6.6199826851616193</v>
      </c>
      <c r="AS5" s="53">
        <f t="shared" si="1"/>
        <v>7.0502815596971242</v>
      </c>
      <c r="AT5" s="53">
        <f t="shared" si="1"/>
        <v>7.5085498610774373</v>
      </c>
      <c r="AU5" s="65"/>
      <c r="AV5" s="65"/>
      <c r="AW5" s="65"/>
      <c r="AX5" s="65"/>
      <c r="AY5" s="65"/>
      <c r="AZ5" s="65"/>
      <c r="BA5" s="65"/>
      <c r="BB5" s="65"/>
      <c r="BC5" s="65"/>
      <c r="BD5" s="65"/>
      <c r="BE5" s="65"/>
      <c r="BF5" s="65"/>
      <c r="BG5" s="65"/>
      <c r="BH5" s="65"/>
      <c r="BI5" s="65"/>
      <c r="BJ5" s="65"/>
      <c r="BK5" s="65"/>
      <c r="BL5" s="65"/>
      <c r="BM5" s="65"/>
      <c r="BN5" s="65"/>
      <c r="BO5" s="65"/>
      <c r="BP5" s="65"/>
      <c r="BQ5" s="65"/>
      <c r="BR5" s="65"/>
      <c r="BS5" s="65"/>
      <c r="BT5" s="65"/>
      <c r="BU5" s="65"/>
    </row>
    <row r="6" spans="1:73" x14ac:dyDescent="0.25">
      <c r="A6" s="3" t="s">
        <v>3</v>
      </c>
      <c r="B6" s="7">
        <f>B4*B5</f>
        <v>4796.1291160000001</v>
      </c>
      <c r="C6" s="1" t="s">
        <v>22</v>
      </c>
      <c r="D6" s="18">
        <f t="shared" ref="D6:N6" si="2">SUM(D4:D5)</f>
        <v>605.69899999999996</v>
      </c>
      <c r="E6" s="18">
        <f t="shared" si="2"/>
        <v>731.79499999999996</v>
      </c>
      <c r="F6" s="18">
        <f t="shared" si="2"/>
        <v>736.53200000000004</v>
      </c>
      <c r="G6" s="18">
        <f t="shared" si="2"/>
        <v>1110.201</v>
      </c>
      <c r="H6" s="18">
        <f t="shared" si="2"/>
        <v>605.62300000000005</v>
      </c>
      <c r="I6" s="18">
        <f t="shared" si="2"/>
        <v>724.952</v>
      </c>
      <c r="J6" s="18">
        <f t="shared" si="2"/>
        <v>832.00699999999995</v>
      </c>
      <c r="K6" s="18">
        <f t="shared" si="2"/>
        <v>1254.6610000000001</v>
      </c>
      <c r="L6" s="18">
        <f t="shared" si="2"/>
        <v>696.84400000000005</v>
      </c>
      <c r="M6" s="18">
        <f t="shared" si="2"/>
        <v>799.33299999999997</v>
      </c>
      <c r="N6" s="18">
        <f t="shared" si="2"/>
        <v>888.30399999999997</v>
      </c>
      <c r="O6" s="18">
        <f>SUM(O4:O5)</f>
        <v>1405.357</v>
      </c>
      <c r="P6" s="18">
        <f>SUM(P4:P5)</f>
        <v>733.7</v>
      </c>
      <c r="Q6" s="18">
        <f>SUM(Q4:Q5)</f>
        <v>857.69999999999993</v>
      </c>
      <c r="R6" s="18">
        <f t="shared" ref="R6:S6" si="3">SUM(R4:R5)</f>
        <v>903</v>
      </c>
      <c r="S6" s="18">
        <f t="shared" si="3"/>
        <v>1454</v>
      </c>
      <c r="T6" s="18">
        <f t="shared" ref="T6:U6" si="4">SUM(T4:T5)</f>
        <v>801.81200000000001</v>
      </c>
      <c r="U6" s="18">
        <f t="shared" si="4"/>
        <v>918.98699999999997</v>
      </c>
      <c r="V6" s="18"/>
      <c r="W6" s="18"/>
      <c r="X6" s="18"/>
      <c r="Y6" s="18"/>
      <c r="Z6" s="18">
        <f t="shared" ref="Z6:AF6" si="5">SUM(Z4:Z5)</f>
        <v>1189.7329999999999</v>
      </c>
      <c r="AA6" s="18">
        <f t="shared" si="5"/>
        <v>1295.5319999999999</v>
      </c>
      <c r="AB6" s="18">
        <f t="shared" si="5"/>
        <v>1382.3419999999999</v>
      </c>
      <c r="AC6" s="18">
        <f t="shared" si="5"/>
        <v>1467.0650000000001</v>
      </c>
      <c r="AD6" s="18">
        <f t="shared" si="5"/>
        <v>2344.1799999999998</v>
      </c>
      <c r="AE6" s="18">
        <f t="shared" si="5"/>
        <v>2996.2579999999998</v>
      </c>
      <c r="AF6" s="18">
        <f t="shared" si="5"/>
        <v>3107.096</v>
      </c>
      <c r="AG6" s="18">
        <f>SUM(AG4:AG5)</f>
        <v>3184</v>
      </c>
      <c r="AH6" s="18">
        <f t="shared" ref="AH6" si="6">SUM(AH4:AH5)</f>
        <v>3417</v>
      </c>
      <c r="AI6" s="18">
        <f>SUM(AI4:AI5)</f>
        <v>3790</v>
      </c>
      <c r="AJ6" s="18">
        <f>SUM(AJ4:AJ5)</f>
        <v>3948</v>
      </c>
      <c r="AK6" s="16">
        <f t="shared" ref="AK6:AT6" si="7">SUM(AK4:AK5)</f>
        <v>4244.0600000000004</v>
      </c>
      <c r="AL6" s="18">
        <f t="shared" si="7"/>
        <v>4519.9238999999998</v>
      </c>
      <c r="AM6" s="18">
        <f t="shared" si="7"/>
        <v>4813.7189534999998</v>
      </c>
      <c r="AN6" s="18">
        <f t="shared" si="7"/>
        <v>5126.6106854774989</v>
      </c>
      <c r="AO6" s="18">
        <f t="shared" si="7"/>
        <v>5459.8403800335354</v>
      </c>
      <c r="AP6" s="18">
        <f t="shared" si="7"/>
        <v>5814.7300047357157</v>
      </c>
      <c r="AQ6" s="18">
        <f t="shared" si="7"/>
        <v>6192.6874550435368</v>
      </c>
      <c r="AR6" s="18">
        <f t="shared" si="7"/>
        <v>6595.2121396213661</v>
      </c>
      <c r="AS6" s="18">
        <f t="shared" si="7"/>
        <v>7023.9009286967548</v>
      </c>
      <c r="AT6" s="18">
        <f t="shared" si="7"/>
        <v>7480.4544890620436</v>
      </c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</row>
    <row r="7" spans="1:73" s="14" customFormat="1" x14ac:dyDescent="0.25">
      <c r="A7" s="3" t="s">
        <v>4</v>
      </c>
      <c r="B7" s="15">
        <v>0</v>
      </c>
      <c r="C7" s="3" t="s">
        <v>23</v>
      </c>
      <c r="D7" s="14">
        <v>-234.501</v>
      </c>
      <c r="E7" s="14">
        <v>-292.08199999999999</v>
      </c>
      <c r="F7" s="14">
        <v>-326.89800000000002</v>
      </c>
      <c r="G7" s="14">
        <v>-478.13200000000001</v>
      </c>
      <c r="H7" s="14">
        <v>-266.19799999999998</v>
      </c>
      <c r="I7" s="14">
        <v>-273.82799999999997</v>
      </c>
      <c r="J7" s="14">
        <v>-315.14800000000002</v>
      </c>
      <c r="K7" s="14">
        <v>-459.10599999999999</v>
      </c>
      <c r="L7" s="14">
        <v>-268.238</v>
      </c>
      <c r="M7" s="14">
        <v>-293.37099999999998</v>
      </c>
      <c r="N7" s="14">
        <v>-336.30799999999999</v>
      </c>
      <c r="O7" s="14">
        <v>-545.30700000000002</v>
      </c>
      <c r="P7" s="14">
        <v>-289.38299999999998</v>
      </c>
      <c r="Q7" s="14">
        <v>-322.53800000000001</v>
      </c>
      <c r="R7" s="14">
        <v>-344.77699999999999</v>
      </c>
      <c r="S7" s="14">
        <v>-563.58600000000001</v>
      </c>
      <c r="T7" s="14">
        <v>-310.899</v>
      </c>
      <c r="U7" s="14">
        <v>-336.62599999999998</v>
      </c>
      <c r="Z7" s="14">
        <v>-492</v>
      </c>
      <c r="AA7" s="14">
        <v>-515.29899999999998</v>
      </c>
      <c r="AB7" s="14">
        <v>-547.62699999999995</v>
      </c>
      <c r="AC7" s="14">
        <v>-573.23</v>
      </c>
      <c r="AD7" s="14">
        <f>-1019.79+94.124</f>
        <v>-925.66599999999994</v>
      </c>
      <c r="AE7" s="14">
        <f>-1128.69+15.677</f>
        <v>-1113.0130000000001</v>
      </c>
      <c r="AF7" s="14">
        <v>-1159.5060000000001</v>
      </c>
      <c r="AG7" s="14">
        <v>-1332</v>
      </c>
      <c r="AH7" s="14">
        <v>-1314</v>
      </c>
      <c r="AI7" s="14">
        <v>-1443</v>
      </c>
      <c r="AJ7" s="14">
        <v>-1520</v>
      </c>
      <c r="AK7" s="15">
        <f>AK6*-0.38</f>
        <v>-1612.7428000000002</v>
      </c>
      <c r="AL7" s="14">
        <f t="shared" ref="AL7:AT7" si="8">AL6*-0.38</f>
        <v>-1717.5710819999999</v>
      </c>
      <c r="AM7" s="14">
        <f t="shared" si="8"/>
        <v>-1829.2132023299998</v>
      </c>
      <c r="AN7" s="14">
        <f t="shared" si="8"/>
        <v>-1948.1120604814496</v>
      </c>
      <c r="AO7" s="14">
        <f t="shared" si="8"/>
        <v>-2074.7393444127433</v>
      </c>
      <c r="AP7" s="14">
        <f t="shared" si="8"/>
        <v>-2209.5974017995718</v>
      </c>
      <c r="AQ7" s="14">
        <f t="shared" si="8"/>
        <v>-2353.2212329165441</v>
      </c>
      <c r="AR7" s="14">
        <f t="shared" si="8"/>
        <v>-2506.180613056119</v>
      </c>
      <c r="AS7" s="14">
        <f t="shared" si="8"/>
        <v>-2669.082352904767</v>
      </c>
      <c r="AT7" s="14">
        <f t="shared" si="8"/>
        <v>-2842.5727058435768</v>
      </c>
    </row>
    <row r="8" spans="1:73" s="14" customFormat="1" x14ac:dyDescent="0.25">
      <c r="A8" s="3" t="s">
        <v>5</v>
      </c>
      <c r="B8" s="7">
        <f>U56+U58</f>
        <v>1081.2089999999998</v>
      </c>
      <c r="C8" s="3" t="s">
        <v>96</v>
      </c>
      <c r="D8" s="14">
        <f t="shared" ref="D8:R8" si="9">SUM(D6:D7)</f>
        <v>371.19799999999998</v>
      </c>
      <c r="E8" s="14">
        <f t="shared" si="9"/>
        <v>439.71299999999997</v>
      </c>
      <c r="F8" s="14">
        <f t="shared" si="9"/>
        <v>409.63400000000001</v>
      </c>
      <c r="G8" s="14">
        <f t="shared" si="9"/>
        <v>632.06899999999996</v>
      </c>
      <c r="H8" s="14">
        <f t="shared" si="9"/>
        <v>339.42500000000007</v>
      </c>
      <c r="I8" s="14">
        <f t="shared" si="9"/>
        <v>451.12400000000002</v>
      </c>
      <c r="J8" s="14">
        <f t="shared" si="9"/>
        <v>516.85899999999992</v>
      </c>
      <c r="K8" s="14">
        <f t="shared" si="9"/>
        <v>795.55500000000006</v>
      </c>
      <c r="L8" s="14">
        <f t="shared" si="9"/>
        <v>428.60600000000005</v>
      </c>
      <c r="M8" s="14">
        <f t="shared" si="9"/>
        <v>505.96199999999999</v>
      </c>
      <c r="N8" s="14">
        <f t="shared" si="9"/>
        <v>551.99599999999998</v>
      </c>
      <c r="O8" s="14">
        <f t="shared" si="9"/>
        <v>860.05</v>
      </c>
      <c r="P8" s="14">
        <f t="shared" si="9"/>
        <v>444.31700000000006</v>
      </c>
      <c r="Q8" s="14">
        <f t="shared" si="9"/>
        <v>535.16199999999992</v>
      </c>
      <c r="R8" s="14">
        <f t="shared" si="9"/>
        <v>558.22299999999996</v>
      </c>
      <c r="S8" s="14">
        <f>SUM(S6:S7)</f>
        <v>890.41399999999999</v>
      </c>
      <c r="T8" s="14">
        <f>SUM(T6:T7)</f>
        <v>490.91300000000001</v>
      </c>
      <c r="U8" s="14">
        <f>SUM(U6:U7)</f>
        <v>582.36099999999999</v>
      </c>
      <c r="Z8" s="14">
        <f>SUM(Z6:Z7)</f>
        <v>697.73299999999995</v>
      </c>
      <c r="AA8" s="14">
        <f t="shared" ref="AA8:AT8" si="10">SUM(AA6:AA7)</f>
        <v>780.23299999999995</v>
      </c>
      <c r="AB8" s="14">
        <f t="shared" si="10"/>
        <v>834.71499999999992</v>
      </c>
      <c r="AC8" s="14">
        <f t="shared" si="10"/>
        <v>893.83500000000004</v>
      </c>
      <c r="AD8" s="14">
        <f t="shared" si="10"/>
        <v>1418.5139999999999</v>
      </c>
      <c r="AE8" s="14">
        <f t="shared" si="10"/>
        <v>1883.2449999999997</v>
      </c>
      <c r="AF8" s="14">
        <f t="shared" si="10"/>
        <v>1947.59</v>
      </c>
      <c r="AG8" s="14">
        <f t="shared" si="10"/>
        <v>1852</v>
      </c>
      <c r="AH8" s="14">
        <f t="shared" si="10"/>
        <v>2103</v>
      </c>
      <c r="AI8" s="14">
        <f t="shared" si="10"/>
        <v>2347</v>
      </c>
      <c r="AJ8" s="14">
        <f t="shared" si="10"/>
        <v>2428</v>
      </c>
      <c r="AK8" s="15">
        <f t="shared" si="10"/>
        <v>2631.3172000000004</v>
      </c>
      <c r="AL8" s="14">
        <f t="shared" si="10"/>
        <v>2802.3528179999998</v>
      </c>
      <c r="AM8" s="14">
        <f t="shared" si="10"/>
        <v>2984.5057511699997</v>
      </c>
      <c r="AN8" s="14">
        <f t="shared" si="10"/>
        <v>3178.4986249960493</v>
      </c>
      <c r="AO8" s="14">
        <f t="shared" si="10"/>
        <v>3385.1010356207921</v>
      </c>
      <c r="AP8" s="14">
        <f t="shared" si="10"/>
        <v>3605.1326029361439</v>
      </c>
      <c r="AQ8" s="14">
        <f t="shared" si="10"/>
        <v>3839.4662221269928</v>
      </c>
      <c r="AR8" s="14">
        <f t="shared" si="10"/>
        <v>4089.0315265652471</v>
      </c>
      <c r="AS8" s="14">
        <f t="shared" si="10"/>
        <v>4354.8185757919873</v>
      </c>
      <c r="AT8" s="14">
        <f t="shared" si="10"/>
        <v>4637.8817832184668</v>
      </c>
    </row>
    <row r="9" spans="1:73" x14ac:dyDescent="0.25">
      <c r="A9" s="4" t="s">
        <v>6</v>
      </c>
      <c r="B9" s="36">
        <f>B6-B7+B8</f>
        <v>5877.3381159999999</v>
      </c>
      <c r="C9" s="3" t="s">
        <v>24</v>
      </c>
      <c r="D9" s="14">
        <v>-153.13399999999999</v>
      </c>
      <c r="E9" s="14">
        <v>-155.88800000000001</v>
      </c>
      <c r="F9" s="14">
        <v>-144.47999999999999</v>
      </c>
      <c r="G9" s="14">
        <v>-176.39</v>
      </c>
      <c r="H9" s="14">
        <v>-160.85499999999999</v>
      </c>
      <c r="I9" s="14">
        <v>-162.33099999999999</v>
      </c>
      <c r="J9" s="14">
        <v>-161.495</v>
      </c>
      <c r="K9" s="14">
        <v>-220.04</v>
      </c>
      <c r="L9" s="14">
        <v>-178.47</v>
      </c>
      <c r="M9" s="14">
        <v>-179.554</v>
      </c>
      <c r="N9" s="14">
        <v>-188.32900000000001</v>
      </c>
      <c r="O9" s="14">
        <v>-236.15799999999999</v>
      </c>
      <c r="P9" s="14">
        <v>-191.529</v>
      </c>
      <c r="Q9" s="53">
        <v>-198.69800000000001</v>
      </c>
      <c r="R9" s="14">
        <v>-183.22300000000001</v>
      </c>
      <c r="S9" s="14">
        <v>-218.33600000000001</v>
      </c>
      <c r="T9" s="14">
        <v>-201.37100000000001</v>
      </c>
      <c r="U9" s="14">
        <v>-200.048</v>
      </c>
      <c r="V9" s="14"/>
      <c r="W9" s="14"/>
      <c r="X9" s="14"/>
      <c r="Y9" s="14"/>
      <c r="Z9" s="14">
        <v>-271.34199999999998</v>
      </c>
      <c r="AA9" s="14">
        <v>-289.54700000000003</v>
      </c>
      <c r="AB9" s="14">
        <v>-306.471</v>
      </c>
      <c r="AC9" s="14">
        <v>-310.89800000000002</v>
      </c>
      <c r="AD9" s="14">
        <v>-503.49400000000003</v>
      </c>
      <c r="AE9" s="14">
        <v>-607.11900000000003</v>
      </c>
      <c r="AF9" s="14">
        <v>-617.29999999999995</v>
      </c>
      <c r="AG9" s="14">
        <v>-630</v>
      </c>
      <c r="AH9" s="14">
        <v>-705</v>
      </c>
      <c r="AI9" s="14">
        <v>-783</v>
      </c>
      <c r="AJ9" s="14">
        <v>-792</v>
      </c>
      <c r="AK9" s="15">
        <f>AJ9*1.03</f>
        <v>-815.76</v>
      </c>
      <c r="AL9" s="14">
        <f>AK9*1.055</f>
        <v>-860.62679999999989</v>
      </c>
      <c r="AM9" s="14">
        <f t="shared" ref="AM9:AT9" si="11">AL9*1.055</f>
        <v>-907.96127399999978</v>
      </c>
      <c r="AN9" s="14">
        <f t="shared" si="11"/>
        <v>-957.89914406999969</v>
      </c>
      <c r="AO9" s="14">
        <f t="shared" si="11"/>
        <v>-1010.5835969938496</v>
      </c>
      <c r="AP9" s="14">
        <f t="shared" si="11"/>
        <v>-1066.1656948285113</v>
      </c>
      <c r="AQ9" s="14">
        <f t="shared" si="11"/>
        <v>-1124.8048080440794</v>
      </c>
      <c r="AR9" s="14">
        <f t="shared" si="11"/>
        <v>-1186.6690724865036</v>
      </c>
      <c r="AS9" s="14">
        <f t="shared" si="11"/>
        <v>-1251.9358714732612</v>
      </c>
      <c r="AT9" s="14">
        <f t="shared" si="11"/>
        <v>-1320.7923444042904</v>
      </c>
    </row>
    <row r="10" spans="1:73" x14ac:dyDescent="0.25">
      <c r="C10" s="3" t="s">
        <v>25</v>
      </c>
      <c r="D10" s="14">
        <v>-86.667000000000002</v>
      </c>
      <c r="E10" s="14">
        <v>-87.798000000000002</v>
      </c>
      <c r="F10" s="14">
        <v>-86.421999999999997</v>
      </c>
      <c r="G10" s="14">
        <v>-87.408000000000001</v>
      </c>
      <c r="H10" s="14">
        <v>-95.817999999999998</v>
      </c>
      <c r="I10" s="14">
        <v>-100.833</v>
      </c>
      <c r="J10" s="14">
        <v>-101.774</v>
      </c>
      <c r="K10" s="14">
        <v>-105.711</v>
      </c>
      <c r="L10" s="14">
        <v>-114.974</v>
      </c>
      <c r="M10" s="14">
        <v>-118.16</v>
      </c>
      <c r="N10" s="14">
        <v>-118.19499999999999</v>
      </c>
      <c r="O10" s="14">
        <v>-120.334</v>
      </c>
      <c r="P10" s="14">
        <v>-131.66300000000001</v>
      </c>
      <c r="Q10" s="53">
        <v>-155.571</v>
      </c>
      <c r="R10" s="14">
        <v>-131.929</v>
      </c>
      <c r="S10" s="14">
        <v>-136.09200000000001</v>
      </c>
      <c r="T10" s="14">
        <v>-143.62100000000001</v>
      </c>
      <c r="U10" s="14">
        <v>-139.386</v>
      </c>
      <c r="V10" s="14"/>
      <c r="W10" s="14"/>
      <c r="X10" s="14"/>
      <c r="Y10" s="14"/>
      <c r="Z10" s="14">
        <v>-24.446999999999999</v>
      </c>
      <c r="AA10" s="14">
        <v>-28.952999999999999</v>
      </c>
      <c r="AB10" s="14">
        <v>-34.838999999999999</v>
      </c>
      <c r="AC10" s="14">
        <v>-37</v>
      </c>
      <c r="AD10" s="14">
        <v>-264.97399999999999</v>
      </c>
      <c r="AE10" s="14">
        <v>-340.84</v>
      </c>
      <c r="AF10" s="14">
        <v>-336.37599999999998</v>
      </c>
      <c r="AG10" s="14">
        <v>-348</v>
      </c>
      <c r="AH10" s="14">
        <v>-404</v>
      </c>
      <c r="AI10" s="14">
        <v>-472</v>
      </c>
      <c r="AJ10" s="14">
        <v>-555</v>
      </c>
      <c r="AK10" s="15">
        <f t="shared" ref="AK10:AK11" si="12">AJ10*1.03</f>
        <v>-571.65</v>
      </c>
      <c r="AL10" s="14">
        <f t="shared" ref="AL10:AT11" si="13">AK10*1.055</f>
        <v>-603.09074999999996</v>
      </c>
      <c r="AM10" s="14">
        <f t="shared" si="13"/>
        <v>-636.26074124999991</v>
      </c>
      <c r="AN10" s="14">
        <f t="shared" si="13"/>
        <v>-671.25508201874982</v>
      </c>
      <c r="AO10" s="14">
        <f t="shared" si="13"/>
        <v>-708.17411152978104</v>
      </c>
      <c r="AP10" s="14">
        <f t="shared" si="13"/>
        <v>-747.12368766391899</v>
      </c>
      <c r="AQ10" s="14">
        <f t="shared" si="13"/>
        <v>-788.21549048543443</v>
      </c>
      <c r="AR10" s="14">
        <f t="shared" si="13"/>
        <v>-831.5673424621333</v>
      </c>
      <c r="AS10" s="14">
        <f t="shared" si="13"/>
        <v>-877.30354629755061</v>
      </c>
      <c r="AT10" s="14">
        <f t="shared" si="13"/>
        <v>-925.5552413439159</v>
      </c>
    </row>
    <row r="11" spans="1:73" x14ac:dyDescent="0.25">
      <c r="C11" s="3" t="s">
        <v>26</v>
      </c>
      <c r="D11" s="14">
        <v>-107.256</v>
      </c>
      <c r="E11" s="14">
        <v>-116.28100000000001</v>
      </c>
      <c r="F11" s="14">
        <v>-122.143</v>
      </c>
      <c r="G11" s="14">
        <v>-158.51900000000001</v>
      </c>
      <c r="H11" s="14">
        <v>-122.32899999999999</v>
      </c>
      <c r="I11" s="14">
        <v>-122.31100000000001</v>
      </c>
      <c r="J11" s="14">
        <v>-113.923</v>
      </c>
      <c r="K11" s="14">
        <v>-155.80799999999999</v>
      </c>
      <c r="L11" s="14">
        <v>-126.113</v>
      </c>
      <c r="M11" s="14">
        <v>-124.739</v>
      </c>
      <c r="N11" s="14">
        <v>-127.19499999999999</v>
      </c>
      <c r="O11" s="14">
        <v>-159.03700000000001</v>
      </c>
      <c r="P11" s="14">
        <v>-138.291</v>
      </c>
      <c r="Q11" s="53">
        <v>-147.35300000000001</v>
      </c>
      <c r="R11" s="14">
        <v>-170.26499999999999</v>
      </c>
      <c r="S11" s="14">
        <v>-232.721</v>
      </c>
      <c r="T11" s="14">
        <v>-156.86000000000001</v>
      </c>
      <c r="U11" s="14">
        <v>-164.56200000000001</v>
      </c>
      <c r="V11" s="14"/>
      <c r="W11" s="14"/>
      <c r="X11" s="14"/>
      <c r="Y11" s="14"/>
      <c r="Z11" s="14">
        <v>-282.69</v>
      </c>
      <c r="AA11" s="14">
        <v>-289.62700000000001</v>
      </c>
      <c r="AB11" s="14">
        <v>-313.71600000000001</v>
      </c>
      <c r="AC11" s="14">
        <v>-332.73</v>
      </c>
      <c r="AD11" s="14">
        <v>-348.15300000000002</v>
      </c>
      <c r="AE11" s="14">
        <v>-452.65</v>
      </c>
      <c r="AF11" s="14">
        <v>-452.73</v>
      </c>
      <c r="AG11" s="14">
        <v>-504</v>
      </c>
      <c r="AH11" s="14">
        <v>-514</v>
      </c>
      <c r="AI11" s="14">
        <v>-537</v>
      </c>
      <c r="AJ11" s="14">
        <v>-689</v>
      </c>
      <c r="AK11" s="15">
        <f t="shared" si="12"/>
        <v>-709.67000000000007</v>
      </c>
      <c r="AL11" s="14">
        <f t="shared" si="13"/>
        <v>-748.70185000000004</v>
      </c>
      <c r="AM11" s="14">
        <f t="shared" si="13"/>
        <v>-789.88045175000002</v>
      </c>
      <c r="AN11" s="14">
        <f t="shared" si="13"/>
        <v>-833.32387659624999</v>
      </c>
      <c r="AO11" s="14">
        <f t="shared" si="13"/>
        <v>-879.15668980904366</v>
      </c>
      <c r="AP11" s="14">
        <f t="shared" si="13"/>
        <v>-927.51030774854098</v>
      </c>
      <c r="AQ11" s="14">
        <f t="shared" si="13"/>
        <v>-978.52337467471068</v>
      </c>
      <c r="AR11" s="14">
        <f t="shared" si="13"/>
        <v>-1032.3421602818198</v>
      </c>
      <c r="AS11" s="14">
        <f t="shared" si="13"/>
        <v>-1089.1209790973198</v>
      </c>
      <c r="AT11" s="14">
        <f t="shared" si="13"/>
        <v>-1149.0226329476723</v>
      </c>
    </row>
    <row r="12" spans="1:73" x14ac:dyDescent="0.25">
      <c r="A12" s="3" t="s">
        <v>157</v>
      </c>
      <c r="B12" s="6">
        <f>B8/U30</f>
        <v>1.085878276589334</v>
      </c>
      <c r="C12" s="1" t="s">
        <v>27</v>
      </c>
      <c r="D12" s="18">
        <f t="shared" ref="D12:R12" si="14">SUM(D8:D11)</f>
        <v>24.140999999999991</v>
      </c>
      <c r="E12" s="18">
        <f t="shared" si="14"/>
        <v>79.745999999999924</v>
      </c>
      <c r="F12" s="18">
        <f t="shared" si="14"/>
        <v>56.588999999999999</v>
      </c>
      <c r="G12" s="18">
        <f t="shared" si="14"/>
        <v>209.75199999999995</v>
      </c>
      <c r="H12" s="18">
        <f t="shared" si="14"/>
        <v>-39.576999999999913</v>
      </c>
      <c r="I12" s="18">
        <f t="shared" si="14"/>
        <v>65.649000000000001</v>
      </c>
      <c r="J12" s="18">
        <f t="shared" si="14"/>
        <v>139.66699999999992</v>
      </c>
      <c r="K12" s="18">
        <f t="shared" si="14"/>
        <v>313.99600000000009</v>
      </c>
      <c r="L12" s="18">
        <f t="shared" si="14"/>
        <v>9.049000000000035</v>
      </c>
      <c r="M12" s="18">
        <f t="shared" si="14"/>
        <v>83.509000000000015</v>
      </c>
      <c r="N12" s="18">
        <f t="shared" si="14"/>
        <v>118.27699999999999</v>
      </c>
      <c r="O12" s="18">
        <f t="shared" si="14"/>
        <v>344.52099999999996</v>
      </c>
      <c r="P12" s="18">
        <f t="shared" si="14"/>
        <v>-17.16599999999994</v>
      </c>
      <c r="Q12" s="18">
        <f t="shared" si="14"/>
        <v>33.539999999999935</v>
      </c>
      <c r="R12" s="18">
        <f t="shared" si="14"/>
        <v>72.805999999999955</v>
      </c>
      <c r="S12" s="18">
        <f>SUM(S8:S11)</f>
        <v>303.26499999999999</v>
      </c>
      <c r="T12" s="18">
        <f>SUM(T8:T11)</f>
        <v>-10.938999999999993</v>
      </c>
      <c r="U12" s="18">
        <f>SUM(U8:U11)</f>
        <v>78.364999999999981</v>
      </c>
      <c r="V12" s="14"/>
      <c r="W12" s="14"/>
      <c r="X12" s="14"/>
      <c r="Y12" s="14"/>
      <c r="Z12" s="18">
        <f>SUM(Z8:Z11)</f>
        <v>119.25399999999996</v>
      </c>
      <c r="AA12" s="18">
        <f t="shared" ref="AA12:AT12" si="15">SUM(AA8:AA11)</f>
        <v>172.10599999999994</v>
      </c>
      <c r="AB12" s="18">
        <f t="shared" si="15"/>
        <v>179.68899999999991</v>
      </c>
      <c r="AC12" s="18">
        <f t="shared" si="15"/>
        <v>213.20699999999999</v>
      </c>
      <c r="AD12" s="18">
        <f t="shared" si="15"/>
        <v>301.8929999999998</v>
      </c>
      <c r="AE12" s="18">
        <f t="shared" si="15"/>
        <v>482.63599999999985</v>
      </c>
      <c r="AF12" s="18">
        <f t="shared" si="15"/>
        <v>541.18399999999997</v>
      </c>
      <c r="AG12" s="18">
        <f t="shared" si="15"/>
        <v>370</v>
      </c>
      <c r="AH12" s="18">
        <f t="shared" si="15"/>
        <v>480</v>
      </c>
      <c r="AI12" s="18">
        <f t="shared" si="15"/>
        <v>555</v>
      </c>
      <c r="AJ12" s="18">
        <f t="shared" si="15"/>
        <v>392</v>
      </c>
      <c r="AK12" s="16">
        <f t="shared" si="15"/>
        <v>534.23720000000048</v>
      </c>
      <c r="AL12" s="18">
        <f t="shared" si="15"/>
        <v>589.93341799999996</v>
      </c>
      <c r="AM12" s="18">
        <f t="shared" si="15"/>
        <v>650.40328417000001</v>
      </c>
      <c r="AN12" s="18">
        <f t="shared" si="15"/>
        <v>716.02052231104983</v>
      </c>
      <c r="AO12" s="18">
        <f t="shared" si="15"/>
        <v>787.18663728811816</v>
      </c>
      <c r="AP12" s="18">
        <f t="shared" si="15"/>
        <v>864.33291269517258</v>
      </c>
      <c r="AQ12" s="18">
        <f t="shared" si="15"/>
        <v>947.92254892276821</v>
      </c>
      <c r="AR12" s="18">
        <f t="shared" si="15"/>
        <v>1038.4529513347902</v>
      </c>
      <c r="AS12" s="18">
        <f t="shared" si="15"/>
        <v>1136.4581789238555</v>
      </c>
      <c r="AT12" s="18">
        <f t="shared" si="15"/>
        <v>1242.5115645225883</v>
      </c>
    </row>
    <row r="13" spans="1:73" x14ac:dyDescent="0.25">
      <c r="C13" s="3" t="s">
        <v>28</v>
      </c>
      <c r="D13" s="14">
        <v>-11.571</v>
      </c>
      <c r="E13" s="14">
        <v>-10.733000000000001</v>
      </c>
      <c r="F13" s="14">
        <v>-12.446</v>
      </c>
      <c r="G13" s="14">
        <v>-12.779</v>
      </c>
      <c r="H13" s="14">
        <v>-17.902999999999999</v>
      </c>
      <c r="I13" s="14">
        <v>-20.542000000000002</v>
      </c>
      <c r="J13" s="14">
        <v>-20.231000000000002</v>
      </c>
      <c r="K13" s="14">
        <v>-17.954000000000001</v>
      </c>
      <c r="L13" s="14">
        <v>-19.890999999999998</v>
      </c>
      <c r="M13" s="14">
        <v>-23.117999999999999</v>
      </c>
      <c r="N13" s="14">
        <v>-25.006</v>
      </c>
      <c r="O13" s="53">
        <v>-22.454000000000001</v>
      </c>
      <c r="P13" s="53">
        <v>-21.974</v>
      </c>
      <c r="Q13" s="53">
        <v>-40.656999999999996</v>
      </c>
      <c r="R13" s="14">
        <v>4.5</v>
      </c>
      <c r="S13" s="14">
        <v>-23.18</v>
      </c>
      <c r="T13" s="14">
        <v>-36</v>
      </c>
      <c r="U13" s="14">
        <v>-28.571999999999999</v>
      </c>
      <c r="V13" s="14"/>
      <c r="W13" s="14"/>
      <c r="X13" s="14"/>
      <c r="Y13" s="14"/>
      <c r="Z13" s="14">
        <v>-20.2</v>
      </c>
      <c r="AA13" s="14">
        <v>-12.6</v>
      </c>
      <c r="AB13" s="14">
        <v>-12.6</v>
      </c>
      <c r="AC13" s="14">
        <v>-12.7</v>
      </c>
      <c r="AD13" s="14">
        <v>-40.942999999999998</v>
      </c>
      <c r="AE13" s="14">
        <v>-28.434999999999999</v>
      </c>
      <c r="AF13" s="14">
        <v>-56</v>
      </c>
      <c r="AG13" s="14">
        <v>-48</v>
      </c>
      <c r="AH13" s="14">
        <v>-77</v>
      </c>
      <c r="AI13" s="14">
        <v>-90</v>
      </c>
      <c r="AJ13" s="14">
        <v>-81</v>
      </c>
      <c r="AK13" s="15">
        <f>AJ13*1.05</f>
        <v>-85.05</v>
      </c>
      <c r="AL13" s="14">
        <f t="shared" ref="AL13:AT13" si="16">AK13*1.05</f>
        <v>-89.302499999999995</v>
      </c>
      <c r="AM13" s="14">
        <f t="shared" si="16"/>
        <v>-93.767624999999995</v>
      </c>
      <c r="AN13" s="14">
        <f t="shared" si="16"/>
        <v>-98.456006250000002</v>
      </c>
      <c r="AO13" s="14">
        <f t="shared" si="16"/>
        <v>-103.3788065625</v>
      </c>
      <c r="AP13" s="14">
        <f t="shared" si="16"/>
        <v>-108.54774689062501</v>
      </c>
      <c r="AQ13" s="14">
        <f t="shared" si="16"/>
        <v>-113.97513423515626</v>
      </c>
      <c r="AR13" s="14">
        <f t="shared" si="16"/>
        <v>-119.67389094691409</v>
      </c>
      <c r="AS13" s="14">
        <f t="shared" si="16"/>
        <v>-125.65758549425979</v>
      </c>
      <c r="AT13" s="14">
        <f t="shared" si="16"/>
        <v>-131.94046476897279</v>
      </c>
      <c r="AU13" s="14"/>
      <c r="AV13" s="14"/>
    </row>
    <row r="14" spans="1:73" x14ac:dyDescent="0.25">
      <c r="A14" s="3" t="s">
        <v>174</v>
      </c>
      <c r="B14" s="6">
        <f>B6/U53</f>
        <v>3.555577469988576</v>
      </c>
      <c r="C14" s="3" t="s">
        <v>29</v>
      </c>
      <c r="D14" s="14">
        <v>-0.68799999999999994</v>
      </c>
      <c r="E14" s="14">
        <v>-1.1859999999999999</v>
      </c>
      <c r="F14" s="14">
        <v>-2.5299999999999998</v>
      </c>
      <c r="G14" s="14">
        <v>1.6180000000000001</v>
      </c>
      <c r="H14" s="14">
        <v>-0.35799999999999998</v>
      </c>
      <c r="I14" s="14">
        <v>0.10199999999999999</v>
      </c>
      <c r="J14" s="14">
        <v>-1.3320000000000001</v>
      </c>
      <c r="K14" s="14">
        <v>0.38800000000000001</v>
      </c>
      <c r="L14" s="14">
        <v>-0.59</v>
      </c>
      <c r="M14" s="14">
        <v>-0.91900000000000004</v>
      </c>
      <c r="N14" s="14">
        <v>-0.69499999999999995</v>
      </c>
      <c r="O14" s="53">
        <v>35.530999999999999</v>
      </c>
      <c r="P14" s="53">
        <v>0.38300000000000001</v>
      </c>
      <c r="Q14" s="3">
        <v>3.1</v>
      </c>
      <c r="R14" s="14">
        <v>-28.3</v>
      </c>
      <c r="S14" s="14">
        <v>0.27600000000000002</v>
      </c>
      <c r="T14" s="14">
        <v>-0.23100000000000001</v>
      </c>
      <c r="U14" s="14">
        <v>-1</v>
      </c>
      <c r="V14" s="14"/>
      <c r="W14" s="14"/>
      <c r="X14" s="14"/>
      <c r="Y14" s="14"/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-3</v>
      </c>
      <c r="AH14" s="14">
        <v>-1</v>
      </c>
      <c r="AI14" s="14">
        <v>33</v>
      </c>
      <c r="AJ14" s="14">
        <v>-25</v>
      </c>
      <c r="AK14" s="15">
        <v>-2.5</v>
      </c>
      <c r="AL14" s="14">
        <v>-2.5</v>
      </c>
      <c r="AM14" s="14">
        <v>-2.5</v>
      </c>
      <c r="AN14" s="14">
        <v>-2.5</v>
      </c>
      <c r="AO14" s="14">
        <v>-2.5</v>
      </c>
      <c r="AP14" s="14">
        <v>-2.5</v>
      </c>
      <c r="AQ14" s="14">
        <v>-2.5</v>
      </c>
      <c r="AR14" s="14">
        <v>-2.5</v>
      </c>
      <c r="AS14" s="14">
        <v>-2.5</v>
      </c>
      <c r="AT14" s="14">
        <v>-2.5</v>
      </c>
      <c r="AU14" s="14"/>
      <c r="AV14" s="14"/>
    </row>
    <row r="15" spans="1:73" x14ac:dyDescent="0.25">
      <c r="C15" s="3" t="s">
        <v>30</v>
      </c>
      <c r="D15" s="14">
        <f t="shared" ref="D15:O15" si="17">SUM(D12:D14)</f>
        <v>11.881999999999991</v>
      </c>
      <c r="E15" s="14">
        <f t="shared" si="17"/>
        <v>67.826999999999913</v>
      </c>
      <c r="F15" s="14">
        <f t="shared" si="17"/>
        <v>41.613</v>
      </c>
      <c r="G15" s="14">
        <f t="shared" si="17"/>
        <v>198.59099999999995</v>
      </c>
      <c r="H15" s="14">
        <f t="shared" si="17"/>
        <v>-57.837999999999909</v>
      </c>
      <c r="I15" s="14">
        <f t="shared" si="17"/>
        <v>45.208999999999996</v>
      </c>
      <c r="J15" s="14">
        <f t="shared" si="17"/>
        <v>118.10399999999993</v>
      </c>
      <c r="K15" s="14">
        <f t="shared" si="17"/>
        <v>296.43000000000006</v>
      </c>
      <c r="L15" s="14">
        <f t="shared" si="17"/>
        <v>-11.431999999999963</v>
      </c>
      <c r="M15" s="14">
        <f t="shared" si="17"/>
        <v>59.472000000000023</v>
      </c>
      <c r="N15" s="14">
        <f t="shared" si="17"/>
        <v>92.575999999999993</v>
      </c>
      <c r="O15" s="14">
        <f t="shared" si="17"/>
        <v>357.59799999999996</v>
      </c>
      <c r="P15" s="14">
        <f t="shared" ref="P15:S15" si="18">SUM(P12:P14)</f>
        <v>-38.756999999999941</v>
      </c>
      <c r="Q15" s="14">
        <f t="shared" si="18"/>
        <v>-4.0170000000000616</v>
      </c>
      <c r="R15" s="14">
        <f t="shared" si="18"/>
        <v>49.005999999999958</v>
      </c>
      <c r="S15" s="14">
        <f t="shared" si="18"/>
        <v>280.36099999999999</v>
      </c>
      <c r="T15" s="14">
        <f t="shared" ref="T15:U15" si="19">SUM(T12:T14)</f>
        <v>-47.169999999999995</v>
      </c>
      <c r="U15" s="14">
        <f t="shared" si="19"/>
        <v>48.792999999999978</v>
      </c>
      <c r="V15" s="14"/>
      <c r="W15" s="14"/>
      <c r="X15" s="14"/>
      <c r="Y15" s="14"/>
      <c r="Z15" s="14">
        <f t="shared" ref="Z15:AA15" si="20">SUM(Z12:Z14)</f>
        <v>99.053999999999959</v>
      </c>
      <c r="AA15" s="14">
        <f t="shared" si="20"/>
        <v>159.50599999999994</v>
      </c>
      <c r="AB15" s="14">
        <f t="shared" ref="AB15:AC15" si="21">SUM(AB12:AB14)</f>
        <v>167.08899999999991</v>
      </c>
      <c r="AC15" s="14">
        <f t="shared" si="21"/>
        <v>200.50700000000001</v>
      </c>
      <c r="AD15" s="14">
        <f t="shared" ref="AD15:AI15" si="22">SUM(AD12:AD14)</f>
        <v>260.94999999999982</v>
      </c>
      <c r="AE15" s="14">
        <f t="shared" si="22"/>
        <v>454.20099999999985</v>
      </c>
      <c r="AF15" s="14">
        <f t="shared" si="22"/>
        <v>485.18399999999997</v>
      </c>
      <c r="AG15" s="14">
        <f t="shared" si="22"/>
        <v>319</v>
      </c>
      <c r="AH15" s="14">
        <f t="shared" si="22"/>
        <v>402</v>
      </c>
      <c r="AI15" s="14">
        <f t="shared" si="22"/>
        <v>498</v>
      </c>
      <c r="AJ15" s="14">
        <f t="shared" ref="AJ15:AT15" si="23">SUM(AJ12:AJ14)</f>
        <v>286</v>
      </c>
      <c r="AK15" s="15">
        <f t="shared" si="23"/>
        <v>446.68720000000047</v>
      </c>
      <c r="AL15" s="14">
        <f t="shared" si="23"/>
        <v>498.13091799999995</v>
      </c>
      <c r="AM15" s="14">
        <f t="shared" si="23"/>
        <v>554.13565917000005</v>
      </c>
      <c r="AN15" s="14">
        <f t="shared" si="23"/>
        <v>615.06451606104986</v>
      </c>
      <c r="AO15" s="14">
        <f t="shared" si="23"/>
        <v>681.30783072561815</v>
      </c>
      <c r="AP15" s="14">
        <f t="shared" si="23"/>
        <v>753.28516580454755</v>
      </c>
      <c r="AQ15" s="14">
        <f t="shared" si="23"/>
        <v>831.44741468761197</v>
      </c>
      <c r="AR15" s="14">
        <f t="shared" si="23"/>
        <v>916.27906038787614</v>
      </c>
      <c r="AS15" s="14">
        <f t="shared" si="23"/>
        <v>1008.3005934295957</v>
      </c>
      <c r="AT15" s="14">
        <f t="shared" si="23"/>
        <v>1108.0710997536155</v>
      </c>
      <c r="AU15" s="14"/>
      <c r="AV15" s="14"/>
    </row>
    <row r="16" spans="1:73" x14ac:dyDescent="0.25">
      <c r="C16" s="3" t="s">
        <v>31</v>
      </c>
      <c r="D16" s="14">
        <v>-2.8010000000000002</v>
      </c>
      <c r="E16" s="14">
        <v>-15.909000000000001</v>
      </c>
      <c r="F16" s="14">
        <v>-11.801</v>
      </c>
      <c r="G16" s="14">
        <v>-39.156999999999996</v>
      </c>
      <c r="H16" s="14">
        <v>10.795</v>
      </c>
      <c r="I16" s="14">
        <v>-8.8740000000000006</v>
      </c>
      <c r="J16" s="14">
        <v>-27.370999999999999</v>
      </c>
      <c r="K16" s="14">
        <v>-63.250999999999998</v>
      </c>
      <c r="L16" s="14">
        <v>1.8</v>
      </c>
      <c r="M16" s="14">
        <v>-10.891</v>
      </c>
      <c r="N16" s="14">
        <v>-22.283000000000001</v>
      </c>
      <c r="O16" s="14">
        <v>-68.183000000000007</v>
      </c>
      <c r="P16" s="14">
        <v>7.782</v>
      </c>
      <c r="Q16" s="53">
        <v>1.2729999999999999</v>
      </c>
      <c r="R16" s="14">
        <v>-9</v>
      </c>
      <c r="S16" s="14">
        <v>-58.7</v>
      </c>
      <c r="T16" s="14">
        <v>8.3170000000000002</v>
      </c>
      <c r="U16" s="14">
        <v>-12</v>
      </c>
      <c r="V16" s="14"/>
      <c r="W16" s="14"/>
      <c r="X16" s="14"/>
      <c r="Y16" s="14"/>
      <c r="Z16" s="14">
        <v>2.2999999999999998</v>
      </c>
      <c r="AA16" s="14">
        <v>-25.4</v>
      </c>
      <c r="AB16" s="14">
        <v>-25.7</v>
      </c>
      <c r="AC16" s="14">
        <v>-31.6</v>
      </c>
      <c r="AD16" s="14">
        <v>-53</v>
      </c>
      <c r="AE16" s="14">
        <v>-98.195999999999998</v>
      </c>
      <c r="AF16" s="14">
        <v>-100.741</v>
      </c>
      <c r="AG16" s="14">
        <v>-70</v>
      </c>
      <c r="AH16" s="14">
        <v>-89</v>
      </c>
      <c r="AI16" s="14">
        <v>-100</v>
      </c>
      <c r="AJ16" s="14">
        <v>-59</v>
      </c>
      <c r="AK16" s="15">
        <f t="shared" ref="AK16:AT16" si="24">AK15*-0.22</f>
        <v>-98.271184000000105</v>
      </c>
      <c r="AL16" s="14">
        <f t="shared" si="24"/>
        <v>-109.58880195999998</v>
      </c>
      <c r="AM16" s="14">
        <f t="shared" si="24"/>
        <v>-121.90984501740002</v>
      </c>
      <c r="AN16" s="14">
        <f t="shared" si="24"/>
        <v>-135.31419353343097</v>
      </c>
      <c r="AO16" s="14">
        <f t="shared" si="24"/>
        <v>-149.88772275963601</v>
      </c>
      <c r="AP16" s="14">
        <f t="shared" si="24"/>
        <v>-165.72273647700047</v>
      </c>
      <c r="AQ16" s="14">
        <f t="shared" si="24"/>
        <v>-182.91843123127464</v>
      </c>
      <c r="AR16" s="14">
        <f t="shared" si="24"/>
        <v>-201.58139328533275</v>
      </c>
      <c r="AS16" s="14">
        <f t="shared" si="24"/>
        <v>-221.82613055451105</v>
      </c>
      <c r="AT16" s="14">
        <f t="shared" si="24"/>
        <v>-243.7756419457954</v>
      </c>
    </row>
    <row r="17" spans="1:133" s="1" customFormat="1" x14ac:dyDescent="0.25">
      <c r="A17" s="3"/>
      <c r="B17" s="2"/>
      <c r="C17" s="1" t="s">
        <v>32</v>
      </c>
      <c r="D17" s="18">
        <f t="shared" ref="D17:O17" si="25">SUM(D15:D16)</f>
        <v>9.0809999999999906</v>
      </c>
      <c r="E17" s="18">
        <f t="shared" si="25"/>
        <v>51.917999999999914</v>
      </c>
      <c r="F17" s="18">
        <f t="shared" si="25"/>
        <v>29.811999999999998</v>
      </c>
      <c r="G17" s="18">
        <f t="shared" si="25"/>
        <v>159.43399999999997</v>
      </c>
      <c r="H17" s="18">
        <f t="shared" si="25"/>
        <v>-47.042999999999907</v>
      </c>
      <c r="I17" s="18">
        <f t="shared" si="25"/>
        <v>36.334999999999994</v>
      </c>
      <c r="J17" s="18">
        <f t="shared" si="25"/>
        <v>90.732999999999933</v>
      </c>
      <c r="K17" s="18">
        <f t="shared" si="25"/>
        <v>233.17900000000006</v>
      </c>
      <c r="L17" s="18">
        <f t="shared" si="25"/>
        <v>-9.6319999999999624</v>
      </c>
      <c r="M17" s="18">
        <f t="shared" si="25"/>
        <v>48.581000000000024</v>
      </c>
      <c r="N17" s="18">
        <f t="shared" si="25"/>
        <v>70.292999999999992</v>
      </c>
      <c r="O17" s="18">
        <f t="shared" si="25"/>
        <v>289.41499999999996</v>
      </c>
      <c r="P17" s="18">
        <f t="shared" ref="P17:S17" si="26">SUM(P15:P16)</f>
        <v>-30.974999999999941</v>
      </c>
      <c r="Q17" s="18">
        <f t="shared" si="26"/>
        <v>-2.7440000000000619</v>
      </c>
      <c r="R17" s="18">
        <f t="shared" si="26"/>
        <v>40.005999999999958</v>
      </c>
      <c r="S17" s="18">
        <f t="shared" si="26"/>
        <v>221.661</v>
      </c>
      <c r="T17" s="18">
        <f t="shared" ref="T17:U17" si="27">SUM(T15:T16)</f>
        <v>-38.852999999999994</v>
      </c>
      <c r="U17" s="18">
        <f t="shared" si="27"/>
        <v>36.792999999999978</v>
      </c>
      <c r="V17" s="14"/>
      <c r="W17" s="14"/>
      <c r="X17" s="14"/>
      <c r="Y17" s="14"/>
      <c r="Z17" s="18">
        <f t="shared" ref="Z17:AA17" si="28">SUM(Z15:Z16)</f>
        <v>101.35399999999996</v>
      </c>
      <c r="AA17" s="18">
        <f t="shared" si="28"/>
        <v>134.10599999999994</v>
      </c>
      <c r="AB17" s="18">
        <f t="shared" ref="AB17:AC17" si="29">SUM(AB15:AB16)</f>
        <v>141.38899999999992</v>
      </c>
      <c r="AC17" s="18">
        <f t="shared" si="29"/>
        <v>168.90700000000001</v>
      </c>
      <c r="AD17" s="18">
        <f t="shared" ref="AD17:AI17" si="30">SUM(AD15:AD16)</f>
        <v>207.94999999999982</v>
      </c>
      <c r="AE17" s="18">
        <f t="shared" si="30"/>
        <v>356.00499999999988</v>
      </c>
      <c r="AF17" s="18">
        <f t="shared" si="30"/>
        <v>384.44299999999998</v>
      </c>
      <c r="AG17" s="18">
        <f t="shared" si="30"/>
        <v>249</v>
      </c>
      <c r="AH17" s="18">
        <f t="shared" si="30"/>
        <v>313</v>
      </c>
      <c r="AI17" s="18">
        <f t="shared" si="30"/>
        <v>398</v>
      </c>
      <c r="AJ17" s="18">
        <f t="shared" ref="AJ17:AT17" si="31">SUM(AJ15:AJ16)</f>
        <v>227</v>
      </c>
      <c r="AK17" s="16">
        <f t="shared" si="31"/>
        <v>348.41601600000035</v>
      </c>
      <c r="AL17" s="18">
        <f t="shared" si="31"/>
        <v>388.54211604</v>
      </c>
      <c r="AM17" s="18">
        <f t="shared" si="31"/>
        <v>432.22581415260004</v>
      </c>
      <c r="AN17" s="18">
        <f t="shared" si="31"/>
        <v>479.75032252761889</v>
      </c>
      <c r="AO17" s="18">
        <f t="shared" si="31"/>
        <v>531.4201079659822</v>
      </c>
      <c r="AP17" s="18">
        <f t="shared" si="31"/>
        <v>587.56242932754708</v>
      </c>
      <c r="AQ17" s="18">
        <f t="shared" si="31"/>
        <v>648.5289834563373</v>
      </c>
      <c r="AR17" s="18">
        <f t="shared" si="31"/>
        <v>714.69766710254339</v>
      </c>
      <c r="AS17" s="18">
        <f t="shared" si="31"/>
        <v>786.47446287508455</v>
      </c>
      <c r="AT17" s="18">
        <f t="shared" si="31"/>
        <v>864.29545780782007</v>
      </c>
      <c r="AU17" s="18">
        <f>AT17*(1+$AW$21)</f>
        <v>855.65250322974191</v>
      </c>
      <c r="AV17" s="18">
        <f t="shared" ref="AV17:BZ17" si="32">AU17*(1+$AW$21)</f>
        <v>847.09597819744454</v>
      </c>
      <c r="AW17" s="18">
        <f t="shared" si="32"/>
        <v>838.62501841547009</v>
      </c>
      <c r="AX17" s="18">
        <f t="shared" si="32"/>
        <v>830.23876823131536</v>
      </c>
      <c r="AY17" s="18">
        <f t="shared" si="32"/>
        <v>821.93638054900225</v>
      </c>
      <c r="AZ17" s="18">
        <f t="shared" si="32"/>
        <v>813.7170167435122</v>
      </c>
      <c r="BA17" s="18">
        <f t="shared" si="32"/>
        <v>805.5798465760771</v>
      </c>
      <c r="BB17" s="18">
        <f t="shared" si="32"/>
        <v>797.52404811031636</v>
      </c>
      <c r="BC17" s="18">
        <f t="shared" si="32"/>
        <v>789.54880762921323</v>
      </c>
      <c r="BD17" s="18">
        <f t="shared" si="32"/>
        <v>781.65331955292106</v>
      </c>
      <c r="BE17" s="18">
        <f t="shared" si="32"/>
        <v>773.83678635739182</v>
      </c>
      <c r="BF17" s="18">
        <f t="shared" si="32"/>
        <v>766.09841849381792</v>
      </c>
      <c r="BG17" s="18">
        <f t="shared" si="32"/>
        <v>758.43743430887969</v>
      </c>
      <c r="BH17" s="18">
        <f t="shared" si="32"/>
        <v>750.85305996579086</v>
      </c>
      <c r="BI17" s="18">
        <f t="shared" si="32"/>
        <v>743.34452936613297</v>
      </c>
      <c r="BJ17" s="18">
        <f t="shared" si="32"/>
        <v>735.91108407247168</v>
      </c>
      <c r="BK17" s="18">
        <f t="shared" si="32"/>
        <v>728.55197323174696</v>
      </c>
      <c r="BL17" s="18">
        <f t="shared" si="32"/>
        <v>721.26645349942953</v>
      </c>
      <c r="BM17" s="18">
        <f t="shared" si="32"/>
        <v>714.05378896443528</v>
      </c>
      <c r="BN17" s="18">
        <f t="shared" si="32"/>
        <v>706.91325107479088</v>
      </c>
      <c r="BO17" s="18">
        <f t="shared" si="32"/>
        <v>699.84411856404301</v>
      </c>
      <c r="BP17" s="18">
        <f t="shared" si="32"/>
        <v>692.84567737840257</v>
      </c>
      <c r="BQ17" s="18">
        <f t="shared" si="32"/>
        <v>685.91722060461859</v>
      </c>
      <c r="BR17" s="18">
        <f t="shared" si="32"/>
        <v>679.0580483985724</v>
      </c>
      <c r="BS17" s="18">
        <f t="shared" si="32"/>
        <v>672.26746791458663</v>
      </c>
      <c r="BT17" s="18">
        <f t="shared" si="32"/>
        <v>665.54479323544081</v>
      </c>
      <c r="BU17" s="18">
        <f t="shared" si="32"/>
        <v>658.88934530308643</v>
      </c>
      <c r="BV17" s="18">
        <f t="shared" si="32"/>
        <v>652.30045185005554</v>
      </c>
      <c r="BW17" s="18">
        <f t="shared" si="32"/>
        <v>645.77744733155498</v>
      </c>
      <c r="BX17" s="18">
        <f t="shared" si="32"/>
        <v>639.31967285823941</v>
      </c>
      <c r="BY17" s="18">
        <f t="shared" si="32"/>
        <v>632.92647612965698</v>
      </c>
      <c r="BZ17" s="18">
        <f t="shared" si="32"/>
        <v>626.59721136836038</v>
      </c>
      <c r="CA17" s="18">
        <f t="shared" ref="CA17:DF17" si="33">BZ17*(1+$AW$21)</f>
        <v>620.3312392546768</v>
      </c>
      <c r="CB17" s="18">
        <f t="shared" si="33"/>
        <v>614.12792686213004</v>
      </c>
      <c r="CC17" s="18">
        <f t="shared" si="33"/>
        <v>607.98664759350868</v>
      </c>
      <c r="CD17" s="18">
        <f t="shared" si="33"/>
        <v>601.90678111757359</v>
      </c>
      <c r="CE17" s="18">
        <f t="shared" si="33"/>
        <v>595.88771330639781</v>
      </c>
      <c r="CF17" s="18">
        <f t="shared" si="33"/>
        <v>589.92883617333382</v>
      </c>
      <c r="CG17" s="18">
        <f t="shared" si="33"/>
        <v>584.02954781160042</v>
      </c>
      <c r="CH17" s="18">
        <f t="shared" si="33"/>
        <v>578.18925233348443</v>
      </c>
      <c r="CI17" s="18">
        <f t="shared" si="33"/>
        <v>572.40735981014961</v>
      </c>
      <c r="CJ17" s="18">
        <f t="shared" si="33"/>
        <v>566.68328621204807</v>
      </c>
      <c r="CK17" s="18">
        <f t="shared" si="33"/>
        <v>561.01645334992759</v>
      </c>
      <c r="CL17" s="18">
        <f t="shared" si="33"/>
        <v>555.40628881642829</v>
      </c>
      <c r="CM17" s="18">
        <f t="shared" si="33"/>
        <v>549.85222592826403</v>
      </c>
      <c r="CN17" s="18">
        <f t="shared" si="33"/>
        <v>544.35370366898144</v>
      </c>
      <c r="CO17" s="18">
        <f t="shared" si="33"/>
        <v>538.91016663229163</v>
      </c>
      <c r="CP17" s="18">
        <f t="shared" si="33"/>
        <v>533.52106496596866</v>
      </c>
      <c r="CQ17" s="18">
        <f t="shared" si="33"/>
        <v>528.18585431630902</v>
      </c>
      <c r="CR17" s="18">
        <f t="shared" si="33"/>
        <v>522.90399577314588</v>
      </c>
      <c r="CS17" s="18">
        <f t="shared" si="33"/>
        <v>517.67495581541436</v>
      </c>
      <c r="CT17" s="18">
        <f t="shared" si="33"/>
        <v>512.49820625726022</v>
      </c>
      <c r="CU17" s="18">
        <f t="shared" si="33"/>
        <v>507.37322419468762</v>
      </c>
      <c r="CV17" s="18">
        <f t="shared" si="33"/>
        <v>502.29949195274077</v>
      </c>
      <c r="CW17" s="18">
        <f t="shared" si="33"/>
        <v>497.27649703321333</v>
      </c>
      <c r="CX17" s="18">
        <f t="shared" si="33"/>
        <v>492.30373206288118</v>
      </c>
      <c r="CY17" s="18">
        <f t="shared" si="33"/>
        <v>487.38069474225239</v>
      </c>
      <c r="CZ17" s="18">
        <f t="shared" si="33"/>
        <v>482.50688779482988</v>
      </c>
      <c r="DA17" s="18">
        <f t="shared" si="33"/>
        <v>477.68181891688158</v>
      </c>
      <c r="DB17" s="18">
        <f t="shared" si="33"/>
        <v>472.90500072771277</v>
      </c>
      <c r="DC17" s="18">
        <f t="shared" si="33"/>
        <v>468.17595072043565</v>
      </c>
      <c r="DD17" s="18">
        <f t="shared" si="33"/>
        <v>463.49419121323132</v>
      </c>
      <c r="DE17" s="18">
        <f t="shared" si="33"/>
        <v>458.859249301099</v>
      </c>
      <c r="DF17" s="18">
        <f t="shared" si="33"/>
        <v>454.27065680808801</v>
      </c>
      <c r="DG17" s="18">
        <f t="shared" ref="DG17:EC17" si="34">DF17*(1+$AW$21)</f>
        <v>449.72795024000715</v>
      </c>
      <c r="DH17" s="18">
        <f t="shared" si="34"/>
        <v>445.23067073760706</v>
      </c>
      <c r="DI17" s="18">
        <f t="shared" si="34"/>
        <v>440.77836403023099</v>
      </c>
      <c r="DJ17" s="18">
        <f t="shared" si="34"/>
        <v>436.37058038992865</v>
      </c>
      <c r="DK17" s="18">
        <f t="shared" si="34"/>
        <v>432.00687458602937</v>
      </c>
      <c r="DL17" s="18">
        <f t="shared" si="34"/>
        <v>427.68680584016909</v>
      </c>
      <c r="DM17" s="18">
        <f t="shared" si="34"/>
        <v>423.40993778176738</v>
      </c>
      <c r="DN17" s="18">
        <f t="shared" si="34"/>
        <v>419.17583840394968</v>
      </c>
      <c r="DO17" s="18">
        <f t="shared" si="34"/>
        <v>414.98408001991021</v>
      </c>
      <c r="DP17" s="18">
        <f t="shared" si="34"/>
        <v>410.83423921971109</v>
      </c>
      <c r="DQ17" s="18">
        <f t="shared" si="34"/>
        <v>406.72589682751396</v>
      </c>
      <c r="DR17" s="18">
        <f t="shared" si="34"/>
        <v>402.65863785923881</v>
      </c>
      <c r="DS17" s="18">
        <f t="shared" si="34"/>
        <v>398.6320514806464</v>
      </c>
      <c r="DT17" s="18">
        <f t="shared" si="34"/>
        <v>394.6457309658399</v>
      </c>
      <c r="DU17" s="18">
        <f t="shared" si="34"/>
        <v>390.6992736561815</v>
      </c>
      <c r="DV17" s="18">
        <f t="shared" si="34"/>
        <v>386.79228091961966</v>
      </c>
      <c r="DW17" s="18">
        <f t="shared" si="34"/>
        <v>382.92435811042344</v>
      </c>
      <c r="DX17" s="18">
        <f t="shared" si="34"/>
        <v>379.09511452931918</v>
      </c>
      <c r="DY17" s="18">
        <f t="shared" si="34"/>
        <v>375.30416338402597</v>
      </c>
      <c r="DZ17" s="18">
        <f t="shared" si="34"/>
        <v>371.5511217501857</v>
      </c>
      <c r="EA17" s="18">
        <f t="shared" si="34"/>
        <v>367.83561053268386</v>
      </c>
      <c r="EB17" s="18">
        <f t="shared" si="34"/>
        <v>364.15725442735703</v>
      </c>
      <c r="EC17" s="18">
        <f t="shared" si="34"/>
        <v>360.51568188308346</v>
      </c>
    </row>
    <row r="18" spans="1:133" x14ac:dyDescent="0.25">
      <c r="C18" s="3" t="s">
        <v>143</v>
      </c>
      <c r="D18" s="17">
        <v>40.645161999999999</v>
      </c>
      <c r="E18" s="17">
        <v>40.645161999999999</v>
      </c>
      <c r="F18" s="17">
        <v>40.645161999999999</v>
      </c>
      <c r="G18" s="17">
        <v>40.645161999999999</v>
      </c>
      <c r="H18" s="17">
        <v>40.645161999999999</v>
      </c>
      <c r="I18" s="17">
        <v>40.645161999999999</v>
      </c>
      <c r="J18" s="17">
        <v>40.645161999999999</v>
      </c>
      <c r="K18" s="17">
        <v>40.645161999999999</v>
      </c>
      <c r="L18" s="17">
        <v>40.645161999999999</v>
      </c>
      <c r="M18" s="17">
        <v>40.645161999999999</v>
      </c>
      <c r="N18" s="17">
        <v>40.645161999999999</v>
      </c>
      <c r="O18" s="17">
        <v>40.645161999999999</v>
      </c>
      <c r="P18" s="17">
        <v>40.645161999999999</v>
      </c>
      <c r="Q18" s="17">
        <v>40.645161999999999</v>
      </c>
      <c r="R18" s="17">
        <v>40.645161999999999</v>
      </c>
      <c r="S18" s="17">
        <v>40.645161999999999</v>
      </c>
      <c r="T18" s="17">
        <v>40.645161999999999</v>
      </c>
      <c r="U18" s="17">
        <v>40.645161999999999</v>
      </c>
      <c r="Y18" s="14"/>
      <c r="Z18" s="17">
        <v>40.645161999999999</v>
      </c>
      <c r="AA18" s="17">
        <v>40.645161999999999</v>
      </c>
      <c r="AB18" s="17">
        <v>40.645161999999999</v>
      </c>
      <c r="AC18" s="17">
        <v>40.645161999999999</v>
      </c>
      <c r="AD18" s="17">
        <v>40.645161999999999</v>
      </c>
      <c r="AE18" s="17">
        <v>40.645161999999999</v>
      </c>
      <c r="AF18" s="17">
        <v>40.645161999999999</v>
      </c>
      <c r="AG18" s="17">
        <v>40.645161999999999</v>
      </c>
      <c r="AH18" s="17">
        <v>40.645161999999999</v>
      </c>
      <c r="AI18" s="17">
        <v>40.645161999999999</v>
      </c>
      <c r="AJ18" s="17">
        <v>40.645161999999999</v>
      </c>
      <c r="AK18" s="7">
        <v>40.645161999999999</v>
      </c>
      <c r="AL18" s="17">
        <v>40.645161999999999</v>
      </c>
      <c r="AM18" s="17">
        <v>40.645161999999999</v>
      </c>
      <c r="AN18" s="17">
        <v>40.645161999999999</v>
      </c>
      <c r="AO18" s="17">
        <v>40.645161999999999</v>
      </c>
      <c r="AP18" s="17">
        <v>40.645161999999999</v>
      </c>
      <c r="AQ18" s="17">
        <v>40.645161999999999</v>
      </c>
      <c r="AR18" s="17">
        <v>40.645161999999999</v>
      </c>
      <c r="AS18" s="17">
        <v>40.645161999999999</v>
      </c>
      <c r="AT18" s="17">
        <v>40.645161999999999</v>
      </c>
    </row>
    <row r="19" spans="1:133" x14ac:dyDescent="0.25">
      <c r="C19" s="3" t="s">
        <v>33</v>
      </c>
      <c r="D19" s="19">
        <f t="shared" ref="D19:I19" si="35">D17/D18</f>
        <v>0.22342142467041934</v>
      </c>
      <c r="E19" s="19">
        <f t="shared" si="35"/>
        <v>1.2773475967447223</v>
      </c>
      <c r="F19" s="19">
        <f t="shared" si="35"/>
        <v>0.73346982846322517</v>
      </c>
      <c r="G19" s="19">
        <f t="shared" si="35"/>
        <v>3.922582471193004</v>
      </c>
      <c r="H19" s="19">
        <f t="shared" si="35"/>
        <v>-1.1574071226484448</v>
      </c>
      <c r="I19" s="19">
        <f t="shared" si="35"/>
        <v>0.89395633359758764</v>
      </c>
      <c r="J19" s="19">
        <f>J17/J18</f>
        <v>2.2323198022928272</v>
      </c>
      <c r="K19" s="19">
        <f t="shared" ref="K19:O19" si="36">K17/K18</f>
        <v>5.7369435506247966</v>
      </c>
      <c r="L19" s="19">
        <f t="shared" si="36"/>
        <v>-0.23697777364006969</v>
      </c>
      <c r="M19" s="19">
        <f t="shared" si="36"/>
        <v>1.1952468045274374</v>
      </c>
      <c r="N19" s="19">
        <f>N17/N18</f>
        <v>1.7294309221845392</v>
      </c>
      <c r="O19" s="19">
        <f t="shared" si="36"/>
        <v>7.1205276534511039</v>
      </c>
      <c r="P19" s="19">
        <f t="shared" ref="P19:Q19" si="37">P17/P18</f>
        <v>-0.76208332002711521</v>
      </c>
      <c r="Q19" s="19">
        <f t="shared" si="37"/>
        <v>-6.7511109932347227E-2</v>
      </c>
      <c r="R19" s="19">
        <f t="shared" ref="R19:S19" si="38">R17/R18</f>
        <v>0.98427458598885542</v>
      </c>
      <c r="S19" s="19">
        <f t="shared" si="38"/>
        <v>5.4535641904933234</v>
      </c>
      <c r="T19" s="19">
        <f t="shared" ref="T19:U19" si="39">T17/T18</f>
        <v>-0.95590712616670082</v>
      </c>
      <c r="U19" s="19">
        <f t="shared" si="39"/>
        <v>0.90522458736909395</v>
      </c>
      <c r="Y19" s="61"/>
      <c r="Z19" s="19">
        <f t="shared" ref="Z19:AA19" si="40">Z17/Z18</f>
        <v>2.4936301151905842</v>
      </c>
      <c r="AA19" s="19">
        <f t="shared" si="40"/>
        <v>3.2994332757241795</v>
      </c>
      <c r="AB19" s="19">
        <f t="shared" ref="AB19:AC19" si="41">AB17/AB18</f>
        <v>3.4786181932304743</v>
      </c>
      <c r="AC19" s="19">
        <f t="shared" si="41"/>
        <v>4.1556483401394742</v>
      </c>
      <c r="AD19" s="19">
        <f t="shared" ref="AD19:AE19" si="42">AD17/AD18</f>
        <v>5.1162300693991529</v>
      </c>
      <c r="AE19" s="19">
        <f t="shared" si="42"/>
        <v>8.7588530216708183</v>
      </c>
      <c r="AF19" s="19">
        <f t="shared" ref="AF19:AG19" si="43">AF17/AF18</f>
        <v>9.4585180888195257</v>
      </c>
      <c r="AG19" s="19">
        <f t="shared" si="43"/>
        <v>6.126190369225248</v>
      </c>
      <c r="AH19" s="19">
        <f t="shared" ref="AH19" si="44">AH17/AH18</f>
        <v>7.7007935163353514</v>
      </c>
      <c r="AI19" s="19">
        <f t="shared" ref="AI19" si="45">AI17/AI18</f>
        <v>9.7920633210909589</v>
      </c>
      <c r="AJ19" s="19">
        <f t="shared" ref="AJ19" si="46">AJ17/AJ18</f>
        <v>5.5849205374061492</v>
      </c>
      <c r="AK19" s="5">
        <f t="shared" ref="AK19" si="47">AK17/AK18</f>
        <v>8.5721399265182008</v>
      </c>
      <c r="AL19" s="19">
        <f t="shared" ref="AL19" si="48">AL17/AL18</f>
        <v>9.5593693547094247</v>
      </c>
      <c r="AM19" s="19">
        <f t="shared" ref="AM19" si="49">AM17/AM18</f>
        <v>10.634126987920482</v>
      </c>
      <c r="AN19" s="19">
        <f t="shared" ref="AN19" si="50">AN17/AN18</f>
        <v>11.803380744985564</v>
      </c>
      <c r="AO19" s="19">
        <f t="shared" ref="AO19" si="51">AO17/AO18</f>
        <v>13.074621475637917</v>
      </c>
      <c r="AP19" s="19">
        <f t="shared" ref="AP19" si="52">AP17/AP18</f>
        <v>14.455900786606461</v>
      </c>
      <c r="AQ19" s="19">
        <f t="shared" ref="AQ19" si="53">AQ17/AQ18</f>
        <v>15.955871536601018</v>
      </c>
      <c r="AR19" s="19">
        <f t="shared" ref="AR19" si="54">AR17/AR18</f>
        <v>17.58383118518616</v>
      </c>
      <c r="AS19" s="19">
        <f t="shared" ref="AS19" si="55">AS17/AS18</f>
        <v>19.349768193200571</v>
      </c>
      <c r="AT19" s="19">
        <f t="shared" ref="AT19" si="56">AT17/AT18</f>
        <v>21.264411685893148</v>
      </c>
    </row>
    <row r="20" spans="1:133" x14ac:dyDescent="0.25">
      <c r="AV20" s="3" t="s">
        <v>84</v>
      </c>
      <c r="AW20" s="24">
        <v>0.08</v>
      </c>
    </row>
    <row r="21" spans="1:133" x14ac:dyDescent="0.25">
      <c r="C21" s="1" t="s">
        <v>34</v>
      </c>
      <c r="D21" s="27"/>
      <c r="E21" s="27"/>
      <c r="F21" s="27"/>
      <c r="G21" s="27"/>
      <c r="H21" s="27">
        <f t="shared" ref="H21:U21" si="57">(H6-D6)/D6</f>
        <v>-1.254748645777988E-4</v>
      </c>
      <c r="I21" s="27">
        <f t="shared" si="57"/>
        <v>-9.3509794409636048E-3</v>
      </c>
      <c r="J21" s="27">
        <f t="shared" si="57"/>
        <v>0.12962776905823495</v>
      </c>
      <c r="K21" s="27">
        <f t="shared" si="57"/>
        <v>0.13012058176852664</v>
      </c>
      <c r="L21" s="27">
        <f t="shared" si="57"/>
        <v>0.1506234076314803</v>
      </c>
      <c r="M21" s="27">
        <f t="shared" si="57"/>
        <v>0.10260127567066506</v>
      </c>
      <c r="N21" s="27">
        <f t="shared" si="57"/>
        <v>6.7664094172284639E-2</v>
      </c>
      <c r="O21" s="27">
        <f t="shared" si="57"/>
        <v>0.12010893779275829</v>
      </c>
      <c r="P21" s="27">
        <f t="shared" si="57"/>
        <v>5.2889886402121555E-2</v>
      </c>
      <c r="Q21" s="27">
        <f t="shared" si="57"/>
        <v>7.3019630116609682E-2</v>
      </c>
      <c r="R21" s="27">
        <f t="shared" si="57"/>
        <v>1.6543885876907034E-2</v>
      </c>
      <c r="S21" s="27">
        <f t="shared" si="57"/>
        <v>3.461255752097156E-2</v>
      </c>
      <c r="T21" s="27">
        <f t="shared" si="57"/>
        <v>9.2833583208395756E-2</v>
      </c>
      <c r="U21" s="27">
        <f t="shared" si="57"/>
        <v>7.1455054214760449E-2</v>
      </c>
      <c r="AA21" s="20">
        <f t="shared" ref="AA21:AT21" si="58">(AA6-Z6)/Z6</f>
        <v>8.8926675144759354E-2</v>
      </c>
      <c r="AB21" s="20">
        <f t="shared" si="58"/>
        <v>6.700722174365431E-2</v>
      </c>
      <c r="AC21" s="20">
        <f t="shared" si="58"/>
        <v>6.12894638229904E-2</v>
      </c>
      <c r="AD21" s="20">
        <f t="shared" si="58"/>
        <v>0.59787057833156665</v>
      </c>
      <c r="AE21" s="20">
        <f t="shared" si="58"/>
        <v>0.27816891194362209</v>
      </c>
      <c r="AF21" s="20">
        <f t="shared" si="58"/>
        <v>3.6992141531203324E-2</v>
      </c>
      <c r="AG21" s="20">
        <f t="shared" si="58"/>
        <v>2.4751085901433365E-2</v>
      </c>
      <c r="AH21" s="20">
        <f t="shared" si="58"/>
        <v>7.3178391959799E-2</v>
      </c>
      <c r="AI21" s="20">
        <f t="shared" si="58"/>
        <v>0.10916008194322505</v>
      </c>
      <c r="AJ21" s="20">
        <f t="shared" si="58"/>
        <v>4.1688654353562005E-2</v>
      </c>
      <c r="AK21" s="21">
        <f t="shared" si="58"/>
        <v>7.4989868287740735E-2</v>
      </c>
      <c r="AL21" s="20">
        <f t="shared" si="58"/>
        <v>6.499999999999985E-2</v>
      </c>
      <c r="AM21" s="20">
        <f t="shared" si="58"/>
        <v>6.5000000000000002E-2</v>
      </c>
      <c r="AN21" s="20">
        <f t="shared" si="58"/>
        <v>6.4999999999999822E-2</v>
      </c>
      <c r="AO21" s="20">
        <f t="shared" si="58"/>
        <v>6.4999999999999822E-2</v>
      </c>
      <c r="AP21" s="20">
        <f t="shared" si="58"/>
        <v>6.5000000000000085E-2</v>
      </c>
      <c r="AQ21" s="20">
        <f t="shared" si="58"/>
        <v>6.4999999999999919E-2</v>
      </c>
      <c r="AR21" s="20">
        <f t="shared" si="58"/>
        <v>6.4999999999999891E-2</v>
      </c>
      <c r="AS21" s="20">
        <f t="shared" si="58"/>
        <v>6.4999999999999988E-2</v>
      </c>
      <c r="AT21" s="20">
        <f t="shared" si="58"/>
        <v>6.4999999999999961E-2</v>
      </c>
      <c r="AV21" s="3" t="s">
        <v>85</v>
      </c>
      <c r="AW21" s="24">
        <v>-0.01</v>
      </c>
    </row>
    <row r="22" spans="1:133" s="27" customFormat="1" x14ac:dyDescent="0.25">
      <c r="A22" s="54"/>
      <c r="B22" s="55"/>
      <c r="C22" s="27" t="s">
        <v>135</v>
      </c>
      <c r="D22" s="27">
        <v>7.2999999999999995E-2</v>
      </c>
      <c r="E22" s="27">
        <v>5.6000000000000001E-2</v>
      </c>
      <c r="F22" s="27">
        <v>-4.0000000000000001E-3</v>
      </c>
      <c r="G22" s="27">
        <v>1.7999999999999999E-2</v>
      </c>
      <c r="H22" s="27">
        <v>-3.0000000000000001E-3</v>
      </c>
      <c r="I22" s="27">
        <v>-3.3000000000000002E-2</v>
      </c>
      <c r="J22" s="27">
        <v>0.129</v>
      </c>
      <c r="K22" s="27">
        <v>9.2999999999999999E-2</v>
      </c>
      <c r="L22" s="27">
        <v>0.13500000000000001</v>
      </c>
      <c r="M22" s="27">
        <v>9.1999999999999998E-2</v>
      </c>
      <c r="N22" s="27">
        <v>0.03</v>
      </c>
      <c r="O22" s="27">
        <v>0.10100000000000001</v>
      </c>
      <c r="P22" s="27">
        <v>2.9000000000000001E-2</v>
      </c>
      <c r="Q22" s="27">
        <v>4.5999999999999999E-2</v>
      </c>
      <c r="R22" s="27">
        <v>-1.7000000000000001E-2</v>
      </c>
      <c r="S22" s="27">
        <v>8.0000000000000002E-3</v>
      </c>
      <c r="T22" s="27">
        <v>6.0999999999999999E-2</v>
      </c>
      <c r="U22" s="27">
        <v>8.3000000000000004E-2</v>
      </c>
      <c r="V22" s="54"/>
      <c r="W22" s="54"/>
      <c r="X22" s="54"/>
      <c r="Y22" s="54"/>
      <c r="Z22" s="54"/>
      <c r="AA22" s="54"/>
      <c r="AB22" s="54"/>
      <c r="AC22" s="54"/>
      <c r="AD22" s="54"/>
      <c r="AJ22" s="27">
        <v>1.4E-2</v>
      </c>
      <c r="AK22" s="63"/>
      <c r="AV22" s="62" t="s">
        <v>86</v>
      </c>
      <c r="AW22" s="26">
        <f>NPV(AW20,AJ17:EC17)</f>
        <v>7657.5357315692663</v>
      </c>
    </row>
    <row r="23" spans="1:133" x14ac:dyDescent="0.25">
      <c r="C23" s="27" t="s">
        <v>136</v>
      </c>
      <c r="D23" s="27"/>
      <c r="E23" s="27"/>
      <c r="F23" s="27"/>
      <c r="G23" s="27"/>
      <c r="H23" s="27">
        <f t="shared" ref="H23:T23" si="59">((H9+H11)-(D9+D11))/(D9+D11)</f>
        <v>8.7537923883405602E-2</v>
      </c>
      <c r="I23" s="27">
        <f t="shared" si="59"/>
        <v>4.5828143543166243E-2</v>
      </c>
      <c r="J23" s="27">
        <f t="shared" si="59"/>
        <v>3.2986651564193697E-2</v>
      </c>
      <c r="K23" s="27">
        <f t="shared" si="59"/>
        <v>0.12223917541779995</v>
      </c>
      <c r="L23" s="27">
        <f t="shared" si="59"/>
        <v>7.5565709927114533E-2</v>
      </c>
      <c r="M23" s="27">
        <f t="shared" si="59"/>
        <v>6.9037598105690698E-2</v>
      </c>
      <c r="N23" s="27">
        <f t="shared" si="59"/>
        <v>0.14561865963735121</v>
      </c>
      <c r="O23" s="27">
        <f t="shared" si="59"/>
        <v>5.1475596517741321E-2</v>
      </c>
      <c r="P23" s="27">
        <f t="shared" si="59"/>
        <v>8.2857546218928921E-2</v>
      </c>
      <c r="Q23" s="27">
        <f t="shared" si="59"/>
        <v>0.13722957807113551</v>
      </c>
      <c r="R23" s="27">
        <f t="shared" si="59"/>
        <v>0.1203204827525006</v>
      </c>
      <c r="S23" s="27">
        <f t="shared" si="59"/>
        <v>0.14135300294791184</v>
      </c>
      <c r="T23" s="27">
        <f t="shared" si="59"/>
        <v>8.6140925353222972E-2</v>
      </c>
      <c r="U23" s="27">
        <f>((U9+U11)-(Q9+Q11))/(Q9+Q11)</f>
        <v>5.3630823202360248E-2</v>
      </c>
      <c r="V23" s="54"/>
      <c r="W23" s="54"/>
      <c r="X23" s="54"/>
      <c r="Y23" s="54"/>
      <c r="Z23" s="54"/>
      <c r="AA23" s="27">
        <f>((AA9+AA11)-(Z9+Z11))/(Z9+Z11)</f>
        <v>4.5380050249805168E-2</v>
      </c>
      <c r="AB23" s="27">
        <f t="shared" ref="AB23:AT23" si="60">((AB9+AB11)-(AA9+AA11))/(AA9+AA11)</f>
        <v>7.0812916325663847E-2</v>
      </c>
      <c r="AC23" s="27">
        <f t="shared" si="60"/>
        <v>3.7796664554400575E-2</v>
      </c>
      <c r="AD23" s="27">
        <f t="shared" si="60"/>
        <v>0.32319756132424321</v>
      </c>
      <c r="AE23" s="27">
        <f t="shared" si="60"/>
        <v>0.24437589752561795</v>
      </c>
      <c r="AF23" s="27">
        <f t="shared" si="60"/>
        <v>9.6822986896200648E-3</v>
      </c>
      <c r="AG23" s="27">
        <f t="shared" si="60"/>
        <v>5.9783370559703959E-2</v>
      </c>
      <c r="AH23" s="27">
        <f t="shared" si="60"/>
        <v>7.4955908289241618E-2</v>
      </c>
      <c r="AI23" s="27">
        <f t="shared" si="60"/>
        <v>8.2854799015586553E-2</v>
      </c>
      <c r="AJ23" s="27">
        <f t="shared" si="60"/>
        <v>0.12196969696969696</v>
      </c>
      <c r="AK23" s="63">
        <f t="shared" si="60"/>
        <v>3.0000000000000044E-2</v>
      </c>
      <c r="AL23" s="27">
        <f t="shared" si="60"/>
        <v>5.499999999999991E-2</v>
      </c>
      <c r="AM23" s="27">
        <f t="shared" si="60"/>
        <v>5.4999999999999924E-2</v>
      </c>
      <c r="AN23" s="27">
        <f t="shared" si="60"/>
        <v>5.5000000000000007E-2</v>
      </c>
      <c r="AO23" s="27">
        <f t="shared" si="60"/>
        <v>5.4999999999999841E-2</v>
      </c>
      <c r="AP23" s="27">
        <f t="shared" si="60"/>
        <v>5.4999999999999938E-2</v>
      </c>
      <c r="AQ23" s="27">
        <f t="shared" si="60"/>
        <v>5.5000000000000049E-2</v>
      </c>
      <c r="AR23" s="27">
        <f t="shared" si="60"/>
        <v>5.4999999999999993E-2</v>
      </c>
      <c r="AS23" s="27">
        <f t="shared" si="60"/>
        <v>5.4999999999999778E-2</v>
      </c>
      <c r="AT23" s="27">
        <f t="shared" si="60"/>
        <v>5.4999999999999861E-2</v>
      </c>
      <c r="AV23" s="3" t="s">
        <v>2</v>
      </c>
      <c r="AW23" s="23">
        <v>40.645161999999999</v>
      </c>
    </row>
    <row r="24" spans="1:133" x14ac:dyDescent="0.25">
      <c r="C24" s="3" t="s">
        <v>156</v>
      </c>
      <c r="D24" s="54">
        <f t="shared" ref="D24:T24" si="61">D8/D6</f>
        <v>0.6128423523895532</v>
      </c>
      <c r="E24" s="54">
        <f t="shared" si="61"/>
        <v>0.60086909585334691</v>
      </c>
      <c r="F24" s="54">
        <f t="shared" si="61"/>
        <v>0.55616592354439454</v>
      </c>
      <c r="G24" s="54">
        <f t="shared" si="61"/>
        <v>0.56932843692268331</v>
      </c>
      <c r="H24" s="54">
        <f t="shared" si="61"/>
        <v>0.56045592720223647</v>
      </c>
      <c r="I24" s="54">
        <f t="shared" si="61"/>
        <v>0.62228119930698866</v>
      </c>
      <c r="J24" s="54">
        <f t="shared" si="61"/>
        <v>0.62121953300873667</v>
      </c>
      <c r="K24" s="54">
        <f t="shared" si="61"/>
        <v>0.63407964382410864</v>
      </c>
      <c r="L24" s="54">
        <f t="shared" si="61"/>
        <v>0.61506736084403402</v>
      </c>
      <c r="M24" s="54">
        <f t="shared" si="61"/>
        <v>0.63298024728117064</v>
      </c>
      <c r="N24" s="54">
        <f t="shared" si="61"/>
        <v>0.62140438408472776</v>
      </c>
      <c r="O24" s="54">
        <f t="shared" si="61"/>
        <v>0.61197973184037935</v>
      </c>
      <c r="P24" s="54">
        <f t="shared" si="61"/>
        <v>0.60558402616873386</v>
      </c>
      <c r="Q24" s="54">
        <f t="shared" si="61"/>
        <v>0.62395009910225019</v>
      </c>
      <c r="R24" s="54">
        <f t="shared" si="61"/>
        <v>0.61818715393133994</v>
      </c>
      <c r="S24" s="54">
        <f t="shared" si="61"/>
        <v>0.61238927097661622</v>
      </c>
      <c r="T24" s="54">
        <f t="shared" si="61"/>
        <v>0.6122544935720593</v>
      </c>
      <c r="U24" s="54">
        <f t="shared" ref="U24" si="62">U8/U6</f>
        <v>0.63369884448855096</v>
      </c>
      <c r="Z24" s="54">
        <f t="shared" ref="Z24:AT24" si="63">Z8/Z6</f>
        <v>0.58646183639522476</v>
      </c>
      <c r="AA24" s="54">
        <f t="shared" si="63"/>
        <v>0.60224911464942588</v>
      </c>
      <c r="AB24" s="54">
        <f t="shared" si="63"/>
        <v>0.60384116231728469</v>
      </c>
      <c r="AC24" s="54">
        <f t="shared" si="63"/>
        <v>0.60926748303585732</v>
      </c>
      <c r="AD24" s="54">
        <f t="shared" si="63"/>
        <v>0.60512162035338579</v>
      </c>
      <c r="AE24" s="54">
        <f t="shared" si="63"/>
        <v>0.62853232265045256</v>
      </c>
      <c r="AF24" s="54">
        <f t="shared" si="63"/>
        <v>0.62682002744685061</v>
      </c>
      <c r="AG24" s="54">
        <f t="shared" si="63"/>
        <v>0.58165829145728642</v>
      </c>
      <c r="AH24" s="54">
        <f t="shared" si="63"/>
        <v>0.61545215100965756</v>
      </c>
      <c r="AI24" s="54">
        <f t="shared" si="63"/>
        <v>0.61926121372031662</v>
      </c>
      <c r="AJ24" s="54">
        <f t="shared" si="63"/>
        <v>0.6149949341438703</v>
      </c>
      <c r="AK24" s="55">
        <f t="shared" si="63"/>
        <v>0.62</v>
      </c>
      <c r="AL24" s="54">
        <f t="shared" si="63"/>
        <v>0.62</v>
      </c>
      <c r="AM24" s="54">
        <f t="shared" si="63"/>
        <v>0.62</v>
      </c>
      <c r="AN24" s="54">
        <f t="shared" si="63"/>
        <v>0.62</v>
      </c>
      <c r="AO24" s="54">
        <f t="shared" si="63"/>
        <v>0.62</v>
      </c>
      <c r="AP24" s="54">
        <f t="shared" si="63"/>
        <v>0.62</v>
      </c>
      <c r="AQ24" s="54">
        <f t="shared" si="63"/>
        <v>0.62</v>
      </c>
      <c r="AR24" s="54">
        <f t="shared" si="63"/>
        <v>0.62</v>
      </c>
      <c r="AS24" s="54">
        <f t="shared" si="63"/>
        <v>0.61999999999999988</v>
      </c>
      <c r="AT24" s="54">
        <f t="shared" si="63"/>
        <v>0.62</v>
      </c>
      <c r="AV24" s="1" t="s">
        <v>87</v>
      </c>
      <c r="AW24" s="25">
        <f>AW22/AW23</f>
        <v>188.39968534432873</v>
      </c>
    </row>
    <row r="25" spans="1:133" x14ac:dyDescent="0.25">
      <c r="C25" s="3" t="s">
        <v>155</v>
      </c>
      <c r="D25" s="54">
        <f t="shared" ref="D25:T25" si="64">D12/D6</f>
        <v>3.985643033916185E-2</v>
      </c>
      <c r="E25" s="54">
        <f t="shared" si="64"/>
        <v>0.1089731413852239</v>
      </c>
      <c r="F25" s="54">
        <f t="shared" si="64"/>
        <v>7.6831692309363334E-2</v>
      </c>
      <c r="G25" s="54">
        <f t="shared" si="64"/>
        <v>0.18893155383574681</v>
      </c>
      <c r="H25" s="54">
        <f t="shared" si="64"/>
        <v>-6.534923541543157E-2</v>
      </c>
      <c r="I25" s="54">
        <f t="shared" si="64"/>
        <v>9.0556340281839356E-2</v>
      </c>
      <c r="J25" s="54">
        <f t="shared" si="64"/>
        <v>0.16786757803720392</v>
      </c>
      <c r="K25" s="54">
        <f t="shared" si="64"/>
        <v>0.25026361702483785</v>
      </c>
      <c r="L25" s="54">
        <f t="shared" si="64"/>
        <v>1.2985689767006725E-2</v>
      </c>
      <c r="M25" s="54">
        <f t="shared" si="64"/>
        <v>0.10447335465944733</v>
      </c>
      <c r="N25" s="54">
        <f t="shared" si="64"/>
        <v>0.13314923719807634</v>
      </c>
      <c r="O25" s="54">
        <f t="shared" si="64"/>
        <v>0.24514838578382572</v>
      </c>
      <c r="P25" s="54">
        <f t="shared" si="64"/>
        <v>-2.339648357639354E-2</v>
      </c>
      <c r="Q25" s="54">
        <f t="shared" si="64"/>
        <v>3.9104582021685833E-2</v>
      </c>
      <c r="R25" s="54">
        <f t="shared" si="64"/>
        <v>8.0626799557032058E-2</v>
      </c>
      <c r="S25" s="54">
        <f t="shared" si="64"/>
        <v>0.20857290233837689</v>
      </c>
      <c r="T25" s="54">
        <f t="shared" si="64"/>
        <v>-1.3642848947134731E-2</v>
      </c>
      <c r="U25" s="54">
        <f t="shared" ref="U25" si="65">U12/U6</f>
        <v>8.5273241079579995E-2</v>
      </c>
      <c r="Z25" s="11">
        <f t="shared" ref="Z25:AT25" si="66">Z12/Z6</f>
        <v>0.10023593528968261</v>
      </c>
      <c r="AA25" s="11">
        <f t="shared" si="66"/>
        <v>0.13284581160480788</v>
      </c>
      <c r="AB25" s="11">
        <f t="shared" si="66"/>
        <v>0.12998881608169319</v>
      </c>
      <c r="AC25" s="11">
        <f t="shared" si="66"/>
        <v>0.14532893907222924</v>
      </c>
      <c r="AD25" s="11">
        <f t="shared" si="66"/>
        <v>0.12878405241918275</v>
      </c>
      <c r="AE25" s="11">
        <f t="shared" si="66"/>
        <v>0.16107958660435781</v>
      </c>
      <c r="AF25" s="11">
        <f t="shared" si="66"/>
        <v>0.17417678758557828</v>
      </c>
      <c r="AG25" s="11">
        <f t="shared" si="66"/>
        <v>0.11620603015075377</v>
      </c>
      <c r="AH25" s="11">
        <f t="shared" si="66"/>
        <v>0.14047410008779632</v>
      </c>
      <c r="AI25" s="11">
        <f t="shared" si="66"/>
        <v>0.14643799472295516</v>
      </c>
      <c r="AJ25" s="11">
        <f t="shared" si="66"/>
        <v>9.9290780141843976E-2</v>
      </c>
      <c r="AK25" s="12">
        <f t="shared" si="66"/>
        <v>0.12587880472943372</v>
      </c>
      <c r="AL25" s="11">
        <f t="shared" si="66"/>
        <v>0.13051844036577695</v>
      </c>
      <c r="AM25" s="11">
        <f t="shared" si="66"/>
        <v>0.13511451134825794</v>
      </c>
      <c r="AN25" s="11">
        <f t="shared" si="66"/>
        <v>0.13966742673465926</v>
      </c>
      <c r="AO25" s="11">
        <f t="shared" si="66"/>
        <v>0.14417759174184561</v>
      </c>
      <c r="AP25" s="11">
        <f t="shared" si="66"/>
        <v>0.14864540778182825</v>
      </c>
      <c r="AQ25" s="11">
        <f t="shared" si="66"/>
        <v>0.15307127249749181</v>
      </c>
      <c r="AR25" s="11">
        <f t="shared" si="66"/>
        <v>0.15745557979798483</v>
      </c>
      <c r="AS25" s="11">
        <f t="shared" si="66"/>
        <v>0.16179871989377831</v>
      </c>
      <c r="AT25" s="11">
        <f t="shared" si="66"/>
        <v>0.16610107933139553</v>
      </c>
      <c r="AV25" s="1" t="s">
        <v>88</v>
      </c>
      <c r="AW25" s="27">
        <f>(AW24-B4)/B4</f>
        <v>0.5966075029180401</v>
      </c>
    </row>
    <row r="26" spans="1:133" x14ac:dyDescent="0.25">
      <c r="C26" s="3" t="s">
        <v>142</v>
      </c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Z26" s="11">
        <f>Z17/938.411</f>
        <v>0.10800598032205501</v>
      </c>
      <c r="AA26" s="11">
        <f>AA17/1002</f>
        <v>0.13383832335329335</v>
      </c>
      <c r="AB26" s="11">
        <f>AB17/1018</f>
        <v>0.13888899803536339</v>
      </c>
      <c r="AC26" s="11">
        <f>AC17/1090</f>
        <v>0.1549605504587156</v>
      </c>
      <c r="AD26" s="11">
        <f>AD17/1150</f>
        <v>0.18082608695652158</v>
      </c>
      <c r="AE26" s="11">
        <f>AE17/1184</f>
        <v>0.30067989864864852</v>
      </c>
      <c r="AF26" s="11">
        <f>AF17/1262</f>
        <v>0.30462995245641838</v>
      </c>
      <c r="AG26" s="11">
        <v>0.19539999999999999</v>
      </c>
      <c r="AH26" s="11">
        <v>0.23799999999999999</v>
      </c>
      <c r="AI26" s="11">
        <v>0.25919999999999999</v>
      </c>
      <c r="AJ26" s="11">
        <f>AJ17/S53</f>
        <v>0.15636160998730511</v>
      </c>
      <c r="AK26" s="12"/>
      <c r="AL26" s="11"/>
      <c r="AM26" s="11"/>
      <c r="AN26" s="11"/>
      <c r="AO26" s="11"/>
      <c r="AP26" s="11"/>
      <c r="AQ26" s="11"/>
      <c r="AR26" s="11"/>
      <c r="AS26" s="11"/>
      <c r="AT26" s="11"/>
      <c r="AV26" s="1"/>
      <c r="AW26" s="27"/>
    </row>
    <row r="27" spans="1:133" s="14" customFormat="1" x14ac:dyDescent="0.25">
      <c r="B27" s="15"/>
      <c r="C27" s="3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3"/>
      <c r="S27" s="3"/>
      <c r="T27" s="3"/>
      <c r="U27" s="3"/>
      <c r="W27" s="3"/>
      <c r="X27" s="3"/>
      <c r="Y27" s="3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2"/>
      <c r="AL27" s="11"/>
      <c r="AM27" s="3"/>
      <c r="AN27" s="11"/>
      <c r="AO27" s="11"/>
      <c r="AP27" s="11"/>
      <c r="AQ27" s="11"/>
      <c r="AR27" s="11"/>
      <c r="AS27" s="11"/>
      <c r="AT27" s="11"/>
      <c r="AV27" s="18"/>
      <c r="AW27" s="18"/>
    </row>
    <row r="28" spans="1:133" s="54" customFormat="1" x14ac:dyDescent="0.25">
      <c r="B28" s="55"/>
      <c r="C28" s="14" t="s">
        <v>98</v>
      </c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>
        <v>115.3</v>
      </c>
      <c r="Q28" s="14">
        <v>189</v>
      </c>
      <c r="R28" s="14">
        <v>205</v>
      </c>
      <c r="S28" s="14">
        <v>440</v>
      </c>
      <c r="T28" s="14">
        <v>132.69999999999999</v>
      </c>
      <c r="U28" s="14">
        <v>218</v>
      </c>
      <c r="V28" s="14"/>
      <c r="W28" s="14"/>
      <c r="X28" s="14"/>
      <c r="Y28" s="14"/>
      <c r="Z28" s="14">
        <v>174.03800000000001</v>
      </c>
      <c r="AA28" s="14">
        <v>201.06299999999999</v>
      </c>
      <c r="AB28" s="14">
        <v>214.52799999999999</v>
      </c>
      <c r="AC28" s="14">
        <v>250.20599999999999</v>
      </c>
      <c r="AD28" s="14">
        <v>566.94899999999996</v>
      </c>
      <c r="AE28" s="14">
        <v>823.57</v>
      </c>
      <c r="AF28" s="14">
        <v>877.56700000000001</v>
      </c>
      <c r="AG28" s="14">
        <v>717.52099999999996</v>
      </c>
      <c r="AH28" s="14">
        <v>884.49300000000005</v>
      </c>
      <c r="AI28" s="14">
        <v>1026</v>
      </c>
      <c r="AJ28" s="14">
        <v>949.09400000000005</v>
      </c>
      <c r="AK28" s="15">
        <f>AK12-AK10</f>
        <v>1105.8872000000006</v>
      </c>
      <c r="AL28" s="14">
        <f t="shared" ref="AL28:AT28" si="67">AL12-AL10</f>
        <v>1193.0241679999999</v>
      </c>
      <c r="AM28" s="14">
        <f t="shared" si="67"/>
        <v>1286.6640254199999</v>
      </c>
      <c r="AN28" s="14">
        <f t="shared" si="67"/>
        <v>1387.2756043297995</v>
      </c>
      <c r="AO28" s="14">
        <f t="shared" si="67"/>
        <v>1495.3607488178991</v>
      </c>
      <c r="AP28" s="14">
        <f t="shared" si="67"/>
        <v>1611.4566003590917</v>
      </c>
      <c r="AQ28" s="14">
        <f t="shared" si="67"/>
        <v>1736.1380394082025</v>
      </c>
      <c r="AR28" s="14">
        <f t="shared" si="67"/>
        <v>1870.0202937969234</v>
      </c>
      <c r="AS28" s="14">
        <f t="shared" si="67"/>
        <v>2013.7617252214061</v>
      </c>
      <c r="AT28" s="14">
        <f t="shared" si="67"/>
        <v>2168.0668058665042</v>
      </c>
      <c r="AV28" s="27"/>
      <c r="AW28" s="27"/>
    </row>
    <row r="29" spans="1:133" s="53" customFormat="1" x14ac:dyDescent="0.25">
      <c r="B29" s="64"/>
      <c r="C29" s="54" t="s">
        <v>159</v>
      </c>
      <c r="D29" s="54">
        <f t="shared" ref="D29:U29" si="68">D28/D6</f>
        <v>0</v>
      </c>
      <c r="E29" s="54">
        <f t="shared" si="68"/>
        <v>0</v>
      </c>
      <c r="F29" s="54">
        <f t="shared" si="68"/>
        <v>0</v>
      </c>
      <c r="G29" s="54">
        <f t="shared" si="68"/>
        <v>0</v>
      </c>
      <c r="H29" s="54">
        <f t="shared" si="68"/>
        <v>0</v>
      </c>
      <c r="I29" s="54">
        <f t="shared" si="68"/>
        <v>0</v>
      </c>
      <c r="J29" s="54">
        <f t="shared" si="68"/>
        <v>0</v>
      </c>
      <c r="K29" s="54">
        <f t="shared" si="68"/>
        <v>0</v>
      </c>
      <c r="L29" s="54">
        <f t="shared" si="68"/>
        <v>0</v>
      </c>
      <c r="M29" s="54">
        <f t="shared" si="68"/>
        <v>0</v>
      </c>
      <c r="N29" s="54">
        <f t="shared" si="68"/>
        <v>0</v>
      </c>
      <c r="O29" s="54">
        <f t="shared" si="68"/>
        <v>0</v>
      </c>
      <c r="P29" s="54">
        <f t="shared" si="68"/>
        <v>0.15714869837808368</v>
      </c>
      <c r="Q29" s="54">
        <f t="shared" si="68"/>
        <v>0.22035676810073454</v>
      </c>
      <c r="R29" s="54">
        <f t="shared" si="68"/>
        <v>0.22702104097452935</v>
      </c>
      <c r="S29" s="54">
        <f t="shared" si="68"/>
        <v>0.30261348005502064</v>
      </c>
      <c r="T29" s="54">
        <f t="shared" si="68"/>
        <v>0.16550014217796688</v>
      </c>
      <c r="U29" s="54">
        <f t="shared" si="68"/>
        <v>0.23721771907546027</v>
      </c>
      <c r="V29" s="54"/>
      <c r="W29" s="54"/>
      <c r="X29" s="54"/>
      <c r="Y29" s="54"/>
      <c r="Z29" s="54">
        <f t="shared" ref="Z29:AT29" si="69">Z28/Z6</f>
        <v>0.14628324170212983</v>
      </c>
      <c r="AA29" s="54">
        <f t="shared" si="69"/>
        <v>0.15519724715406488</v>
      </c>
      <c r="AB29" s="54">
        <f t="shared" si="69"/>
        <v>0.15519169641087374</v>
      </c>
      <c r="AC29" s="54">
        <f t="shared" si="69"/>
        <v>0.17054868052881092</v>
      </c>
      <c r="AD29" s="54">
        <f t="shared" si="69"/>
        <v>0.24185386787704016</v>
      </c>
      <c r="AE29" s="54">
        <f t="shared" si="69"/>
        <v>0.27486618308570226</v>
      </c>
      <c r="AF29" s="54">
        <f t="shared" si="69"/>
        <v>0.28243961564110026</v>
      </c>
      <c r="AG29" s="54">
        <f t="shared" si="69"/>
        <v>0.2253520728643216</v>
      </c>
      <c r="AH29" s="54">
        <f t="shared" si="69"/>
        <v>0.25885074626865673</v>
      </c>
      <c r="AI29" s="54">
        <f t="shared" si="69"/>
        <v>0.27071240105540895</v>
      </c>
      <c r="AJ29" s="54">
        <f t="shared" si="69"/>
        <v>0.24039868287740629</v>
      </c>
      <c r="AK29" s="55">
        <f t="shared" si="69"/>
        <v>0.26057294194709796</v>
      </c>
      <c r="AL29" s="54">
        <f t="shared" si="69"/>
        <v>0.26394784390064618</v>
      </c>
      <c r="AM29" s="54">
        <f t="shared" si="69"/>
        <v>0.26729105663397346</v>
      </c>
      <c r="AN29" s="54">
        <f t="shared" si="69"/>
        <v>0.27060287769844316</v>
      </c>
      <c r="AO29" s="54">
        <f t="shared" si="69"/>
        <v>0.27388360185150951</v>
      </c>
      <c r="AP29" s="54">
        <f t="shared" si="69"/>
        <v>0.27713352108295075</v>
      </c>
      <c r="AQ29" s="54">
        <f t="shared" si="69"/>
        <v>0.2803529246408572</v>
      </c>
      <c r="AR29" s="54">
        <f t="shared" si="69"/>
        <v>0.28354209905737499</v>
      </c>
      <c r="AS29" s="54">
        <f t="shared" si="69"/>
        <v>0.28670132817420707</v>
      </c>
      <c r="AT29" s="54">
        <f t="shared" si="69"/>
        <v>0.28983089316787664</v>
      </c>
      <c r="AV29" s="66"/>
      <c r="AW29" s="66"/>
    </row>
    <row r="30" spans="1:133" x14ac:dyDescent="0.25">
      <c r="C30" s="53" t="s">
        <v>158</v>
      </c>
      <c r="D30" s="53"/>
      <c r="E30" s="53"/>
      <c r="F30" s="53"/>
      <c r="G30" s="53">
        <f>SUM(D28:G28)</f>
        <v>0</v>
      </c>
      <c r="H30" s="53">
        <f t="shared" ref="H30:S30" si="70">SUM(E28:H28)</f>
        <v>0</v>
      </c>
      <c r="I30" s="53">
        <f t="shared" si="70"/>
        <v>0</v>
      </c>
      <c r="J30" s="53">
        <f t="shared" si="70"/>
        <v>0</v>
      </c>
      <c r="K30" s="53">
        <f t="shared" si="70"/>
        <v>0</v>
      </c>
      <c r="L30" s="53">
        <f t="shared" si="70"/>
        <v>0</v>
      </c>
      <c r="M30" s="53">
        <f t="shared" si="70"/>
        <v>0</v>
      </c>
      <c r="N30" s="53">
        <f t="shared" si="70"/>
        <v>0</v>
      </c>
      <c r="O30" s="53">
        <f t="shared" si="70"/>
        <v>0</v>
      </c>
      <c r="P30" s="53">
        <f t="shared" si="70"/>
        <v>115.3</v>
      </c>
      <c r="Q30" s="53">
        <f t="shared" si="70"/>
        <v>304.3</v>
      </c>
      <c r="R30" s="53">
        <f t="shared" si="70"/>
        <v>509.3</v>
      </c>
      <c r="S30" s="53">
        <f t="shared" si="70"/>
        <v>949.3</v>
      </c>
      <c r="T30" s="53">
        <f>SUM(Q28:T28)</f>
        <v>966.7</v>
      </c>
      <c r="U30" s="53">
        <f>SUM(R28:U28)</f>
        <v>995.7</v>
      </c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64"/>
      <c r="AL30" s="53"/>
      <c r="AM30" s="53"/>
      <c r="AN30" s="53"/>
      <c r="AO30" s="53"/>
      <c r="AP30" s="53"/>
      <c r="AQ30" s="53"/>
      <c r="AR30" s="53"/>
      <c r="AS30" s="53"/>
      <c r="AT30" s="53"/>
    </row>
    <row r="31" spans="1:133" x14ac:dyDescent="0.25"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64"/>
      <c r="AL31" s="53"/>
      <c r="AM31" s="53"/>
      <c r="AN31" s="53"/>
      <c r="AO31" s="53"/>
      <c r="AP31" s="53"/>
      <c r="AQ31" s="53"/>
      <c r="AR31" s="53"/>
      <c r="AS31" s="53"/>
      <c r="AT31" s="53"/>
    </row>
    <row r="32" spans="1:133" s="54" customFormat="1" x14ac:dyDescent="0.25">
      <c r="B32" s="55"/>
      <c r="C32" s="54" t="s">
        <v>173</v>
      </c>
      <c r="Q32" s="54">
        <v>0.122</v>
      </c>
      <c r="U32" s="54">
        <v>0.159</v>
      </c>
      <c r="AK32" s="55"/>
    </row>
    <row r="33" spans="1:46" x14ac:dyDescent="0.25">
      <c r="AH33" s="11"/>
      <c r="AI33" s="11"/>
      <c r="AJ33" s="11"/>
      <c r="AK33" s="12"/>
      <c r="AL33" s="11"/>
      <c r="AM33" s="11"/>
      <c r="AN33" s="11"/>
      <c r="AO33" s="11"/>
      <c r="AP33" s="11"/>
      <c r="AQ33" s="11"/>
      <c r="AR33" s="11"/>
      <c r="AS33" s="11"/>
      <c r="AT33" s="11"/>
    </row>
    <row r="34" spans="1:46" s="14" customFormat="1" x14ac:dyDescent="0.25">
      <c r="A34" s="3"/>
      <c r="B34" s="2"/>
      <c r="C34" s="4" t="s">
        <v>91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11"/>
      <c r="AI34" s="11"/>
      <c r="AJ34" s="11"/>
      <c r="AK34" s="12"/>
      <c r="AL34" s="11"/>
      <c r="AM34" s="11"/>
      <c r="AN34" s="11"/>
      <c r="AO34" s="11"/>
      <c r="AP34" s="11"/>
      <c r="AQ34" s="11"/>
      <c r="AR34" s="11"/>
      <c r="AS34" s="11"/>
      <c r="AT34" s="11"/>
    </row>
    <row r="35" spans="1:46" s="14" customFormat="1" x14ac:dyDescent="0.25">
      <c r="A35" s="3"/>
      <c r="B35" s="2"/>
      <c r="C35" s="3" t="s">
        <v>35</v>
      </c>
      <c r="D35" s="14">
        <v>65</v>
      </c>
      <c r="E35" s="14">
        <v>67</v>
      </c>
      <c r="F35" s="14">
        <v>67</v>
      </c>
      <c r="G35" s="14">
        <v>65</v>
      </c>
      <c r="H35" s="14">
        <v>69.956999999999994</v>
      </c>
      <c r="I35" s="14">
        <v>68.662000000000006</v>
      </c>
      <c r="J35" s="14">
        <v>68</v>
      </c>
      <c r="K35" s="14">
        <v>70</v>
      </c>
      <c r="L35" s="14">
        <v>70.328000000000003</v>
      </c>
      <c r="M35" s="14">
        <v>69.5</v>
      </c>
      <c r="N35" s="14">
        <v>72.114999999999995</v>
      </c>
      <c r="O35" s="14">
        <v>71.298000000000002</v>
      </c>
      <c r="P35" s="14">
        <v>73</v>
      </c>
      <c r="Q35" s="14">
        <v>73.542000000000002</v>
      </c>
      <c r="R35" s="14">
        <v>73.465999999999994</v>
      </c>
      <c r="S35" s="14">
        <v>75.807000000000002</v>
      </c>
      <c r="T35" s="14">
        <v>70.971999999999994</v>
      </c>
      <c r="U35" s="14">
        <v>70.671000000000006</v>
      </c>
      <c r="Z35" s="14">
        <v>0</v>
      </c>
      <c r="AA35" s="14">
        <v>0</v>
      </c>
      <c r="AB35" s="14">
        <v>0</v>
      </c>
      <c r="AC35" s="14">
        <v>0</v>
      </c>
      <c r="AD35" s="14">
        <v>65.402000000000001</v>
      </c>
      <c r="AE35" s="14">
        <v>72.28</v>
      </c>
      <c r="AF35" s="14">
        <v>70.286000000000001</v>
      </c>
      <c r="AG35" s="14">
        <v>65</v>
      </c>
      <c r="AH35" s="14">
        <v>70</v>
      </c>
      <c r="AI35" s="14">
        <v>71.298000000000002</v>
      </c>
      <c r="AJ35" s="14">
        <v>75.807000000000002</v>
      </c>
      <c r="AK35" s="15"/>
    </row>
    <row r="36" spans="1:46" s="14" customFormat="1" x14ac:dyDescent="0.25">
      <c r="A36" s="3"/>
      <c r="B36" s="2"/>
      <c r="C36" s="3" t="s">
        <v>36</v>
      </c>
      <c r="D36" s="14">
        <v>1509.9</v>
      </c>
      <c r="E36" s="14">
        <v>1511</v>
      </c>
      <c r="F36" s="14">
        <v>1511.6</v>
      </c>
      <c r="G36" s="14">
        <v>1510</v>
      </c>
      <c r="H36" s="14">
        <v>1513.6959999999999</v>
      </c>
      <c r="I36" s="14">
        <v>1512.694</v>
      </c>
      <c r="J36" s="14">
        <v>1511.8</v>
      </c>
      <c r="K36" s="14">
        <v>1513.8510000000001</v>
      </c>
      <c r="L36" s="14">
        <v>1513.9739999999999</v>
      </c>
      <c r="M36" s="14">
        <v>1513.3309999999999</v>
      </c>
      <c r="N36" s="14">
        <v>1515.356</v>
      </c>
      <c r="O36" s="14">
        <v>1514.7239999999999</v>
      </c>
      <c r="P36" s="14">
        <v>1515.94</v>
      </c>
      <c r="Q36" s="14">
        <v>1516.46</v>
      </c>
      <c r="R36" s="14">
        <v>1516.4010000000001</v>
      </c>
      <c r="S36" s="14">
        <v>1518.211</v>
      </c>
      <c r="T36" s="14">
        <v>1514.472</v>
      </c>
      <c r="U36" s="14">
        <v>1514.204</v>
      </c>
      <c r="Z36" s="14">
        <v>1459.585</v>
      </c>
      <c r="AA36" s="14">
        <v>1463.0229999999999</v>
      </c>
      <c r="AB36" s="14">
        <v>1462.354</v>
      </c>
      <c r="AC36" s="14">
        <v>1459.585</v>
      </c>
      <c r="AD36" s="14">
        <v>1510.145</v>
      </c>
      <c r="AE36" s="14">
        <v>1515.4849999999999</v>
      </c>
      <c r="AF36" s="14">
        <v>1511.788</v>
      </c>
      <c r="AG36" s="14">
        <v>1510</v>
      </c>
      <c r="AH36" s="14">
        <v>1513.8510000000001</v>
      </c>
      <c r="AI36" s="14">
        <v>1514.7239999999999</v>
      </c>
      <c r="AJ36" s="14">
        <v>1518.211</v>
      </c>
      <c r="AK36" s="15"/>
    </row>
    <row r="37" spans="1:46" s="14" customFormat="1" x14ac:dyDescent="0.25">
      <c r="A37" s="3"/>
      <c r="B37" s="2"/>
      <c r="C37" s="3" t="s">
        <v>37</v>
      </c>
      <c r="D37" s="14">
        <v>21</v>
      </c>
      <c r="E37" s="14">
        <v>22</v>
      </c>
      <c r="F37" s="14">
        <v>24.5</v>
      </c>
      <c r="G37" s="14">
        <v>35</v>
      </c>
      <c r="H37" s="14">
        <v>34.655999999999999</v>
      </c>
      <c r="I37" s="14">
        <v>34.503999999999998</v>
      </c>
      <c r="J37" s="14">
        <v>42.6</v>
      </c>
      <c r="K37" s="14">
        <v>46.7</v>
      </c>
      <c r="L37" s="14">
        <v>46.276000000000003</v>
      </c>
      <c r="M37" s="14">
        <v>45.225999999999999</v>
      </c>
      <c r="N37" s="14">
        <v>44.774999999999999</v>
      </c>
      <c r="O37" s="14">
        <v>54.933999999999997</v>
      </c>
      <c r="P37" s="14">
        <v>57.128</v>
      </c>
      <c r="Q37" s="14">
        <v>63.752000000000002</v>
      </c>
      <c r="R37" s="14">
        <v>69.399000000000001</v>
      </c>
      <c r="S37" s="14">
        <v>81.837000000000003</v>
      </c>
      <c r="T37" s="14">
        <v>84.65</v>
      </c>
      <c r="U37" s="14">
        <v>86.542000000000002</v>
      </c>
      <c r="Z37" s="14">
        <v>0</v>
      </c>
      <c r="AA37" s="14">
        <v>0</v>
      </c>
      <c r="AB37" s="14">
        <v>8.423</v>
      </c>
      <c r="AC37" s="14">
        <v>9.8350000000000009</v>
      </c>
      <c r="AD37" s="14">
        <v>10.085000000000001</v>
      </c>
      <c r="AE37" s="14">
        <v>5.6230000000000002</v>
      </c>
      <c r="AF37" s="14">
        <v>19.096</v>
      </c>
      <c r="AG37" s="14">
        <v>35</v>
      </c>
      <c r="AH37" s="14">
        <v>46.7</v>
      </c>
      <c r="AI37" s="14">
        <v>54.933999999999997</v>
      </c>
      <c r="AJ37" s="14">
        <v>81.837000000000003</v>
      </c>
      <c r="AK37" s="15"/>
    </row>
    <row r="38" spans="1:46" s="14" customFormat="1" x14ac:dyDescent="0.25">
      <c r="A38" s="3"/>
      <c r="B38" s="2"/>
      <c r="C38" s="3" t="s">
        <v>38</v>
      </c>
      <c r="D38" s="14">
        <v>9.6</v>
      </c>
      <c r="E38" s="14">
        <v>6</v>
      </c>
      <c r="F38" s="14">
        <v>0</v>
      </c>
      <c r="G38" s="14">
        <v>2</v>
      </c>
      <c r="H38" s="14">
        <v>17.45</v>
      </c>
      <c r="I38" s="14">
        <v>0</v>
      </c>
      <c r="J38" s="14">
        <v>0</v>
      </c>
      <c r="K38" s="14">
        <v>7</v>
      </c>
      <c r="L38" s="14">
        <v>6.5620000000000003</v>
      </c>
      <c r="M38" s="14">
        <v>9.2319999999999993</v>
      </c>
      <c r="N38" s="14">
        <v>6.1109999999999998</v>
      </c>
      <c r="O38" s="14">
        <v>0</v>
      </c>
      <c r="P38" s="14">
        <v>0</v>
      </c>
      <c r="Q38" s="14">
        <v>13.406000000000001</v>
      </c>
      <c r="R38" s="14">
        <v>0</v>
      </c>
      <c r="S38" s="14">
        <v>0</v>
      </c>
      <c r="T38" s="14">
        <v>7.6379999999999999</v>
      </c>
      <c r="U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2.1850000000000001</v>
      </c>
      <c r="AE38" s="14">
        <v>15.81</v>
      </c>
      <c r="AF38" s="14">
        <v>22.968</v>
      </c>
      <c r="AG38" s="14">
        <v>2</v>
      </c>
      <c r="AH38" s="14">
        <v>7</v>
      </c>
      <c r="AI38" s="14">
        <v>0</v>
      </c>
      <c r="AJ38" s="14">
        <v>0</v>
      </c>
      <c r="AK38" s="15"/>
    </row>
    <row r="39" spans="1:46" s="14" customFormat="1" x14ac:dyDescent="0.25">
      <c r="A39" s="3"/>
      <c r="B39" s="2"/>
      <c r="C39" s="3" t="s">
        <v>39</v>
      </c>
      <c r="D39" s="14">
        <v>737.7</v>
      </c>
      <c r="E39" s="14">
        <v>777</v>
      </c>
      <c r="F39" s="14">
        <v>795.4</v>
      </c>
      <c r="G39" s="14">
        <v>761</v>
      </c>
      <c r="H39" s="14">
        <v>1067.1420000000001</v>
      </c>
      <c r="I39" s="14">
        <v>1042.4670000000001</v>
      </c>
      <c r="J39" s="14">
        <v>1039.5</v>
      </c>
      <c r="K39" s="14">
        <v>1050</v>
      </c>
      <c r="L39" s="14">
        <v>1182.5350000000001</v>
      </c>
      <c r="M39" s="14">
        <v>1199.1669999999999</v>
      </c>
      <c r="N39" s="14">
        <v>1181.866</v>
      </c>
      <c r="O39" s="14">
        <v>1198.9549999999999</v>
      </c>
      <c r="P39" s="14">
        <v>1212.1679999999999</v>
      </c>
      <c r="Q39" s="14">
        <v>1337.115</v>
      </c>
      <c r="R39" s="14">
        <v>1313.81</v>
      </c>
      <c r="S39" s="14">
        <v>1311.38</v>
      </c>
      <c r="T39" s="14">
        <v>1358.203</v>
      </c>
      <c r="U39" s="14">
        <v>1275.6420000000001</v>
      </c>
      <c r="Z39" s="14">
        <v>0</v>
      </c>
      <c r="AA39" s="14">
        <v>0</v>
      </c>
      <c r="AB39" s="14">
        <v>0</v>
      </c>
      <c r="AC39" s="14">
        <v>0</v>
      </c>
      <c r="AD39" s="14">
        <v>796.5</v>
      </c>
      <c r="AE39" s="14">
        <v>778.4</v>
      </c>
      <c r="AF39" s="14">
        <v>732.3</v>
      </c>
      <c r="AG39" s="14">
        <v>761</v>
      </c>
      <c r="AH39" s="14">
        <v>1050</v>
      </c>
      <c r="AI39" s="14">
        <v>1198.9549999999999</v>
      </c>
      <c r="AJ39" s="14">
        <v>1311.38</v>
      </c>
      <c r="AK39" s="15"/>
    </row>
    <row r="40" spans="1:46" s="14" customFormat="1" x14ac:dyDescent="0.25">
      <c r="A40" s="3"/>
      <c r="B40" s="2"/>
      <c r="C40" s="3" t="s">
        <v>40</v>
      </c>
      <c r="D40" s="14">
        <v>194.3</v>
      </c>
      <c r="E40" s="14">
        <v>200</v>
      </c>
      <c r="F40" s="14">
        <v>202</v>
      </c>
      <c r="G40" s="14">
        <v>237</v>
      </c>
      <c r="H40" s="14">
        <v>274.96600000000001</v>
      </c>
      <c r="I40" s="14">
        <v>308.31599999999997</v>
      </c>
      <c r="J40" s="14">
        <v>299.60000000000002</v>
      </c>
      <c r="K40" s="14">
        <v>303</v>
      </c>
      <c r="L40" s="14">
        <v>319.11099999999999</v>
      </c>
      <c r="M40" s="14">
        <v>328.86200000000002</v>
      </c>
      <c r="N40" s="14">
        <v>336.95499999999998</v>
      </c>
      <c r="O40" s="14">
        <v>383.495</v>
      </c>
      <c r="P40" s="14">
        <v>387.44499999999999</v>
      </c>
      <c r="Q40" s="14">
        <v>449.43799999999999</v>
      </c>
      <c r="R40" s="14">
        <v>454.70299999999997</v>
      </c>
      <c r="S40" s="14">
        <v>487.19400000000002</v>
      </c>
      <c r="T40" s="14">
        <v>476.53500000000003</v>
      </c>
      <c r="U40" s="14">
        <v>486.34899999999999</v>
      </c>
      <c r="Z40" s="14">
        <v>86.081000000000003</v>
      </c>
      <c r="AA40" s="14">
        <v>88.492000000000004</v>
      </c>
      <c r="AB40" s="14">
        <v>91.896000000000001</v>
      </c>
      <c r="AC40" s="14">
        <v>91.53</v>
      </c>
      <c r="AD40" s="14">
        <v>205.33799999999999</v>
      </c>
      <c r="AE40" s="14">
        <v>242.79499999999999</v>
      </c>
      <c r="AF40" s="14">
        <v>227.79900000000001</v>
      </c>
      <c r="AG40" s="14">
        <v>237</v>
      </c>
      <c r="AH40" s="14">
        <v>303</v>
      </c>
      <c r="AI40" s="14">
        <v>383.495</v>
      </c>
      <c r="AJ40" s="14">
        <v>487.19400000000002</v>
      </c>
      <c r="AK40" s="15"/>
    </row>
    <row r="41" spans="1:46" s="14" customFormat="1" x14ac:dyDescent="0.25">
      <c r="A41" s="3"/>
      <c r="B41" s="2"/>
      <c r="C41" s="3" t="s">
        <v>41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1</v>
      </c>
      <c r="L41" s="14">
        <v>0.42399999999999999</v>
      </c>
      <c r="M41" s="14">
        <v>0</v>
      </c>
      <c r="N41" s="14">
        <v>0</v>
      </c>
      <c r="O41" s="14">
        <v>34.331000000000003</v>
      </c>
      <c r="P41" s="14">
        <v>1.214</v>
      </c>
      <c r="Q41" s="14">
        <v>4.3659999999999997</v>
      </c>
      <c r="R41" s="14">
        <v>4</v>
      </c>
      <c r="S41" s="14">
        <v>4.375</v>
      </c>
      <c r="T41" s="14">
        <v>4.1449999999999996</v>
      </c>
      <c r="U41" s="14">
        <v>3.1059999999999999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0.03</v>
      </c>
      <c r="AG41" s="14">
        <v>0</v>
      </c>
      <c r="AH41" s="14">
        <v>1</v>
      </c>
      <c r="AI41" s="14">
        <v>34.331000000000003</v>
      </c>
      <c r="AJ41" s="14">
        <v>4.375</v>
      </c>
      <c r="AK41" s="15"/>
    </row>
    <row r="42" spans="1:46" s="14" customFormat="1" x14ac:dyDescent="0.25">
      <c r="A42" s="3"/>
      <c r="B42" s="2"/>
      <c r="C42" s="3" t="s">
        <v>42</v>
      </c>
      <c r="D42" s="14">
        <v>22.5</v>
      </c>
      <c r="E42" s="14">
        <v>31</v>
      </c>
      <c r="F42" s="14">
        <v>23</v>
      </c>
      <c r="G42" s="14">
        <v>24</v>
      </c>
      <c r="H42" s="14">
        <v>35.799999999999997</v>
      </c>
      <c r="I42" s="14">
        <v>37.024000000000001</v>
      </c>
      <c r="J42" s="14">
        <v>37.5</v>
      </c>
      <c r="K42" s="14">
        <v>51</v>
      </c>
      <c r="L42" s="14">
        <v>51.475999999999999</v>
      </c>
      <c r="M42" s="14">
        <v>70</v>
      </c>
      <c r="N42" s="14">
        <v>71.073999999999998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0.5</v>
      </c>
      <c r="U42" s="14">
        <v>0.5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24</v>
      </c>
      <c r="AH42" s="14">
        <v>51</v>
      </c>
      <c r="AI42" s="14">
        <v>0</v>
      </c>
      <c r="AJ42" s="14">
        <v>0</v>
      </c>
      <c r="AK42" s="15"/>
      <c r="AM42" s="11"/>
    </row>
    <row r="43" spans="1:46" s="14" customFormat="1" x14ac:dyDescent="0.25">
      <c r="A43" s="3"/>
      <c r="B43" s="2"/>
      <c r="C43" s="3" t="s">
        <v>43</v>
      </c>
      <c r="D43" s="14">
        <v>722.18799999999999</v>
      </c>
      <c r="E43" s="14">
        <v>779.6</v>
      </c>
      <c r="F43" s="14">
        <v>876.5</v>
      </c>
      <c r="G43" s="14">
        <v>669</v>
      </c>
      <c r="H43" s="14">
        <v>672.80600000000004</v>
      </c>
      <c r="I43" s="14">
        <v>666.04899999999998</v>
      </c>
      <c r="J43" s="14">
        <v>728.7</v>
      </c>
      <c r="K43" s="14">
        <v>576</v>
      </c>
      <c r="L43" s="14">
        <v>700</v>
      </c>
      <c r="M43" s="14">
        <v>759.88900000000001</v>
      </c>
      <c r="N43" s="14">
        <v>930.78499999999997</v>
      </c>
      <c r="O43" s="14">
        <v>775.91099999999994</v>
      </c>
      <c r="P43" s="14">
        <v>865.75099999999998</v>
      </c>
      <c r="Q43" s="14">
        <v>833.41499999999996</v>
      </c>
      <c r="R43" s="14">
        <v>992.25900000000001</v>
      </c>
      <c r="S43" s="14">
        <v>934.48400000000004</v>
      </c>
      <c r="T43" s="14">
        <v>972.05899999999997</v>
      </c>
      <c r="U43" s="14">
        <v>911.42100000000005</v>
      </c>
      <c r="Z43" s="14">
        <v>215.21100000000001</v>
      </c>
      <c r="AA43" s="14">
        <v>222.19</v>
      </c>
      <c r="AB43" s="14">
        <v>301.99700000000001</v>
      </c>
      <c r="AC43" s="14">
        <v>253.15700000000001</v>
      </c>
      <c r="AD43" s="14">
        <v>484.988</v>
      </c>
      <c r="AE43" s="14">
        <v>482.161</v>
      </c>
      <c r="AF43" s="14">
        <v>646.76400000000001</v>
      </c>
      <c r="AG43" s="14">
        <v>669</v>
      </c>
      <c r="AH43" s="14">
        <v>576</v>
      </c>
      <c r="AI43" s="14">
        <v>775.91099999999994</v>
      </c>
      <c r="AJ43" s="14">
        <v>934.48400000000004</v>
      </c>
      <c r="AK43" s="15"/>
    </row>
    <row r="44" spans="1:46" s="14" customFormat="1" x14ac:dyDescent="0.25">
      <c r="A44" s="3"/>
      <c r="B44" s="2"/>
      <c r="C44" s="3" t="s">
        <v>44</v>
      </c>
      <c r="D44" s="14">
        <v>16</v>
      </c>
      <c r="E44" s="14">
        <v>21</v>
      </c>
      <c r="F44" s="14">
        <v>16</v>
      </c>
      <c r="G44" s="14">
        <v>12</v>
      </c>
      <c r="H44" s="14">
        <v>15.3322</v>
      </c>
      <c r="I44" s="14">
        <v>32.841000000000001</v>
      </c>
      <c r="J44" s="14">
        <v>10.1</v>
      </c>
      <c r="K44" s="14">
        <v>33</v>
      </c>
      <c r="L44" s="14">
        <v>25.876000000000001</v>
      </c>
      <c r="M44" s="14">
        <v>27.274000000000001</v>
      </c>
      <c r="N44" s="14">
        <v>25.707999999999998</v>
      </c>
      <c r="O44" s="14">
        <v>31.510999999999999</v>
      </c>
      <c r="P44" s="14">
        <v>43.704000000000001</v>
      </c>
      <c r="Q44" s="14">
        <v>37.753999999999998</v>
      </c>
      <c r="R44" s="14">
        <v>27.991</v>
      </c>
      <c r="S44" s="14">
        <v>27.414999999999999</v>
      </c>
      <c r="T44" s="14">
        <v>35.844999999999999</v>
      </c>
      <c r="U44" s="14">
        <v>29.951000000000001</v>
      </c>
      <c r="Z44" s="14">
        <v>2.996</v>
      </c>
      <c r="AA44" s="14">
        <v>2.5270000000000001</v>
      </c>
      <c r="AB44" s="14">
        <v>3.5</v>
      </c>
      <c r="AC44" s="14">
        <v>2.9620000000000002</v>
      </c>
      <c r="AD44" s="14">
        <v>23.201000000000001</v>
      </c>
      <c r="AE44" s="14">
        <v>18.381</v>
      </c>
      <c r="AF44" s="14">
        <v>21.998999999999999</v>
      </c>
      <c r="AG44" s="14">
        <v>12</v>
      </c>
      <c r="AH44" s="14">
        <v>33</v>
      </c>
      <c r="AI44" s="14">
        <v>31.510999999999999</v>
      </c>
      <c r="AJ44" s="14">
        <v>27.414999999999999</v>
      </c>
      <c r="AK44" s="15"/>
    </row>
    <row r="45" spans="1:46" s="14" customFormat="1" x14ac:dyDescent="0.25">
      <c r="A45" s="3"/>
      <c r="B45" s="2"/>
      <c r="C45" s="3" t="s">
        <v>45</v>
      </c>
      <c r="D45" s="14">
        <v>35.299999999999997</v>
      </c>
      <c r="E45" s="14">
        <v>31</v>
      </c>
      <c r="F45" s="14">
        <v>33</v>
      </c>
      <c r="G45" s="14">
        <v>35</v>
      </c>
      <c r="H45" s="14">
        <v>16.495000000000001</v>
      </c>
      <c r="I45" s="14">
        <v>50.140999999999998</v>
      </c>
      <c r="J45" s="14">
        <v>27</v>
      </c>
      <c r="K45" s="14">
        <v>43</v>
      </c>
      <c r="L45" s="14">
        <v>41.942999999999998</v>
      </c>
      <c r="M45" s="14">
        <v>41.420999999999999</v>
      </c>
      <c r="N45" s="14">
        <v>31.038</v>
      </c>
      <c r="O45" s="14">
        <v>52.793999999999997</v>
      </c>
      <c r="P45" s="14">
        <v>64.260000000000005</v>
      </c>
      <c r="Q45" s="14">
        <v>84</v>
      </c>
      <c r="R45" s="14">
        <v>85.8</v>
      </c>
      <c r="S45" s="14">
        <v>113.864</v>
      </c>
      <c r="T45" s="14">
        <v>91.168000000000006</v>
      </c>
      <c r="U45" s="14">
        <v>96.322000000000003</v>
      </c>
      <c r="Z45" s="14">
        <v>23.321999999999999</v>
      </c>
      <c r="AA45" s="14">
        <v>26.434999999999999</v>
      </c>
      <c r="AB45" s="14">
        <v>28.506</v>
      </c>
      <c r="AC45" s="14">
        <v>24.823</v>
      </c>
      <c r="AD45" s="14">
        <v>25.815000000000001</v>
      </c>
      <c r="AE45" s="14">
        <v>32.725000000000001</v>
      </c>
      <c r="AF45" s="14">
        <v>25.023</v>
      </c>
      <c r="AG45" s="14">
        <v>35</v>
      </c>
      <c r="AH45" s="14">
        <v>43</v>
      </c>
      <c r="AI45" s="14">
        <v>52.793999999999997</v>
      </c>
      <c r="AJ45" s="14">
        <v>113.864</v>
      </c>
      <c r="AK45" s="15"/>
    </row>
    <row r="46" spans="1:46" s="14" customFormat="1" x14ac:dyDescent="0.25">
      <c r="A46" s="3"/>
      <c r="B46" s="2"/>
      <c r="C46" s="3" t="s">
        <v>46</v>
      </c>
      <c r="D46" s="14">
        <v>37.5</v>
      </c>
      <c r="E46" s="14">
        <v>120</v>
      </c>
      <c r="F46" s="14">
        <v>148</v>
      </c>
      <c r="G46" s="14">
        <v>59</v>
      </c>
      <c r="H46" s="14">
        <v>53.762999999999998</v>
      </c>
      <c r="I46" s="14">
        <v>79.614000000000004</v>
      </c>
      <c r="J46" s="14">
        <v>61.7</v>
      </c>
      <c r="K46" s="14">
        <v>29</v>
      </c>
      <c r="L46" s="14">
        <v>49.692999999999998</v>
      </c>
      <c r="M46" s="14">
        <v>42.438000000000002</v>
      </c>
      <c r="N46" s="14">
        <v>28.593</v>
      </c>
      <c r="O46" s="14">
        <v>76.057000000000002</v>
      </c>
      <c r="P46" s="14">
        <v>34.238999999999997</v>
      </c>
      <c r="Q46" s="14">
        <v>28.856000000000002</v>
      </c>
      <c r="R46" s="14">
        <v>30.164000000000001</v>
      </c>
      <c r="S46" s="14">
        <v>28.568999999999999</v>
      </c>
      <c r="T46" s="14">
        <v>53.719000000000001</v>
      </c>
      <c r="U46" s="14">
        <v>63.847999999999999</v>
      </c>
      <c r="Z46" s="14">
        <v>14.206</v>
      </c>
      <c r="AA46" s="14">
        <v>8.3719999999999999</v>
      </c>
      <c r="AB46" s="14">
        <v>4.18</v>
      </c>
      <c r="AC46" s="14">
        <v>8.9469999999999992</v>
      </c>
      <c r="AD46" s="14">
        <v>2.3050000000000002</v>
      </c>
      <c r="AE46" s="14">
        <v>0</v>
      </c>
      <c r="AF46" s="14">
        <v>17.439</v>
      </c>
      <c r="AG46" s="14">
        <v>59</v>
      </c>
      <c r="AH46" s="14">
        <v>29</v>
      </c>
      <c r="AI46" s="14">
        <v>76.057000000000002</v>
      </c>
      <c r="AJ46" s="14">
        <v>28.568999999999999</v>
      </c>
      <c r="AK46" s="15"/>
    </row>
    <row r="47" spans="1:46" s="14" customFormat="1" x14ac:dyDescent="0.25">
      <c r="A47" s="3"/>
      <c r="B47" s="2"/>
      <c r="C47" s="3" t="s">
        <v>47</v>
      </c>
      <c r="D47" s="14">
        <v>0</v>
      </c>
      <c r="E47" s="14">
        <v>4</v>
      </c>
      <c r="F47" s="14">
        <v>6</v>
      </c>
      <c r="G47" s="14">
        <v>76</v>
      </c>
      <c r="H47" s="14">
        <v>0</v>
      </c>
      <c r="I47" s="14">
        <v>0</v>
      </c>
      <c r="J47" s="14">
        <v>0</v>
      </c>
      <c r="K47" s="14">
        <v>225</v>
      </c>
      <c r="L47" s="14">
        <v>0</v>
      </c>
      <c r="M47" s="14">
        <v>0</v>
      </c>
      <c r="N47" s="14">
        <v>0</v>
      </c>
      <c r="O47" s="14">
        <v>228.53399999999999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Z47" s="14">
        <v>230.37299999999999</v>
      </c>
      <c r="AA47" s="14">
        <v>291.85199999999998</v>
      </c>
      <c r="AB47" s="14">
        <v>130.071</v>
      </c>
      <c r="AC47" s="14">
        <v>242.19200000000001</v>
      </c>
      <c r="AD47" s="14">
        <v>339.24099999999999</v>
      </c>
      <c r="AE47" s="14">
        <v>301.27600000000001</v>
      </c>
      <c r="AF47" s="14">
        <v>239.33099999999999</v>
      </c>
      <c r="AG47" s="14">
        <v>76</v>
      </c>
      <c r="AH47" s="14">
        <v>225</v>
      </c>
      <c r="AI47" s="14">
        <v>228.53399999999999</v>
      </c>
      <c r="AJ47" s="14">
        <v>0</v>
      </c>
      <c r="AK47" s="15"/>
    </row>
    <row r="48" spans="1:46" s="14" customFormat="1" x14ac:dyDescent="0.25">
      <c r="A48" s="3"/>
      <c r="B48" s="2"/>
      <c r="C48" s="1" t="s">
        <v>48</v>
      </c>
      <c r="D48" s="18">
        <f t="shared" ref="D48:M48" si="71">SUM(D35:D47)</f>
        <v>3370.9880000000003</v>
      </c>
      <c r="E48" s="18">
        <f t="shared" si="71"/>
        <v>3569.6</v>
      </c>
      <c r="F48" s="18">
        <f>SUM(F35:F47)</f>
        <v>3703</v>
      </c>
      <c r="G48" s="18">
        <f t="shared" si="71"/>
        <v>3485</v>
      </c>
      <c r="H48" s="18">
        <f t="shared" si="71"/>
        <v>3772.0631999999996</v>
      </c>
      <c r="I48" s="18">
        <f t="shared" si="71"/>
        <v>3832.3119999999999</v>
      </c>
      <c r="J48" s="18">
        <f t="shared" si="71"/>
        <v>3826.4999999999995</v>
      </c>
      <c r="K48" s="18">
        <f t="shared" si="71"/>
        <v>3948.5510000000004</v>
      </c>
      <c r="L48" s="18">
        <f t="shared" si="71"/>
        <v>4008.1980000000008</v>
      </c>
      <c r="M48" s="18">
        <f t="shared" si="71"/>
        <v>4106.3399999999992</v>
      </c>
      <c r="N48" s="18">
        <f>SUM(N35:N47)</f>
        <v>4244.3759999999993</v>
      </c>
      <c r="O48" s="18">
        <f>SUM(O35:O47)</f>
        <v>4422.5439999999999</v>
      </c>
      <c r="P48" s="18">
        <f>SUM(P35:P47)</f>
        <v>4254.8489999999993</v>
      </c>
      <c r="Q48" s="18">
        <f>SUM(Q35:Q47)</f>
        <v>4442.1039999999994</v>
      </c>
      <c r="R48" s="18">
        <f t="shared" ref="R48:U48" si="72">SUM(R35:R47)</f>
        <v>4567.9930000000004</v>
      </c>
      <c r="S48" s="18">
        <f t="shared" si="72"/>
        <v>4583.1360000000004</v>
      </c>
      <c r="T48" s="18">
        <f t="shared" si="72"/>
        <v>4669.9059999999999</v>
      </c>
      <c r="U48" s="18">
        <f t="shared" si="72"/>
        <v>4538.5560000000005</v>
      </c>
      <c r="Z48" s="18">
        <f>SUM(Z35:Z47)</f>
        <v>2031.7739999999999</v>
      </c>
      <c r="AA48" s="18">
        <f>SUM(AA35:AA47)</f>
        <v>2102.8910000000001</v>
      </c>
      <c r="AB48" s="18">
        <f>SUM(AB35:AB47)</f>
        <v>2030.9270000000001</v>
      </c>
      <c r="AC48" s="18">
        <f>SUM(AC35:AC47)</f>
        <v>2093.0309999999999</v>
      </c>
      <c r="AD48" s="18">
        <f t="shared" ref="AD48:AE48" si="73">SUM(AD35:AD47)</f>
        <v>3465.2049999999999</v>
      </c>
      <c r="AE48" s="18">
        <f t="shared" si="73"/>
        <v>3464.9359999999997</v>
      </c>
      <c r="AF48" s="18">
        <v>3534.8229999999999</v>
      </c>
      <c r="AG48" s="18">
        <v>3485</v>
      </c>
      <c r="AH48" s="18">
        <f t="shared" ref="AH48" si="74">SUM(AH35:AH47)</f>
        <v>3948.5510000000004</v>
      </c>
      <c r="AI48" s="18">
        <f>SUM(AI35:AI47)</f>
        <v>4422.5439999999999</v>
      </c>
      <c r="AJ48" s="18">
        <f t="shared" ref="AJ48" si="75">SUM(AJ35:AJ47)</f>
        <v>4583.1360000000004</v>
      </c>
      <c r="AK48" s="15"/>
    </row>
    <row r="49" spans="1:37" s="14" customFormat="1" x14ac:dyDescent="0.25">
      <c r="A49" s="3"/>
      <c r="B49" s="2"/>
      <c r="C49" s="3" t="s">
        <v>49</v>
      </c>
      <c r="D49" s="14">
        <v>48.7</v>
      </c>
      <c r="E49" s="14">
        <v>49</v>
      </c>
      <c r="F49" s="14">
        <v>48.77</v>
      </c>
      <c r="G49" s="14">
        <v>49</v>
      </c>
      <c r="H49" s="14">
        <v>48.77</v>
      </c>
      <c r="I49" s="14">
        <v>48.77</v>
      </c>
      <c r="J49" s="14">
        <v>48.77</v>
      </c>
      <c r="K49" s="14">
        <v>49</v>
      </c>
      <c r="L49" s="14">
        <v>48.77</v>
      </c>
      <c r="M49" s="14">
        <v>49</v>
      </c>
      <c r="N49" s="14">
        <v>48.77</v>
      </c>
      <c r="O49" s="14">
        <v>48.77</v>
      </c>
      <c r="P49" s="14">
        <v>48.77</v>
      </c>
      <c r="Q49" s="14">
        <v>48.77</v>
      </c>
      <c r="R49" s="14">
        <v>48.77</v>
      </c>
      <c r="S49" s="14">
        <v>48.7</v>
      </c>
      <c r="T49" s="14">
        <v>48.77</v>
      </c>
      <c r="U49" s="14">
        <v>48.77</v>
      </c>
      <c r="Z49" s="14">
        <v>48.774000000000001</v>
      </c>
      <c r="AA49" s="14">
        <v>48.774000000000001</v>
      </c>
      <c r="AB49" s="14">
        <v>48.774000000000001</v>
      </c>
      <c r="AC49" s="14">
        <v>48.774000000000001</v>
      </c>
      <c r="AD49" s="14">
        <v>48.774000000000001</v>
      </c>
      <c r="AE49" s="14">
        <v>48.774000000000001</v>
      </c>
      <c r="AF49" s="14">
        <v>48.774000000000001</v>
      </c>
      <c r="AG49" s="14">
        <v>49</v>
      </c>
      <c r="AH49" s="14">
        <v>49</v>
      </c>
      <c r="AI49" s="14">
        <v>48.77</v>
      </c>
      <c r="AJ49" s="14">
        <v>48.7</v>
      </c>
      <c r="AK49" s="15"/>
    </row>
    <row r="50" spans="1:37" s="14" customFormat="1" x14ac:dyDescent="0.25">
      <c r="A50" s="3"/>
      <c r="B50" s="2"/>
      <c r="C50" s="3" t="s">
        <v>50</v>
      </c>
      <c r="D50" s="14">
        <v>321</v>
      </c>
      <c r="E50" s="14">
        <v>321</v>
      </c>
      <c r="F50" s="14">
        <v>321</v>
      </c>
      <c r="G50" s="14">
        <v>321</v>
      </c>
      <c r="H50" s="14">
        <v>321.05</v>
      </c>
      <c r="I50" s="14">
        <v>321.05</v>
      </c>
      <c r="J50" s="14">
        <v>321</v>
      </c>
      <c r="K50" s="14">
        <v>321</v>
      </c>
      <c r="L50" s="14">
        <v>321.05</v>
      </c>
      <c r="M50" s="14">
        <v>321.05</v>
      </c>
      <c r="N50" s="14">
        <v>321.05</v>
      </c>
      <c r="O50" s="14">
        <v>321.05</v>
      </c>
      <c r="P50" s="14">
        <v>321</v>
      </c>
      <c r="Q50" s="14">
        <v>321</v>
      </c>
      <c r="R50" s="14">
        <v>321</v>
      </c>
      <c r="S50" s="14">
        <v>321.05</v>
      </c>
      <c r="T50" s="14">
        <v>321.05</v>
      </c>
      <c r="U50" s="14">
        <v>321.05</v>
      </c>
      <c r="Z50" s="14">
        <v>321.04899999999998</v>
      </c>
      <c r="AA50" s="14">
        <v>321.04899999999998</v>
      </c>
      <c r="AB50" s="14">
        <v>321.04899999999998</v>
      </c>
      <c r="AC50" s="14">
        <v>321.04899999999998</v>
      </c>
      <c r="AD50" s="14">
        <v>321.04899999999998</v>
      </c>
      <c r="AE50" s="14">
        <v>321.05</v>
      </c>
      <c r="AF50" s="14">
        <v>321.05</v>
      </c>
      <c r="AG50" s="14">
        <v>321</v>
      </c>
      <c r="AH50" s="14">
        <v>321</v>
      </c>
      <c r="AI50" s="14">
        <v>321.05</v>
      </c>
      <c r="AJ50" s="14">
        <v>321.05</v>
      </c>
      <c r="AK50" s="15"/>
    </row>
    <row r="51" spans="1:37" s="14" customFormat="1" x14ac:dyDescent="0.25">
      <c r="A51" s="3"/>
      <c r="B51" s="2"/>
      <c r="C51" s="3" t="s">
        <v>51</v>
      </c>
      <c r="D51" s="14">
        <v>64.599999999999994</v>
      </c>
      <c r="E51" s="14">
        <v>64.5</v>
      </c>
      <c r="F51" s="14">
        <v>64.599999999999994</v>
      </c>
      <c r="G51" s="14">
        <v>65</v>
      </c>
      <c r="H51" s="14">
        <v>64.617000000000004</v>
      </c>
      <c r="I51" s="14">
        <v>64.617000000000004</v>
      </c>
      <c r="J51" s="14">
        <v>64.599999999999994</v>
      </c>
      <c r="K51" s="14">
        <v>65</v>
      </c>
      <c r="L51" s="14">
        <v>64.617000000000004</v>
      </c>
      <c r="M51" s="14">
        <v>64.617000000000004</v>
      </c>
      <c r="N51" s="14">
        <v>64.617000000000004</v>
      </c>
      <c r="O51" s="14">
        <v>64.617000000000004</v>
      </c>
      <c r="P51" s="14">
        <v>64.617000000000004</v>
      </c>
      <c r="Q51" s="14">
        <v>64.617000000000004</v>
      </c>
      <c r="R51" s="14">
        <v>65</v>
      </c>
      <c r="S51" s="14">
        <v>64.617000000000004</v>
      </c>
      <c r="T51" s="14">
        <v>64.617000000000004</v>
      </c>
      <c r="U51" s="14">
        <v>64.617000000000004</v>
      </c>
      <c r="Z51" s="14">
        <v>64.617000000000004</v>
      </c>
      <c r="AA51" s="14">
        <v>64.617000000000004</v>
      </c>
      <c r="AB51" s="14">
        <v>64.617000000000004</v>
      </c>
      <c r="AC51" s="14">
        <v>64.617000000000004</v>
      </c>
      <c r="AD51" s="14">
        <v>64.617000000000004</v>
      </c>
      <c r="AE51" s="14">
        <v>64.617000000000004</v>
      </c>
      <c r="AF51" s="14">
        <v>64.617000000000004</v>
      </c>
      <c r="AG51" s="14">
        <v>65</v>
      </c>
      <c r="AH51" s="14">
        <v>65</v>
      </c>
      <c r="AI51" s="14">
        <v>64.617000000000004</v>
      </c>
      <c r="AJ51" s="14">
        <v>64.617000000000004</v>
      </c>
      <c r="AK51" s="15"/>
    </row>
    <row r="52" spans="1:37" s="14" customFormat="1" x14ac:dyDescent="0.25">
      <c r="A52" s="3"/>
      <c r="B52" s="2"/>
      <c r="C52" s="3" t="s">
        <v>52</v>
      </c>
      <c r="D52" s="14">
        <v>833.4</v>
      </c>
      <c r="E52" s="14">
        <v>808</v>
      </c>
      <c r="F52" s="14">
        <v>860.2</v>
      </c>
      <c r="G52" s="14">
        <v>839</v>
      </c>
      <c r="H52" s="14">
        <v>823.70399999999995</v>
      </c>
      <c r="I52" s="14">
        <v>747.13599999999997</v>
      </c>
      <c r="J52" s="14">
        <v>812</v>
      </c>
      <c r="K52" s="14">
        <v>881</v>
      </c>
      <c r="L52" s="14">
        <v>929.25900000000001</v>
      </c>
      <c r="M52" s="14">
        <v>818.59299999999996</v>
      </c>
      <c r="N52" s="14">
        <v>890.57</v>
      </c>
      <c r="O52" s="14">
        <v>1103.886</v>
      </c>
      <c r="P52" s="14">
        <v>1011.711</v>
      </c>
      <c r="Q52" s="14">
        <v>807</v>
      </c>
      <c r="R52" s="14">
        <v>861.46</v>
      </c>
      <c r="S52" s="14">
        <v>1017.396</v>
      </c>
      <c r="T52" s="14">
        <v>964.88599999999997</v>
      </c>
      <c r="U52" s="14">
        <v>914.46600000000001</v>
      </c>
      <c r="Z52" s="14">
        <v>510.53199999999998</v>
      </c>
      <c r="AA52" s="14">
        <v>567.85199999999998</v>
      </c>
      <c r="AB52" s="14">
        <v>584.077</v>
      </c>
      <c r="AC52" s="14">
        <v>656.24699999999996</v>
      </c>
      <c r="AD52" s="14">
        <v>715.721</v>
      </c>
      <c r="AE52" s="14">
        <v>750.16099999999994</v>
      </c>
      <c r="AF52" s="14">
        <v>828.22299999999996</v>
      </c>
      <c r="AG52" s="14">
        <v>839</v>
      </c>
      <c r="AH52" s="14">
        <v>881</v>
      </c>
      <c r="AI52" s="14">
        <v>1103.886</v>
      </c>
      <c r="AJ52" s="14">
        <v>1017.396</v>
      </c>
      <c r="AK52" s="15"/>
    </row>
    <row r="53" spans="1:37" s="14" customFormat="1" x14ac:dyDescent="0.25">
      <c r="A53" s="3"/>
      <c r="B53" s="2"/>
      <c r="C53" s="13" t="s">
        <v>53</v>
      </c>
      <c r="D53" s="30">
        <f t="shared" ref="D53:M53" si="76">SUM(D49:D52)</f>
        <v>1267.6999999999998</v>
      </c>
      <c r="E53" s="30">
        <f t="shared" si="76"/>
        <v>1242.5</v>
      </c>
      <c r="F53" s="30">
        <f t="shared" si="76"/>
        <v>1294.5700000000002</v>
      </c>
      <c r="G53" s="30">
        <f t="shared" si="76"/>
        <v>1274</v>
      </c>
      <c r="H53" s="30">
        <f t="shared" si="76"/>
        <v>1258.1410000000001</v>
      </c>
      <c r="I53" s="30">
        <f t="shared" si="76"/>
        <v>1181.5729999999999</v>
      </c>
      <c r="J53" s="30">
        <f t="shared" si="76"/>
        <v>1246.3699999999999</v>
      </c>
      <c r="K53" s="30">
        <f t="shared" si="76"/>
        <v>1316</v>
      </c>
      <c r="L53" s="30">
        <f t="shared" si="76"/>
        <v>1363.6959999999999</v>
      </c>
      <c r="M53" s="30">
        <f t="shared" si="76"/>
        <v>1253.26</v>
      </c>
      <c r="N53" s="30">
        <f>SUM(N49:N52)</f>
        <v>1325.0070000000001</v>
      </c>
      <c r="O53" s="30">
        <f>SUM(O49:O52)</f>
        <v>1538.3229999999999</v>
      </c>
      <c r="P53" s="30">
        <f>SUM(P49:P52)</f>
        <v>1446.098</v>
      </c>
      <c r="Q53" s="30">
        <f>SUM(Q49:Q52)</f>
        <v>1241.3869999999999</v>
      </c>
      <c r="R53" s="30">
        <f t="shared" ref="R53:U53" si="77">SUM(R49:R52)</f>
        <v>1296.23</v>
      </c>
      <c r="S53" s="30">
        <f t="shared" si="77"/>
        <v>1451.7629999999999</v>
      </c>
      <c r="T53" s="30">
        <f t="shared" si="77"/>
        <v>1399.3229999999999</v>
      </c>
      <c r="U53" s="30">
        <f t="shared" si="77"/>
        <v>1348.903</v>
      </c>
      <c r="Z53" s="30">
        <f>SUM(Z49:Z52)</f>
        <v>944.97199999999998</v>
      </c>
      <c r="AA53" s="30">
        <f>SUM(AA49:AA52)</f>
        <v>1002.2919999999999</v>
      </c>
      <c r="AB53" s="30">
        <f>SUM(AB49:AB52)</f>
        <v>1018.5170000000001</v>
      </c>
      <c r="AC53" s="30">
        <f>SUM(AC49:AC52)</f>
        <v>1090.6869999999999</v>
      </c>
      <c r="AD53" s="30">
        <f t="shared" ref="AD53:AE53" si="78">SUM(AD49:AD52)</f>
        <v>1150.1610000000001</v>
      </c>
      <c r="AE53" s="30">
        <f t="shared" si="78"/>
        <v>1184.6019999999999</v>
      </c>
      <c r="AF53" s="30">
        <v>1262.664</v>
      </c>
      <c r="AG53" s="30">
        <v>1274</v>
      </c>
      <c r="AH53" s="30">
        <f t="shared" ref="AH53" si="79">SUM(AH49:AH52)</f>
        <v>1316</v>
      </c>
      <c r="AI53" s="30">
        <f>SUM(AI49:AI52)</f>
        <v>1538.3229999999999</v>
      </c>
      <c r="AJ53" s="30">
        <f t="shared" ref="AJ53" si="80">SUM(AJ49:AJ52)</f>
        <v>1451.7629999999999</v>
      </c>
      <c r="AK53" s="15"/>
    </row>
    <row r="54" spans="1:37" s="14" customFormat="1" x14ac:dyDescent="0.25">
      <c r="A54" s="3"/>
      <c r="B54" s="2"/>
      <c r="C54" s="3" t="s">
        <v>54</v>
      </c>
      <c r="D54" s="14">
        <v>322.5</v>
      </c>
      <c r="E54" s="14">
        <v>345</v>
      </c>
      <c r="F54" s="14">
        <v>346</v>
      </c>
      <c r="G54" s="14">
        <v>323</v>
      </c>
      <c r="H54" s="14">
        <v>325.54300000000001</v>
      </c>
      <c r="I54" s="14">
        <v>316.30599999999998</v>
      </c>
      <c r="J54" s="14">
        <v>322.89999999999998</v>
      </c>
      <c r="K54" s="14">
        <v>312</v>
      </c>
      <c r="L54" s="14">
        <v>322.26400000000001</v>
      </c>
      <c r="M54" s="14">
        <v>319.57600000000002</v>
      </c>
      <c r="N54" s="14">
        <v>316.803</v>
      </c>
      <c r="O54" s="14">
        <v>322.62799999999999</v>
      </c>
      <c r="P54" s="14">
        <v>296.61799999999999</v>
      </c>
      <c r="Q54" s="14">
        <v>298.35899999999998</v>
      </c>
      <c r="R54" s="14">
        <v>289.23099999999999</v>
      </c>
      <c r="S54" s="14">
        <v>304.92599999999999</v>
      </c>
      <c r="T54" s="14">
        <v>315.80900000000003</v>
      </c>
      <c r="U54" s="14">
        <v>313.20600000000002</v>
      </c>
      <c r="Z54" s="14">
        <v>371.14299999999997</v>
      </c>
      <c r="AA54" s="14">
        <v>350.34899999999999</v>
      </c>
      <c r="AB54" s="14">
        <v>334.58499999999998</v>
      </c>
      <c r="AC54" s="14">
        <v>321.35199999999998</v>
      </c>
      <c r="AD54" s="14">
        <v>319.39800000000002</v>
      </c>
      <c r="AE54" s="14">
        <v>315.33600000000001</v>
      </c>
      <c r="AF54" s="14">
        <v>332.28</v>
      </c>
      <c r="AG54" s="14">
        <v>323</v>
      </c>
      <c r="AH54" s="14">
        <v>312</v>
      </c>
      <c r="AI54" s="14">
        <v>322.62799999999999</v>
      </c>
      <c r="AJ54" s="14">
        <v>304.92599999999999</v>
      </c>
      <c r="AK54" s="15"/>
    </row>
    <row r="55" spans="1:37" s="14" customFormat="1" x14ac:dyDescent="0.25">
      <c r="A55" s="3"/>
      <c r="B55" s="2"/>
      <c r="C55" s="3" t="s">
        <v>92</v>
      </c>
      <c r="D55" s="14">
        <v>500.3</v>
      </c>
      <c r="E55" s="14">
        <v>539</v>
      </c>
      <c r="F55" s="14">
        <v>554</v>
      </c>
      <c r="G55" s="14">
        <v>524</v>
      </c>
      <c r="H55" s="14">
        <v>786.32500000000005</v>
      </c>
      <c r="I55" s="14">
        <v>768.11300000000006</v>
      </c>
      <c r="J55" s="14">
        <v>767</v>
      </c>
      <c r="K55" s="14">
        <v>779</v>
      </c>
      <c r="L55" s="14">
        <v>879.31500000000005</v>
      </c>
      <c r="M55" s="14">
        <v>893.65200000000004</v>
      </c>
      <c r="N55" s="14">
        <v>876.68299999999999</v>
      </c>
      <c r="O55" s="14">
        <v>891.62</v>
      </c>
      <c r="P55" s="14">
        <v>887.88199999999995</v>
      </c>
      <c r="Q55" s="14">
        <v>1018.533</v>
      </c>
      <c r="R55" s="14">
        <v>991.93</v>
      </c>
      <c r="S55" s="14">
        <v>979.97799999999995</v>
      </c>
      <c r="T55" s="14">
        <v>1017.41</v>
      </c>
      <c r="U55" s="14">
        <v>944.91800000000001</v>
      </c>
      <c r="Z55" s="14">
        <v>0</v>
      </c>
      <c r="AA55" s="14">
        <v>0</v>
      </c>
      <c r="AB55" s="14">
        <v>0</v>
      </c>
      <c r="AC55" s="14">
        <v>0</v>
      </c>
      <c r="AD55" s="14">
        <v>584.84799999999996</v>
      </c>
      <c r="AE55" s="14">
        <v>585.13099999999997</v>
      </c>
      <c r="AF55" s="14">
        <v>517.54999999999995</v>
      </c>
      <c r="AG55" s="14">
        <v>524</v>
      </c>
      <c r="AH55" s="14">
        <v>779</v>
      </c>
      <c r="AI55" s="14">
        <v>891.62</v>
      </c>
      <c r="AJ55" s="14">
        <v>979.97799999999995</v>
      </c>
      <c r="AK55" s="15"/>
    </row>
    <row r="56" spans="1:37" s="14" customFormat="1" x14ac:dyDescent="0.25">
      <c r="A56" s="3"/>
      <c r="B56" s="2"/>
      <c r="C56" s="3" t="s">
        <v>63</v>
      </c>
      <c r="D56" s="14">
        <v>451.6</v>
      </c>
      <c r="E56" s="14">
        <v>521.6</v>
      </c>
      <c r="F56" s="14">
        <v>621.6</v>
      </c>
      <c r="G56" s="14">
        <v>522</v>
      </c>
      <c r="H56" s="14">
        <v>521.65</v>
      </c>
      <c r="I56" s="14">
        <v>511.654</v>
      </c>
      <c r="J56" s="14">
        <v>671.6</v>
      </c>
      <c r="K56" s="14">
        <v>492</v>
      </c>
      <c r="L56" s="14">
        <v>491.65199999999999</v>
      </c>
      <c r="M56" s="14">
        <v>681.54100000000005</v>
      </c>
      <c r="N56" s="14">
        <v>681.56399999999996</v>
      </c>
      <c r="O56" s="14">
        <v>461.66800000000001</v>
      </c>
      <c r="P56" s="14">
        <v>461.66899999999998</v>
      </c>
      <c r="Q56" s="14">
        <v>751.971</v>
      </c>
      <c r="R56" s="14">
        <v>751.97199999999998</v>
      </c>
      <c r="S56" s="14">
        <v>579.98400000000004</v>
      </c>
      <c r="T56" s="14">
        <v>829.99699999999996</v>
      </c>
      <c r="U56" s="14">
        <v>869.99699999999996</v>
      </c>
      <c r="Z56" s="14">
        <v>525.76099999999997</v>
      </c>
      <c r="AA56" s="14">
        <v>526.54399999999998</v>
      </c>
      <c r="AB56" s="14">
        <v>429.43299999999999</v>
      </c>
      <c r="AC56" s="14">
        <v>426.26400000000001</v>
      </c>
      <c r="AD56" s="14">
        <v>180</v>
      </c>
      <c r="AE56" s="14">
        <v>461.48</v>
      </c>
      <c r="AF56" s="14">
        <v>451.62799999999999</v>
      </c>
      <c r="AG56" s="14">
        <v>522</v>
      </c>
      <c r="AH56" s="14">
        <v>492</v>
      </c>
      <c r="AI56" s="14">
        <v>461.66800000000001</v>
      </c>
      <c r="AJ56" s="14">
        <v>579.98400000000004</v>
      </c>
      <c r="AK56" s="15"/>
    </row>
    <row r="57" spans="1:37" s="14" customFormat="1" x14ac:dyDescent="0.25">
      <c r="A57" s="3"/>
      <c r="B57" s="2"/>
      <c r="C57" s="3" t="s">
        <v>93</v>
      </c>
      <c r="D57" s="14">
        <v>248.6</v>
      </c>
      <c r="E57" s="14">
        <v>251.4</v>
      </c>
      <c r="F57" s="14">
        <v>259</v>
      </c>
      <c r="G57" s="14">
        <v>258</v>
      </c>
      <c r="H57" s="14">
        <v>302.97300000000001</v>
      </c>
      <c r="I57" s="14">
        <v>301.678</v>
      </c>
      <c r="J57" s="14">
        <v>302.3</v>
      </c>
      <c r="K57" s="14">
        <v>306</v>
      </c>
      <c r="L57" s="14">
        <v>341.85300000000001</v>
      </c>
      <c r="M57" s="14">
        <v>343</v>
      </c>
      <c r="N57" s="14">
        <v>351.76499999999999</v>
      </c>
      <c r="O57" s="14">
        <v>354.09300000000002</v>
      </c>
      <c r="P57" s="14">
        <v>377.23700000000002</v>
      </c>
      <c r="Q57" s="14">
        <v>392.59300000000002</v>
      </c>
      <c r="R57" s="14">
        <v>394.13799999999998</v>
      </c>
      <c r="S57" s="14">
        <v>402.98899999999998</v>
      </c>
      <c r="T57" s="14">
        <v>407.85899999999998</v>
      </c>
      <c r="U57" s="14">
        <v>391.79700000000003</v>
      </c>
      <c r="Z57" s="14">
        <v>0</v>
      </c>
      <c r="AA57" s="14">
        <v>0</v>
      </c>
      <c r="AB57" s="14">
        <v>0</v>
      </c>
      <c r="AC57" s="14">
        <v>1.609</v>
      </c>
      <c r="AD57" s="14">
        <v>217.42699999999999</v>
      </c>
      <c r="AE57" s="14">
        <v>234.113</v>
      </c>
      <c r="AF57" s="14">
        <v>249.73699999999999</v>
      </c>
      <c r="AG57" s="14">
        <v>258</v>
      </c>
      <c r="AH57" s="14">
        <v>306</v>
      </c>
      <c r="AI57" s="14">
        <v>354.09300000000002</v>
      </c>
      <c r="AJ57" s="14">
        <v>402.98899999999998</v>
      </c>
      <c r="AK57" s="15"/>
    </row>
    <row r="58" spans="1:37" s="14" customFormat="1" x14ac:dyDescent="0.25">
      <c r="A58" s="3"/>
      <c r="B58" s="2"/>
      <c r="C58" s="3" t="s">
        <v>64</v>
      </c>
      <c r="D58" s="14">
        <v>168.6</v>
      </c>
      <c r="E58" s="14">
        <v>167</v>
      </c>
      <c r="F58" s="14">
        <v>200.7</v>
      </c>
      <c r="G58" s="14">
        <v>30</v>
      </c>
      <c r="H58" s="14">
        <v>178.41900000000001</v>
      </c>
      <c r="I58" s="14">
        <v>331.06099999999998</v>
      </c>
      <c r="J58" s="14">
        <v>75.8</v>
      </c>
      <c r="K58" s="14">
        <v>30</v>
      </c>
      <c r="L58" s="14">
        <v>77.296000000000006</v>
      </c>
      <c r="M58" s="14">
        <v>74.477000000000004</v>
      </c>
      <c r="N58" s="14">
        <v>102.62</v>
      </c>
      <c r="O58" s="14">
        <v>30</v>
      </c>
      <c r="P58" s="14">
        <v>188.27600000000001</v>
      </c>
      <c r="Q58" s="14">
        <v>212.755</v>
      </c>
      <c r="R58" s="14">
        <v>295.95499999999998</v>
      </c>
      <c r="S58" s="14">
        <v>142.38800000000001</v>
      </c>
      <c r="T58" s="14">
        <v>183.79499999999999</v>
      </c>
      <c r="U58" s="14">
        <v>211.21199999999999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60.296999999999997</v>
      </c>
      <c r="AF58" s="14">
        <v>95</v>
      </c>
      <c r="AG58" s="14">
        <v>30</v>
      </c>
      <c r="AH58" s="14">
        <v>30</v>
      </c>
      <c r="AI58" s="14">
        <v>30</v>
      </c>
      <c r="AJ58" s="14">
        <v>142.38800000000001</v>
      </c>
      <c r="AK58" s="15"/>
    </row>
    <row r="59" spans="1:37" s="14" customFormat="1" x14ac:dyDescent="0.25">
      <c r="A59" s="3"/>
      <c r="B59" s="2"/>
      <c r="C59" s="3" t="s">
        <v>55</v>
      </c>
      <c r="D59" s="14">
        <v>127.5</v>
      </c>
      <c r="E59" s="14">
        <v>101</v>
      </c>
      <c r="F59" s="14">
        <v>113</v>
      </c>
      <c r="G59" s="14">
        <v>122</v>
      </c>
      <c r="H59" s="14">
        <v>134.25800000000001</v>
      </c>
      <c r="I59" s="14">
        <v>110.93</v>
      </c>
      <c r="J59" s="14">
        <v>152</v>
      </c>
      <c r="K59" s="14">
        <v>203</v>
      </c>
      <c r="L59" s="14">
        <v>187.08799999999999</v>
      </c>
      <c r="M59" s="14">
        <v>182.136</v>
      </c>
      <c r="N59" s="14">
        <v>213.386</v>
      </c>
      <c r="O59" s="14">
        <v>235.91</v>
      </c>
      <c r="P59" s="14">
        <v>166.18299999999999</v>
      </c>
      <c r="Q59" s="14">
        <v>133.80000000000001</v>
      </c>
      <c r="R59" s="14">
        <v>155</v>
      </c>
      <c r="S59" s="14">
        <v>193</v>
      </c>
      <c r="T59" s="14">
        <v>164.45</v>
      </c>
      <c r="U59" s="14">
        <v>144.39400000000001</v>
      </c>
      <c r="Z59" s="14">
        <v>38.784999999999997</v>
      </c>
      <c r="AA59" s="14">
        <v>40.625999999999998</v>
      </c>
      <c r="AB59" s="14">
        <v>45.161000000000001</v>
      </c>
      <c r="AC59" s="14">
        <v>37.665999999999997</v>
      </c>
      <c r="AD59" s="14">
        <v>145.12200000000001</v>
      </c>
      <c r="AE59" s="14">
        <v>92.316000000000003</v>
      </c>
      <c r="AF59" s="14">
        <v>159.751</v>
      </c>
      <c r="AG59" s="14">
        <v>122</v>
      </c>
      <c r="AH59" s="14">
        <v>203</v>
      </c>
      <c r="AI59" s="14">
        <v>235.91</v>
      </c>
      <c r="AJ59" s="14">
        <v>193</v>
      </c>
      <c r="AK59" s="15"/>
    </row>
    <row r="60" spans="1:37" s="14" customFormat="1" x14ac:dyDescent="0.25">
      <c r="A60" s="3"/>
      <c r="B60" s="2"/>
      <c r="C60" s="3" t="s">
        <v>56</v>
      </c>
      <c r="D60" s="14">
        <v>45.9</v>
      </c>
      <c r="E60" s="14">
        <v>12</v>
      </c>
      <c r="F60" s="14">
        <v>14</v>
      </c>
      <c r="G60" s="14">
        <v>58</v>
      </c>
      <c r="H60" s="14">
        <v>20.491</v>
      </c>
      <c r="I60" s="14">
        <v>0</v>
      </c>
      <c r="J60" s="14">
        <v>0</v>
      </c>
      <c r="K60" s="14">
        <v>56</v>
      </c>
      <c r="L60" s="14">
        <v>0</v>
      </c>
      <c r="M60" s="14">
        <v>0</v>
      </c>
      <c r="N60" s="14">
        <v>4.6180000000000003</v>
      </c>
      <c r="O60" s="14">
        <v>84.698999999999998</v>
      </c>
      <c r="P60" s="14">
        <v>7.6</v>
      </c>
      <c r="Q60" s="14">
        <v>16</v>
      </c>
      <c r="R60" s="14">
        <v>15.5</v>
      </c>
      <c r="S60" s="14">
        <v>52.7</v>
      </c>
      <c r="T60" s="14">
        <v>0</v>
      </c>
      <c r="U60" s="14">
        <v>0</v>
      </c>
      <c r="Z60" s="14">
        <v>21.739000000000001</v>
      </c>
      <c r="AA60" s="14">
        <v>40.848999999999997</v>
      </c>
      <c r="AB60" s="14">
        <v>40.414999999999999</v>
      </c>
      <c r="AC60" s="14">
        <v>46.216000000000001</v>
      </c>
      <c r="AD60" s="14">
        <v>51.238999999999997</v>
      </c>
      <c r="AE60" s="14">
        <v>87.010999999999996</v>
      </c>
      <c r="AF60" s="14">
        <v>90.334999999999994</v>
      </c>
      <c r="AG60" s="14">
        <v>58</v>
      </c>
      <c r="AH60" s="14">
        <v>56</v>
      </c>
      <c r="AI60" s="14">
        <v>84.698999999999998</v>
      </c>
      <c r="AJ60" s="14">
        <v>52.7</v>
      </c>
      <c r="AK60" s="15"/>
    </row>
    <row r="61" spans="1:37" s="14" customFormat="1" x14ac:dyDescent="0.25">
      <c r="A61" s="3"/>
      <c r="B61" s="2"/>
      <c r="C61" s="3" t="s">
        <v>57</v>
      </c>
      <c r="D61" s="14">
        <v>96.3</v>
      </c>
      <c r="E61" s="14">
        <v>100.6</v>
      </c>
      <c r="F61" s="14">
        <v>119</v>
      </c>
      <c r="G61" s="14">
        <v>167</v>
      </c>
      <c r="H61" s="14">
        <v>90</v>
      </c>
      <c r="I61" s="14">
        <v>100.84399999999999</v>
      </c>
      <c r="J61" s="14">
        <v>129</v>
      </c>
      <c r="K61" s="14">
        <v>210</v>
      </c>
      <c r="L61" s="14">
        <v>138.63999999999999</v>
      </c>
      <c r="M61" s="14">
        <v>127.35599999999999</v>
      </c>
      <c r="N61" s="14">
        <v>152.81100000000001</v>
      </c>
      <c r="O61" s="14">
        <v>228.10900000000001</v>
      </c>
      <c r="P61" s="14">
        <v>124.476</v>
      </c>
      <c r="Q61" s="14">
        <v>147.57499999999999</v>
      </c>
      <c r="R61" s="14">
        <v>171.5</v>
      </c>
      <c r="S61" s="14">
        <v>238.37799999999999</v>
      </c>
      <c r="T61" s="14">
        <v>134.73599999999999</v>
      </c>
      <c r="U61" s="14">
        <v>123.327</v>
      </c>
      <c r="Z61" s="14">
        <v>69.634</v>
      </c>
      <c r="AA61" s="14">
        <v>80.728999999999999</v>
      </c>
      <c r="AB61" s="14">
        <v>104.67400000000001</v>
      </c>
      <c r="AC61" s="14">
        <v>111.812</v>
      </c>
      <c r="AD61" s="14">
        <v>154.233</v>
      </c>
      <c r="AE61" s="14">
        <v>167.40199999999999</v>
      </c>
      <c r="AF61" s="14">
        <v>172.851</v>
      </c>
      <c r="AG61" s="14">
        <v>167</v>
      </c>
      <c r="AH61" s="14">
        <v>210</v>
      </c>
      <c r="AI61" s="14">
        <v>228.10900000000001</v>
      </c>
      <c r="AJ61" s="14">
        <v>238.37799999999999</v>
      </c>
      <c r="AK61" s="15"/>
    </row>
    <row r="62" spans="1:37" s="14" customFormat="1" x14ac:dyDescent="0.25">
      <c r="A62" s="3"/>
      <c r="B62" s="2"/>
      <c r="C62" s="3" t="s">
        <v>65</v>
      </c>
      <c r="D62" s="14">
        <v>131.80000000000001</v>
      </c>
      <c r="E62" s="14">
        <v>189</v>
      </c>
      <c r="F62" s="14">
        <v>181.6</v>
      </c>
      <c r="G62" s="14">
        <v>202</v>
      </c>
      <c r="H62" s="14">
        <v>192.554</v>
      </c>
      <c r="I62" s="14">
        <v>208.745</v>
      </c>
      <c r="J62" s="14">
        <v>155</v>
      </c>
      <c r="K62" s="14">
        <v>191.6</v>
      </c>
      <c r="L62" s="14">
        <v>199.797</v>
      </c>
      <c r="M62" s="14">
        <v>220.351</v>
      </c>
      <c r="N62" s="14">
        <v>207.12</v>
      </c>
      <c r="O62" s="14">
        <v>274.851</v>
      </c>
      <c r="P62" s="14">
        <v>259</v>
      </c>
      <c r="Q62" s="14">
        <v>169.434</v>
      </c>
      <c r="R62" s="14">
        <v>175.1</v>
      </c>
      <c r="S62" s="14">
        <v>231.46610000000001</v>
      </c>
      <c r="T62" s="14">
        <v>194.13200000000001</v>
      </c>
      <c r="U62" s="14">
        <v>184.02600000000001</v>
      </c>
      <c r="Z62" s="14">
        <v>59.74</v>
      </c>
      <c r="AA62" s="14">
        <v>61.502000000000002</v>
      </c>
      <c r="AB62" s="14">
        <v>58.139000000000003</v>
      </c>
      <c r="AC62" s="14">
        <v>57.387999999999998</v>
      </c>
      <c r="AD62" s="14">
        <v>160.511</v>
      </c>
      <c r="AE62" s="14">
        <v>198.88300000000001</v>
      </c>
      <c r="AF62" s="14">
        <v>197.86500000000001</v>
      </c>
      <c r="AG62" s="14">
        <v>202</v>
      </c>
      <c r="AH62" s="14">
        <v>191.6</v>
      </c>
      <c r="AI62" s="14">
        <v>274.851</v>
      </c>
      <c r="AJ62" s="14">
        <v>231.46610000000001</v>
      </c>
      <c r="AK62" s="15"/>
    </row>
    <row r="63" spans="1:37" s="14" customFormat="1" x14ac:dyDescent="0.25">
      <c r="A63" s="3"/>
      <c r="B63" s="2"/>
      <c r="C63" s="3" t="s">
        <v>46</v>
      </c>
      <c r="D63" s="14">
        <v>10</v>
      </c>
      <c r="E63" s="14">
        <v>1</v>
      </c>
      <c r="F63" s="14">
        <v>0.05</v>
      </c>
      <c r="G63" s="14">
        <v>7</v>
      </c>
      <c r="H63" s="14">
        <v>2.5</v>
      </c>
      <c r="I63" s="14">
        <v>1.4079999999999999</v>
      </c>
      <c r="J63" s="14">
        <v>3.4</v>
      </c>
      <c r="K63" s="14">
        <v>53.7</v>
      </c>
      <c r="L63" s="14">
        <v>6.7309999999999999</v>
      </c>
      <c r="M63" s="14">
        <v>11.143000000000001</v>
      </c>
      <c r="N63" s="14">
        <v>12</v>
      </c>
      <c r="O63" s="14">
        <v>0.16900000000000001</v>
      </c>
      <c r="P63" s="14">
        <v>39.5</v>
      </c>
      <c r="Q63" s="14">
        <v>59.491</v>
      </c>
      <c r="R63" s="14">
        <v>31.6</v>
      </c>
      <c r="S63" s="14">
        <v>5.9610000000000003</v>
      </c>
      <c r="T63" s="14">
        <v>22.401</v>
      </c>
      <c r="U63" s="14">
        <v>6.7750000000000004</v>
      </c>
      <c r="Z63" s="14">
        <v>0</v>
      </c>
      <c r="AA63" s="14">
        <v>0</v>
      </c>
      <c r="AB63" s="14">
        <v>0</v>
      </c>
      <c r="AC63" s="14">
        <v>0</v>
      </c>
      <c r="AD63" s="14">
        <v>11.787000000000001</v>
      </c>
      <c r="AE63" s="14">
        <v>78.364000000000004</v>
      </c>
      <c r="AF63" s="14">
        <v>5.1660000000000004</v>
      </c>
      <c r="AG63" s="14">
        <v>7</v>
      </c>
      <c r="AH63" s="14">
        <v>53.7</v>
      </c>
      <c r="AI63" s="14">
        <v>0.16900000000000001</v>
      </c>
      <c r="AJ63" s="14">
        <v>5.9610000000000003</v>
      </c>
      <c r="AK63" s="15"/>
    </row>
    <row r="64" spans="1:37" s="14" customFormat="1" x14ac:dyDescent="0.25">
      <c r="A64" s="3"/>
      <c r="B64" s="2"/>
      <c r="C64" s="13" t="s">
        <v>58</v>
      </c>
      <c r="D64" s="30">
        <f t="shared" ref="D64:M64" si="81">SUM(D54:D63)</f>
        <v>2103.1</v>
      </c>
      <c r="E64" s="30">
        <f t="shared" si="81"/>
        <v>2227.6</v>
      </c>
      <c r="F64" s="30">
        <f t="shared" si="81"/>
        <v>2408.9500000000003</v>
      </c>
      <c r="G64" s="30">
        <f t="shared" si="81"/>
        <v>2213</v>
      </c>
      <c r="H64" s="30">
        <f>SUM(H54:H63)</f>
        <v>2554.7129999999997</v>
      </c>
      <c r="I64" s="30">
        <f t="shared" si="81"/>
        <v>2650.739</v>
      </c>
      <c r="J64" s="30">
        <f t="shared" si="81"/>
        <v>2579.0000000000005</v>
      </c>
      <c r="K64" s="30">
        <f t="shared" si="81"/>
        <v>2633.2999999999997</v>
      </c>
      <c r="L64" s="30">
        <f t="shared" si="81"/>
        <v>2644.6360000000004</v>
      </c>
      <c r="M64" s="30">
        <f t="shared" si="81"/>
        <v>2853.2320000000004</v>
      </c>
      <c r="N64" s="30">
        <f>SUM(N54:N63)</f>
        <v>2919.3699999999994</v>
      </c>
      <c r="O64" s="30">
        <f>SUM(O54:O63)</f>
        <v>2883.7469999999998</v>
      </c>
      <c r="P64" s="30">
        <f>SUM(P54:P63)</f>
        <v>2808.4409999999998</v>
      </c>
      <c r="Q64" s="30">
        <f>SUM(Q54:Q63)</f>
        <v>3200.5110000000004</v>
      </c>
      <c r="R64" s="30">
        <f t="shared" ref="R64:S64" si="82">SUM(R54:R63)</f>
        <v>3271.9259999999999</v>
      </c>
      <c r="S64" s="30">
        <f t="shared" si="82"/>
        <v>3131.7700999999997</v>
      </c>
      <c r="T64" s="30">
        <f t="shared" ref="T64:U64" si="83">SUM(T54:T63)</f>
        <v>3270.5889999999995</v>
      </c>
      <c r="U64" s="30">
        <f t="shared" si="83"/>
        <v>3189.6520000000005</v>
      </c>
      <c r="Z64" s="30">
        <f>SUM(Z54:Z63)</f>
        <v>1086.8019999999999</v>
      </c>
      <c r="AA64" s="30">
        <f>SUM(AA54:AA63)</f>
        <v>1100.5989999999999</v>
      </c>
      <c r="AB64" s="30">
        <f>SUM(AB54:AB63)</f>
        <v>1012.407</v>
      </c>
      <c r="AC64" s="30">
        <f>SUM(AC54:AC63)</f>
        <v>1002.3070000000001</v>
      </c>
      <c r="AD64" s="30">
        <f t="shared" ref="AD64:AE64" si="84">SUM(AD54:AD63)</f>
        <v>1824.5650000000001</v>
      </c>
      <c r="AE64" s="30">
        <f t="shared" si="84"/>
        <v>2280.3330000000001</v>
      </c>
      <c r="AF64" s="30">
        <v>2272.163</v>
      </c>
      <c r="AG64" s="30">
        <v>2213</v>
      </c>
      <c r="AH64" s="30">
        <f t="shared" ref="AH64" si="85">SUM(AH54:AH63)</f>
        <v>2633.2999999999997</v>
      </c>
      <c r="AI64" s="30">
        <f>SUM(AI54:AI63)</f>
        <v>2883.7469999999998</v>
      </c>
      <c r="AJ64" s="30">
        <f t="shared" ref="AJ64" si="86">SUM(AJ54:AJ63)</f>
        <v>3131.7700999999997</v>
      </c>
      <c r="AK64" s="15"/>
    </row>
    <row r="65" spans="1:46" x14ac:dyDescent="0.25">
      <c r="C65" s="1" t="s">
        <v>59</v>
      </c>
      <c r="D65" s="18">
        <f t="shared" ref="D65:M65" si="87">D53+D64</f>
        <v>3370.7999999999997</v>
      </c>
      <c r="E65" s="18">
        <f t="shared" si="87"/>
        <v>3470.1</v>
      </c>
      <c r="F65" s="18">
        <f t="shared" si="87"/>
        <v>3703.5200000000004</v>
      </c>
      <c r="G65" s="18">
        <f t="shared" si="87"/>
        <v>3487</v>
      </c>
      <c r="H65" s="18">
        <f>H53+H64</f>
        <v>3812.8539999999998</v>
      </c>
      <c r="I65" s="18">
        <f t="shared" si="87"/>
        <v>3832.3119999999999</v>
      </c>
      <c r="J65" s="18">
        <f t="shared" si="87"/>
        <v>3825.3700000000003</v>
      </c>
      <c r="K65" s="18">
        <f t="shared" si="87"/>
        <v>3949.2999999999997</v>
      </c>
      <c r="L65" s="18">
        <f t="shared" si="87"/>
        <v>4008.3320000000003</v>
      </c>
      <c r="M65" s="18">
        <f t="shared" si="87"/>
        <v>4106.4920000000002</v>
      </c>
      <c r="N65" s="18">
        <f>N53+N64</f>
        <v>4244.3769999999995</v>
      </c>
      <c r="O65" s="18">
        <f>O53+O64</f>
        <v>4422.07</v>
      </c>
      <c r="P65" s="18">
        <f>P53+P64</f>
        <v>4254.5389999999998</v>
      </c>
      <c r="Q65" s="18">
        <f>Q53+Q64</f>
        <v>4441.8980000000001</v>
      </c>
      <c r="R65" s="18">
        <f t="shared" ref="R65:S65" si="88">R53+R64</f>
        <v>4568.1559999999999</v>
      </c>
      <c r="S65" s="18">
        <f t="shared" si="88"/>
        <v>4583.5330999999996</v>
      </c>
      <c r="T65" s="18">
        <f t="shared" ref="T65:U65" si="89">T53+T64</f>
        <v>4669.9119999999994</v>
      </c>
      <c r="U65" s="18">
        <f t="shared" si="89"/>
        <v>4538.5550000000003</v>
      </c>
      <c r="V65" s="14"/>
      <c r="W65" s="14"/>
      <c r="X65" s="14"/>
      <c r="Y65" s="14"/>
      <c r="Z65" s="18">
        <f>Z53+Z64</f>
        <v>2031.7739999999999</v>
      </c>
      <c r="AA65" s="18">
        <f>AA53+AA64</f>
        <v>2102.8909999999996</v>
      </c>
      <c r="AB65" s="18">
        <f>AB53+AB64</f>
        <v>2030.924</v>
      </c>
      <c r="AC65" s="18">
        <f>AC53+AC64</f>
        <v>2092.9940000000001</v>
      </c>
      <c r="AD65" s="18">
        <f t="shared" ref="AD65:AE65" si="90">AD53+AD64</f>
        <v>2974.7260000000001</v>
      </c>
      <c r="AE65" s="18">
        <f t="shared" si="90"/>
        <v>3464.9349999999999</v>
      </c>
      <c r="AF65" s="18">
        <f t="shared" ref="AF65" si="91">AF53+AF64</f>
        <v>3534.8270000000002</v>
      </c>
      <c r="AG65" s="18">
        <f t="shared" ref="AG65:AH65" si="92">AG53+AG64</f>
        <v>3487</v>
      </c>
      <c r="AH65" s="18">
        <f t="shared" si="92"/>
        <v>3949.2999999999997</v>
      </c>
      <c r="AI65" s="18">
        <f>AI53+AI64</f>
        <v>4422.07</v>
      </c>
      <c r="AJ65" s="18">
        <f t="shared" ref="AJ65" si="93">AJ53+AJ64</f>
        <v>4583.5330999999996</v>
      </c>
      <c r="AK65" s="15"/>
      <c r="AL65" s="14"/>
      <c r="AM65" s="14"/>
      <c r="AN65" s="14"/>
      <c r="AO65" s="14"/>
      <c r="AP65" s="14"/>
      <c r="AQ65" s="14"/>
      <c r="AR65" s="14"/>
      <c r="AS65" s="14"/>
      <c r="AT65" s="14"/>
    </row>
    <row r="66" spans="1:46" x14ac:dyDescent="0.25"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</row>
    <row r="67" spans="1:46" s="14" customFormat="1" x14ac:dyDescent="0.25">
      <c r="A67" s="3"/>
      <c r="B67" s="2"/>
      <c r="C67" s="4" t="s">
        <v>106</v>
      </c>
      <c r="N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2"/>
      <c r="AL67" s="3"/>
      <c r="AM67" s="3"/>
      <c r="AN67" s="3"/>
      <c r="AO67" s="3"/>
      <c r="AP67" s="3"/>
      <c r="AQ67" s="3"/>
      <c r="AR67" s="3"/>
      <c r="AS67" s="3"/>
      <c r="AT67" s="3"/>
    </row>
    <row r="68" spans="1:46" s="14" customFormat="1" x14ac:dyDescent="0.25">
      <c r="A68" s="3"/>
      <c r="B68" s="2"/>
      <c r="C68" s="3" t="s">
        <v>113</v>
      </c>
      <c r="D68" s="14">
        <f t="shared" ref="D68:U68" si="94">D15</f>
        <v>11.881999999999991</v>
      </c>
      <c r="E68" s="14">
        <f t="shared" si="94"/>
        <v>67.826999999999913</v>
      </c>
      <c r="F68" s="14">
        <f t="shared" si="94"/>
        <v>41.613</v>
      </c>
      <c r="G68" s="14">
        <f t="shared" si="94"/>
        <v>198.59099999999995</v>
      </c>
      <c r="H68" s="14">
        <f t="shared" si="94"/>
        <v>-57.837999999999909</v>
      </c>
      <c r="I68" s="14">
        <f t="shared" si="94"/>
        <v>45.208999999999996</v>
      </c>
      <c r="J68" s="14">
        <f t="shared" si="94"/>
        <v>118.10399999999993</v>
      </c>
      <c r="K68" s="14">
        <f t="shared" si="94"/>
        <v>296.43000000000006</v>
      </c>
      <c r="L68" s="14">
        <f t="shared" si="94"/>
        <v>-11.431999999999963</v>
      </c>
      <c r="M68" s="14">
        <f t="shared" si="94"/>
        <v>59.472000000000023</v>
      </c>
      <c r="N68" s="14">
        <f t="shared" si="94"/>
        <v>92.575999999999993</v>
      </c>
      <c r="O68" s="14">
        <f t="shared" si="94"/>
        <v>357.59799999999996</v>
      </c>
      <c r="P68" s="14">
        <f t="shared" si="94"/>
        <v>-38.756999999999941</v>
      </c>
      <c r="Q68" s="14">
        <f t="shared" si="94"/>
        <v>-4.0170000000000616</v>
      </c>
      <c r="R68" s="14">
        <f t="shared" si="94"/>
        <v>49.005999999999958</v>
      </c>
      <c r="S68" s="14">
        <f t="shared" si="94"/>
        <v>280.36099999999999</v>
      </c>
      <c r="T68" s="14">
        <f t="shared" si="94"/>
        <v>-47.169999999999995</v>
      </c>
      <c r="U68" s="14">
        <f t="shared" si="94"/>
        <v>48.792999999999978</v>
      </c>
      <c r="Z68" s="14">
        <f t="shared" ref="Z68:AJ68" si="95">Z15</f>
        <v>99.053999999999959</v>
      </c>
      <c r="AA68" s="14">
        <f t="shared" si="95"/>
        <v>159.50599999999994</v>
      </c>
      <c r="AB68" s="14">
        <f t="shared" si="95"/>
        <v>167.08899999999991</v>
      </c>
      <c r="AC68" s="14">
        <f t="shared" si="95"/>
        <v>200.50700000000001</v>
      </c>
      <c r="AD68" s="14">
        <f t="shared" si="95"/>
        <v>260.94999999999982</v>
      </c>
      <c r="AE68" s="14">
        <f t="shared" si="95"/>
        <v>454.20099999999985</v>
      </c>
      <c r="AF68" s="14">
        <f t="shared" si="95"/>
        <v>485.18399999999997</v>
      </c>
      <c r="AG68" s="14">
        <f t="shared" si="95"/>
        <v>319</v>
      </c>
      <c r="AH68" s="14">
        <f t="shared" si="95"/>
        <v>402</v>
      </c>
      <c r="AI68" s="14">
        <f t="shared" si="95"/>
        <v>498</v>
      </c>
      <c r="AJ68" s="14">
        <f t="shared" si="95"/>
        <v>286</v>
      </c>
      <c r="AK68" s="15"/>
    </row>
    <row r="69" spans="1:46" s="14" customFormat="1" x14ac:dyDescent="0.25">
      <c r="A69" s="3"/>
      <c r="B69" s="2"/>
      <c r="C69" s="3" t="s">
        <v>114</v>
      </c>
      <c r="D69" s="14">
        <v>11.481999999999999</v>
      </c>
      <c r="E69" s="14">
        <v>67.927000000000007</v>
      </c>
      <c r="F69" s="14">
        <v>41.314</v>
      </c>
      <c r="G69" s="14">
        <v>198.191</v>
      </c>
      <c r="H69" s="14">
        <v>-57.439</v>
      </c>
      <c r="I69" s="14">
        <v>45.32</v>
      </c>
      <c r="J69" s="14">
        <v>118.018</v>
      </c>
      <c r="K69" s="14">
        <v>296.63</v>
      </c>
      <c r="L69" s="14">
        <v>-10.946999999999999</v>
      </c>
      <c r="M69" s="14">
        <v>59.307000000000002</v>
      </c>
      <c r="N69" s="14">
        <v>92.507999999999996</v>
      </c>
      <c r="O69" s="14">
        <v>357</v>
      </c>
      <c r="P69" s="14">
        <v>-38</v>
      </c>
      <c r="Q69" s="14">
        <v>-4</v>
      </c>
      <c r="R69" s="14">
        <v>49</v>
      </c>
      <c r="S69" s="14">
        <v>280.89999999999998</v>
      </c>
      <c r="T69" s="14">
        <v>-47.213999999999999</v>
      </c>
      <c r="U69" s="14">
        <v>48.749000000000002</v>
      </c>
      <c r="Z69" s="14">
        <v>129.375</v>
      </c>
      <c r="AA69" s="14">
        <v>159.44</v>
      </c>
      <c r="AB69" s="14">
        <v>167.03</v>
      </c>
      <c r="AC69" s="14">
        <v>200.33199999999999</v>
      </c>
      <c r="AD69" s="14">
        <v>261</v>
      </c>
      <c r="AE69" s="14">
        <v>454</v>
      </c>
      <c r="AF69" s="14">
        <v>485.16699999999997</v>
      </c>
      <c r="AG69" s="14">
        <v>319</v>
      </c>
      <c r="AH69" s="14">
        <v>402.5</v>
      </c>
      <c r="AI69" s="14">
        <v>498</v>
      </c>
      <c r="AJ69" s="14">
        <v>287.85899999999998</v>
      </c>
      <c r="AK69" s="15"/>
    </row>
    <row r="70" spans="1:46" s="14" customFormat="1" x14ac:dyDescent="0.25">
      <c r="A70" s="3"/>
      <c r="B70" s="2"/>
      <c r="C70" s="3" t="s">
        <v>115</v>
      </c>
      <c r="D70" s="14">
        <v>-46.609000000000002</v>
      </c>
      <c r="E70" s="14">
        <v>-45.012999999999998</v>
      </c>
      <c r="F70" s="14">
        <v>-5.55</v>
      </c>
      <c r="G70" s="14">
        <v>-8.3989999999999991</v>
      </c>
      <c r="H70" s="14">
        <v>-48.398000000000003</v>
      </c>
      <c r="I70" s="14">
        <v>-8.9290000000000003</v>
      </c>
      <c r="J70" s="14">
        <v>-8.5129999999999999</v>
      </c>
      <c r="K70" s="14">
        <v>-25.198</v>
      </c>
      <c r="L70" s="14">
        <v>-37.612000000000002</v>
      </c>
      <c r="M70" s="14">
        <v>-8.8320000000000007</v>
      </c>
      <c r="N70" s="14">
        <v>-9.0169999999999995</v>
      </c>
      <c r="O70" s="14">
        <v>-26.238</v>
      </c>
      <c r="P70" s="14">
        <v>-46.5</v>
      </c>
      <c r="Q70" s="14">
        <v>-46.750999999999998</v>
      </c>
      <c r="R70" s="14">
        <v>-9</v>
      </c>
      <c r="S70" s="14">
        <v>-19.271000000000001</v>
      </c>
      <c r="T70" s="14">
        <v>-39.244999999999997</v>
      </c>
      <c r="U70" s="14">
        <v>-37.281999999999996</v>
      </c>
      <c r="Z70" s="14">
        <v>-26.942</v>
      </c>
      <c r="AA70" s="14">
        <v>-21.739000000000001</v>
      </c>
      <c r="AB70" s="14">
        <v>-40.848999999999997</v>
      </c>
      <c r="AC70" s="14">
        <v>-40.414999999999999</v>
      </c>
      <c r="AD70" s="14">
        <v>-49.7</v>
      </c>
      <c r="AE70" s="14">
        <v>-50</v>
      </c>
      <c r="AF70" s="14">
        <v>-105</v>
      </c>
      <c r="AG70" s="14">
        <v>-105.571</v>
      </c>
      <c r="AH70" s="14">
        <v>-91</v>
      </c>
      <c r="AI70" s="14">
        <v>-107</v>
      </c>
      <c r="AJ70" s="14">
        <v>-121.84</v>
      </c>
      <c r="AK70" s="15"/>
    </row>
    <row r="71" spans="1:46" s="14" customFormat="1" x14ac:dyDescent="0.25">
      <c r="A71" s="3"/>
      <c r="B71" s="2"/>
      <c r="C71" s="3" t="s">
        <v>25</v>
      </c>
      <c r="D71" s="14">
        <v>86.667000000000002</v>
      </c>
      <c r="E71" s="14">
        <v>87.798000000000002</v>
      </c>
      <c r="F71" s="14">
        <v>86.421999999999997</v>
      </c>
      <c r="G71" s="14">
        <v>87.408000000000001</v>
      </c>
      <c r="H71" s="14">
        <v>95.817999999999998</v>
      </c>
      <c r="I71" s="14">
        <v>100.833</v>
      </c>
      <c r="J71" s="14">
        <v>101.774</v>
      </c>
      <c r="K71" s="14">
        <v>105.711</v>
      </c>
      <c r="L71" s="14">
        <v>114.974</v>
      </c>
      <c r="M71" s="14">
        <v>118.16</v>
      </c>
      <c r="N71" s="14">
        <v>118.19499999999999</v>
      </c>
      <c r="O71" s="14">
        <v>120.334</v>
      </c>
      <c r="P71" s="14">
        <v>131.66300000000001</v>
      </c>
      <c r="Q71" s="14">
        <v>155.571</v>
      </c>
      <c r="R71" s="14">
        <v>131.929</v>
      </c>
      <c r="S71" s="14">
        <v>136.09200000000001</v>
      </c>
      <c r="T71" s="14">
        <v>143.62100000000001</v>
      </c>
      <c r="U71" s="14">
        <v>139.386</v>
      </c>
      <c r="Z71" s="14">
        <v>24.446999999999999</v>
      </c>
      <c r="AA71" s="14">
        <v>28.952999999999999</v>
      </c>
      <c r="AB71" s="14">
        <v>34.838999999999999</v>
      </c>
      <c r="AC71" s="14">
        <v>37.122999999999998</v>
      </c>
      <c r="AD71" s="14">
        <v>265.15199999999999</v>
      </c>
      <c r="AE71" s="14">
        <v>340.8</v>
      </c>
      <c r="AF71" s="14">
        <v>336.37599999999998</v>
      </c>
      <c r="AG71" s="14">
        <v>348.29599999999999</v>
      </c>
      <c r="AH71" s="14">
        <v>404.13600000000002</v>
      </c>
      <c r="AI71" s="14">
        <v>471.66199999999998</v>
      </c>
      <c r="AJ71" s="14">
        <v>555.25400000000002</v>
      </c>
      <c r="AK71" s="15"/>
    </row>
    <row r="72" spans="1:46" s="14" customFormat="1" x14ac:dyDescent="0.25">
      <c r="A72" s="3"/>
      <c r="B72" s="2"/>
      <c r="C72" s="3" t="s">
        <v>116</v>
      </c>
      <c r="D72" s="14">
        <v>-0.13</v>
      </c>
      <c r="E72" s="14">
        <v>-1.57</v>
      </c>
      <c r="F72" s="14">
        <v>-0.155</v>
      </c>
      <c r="G72" s="14">
        <v>3.1970000000000001</v>
      </c>
      <c r="H72" s="14">
        <v>11.778</v>
      </c>
      <c r="I72" s="14">
        <v>-6.5129999999999999</v>
      </c>
      <c r="J72" s="14">
        <v>0.747</v>
      </c>
      <c r="K72" s="14">
        <v>4</v>
      </c>
      <c r="L72" s="14">
        <v>0.24199999999999999</v>
      </c>
      <c r="M72" s="14">
        <v>1.3839999999999999</v>
      </c>
      <c r="N72" s="14">
        <v>-0.95099999999999996</v>
      </c>
      <c r="O72" s="14">
        <v>-2.2000000000000002</v>
      </c>
      <c r="P72" s="14">
        <v>0</v>
      </c>
      <c r="Q72" s="14">
        <v>3.4860000000000002</v>
      </c>
      <c r="R72" s="14">
        <v>-7.9</v>
      </c>
      <c r="S72" s="14">
        <v>-10.545999999999999</v>
      </c>
      <c r="T72" s="14">
        <v>5.5650000000000004</v>
      </c>
      <c r="U72" s="14">
        <v>-8.1349999999999998</v>
      </c>
      <c r="Z72" s="14">
        <v>0.76100000000000001</v>
      </c>
      <c r="AA72" s="14">
        <v>0</v>
      </c>
      <c r="AB72" s="14">
        <v>0</v>
      </c>
      <c r="AC72" s="14">
        <v>0</v>
      </c>
      <c r="AD72" s="14">
        <v>0</v>
      </c>
      <c r="AE72" s="14">
        <v>-23.146999999999998</v>
      </c>
      <c r="AF72" s="14">
        <v>16.861000000000001</v>
      </c>
      <c r="AG72" s="14">
        <v>1.3</v>
      </c>
      <c r="AH72" s="14">
        <v>79.742999999999995</v>
      </c>
      <c r="AI72" s="14">
        <v>97.6</v>
      </c>
      <c r="AJ72" s="14">
        <v>120.941</v>
      </c>
      <c r="AK72" s="15"/>
    </row>
    <row r="73" spans="1:46" s="14" customFormat="1" x14ac:dyDescent="0.25">
      <c r="A73" s="3"/>
      <c r="B73" s="2"/>
      <c r="C73" s="3" t="s">
        <v>133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Z73" s="14">
        <v>5.9960000000000004</v>
      </c>
      <c r="AA73" s="14">
        <v>12.67</v>
      </c>
      <c r="AB73" s="14">
        <v>13.736000000000001</v>
      </c>
      <c r="AC73" s="14">
        <v>14.669</v>
      </c>
      <c r="AD73" s="14">
        <v>0</v>
      </c>
      <c r="AE73" s="14">
        <v>0</v>
      </c>
      <c r="AF73" s="14">
        <v>0</v>
      </c>
      <c r="AG73" s="14">
        <v>0</v>
      </c>
      <c r="AH73" s="14">
        <v>10.1</v>
      </c>
      <c r="AI73" s="14">
        <v>-1.5</v>
      </c>
      <c r="AJ73" s="14">
        <v>-9.5440000000000005</v>
      </c>
      <c r="AK73" s="15"/>
    </row>
    <row r="74" spans="1:46" s="14" customFormat="1" x14ac:dyDescent="0.25">
      <c r="A74" s="3"/>
      <c r="B74" s="2"/>
      <c r="C74" s="3" t="s">
        <v>117</v>
      </c>
      <c r="D74" s="14">
        <v>-243.029</v>
      </c>
      <c r="E74" s="14">
        <v>-9.8230000000000004</v>
      </c>
      <c r="F74" s="14">
        <v>-71.786000000000001</v>
      </c>
      <c r="G74" s="14">
        <v>301.42599999999999</v>
      </c>
      <c r="H74" s="14">
        <v>-71.096999999999994</v>
      </c>
      <c r="I74" s="14">
        <v>-2.0169999999999999</v>
      </c>
      <c r="J74" s="14">
        <v>4.6509999999999998</v>
      </c>
      <c r="K74" s="14">
        <f>162.657-22.521+46.954+110.253</f>
        <v>297.34300000000002</v>
      </c>
      <c r="L74" s="14">
        <v>-193.72300000000001</v>
      </c>
      <c r="M74" s="14">
        <v>-58.823999999999998</v>
      </c>
      <c r="N74" s="14">
        <v>-90.343999999999994</v>
      </c>
      <c r="O74" s="14">
        <f>150.588-5.486+23.78+150.364</f>
        <v>319.24599999999998</v>
      </c>
      <c r="P74" s="14">
        <f>-84.315-11.615-72.3-134.979</f>
        <v>-303.209</v>
      </c>
      <c r="Q74" s="14">
        <f>34.4+6.256-31.435-12.1</f>
        <v>-2.8789999999999996</v>
      </c>
      <c r="R74" s="14">
        <f>-159.148+9.7+22+58</f>
        <v>-69.448000000000008</v>
      </c>
      <c r="S74" s="14">
        <f>68.909+1.1+38.216+119.371</f>
        <v>227.596</v>
      </c>
      <c r="T74" s="14">
        <v>-171.673</v>
      </c>
      <c r="U74" s="14">
        <f>58.684+5.821-18.18+20.215</f>
        <v>66.539999999999992</v>
      </c>
      <c r="Z74" s="14">
        <v>-4.9930000000000003</v>
      </c>
      <c r="AA74" s="14">
        <v>-7.3250000000000002</v>
      </c>
      <c r="AB74" s="14">
        <v>-56.61</v>
      </c>
      <c r="AC74" s="14">
        <v>53.506999999999998</v>
      </c>
      <c r="AD74" s="14">
        <f>-77.155-15.733+65.636+74.322</f>
        <v>47.069999999999993</v>
      </c>
      <c r="AE74" s="14">
        <f>22.777+8.685-61.333+57.193</f>
        <v>27.322000000000003</v>
      </c>
      <c r="AF74" s="14">
        <f>-180-4.4+71.228+15.515+39.283</f>
        <v>-58.374000000000009</v>
      </c>
      <c r="AG74" s="14">
        <f>-29.17+9.135-34.347-7+46.435</f>
        <v>-14.947000000000003</v>
      </c>
      <c r="AH74" s="14">
        <f>111.538-20.231+76.5-11.9</f>
        <v>155.90699999999998</v>
      </c>
      <c r="AI74" s="14">
        <f>-195.4+1.4+29.8+68.967</f>
        <v>-95.23299999999999</v>
      </c>
      <c r="AJ74" s="14">
        <v>-265.12799999999999</v>
      </c>
      <c r="AK74" s="15"/>
    </row>
    <row r="75" spans="1:46" s="14" customFormat="1" x14ac:dyDescent="0.25">
      <c r="A75" s="3"/>
      <c r="B75" s="2"/>
      <c r="C75" s="1" t="s">
        <v>60</v>
      </c>
      <c r="D75" s="18">
        <f t="shared" ref="D75:S75" si="96">SUM(D69:D74)</f>
        <v>-191.619</v>
      </c>
      <c r="E75" s="18">
        <f t="shared" si="96"/>
        <v>99.319000000000017</v>
      </c>
      <c r="F75" s="18">
        <f t="shared" si="96"/>
        <v>50.245000000000005</v>
      </c>
      <c r="G75" s="18">
        <f t="shared" si="96"/>
        <v>581.82299999999998</v>
      </c>
      <c r="H75" s="18">
        <f t="shared" si="96"/>
        <v>-69.337999999999994</v>
      </c>
      <c r="I75" s="18">
        <f t="shared" si="96"/>
        <v>128.69399999999999</v>
      </c>
      <c r="J75" s="18">
        <f t="shared" si="96"/>
        <v>216.67700000000002</v>
      </c>
      <c r="K75" s="18">
        <f t="shared" si="96"/>
        <v>678.4860000000001</v>
      </c>
      <c r="L75" s="18">
        <f t="shared" si="96"/>
        <v>-127.066</v>
      </c>
      <c r="M75" s="18">
        <f t="shared" si="96"/>
        <v>111.19499999999998</v>
      </c>
      <c r="N75" s="18">
        <f t="shared" si="96"/>
        <v>110.39099999999999</v>
      </c>
      <c r="O75" s="18">
        <f t="shared" si="96"/>
        <v>768.14200000000005</v>
      </c>
      <c r="P75" s="18">
        <f t="shared" si="96"/>
        <v>-256.04599999999999</v>
      </c>
      <c r="Q75" s="18">
        <f t="shared" si="96"/>
        <v>105.42699999999999</v>
      </c>
      <c r="R75" s="18">
        <f t="shared" si="96"/>
        <v>94.580999999999989</v>
      </c>
      <c r="S75" s="18">
        <f t="shared" si="96"/>
        <v>614.77099999999996</v>
      </c>
      <c r="T75" s="18">
        <f>SUM(T69:T74)</f>
        <v>-108.946</v>
      </c>
      <c r="U75" s="18">
        <f>SUM(U69:U74)</f>
        <v>209.25800000000001</v>
      </c>
      <c r="Z75" s="18">
        <f t="shared" ref="Z75:AE75" si="97">SUM(Z69:Z74)</f>
        <v>128.64400000000001</v>
      </c>
      <c r="AA75" s="18">
        <f t="shared" si="97"/>
        <v>171.999</v>
      </c>
      <c r="AB75" s="18">
        <f t="shared" si="97"/>
        <v>118.146</v>
      </c>
      <c r="AC75" s="18">
        <f t="shared" si="97"/>
        <v>265.21600000000001</v>
      </c>
      <c r="AD75" s="18">
        <f t="shared" si="97"/>
        <v>523.52199999999993</v>
      </c>
      <c r="AE75" s="18">
        <f t="shared" si="97"/>
        <v>748.97499999999991</v>
      </c>
      <c r="AF75" s="18">
        <f t="shared" ref="AF75:AH75" si="98">SUM(AF69:AF74)</f>
        <v>675.02999999999986</v>
      </c>
      <c r="AG75" s="18">
        <f t="shared" si="98"/>
        <v>548.07799999999997</v>
      </c>
      <c r="AH75" s="18">
        <f t="shared" si="98"/>
        <v>961.38599999999997</v>
      </c>
      <c r="AI75" s="18">
        <f>SUM(AI69:AI74)</f>
        <v>863.52900000000011</v>
      </c>
      <c r="AJ75" s="18">
        <f>SUM(AJ69:AJ74)</f>
        <v>567.54200000000014</v>
      </c>
      <c r="AK75" s="15"/>
    </row>
    <row r="76" spans="1:46" s="14" customFormat="1" x14ac:dyDescent="0.25">
      <c r="A76" s="3"/>
      <c r="B76" s="2"/>
      <c r="C76" s="3"/>
      <c r="AK76" s="15"/>
    </row>
    <row r="77" spans="1:46" s="14" customFormat="1" x14ac:dyDescent="0.25">
      <c r="A77" s="3"/>
      <c r="B77" s="2"/>
      <c r="C77" s="3" t="s">
        <v>118</v>
      </c>
      <c r="D77" s="14">
        <v>-15.614000000000001</v>
      </c>
      <c r="E77" s="14">
        <v>-22.498000000000001</v>
      </c>
      <c r="F77" s="14">
        <v>-23.402000000000001</v>
      </c>
      <c r="G77" s="14">
        <v>-57.75</v>
      </c>
      <c r="H77" s="14">
        <v>-57.168999999999997</v>
      </c>
      <c r="I77" s="14">
        <v>-58.481000000000002</v>
      </c>
      <c r="J77" s="14">
        <v>-25.827999999999999</v>
      </c>
      <c r="K77" s="14">
        <v>-22.218</v>
      </c>
      <c r="L77" s="14">
        <v>-48.234000000000002</v>
      </c>
      <c r="M77" s="14">
        <v>-43.215000000000003</v>
      </c>
      <c r="N77" s="14">
        <v>-28.856999999999999</v>
      </c>
      <c r="O77" s="14">
        <v>-88</v>
      </c>
      <c r="P77" s="14">
        <v>-38.334000000000003</v>
      </c>
      <c r="Q77" s="14">
        <v>-98.486000000000004</v>
      </c>
      <c r="R77" s="14">
        <v>-44</v>
      </c>
      <c r="S77" s="14">
        <v>-73.141000000000005</v>
      </c>
      <c r="T77" s="14">
        <v>-41.975000000000001</v>
      </c>
      <c r="U77" s="14">
        <v>-49.652000000000001</v>
      </c>
      <c r="Z77" s="14">
        <v>-40.637999999999998</v>
      </c>
      <c r="AA77" s="14">
        <v>-34.802999999999997</v>
      </c>
      <c r="AB77" s="14">
        <v>-47.073</v>
      </c>
      <c r="AC77" s="14">
        <v>-37.292999999999999</v>
      </c>
      <c r="AD77" s="14">
        <v>-98.088999999999999</v>
      </c>
      <c r="AE77" s="14">
        <v>-65.397999999999996</v>
      </c>
      <c r="AF77" s="14">
        <v>-92.614000000000004</v>
      </c>
      <c r="AG77" s="14">
        <v>-119.264</v>
      </c>
      <c r="AH77" s="14">
        <v>-163.697</v>
      </c>
      <c r="AI77" s="14">
        <v>-208.32599999999999</v>
      </c>
      <c r="AJ77" s="14">
        <v>-254.04300000000001</v>
      </c>
      <c r="AK77" s="15"/>
    </row>
    <row r="78" spans="1:46" s="14" customFormat="1" x14ac:dyDescent="0.25">
      <c r="A78" s="3"/>
      <c r="B78" s="2"/>
      <c r="C78" s="3" t="s">
        <v>119</v>
      </c>
      <c r="D78" s="14">
        <v>-22.5</v>
      </c>
      <c r="E78" s="14">
        <v>-8.6999999999999993</v>
      </c>
      <c r="F78" s="14">
        <v>16.187999999999999</v>
      </c>
      <c r="G78" s="14">
        <v>0.28100000000000003</v>
      </c>
      <c r="H78" s="14">
        <v>-12.785</v>
      </c>
      <c r="I78" s="14">
        <v>0</v>
      </c>
      <c r="J78" s="14">
        <v>0</v>
      </c>
      <c r="K78" s="14">
        <v>4</v>
      </c>
      <c r="L78" s="14">
        <v>0</v>
      </c>
      <c r="M78" s="14">
        <v>0</v>
      </c>
      <c r="N78" s="14">
        <v>0</v>
      </c>
      <c r="O78" s="14">
        <v>72</v>
      </c>
      <c r="P78" s="14">
        <v>33.5</v>
      </c>
      <c r="Q78" s="14">
        <v>0</v>
      </c>
      <c r="R78" s="14">
        <v>0</v>
      </c>
      <c r="S78" s="14">
        <v>-0.5</v>
      </c>
      <c r="T78" s="14">
        <v>0</v>
      </c>
      <c r="U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-23.795000000000002</v>
      </c>
      <c r="AH78" s="14">
        <v>-17.785</v>
      </c>
      <c r="AI78" s="14">
        <v>72</v>
      </c>
      <c r="AJ78" s="14">
        <v>33</v>
      </c>
      <c r="AK78" s="15"/>
    </row>
    <row r="79" spans="1:46" s="14" customFormat="1" x14ac:dyDescent="0.25">
      <c r="A79" s="3"/>
      <c r="B79" s="2"/>
      <c r="C79" s="1" t="s">
        <v>61</v>
      </c>
      <c r="D79" s="18">
        <f t="shared" ref="D79:N79" si="99">SUM(D77:D78)</f>
        <v>-38.114000000000004</v>
      </c>
      <c r="E79" s="18">
        <f t="shared" si="99"/>
        <v>-31.198</v>
      </c>
      <c r="F79" s="18">
        <f t="shared" si="99"/>
        <v>-7.2140000000000022</v>
      </c>
      <c r="G79" s="18">
        <f t="shared" si="99"/>
        <v>-57.469000000000001</v>
      </c>
      <c r="H79" s="18">
        <f t="shared" si="99"/>
        <v>-69.953999999999994</v>
      </c>
      <c r="I79" s="18">
        <f t="shared" si="99"/>
        <v>-58.481000000000002</v>
      </c>
      <c r="J79" s="18">
        <f t="shared" si="99"/>
        <v>-25.827999999999999</v>
      </c>
      <c r="K79" s="18">
        <f t="shared" si="99"/>
        <v>-18.218</v>
      </c>
      <c r="L79" s="18">
        <f t="shared" si="99"/>
        <v>-48.234000000000002</v>
      </c>
      <c r="M79" s="18">
        <f t="shared" si="99"/>
        <v>-43.215000000000003</v>
      </c>
      <c r="N79" s="18">
        <f t="shared" si="99"/>
        <v>-28.856999999999999</v>
      </c>
      <c r="O79" s="18">
        <f>SUM(O77:O78)</f>
        <v>-16</v>
      </c>
      <c r="P79" s="18">
        <f>SUM(P77:P78)</f>
        <v>-4.8340000000000032</v>
      </c>
      <c r="Q79" s="18">
        <f>SUM(Q77:Q78)</f>
        <v>-98.486000000000004</v>
      </c>
      <c r="R79" s="18">
        <f t="shared" ref="R79:S79" si="100">SUM(R77:R78)</f>
        <v>-44</v>
      </c>
      <c r="S79" s="18">
        <f t="shared" si="100"/>
        <v>-73.641000000000005</v>
      </c>
      <c r="T79" s="18">
        <f>SUM(T77:T78)</f>
        <v>-41.975000000000001</v>
      </c>
      <c r="U79" s="18">
        <f>SUM(U77:U78)</f>
        <v>-49.652000000000001</v>
      </c>
      <c r="Z79" s="18">
        <f>SUM(Z77:Z78)</f>
        <v>-40.637999999999998</v>
      </c>
      <c r="AA79" s="18">
        <f>SUM(AA77:AA78)</f>
        <v>-34.802999999999997</v>
      </c>
      <c r="AB79" s="18">
        <f>SUM(AB77:AB78)</f>
        <v>-47.073</v>
      </c>
      <c r="AC79" s="18">
        <f>SUM(AC77:AC78)</f>
        <v>-37.292999999999999</v>
      </c>
      <c r="AD79" s="18">
        <f t="shared" ref="AD79:AH79" si="101">SUM(AD77:AD78)</f>
        <v>-98.088999999999999</v>
      </c>
      <c r="AE79" s="18">
        <f t="shared" si="101"/>
        <v>-65.397999999999996</v>
      </c>
      <c r="AF79" s="18">
        <f t="shared" si="101"/>
        <v>-92.614000000000004</v>
      </c>
      <c r="AG79" s="18">
        <f t="shared" si="101"/>
        <v>-143.059</v>
      </c>
      <c r="AH79" s="18">
        <f t="shared" si="101"/>
        <v>-181.482</v>
      </c>
      <c r="AI79" s="18">
        <f>SUM(AI77:AI78)</f>
        <v>-136.32599999999999</v>
      </c>
      <c r="AJ79" s="18">
        <f>SUM(AJ77:AJ78)</f>
        <v>-221.04300000000001</v>
      </c>
      <c r="AK79" s="15"/>
    </row>
    <row r="80" spans="1:46" s="14" customFormat="1" x14ac:dyDescent="0.25">
      <c r="A80" s="3"/>
      <c r="B80" s="2"/>
      <c r="C80" s="3"/>
      <c r="AK80" s="15"/>
    </row>
    <row r="81" spans="1:46" s="14" customFormat="1" x14ac:dyDescent="0.25">
      <c r="A81" s="3"/>
      <c r="B81" s="2"/>
      <c r="C81" s="3" t="s">
        <v>120</v>
      </c>
      <c r="D81" s="14">
        <v>0</v>
      </c>
      <c r="E81" s="14">
        <v>50</v>
      </c>
      <c r="F81" s="14">
        <v>0</v>
      </c>
      <c r="G81" s="14">
        <v>50</v>
      </c>
      <c r="H81" s="14">
        <v>0</v>
      </c>
      <c r="I81" s="14">
        <v>0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>
        <v>0</v>
      </c>
      <c r="S81" s="14">
        <v>148</v>
      </c>
      <c r="T81" s="14">
        <v>0</v>
      </c>
      <c r="U81" s="14">
        <v>0</v>
      </c>
      <c r="Z81" s="14">
        <v>-95.936999999999998</v>
      </c>
      <c r="AA81" s="14">
        <v>0.78300000000000003</v>
      </c>
      <c r="AB81" s="14">
        <v>-97.111000000000004</v>
      </c>
      <c r="AC81" s="14">
        <v>-1.56</v>
      </c>
      <c r="AD81" s="14">
        <v>674.375</v>
      </c>
      <c r="AE81" s="14">
        <v>25</v>
      </c>
      <c r="AF81" s="14">
        <v>130</v>
      </c>
      <c r="AG81" s="14">
        <v>230</v>
      </c>
      <c r="AH81" s="14">
        <v>0</v>
      </c>
      <c r="AI81" s="14">
        <v>0</v>
      </c>
      <c r="AJ81" s="14">
        <v>148</v>
      </c>
      <c r="AK81" s="15"/>
    </row>
    <row r="82" spans="1:46" s="14" customFormat="1" x14ac:dyDescent="0.25">
      <c r="A82" s="3"/>
      <c r="B82" s="2"/>
      <c r="C82" s="3" t="s">
        <v>121</v>
      </c>
      <c r="D82" s="14">
        <v>0</v>
      </c>
      <c r="E82" s="14">
        <v>130</v>
      </c>
      <c r="F82" s="14">
        <v>0</v>
      </c>
      <c r="G82" s="14">
        <v>0</v>
      </c>
      <c r="H82" s="14">
        <v>0</v>
      </c>
      <c r="I82" s="14">
        <v>160</v>
      </c>
      <c r="J82" s="14">
        <v>0</v>
      </c>
      <c r="K82" s="14">
        <v>0</v>
      </c>
      <c r="L82" s="14">
        <v>0</v>
      </c>
      <c r="M82" s="14">
        <v>200</v>
      </c>
      <c r="N82" s="14">
        <v>0</v>
      </c>
      <c r="O82" s="14">
        <v>30</v>
      </c>
      <c r="P82" s="14">
        <v>0</v>
      </c>
      <c r="Q82" s="14">
        <v>300</v>
      </c>
      <c r="R82" s="14">
        <v>0</v>
      </c>
      <c r="S82" s="14">
        <v>0</v>
      </c>
      <c r="T82" s="14">
        <v>250</v>
      </c>
      <c r="U82" s="14">
        <v>50</v>
      </c>
      <c r="Z82" s="14">
        <v>169.45099999999999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  <c r="AH82" s="14">
        <v>160</v>
      </c>
      <c r="AI82" s="14">
        <v>230</v>
      </c>
      <c r="AJ82" s="14">
        <v>300</v>
      </c>
      <c r="AK82" s="15"/>
    </row>
    <row r="83" spans="1:46" s="14" customFormat="1" x14ac:dyDescent="0.25">
      <c r="A83" s="3"/>
      <c r="B83" s="2"/>
      <c r="C83" s="3" t="s">
        <v>122</v>
      </c>
      <c r="D83" s="14">
        <v>-65.117999999999995</v>
      </c>
      <c r="E83" s="14">
        <v>0</v>
      </c>
      <c r="F83" s="14">
        <v>0</v>
      </c>
      <c r="G83" s="14">
        <v>-130</v>
      </c>
      <c r="H83" s="14">
        <v>0</v>
      </c>
      <c r="I83" s="14">
        <v>0</v>
      </c>
      <c r="J83" s="14">
        <v>0</v>
      </c>
      <c r="K83" s="14">
        <v>-160</v>
      </c>
      <c r="L83" s="14">
        <v>0</v>
      </c>
      <c r="M83" s="14">
        <v>0</v>
      </c>
      <c r="N83" s="14">
        <v>0</v>
      </c>
      <c r="O83" s="14">
        <v>-230</v>
      </c>
      <c r="P83" s="14">
        <v>0</v>
      </c>
      <c r="Q83" s="14">
        <v>0</v>
      </c>
      <c r="R83" s="14">
        <v>0</v>
      </c>
      <c r="S83" s="14">
        <v>-300</v>
      </c>
      <c r="T83" s="14">
        <v>0</v>
      </c>
      <c r="U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-130</v>
      </c>
      <c r="AF83" s="14">
        <v>-65</v>
      </c>
      <c r="AG83" s="14">
        <v>-195.119</v>
      </c>
      <c r="AH83" s="14">
        <v>-160</v>
      </c>
      <c r="AI83" s="14">
        <v>-230</v>
      </c>
      <c r="AJ83" s="14">
        <v>-300</v>
      </c>
      <c r="AK83" s="15"/>
    </row>
    <row r="84" spans="1:46" s="14" customFormat="1" x14ac:dyDescent="0.25">
      <c r="A84" s="3"/>
      <c r="B84" s="2"/>
      <c r="C84" s="3" t="s">
        <v>123</v>
      </c>
      <c r="D84" s="14">
        <v>0</v>
      </c>
      <c r="E84" s="14">
        <v>-10</v>
      </c>
      <c r="F84" s="14">
        <v>0</v>
      </c>
      <c r="G84" s="14">
        <v>-20</v>
      </c>
      <c r="H84" s="14">
        <v>0</v>
      </c>
      <c r="I84" s="14">
        <v>-10</v>
      </c>
      <c r="J84" s="14">
        <v>0</v>
      </c>
      <c r="K84" s="14">
        <v>-20</v>
      </c>
      <c r="L84" s="14">
        <v>0</v>
      </c>
      <c r="M84" s="14">
        <v>-10</v>
      </c>
      <c r="N84" s="14">
        <v>0</v>
      </c>
      <c r="O84" s="14">
        <v>-20</v>
      </c>
      <c r="P84" s="14">
        <v>0</v>
      </c>
      <c r="Q84" s="14">
        <v>-10</v>
      </c>
      <c r="R84" s="14">
        <v>0</v>
      </c>
      <c r="S84" s="14">
        <v>-20</v>
      </c>
      <c r="T84" s="14">
        <v>0</v>
      </c>
      <c r="U84" s="14">
        <v>-10</v>
      </c>
      <c r="Z84" s="14">
        <v>0</v>
      </c>
      <c r="AA84" s="14">
        <v>0</v>
      </c>
      <c r="AB84" s="14">
        <v>-100</v>
      </c>
      <c r="AC84" s="14">
        <v>0</v>
      </c>
      <c r="AD84" s="14">
        <v>-627.37900000000002</v>
      </c>
      <c r="AE84" s="14">
        <v>-50</v>
      </c>
      <c r="AF84" s="14">
        <v>-38.283000000000001</v>
      </c>
      <c r="AG84" s="14">
        <v>-30</v>
      </c>
      <c r="AH84" s="14">
        <v>-30</v>
      </c>
      <c r="AI84" s="14">
        <v>-30</v>
      </c>
      <c r="AJ84" s="14">
        <v>-30</v>
      </c>
      <c r="AK84" s="15"/>
    </row>
    <row r="85" spans="1:46" s="14" customFormat="1" x14ac:dyDescent="0.25">
      <c r="A85" s="3"/>
      <c r="B85" s="2"/>
      <c r="C85" s="3" t="s">
        <v>124</v>
      </c>
      <c r="D85" s="14">
        <v>138.32900000000001</v>
      </c>
      <c r="E85" s="14">
        <v>3.17</v>
      </c>
      <c r="F85" s="14">
        <v>29.193999999999999</v>
      </c>
      <c r="G85" s="14">
        <v>-170.69399999999999</v>
      </c>
      <c r="H85" s="14">
        <v>148.41900000000001</v>
      </c>
      <c r="I85" s="14">
        <v>-7.3579999999999997</v>
      </c>
      <c r="J85" s="14">
        <v>-95.207999999999998</v>
      </c>
      <c r="K85" s="14">
        <v>-45.8</v>
      </c>
      <c r="L85" s="14">
        <v>47.295999999999999</v>
      </c>
      <c r="M85" s="14">
        <v>-2.819</v>
      </c>
      <c r="N85" s="14">
        <v>28.143000000000001</v>
      </c>
      <c r="O85" s="14">
        <v>-72.62</v>
      </c>
      <c r="P85" s="14">
        <v>158.27600000000001</v>
      </c>
      <c r="Q85" s="14">
        <v>24.478999999999999</v>
      </c>
      <c r="R85" s="14">
        <v>83.2</v>
      </c>
      <c r="S85" s="14">
        <v>-153.56700000000001</v>
      </c>
      <c r="T85" s="14">
        <v>41.406999999999996</v>
      </c>
      <c r="U85" s="14">
        <v>27.417000000000002</v>
      </c>
      <c r="Z85" s="14">
        <v>0</v>
      </c>
      <c r="AA85" s="14">
        <v>0</v>
      </c>
      <c r="AB85" s="14">
        <v>100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  <c r="AH85" s="14">
        <v>0</v>
      </c>
      <c r="AI85" s="14">
        <v>0</v>
      </c>
      <c r="AJ85" s="14">
        <v>112.389</v>
      </c>
      <c r="AK85" s="15"/>
    </row>
    <row r="86" spans="1:46" s="14" customFormat="1" x14ac:dyDescent="0.25">
      <c r="A86" s="3"/>
      <c r="B86" s="2"/>
      <c r="C86" s="3" t="s">
        <v>125</v>
      </c>
      <c r="D86" s="14">
        <v>-68.38</v>
      </c>
      <c r="E86" s="14">
        <v>-68.135000000000005</v>
      </c>
      <c r="F86" s="14">
        <v>-66.105000000000004</v>
      </c>
      <c r="G86" s="14">
        <v>-64.564999999999998</v>
      </c>
      <c r="H86" s="14">
        <v>-73.998999999999995</v>
      </c>
      <c r="I86" s="14">
        <v>-73.891000000000005</v>
      </c>
      <c r="J86" s="14">
        <v>-75.378</v>
      </c>
      <c r="K86" s="14">
        <v>-76.817999999999998</v>
      </c>
      <c r="L86" s="14">
        <v>-81.844999999999999</v>
      </c>
      <c r="M86" s="14">
        <v>-87.349000000000004</v>
      </c>
      <c r="N86" s="14">
        <v>-84.484999999999999</v>
      </c>
      <c r="O86" s="14">
        <v>-86.861999999999995</v>
      </c>
      <c r="P86" s="14">
        <v>-93</v>
      </c>
      <c r="Q86" s="14">
        <v>-97.185000000000002</v>
      </c>
      <c r="R86" s="14">
        <v>-97.978999999999999</v>
      </c>
      <c r="S86" s="14">
        <v>-99.677999999999997</v>
      </c>
      <c r="T86" s="14">
        <v>-104.536</v>
      </c>
      <c r="U86" s="14">
        <v>-98.745999999999995</v>
      </c>
      <c r="Z86" s="14">
        <v>0</v>
      </c>
      <c r="AA86" s="14">
        <v>0</v>
      </c>
      <c r="AB86" s="14">
        <v>0</v>
      </c>
      <c r="AC86" s="14">
        <v>0</v>
      </c>
      <c r="AD86" s="14">
        <v>-223.33500000000001</v>
      </c>
      <c r="AE86" s="14">
        <v>-274.95600000000002</v>
      </c>
      <c r="AF86" s="14">
        <v>-264.95100000000002</v>
      </c>
      <c r="AG86" s="14">
        <v>-263.35000000000002</v>
      </c>
      <c r="AH86" s="14">
        <v>-296.25</v>
      </c>
      <c r="AI86" s="14">
        <v>-340.54</v>
      </c>
      <c r="AJ86" s="14">
        <v>-387.88900000000001</v>
      </c>
      <c r="AK86" s="15"/>
    </row>
    <row r="87" spans="1:46" s="14" customFormat="1" x14ac:dyDescent="0.25">
      <c r="A87" s="3"/>
      <c r="B87" s="2"/>
      <c r="C87" s="3" t="s">
        <v>126</v>
      </c>
      <c r="D87" s="14">
        <v>0</v>
      </c>
      <c r="E87" s="14">
        <v>-162.58099999999999</v>
      </c>
      <c r="F87" s="14">
        <v>0</v>
      </c>
      <c r="G87" s="14">
        <v>-101.613</v>
      </c>
      <c r="H87" s="14">
        <v>0</v>
      </c>
      <c r="I87" s="14">
        <v>-121.935</v>
      </c>
      <c r="J87" s="14">
        <v>0</v>
      </c>
      <c r="K87" s="14">
        <v>-111.774</v>
      </c>
      <c r="L87" s="14">
        <v>0</v>
      </c>
      <c r="M87" s="14">
        <v>-142.25800000000001</v>
      </c>
      <c r="N87" s="14">
        <v>0</v>
      </c>
      <c r="O87" s="14">
        <v>-121.935</v>
      </c>
      <c r="P87" s="14">
        <v>0</v>
      </c>
      <c r="Q87" s="14">
        <v>-203</v>
      </c>
      <c r="R87" s="14">
        <v>0</v>
      </c>
      <c r="S87" s="14">
        <v>-101.613</v>
      </c>
      <c r="T87" s="14">
        <v>0</v>
      </c>
      <c r="U87" s="14">
        <v>-101.613</v>
      </c>
      <c r="Z87" s="14">
        <v>0</v>
      </c>
      <c r="AA87" s="14">
        <v>-60.968000000000004</v>
      </c>
      <c r="AB87" s="14">
        <v>-121.935</v>
      </c>
      <c r="AC87" s="14">
        <v>-101.613</v>
      </c>
      <c r="AD87" s="14">
        <v>-130</v>
      </c>
      <c r="AE87" s="14">
        <v>-284.47399999999999</v>
      </c>
      <c r="AF87" s="14">
        <v>-365.80700000000002</v>
      </c>
      <c r="AG87" s="14">
        <v>-264.19400000000002</v>
      </c>
      <c r="AH87" s="14">
        <v>-233.71</v>
      </c>
      <c r="AI87" s="14">
        <v>-264.19400000000002</v>
      </c>
      <c r="AJ87" s="14">
        <v>-304.839</v>
      </c>
      <c r="AK87" s="15"/>
    </row>
    <row r="88" spans="1:46" s="14" customFormat="1" x14ac:dyDescent="0.25">
      <c r="A88" s="3"/>
      <c r="B88" s="2"/>
      <c r="C88" s="3" t="s">
        <v>134</v>
      </c>
      <c r="D88" s="14">
        <v>-10.378</v>
      </c>
      <c r="E88" s="14">
        <v>-9.9700000000000006</v>
      </c>
      <c r="F88" s="14">
        <v>-10.627000000000001</v>
      </c>
      <c r="G88" s="14">
        <v>-12.599</v>
      </c>
      <c r="H88" s="14">
        <v>-20.794</v>
      </c>
      <c r="I88" s="14">
        <v>-20.247</v>
      </c>
      <c r="J88" s="14">
        <v>-18.789000000000001</v>
      </c>
      <c r="K88" s="14">
        <v>-19.542999999999999</v>
      </c>
      <c r="L88" s="14">
        <v>-21.984999999999999</v>
      </c>
      <c r="M88" s="14">
        <v>-22.939</v>
      </c>
      <c r="N88" s="14">
        <v>-24.911000000000001</v>
      </c>
      <c r="O88" s="14">
        <v>-27.765000000000001</v>
      </c>
      <c r="P88" s="14">
        <v>-23.6</v>
      </c>
      <c r="Q88" s="14">
        <v>-30</v>
      </c>
      <c r="R88" s="14">
        <v>-33.54</v>
      </c>
      <c r="S88" s="14">
        <v>-23.983000000000001</v>
      </c>
      <c r="T88" s="14">
        <v>-31.146999999999998</v>
      </c>
      <c r="U88" s="14">
        <v>-27.135000000000002</v>
      </c>
      <c r="Z88" s="14">
        <v>-29.456</v>
      </c>
      <c r="AA88" s="14">
        <v>-12.705</v>
      </c>
      <c r="AB88" s="14">
        <v>-14.516999999999999</v>
      </c>
      <c r="AC88" s="14">
        <v>-12.64</v>
      </c>
      <c r="AD88" s="14">
        <v>-26.17</v>
      </c>
      <c r="AE88" s="14">
        <v>-10.5</v>
      </c>
      <c r="AF88" s="14">
        <v>-39.283000000000001</v>
      </c>
      <c r="AG88" s="14">
        <v>-46.435000000000002</v>
      </c>
      <c r="AH88" s="14">
        <v>-79.742999999999995</v>
      </c>
      <c r="AI88" s="14">
        <v>-97</v>
      </c>
      <c r="AJ88" s="14">
        <v>-111.779</v>
      </c>
      <c r="AK88" s="15"/>
    </row>
    <row r="89" spans="1:46" s="14" customFormat="1" x14ac:dyDescent="0.25">
      <c r="A89" s="3"/>
      <c r="B89" s="2"/>
      <c r="C89" s="1" t="s">
        <v>62</v>
      </c>
      <c r="D89" s="18">
        <f t="shared" ref="D89:N89" si="102">SUM(D81:D88)</f>
        <v>-5.5469999999999828</v>
      </c>
      <c r="E89" s="18">
        <f t="shared" si="102"/>
        <v>-67.516000000000005</v>
      </c>
      <c r="F89" s="18">
        <f t="shared" si="102"/>
        <v>-47.538000000000004</v>
      </c>
      <c r="G89" s="18">
        <f t="shared" si="102"/>
        <v>-449.47099999999995</v>
      </c>
      <c r="H89" s="18">
        <f t="shared" si="102"/>
        <v>53.626000000000019</v>
      </c>
      <c r="I89" s="18">
        <f t="shared" si="102"/>
        <v>-73.431000000000012</v>
      </c>
      <c r="J89" s="18">
        <f t="shared" si="102"/>
        <v>-189.375</v>
      </c>
      <c r="K89" s="18">
        <f t="shared" si="102"/>
        <v>-433.935</v>
      </c>
      <c r="L89" s="18">
        <f t="shared" si="102"/>
        <v>-56.533999999999999</v>
      </c>
      <c r="M89" s="18">
        <f t="shared" si="102"/>
        <v>-65.365000000000009</v>
      </c>
      <c r="N89" s="18">
        <f t="shared" si="102"/>
        <v>-81.253</v>
      </c>
      <c r="O89" s="18">
        <f>SUM(O81:O88)</f>
        <v>-529.18200000000002</v>
      </c>
      <c r="P89" s="18">
        <f>SUM(P81:P88)</f>
        <v>41.676000000000009</v>
      </c>
      <c r="Q89" s="18">
        <f>SUM(Q81:Q88)</f>
        <v>-15.706000000000017</v>
      </c>
      <c r="R89" s="18">
        <f t="shared" ref="R89:S89" si="103">SUM(R81:R88)</f>
        <v>-48.318999999999996</v>
      </c>
      <c r="S89" s="18">
        <f t="shared" si="103"/>
        <v>-550.84099999999989</v>
      </c>
      <c r="T89" s="18">
        <f>SUM(T81:T88)</f>
        <v>155.72399999999999</v>
      </c>
      <c r="U89" s="18">
        <f>SUM(U81:U88)</f>
        <v>-160.077</v>
      </c>
      <c r="Z89" s="18">
        <f>SUM(Z81:Z88)</f>
        <v>44.057999999999993</v>
      </c>
      <c r="AA89" s="18">
        <f>SUM(AA81:AA88)</f>
        <v>-72.89</v>
      </c>
      <c r="AB89" s="18">
        <f>SUM(AB81:AB88)</f>
        <v>-233.56299999999999</v>
      </c>
      <c r="AC89" s="18">
        <f>SUM(AC81:AC88)</f>
        <v>-115.813</v>
      </c>
      <c r="AD89" s="18">
        <f>SUM(AD81:AD88)</f>
        <v>-332.50900000000007</v>
      </c>
      <c r="AE89" s="18">
        <f t="shared" ref="AE89" si="104">SUM(AE82:AE88)</f>
        <v>-749.93000000000006</v>
      </c>
      <c r="AF89" s="18">
        <f>SUM(AF81:AF88)</f>
        <v>-643.32400000000007</v>
      </c>
      <c r="AG89" s="18">
        <f>SUM(AG81:AG88)</f>
        <v>-569.09799999999996</v>
      </c>
      <c r="AH89" s="18">
        <f t="shared" ref="AH89:AI89" si="105">SUM(AH81:AH88)</f>
        <v>-639.70299999999997</v>
      </c>
      <c r="AI89" s="18">
        <f t="shared" si="105"/>
        <v>-731.73400000000004</v>
      </c>
      <c r="AJ89" s="18">
        <f>SUM(AJ81:AJ88)</f>
        <v>-574.11799999999994</v>
      </c>
      <c r="AK89" s="15"/>
    </row>
    <row r="90" spans="1:46" s="14" customFormat="1" x14ac:dyDescent="0.25">
      <c r="A90" s="3"/>
      <c r="B90" s="2"/>
      <c r="C90" s="3"/>
      <c r="AK90" s="15"/>
    </row>
    <row r="91" spans="1:46" s="14" customFormat="1" x14ac:dyDescent="0.25">
      <c r="A91" s="3"/>
      <c r="B91" s="2"/>
      <c r="C91" s="3" t="s">
        <v>127</v>
      </c>
      <c r="D91" s="14">
        <v>-4.0529999999999999</v>
      </c>
      <c r="E91" s="14">
        <v>3.431</v>
      </c>
      <c r="F91" s="14">
        <v>6.9509999999999996</v>
      </c>
      <c r="G91" s="14">
        <v>-5.64</v>
      </c>
      <c r="H91" s="14">
        <v>9.9429999999999996</v>
      </c>
      <c r="I91" s="14">
        <v>3.2210000000000001</v>
      </c>
      <c r="J91" s="14">
        <v>-1.472</v>
      </c>
      <c r="K91" s="14">
        <v>-2.6</v>
      </c>
      <c r="L91" s="14">
        <v>6.7690000000000001</v>
      </c>
      <c r="M91" s="14">
        <v>-2.6139999999999999</v>
      </c>
      <c r="N91" s="14">
        <v>-0.28199999999999997</v>
      </c>
      <c r="O91" s="14">
        <v>4.6959999999999997</v>
      </c>
      <c r="P91" s="14">
        <v>-9.3629999999999995</v>
      </c>
      <c r="Q91" s="14">
        <v>9.6</v>
      </c>
      <c r="R91" s="14">
        <v>-1.8</v>
      </c>
      <c r="S91" s="14">
        <v>9.6590000000000007</v>
      </c>
      <c r="T91" s="14">
        <v>-4.8019999999999996</v>
      </c>
      <c r="U91" s="14">
        <v>0.46899999999999997</v>
      </c>
      <c r="Z91" s="14">
        <v>-0.76100000000000001</v>
      </c>
      <c r="AA91" s="14">
        <v>-2.8290000000000002</v>
      </c>
      <c r="AB91" s="14">
        <v>0.71</v>
      </c>
      <c r="AC91" s="14">
        <v>-2.9000000000000001E-2</v>
      </c>
      <c r="AD91" s="14">
        <v>-1</v>
      </c>
      <c r="AH91" s="14">
        <v>9</v>
      </c>
      <c r="AI91" s="14">
        <v>8.5</v>
      </c>
      <c r="AJ91" s="14">
        <v>8.0670000000000002</v>
      </c>
      <c r="AK91" s="15"/>
    </row>
    <row r="92" spans="1:46" s="14" customFormat="1" x14ac:dyDescent="0.25">
      <c r="A92" s="3"/>
      <c r="B92" s="2"/>
      <c r="C92" s="3"/>
      <c r="AK92" s="15"/>
    </row>
    <row r="93" spans="1:46" s="14" customFormat="1" x14ac:dyDescent="0.25">
      <c r="A93" s="3"/>
      <c r="B93" s="2"/>
      <c r="C93" s="3" t="s">
        <v>128</v>
      </c>
      <c r="D93" s="14">
        <f t="shared" ref="D93:N93" si="106">D75+D79+D89+D91</f>
        <v>-239.33299999999997</v>
      </c>
      <c r="E93" s="14">
        <f t="shared" si="106"/>
        <v>4.036000000000004</v>
      </c>
      <c r="F93" s="14">
        <f t="shared" si="106"/>
        <v>2.4440000000000017</v>
      </c>
      <c r="G93" s="14">
        <f t="shared" si="106"/>
        <v>69.242999999999981</v>
      </c>
      <c r="H93" s="14">
        <f t="shared" si="106"/>
        <v>-75.722999999999956</v>
      </c>
      <c r="I93" s="14">
        <f t="shared" si="106"/>
        <v>2.9999999999823501E-3</v>
      </c>
      <c r="J93" s="14">
        <f t="shared" si="106"/>
        <v>2.0000000000179874E-3</v>
      </c>
      <c r="K93" s="14">
        <f t="shared" si="106"/>
        <v>223.73300000000015</v>
      </c>
      <c r="L93" s="14">
        <f t="shared" si="106"/>
        <v>-225.065</v>
      </c>
      <c r="M93" s="14">
        <f t="shared" si="106"/>
        <v>9.9999999996658318E-4</v>
      </c>
      <c r="N93" s="14">
        <f t="shared" si="106"/>
        <v>-1.000000000008272E-3</v>
      </c>
      <c r="O93" s="14">
        <f>O75+O79+O89+O91</f>
        <v>227.65600000000003</v>
      </c>
      <c r="P93" s="14">
        <f>P75+P79+P89+P91</f>
        <v>-228.56699999999998</v>
      </c>
      <c r="Q93" s="14">
        <f>Q75+Q79+Q89+Q91</f>
        <v>0.83499999999997065</v>
      </c>
      <c r="R93" s="14">
        <f t="shared" ref="R93:S93" si="107">R75+R79+R89+R91</f>
        <v>0.4619999999999933</v>
      </c>
      <c r="S93" s="14">
        <f t="shared" si="107"/>
        <v>-5.199999999989835E-2</v>
      </c>
      <c r="T93" s="14">
        <f>T75+T79+T89+T91</f>
        <v>9.9999999999766942E-4</v>
      </c>
      <c r="U93" s="14">
        <f>U75+U79+U89+U91</f>
        <v>-2.0000000000036655E-3</v>
      </c>
      <c r="Z93" s="14">
        <f>Z75+Z79+Z89+Z91</f>
        <v>131.303</v>
      </c>
      <c r="AA93" s="14">
        <f>AA75+AA79+AA89+AA91</f>
        <v>61.476999999999997</v>
      </c>
      <c r="AB93" s="14">
        <f>AB75+AB79+AB89+AB91</f>
        <v>-161.77999999999997</v>
      </c>
      <c r="AC93" s="14">
        <f>AC75+AC79+AC89+AC91</f>
        <v>112.081</v>
      </c>
      <c r="AD93" s="14">
        <f t="shared" ref="AD93:AI93" si="108">AD75+AD79+AD89+AD91</f>
        <v>91.923999999999864</v>
      </c>
      <c r="AE93" s="14">
        <f t="shared" si="108"/>
        <v>-66.353000000000179</v>
      </c>
      <c r="AF93" s="14">
        <f t="shared" si="108"/>
        <v>-60.908000000000243</v>
      </c>
      <c r="AG93" s="14">
        <f t="shared" si="108"/>
        <v>-164.07899999999995</v>
      </c>
      <c r="AH93" s="14">
        <f t="shared" si="108"/>
        <v>149.20100000000002</v>
      </c>
      <c r="AI93" s="14">
        <f t="shared" si="108"/>
        <v>3.9690000000000509</v>
      </c>
      <c r="AJ93" s="14">
        <f>AJ75+AJ79+AJ89+AJ91</f>
        <v>-219.55199999999979</v>
      </c>
      <c r="AK93" s="15"/>
    </row>
    <row r="94" spans="1:46" s="14" customFormat="1" x14ac:dyDescent="0.25">
      <c r="A94" s="3"/>
      <c r="B94" s="2"/>
      <c r="C94" s="3"/>
      <c r="AK94" s="15"/>
    </row>
    <row r="95" spans="1:46" x14ac:dyDescent="0.25">
      <c r="C95" s="3" t="s">
        <v>129</v>
      </c>
      <c r="D95" s="14">
        <f t="shared" ref="D95:N95" si="109">D75+D77</f>
        <v>-207.233</v>
      </c>
      <c r="E95" s="14">
        <f t="shared" si="109"/>
        <v>76.821000000000012</v>
      </c>
      <c r="F95" s="14">
        <f t="shared" si="109"/>
        <v>26.843000000000004</v>
      </c>
      <c r="G95" s="14">
        <f t="shared" si="109"/>
        <v>524.07299999999998</v>
      </c>
      <c r="H95" s="14">
        <f t="shared" si="109"/>
        <v>-126.50699999999999</v>
      </c>
      <c r="I95" s="14">
        <f t="shared" si="109"/>
        <v>70.212999999999994</v>
      </c>
      <c r="J95" s="14">
        <f t="shared" si="109"/>
        <v>190.84900000000002</v>
      </c>
      <c r="K95" s="14">
        <f t="shared" si="109"/>
        <v>656.26800000000014</v>
      </c>
      <c r="L95" s="14">
        <f t="shared" si="109"/>
        <v>-175.3</v>
      </c>
      <c r="M95" s="14">
        <f t="shared" si="109"/>
        <v>67.979999999999976</v>
      </c>
      <c r="N95" s="14">
        <f t="shared" si="109"/>
        <v>81.533999999999992</v>
      </c>
      <c r="O95" s="14">
        <f>O75+O77</f>
        <v>680.14200000000005</v>
      </c>
      <c r="P95" s="14">
        <f>P75+P77</f>
        <v>-294.38</v>
      </c>
      <c r="Q95" s="14">
        <f>Q75+Q77</f>
        <v>6.9409999999999883</v>
      </c>
      <c r="R95" s="14">
        <f t="shared" ref="R95:S95" si="110">R75+R77</f>
        <v>50.580999999999989</v>
      </c>
      <c r="S95" s="14">
        <f t="shared" si="110"/>
        <v>541.63</v>
      </c>
      <c r="T95" s="14">
        <f>T75+T77</f>
        <v>-150.92099999999999</v>
      </c>
      <c r="U95" s="14">
        <f>U75+U77</f>
        <v>159.60599999999999</v>
      </c>
      <c r="V95" s="14"/>
      <c r="W95" s="14"/>
      <c r="X95" s="14"/>
      <c r="Y95" s="14"/>
      <c r="Z95" s="14">
        <f>Z75+Z77</f>
        <v>88.006</v>
      </c>
      <c r="AA95" s="14">
        <f>AA75+AA77</f>
        <v>137.196</v>
      </c>
      <c r="AB95" s="14">
        <f>AB75+AB77</f>
        <v>71.073000000000008</v>
      </c>
      <c r="AC95" s="14">
        <f>AC75+AC77</f>
        <v>227.923</v>
      </c>
      <c r="AD95" s="14">
        <f t="shared" ref="AD95:AH95" si="111">AD75+AD77</f>
        <v>425.43299999999994</v>
      </c>
      <c r="AE95" s="14">
        <f t="shared" si="111"/>
        <v>683.57699999999988</v>
      </c>
      <c r="AF95" s="14">
        <f t="shared" si="111"/>
        <v>582.41599999999983</v>
      </c>
      <c r="AG95" s="14">
        <f t="shared" si="111"/>
        <v>428.81399999999996</v>
      </c>
      <c r="AH95" s="14">
        <f t="shared" si="111"/>
        <v>797.68899999999996</v>
      </c>
      <c r="AI95" s="14">
        <f>AI75+AI77</f>
        <v>655.20300000000009</v>
      </c>
      <c r="AJ95" s="14">
        <f>AJ75+AJ77</f>
        <v>313.49900000000014</v>
      </c>
      <c r="AK95" s="15"/>
      <c r="AL95" s="14"/>
      <c r="AM95" s="14"/>
      <c r="AN95" s="14"/>
      <c r="AO95" s="14"/>
      <c r="AP95" s="14"/>
      <c r="AQ95" s="14"/>
      <c r="AR95" s="14"/>
      <c r="AS95" s="14"/>
      <c r="AT95" s="14"/>
    </row>
    <row r="96" spans="1:46" x14ac:dyDescent="0.25">
      <c r="AD96" s="14"/>
      <c r="AE96" s="14"/>
      <c r="AF96" s="14"/>
      <c r="AG96" s="14"/>
      <c r="AH96" s="14"/>
      <c r="AI96" s="14"/>
    </row>
  </sheetData>
  <phoneticPr fontId="1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AAD3C-6195-F841-BFBF-723B9173117A}">
  <dimension ref="B3:AA24"/>
  <sheetViews>
    <sheetView showGridLines="0" zoomScale="90" zoomScaleNormal="90" workbookViewId="0">
      <pane xSplit="2" ySplit="4" topLeftCell="N5" activePane="bottomRight" state="frozen"/>
      <selection pane="topRight" activeCell="C1" sqref="C1"/>
      <selection pane="bottomLeft" activeCell="A5" sqref="A5"/>
      <selection pane="bottomRight" activeCell="Z30" sqref="Z30"/>
    </sheetView>
  </sheetViews>
  <sheetFormatPr baseColWidth="10" defaultRowHeight="21" x14ac:dyDescent="0.25"/>
  <cols>
    <col min="1" max="1" width="4.33203125" style="10" customWidth="1"/>
    <col min="2" max="2" width="23.1640625" style="10" bestFit="1" customWidth="1"/>
    <col min="3" max="18" width="10.83203125" style="10"/>
    <col min="19" max="19" width="11.33203125" style="10" customWidth="1"/>
    <col min="20" max="20" width="10.83203125" style="10" customWidth="1"/>
    <col min="21" max="21" width="10.33203125" style="10" customWidth="1"/>
    <col min="22" max="16384" width="10.83203125" style="10"/>
  </cols>
  <sheetData>
    <row r="3" spans="2:27" x14ac:dyDescent="0.25">
      <c r="B3" s="31"/>
    </row>
    <row r="4" spans="2:27" x14ac:dyDescent="0.25">
      <c r="B4" s="31" t="s">
        <v>89</v>
      </c>
      <c r="C4" s="32" t="s">
        <v>7</v>
      </c>
      <c r="D4" s="32" t="s">
        <v>8</v>
      </c>
      <c r="E4" s="32" t="s">
        <v>9</v>
      </c>
      <c r="F4" s="32" t="s">
        <v>10</v>
      </c>
      <c r="G4" s="39">
        <v>2022</v>
      </c>
      <c r="H4" s="32" t="s">
        <v>11</v>
      </c>
      <c r="I4" s="32" t="s">
        <v>12</v>
      </c>
      <c r="J4" s="32" t="s">
        <v>13</v>
      </c>
      <c r="K4" s="32" t="s">
        <v>14</v>
      </c>
      <c r="L4" s="39">
        <v>2023</v>
      </c>
      <c r="M4" s="32" t="s">
        <v>15</v>
      </c>
      <c r="N4" s="32" t="s">
        <v>16</v>
      </c>
      <c r="O4" s="32" t="s">
        <v>17</v>
      </c>
      <c r="P4" s="32" t="s">
        <v>18</v>
      </c>
      <c r="Q4" s="39">
        <v>2024</v>
      </c>
      <c r="R4" s="32" t="s">
        <v>102</v>
      </c>
      <c r="S4" s="32" t="s">
        <v>103</v>
      </c>
      <c r="T4" s="32" t="s">
        <v>104</v>
      </c>
      <c r="U4" s="32" t="s">
        <v>105</v>
      </c>
      <c r="V4" s="41">
        <v>2025</v>
      </c>
      <c r="W4" s="32" t="s">
        <v>146</v>
      </c>
      <c r="X4" s="32" t="s">
        <v>147</v>
      </c>
      <c r="Y4" s="32" t="s">
        <v>148</v>
      </c>
      <c r="Z4" s="32" t="s">
        <v>149</v>
      </c>
      <c r="AA4" s="41">
        <v>2026</v>
      </c>
    </row>
    <row r="5" spans="2:27" ht="24" x14ac:dyDescent="0.3">
      <c r="B5" s="37" t="s">
        <v>19</v>
      </c>
      <c r="G5" s="40"/>
      <c r="L5" s="40"/>
      <c r="Q5" s="40"/>
      <c r="V5" s="40"/>
      <c r="AA5" s="40"/>
    </row>
    <row r="6" spans="2:27" x14ac:dyDescent="0.25">
      <c r="B6" s="31" t="s">
        <v>21</v>
      </c>
      <c r="C6" s="47">
        <v>366.8</v>
      </c>
      <c r="D6" s="47">
        <v>455.5</v>
      </c>
      <c r="E6" s="47">
        <v>457.9</v>
      </c>
      <c r="F6" s="47">
        <v>703.4</v>
      </c>
      <c r="G6" s="48">
        <f>SUM(C6:F6)</f>
        <v>1983.6</v>
      </c>
      <c r="H6" s="47">
        <v>385.9</v>
      </c>
      <c r="I6" s="47">
        <v>450.7</v>
      </c>
      <c r="J6" s="47">
        <v>517.79999999999995</v>
      </c>
      <c r="K6" s="47">
        <v>768.5</v>
      </c>
      <c r="L6" s="48">
        <f>SUM(H6:K6)</f>
        <v>2122.8999999999996</v>
      </c>
      <c r="M6" s="47">
        <v>437.7</v>
      </c>
      <c r="N6" s="47">
        <v>500.4</v>
      </c>
      <c r="O6" s="47">
        <v>562.9</v>
      </c>
      <c r="P6" s="47">
        <v>836.4</v>
      </c>
      <c r="Q6" s="48">
        <f>SUM(M6:P6)</f>
        <v>2337.4</v>
      </c>
      <c r="R6" s="47">
        <v>452.4</v>
      </c>
      <c r="S6" s="49">
        <v>535.9</v>
      </c>
      <c r="T6" s="49">
        <v>573.6</v>
      </c>
      <c r="U6" s="31">
        <v>873.6</v>
      </c>
      <c r="V6" s="48">
        <f>SUM(R6:U6)</f>
        <v>2435.5</v>
      </c>
      <c r="W6" s="47">
        <v>492.7</v>
      </c>
      <c r="X6" s="49">
        <v>574.29999999999995</v>
      </c>
      <c r="Y6" s="49"/>
      <c r="Z6" s="31"/>
      <c r="AA6" s="48">
        <f>SUM(W6:Z6)</f>
        <v>1067</v>
      </c>
    </row>
    <row r="7" spans="2:27" x14ac:dyDescent="0.25">
      <c r="B7" s="33" t="s">
        <v>94</v>
      </c>
      <c r="C7" s="34">
        <v>0.125</v>
      </c>
      <c r="D7" s="34">
        <v>8.8999999999999996E-2</v>
      </c>
      <c r="E7" s="34">
        <v>1.4E-2</v>
      </c>
      <c r="F7" s="34">
        <v>2.3E-2</v>
      </c>
      <c r="G7" s="42"/>
      <c r="H7" s="34">
        <v>5.1999999999999998E-2</v>
      </c>
      <c r="I7" s="34">
        <v>-1.0999999999999999E-2</v>
      </c>
      <c r="J7" s="34">
        <v>0.13100000000000001</v>
      </c>
      <c r="K7" s="34">
        <v>9.2999999999999999E-2</v>
      </c>
      <c r="L7" s="42">
        <f>(L6-G6)/G6</f>
        <v>7.0225851986287419E-2</v>
      </c>
      <c r="M7" s="34">
        <v>0.13400000000000001</v>
      </c>
      <c r="N7" s="34">
        <v>0.11</v>
      </c>
      <c r="O7" s="34">
        <v>8.6999999999999994E-2</v>
      </c>
      <c r="P7" s="34">
        <v>8.7999999999999995E-2</v>
      </c>
      <c r="Q7" s="42">
        <f>(Q6-L6)/L6</f>
        <v>0.10104102878138418</v>
      </c>
      <c r="R7" s="34">
        <v>3.3000000000000002E-2</v>
      </c>
      <c r="S7" s="34">
        <v>7.0999999999999994E-2</v>
      </c>
      <c r="T7" s="34">
        <v>1.9E-2</v>
      </c>
      <c r="U7" s="34">
        <v>4.3999999999999997E-2</v>
      </c>
      <c r="V7" s="42">
        <f>(V6-Q6)/Q6</f>
        <v>4.1969709934114786E-2</v>
      </c>
      <c r="W7" s="34">
        <v>8.8999999999999996E-2</v>
      </c>
      <c r="X7" s="34">
        <v>7.0999999999999994E-2</v>
      </c>
      <c r="Y7" s="34"/>
      <c r="Z7" s="34"/>
      <c r="AA7" s="42">
        <f>(AA6-V6)/V6</f>
        <v>-0.56189694107986043</v>
      </c>
    </row>
    <row r="8" spans="2:27" x14ac:dyDescent="0.25">
      <c r="B8" s="33" t="s">
        <v>95</v>
      </c>
      <c r="C8" s="34">
        <v>0.107</v>
      </c>
      <c r="D8" s="34">
        <v>5.8000000000000003E-2</v>
      </c>
      <c r="E8" s="34">
        <v>-0.01</v>
      </c>
      <c r="F8" s="34">
        <v>8.9999999999999993E-3</v>
      </c>
      <c r="G8" s="42">
        <f>AVERAGE(C8:F8)</f>
        <v>4.1000000000000002E-2</v>
      </c>
      <c r="H8" s="34">
        <v>3.5000000000000003E-2</v>
      </c>
      <c r="I8" s="34">
        <v>-0.02</v>
      </c>
      <c r="J8" s="34">
        <v>0.127</v>
      </c>
      <c r="K8" s="45">
        <v>8.5000000000000006E-2</v>
      </c>
      <c r="L8" s="42">
        <f>AVERAGE(H8:K8)</f>
        <v>5.6750000000000009E-2</v>
      </c>
      <c r="M8" s="34">
        <v>0.127</v>
      </c>
      <c r="N8" s="34">
        <v>9.5000000000000001E-2</v>
      </c>
      <c r="O8" s="34">
        <v>7.0000000000000007E-2</v>
      </c>
      <c r="P8" s="34">
        <v>6.7000000000000004E-2</v>
      </c>
      <c r="Q8" s="42">
        <f>AVERAGE(M8:P8)</f>
        <v>8.975000000000001E-2</v>
      </c>
      <c r="R8" s="34">
        <v>1.7999999999999999E-2</v>
      </c>
      <c r="S8" s="34">
        <v>5.7000000000000002E-2</v>
      </c>
      <c r="T8" s="34">
        <v>5.0000000000000001E-3</v>
      </c>
      <c r="U8" s="34">
        <v>0.04</v>
      </c>
      <c r="V8" s="42">
        <v>3.1E-2</v>
      </c>
      <c r="W8" s="34">
        <v>7.3999999999999996E-2</v>
      </c>
      <c r="X8" s="34">
        <v>6.7000000000000004E-2</v>
      </c>
      <c r="Y8" s="34"/>
      <c r="Z8" s="34"/>
      <c r="AA8" s="42"/>
    </row>
    <row r="9" spans="2:27" x14ac:dyDescent="0.25">
      <c r="B9" s="31" t="s">
        <v>96</v>
      </c>
      <c r="C9" s="47">
        <v>225</v>
      </c>
      <c r="D9" s="47">
        <v>273.3</v>
      </c>
      <c r="E9" s="47">
        <v>248.6</v>
      </c>
      <c r="F9" s="52">
        <v>408.7</v>
      </c>
      <c r="G9" s="48">
        <f>SUM(C9:F9)</f>
        <v>1155.5999999999999</v>
      </c>
      <c r="H9" s="47">
        <v>213.7</v>
      </c>
      <c r="I9" s="47">
        <v>284.3</v>
      </c>
      <c r="J9" s="47">
        <v>325.3</v>
      </c>
      <c r="K9" s="52">
        <v>503.3</v>
      </c>
      <c r="L9" s="48">
        <f>SUM(H9:K9)</f>
        <v>1326.6</v>
      </c>
      <c r="M9" s="47">
        <v>269.39999999999998</v>
      </c>
      <c r="N9" s="47">
        <v>316.60000000000002</v>
      </c>
      <c r="O9" s="47">
        <v>346.5</v>
      </c>
      <c r="P9" s="47">
        <v>512.6</v>
      </c>
      <c r="Q9" s="48">
        <f>SUM(M9:P9)</f>
        <v>1445.1</v>
      </c>
      <c r="R9" s="47">
        <v>274.3</v>
      </c>
      <c r="S9" s="49">
        <v>334.2</v>
      </c>
      <c r="T9" s="49">
        <v>353.6</v>
      </c>
      <c r="U9" s="49">
        <v>528.20000000000005</v>
      </c>
      <c r="V9" s="48">
        <f>SUM(R9:U9)</f>
        <v>1490.3000000000002</v>
      </c>
      <c r="W9" s="47">
        <v>299</v>
      </c>
      <c r="X9" s="49">
        <v>361.6</v>
      </c>
      <c r="Y9" s="49"/>
      <c r="Z9" s="49"/>
      <c r="AA9" s="48">
        <f>SUM(W9:Z9)</f>
        <v>660.6</v>
      </c>
    </row>
    <row r="10" spans="2:27" x14ac:dyDescent="0.25">
      <c r="B10" s="33" t="s">
        <v>97</v>
      </c>
      <c r="C10" s="34">
        <v>0.61399999999999999</v>
      </c>
      <c r="D10" s="34">
        <v>0.6</v>
      </c>
      <c r="E10" s="34">
        <v>0.54300000000000004</v>
      </c>
      <c r="F10" s="45">
        <v>0.58099999999999996</v>
      </c>
      <c r="G10" s="42">
        <f>G9/G6</f>
        <v>0.58257713248638832</v>
      </c>
      <c r="H10" s="34">
        <v>0.55400000000000005</v>
      </c>
      <c r="I10" s="34">
        <v>0.63100000000000001</v>
      </c>
      <c r="J10" s="34">
        <v>0.628</v>
      </c>
      <c r="K10" s="45">
        <v>0.65500000000000003</v>
      </c>
      <c r="L10" s="42">
        <f>L9/L6</f>
        <v>0.62489990107871318</v>
      </c>
      <c r="M10" s="34">
        <v>0.61499999999999999</v>
      </c>
      <c r="N10" s="34">
        <v>0.63300000000000001</v>
      </c>
      <c r="O10" s="34">
        <v>0.61599999999999999</v>
      </c>
      <c r="P10" s="45">
        <v>0.61299999999999999</v>
      </c>
      <c r="Q10" s="42">
        <f>Q9/Q6</f>
        <v>0.61825104817318377</v>
      </c>
      <c r="R10" s="38">
        <f>R9/R6</f>
        <v>0.60632183908045978</v>
      </c>
      <c r="S10" s="34">
        <f t="shared" ref="S10:U10" si="0">S9/S6</f>
        <v>0.62362381041239034</v>
      </c>
      <c r="T10" s="34">
        <f t="shared" si="0"/>
        <v>0.61645746164574622</v>
      </c>
      <c r="U10" s="45">
        <f t="shared" si="0"/>
        <v>0.6046245421245422</v>
      </c>
      <c r="V10" s="42">
        <f>V9/V6</f>
        <v>0.61190720591254366</v>
      </c>
      <c r="W10" s="38">
        <f>W9/W6</f>
        <v>0.60686015831134565</v>
      </c>
      <c r="X10" s="34">
        <f t="shared" ref="X10:Z10" si="1">X9/X6</f>
        <v>0.62963607870450988</v>
      </c>
      <c r="Y10" s="34" t="e">
        <f t="shared" si="1"/>
        <v>#DIV/0!</v>
      </c>
      <c r="Z10" s="45" t="e">
        <f t="shared" si="1"/>
        <v>#DIV/0!</v>
      </c>
      <c r="AA10" s="42">
        <f>AA9/AA6</f>
        <v>0.61911902530459229</v>
      </c>
    </row>
    <row r="11" spans="2:27" x14ac:dyDescent="0.25">
      <c r="B11" s="31" t="s">
        <v>98</v>
      </c>
      <c r="C11" s="49">
        <v>75.900000000000006</v>
      </c>
      <c r="D11" s="49">
        <v>118.1</v>
      </c>
      <c r="E11" s="49">
        <v>95.8</v>
      </c>
      <c r="F11" s="51">
        <v>208</v>
      </c>
      <c r="G11" s="50">
        <f>SUM(C11:F11)</f>
        <v>497.8</v>
      </c>
      <c r="H11" s="49">
        <v>52</v>
      </c>
      <c r="I11" s="49">
        <v>121.2</v>
      </c>
      <c r="J11" s="49">
        <v>166.9</v>
      </c>
      <c r="K11" s="51">
        <v>275.39999999999998</v>
      </c>
      <c r="L11" s="50">
        <f>SUM(H11:K11)</f>
        <v>615.5</v>
      </c>
      <c r="M11" s="49">
        <v>91.6</v>
      </c>
      <c r="N11" s="49">
        <v>146</v>
      </c>
      <c r="O11" s="49">
        <v>159.9</v>
      </c>
      <c r="P11" s="51">
        <v>287.89999999999998</v>
      </c>
      <c r="Q11" s="50">
        <f>SUM(M11:P11)</f>
        <v>685.4</v>
      </c>
      <c r="R11" s="49">
        <v>81.8</v>
      </c>
      <c r="S11" s="49">
        <v>132.80000000000001</v>
      </c>
      <c r="T11" s="49">
        <v>145.5</v>
      </c>
      <c r="U11" s="51">
        <v>266</v>
      </c>
      <c r="V11" s="50">
        <f>SUM(R11:U11)</f>
        <v>626.1</v>
      </c>
      <c r="W11" s="49">
        <v>91</v>
      </c>
      <c r="X11" s="49">
        <v>151.9</v>
      </c>
      <c r="Y11" s="49"/>
      <c r="Z11" s="51"/>
      <c r="AA11" s="50">
        <f>SUM(W11:Z11)</f>
        <v>242.9</v>
      </c>
    </row>
    <row r="12" spans="2:27" x14ac:dyDescent="0.25">
      <c r="B12" s="33" t="s">
        <v>99</v>
      </c>
      <c r="C12" s="34">
        <v>0.20699999999999999</v>
      </c>
      <c r="D12" s="34">
        <v>0.25900000000000001</v>
      </c>
      <c r="E12" s="34">
        <v>0.20899999999999999</v>
      </c>
      <c r="F12" s="45">
        <v>0.29599999999999999</v>
      </c>
      <c r="G12" s="42">
        <f>G11/G6</f>
        <v>0.25095785440613028</v>
      </c>
      <c r="H12" s="34">
        <v>0.13500000000000001</v>
      </c>
      <c r="I12" s="34">
        <v>0.26900000000000002</v>
      </c>
      <c r="J12" s="34">
        <v>0.32200000000000001</v>
      </c>
      <c r="K12" s="45">
        <v>0.35799999999999998</v>
      </c>
      <c r="L12" s="42">
        <f>L11/L6</f>
        <v>0.28993358142164027</v>
      </c>
      <c r="M12" s="34">
        <v>0.109</v>
      </c>
      <c r="N12" s="34">
        <v>0.29199999999999998</v>
      </c>
      <c r="O12" s="34">
        <v>0.28399999999999997</v>
      </c>
      <c r="P12" s="45">
        <v>0.34399999999999997</v>
      </c>
      <c r="Q12" s="42">
        <f t="shared" ref="Q12:Y12" si="2">Q11/Q6</f>
        <v>0.29323179601266364</v>
      </c>
      <c r="R12" s="38">
        <f t="shared" si="2"/>
        <v>0.18081343943412909</v>
      </c>
      <c r="S12" s="34">
        <f t="shared" si="2"/>
        <v>0.24780742675872366</v>
      </c>
      <c r="T12" s="34">
        <f t="shared" si="2"/>
        <v>0.2536610878661088</v>
      </c>
      <c r="U12" s="34">
        <f t="shared" si="2"/>
        <v>0.30448717948717946</v>
      </c>
      <c r="V12" s="42">
        <f t="shared" si="2"/>
        <v>0.25707246971874359</v>
      </c>
      <c r="W12" s="38">
        <f t="shared" si="2"/>
        <v>0.18469656992084432</v>
      </c>
      <c r="X12" s="34">
        <f t="shared" si="2"/>
        <v>0.26449590806198853</v>
      </c>
      <c r="Y12" s="34" t="e">
        <f t="shared" si="2"/>
        <v>#DIV/0!</v>
      </c>
      <c r="Z12" s="34" t="e">
        <f t="shared" ref="Z12" si="3">Z11/Z8</f>
        <v>#DIV/0!</v>
      </c>
      <c r="AA12" s="42">
        <f>AA11/AA6</f>
        <v>0.22764761012183693</v>
      </c>
    </row>
    <row r="13" spans="2:27" x14ac:dyDescent="0.25">
      <c r="B13" s="10" t="s">
        <v>100</v>
      </c>
      <c r="C13" s="10">
        <v>76</v>
      </c>
      <c r="D13" s="10">
        <v>72</v>
      </c>
      <c r="E13" s="10">
        <v>79</v>
      </c>
      <c r="F13" s="44">
        <v>81</v>
      </c>
      <c r="G13" s="40">
        <f>SUM(C13:F13)</f>
        <v>308</v>
      </c>
      <c r="H13" s="10">
        <v>77</v>
      </c>
      <c r="I13" s="10">
        <v>71</v>
      </c>
      <c r="J13" s="10">
        <v>79</v>
      </c>
      <c r="K13" s="44">
        <v>79</v>
      </c>
      <c r="L13" s="40">
        <f>SUM(H13:K13)</f>
        <v>306</v>
      </c>
      <c r="M13" s="10">
        <v>75</v>
      </c>
      <c r="N13" s="10">
        <v>73</v>
      </c>
      <c r="O13" s="10">
        <v>79</v>
      </c>
      <c r="P13" s="44">
        <v>80</v>
      </c>
      <c r="Q13" s="40">
        <f>SUM(M13:P13)</f>
        <v>307</v>
      </c>
      <c r="R13" s="10">
        <v>76</v>
      </c>
      <c r="S13" s="10">
        <v>71</v>
      </c>
      <c r="T13" s="10">
        <v>79</v>
      </c>
      <c r="U13" s="10">
        <v>80</v>
      </c>
      <c r="V13" s="40">
        <f>SUM(R13:U13)</f>
        <v>306</v>
      </c>
      <c r="W13" s="10">
        <v>76</v>
      </c>
      <c r="X13" s="10">
        <v>72</v>
      </c>
      <c r="AA13" s="40">
        <f>SUM(W13:Z13)</f>
        <v>148</v>
      </c>
    </row>
    <row r="14" spans="2:27" x14ac:dyDescent="0.25">
      <c r="B14" s="35" t="s">
        <v>101</v>
      </c>
      <c r="C14" s="35">
        <v>153</v>
      </c>
      <c r="D14" s="35">
        <v>155</v>
      </c>
      <c r="E14" s="35">
        <v>155</v>
      </c>
      <c r="F14" s="46">
        <v>156</v>
      </c>
      <c r="G14" s="43">
        <v>156</v>
      </c>
      <c r="H14" s="35">
        <v>155</v>
      </c>
      <c r="I14" s="35">
        <v>156</v>
      </c>
      <c r="J14" s="35">
        <v>156</v>
      </c>
      <c r="K14" s="46">
        <v>157</v>
      </c>
      <c r="L14" s="43">
        <v>157</v>
      </c>
      <c r="M14" s="35">
        <v>157</v>
      </c>
      <c r="N14" s="35">
        <v>158</v>
      </c>
      <c r="O14" s="35">
        <v>158</v>
      </c>
      <c r="P14" s="46">
        <v>158</v>
      </c>
      <c r="Q14" s="43">
        <v>158</v>
      </c>
      <c r="R14" s="35">
        <v>158</v>
      </c>
      <c r="S14" s="35">
        <v>159</v>
      </c>
      <c r="T14" s="35">
        <v>159</v>
      </c>
      <c r="U14" s="35">
        <v>160</v>
      </c>
      <c r="V14" s="43">
        <v>160</v>
      </c>
      <c r="W14" s="35">
        <v>162</v>
      </c>
      <c r="X14" s="35">
        <v>161</v>
      </c>
      <c r="Y14" s="35"/>
      <c r="Z14" s="35"/>
      <c r="AA14" s="43"/>
    </row>
    <row r="15" spans="2:27" ht="24" x14ac:dyDescent="0.3">
      <c r="B15" s="37" t="s">
        <v>20</v>
      </c>
      <c r="G15" s="40"/>
      <c r="L15" s="40"/>
      <c r="Q15" s="40"/>
      <c r="V15" s="40"/>
      <c r="AA15" s="40"/>
    </row>
    <row r="16" spans="2:27" x14ac:dyDescent="0.25">
      <c r="B16" s="31" t="s">
        <v>21</v>
      </c>
      <c r="C16" s="47">
        <v>237.8</v>
      </c>
      <c r="D16" s="47">
        <v>274.60000000000002</v>
      </c>
      <c r="E16" s="47">
        <v>276.8</v>
      </c>
      <c r="F16" s="47">
        <v>405.2</v>
      </c>
      <c r="G16" s="48">
        <f>SUM(C16:F16)</f>
        <v>1194.4000000000001</v>
      </c>
      <c r="H16" s="47">
        <v>219.5</v>
      </c>
      <c r="I16" s="47">
        <v>273.39999999999998</v>
      </c>
      <c r="J16" s="47">
        <v>313.10000000000002</v>
      </c>
      <c r="K16" s="47">
        <v>484.7</v>
      </c>
      <c r="L16" s="48">
        <f>SUM(H16:K16)</f>
        <v>1290.7</v>
      </c>
      <c r="M16" s="47">
        <v>258.8</v>
      </c>
      <c r="N16" s="47">
        <v>297.39999999999998</v>
      </c>
      <c r="O16" s="47">
        <v>324</v>
      </c>
      <c r="P16" s="47">
        <v>567.29999999999995</v>
      </c>
      <c r="Q16" s="48">
        <f>SUM(M16:P16)</f>
        <v>1447.5</v>
      </c>
      <c r="R16" s="47">
        <v>281.3</v>
      </c>
      <c r="S16" s="49">
        <v>320.39999999999998</v>
      </c>
      <c r="T16" s="49">
        <v>309.60000000000002</v>
      </c>
      <c r="U16" s="49">
        <v>579</v>
      </c>
      <c r="V16" s="48">
        <f>SUM(R16:U16)</f>
        <v>1490.3000000000002</v>
      </c>
      <c r="W16" s="47">
        <v>307.8</v>
      </c>
      <c r="X16" s="49">
        <v>338.3</v>
      </c>
      <c r="Y16" s="49"/>
      <c r="Z16" s="49"/>
      <c r="AA16" s="48">
        <f>SUM(W16:Z16)</f>
        <v>646.1</v>
      </c>
    </row>
    <row r="17" spans="2:27" x14ac:dyDescent="0.25">
      <c r="B17" s="33" t="s">
        <v>94</v>
      </c>
      <c r="C17" s="34">
        <v>4.8000000000000001E-2</v>
      </c>
      <c r="D17" s="34">
        <v>8.7999999999999995E-2</v>
      </c>
      <c r="E17" s="34">
        <v>-0.01</v>
      </c>
      <c r="F17" s="34">
        <v>1.7000000000000001E-2</v>
      </c>
      <c r="G17" s="42"/>
      <c r="H17" s="34">
        <v>-0.109</v>
      </c>
      <c r="I17" s="34">
        <v>-4.8000000000000001E-2</v>
      </c>
      <c r="J17" s="34">
        <v>0.105</v>
      </c>
      <c r="K17" s="45">
        <v>0.11899999999999999</v>
      </c>
      <c r="L17" s="42">
        <f>(L16-G16)/G16</f>
        <v>8.0626255860683144E-2</v>
      </c>
      <c r="M17" s="34">
        <v>0.14299999999999999</v>
      </c>
      <c r="N17" s="34">
        <v>9.9000000000000005E-2</v>
      </c>
      <c r="O17" s="34">
        <v>-2.3E-2</v>
      </c>
      <c r="P17" s="34">
        <v>0.16700000000000001</v>
      </c>
      <c r="Q17" s="42">
        <f>(Q16-L16)/L16</f>
        <v>0.12148446579375528</v>
      </c>
      <c r="R17" s="34">
        <v>6.0999999999999999E-2</v>
      </c>
      <c r="S17" s="34">
        <v>1.7000000000000001E-2</v>
      </c>
      <c r="T17" s="34">
        <v>-1.7999999999999999E-2</v>
      </c>
      <c r="U17" s="34">
        <v>-2.5999999999999999E-2</v>
      </c>
      <c r="V17" s="42">
        <f>(V16-Q16)/Q16</f>
        <v>2.9568221070811869E-2</v>
      </c>
      <c r="W17" s="34">
        <v>6.6000000000000003E-2</v>
      </c>
      <c r="X17" s="34">
        <v>0.125</v>
      </c>
      <c r="Y17" s="34"/>
      <c r="Z17" s="34"/>
      <c r="AA17" s="42">
        <f>(AA16-V16)/V16</f>
        <v>-0.56646312822921563</v>
      </c>
    </row>
    <row r="18" spans="2:27" x14ac:dyDescent="0.25">
      <c r="B18" s="10" t="s">
        <v>95</v>
      </c>
      <c r="C18" s="34">
        <v>0.02</v>
      </c>
      <c r="D18" s="34">
        <v>5.1999999999999998E-2</v>
      </c>
      <c r="E18" s="34">
        <v>8.0000000000000002E-3</v>
      </c>
      <c r="F18" s="45">
        <v>3.5000000000000003E-2</v>
      </c>
      <c r="G18" s="42">
        <f>AVERAGE(C18:F18)</f>
        <v>2.8749999999999998E-2</v>
      </c>
      <c r="H18" s="34">
        <v>-6.5000000000000002E-2</v>
      </c>
      <c r="I18" s="34">
        <v>-5.3999999999999999E-2</v>
      </c>
      <c r="J18" s="34">
        <v>0.13300000000000001</v>
      </c>
      <c r="K18" s="45">
        <v>0.107</v>
      </c>
      <c r="L18" s="42">
        <f>AVERAGE(H18:K18)</f>
        <v>3.0250000000000003E-2</v>
      </c>
      <c r="M18" s="34">
        <v>0.14899999999999999</v>
      </c>
      <c r="N18" s="34">
        <v>8.6999999999999994E-2</v>
      </c>
      <c r="O18" s="34">
        <v>-3.5000000000000003E-2</v>
      </c>
      <c r="P18" s="34">
        <v>0.157</v>
      </c>
      <c r="Q18" s="42">
        <f>AVERAGE(M18:P18)</f>
        <v>8.9499999999999996E-2</v>
      </c>
      <c r="R18" s="34">
        <v>4.7E-2</v>
      </c>
      <c r="S18" s="34">
        <v>2.7E-2</v>
      </c>
      <c r="T18" s="34">
        <v>-5.2999999999999999E-2</v>
      </c>
      <c r="U18" s="34">
        <v>-3.7999999999999999E-2</v>
      </c>
      <c r="V18" s="42">
        <f>AVERAGE(R18:U18)</f>
        <v>-4.2500000000000003E-3</v>
      </c>
      <c r="W18" s="34">
        <v>0.04</v>
      </c>
      <c r="X18" s="34">
        <v>0.114</v>
      </c>
      <c r="Y18" s="34"/>
      <c r="Z18" s="34"/>
      <c r="AA18" s="42"/>
    </row>
    <row r="19" spans="2:27" x14ac:dyDescent="0.25">
      <c r="B19" s="31" t="s">
        <v>96</v>
      </c>
      <c r="C19" s="49">
        <v>145.1</v>
      </c>
      <c r="D19" s="49">
        <v>164.7</v>
      </c>
      <c r="E19" s="49">
        <v>159.19999999999999</v>
      </c>
      <c r="F19" s="51">
        <v>221.8</v>
      </c>
      <c r="G19" s="50">
        <f>SUM(C19:F19)</f>
        <v>690.8</v>
      </c>
      <c r="H19" s="49">
        <v>125.5</v>
      </c>
      <c r="I19" s="49">
        <v>166</v>
      </c>
      <c r="J19" s="49">
        <v>190.4</v>
      </c>
      <c r="K19" s="51">
        <v>290.8</v>
      </c>
      <c r="L19" s="50">
        <f>SUM(H19:K19)</f>
        <v>772.7</v>
      </c>
      <c r="M19" s="49">
        <v>158.9</v>
      </c>
      <c r="N19" s="49">
        <v>187.8</v>
      </c>
      <c r="O19" s="49">
        <v>204.1</v>
      </c>
      <c r="P19" s="49">
        <v>290.8</v>
      </c>
      <c r="Q19" s="50">
        <f>SUM(M19:P19)</f>
        <v>841.60000000000014</v>
      </c>
      <c r="R19" s="49">
        <v>170</v>
      </c>
      <c r="S19" s="49">
        <v>199.6</v>
      </c>
      <c r="T19" s="49">
        <v>203.7</v>
      </c>
      <c r="U19" s="49">
        <v>360.7</v>
      </c>
      <c r="V19" s="50">
        <f>SUM(R19:U19)</f>
        <v>934</v>
      </c>
      <c r="W19" s="49">
        <v>190.6</v>
      </c>
      <c r="X19" s="49">
        <v>216.5</v>
      </c>
      <c r="Y19" s="49"/>
      <c r="Z19" s="49"/>
      <c r="AA19" s="50">
        <f>SUM(W19:Z19)</f>
        <v>407.1</v>
      </c>
    </row>
    <row r="20" spans="2:27" x14ac:dyDescent="0.25">
      <c r="B20" s="33" t="s">
        <v>97</v>
      </c>
      <c r="C20" s="34">
        <v>0.61</v>
      </c>
      <c r="D20" s="34">
        <v>0.6</v>
      </c>
      <c r="E20" s="34">
        <v>0.57499999999999996</v>
      </c>
      <c r="F20" s="45">
        <v>0.54700000000000004</v>
      </c>
      <c r="G20" s="42">
        <f>G19/G16</f>
        <v>0.57836570663094433</v>
      </c>
      <c r="H20" s="34">
        <v>0.57199999999999995</v>
      </c>
      <c r="I20" s="34">
        <v>0.60699999999999998</v>
      </c>
      <c r="J20" s="34">
        <v>0.60799999999999998</v>
      </c>
      <c r="K20" s="45">
        <v>0.6</v>
      </c>
      <c r="L20" s="42">
        <f>L19/L16</f>
        <v>0.59866738978848688</v>
      </c>
      <c r="M20" s="34">
        <v>0.61399999999999999</v>
      </c>
      <c r="N20" s="34">
        <v>0.63200000000000001</v>
      </c>
      <c r="O20" s="34">
        <v>0.63</v>
      </c>
      <c r="P20" s="45">
        <v>0.6</v>
      </c>
      <c r="Q20" s="42">
        <f>Q19/Q16</f>
        <v>0.58141623488773753</v>
      </c>
      <c r="R20" s="38">
        <f>R19/R16</f>
        <v>0.60433700675435476</v>
      </c>
      <c r="S20" s="34">
        <f t="shared" ref="S20:U20" si="4">S19/S16</f>
        <v>0.62297128589263429</v>
      </c>
      <c r="T20" s="34">
        <f t="shared" si="4"/>
        <v>0.65794573643410847</v>
      </c>
      <c r="U20" s="45">
        <f t="shared" si="4"/>
        <v>0.62297063903281513</v>
      </c>
      <c r="V20" s="42">
        <f>V19/V16</f>
        <v>0.62671945245923633</v>
      </c>
      <c r="W20" s="38">
        <f>W19/W16</f>
        <v>0.61923326835607528</v>
      </c>
      <c r="X20" s="34">
        <f t="shared" ref="X20:Z20" si="5">X19/X16</f>
        <v>0.63996452852497776</v>
      </c>
      <c r="Y20" s="34" t="e">
        <f t="shared" si="5"/>
        <v>#DIV/0!</v>
      </c>
      <c r="Z20" s="45" t="e">
        <f t="shared" si="5"/>
        <v>#DIV/0!</v>
      </c>
      <c r="AA20" s="42">
        <f>AA19/AA16</f>
        <v>0.63008822163751743</v>
      </c>
    </row>
    <row r="21" spans="2:27" x14ac:dyDescent="0.25">
      <c r="B21" s="31" t="s">
        <v>98</v>
      </c>
      <c r="C21" s="49">
        <v>34.5</v>
      </c>
      <c r="D21" s="49">
        <v>49.6</v>
      </c>
      <c r="E21" s="49">
        <v>46.9</v>
      </c>
      <c r="F21" s="51">
        <v>88.8</v>
      </c>
      <c r="G21" s="50">
        <f>SUM(C21:F21)</f>
        <v>219.8</v>
      </c>
      <c r="H21" s="49">
        <v>4.5999999999999996</v>
      </c>
      <c r="I21" s="49">
        <v>45.4</v>
      </c>
      <c r="J21" s="49">
        <v>74.5</v>
      </c>
      <c r="K21" s="51">
        <v>144.5</v>
      </c>
      <c r="L21" s="50">
        <f>SUM(H21:K21)</f>
        <v>269</v>
      </c>
      <c r="M21" s="49">
        <v>33</v>
      </c>
      <c r="N21" s="49">
        <v>55.5</v>
      </c>
      <c r="O21" s="49">
        <v>76.5</v>
      </c>
      <c r="P21" s="51">
        <v>144.5</v>
      </c>
      <c r="Q21" s="50">
        <f>SUM(M21:P21)</f>
        <v>309.5</v>
      </c>
      <c r="R21" s="49">
        <v>33.6</v>
      </c>
      <c r="S21" s="49">
        <v>56.3</v>
      </c>
      <c r="T21" s="49">
        <v>59.2</v>
      </c>
      <c r="U21" s="51">
        <v>174</v>
      </c>
      <c r="V21" s="50">
        <f>SUM(R21:U21)</f>
        <v>323.10000000000002</v>
      </c>
      <c r="W21" s="49">
        <v>41.7</v>
      </c>
      <c r="X21" s="49">
        <v>65.900000000000006</v>
      </c>
      <c r="Y21" s="49"/>
      <c r="Z21" s="51"/>
      <c r="AA21" s="50">
        <f>SUM(W21:Z21)</f>
        <v>107.60000000000001</v>
      </c>
    </row>
    <row r="22" spans="2:27" x14ac:dyDescent="0.25">
      <c r="B22" s="33" t="s">
        <v>99</v>
      </c>
      <c r="C22" s="34">
        <v>0.14499999999999999</v>
      </c>
      <c r="D22" s="34">
        <v>0.17899999999999999</v>
      </c>
      <c r="E22" s="34">
        <v>0.16800000000000001</v>
      </c>
      <c r="F22" s="45">
        <v>0.218</v>
      </c>
      <c r="G22" s="42">
        <f>G21/G16</f>
        <v>0.18402545210984594</v>
      </c>
      <c r="H22" s="34">
        <v>2.1000000000000001E-2</v>
      </c>
      <c r="I22" s="34">
        <v>0.16600000000000001</v>
      </c>
      <c r="J22" s="34">
        <v>0.23699999999999999</v>
      </c>
      <c r="K22" s="45">
        <v>0.29699999999999999</v>
      </c>
      <c r="L22" s="42">
        <f>L21/L16</f>
        <v>0.20841403889362362</v>
      </c>
      <c r="M22" s="34">
        <v>0.127</v>
      </c>
      <c r="N22" s="34">
        <v>0.186</v>
      </c>
      <c r="O22" s="34">
        <v>0.23499999999999999</v>
      </c>
      <c r="P22" s="45">
        <v>0.311</v>
      </c>
      <c r="Q22" s="42">
        <f>Q21/Q16</f>
        <v>0.21381692573402417</v>
      </c>
      <c r="R22" s="38">
        <f>R21/R16</f>
        <v>0.11944543192321365</v>
      </c>
      <c r="S22" s="34">
        <f t="shared" ref="S22:U22" si="6">S21/S16</f>
        <v>0.17571785268414483</v>
      </c>
      <c r="T22" s="34">
        <f t="shared" si="6"/>
        <v>0.19121447028423771</v>
      </c>
      <c r="U22" s="45">
        <f t="shared" si="6"/>
        <v>0.30051813471502592</v>
      </c>
      <c r="V22" s="42">
        <f>V21/V16</f>
        <v>0.21680198617727972</v>
      </c>
      <c r="W22" s="38">
        <f>W21/W16</f>
        <v>0.13547758284600389</v>
      </c>
      <c r="X22" s="34">
        <f t="shared" ref="X22:Z22" si="7">X21/X16</f>
        <v>0.19479751699674847</v>
      </c>
      <c r="Y22" s="34" t="e">
        <f t="shared" si="7"/>
        <v>#DIV/0!</v>
      </c>
      <c r="Z22" s="45" t="e">
        <f t="shared" si="7"/>
        <v>#DIV/0!</v>
      </c>
      <c r="AA22" s="42">
        <f>AA21/AA16</f>
        <v>0.16653768766444824</v>
      </c>
    </row>
    <row r="23" spans="2:27" x14ac:dyDescent="0.25">
      <c r="B23" s="10" t="s">
        <v>100</v>
      </c>
      <c r="C23" s="10">
        <v>89</v>
      </c>
      <c r="D23" s="10">
        <v>90</v>
      </c>
      <c r="E23" s="10">
        <v>92</v>
      </c>
      <c r="F23" s="44">
        <v>91</v>
      </c>
      <c r="G23" s="40">
        <f>SUM(C23:F23)</f>
        <v>362</v>
      </c>
      <c r="H23" s="10">
        <v>89</v>
      </c>
      <c r="I23" s="10">
        <v>90</v>
      </c>
      <c r="J23" s="10">
        <v>92</v>
      </c>
      <c r="K23" s="44">
        <v>91</v>
      </c>
      <c r="L23" s="40">
        <f>SUM(H23:K23)</f>
        <v>362</v>
      </c>
      <c r="M23" s="10">
        <v>90</v>
      </c>
      <c r="N23" s="10">
        <v>90</v>
      </c>
      <c r="O23" s="10">
        <v>92</v>
      </c>
      <c r="P23" s="44">
        <v>91</v>
      </c>
      <c r="Q23" s="40">
        <f>SUM(M23:P23)</f>
        <v>363</v>
      </c>
      <c r="R23" s="10">
        <v>89</v>
      </c>
      <c r="S23" s="10">
        <v>90</v>
      </c>
      <c r="T23" s="10">
        <v>92</v>
      </c>
      <c r="U23" s="10">
        <v>91</v>
      </c>
      <c r="V23" s="40">
        <f>SUM(R23:U23)</f>
        <v>362</v>
      </c>
      <c r="W23" s="10">
        <v>89</v>
      </c>
      <c r="X23" s="10">
        <v>90</v>
      </c>
      <c r="AA23" s="40">
        <f>SUM(W23:Z23)</f>
        <v>179</v>
      </c>
    </row>
    <row r="24" spans="2:27" x14ac:dyDescent="0.25">
      <c r="B24" s="35" t="s">
        <v>101</v>
      </c>
      <c r="C24" s="35">
        <v>119</v>
      </c>
      <c r="D24" s="35">
        <v>118</v>
      </c>
      <c r="E24" s="35">
        <v>117</v>
      </c>
      <c r="F24" s="35">
        <v>119</v>
      </c>
      <c r="G24" s="43">
        <v>156</v>
      </c>
      <c r="H24" s="35">
        <v>118</v>
      </c>
      <c r="I24" s="35">
        <v>117</v>
      </c>
      <c r="J24" s="35">
        <v>117</v>
      </c>
      <c r="K24" s="35">
        <v>119</v>
      </c>
      <c r="L24" s="43">
        <v>119</v>
      </c>
      <c r="M24" s="35">
        <v>118</v>
      </c>
      <c r="N24" s="35">
        <v>117</v>
      </c>
      <c r="O24" s="35">
        <v>117</v>
      </c>
      <c r="P24" s="46">
        <v>119</v>
      </c>
      <c r="Q24" s="43">
        <v>119</v>
      </c>
      <c r="R24" s="35">
        <v>131</v>
      </c>
      <c r="S24" s="35">
        <v>123</v>
      </c>
      <c r="T24" s="35">
        <v>123</v>
      </c>
      <c r="U24" s="35">
        <v>123</v>
      </c>
      <c r="V24" s="43">
        <v>123</v>
      </c>
      <c r="W24" s="35">
        <v>124</v>
      </c>
      <c r="X24" s="35">
        <v>122</v>
      </c>
      <c r="Y24" s="35"/>
      <c r="Z24" s="35"/>
      <c r="AA24" s="43">
        <v>134</v>
      </c>
    </row>
  </sheetData>
  <pageMargins left="0.7" right="0.7" top="0.75" bottom="0.75" header="0.3" footer="0.3"/>
  <ignoredErrors>
    <ignoredError sqref="Q20 Q22 Q10 Q12 V10 V12 L10 L12 L20 L2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3DE5F-C05A-9449-AD7D-5E01A9523E07}">
  <dimension ref="A3:H17"/>
  <sheetViews>
    <sheetView showGridLines="0" workbookViewId="0">
      <selection activeCell="L20" sqref="L20"/>
    </sheetView>
  </sheetViews>
  <sheetFormatPr baseColWidth="10" defaultRowHeight="16" x14ac:dyDescent="0.2"/>
  <cols>
    <col min="3" max="3" width="21.33203125" customWidth="1"/>
    <col min="4" max="4" width="13.83203125" bestFit="1" customWidth="1"/>
    <col min="5" max="5" width="16.6640625" bestFit="1" customWidth="1"/>
    <col min="8" max="8" width="12.33203125" customWidth="1"/>
  </cols>
  <sheetData>
    <row r="3" spans="1:8" ht="21" x14ac:dyDescent="0.25">
      <c r="A3" s="10" t="s">
        <v>172</v>
      </c>
    </row>
    <row r="4" spans="1:8" ht="21" x14ac:dyDescent="0.25">
      <c r="A4" s="82">
        <f>Modell!AK28</f>
        <v>1105.8872000000006</v>
      </c>
    </row>
    <row r="7" spans="1:8" ht="21" x14ac:dyDescent="0.25">
      <c r="C7" s="31" t="s">
        <v>150</v>
      </c>
      <c r="D7" s="10"/>
      <c r="E7" s="10"/>
      <c r="F7" s="10"/>
      <c r="G7" s="10"/>
      <c r="H7" s="10"/>
    </row>
    <row r="8" spans="1:8" ht="21" x14ac:dyDescent="0.25">
      <c r="C8" s="10"/>
      <c r="D8" s="10"/>
      <c r="E8" s="10"/>
      <c r="F8" s="10"/>
      <c r="G8" s="10"/>
      <c r="H8" s="10"/>
    </row>
    <row r="9" spans="1:8" ht="21" x14ac:dyDescent="0.25">
      <c r="C9" s="10" t="s">
        <v>89</v>
      </c>
      <c r="D9" s="10"/>
      <c r="E9" s="10"/>
      <c r="F9" s="10"/>
      <c r="G9" s="10"/>
      <c r="H9" s="10"/>
    </row>
    <row r="10" spans="1:8" ht="21" x14ac:dyDescent="0.25">
      <c r="C10" s="56"/>
      <c r="D10" s="56" t="s">
        <v>151</v>
      </c>
      <c r="E10" s="56" t="s">
        <v>152</v>
      </c>
      <c r="F10" s="56"/>
      <c r="G10" s="56" t="s">
        <v>153</v>
      </c>
      <c r="H10" s="56" t="s">
        <v>154</v>
      </c>
    </row>
    <row r="11" spans="1:8" ht="21" x14ac:dyDescent="0.25">
      <c r="C11" s="56" t="s">
        <v>19</v>
      </c>
      <c r="D11" s="56">
        <v>675</v>
      </c>
      <c r="E11" s="56">
        <v>8</v>
      </c>
      <c r="F11" s="56"/>
      <c r="G11" s="60">
        <f>D11*E11</f>
        <v>5400</v>
      </c>
      <c r="H11" s="58">
        <f>G11/[1]Modell!$B$5</f>
        <v>106.33647222845799</v>
      </c>
    </row>
    <row r="12" spans="1:8" ht="21" x14ac:dyDescent="0.25">
      <c r="C12" s="56" t="s">
        <v>20</v>
      </c>
      <c r="D12" s="56">
        <v>450</v>
      </c>
      <c r="E12" s="56">
        <v>7.5</v>
      </c>
      <c r="F12" s="56"/>
      <c r="G12" s="60">
        <f>D12*E12</f>
        <v>3375</v>
      </c>
      <c r="H12" s="58">
        <f>G12/[1]Modell!$B$5</f>
        <v>66.460295142786251</v>
      </c>
    </row>
    <row r="13" spans="1:8" ht="21" x14ac:dyDescent="0.25">
      <c r="C13" s="59" t="s">
        <v>169</v>
      </c>
      <c r="D13" s="60">
        <f>SUM(D11:D12)</f>
        <v>1125</v>
      </c>
      <c r="E13" s="80"/>
      <c r="F13" s="80"/>
      <c r="G13" s="60">
        <f>SUM(G11:G12)</f>
        <v>8775</v>
      </c>
      <c r="H13" s="57">
        <f>SUM(H11:H12)</f>
        <v>172.79676737124424</v>
      </c>
    </row>
    <row r="14" spans="1:8" x14ac:dyDescent="0.2">
      <c r="C14" s="79"/>
      <c r="D14" s="79"/>
      <c r="E14" s="79"/>
      <c r="F14" s="79"/>
      <c r="G14" s="79"/>
      <c r="H14" s="79"/>
    </row>
    <row r="15" spans="1:8" ht="21" x14ac:dyDescent="0.25">
      <c r="C15" s="56" t="s">
        <v>47</v>
      </c>
      <c r="D15" s="56"/>
      <c r="E15" s="56"/>
      <c r="F15" s="56"/>
      <c r="G15" s="60">
        <f>Modell!B7</f>
        <v>0</v>
      </c>
      <c r="H15" s="58">
        <f>G15</f>
        <v>0</v>
      </c>
    </row>
    <row r="16" spans="1:8" ht="21" x14ac:dyDescent="0.25">
      <c r="C16" s="56" t="s">
        <v>170</v>
      </c>
      <c r="D16" s="56"/>
      <c r="E16" s="56"/>
      <c r="F16" s="56"/>
      <c r="G16" s="58">
        <f>Modell!B8</f>
        <v>1081.2089999999998</v>
      </c>
      <c r="H16" s="58">
        <f>-G16/Modell!B5</f>
        <v>-26.601173345058875</v>
      </c>
    </row>
    <row r="17" spans="3:8" ht="21" x14ac:dyDescent="0.25">
      <c r="C17" s="59" t="s">
        <v>171</v>
      </c>
      <c r="D17" s="56"/>
      <c r="E17" s="56"/>
      <c r="F17" s="56"/>
      <c r="G17" s="60">
        <f>G13-G16</f>
        <v>7693.7910000000002</v>
      </c>
      <c r="H17" s="57">
        <f>SUM(H13:H16)</f>
        <v>146.19559402618538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33376-C1F0-5343-A8A6-E5C01798CC5F}">
  <dimension ref="E6:H9"/>
  <sheetViews>
    <sheetView showGridLines="0" workbookViewId="0">
      <selection activeCell="D15" sqref="D15"/>
    </sheetView>
  </sheetViews>
  <sheetFormatPr baseColWidth="10" defaultRowHeight="16" x14ac:dyDescent="0.2"/>
  <cols>
    <col min="5" max="5" width="59.5" bestFit="1" customWidth="1"/>
    <col min="6" max="9" width="27.83203125" bestFit="1" customWidth="1"/>
  </cols>
  <sheetData>
    <row r="6" spans="5:8" ht="92" x14ac:dyDescent="1">
      <c r="E6" s="29"/>
      <c r="F6" s="29">
        <v>2026</v>
      </c>
      <c r="G6" s="29">
        <v>2027</v>
      </c>
      <c r="H6" s="29">
        <v>2028</v>
      </c>
    </row>
    <row r="7" spans="5:8" ht="92" x14ac:dyDescent="1">
      <c r="E7" s="29" t="s">
        <v>160</v>
      </c>
      <c r="F7" s="28">
        <f>Modell!$B$9/Modell!AK28</f>
        <v>5.3145909600906824</v>
      </c>
      <c r="G7" s="28">
        <f>Modell!$B$9/Modell!AL28</f>
        <v>4.9264199952066692</v>
      </c>
      <c r="H7" s="28">
        <f>Modell!$B$9/Modell!AM28</f>
        <v>4.5678887416483782</v>
      </c>
    </row>
    <row r="8" spans="5:8" ht="92" x14ac:dyDescent="1">
      <c r="E8" s="29" t="s">
        <v>82</v>
      </c>
      <c r="F8" s="28">
        <f>Modell!$B$9/Modell!AK12</f>
        <v>11.001364405174321</v>
      </c>
      <c r="G8" s="28">
        <f>Modell!$B$9/Modell!AL12</f>
        <v>9.962714327873524</v>
      </c>
      <c r="H8" s="28">
        <f>Modell!$B$9/Modell!AM12</f>
        <v>9.0364520891069233</v>
      </c>
    </row>
    <row r="9" spans="5:8" ht="92" x14ac:dyDescent="1">
      <c r="E9" s="29" t="s">
        <v>83</v>
      </c>
      <c r="F9" s="28">
        <f>Modell!$B$4/Modell!AK19</f>
        <v>13.765524246164375</v>
      </c>
      <c r="G9" s="28">
        <f>Modell!$B$4/Modell!AL19</f>
        <v>12.343910526050266</v>
      </c>
      <c r="H9" s="28">
        <f>Modell!$B$4/Modell!AM19</f>
        <v>11.096350469957578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5533B-A779-0B43-9EF3-0831BBE9198B}">
  <dimension ref="A3:XEL25"/>
  <sheetViews>
    <sheetView showGridLines="0" workbookViewId="0">
      <pane xSplit="3" ySplit="3" topLeftCell="V4" activePane="bottomRight" state="frozen"/>
      <selection pane="topRight" activeCell="D1" sqref="D1"/>
      <selection pane="bottomLeft" activeCell="A4" sqref="A4"/>
      <selection pane="bottomRight" activeCell="P24" sqref="P24"/>
    </sheetView>
  </sheetViews>
  <sheetFormatPr baseColWidth="10" defaultRowHeight="19" x14ac:dyDescent="0.25"/>
  <cols>
    <col min="1" max="1" width="10.83203125" style="3"/>
    <col min="2" max="2" width="19.5" style="2" customWidth="1"/>
    <col min="3" max="3" width="36.83203125" style="3" customWidth="1"/>
    <col min="4" max="14" width="11" style="3" bestFit="1" customWidth="1"/>
    <col min="15" max="15" width="11" style="2" bestFit="1" customWidth="1"/>
    <col min="16" max="24" width="11" style="3" bestFit="1" customWidth="1"/>
    <col min="25" max="25" width="10.83203125" style="3"/>
    <col min="26" max="26" width="14.1640625" style="3" bestFit="1" customWidth="1"/>
    <col min="27" max="27" width="12.1640625" style="3" bestFit="1" customWidth="1"/>
    <col min="28" max="16384" width="10.83203125" style="3"/>
  </cols>
  <sheetData>
    <row r="3" spans="1:16366" x14ac:dyDescent="0.25">
      <c r="A3" s="1" t="s">
        <v>144</v>
      </c>
      <c r="D3" s="8" t="s">
        <v>138</v>
      </c>
      <c r="E3" s="8" t="s">
        <v>139</v>
      </c>
      <c r="F3" s="8" t="s">
        <v>140</v>
      </c>
      <c r="G3" s="8" t="s">
        <v>141</v>
      </c>
      <c r="H3" s="8" t="s">
        <v>130</v>
      </c>
      <c r="I3" s="8" t="s">
        <v>131</v>
      </c>
      <c r="J3" s="8" t="s">
        <v>132</v>
      </c>
      <c r="K3" s="8" t="s">
        <v>66</v>
      </c>
      <c r="L3" s="8" t="s">
        <v>67</v>
      </c>
      <c r="M3" s="8" t="s">
        <v>68</v>
      </c>
      <c r="N3" s="8" t="s">
        <v>69</v>
      </c>
      <c r="O3" s="9" t="s">
        <v>70</v>
      </c>
      <c r="P3" s="8" t="s">
        <v>71</v>
      </c>
      <c r="Q3" s="8" t="s">
        <v>72</v>
      </c>
      <c r="R3" s="8" t="s">
        <v>73</v>
      </c>
      <c r="S3" s="8" t="s">
        <v>74</v>
      </c>
      <c r="T3" s="8" t="s">
        <v>75</v>
      </c>
      <c r="U3" s="8" t="s">
        <v>76</v>
      </c>
      <c r="V3" s="8" t="s">
        <v>77</v>
      </c>
      <c r="W3" s="8" t="s">
        <v>78</v>
      </c>
      <c r="X3" s="8" t="s">
        <v>79</v>
      </c>
    </row>
    <row r="4" spans="1:16366" x14ac:dyDescent="0.25">
      <c r="A4" s="1" t="s">
        <v>144</v>
      </c>
      <c r="C4" s="3" t="s">
        <v>21</v>
      </c>
      <c r="D4" s="14">
        <v>1188.433</v>
      </c>
      <c r="E4" s="14">
        <v>1293.932</v>
      </c>
      <c r="F4" s="14">
        <v>1381.675</v>
      </c>
      <c r="G4" s="14">
        <v>1466.729</v>
      </c>
      <c r="H4" s="14">
        <v>2342.1799999999998</v>
      </c>
      <c r="I4" s="14">
        <v>2994.6579999999999</v>
      </c>
      <c r="J4" s="14">
        <v>3097.096</v>
      </c>
      <c r="K4" s="14">
        <v>3179</v>
      </c>
      <c r="L4" s="14">
        <v>3413</v>
      </c>
      <c r="M4" s="14">
        <v>3785</v>
      </c>
      <c r="N4" s="14">
        <v>3944</v>
      </c>
      <c r="O4" s="15">
        <f>N4</f>
        <v>3944</v>
      </c>
      <c r="P4" s="14">
        <f t="shared" ref="P4:X4" si="0">O4</f>
        <v>3944</v>
      </c>
      <c r="Q4" s="14">
        <f t="shared" si="0"/>
        <v>3944</v>
      </c>
      <c r="R4" s="14">
        <f t="shared" si="0"/>
        <v>3944</v>
      </c>
      <c r="S4" s="14">
        <f t="shared" si="0"/>
        <v>3944</v>
      </c>
      <c r="T4" s="14">
        <f t="shared" si="0"/>
        <v>3944</v>
      </c>
      <c r="U4" s="14">
        <f t="shared" si="0"/>
        <v>3944</v>
      </c>
      <c r="V4" s="14">
        <f t="shared" si="0"/>
        <v>3944</v>
      </c>
      <c r="W4" s="14">
        <f t="shared" si="0"/>
        <v>3944</v>
      </c>
      <c r="X4" s="14">
        <f t="shared" si="0"/>
        <v>3944</v>
      </c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  <c r="HQ4" s="14"/>
      <c r="HR4" s="14"/>
      <c r="HS4" s="14"/>
      <c r="HT4" s="14"/>
      <c r="HU4" s="14"/>
      <c r="HV4" s="14"/>
      <c r="HW4" s="14"/>
      <c r="HX4" s="14"/>
      <c r="HY4" s="14"/>
      <c r="HZ4" s="14"/>
      <c r="IA4" s="14"/>
      <c r="IB4" s="14"/>
      <c r="IC4" s="14"/>
      <c r="ID4" s="14"/>
      <c r="IE4" s="14"/>
      <c r="IF4" s="14"/>
      <c r="IG4" s="14"/>
      <c r="IH4" s="14"/>
      <c r="II4" s="14"/>
      <c r="IJ4" s="14"/>
      <c r="IK4" s="14"/>
      <c r="IL4" s="14"/>
      <c r="IM4" s="14"/>
      <c r="IN4" s="14"/>
      <c r="IO4" s="14"/>
      <c r="IP4" s="14"/>
      <c r="IQ4" s="14"/>
      <c r="IR4" s="14"/>
      <c r="IS4" s="14"/>
      <c r="IT4" s="14"/>
      <c r="IU4" s="14"/>
      <c r="IV4" s="14"/>
      <c r="IW4" s="14"/>
      <c r="IX4" s="14"/>
      <c r="IY4" s="14"/>
      <c r="IZ4" s="14"/>
      <c r="JA4" s="14"/>
      <c r="JB4" s="14"/>
      <c r="JC4" s="14"/>
      <c r="JD4" s="14"/>
      <c r="JE4" s="14"/>
      <c r="JF4" s="14"/>
      <c r="JG4" s="14"/>
      <c r="JH4" s="14"/>
      <c r="JI4" s="14"/>
      <c r="JJ4" s="14"/>
      <c r="JK4" s="14"/>
      <c r="JL4" s="14"/>
      <c r="JM4" s="14"/>
      <c r="JN4" s="14"/>
      <c r="JO4" s="14"/>
      <c r="JP4" s="14"/>
      <c r="JQ4" s="14"/>
      <c r="JR4" s="14"/>
      <c r="JS4" s="14"/>
      <c r="JT4" s="14"/>
      <c r="JU4" s="14"/>
      <c r="JV4" s="14"/>
      <c r="JW4" s="14"/>
      <c r="JX4" s="14"/>
      <c r="JY4" s="14"/>
      <c r="JZ4" s="14"/>
      <c r="KA4" s="14"/>
      <c r="KB4" s="14"/>
      <c r="KC4" s="14"/>
      <c r="KD4" s="14"/>
      <c r="KE4" s="14"/>
      <c r="KF4" s="14"/>
      <c r="KG4" s="14"/>
      <c r="KH4" s="14"/>
      <c r="KI4" s="14"/>
      <c r="KJ4" s="14"/>
      <c r="KK4" s="14"/>
      <c r="KL4" s="14"/>
      <c r="KM4" s="14"/>
      <c r="KN4" s="14"/>
      <c r="KO4" s="14"/>
      <c r="KP4" s="14"/>
      <c r="KQ4" s="14"/>
      <c r="KR4" s="14"/>
      <c r="KS4" s="14"/>
      <c r="KT4" s="14"/>
      <c r="KU4" s="14"/>
      <c r="KV4" s="14"/>
      <c r="KW4" s="14"/>
      <c r="KX4" s="14"/>
      <c r="KY4" s="14"/>
      <c r="KZ4" s="14"/>
      <c r="LA4" s="14"/>
      <c r="LB4" s="14"/>
      <c r="LC4" s="14"/>
      <c r="LD4" s="14"/>
      <c r="LE4" s="14"/>
      <c r="LF4" s="14"/>
      <c r="LG4" s="14"/>
      <c r="LH4" s="14"/>
      <c r="LI4" s="14"/>
      <c r="LJ4" s="14"/>
      <c r="LK4" s="14"/>
      <c r="LL4" s="14"/>
      <c r="LM4" s="14"/>
      <c r="LN4" s="14"/>
      <c r="LO4" s="14"/>
      <c r="LP4" s="14"/>
      <c r="LQ4" s="14"/>
      <c r="LR4" s="14"/>
      <c r="LS4" s="14"/>
      <c r="LT4" s="14"/>
      <c r="LU4" s="14"/>
      <c r="LV4" s="14"/>
      <c r="LW4" s="14"/>
      <c r="LX4" s="14"/>
      <c r="LY4" s="14"/>
      <c r="LZ4" s="14"/>
      <c r="MA4" s="14"/>
      <c r="MB4" s="14"/>
      <c r="MC4" s="14"/>
      <c r="MD4" s="14"/>
      <c r="ME4" s="14"/>
      <c r="MF4" s="14"/>
      <c r="MG4" s="14"/>
      <c r="MH4" s="14"/>
      <c r="MI4" s="14"/>
      <c r="MJ4" s="14"/>
      <c r="MK4" s="14"/>
      <c r="ML4" s="14"/>
      <c r="MM4" s="14"/>
      <c r="MN4" s="14"/>
      <c r="MO4" s="14"/>
      <c r="MP4" s="14"/>
      <c r="MQ4" s="14"/>
      <c r="MR4" s="14"/>
      <c r="MS4" s="14"/>
      <c r="MT4" s="14"/>
      <c r="MU4" s="14"/>
      <c r="MV4" s="14"/>
      <c r="MW4" s="14"/>
      <c r="MX4" s="14"/>
      <c r="MY4" s="14"/>
      <c r="MZ4" s="14"/>
      <c r="NA4" s="14"/>
      <c r="NB4" s="14"/>
      <c r="NC4" s="14"/>
      <c r="ND4" s="14"/>
      <c r="NE4" s="14"/>
      <c r="NF4" s="14"/>
      <c r="NG4" s="14"/>
      <c r="NH4" s="14"/>
      <c r="NI4" s="14"/>
      <c r="NJ4" s="14"/>
      <c r="NK4" s="14"/>
      <c r="NL4" s="14"/>
      <c r="NM4" s="14"/>
      <c r="NN4" s="14"/>
      <c r="NO4" s="14"/>
      <c r="NP4" s="14"/>
      <c r="NQ4" s="14"/>
      <c r="NR4" s="14"/>
      <c r="NS4" s="14"/>
      <c r="NT4" s="14"/>
      <c r="NU4" s="14"/>
      <c r="NV4" s="14"/>
      <c r="NW4" s="14"/>
      <c r="NX4" s="14"/>
      <c r="NY4" s="14"/>
      <c r="NZ4" s="14"/>
      <c r="OA4" s="14"/>
      <c r="OB4" s="14"/>
      <c r="OC4" s="14"/>
      <c r="OD4" s="14"/>
      <c r="OE4" s="14"/>
      <c r="OF4" s="14"/>
      <c r="OG4" s="14"/>
      <c r="OH4" s="14"/>
      <c r="OI4" s="14"/>
      <c r="OJ4" s="14"/>
      <c r="OK4" s="14"/>
      <c r="OL4" s="14"/>
      <c r="OM4" s="14"/>
      <c r="ON4" s="14"/>
      <c r="OO4" s="14"/>
      <c r="OP4" s="14"/>
      <c r="OQ4" s="14"/>
      <c r="OR4" s="14"/>
      <c r="OS4" s="14"/>
      <c r="OT4" s="14"/>
      <c r="OU4" s="14"/>
      <c r="OV4" s="14"/>
      <c r="OW4" s="14"/>
      <c r="OX4" s="14"/>
      <c r="OY4" s="14"/>
      <c r="OZ4" s="14"/>
      <c r="PA4" s="14"/>
      <c r="PB4" s="14"/>
      <c r="PC4" s="14"/>
      <c r="PD4" s="14"/>
      <c r="PE4" s="14"/>
      <c r="PF4" s="14"/>
      <c r="PG4" s="14"/>
      <c r="PH4" s="14"/>
      <c r="PI4" s="14"/>
      <c r="PJ4" s="14"/>
      <c r="PK4" s="14"/>
      <c r="PL4" s="14"/>
      <c r="PM4" s="14"/>
      <c r="PN4" s="14"/>
      <c r="PO4" s="14"/>
      <c r="PP4" s="14"/>
      <c r="PQ4" s="14"/>
      <c r="PR4" s="14"/>
      <c r="PS4" s="14"/>
      <c r="PT4" s="14"/>
      <c r="PU4" s="14"/>
      <c r="PV4" s="14"/>
      <c r="PW4" s="14"/>
      <c r="PX4" s="14"/>
      <c r="PY4" s="14"/>
      <c r="PZ4" s="14"/>
      <c r="QA4" s="14"/>
      <c r="QB4" s="14"/>
      <c r="QC4" s="14"/>
      <c r="QD4" s="14"/>
      <c r="QE4" s="14"/>
      <c r="QF4" s="14"/>
      <c r="QG4" s="14"/>
      <c r="QH4" s="14"/>
      <c r="QI4" s="14"/>
      <c r="QJ4" s="14"/>
      <c r="QK4" s="14"/>
      <c r="QL4" s="14"/>
      <c r="QM4" s="14"/>
      <c r="QN4" s="14"/>
      <c r="QO4" s="14"/>
      <c r="QP4" s="14"/>
      <c r="QQ4" s="14"/>
      <c r="QR4" s="14"/>
      <c r="QS4" s="14"/>
      <c r="QT4" s="14"/>
      <c r="QU4" s="14"/>
      <c r="QV4" s="14"/>
      <c r="QW4" s="14"/>
      <c r="QX4" s="14"/>
      <c r="QY4" s="14"/>
      <c r="QZ4" s="14"/>
      <c r="RA4" s="14"/>
      <c r="RB4" s="14"/>
      <c r="RC4" s="14"/>
      <c r="RD4" s="14"/>
      <c r="RE4" s="14"/>
      <c r="RF4" s="14"/>
      <c r="RG4" s="14"/>
      <c r="RH4" s="14"/>
      <c r="RI4" s="14"/>
      <c r="RJ4" s="14"/>
      <c r="RK4" s="14"/>
      <c r="RL4" s="14"/>
      <c r="RM4" s="14"/>
      <c r="RN4" s="14"/>
      <c r="RO4" s="14"/>
      <c r="RP4" s="14"/>
      <c r="RQ4" s="14"/>
      <c r="RR4" s="14"/>
      <c r="RS4" s="14"/>
      <c r="RT4" s="14"/>
      <c r="RU4" s="14"/>
      <c r="RV4" s="14"/>
      <c r="RW4" s="14"/>
      <c r="RX4" s="14"/>
      <c r="RY4" s="14"/>
      <c r="RZ4" s="14"/>
      <c r="SA4" s="14"/>
      <c r="SB4" s="14"/>
      <c r="SC4" s="14"/>
      <c r="SD4" s="14"/>
      <c r="SE4" s="14"/>
      <c r="SF4" s="14"/>
      <c r="SG4" s="14"/>
      <c r="SH4" s="14"/>
      <c r="SI4" s="14"/>
      <c r="SJ4" s="14"/>
      <c r="SK4" s="14"/>
      <c r="SL4" s="14"/>
      <c r="SM4" s="14"/>
      <c r="SN4" s="14"/>
      <c r="SO4" s="14"/>
      <c r="SP4" s="14"/>
      <c r="SQ4" s="14"/>
      <c r="SR4" s="14"/>
      <c r="SS4" s="14"/>
      <c r="ST4" s="14"/>
      <c r="SU4" s="14"/>
      <c r="SV4" s="14"/>
      <c r="SW4" s="14"/>
      <c r="SX4" s="14"/>
      <c r="SY4" s="14"/>
      <c r="SZ4" s="14"/>
      <c r="TA4" s="14"/>
      <c r="TB4" s="14"/>
      <c r="TC4" s="14"/>
      <c r="TD4" s="14"/>
      <c r="TE4" s="14"/>
      <c r="TF4" s="14"/>
      <c r="TG4" s="14"/>
      <c r="TH4" s="14"/>
      <c r="TI4" s="14"/>
      <c r="TJ4" s="14"/>
      <c r="TK4" s="14"/>
      <c r="TL4" s="14"/>
      <c r="TM4" s="14"/>
      <c r="TN4" s="14"/>
      <c r="TO4" s="14"/>
      <c r="TP4" s="14"/>
      <c r="TQ4" s="14"/>
      <c r="TR4" s="14"/>
      <c r="TS4" s="14"/>
      <c r="TT4" s="14"/>
      <c r="TU4" s="14"/>
      <c r="TV4" s="14"/>
      <c r="TW4" s="14"/>
      <c r="TX4" s="14"/>
      <c r="TY4" s="14"/>
      <c r="TZ4" s="14"/>
      <c r="UA4" s="14"/>
      <c r="UB4" s="14"/>
      <c r="UC4" s="14"/>
      <c r="UD4" s="14"/>
      <c r="UE4" s="14"/>
      <c r="UF4" s="14"/>
      <c r="UG4" s="14"/>
      <c r="UH4" s="14"/>
      <c r="UI4" s="14"/>
      <c r="UJ4" s="14"/>
      <c r="UK4" s="14"/>
      <c r="UL4" s="14"/>
      <c r="UM4" s="14"/>
      <c r="UN4" s="14"/>
      <c r="UO4" s="14"/>
      <c r="UP4" s="14"/>
      <c r="UQ4" s="14"/>
      <c r="UR4" s="14"/>
      <c r="US4" s="14"/>
      <c r="UT4" s="14"/>
      <c r="UU4" s="14"/>
      <c r="UV4" s="14"/>
      <c r="UW4" s="14"/>
      <c r="UX4" s="14"/>
      <c r="UY4" s="14"/>
      <c r="UZ4" s="14"/>
      <c r="VA4" s="14"/>
      <c r="VB4" s="14"/>
      <c r="VC4" s="14"/>
      <c r="VD4" s="14"/>
      <c r="VE4" s="14"/>
      <c r="VF4" s="14"/>
      <c r="VG4" s="14"/>
      <c r="VH4" s="14"/>
      <c r="VI4" s="14"/>
      <c r="VJ4" s="14"/>
      <c r="VK4" s="14"/>
      <c r="VL4" s="14"/>
      <c r="VM4" s="14"/>
      <c r="VN4" s="14"/>
      <c r="VO4" s="14"/>
      <c r="VP4" s="14"/>
      <c r="VQ4" s="14"/>
      <c r="VR4" s="14"/>
      <c r="VS4" s="14"/>
      <c r="VT4" s="14"/>
      <c r="VU4" s="14"/>
      <c r="VV4" s="14"/>
      <c r="VW4" s="14"/>
      <c r="VX4" s="14"/>
      <c r="VY4" s="14"/>
      <c r="VZ4" s="14"/>
      <c r="WA4" s="14"/>
      <c r="WB4" s="14"/>
      <c r="WC4" s="14"/>
      <c r="WD4" s="14"/>
      <c r="WE4" s="14"/>
      <c r="WF4" s="14"/>
      <c r="WG4" s="14"/>
      <c r="WH4" s="14"/>
      <c r="WI4" s="14"/>
      <c r="WJ4" s="14"/>
      <c r="WK4" s="14"/>
      <c r="WL4" s="14"/>
      <c r="WM4" s="14"/>
      <c r="WN4" s="14"/>
      <c r="WO4" s="14"/>
      <c r="WP4" s="14"/>
      <c r="WQ4" s="14"/>
      <c r="WR4" s="14"/>
      <c r="WS4" s="14"/>
      <c r="WT4" s="14"/>
      <c r="WU4" s="14"/>
      <c r="WV4" s="14"/>
      <c r="WW4" s="14"/>
      <c r="WX4" s="14"/>
      <c r="WY4" s="14"/>
      <c r="WZ4" s="14"/>
      <c r="XA4" s="14"/>
      <c r="XB4" s="14"/>
      <c r="XC4" s="14"/>
      <c r="XD4" s="14"/>
      <c r="XE4" s="14"/>
      <c r="XF4" s="14"/>
      <c r="XG4" s="14"/>
      <c r="XH4" s="14"/>
      <c r="XI4" s="14"/>
      <c r="XJ4" s="14"/>
      <c r="XK4" s="14"/>
      <c r="XL4" s="14"/>
      <c r="XM4" s="14"/>
      <c r="XN4" s="14"/>
      <c r="XO4" s="14"/>
      <c r="XP4" s="14"/>
      <c r="XQ4" s="14"/>
      <c r="XR4" s="14"/>
      <c r="XS4" s="14"/>
      <c r="XT4" s="14"/>
      <c r="XU4" s="14"/>
      <c r="XV4" s="14"/>
      <c r="XW4" s="14"/>
      <c r="XX4" s="14"/>
      <c r="XY4" s="14"/>
      <c r="XZ4" s="14"/>
      <c r="YA4" s="14"/>
      <c r="YB4" s="14"/>
      <c r="YC4" s="14"/>
      <c r="YD4" s="14"/>
      <c r="YE4" s="14"/>
      <c r="YF4" s="14"/>
      <c r="YG4" s="14"/>
      <c r="YH4" s="14"/>
      <c r="YI4" s="14"/>
      <c r="YJ4" s="14"/>
      <c r="YK4" s="14"/>
      <c r="YL4" s="14"/>
      <c r="YM4" s="14"/>
      <c r="YN4" s="14"/>
      <c r="YO4" s="14"/>
      <c r="YP4" s="14"/>
      <c r="YQ4" s="14"/>
      <c r="YR4" s="14"/>
      <c r="YS4" s="14"/>
      <c r="YT4" s="14"/>
      <c r="YU4" s="14"/>
      <c r="YV4" s="14"/>
      <c r="YW4" s="14"/>
      <c r="YX4" s="14"/>
      <c r="YY4" s="14"/>
      <c r="YZ4" s="14"/>
      <c r="ZA4" s="14"/>
      <c r="ZB4" s="14"/>
      <c r="ZC4" s="14"/>
      <c r="ZD4" s="14"/>
      <c r="ZE4" s="14"/>
      <c r="ZF4" s="14"/>
      <c r="ZG4" s="14"/>
      <c r="ZH4" s="14"/>
      <c r="ZI4" s="14"/>
      <c r="ZJ4" s="14"/>
      <c r="ZK4" s="14"/>
      <c r="ZL4" s="14"/>
      <c r="ZM4" s="14"/>
      <c r="ZN4" s="14"/>
      <c r="ZO4" s="14"/>
      <c r="ZP4" s="14"/>
      <c r="ZQ4" s="14"/>
      <c r="ZR4" s="14"/>
      <c r="ZS4" s="14"/>
      <c r="ZT4" s="14"/>
      <c r="ZU4" s="14"/>
      <c r="ZV4" s="14"/>
      <c r="ZW4" s="14"/>
      <c r="ZX4" s="14"/>
      <c r="ZY4" s="14"/>
      <c r="ZZ4" s="14"/>
      <c r="AAA4" s="14"/>
      <c r="AAB4" s="14"/>
      <c r="AAC4" s="14"/>
      <c r="AAD4" s="14"/>
      <c r="AAE4" s="14"/>
      <c r="AAF4" s="14"/>
      <c r="AAG4" s="14"/>
      <c r="AAH4" s="14"/>
      <c r="AAI4" s="14"/>
      <c r="AAJ4" s="14"/>
      <c r="AAK4" s="14"/>
      <c r="AAL4" s="14"/>
      <c r="AAM4" s="14"/>
      <c r="AAN4" s="14"/>
      <c r="AAO4" s="14"/>
      <c r="AAP4" s="14"/>
      <c r="AAQ4" s="14"/>
      <c r="AAR4" s="14"/>
      <c r="AAS4" s="14"/>
      <c r="AAT4" s="14"/>
      <c r="AAU4" s="14"/>
      <c r="AAV4" s="14"/>
      <c r="AAW4" s="14"/>
      <c r="AAX4" s="14"/>
      <c r="AAY4" s="14"/>
      <c r="AAZ4" s="14"/>
      <c r="ABA4" s="14"/>
      <c r="ABB4" s="14"/>
      <c r="ABC4" s="14"/>
      <c r="ABD4" s="14"/>
      <c r="ABE4" s="14"/>
      <c r="ABF4" s="14"/>
      <c r="ABG4" s="14"/>
      <c r="ABH4" s="14"/>
      <c r="ABI4" s="14"/>
      <c r="ABJ4" s="14"/>
      <c r="ABK4" s="14"/>
      <c r="ABL4" s="14"/>
      <c r="ABM4" s="14"/>
      <c r="ABN4" s="14"/>
      <c r="ABO4" s="14"/>
      <c r="ABP4" s="14"/>
      <c r="ABQ4" s="14"/>
      <c r="ABR4" s="14"/>
      <c r="ABS4" s="14"/>
      <c r="ABT4" s="14"/>
      <c r="ABU4" s="14"/>
      <c r="ABV4" s="14"/>
      <c r="ABW4" s="14"/>
      <c r="ABX4" s="14"/>
      <c r="ABY4" s="14"/>
      <c r="ABZ4" s="14"/>
      <c r="ACA4" s="14"/>
      <c r="ACB4" s="14"/>
      <c r="ACC4" s="14"/>
      <c r="ACD4" s="14"/>
      <c r="ACE4" s="14"/>
      <c r="ACF4" s="14"/>
      <c r="ACG4" s="14"/>
      <c r="ACH4" s="14"/>
      <c r="ACI4" s="14"/>
      <c r="ACJ4" s="14"/>
      <c r="ACK4" s="14"/>
      <c r="ACL4" s="14"/>
      <c r="ACM4" s="14"/>
      <c r="ACN4" s="14"/>
      <c r="ACO4" s="14"/>
      <c r="ACP4" s="14"/>
      <c r="ACQ4" s="14"/>
      <c r="ACR4" s="14"/>
      <c r="ACS4" s="14"/>
      <c r="ACT4" s="14"/>
      <c r="ACU4" s="14"/>
      <c r="ACV4" s="14"/>
      <c r="ACW4" s="14"/>
      <c r="ACX4" s="14"/>
      <c r="ACY4" s="14"/>
      <c r="ACZ4" s="14"/>
      <c r="ADA4" s="14"/>
      <c r="ADB4" s="14"/>
      <c r="ADC4" s="14"/>
      <c r="ADD4" s="14"/>
      <c r="ADE4" s="14"/>
      <c r="ADF4" s="14"/>
      <c r="ADG4" s="14"/>
      <c r="ADH4" s="14"/>
      <c r="ADI4" s="14"/>
      <c r="ADJ4" s="14"/>
      <c r="ADK4" s="14"/>
      <c r="ADL4" s="14"/>
      <c r="ADM4" s="14"/>
      <c r="ADN4" s="14"/>
      <c r="ADO4" s="14"/>
      <c r="ADP4" s="14"/>
      <c r="ADQ4" s="14"/>
      <c r="ADR4" s="14"/>
      <c r="ADS4" s="14"/>
      <c r="ADT4" s="14"/>
      <c r="ADU4" s="14"/>
      <c r="ADV4" s="14"/>
      <c r="ADW4" s="14"/>
      <c r="ADX4" s="14"/>
      <c r="ADY4" s="14"/>
      <c r="ADZ4" s="14"/>
      <c r="AEA4" s="14"/>
      <c r="AEB4" s="14"/>
      <c r="AEC4" s="14"/>
      <c r="AED4" s="14"/>
      <c r="AEE4" s="14"/>
      <c r="AEF4" s="14"/>
      <c r="AEG4" s="14"/>
      <c r="AEH4" s="14"/>
      <c r="AEI4" s="14"/>
      <c r="AEJ4" s="14"/>
      <c r="AEK4" s="14"/>
      <c r="AEL4" s="14"/>
      <c r="AEM4" s="14"/>
      <c r="AEN4" s="14"/>
      <c r="AEO4" s="14"/>
      <c r="AEP4" s="14"/>
      <c r="AEQ4" s="14"/>
      <c r="AER4" s="14"/>
      <c r="AES4" s="14"/>
      <c r="AET4" s="14"/>
      <c r="AEU4" s="14"/>
      <c r="AEV4" s="14"/>
      <c r="AEW4" s="14"/>
      <c r="AEX4" s="14"/>
      <c r="AEY4" s="14"/>
      <c r="AEZ4" s="14"/>
      <c r="AFA4" s="14"/>
      <c r="AFB4" s="14"/>
      <c r="AFC4" s="14"/>
      <c r="AFD4" s="14"/>
      <c r="AFE4" s="14"/>
      <c r="AFF4" s="14"/>
      <c r="AFG4" s="14"/>
      <c r="AFH4" s="14"/>
      <c r="AFI4" s="14"/>
      <c r="AFJ4" s="14"/>
      <c r="AFK4" s="14"/>
      <c r="AFL4" s="14"/>
      <c r="AFM4" s="14"/>
      <c r="AFN4" s="14"/>
      <c r="AFO4" s="14"/>
      <c r="AFP4" s="14"/>
      <c r="AFQ4" s="14"/>
      <c r="AFR4" s="14"/>
      <c r="AFS4" s="14"/>
      <c r="AFT4" s="14"/>
      <c r="AFU4" s="14"/>
      <c r="AFV4" s="14"/>
      <c r="AFW4" s="14"/>
      <c r="AFX4" s="14"/>
      <c r="AFY4" s="14"/>
      <c r="AFZ4" s="14"/>
      <c r="AGA4" s="14"/>
      <c r="AGB4" s="14"/>
      <c r="AGC4" s="14"/>
      <c r="AGD4" s="14"/>
      <c r="AGE4" s="14"/>
      <c r="AGF4" s="14"/>
      <c r="AGG4" s="14"/>
      <c r="AGH4" s="14"/>
      <c r="AGI4" s="14"/>
      <c r="AGJ4" s="14"/>
      <c r="AGK4" s="14"/>
      <c r="AGL4" s="14"/>
      <c r="AGM4" s="14"/>
      <c r="AGN4" s="14"/>
      <c r="AGO4" s="14"/>
      <c r="AGP4" s="14"/>
      <c r="AGQ4" s="14"/>
      <c r="AGR4" s="14"/>
      <c r="AGS4" s="14"/>
      <c r="AGT4" s="14"/>
      <c r="AGU4" s="14"/>
      <c r="AGV4" s="14"/>
      <c r="AGW4" s="14"/>
      <c r="AGX4" s="14"/>
      <c r="AGY4" s="14"/>
      <c r="AGZ4" s="14"/>
      <c r="AHA4" s="14"/>
      <c r="AHB4" s="14"/>
      <c r="AHC4" s="14"/>
      <c r="AHD4" s="14"/>
      <c r="AHE4" s="14"/>
      <c r="AHF4" s="14"/>
      <c r="AHG4" s="14"/>
      <c r="AHH4" s="14"/>
      <c r="AHI4" s="14"/>
      <c r="AHJ4" s="14"/>
      <c r="AHK4" s="14"/>
      <c r="AHL4" s="14"/>
      <c r="AHM4" s="14"/>
      <c r="AHN4" s="14"/>
      <c r="AHO4" s="14"/>
      <c r="AHP4" s="14"/>
      <c r="AHQ4" s="14"/>
      <c r="AHR4" s="14"/>
      <c r="AHS4" s="14"/>
      <c r="AHT4" s="14"/>
      <c r="AHU4" s="14"/>
      <c r="AHV4" s="14"/>
      <c r="AHW4" s="14"/>
      <c r="AHX4" s="14"/>
      <c r="AHY4" s="14"/>
      <c r="AHZ4" s="14"/>
      <c r="AIA4" s="14"/>
      <c r="AIB4" s="14"/>
      <c r="AIC4" s="14"/>
      <c r="AID4" s="14"/>
      <c r="AIE4" s="14"/>
      <c r="AIF4" s="14"/>
      <c r="AIG4" s="14"/>
      <c r="AIH4" s="14"/>
      <c r="AII4" s="14"/>
      <c r="AIJ4" s="14"/>
      <c r="AIK4" s="14"/>
      <c r="AIL4" s="14"/>
      <c r="AIM4" s="14"/>
      <c r="AIN4" s="14"/>
      <c r="AIO4" s="14"/>
      <c r="AIP4" s="14"/>
      <c r="AIQ4" s="14"/>
      <c r="AIR4" s="14"/>
      <c r="AIS4" s="14"/>
      <c r="AIT4" s="14"/>
      <c r="AIU4" s="14"/>
      <c r="AIV4" s="14"/>
      <c r="AIW4" s="14"/>
      <c r="AIX4" s="14"/>
      <c r="AIY4" s="14"/>
      <c r="AIZ4" s="14"/>
      <c r="AJA4" s="14"/>
      <c r="AJB4" s="14"/>
      <c r="AJC4" s="14"/>
      <c r="AJD4" s="14"/>
      <c r="AJE4" s="14"/>
      <c r="AJF4" s="14"/>
      <c r="AJG4" s="14"/>
      <c r="AJH4" s="14"/>
      <c r="AJI4" s="14"/>
      <c r="AJJ4" s="14"/>
      <c r="AJK4" s="14"/>
      <c r="AJL4" s="14"/>
      <c r="AJM4" s="14"/>
      <c r="AJN4" s="14"/>
      <c r="AJO4" s="14"/>
      <c r="AJP4" s="14"/>
      <c r="AJQ4" s="14"/>
      <c r="AJR4" s="14"/>
      <c r="AJS4" s="14"/>
      <c r="AJT4" s="14"/>
      <c r="AJU4" s="14"/>
      <c r="AJV4" s="14"/>
      <c r="AJW4" s="14"/>
      <c r="AJX4" s="14"/>
      <c r="AJY4" s="14"/>
      <c r="AJZ4" s="14"/>
      <c r="AKA4" s="14"/>
      <c r="AKB4" s="14"/>
      <c r="AKC4" s="14"/>
      <c r="AKD4" s="14"/>
      <c r="AKE4" s="14"/>
      <c r="AKF4" s="14"/>
      <c r="AKG4" s="14"/>
      <c r="AKH4" s="14"/>
      <c r="AKI4" s="14"/>
      <c r="AKJ4" s="14"/>
      <c r="AKK4" s="14"/>
      <c r="AKL4" s="14"/>
      <c r="AKM4" s="14"/>
      <c r="AKN4" s="14"/>
      <c r="AKO4" s="14"/>
      <c r="AKP4" s="14"/>
      <c r="AKQ4" s="14"/>
      <c r="AKR4" s="14"/>
      <c r="AKS4" s="14"/>
      <c r="AKT4" s="14"/>
      <c r="AKU4" s="14"/>
      <c r="AKV4" s="14"/>
      <c r="AKW4" s="14"/>
      <c r="AKX4" s="14"/>
      <c r="AKY4" s="14"/>
      <c r="AKZ4" s="14"/>
      <c r="ALA4" s="14"/>
      <c r="ALB4" s="14"/>
      <c r="ALC4" s="14"/>
      <c r="ALD4" s="14"/>
      <c r="ALE4" s="14"/>
      <c r="ALF4" s="14"/>
      <c r="ALG4" s="14"/>
      <c r="ALH4" s="14"/>
      <c r="ALI4" s="14"/>
      <c r="ALJ4" s="14"/>
      <c r="ALK4" s="14"/>
      <c r="ALL4" s="14"/>
      <c r="ALM4" s="14"/>
      <c r="ALN4" s="14"/>
      <c r="ALO4" s="14"/>
      <c r="ALP4" s="14"/>
      <c r="ALQ4" s="14"/>
      <c r="ALR4" s="14"/>
      <c r="ALS4" s="14"/>
      <c r="ALT4" s="14"/>
      <c r="ALU4" s="14"/>
      <c r="ALV4" s="14"/>
      <c r="ALW4" s="14"/>
      <c r="ALX4" s="14"/>
      <c r="ALY4" s="14"/>
      <c r="ALZ4" s="14"/>
      <c r="AMA4" s="14"/>
      <c r="AMB4" s="14"/>
      <c r="AMC4" s="14"/>
      <c r="AMD4" s="14"/>
      <c r="AME4" s="14"/>
      <c r="AMF4" s="14"/>
      <c r="AMG4" s="14"/>
      <c r="AMH4" s="14"/>
      <c r="AMI4" s="14"/>
      <c r="AMJ4" s="14"/>
      <c r="AMK4" s="14"/>
      <c r="AML4" s="14"/>
      <c r="AMM4" s="14"/>
      <c r="AMN4" s="14"/>
      <c r="AMO4" s="14"/>
      <c r="AMP4" s="14"/>
      <c r="AMQ4" s="14"/>
      <c r="AMR4" s="14"/>
      <c r="AMS4" s="14"/>
      <c r="AMT4" s="14"/>
      <c r="AMU4" s="14"/>
      <c r="AMV4" s="14"/>
      <c r="AMW4" s="14"/>
      <c r="AMX4" s="14"/>
      <c r="AMY4" s="14"/>
      <c r="AMZ4" s="14"/>
      <c r="ANA4" s="14"/>
      <c r="ANB4" s="14"/>
      <c r="ANC4" s="14"/>
      <c r="AND4" s="14"/>
      <c r="ANE4" s="14"/>
      <c r="ANF4" s="14"/>
      <c r="ANG4" s="14"/>
      <c r="ANH4" s="14"/>
      <c r="ANI4" s="14"/>
      <c r="ANJ4" s="14"/>
      <c r="ANK4" s="14"/>
      <c r="ANL4" s="14"/>
      <c r="ANM4" s="14"/>
      <c r="ANN4" s="14"/>
      <c r="ANO4" s="14"/>
      <c r="ANP4" s="14"/>
      <c r="ANQ4" s="14"/>
      <c r="ANR4" s="14"/>
      <c r="ANS4" s="14"/>
      <c r="ANT4" s="14"/>
      <c r="ANU4" s="14"/>
      <c r="ANV4" s="14"/>
      <c r="ANW4" s="14"/>
      <c r="ANX4" s="14"/>
      <c r="ANY4" s="14"/>
      <c r="ANZ4" s="14"/>
      <c r="AOA4" s="14"/>
      <c r="AOB4" s="14"/>
      <c r="AOC4" s="14"/>
      <c r="AOD4" s="14"/>
      <c r="AOE4" s="14"/>
      <c r="AOF4" s="14"/>
      <c r="AOG4" s="14"/>
      <c r="AOH4" s="14"/>
      <c r="AOI4" s="14"/>
      <c r="AOJ4" s="14"/>
      <c r="AOK4" s="14"/>
      <c r="AOL4" s="14"/>
      <c r="AOM4" s="14"/>
      <c r="AON4" s="14"/>
      <c r="AOO4" s="14"/>
      <c r="AOP4" s="14"/>
      <c r="AOQ4" s="14"/>
      <c r="AOR4" s="14"/>
      <c r="AOS4" s="14"/>
      <c r="AOT4" s="14"/>
      <c r="AOU4" s="14"/>
      <c r="AOV4" s="14"/>
      <c r="AOW4" s="14"/>
      <c r="AOX4" s="14"/>
      <c r="AOY4" s="14"/>
      <c r="AOZ4" s="14"/>
      <c r="APA4" s="14"/>
      <c r="APB4" s="14"/>
      <c r="APC4" s="14"/>
      <c r="APD4" s="14"/>
      <c r="APE4" s="14"/>
      <c r="APF4" s="14"/>
      <c r="APG4" s="14"/>
      <c r="APH4" s="14"/>
      <c r="API4" s="14"/>
      <c r="APJ4" s="14"/>
      <c r="APK4" s="14"/>
      <c r="APL4" s="14"/>
      <c r="APM4" s="14"/>
      <c r="APN4" s="14"/>
      <c r="APO4" s="14"/>
      <c r="APP4" s="14"/>
      <c r="APQ4" s="14"/>
      <c r="APR4" s="14"/>
      <c r="APS4" s="14"/>
      <c r="APT4" s="14"/>
      <c r="APU4" s="14"/>
      <c r="APV4" s="14"/>
      <c r="APW4" s="14"/>
      <c r="APX4" s="14"/>
      <c r="APY4" s="14"/>
      <c r="APZ4" s="14"/>
      <c r="AQA4" s="14"/>
      <c r="AQB4" s="14"/>
      <c r="AQC4" s="14"/>
      <c r="AQD4" s="14"/>
      <c r="AQE4" s="14"/>
      <c r="AQF4" s="14"/>
      <c r="AQG4" s="14"/>
      <c r="AQH4" s="14"/>
      <c r="AQI4" s="14"/>
      <c r="AQJ4" s="14"/>
      <c r="AQK4" s="14"/>
      <c r="AQL4" s="14"/>
      <c r="AQM4" s="14"/>
      <c r="AQN4" s="14"/>
      <c r="AQO4" s="14"/>
      <c r="AQP4" s="14"/>
      <c r="AQQ4" s="14"/>
      <c r="AQR4" s="14"/>
      <c r="AQS4" s="14"/>
      <c r="AQT4" s="14"/>
      <c r="AQU4" s="14"/>
      <c r="AQV4" s="14"/>
      <c r="AQW4" s="14"/>
      <c r="AQX4" s="14"/>
      <c r="AQY4" s="14"/>
      <c r="AQZ4" s="14"/>
      <c r="ARA4" s="14"/>
      <c r="ARB4" s="14"/>
      <c r="ARC4" s="14"/>
      <c r="ARD4" s="14"/>
      <c r="ARE4" s="14"/>
      <c r="ARF4" s="14"/>
      <c r="ARG4" s="14"/>
      <c r="ARH4" s="14"/>
      <c r="ARI4" s="14"/>
      <c r="ARJ4" s="14"/>
      <c r="ARK4" s="14"/>
      <c r="ARL4" s="14"/>
      <c r="ARM4" s="14"/>
      <c r="ARN4" s="14"/>
      <c r="ARO4" s="14"/>
      <c r="ARP4" s="14"/>
      <c r="ARQ4" s="14"/>
      <c r="ARR4" s="14"/>
      <c r="ARS4" s="14"/>
      <c r="ART4" s="14"/>
      <c r="ARU4" s="14"/>
      <c r="ARV4" s="14"/>
      <c r="ARW4" s="14"/>
      <c r="ARX4" s="14"/>
      <c r="ARY4" s="14"/>
      <c r="ARZ4" s="14"/>
      <c r="ASA4" s="14"/>
      <c r="ASB4" s="14"/>
      <c r="ASC4" s="14"/>
      <c r="ASD4" s="14"/>
      <c r="ASE4" s="14"/>
      <c r="ASF4" s="14"/>
      <c r="ASG4" s="14"/>
      <c r="ASH4" s="14"/>
      <c r="ASI4" s="14"/>
      <c r="ASJ4" s="14"/>
      <c r="ASK4" s="14"/>
      <c r="ASL4" s="14"/>
      <c r="ASM4" s="14"/>
      <c r="ASN4" s="14"/>
      <c r="ASO4" s="14"/>
      <c r="ASP4" s="14"/>
      <c r="ASQ4" s="14"/>
      <c r="ASR4" s="14"/>
      <c r="ASS4" s="14"/>
      <c r="AST4" s="14"/>
      <c r="ASU4" s="14"/>
      <c r="ASV4" s="14"/>
      <c r="ASW4" s="14"/>
      <c r="ASX4" s="14"/>
      <c r="ASY4" s="14"/>
      <c r="ASZ4" s="14"/>
      <c r="ATA4" s="14"/>
      <c r="ATB4" s="14"/>
      <c r="ATC4" s="14"/>
      <c r="ATD4" s="14"/>
      <c r="ATE4" s="14"/>
      <c r="ATF4" s="14"/>
      <c r="ATG4" s="14"/>
      <c r="ATH4" s="14"/>
      <c r="ATI4" s="14"/>
      <c r="ATJ4" s="14"/>
      <c r="ATK4" s="14"/>
      <c r="ATL4" s="14"/>
      <c r="ATM4" s="14"/>
      <c r="ATN4" s="14"/>
      <c r="ATO4" s="14"/>
      <c r="ATP4" s="14"/>
      <c r="ATQ4" s="14"/>
      <c r="ATR4" s="14"/>
      <c r="ATS4" s="14"/>
      <c r="ATT4" s="14"/>
      <c r="ATU4" s="14"/>
      <c r="ATV4" s="14"/>
      <c r="ATW4" s="14"/>
      <c r="ATX4" s="14"/>
      <c r="ATY4" s="14"/>
      <c r="ATZ4" s="14"/>
      <c r="AUA4" s="14"/>
      <c r="AUB4" s="14"/>
      <c r="AUC4" s="14"/>
      <c r="AUD4" s="14"/>
      <c r="AUE4" s="14"/>
      <c r="AUF4" s="14"/>
      <c r="AUG4" s="14"/>
      <c r="AUH4" s="14"/>
      <c r="AUI4" s="14"/>
      <c r="AUJ4" s="14"/>
      <c r="AUK4" s="14"/>
      <c r="AUL4" s="14"/>
      <c r="AUM4" s="14"/>
      <c r="AUN4" s="14"/>
      <c r="AUO4" s="14"/>
      <c r="AUP4" s="14"/>
      <c r="AUQ4" s="14"/>
      <c r="AUR4" s="14"/>
      <c r="AUS4" s="14"/>
      <c r="AUT4" s="14"/>
      <c r="AUU4" s="14"/>
      <c r="AUV4" s="14"/>
      <c r="AUW4" s="14"/>
      <c r="AUX4" s="14"/>
      <c r="AUY4" s="14"/>
      <c r="AUZ4" s="14"/>
      <c r="AVA4" s="14"/>
      <c r="AVB4" s="14"/>
      <c r="AVC4" s="14"/>
      <c r="AVD4" s="14"/>
      <c r="AVE4" s="14"/>
      <c r="AVF4" s="14"/>
      <c r="AVG4" s="14"/>
      <c r="AVH4" s="14"/>
      <c r="AVI4" s="14"/>
      <c r="AVJ4" s="14"/>
      <c r="AVK4" s="14"/>
      <c r="AVL4" s="14"/>
      <c r="AVM4" s="14"/>
      <c r="AVN4" s="14"/>
      <c r="AVO4" s="14"/>
      <c r="AVP4" s="14"/>
      <c r="AVQ4" s="14"/>
      <c r="AVR4" s="14"/>
      <c r="AVS4" s="14"/>
      <c r="AVT4" s="14"/>
      <c r="AVU4" s="14"/>
      <c r="AVV4" s="14"/>
      <c r="AVW4" s="14"/>
      <c r="AVX4" s="14"/>
      <c r="AVY4" s="14"/>
      <c r="AVZ4" s="14"/>
      <c r="AWA4" s="14"/>
      <c r="AWB4" s="14"/>
      <c r="AWC4" s="14"/>
      <c r="AWD4" s="14"/>
      <c r="AWE4" s="14"/>
      <c r="AWF4" s="14"/>
      <c r="AWG4" s="14"/>
      <c r="AWH4" s="14"/>
      <c r="AWI4" s="14"/>
      <c r="AWJ4" s="14"/>
      <c r="AWK4" s="14"/>
      <c r="AWL4" s="14"/>
      <c r="AWM4" s="14"/>
      <c r="AWN4" s="14"/>
      <c r="AWO4" s="14"/>
      <c r="AWP4" s="14"/>
      <c r="AWQ4" s="14"/>
      <c r="AWR4" s="14"/>
      <c r="AWS4" s="14"/>
      <c r="AWT4" s="14"/>
      <c r="AWU4" s="14"/>
      <c r="AWV4" s="14"/>
      <c r="AWW4" s="14"/>
      <c r="AWX4" s="14"/>
      <c r="AWY4" s="14"/>
      <c r="AWZ4" s="14"/>
      <c r="AXA4" s="14"/>
      <c r="AXB4" s="14"/>
      <c r="AXC4" s="14"/>
      <c r="AXD4" s="14"/>
      <c r="AXE4" s="14"/>
      <c r="AXF4" s="14"/>
      <c r="AXG4" s="14"/>
      <c r="AXH4" s="14"/>
      <c r="AXI4" s="14"/>
      <c r="AXJ4" s="14"/>
      <c r="AXK4" s="14"/>
      <c r="AXL4" s="14"/>
      <c r="AXM4" s="14"/>
      <c r="AXN4" s="14"/>
      <c r="AXO4" s="14"/>
      <c r="AXP4" s="14"/>
      <c r="AXQ4" s="14"/>
      <c r="AXR4" s="14"/>
      <c r="AXS4" s="14"/>
      <c r="AXT4" s="14"/>
      <c r="AXU4" s="14"/>
      <c r="AXV4" s="14"/>
      <c r="AXW4" s="14"/>
      <c r="AXX4" s="14"/>
      <c r="AXY4" s="14"/>
      <c r="AXZ4" s="14"/>
      <c r="AYA4" s="14"/>
      <c r="AYB4" s="14"/>
      <c r="AYC4" s="14"/>
      <c r="AYD4" s="14"/>
      <c r="AYE4" s="14"/>
      <c r="AYF4" s="14"/>
      <c r="AYG4" s="14"/>
      <c r="AYH4" s="14"/>
      <c r="AYI4" s="14"/>
      <c r="AYJ4" s="14"/>
      <c r="AYK4" s="14"/>
      <c r="AYL4" s="14"/>
      <c r="AYM4" s="14"/>
      <c r="AYN4" s="14"/>
      <c r="AYO4" s="14"/>
      <c r="AYP4" s="14"/>
      <c r="AYQ4" s="14"/>
      <c r="AYR4" s="14"/>
      <c r="AYS4" s="14"/>
      <c r="AYT4" s="14"/>
      <c r="AYU4" s="14"/>
      <c r="AYV4" s="14"/>
      <c r="AYW4" s="14"/>
      <c r="AYX4" s="14"/>
      <c r="AYY4" s="14"/>
      <c r="AYZ4" s="14"/>
      <c r="AZA4" s="14"/>
      <c r="AZB4" s="14"/>
      <c r="AZC4" s="14"/>
      <c r="AZD4" s="14"/>
      <c r="AZE4" s="14"/>
      <c r="AZF4" s="14"/>
      <c r="AZG4" s="14"/>
      <c r="AZH4" s="14"/>
      <c r="AZI4" s="14"/>
      <c r="AZJ4" s="14"/>
      <c r="AZK4" s="14"/>
      <c r="AZL4" s="14"/>
      <c r="AZM4" s="14"/>
      <c r="AZN4" s="14"/>
      <c r="AZO4" s="14"/>
      <c r="AZP4" s="14"/>
      <c r="AZQ4" s="14"/>
      <c r="AZR4" s="14"/>
      <c r="AZS4" s="14"/>
      <c r="AZT4" s="14"/>
      <c r="AZU4" s="14"/>
      <c r="AZV4" s="14"/>
      <c r="AZW4" s="14"/>
      <c r="AZX4" s="14"/>
      <c r="AZY4" s="14"/>
      <c r="AZZ4" s="14"/>
      <c r="BAA4" s="14"/>
      <c r="BAB4" s="14"/>
      <c r="BAC4" s="14"/>
      <c r="BAD4" s="14"/>
      <c r="BAE4" s="14"/>
      <c r="BAF4" s="14"/>
      <c r="BAG4" s="14"/>
      <c r="BAH4" s="14"/>
      <c r="BAI4" s="14"/>
      <c r="BAJ4" s="14"/>
      <c r="BAK4" s="14"/>
      <c r="BAL4" s="14"/>
      <c r="BAM4" s="14"/>
      <c r="BAN4" s="14"/>
      <c r="BAO4" s="14"/>
      <c r="BAP4" s="14"/>
      <c r="BAQ4" s="14"/>
      <c r="BAR4" s="14"/>
      <c r="BAS4" s="14"/>
      <c r="BAT4" s="14"/>
      <c r="BAU4" s="14"/>
      <c r="BAV4" s="14"/>
      <c r="BAW4" s="14"/>
      <c r="BAX4" s="14"/>
      <c r="BAY4" s="14"/>
      <c r="BAZ4" s="14"/>
      <c r="BBA4" s="14"/>
      <c r="BBB4" s="14"/>
      <c r="BBC4" s="14"/>
      <c r="BBD4" s="14"/>
      <c r="BBE4" s="14"/>
      <c r="BBF4" s="14"/>
      <c r="BBG4" s="14"/>
      <c r="BBH4" s="14"/>
      <c r="BBI4" s="14"/>
      <c r="BBJ4" s="14"/>
      <c r="BBK4" s="14"/>
      <c r="BBL4" s="14"/>
      <c r="BBM4" s="14"/>
      <c r="BBN4" s="14"/>
      <c r="BBO4" s="14"/>
      <c r="BBP4" s="14"/>
      <c r="BBQ4" s="14"/>
      <c r="BBR4" s="14"/>
      <c r="BBS4" s="14"/>
      <c r="BBT4" s="14"/>
      <c r="BBU4" s="14"/>
      <c r="BBV4" s="14"/>
      <c r="BBW4" s="14"/>
      <c r="BBX4" s="14"/>
      <c r="BBY4" s="14"/>
      <c r="BBZ4" s="14"/>
      <c r="BCA4" s="14"/>
      <c r="BCB4" s="14"/>
      <c r="BCC4" s="14"/>
      <c r="BCD4" s="14"/>
      <c r="BCE4" s="14"/>
      <c r="BCF4" s="14"/>
      <c r="BCG4" s="14"/>
      <c r="BCH4" s="14"/>
      <c r="BCI4" s="14"/>
      <c r="BCJ4" s="14"/>
      <c r="BCK4" s="14"/>
      <c r="BCL4" s="14"/>
      <c r="BCM4" s="14"/>
      <c r="BCN4" s="14"/>
      <c r="BCO4" s="14"/>
      <c r="BCP4" s="14"/>
      <c r="BCQ4" s="14"/>
      <c r="BCR4" s="14"/>
      <c r="BCS4" s="14"/>
      <c r="BCT4" s="14"/>
      <c r="BCU4" s="14"/>
      <c r="BCV4" s="14"/>
      <c r="BCW4" s="14"/>
      <c r="BCX4" s="14"/>
      <c r="BCY4" s="14"/>
      <c r="BCZ4" s="14"/>
      <c r="BDA4" s="14"/>
      <c r="BDB4" s="14"/>
      <c r="BDC4" s="14"/>
      <c r="BDD4" s="14"/>
      <c r="BDE4" s="14"/>
      <c r="BDF4" s="14"/>
      <c r="BDG4" s="14"/>
      <c r="BDH4" s="14"/>
      <c r="BDI4" s="14"/>
      <c r="BDJ4" s="14"/>
      <c r="BDK4" s="14"/>
      <c r="BDL4" s="14"/>
      <c r="BDM4" s="14"/>
      <c r="BDN4" s="14"/>
      <c r="BDO4" s="14"/>
      <c r="BDP4" s="14"/>
      <c r="BDQ4" s="14"/>
      <c r="BDR4" s="14"/>
      <c r="BDS4" s="14"/>
      <c r="BDT4" s="14"/>
      <c r="BDU4" s="14"/>
      <c r="BDV4" s="14"/>
      <c r="BDW4" s="14"/>
      <c r="BDX4" s="14"/>
      <c r="BDY4" s="14"/>
      <c r="BDZ4" s="14"/>
      <c r="BEA4" s="14"/>
      <c r="BEB4" s="14"/>
      <c r="BEC4" s="14"/>
      <c r="BED4" s="14"/>
      <c r="BEE4" s="14"/>
      <c r="BEF4" s="14"/>
      <c r="BEG4" s="14"/>
      <c r="BEH4" s="14"/>
      <c r="BEI4" s="14"/>
      <c r="BEJ4" s="14"/>
      <c r="BEK4" s="14"/>
      <c r="BEL4" s="14"/>
      <c r="BEM4" s="14"/>
      <c r="BEN4" s="14"/>
      <c r="BEO4" s="14"/>
      <c r="BEP4" s="14"/>
      <c r="BEQ4" s="14"/>
      <c r="BER4" s="14"/>
      <c r="BES4" s="14"/>
      <c r="BET4" s="14"/>
      <c r="BEU4" s="14"/>
      <c r="BEV4" s="14"/>
      <c r="BEW4" s="14"/>
      <c r="BEX4" s="14"/>
      <c r="BEY4" s="14"/>
      <c r="BEZ4" s="14"/>
      <c r="BFA4" s="14"/>
      <c r="BFB4" s="14"/>
      <c r="BFC4" s="14"/>
      <c r="BFD4" s="14"/>
      <c r="BFE4" s="14"/>
      <c r="BFF4" s="14"/>
      <c r="BFG4" s="14"/>
      <c r="BFH4" s="14"/>
      <c r="BFI4" s="14"/>
      <c r="BFJ4" s="14"/>
      <c r="BFK4" s="14"/>
      <c r="BFL4" s="14"/>
      <c r="BFM4" s="14"/>
      <c r="BFN4" s="14"/>
      <c r="BFO4" s="14"/>
      <c r="BFP4" s="14"/>
      <c r="BFQ4" s="14"/>
      <c r="BFR4" s="14"/>
      <c r="BFS4" s="14"/>
      <c r="BFT4" s="14"/>
      <c r="BFU4" s="14"/>
      <c r="BFV4" s="14"/>
      <c r="BFW4" s="14"/>
      <c r="BFX4" s="14"/>
      <c r="BFY4" s="14"/>
      <c r="BFZ4" s="14"/>
      <c r="BGA4" s="14"/>
      <c r="BGB4" s="14"/>
      <c r="BGC4" s="14"/>
      <c r="BGD4" s="14"/>
      <c r="BGE4" s="14"/>
      <c r="BGF4" s="14"/>
      <c r="BGG4" s="14"/>
      <c r="BGH4" s="14"/>
      <c r="BGI4" s="14"/>
      <c r="BGJ4" s="14"/>
      <c r="BGK4" s="14"/>
      <c r="BGL4" s="14"/>
      <c r="BGM4" s="14"/>
      <c r="BGN4" s="14"/>
      <c r="BGO4" s="14"/>
      <c r="BGP4" s="14"/>
      <c r="BGQ4" s="14"/>
      <c r="BGR4" s="14"/>
      <c r="BGS4" s="14"/>
      <c r="BGT4" s="14"/>
      <c r="BGU4" s="14"/>
      <c r="BGV4" s="14"/>
      <c r="BGW4" s="14"/>
      <c r="BGX4" s="14"/>
      <c r="BGY4" s="14"/>
      <c r="BGZ4" s="14"/>
      <c r="BHA4" s="14"/>
      <c r="BHB4" s="14"/>
      <c r="BHC4" s="14"/>
      <c r="BHD4" s="14"/>
      <c r="BHE4" s="14"/>
      <c r="BHF4" s="14"/>
      <c r="BHG4" s="14"/>
      <c r="BHH4" s="14"/>
      <c r="BHI4" s="14"/>
      <c r="BHJ4" s="14"/>
      <c r="BHK4" s="14"/>
      <c r="BHL4" s="14"/>
      <c r="BHM4" s="14"/>
      <c r="BHN4" s="14"/>
      <c r="BHO4" s="14"/>
      <c r="BHP4" s="14"/>
      <c r="BHQ4" s="14"/>
      <c r="BHR4" s="14"/>
      <c r="BHS4" s="14"/>
      <c r="BHT4" s="14"/>
      <c r="BHU4" s="14"/>
      <c r="BHV4" s="14"/>
      <c r="BHW4" s="14"/>
      <c r="BHX4" s="14"/>
      <c r="BHY4" s="14"/>
      <c r="BHZ4" s="14"/>
      <c r="BIA4" s="14"/>
      <c r="BIB4" s="14"/>
      <c r="BIC4" s="14"/>
      <c r="BID4" s="14"/>
      <c r="BIE4" s="14"/>
      <c r="BIF4" s="14"/>
      <c r="BIG4" s="14"/>
      <c r="BIH4" s="14"/>
      <c r="BII4" s="14"/>
      <c r="BIJ4" s="14"/>
      <c r="BIK4" s="14"/>
      <c r="BIL4" s="14"/>
      <c r="BIM4" s="14"/>
      <c r="BIN4" s="14"/>
      <c r="BIO4" s="14"/>
      <c r="BIP4" s="14"/>
      <c r="BIQ4" s="14"/>
      <c r="BIR4" s="14"/>
      <c r="BIS4" s="14"/>
      <c r="BIT4" s="14"/>
      <c r="BIU4" s="14"/>
      <c r="BIV4" s="14"/>
      <c r="BIW4" s="14"/>
      <c r="BIX4" s="14"/>
      <c r="BIY4" s="14"/>
      <c r="BIZ4" s="14"/>
      <c r="BJA4" s="14"/>
      <c r="BJB4" s="14"/>
      <c r="BJC4" s="14"/>
      <c r="BJD4" s="14"/>
      <c r="BJE4" s="14"/>
      <c r="BJF4" s="14"/>
      <c r="BJG4" s="14"/>
      <c r="BJH4" s="14"/>
      <c r="BJI4" s="14"/>
      <c r="BJJ4" s="14"/>
      <c r="BJK4" s="14"/>
      <c r="BJL4" s="14"/>
      <c r="BJM4" s="14"/>
      <c r="BJN4" s="14"/>
      <c r="BJO4" s="14"/>
      <c r="BJP4" s="14"/>
      <c r="BJQ4" s="14"/>
      <c r="BJR4" s="14"/>
      <c r="BJS4" s="14"/>
      <c r="BJT4" s="14"/>
      <c r="BJU4" s="14"/>
      <c r="BJV4" s="14"/>
      <c r="BJW4" s="14"/>
      <c r="BJX4" s="14"/>
      <c r="BJY4" s="14"/>
      <c r="BJZ4" s="14"/>
      <c r="BKA4" s="14"/>
      <c r="BKB4" s="14"/>
      <c r="BKC4" s="14"/>
      <c r="BKD4" s="14"/>
      <c r="BKE4" s="14"/>
      <c r="BKF4" s="14"/>
      <c r="BKG4" s="14"/>
      <c r="BKH4" s="14"/>
      <c r="BKI4" s="14"/>
      <c r="BKJ4" s="14"/>
      <c r="BKK4" s="14"/>
      <c r="BKL4" s="14"/>
      <c r="BKM4" s="14"/>
      <c r="BKN4" s="14"/>
      <c r="BKO4" s="14"/>
      <c r="BKP4" s="14"/>
      <c r="BKQ4" s="14"/>
      <c r="BKR4" s="14"/>
      <c r="BKS4" s="14"/>
      <c r="BKT4" s="14"/>
      <c r="BKU4" s="14"/>
      <c r="BKV4" s="14"/>
      <c r="BKW4" s="14"/>
      <c r="BKX4" s="14"/>
      <c r="BKY4" s="14"/>
      <c r="BKZ4" s="14"/>
      <c r="BLA4" s="14"/>
      <c r="BLB4" s="14"/>
      <c r="BLC4" s="14"/>
      <c r="BLD4" s="14"/>
      <c r="BLE4" s="14"/>
      <c r="BLF4" s="14"/>
      <c r="BLG4" s="14"/>
      <c r="BLH4" s="14"/>
      <c r="BLI4" s="14"/>
      <c r="BLJ4" s="14"/>
      <c r="BLK4" s="14"/>
      <c r="BLL4" s="14"/>
      <c r="BLM4" s="14"/>
      <c r="BLN4" s="14"/>
      <c r="BLO4" s="14"/>
      <c r="BLP4" s="14"/>
      <c r="BLQ4" s="14"/>
      <c r="BLR4" s="14"/>
      <c r="BLS4" s="14"/>
      <c r="BLT4" s="14"/>
      <c r="BLU4" s="14"/>
      <c r="BLV4" s="14"/>
      <c r="BLW4" s="14"/>
      <c r="BLX4" s="14"/>
      <c r="BLY4" s="14"/>
      <c r="BLZ4" s="14"/>
      <c r="BMA4" s="14"/>
      <c r="BMB4" s="14"/>
      <c r="BMC4" s="14"/>
      <c r="BMD4" s="14"/>
      <c r="BME4" s="14"/>
      <c r="BMF4" s="14"/>
      <c r="BMG4" s="14"/>
      <c r="BMH4" s="14"/>
      <c r="BMI4" s="14"/>
      <c r="BMJ4" s="14"/>
      <c r="BMK4" s="14"/>
      <c r="BML4" s="14"/>
      <c r="BMM4" s="14"/>
      <c r="BMN4" s="14"/>
      <c r="BMO4" s="14"/>
      <c r="BMP4" s="14"/>
      <c r="BMQ4" s="14"/>
      <c r="BMR4" s="14"/>
      <c r="BMS4" s="14"/>
      <c r="BMT4" s="14"/>
      <c r="BMU4" s="14"/>
      <c r="BMV4" s="14"/>
      <c r="BMW4" s="14"/>
      <c r="BMX4" s="14"/>
      <c r="BMY4" s="14"/>
      <c r="BMZ4" s="14"/>
      <c r="BNA4" s="14"/>
      <c r="BNB4" s="14"/>
      <c r="BNC4" s="14"/>
      <c r="BND4" s="14"/>
      <c r="BNE4" s="14"/>
      <c r="BNF4" s="14"/>
      <c r="BNG4" s="14"/>
      <c r="BNH4" s="14"/>
      <c r="BNI4" s="14"/>
      <c r="BNJ4" s="14"/>
      <c r="BNK4" s="14"/>
      <c r="BNL4" s="14"/>
      <c r="BNM4" s="14"/>
      <c r="BNN4" s="14"/>
      <c r="BNO4" s="14"/>
      <c r="BNP4" s="14"/>
      <c r="BNQ4" s="14"/>
      <c r="BNR4" s="14"/>
      <c r="BNS4" s="14"/>
      <c r="BNT4" s="14"/>
      <c r="BNU4" s="14"/>
      <c r="BNV4" s="14"/>
      <c r="BNW4" s="14"/>
      <c r="BNX4" s="14"/>
      <c r="BNY4" s="14"/>
      <c r="BNZ4" s="14"/>
      <c r="BOA4" s="14"/>
      <c r="BOB4" s="14"/>
      <c r="BOC4" s="14"/>
      <c r="BOD4" s="14"/>
      <c r="BOE4" s="14"/>
      <c r="BOF4" s="14"/>
      <c r="BOG4" s="14"/>
      <c r="BOH4" s="14"/>
      <c r="BOI4" s="14"/>
      <c r="BOJ4" s="14"/>
      <c r="BOK4" s="14"/>
      <c r="BOL4" s="14"/>
      <c r="BOM4" s="14"/>
      <c r="BON4" s="14"/>
      <c r="BOO4" s="14"/>
      <c r="BOP4" s="14"/>
      <c r="BOQ4" s="14"/>
      <c r="BOR4" s="14"/>
      <c r="BOS4" s="14"/>
      <c r="BOT4" s="14"/>
      <c r="BOU4" s="14"/>
      <c r="BOV4" s="14"/>
      <c r="BOW4" s="14"/>
      <c r="BOX4" s="14"/>
      <c r="BOY4" s="14"/>
      <c r="BOZ4" s="14"/>
      <c r="BPA4" s="14"/>
      <c r="BPB4" s="14"/>
      <c r="BPC4" s="14"/>
      <c r="BPD4" s="14"/>
      <c r="BPE4" s="14"/>
      <c r="BPF4" s="14"/>
      <c r="BPG4" s="14"/>
      <c r="BPH4" s="14"/>
      <c r="BPI4" s="14"/>
      <c r="BPJ4" s="14"/>
      <c r="BPK4" s="14"/>
      <c r="BPL4" s="14"/>
      <c r="BPM4" s="14"/>
      <c r="BPN4" s="14"/>
      <c r="BPO4" s="14"/>
      <c r="BPP4" s="14"/>
      <c r="BPQ4" s="14"/>
      <c r="BPR4" s="14"/>
      <c r="BPS4" s="14"/>
      <c r="BPT4" s="14"/>
      <c r="BPU4" s="14"/>
      <c r="BPV4" s="14"/>
      <c r="BPW4" s="14"/>
      <c r="BPX4" s="14"/>
      <c r="BPY4" s="14"/>
      <c r="BPZ4" s="14"/>
      <c r="BQA4" s="14"/>
      <c r="BQB4" s="14"/>
      <c r="BQC4" s="14"/>
      <c r="BQD4" s="14"/>
      <c r="BQE4" s="14"/>
      <c r="BQF4" s="14"/>
      <c r="BQG4" s="14"/>
      <c r="BQH4" s="14"/>
      <c r="BQI4" s="14"/>
      <c r="BQJ4" s="14"/>
      <c r="BQK4" s="14"/>
      <c r="BQL4" s="14"/>
      <c r="BQM4" s="14"/>
      <c r="BQN4" s="14"/>
      <c r="BQO4" s="14"/>
      <c r="BQP4" s="14"/>
      <c r="BQQ4" s="14"/>
      <c r="BQR4" s="14"/>
      <c r="BQS4" s="14"/>
      <c r="BQT4" s="14"/>
      <c r="BQU4" s="14"/>
      <c r="BQV4" s="14"/>
      <c r="BQW4" s="14"/>
      <c r="BQX4" s="14"/>
      <c r="BQY4" s="14"/>
      <c r="BQZ4" s="14"/>
      <c r="BRA4" s="14"/>
      <c r="BRB4" s="14"/>
      <c r="BRC4" s="14"/>
      <c r="BRD4" s="14"/>
      <c r="BRE4" s="14"/>
      <c r="BRF4" s="14"/>
      <c r="BRG4" s="14"/>
      <c r="BRH4" s="14"/>
      <c r="BRI4" s="14"/>
      <c r="BRJ4" s="14"/>
      <c r="BRK4" s="14"/>
      <c r="BRL4" s="14"/>
      <c r="BRM4" s="14"/>
      <c r="BRN4" s="14"/>
      <c r="BRO4" s="14"/>
      <c r="BRP4" s="14"/>
      <c r="BRQ4" s="14"/>
      <c r="BRR4" s="14"/>
      <c r="BRS4" s="14"/>
      <c r="BRT4" s="14"/>
      <c r="BRU4" s="14"/>
      <c r="BRV4" s="14"/>
      <c r="BRW4" s="14"/>
      <c r="BRX4" s="14"/>
      <c r="BRY4" s="14"/>
      <c r="BRZ4" s="14"/>
      <c r="BSA4" s="14"/>
      <c r="BSB4" s="14"/>
      <c r="BSC4" s="14"/>
      <c r="BSD4" s="14"/>
      <c r="BSE4" s="14"/>
      <c r="BSF4" s="14"/>
      <c r="BSG4" s="14"/>
      <c r="BSH4" s="14"/>
      <c r="BSI4" s="14"/>
      <c r="BSJ4" s="14"/>
      <c r="BSK4" s="14"/>
      <c r="BSL4" s="14"/>
      <c r="BSM4" s="14"/>
      <c r="BSN4" s="14"/>
      <c r="BSO4" s="14"/>
      <c r="BSP4" s="14"/>
      <c r="BSQ4" s="14"/>
      <c r="BSR4" s="14"/>
      <c r="BSS4" s="14"/>
      <c r="BST4" s="14"/>
      <c r="BSU4" s="14"/>
      <c r="BSV4" s="14"/>
      <c r="BSW4" s="14"/>
      <c r="BSX4" s="14"/>
      <c r="BSY4" s="14"/>
      <c r="BSZ4" s="14"/>
      <c r="BTA4" s="14"/>
      <c r="BTB4" s="14"/>
      <c r="BTC4" s="14"/>
      <c r="BTD4" s="14"/>
      <c r="BTE4" s="14"/>
      <c r="BTF4" s="14"/>
      <c r="BTG4" s="14"/>
      <c r="BTH4" s="14"/>
      <c r="BTI4" s="14"/>
      <c r="BTJ4" s="14"/>
      <c r="BTK4" s="14"/>
      <c r="BTL4" s="14"/>
      <c r="BTM4" s="14"/>
      <c r="BTN4" s="14"/>
      <c r="BTO4" s="14"/>
      <c r="BTP4" s="14"/>
      <c r="BTQ4" s="14"/>
      <c r="BTR4" s="14"/>
      <c r="BTS4" s="14"/>
      <c r="BTT4" s="14"/>
      <c r="BTU4" s="14"/>
      <c r="BTV4" s="14"/>
      <c r="BTW4" s="14"/>
      <c r="BTX4" s="14"/>
      <c r="BTY4" s="14"/>
      <c r="BTZ4" s="14"/>
      <c r="BUA4" s="14"/>
      <c r="BUB4" s="14"/>
      <c r="BUC4" s="14"/>
      <c r="BUD4" s="14"/>
      <c r="BUE4" s="14"/>
      <c r="BUF4" s="14"/>
      <c r="BUG4" s="14"/>
      <c r="BUH4" s="14"/>
      <c r="BUI4" s="14"/>
      <c r="BUJ4" s="14"/>
      <c r="BUK4" s="14"/>
      <c r="BUL4" s="14"/>
      <c r="BUM4" s="14"/>
      <c r="BUN4" s="14"/>
      <c r="BUO4" s="14"/>
      <c r="BUP4" s="14"/>
      <c r="BUQ4" s="14"/>
      <c r="BUR4" s="14"/>
      <c r="BUS4" s="14"/>
      <c r="BUT4" s="14"/>
      <c r="BUU4" s="14"/>
      <c r="BUV4" s="14"/>
      <c r="BUW4" s="14"/>
      <c r="BUX4" s="14"/>
      <c r="BUY4" s="14"/>
      <c r="BUZ4" s="14"/>
      <c r="BVA4" s="14"/>
      <c r="BVB4" s="14"/>
      <c r="BVC4" s="14"/>
      <c r="BVD4" s="14"/>
      <c r="BVE4" s="14"/>
      <c r="BVF4" s="14"/>
      <c r="BVG4" s="14"/>
      <c r="BVH4" s="14"/>
      <c r="BVI4" s="14"/>
      <c r="BVJ4" s="14"/>
      <c r="BVK4" s="14"/>
      <c r="BVL4" s="14"/>
      <c r="BVM4" s="14"/>
      <c r="BVN4" s="14"/>
      <c r="BVO4" s="14"/>
      <c r="BVP4" s="14"/>
      <c r="BVQ4" s="14"/>
      <c r="BVR4" s="14"/>
      <c r="BVS4" s="14"/>
      <c r="BVT4" s="14"/>
      <c r="BVU4" s="14"/>
      <c r="BVV4" s="14"/>
      <c r="BVW4" s="14"/>
      <c r="BVX4" s="14"/>
      <c r="BVY4" s="14"/>
      <c r="BVZ4" s="14"/>
      <c r="BWA4" s="14"/>
      <c r="BWB4" s="14"/>
      <c r="BWC4" s="14"/>
      <c r="BWD4" s="14"/>
      <c r="BWE4" s="14"/>
      <c r="BWF4" s="14"/>
      <c r="BWG4" s="14"/>
      <c r="BWH4" s="14"/>
      <c r="BWI4" s="14"/>
      <c r="BWJ4" s="14"/>
      <c r="BWK4" s="14"/>
      <c r="BWL4" s="14"/>
      <c r="BWM4" s="14"/>
      <c r="BWN4" s="14"/>
      <c r="BWO4" s="14"/>
      <c r="BWP4" s="14"/>
      <c r="BWQ4" s="14"/>
      <c r="BWR4" s="14"/>
      <c r="BWS4" s="14"/>
      <c r="BWT4" s="14"/>
      <c r="BWU4" s="14"/>
      <c r="BWV4" s="14"/>
      <c r="BWW4" s="14"/>
      <c r="BWX4" s="14"/>
      <c r="BWY4" s="14"/>
      <c r="BWZ4" s="14"/>
      <c r="BXA4" s="14"/>
      <c r="BXB4" s="14"/>
      <c r="BXC4" s="14"/>
      <c r="BXD4" s="14"/>
      <c r="BXE4" s="14"/>
      <c r="BXF4" s="14"/>
      <c r="BXG4" s="14"/>
      <c r="BXH4" s="14"/>
      <c r="BXI4" s="14"/>
      <c r="BXJ4" s="14"/>
      <c r="BXK4" s="14"/>
      <c r="BXL4" s="14"/>
      <c r="BXM4" s="14"/>
      <c r="BXN4" s="14"/>
      <c r="BXO4" s="14"/>
      <c r="BXP4" s="14"/>
      <c r="BXQ4" s="14"/>
      <c r="BXR4" s="14"/>
      <c r="BXS4" s="14"/>
      <c r="BXT4" s="14"/>
      <c r="BXU4" s="14"/>
      <c r="BXV4" s="14"/>
      <c r="BXW4" s="14"/>
      <c r="BXX4" s="14"/>
      <c r="BXY4" s="14"/>
      <c r="BXZ4" s="14"/>
      <c r="BYA4" s="14"/>
      <c r="BYB4" s="14"/>
      <c r="BYC4" s="14"/>
      <c r="BYD4" s="14"/>
      <c r="BYE4" s="14"/>
      <c r="BYF4" s="14"/>
      <c r="BYG4" s="14"/>
      <c r="BYH4" s="14"/>
      <c r="BYI4" s="14"/>
      <c r="BYJ4" s="14"/>
      <c r="BYK4" s="14"/>
      <c r="BYL4" s="14"/>
      <c r="BYM4" s="14"/>
      <c r="BYN4" s="14"/>
      <c r="BYO4" s="14"/>
      <c r="BYP4" s="14"/>
      <c r="BYQ4" s="14"/>
      <c r="BYR4" s="14"/>
      <c r="BYS4" s="14"/>
      <c r="BYT4" s="14"/>
      <c r="BYU4" s="14"/>
      <c r="BYV4" s="14"/>
      <c r="BYW4" s="14"/>
      <c r="BYX4" s="14"/>
      <c r="BYY4" s="14"/>
      <c r="BYZ4" s="14"/>
      <c r="BZA4" s="14"/>
      <c r="BZB4" s="14"/>
      <c r="BZC4" s="14"/>
      <c r="BZD4" s="14"/>
      <c r="BZE4" s="14"/>
      <c r="BZF4" s="14"/>
      <c r="BZG4" s="14"/>
      <c r="BZH4" s="14"/>
      <c r="BZI4" s="14"/>
      <c r="BZJ4" s="14"/>
      <c r="BZK4" s="14"/>
      <c r="BZL4" s="14"/>
      <c r="BZM4" s="14"/>
      <c r="BZN4" s="14"/>
      <c r="BZO4" s="14"/>
      <c r="BZP4" s="14"/>
      <c r="BZQ4" s="14"/>
      <c r="BZR4" s="14"/>
      <c r="BZS4" s="14"/>
      <c r="BZT4" s="14"/>
      <c r="BZU4" s="14"/>
      <c r="BZV4" s="14"/>
      <c r="BZW4" s="14"/>
      <c r="BZX4" s="14"/>
      <c r="BZY4" s="14"/>
      <c r="BZZ4" s="14"/>
      <c r="CAA4" s="14"/>
      <c r="CAB4" s="14"/>
      <c r="CAC4" s="14"/>
      <c r="CAD4" s="14"/>
      <c r="CAE4" s="14"/>
      <c r="CAF4" s="14"/>
      <c r="CAG4" s="14"/>
      <c r="CAH4" s="14"/>
      <c r="CAI4" s="14"/>
      <c r="CAJ4" s="14"/>
      <c r="CAK4" s="14"/>
      <c r="CAL4" s="14"/>
      <c r="CAM4" s="14"/>
      <c r="CAN4" s="14"/>
      <c r="CAO4" s="14"/>
      <c r="CAP4" s="14"/>
      <c r="CAQ4" s="14"/>
      <c r="CAR4" s="14"/>
      <c r="CAS4" s="14"/>
      <c r="CAT4" s="14"/>
      <c r="CAU4" s="14"/>
      <c r="CAV4" s="14"/>
      <c r="CAW4" s="14"/>
      <c r="CAX4" s="14"/>
      <c r="CAY4" s="14"/>
      <c r="CAZ4" s="14"/>
      <c r="CBA4" s="14"/>
      <c r="CBB4" s="14"/>
      <c r="CBC4" s="14"/>
      <c r="CBD4" s="14"/>
      <c r="CBE4" s="14"/>
      <c r="CBF4" s="14"/>
      <c r="CBG4" s="14"/>
      <c r="CBH4" s="14"/>
      <c r="CBI4" s="14"/>
      <c r="CBJ4" s="14"/>
      <c r="CBK4" s="14"/>
      <c r="CBL4" s="14"/>
      <c r="CBM4" s="14"/>
      <c r="CBN4" s="14"/>
      <c r="CBO4" s="14"/>
      <c r="CBP4" s="14"/>
      <c r="CBQ4" s="14"/>
      <c r="CBR4" s="14"/>
      <c r="CBS4" s="14"/>
      <c r="CBT4" s="14"/>
      <c r="CBU4" s="14"/>
      <c r="CBV4" s="14"/>
      <c r="CBW4" s="14"/>
      <c r="CBX4" s="14"/>
      <c r="CBY4" s="14"/>
      <c r="CBZ4" s="14"/>
      <c r="CCA4" s="14"/>
      <c r="CCB4" s="14"/>
      <c r="CCC4" s="14"/>
      <c r="CCD4" s="14"/>
      <c r="CCE4" s="14"/>
      <c r="CCF4" s="14"/>
      <c r="CCG4" s="14"/>
      <c r="CCH4" s="14"/>
      <c r="CCI4" s="14"/>
      <c r="CCJ4" s="14"/>
      <c r="CCK4" s="14"/>
      <c r="CCL4" s="14"/>
      <c r="CCM4" s="14"/>
      <c r="CCN4" s="14"/>
      <c r="CCO4" s="14"/>
      <c r="CCP4" s="14"/>
      <c r="CCQ4" s="14"/>
      <c r="CCR4" s="14"/>
      <c r="CCS4" s="14"/>
      <c r="CCT4" s="14"/>
      <c r="CCU4" s="14"/>
      <c r="CCV4" s="14"/>
      <c r="CCW4" s="14"/>
      <c r="CCX4" s="14"/>
      <c r="CCY4" s="14"/>
      <c r="CCZ4" s="14"/>
      <c r="CDA4" s="14"/>
      <c r="CDB4" s="14"/>
      <c r="CDC4" s="14"/>
      <c r="CDD4" s="14"/>
      <c r="CDE4" s="14"/>
      <c r="CDF4" s="14"/>
      <c r="CDG4" s="14"/>
      <c r="CDH4" s="14"/>
      <c r="CDI4" s="14"/>
      <c r="CDJ4" s="14"/>
      <c r="CDK4" s="14"/>
      <c r="CDL4" s="14"/>
      <c r="CDM4" s="14"/>
      <c r="CDN4" s="14"/>
      <c r="CDO4" s="14"/>
      <c r="CDP4" s="14"/>
      <c r="CDQ4" s="14"/>
      <c r="CDR4" s="14"/>
      <c r="CDS4" s="14"/>
      <c r="CDT4" s="14"/>
      <c r="CDU4" s="14"/>
      <c r="CDV4" s="14"/>
      <c r="CDW4" s="14"/>
      <c r="CDX4" s="14"/>
      <c r="CDY4" s="14"/>
      <c r="CDZ4" s="14"/>
      <c r="CEA4" s="14"/>
      <c r="CEB4" s="14"/>
      <c r="CEC4" s="14"/>
      <c r="CED4" s="14"/>
      <c r="CEE4" s="14"/>
      <c r="CEF4" s="14"/>
      <c r="CEG4" s="14"/>
      <c r="CEH4" s="14"/>
      <c r="CEI4" s="14"/>
      <c r="CEJ4" s="14"/>
      <c r="CEK4" s="14"/>
      <c r="CEL4" s="14"/>
      <c r="CEM4" s="14"/>
      <c r="CEN4" s="14"/>
      <c r="CEO4" s="14"/>
      <c r="CEP4" s="14"/>
      <c r="CEQ4" s="14"/>
      <c r="CER4" s="14"/>
      <c r="CES4" s="14"/>
      <c r="CET4" s="14"/>
      <c r="CEU4" s="14"/>
      <c r="CEV4" s="14"/>
      <c r="CEW4" s="14"/>
      <c r="CEX4" s="14"/>
      <c r="CEY4" s="14"/>
      <c r="CEZ4" s="14"/>
      <c r="CFA4" s="14"/>
      <c r="CFB4" s="14"/>
      <c r="CFC4" s="14"/>
      <c r="CFD4" s="14"/>
      <c r="CFE4" s="14"/>
      <c r="CFF4" s="14"/>
      <c r="CFG4" s="14"/>
      <c r="CFH4" s="14"/>
      <c r="CFI4" s="14"/>
      <c r="CFJ4" s="14"/>
      <c r="CFK4" s="14"/>
      <c r="CFL4" s="14"/>
      <c r="CFM4" s="14"/>
      <c r="CFN4" s="14"/>
      <c r="CFO4" s="14"/>
      <c r="CFP4" s="14"/>
      <c r="CFQ4" s="14"/>
      <c r="CFR4" s="14"/>
      <c r="CFS4" s="14"/>
      <c r="CFT4" s="14"/>
      <c r="CFU4" s="14"/>
      <c r="CFV4" s="14"/>
      <c r="CFW4" s="14"/>
      <c r="CFX4" s="14"/>
      <c r="CFY4" s="14"/>
      <c r="CFZ4" s="14"/>
      <c r="CGA4" s="14"/>
      <c r="CGB4" s="14"/>
      <c r="CGC4" s="14"/>
      <c r="CGD4" s="14"/>
      <c r="CGE4" s="14"/>
      <c r="CGF4" s="14"/>
      <c r="CGG4" s="14"/>
      <c r="CGH4" s="14"/>
      <c r="CGI4" s="14"/>
      <c r="CGJ4" s="14"/>
      <c r="CGK4" s="14"/>
      <c r="CGL4" s="14"/>
      <c r="CGM4" s="14"/>
      <c r="CGN4" s="14"/>
      <c r="CGO4" s="14"/>
      <c r="CGP4" s="14"/>
      <c r="CGQ4" s="14"/>
      <c r="CGR4" s="14"/>
      <c r="CGS4" s="14"/>
      <c r="CGT4" s="14"/>
      <c r="CGU4" s="14"/>
      <c r="CGV4" s="14"/>
      <c r="CGW4" s="14"/>
      <c r="CGX4" s="14"/>
      <c r="CGY4" s="14"/>
      <c r="CGZ4" s="14"/>
      <c r="CHA4" s="14"/>
      <c r="CHB4" s="14"/>
      <c r="CHC4" s="14"/>
      <c r="CHD4" s="14"/>
      <c r="CHE4" s="14"/>
      <c r="CHF4" s="14"/>
      <c r="CHG4" s="14"/>
      <c r="CHH4" s="14"/>
      <c r="CHI4" s="14"/>
      <c r="CHJ4" s="14"/>
      <c r="CHK4" s="14"/>
      <c r="CHL4" s="14"/>
      <c r="CHM4" s="14"/>
      <c r="CHN4" s="14"/>
      <c r="CHO4" s="14"/>
      <c r="CHP4" s="14"/>
      <c r="CHQ4" s="14"/>
      <c r="CHR4" s="14"/>
      <c r="CHS4" s="14"/>
      <c r="CHT4" s="14"/>
      <c r="CHU4" s="14"/>
      <c r="CHV4" s="14"/>
      <c r="CHW4" s="14"/>
      <c r="CHX4" s="14"/>
      <c r="CHY4" s="14"/>
      <c r="CHZ4" s="14"/>
      <c r="CIA4" s="14"/>
      <c r="CIB4" s="14"/>
      <c r="CIC4" s="14"/>
      <c r="CID4" s="14"/>
      <c r="CIE4" s="14"/>
      <c r="CIF4" s="14"/>
      <c r="CIG4" s="14"/>
      <c r="CIH4" s="14"/>
      <c r="CII4" s="14"/>
      <c r="CIJ4" s="14"/>
      <c r="CIK4" s="14"/>
      <c r="CIL4" s="14"/>
      <c r="CIM4" s="14"/>
      <c r="CIN4" s="14"/>
      <c r="CIO4" s="14"/>
      <c r="CIP4" s="14"/>
      <c r="CIQ4" s="14"/>
      <c r="CIR4" s="14"/>
      <c r="CIS4" s="14"/>
      <c r="CIT4" s="14"/>
      <c r="CIU4" s="14"/>
      <c r="CIV4" s="14"/>
      <c r="CIW4" s="14"/>
      <c r="CIX4" s="14"/>
      <c r="CIY4" s="14"/>
      <c r="CIZ4" s="14"/>
      <c r="CJA4" s="14"/>
      <c r="CJB4" s="14"/>
      <c r="CJC4" s="14"/>
      <c r="CJD4" s="14"/>
      <c r="CJE4" s="14"/>
      <c r="CJF4" s="14"/>
      <c r="CJG4" s="14"/>
      <c r="CJH4" s="14"/>
      <c r="CJI4" s="14"/>
      <c r="CJJ4" s="14"/>
      <c r="CJK4" s="14"/>
      <c r="CJL4" s="14"/>
      <c r="CJM4" s="14"/>
      <c r="CJN4" s="14"/>
      <c r="CJO4" s="14"/>
      <c r="CJP4" s="14"/>
      <c r="CJQ4" s="14"/>
      <c r="CJR4" s="14"/>
      <c r="CJS4" s="14"/>
      <c r="CJT4" s="14"/>
      <c r="CJU4" s="14"/>
      <c r="CJV4" s="14"/>
      <c r="CJW4" s="14"/>
      <c r="CJX4" s="14"/>
      <c r="CJY4" s="14"/>
      <c r="CJZ4" s="14"/>
      <c r="CKA4" s="14"/>
      <c r="CKB4" s="14"/>
      <c r="CKC4" s="14"/>
      <c r="CKD4" s="14"/>
      <c r="CKE4" s="14"/>
      <c r="CKF4" s="14"/>
      <c r="CKG4" s="14"/>
      <c r="CKH4" s="14"/>
      <c r="CKI4" s="14"/>
      <c r="CKJ4" s="14"/>
      <c r="CKK4" s="14"/>
      <c r="CKL4" s="14"/>
      <c r="CKM4" s="14"/>
      <c r="CKN4" s="14"/>
      <c r="CKO4" s="14"/>
      <c r="CKP4" s="14"/>
      <c r="CKQ4" s="14"/>
      <c r="CKR4" s="14"/>
      <c r="CKS4" s="14"/>
      <c r="CKT4" s="14"/>
      <c r="CKU4" s="14"/>
      <c r="CKV4" s="14"/>
      <c r="CKW4" s="14"/>
      <c r="CKX4" s="14"/>
      <c r="CKY4" s="14"/>
      <c r="CKZ4" s="14"/>
      <c r="CLA4" s="14"/>
      <c r="CLB4" s="14"/>
      <c r="CLC4" s="14"/>
      <c r="CLD4" s="14"/>
      <c r="CLE4" s="14"/>
      <c r="CLF4" s="14"/>
      <c r="CLG4" s="14"/>
      <c r="CLH4" s="14"/>
      <c r="CLI4" s="14"/>
      <c r="CLJ4" s="14"/>
      <c r="CLK4" s="14"/>
      <c r="CLL4" s="14"/>
      <c r="CLM4" s="14"/>
      <c r="CLN4" s="14"/>
      <c r="CLO4" s="14"/>
      <c r="CLP4" s="14"/>
      <c r="CLQ4" s="14"/>
      <c r="CLR4" s="14"/>
      <c r="CLS4" s="14"/>
      <c r="CLT4" s="14"/>
      <c r="CLU4" s="14"/>
      <c r="CLV4" s="14"/>
      <c r="CLW4" s="14"/>
      <c r="CLX4" s="14"/>
      <c r="CLY4" s="14"/>
      <c r="CLZ4" s="14"/>
      <c r="CMA4" s="14"/>
      <c r="CMB4" s="14"/>
      <c r="CMC4" s="14"/>
      <c r="CMD4" s="14"/>
      <c r="CME4" s="14"/>
      <c r="CMF4" s="14"/>
      <c r="CMG4" s="14"/>
      <c r="CMH4" s="14"/>
      <c r="CMI4" s="14"/>
      <c r="CMJ4" s="14"/>
      <c r="CMK4" s="14"/>
      <c r="CML4" s="14"/>
      <c r="CMM4" s="14"/>
      <c r="CMN4" s="14"/>
      <c r="CMO4" s="14"/>
      <c r="CMP4" s="14"/>
      <c r="CMQ4" s="14"/>
      <c r="CMR4" s="14"/>
      <c r="CMS4" s="14"/>
      <c r="CMT4" s="14"/>
      <c r="CMU4" s="14"/>
      <c r="CMV4" s="14"/>
      <c r="CMW4" s="14"/>
      <c r="CMX4" s="14"/>
      <c r="CMY4" s="14"/>
      <c r="CMZ4" s="14"/>
      <c r="CNA4" s="14"/>
      <c r="CNB4" s="14"/>
      <c r="CNC4" s="14"/>
      <c r="CND4" s="14"/>
      <c r="CNE4" s="14"/>
      <c r="CNF4" s="14"/>
      <c r="CNG4" s="14"/>
      <c r="CNH4" s="14"/>
      <c r="CNI4" s="14"/>
      <c r="CNJ4" s="14"/>
      <c r="CNK4" s="14"/>
      <c r="CNL4" s="14"/>
      <c r="CNM4" s="14"/>
      <c r="CNN4" s="14"/>
      <c r="CNO4" s="14"/>
      <c r="CNP4" s="14"/>
      <c r="CNQ4" s="14"/>
      <c r="CNR4" s="14"/>
      <c r="CNS4" s="14"/>
      <c r="CNT4" s="14"/>
      <c r="CNU4" s="14"/>
      <c r="CNV4" s="14"/>
      <c r="CNW4" s="14"/>
      <c r="CNX4" s="14"/>
      <c r="CNY4" s="14"/>
      <c r="CNZ4" s="14"/>
      <c r="COA4" s="14"/>
      <c r="COB4" s="14"/>
      <c r="COC4" s="14"/>
      <c r="COD4" s="14"/>
      <c r="COE4" s="14"/>
      <c r="COF4" s="14"/>
      <c r="COG4" s="14"/>
      <c r="COH4" s="14"/>
      <c r="COI4" s="14"/>
      <c r="COJ4" s="14"/>
      <c r="COK4" s="14"/>
      <c r="COL4" s="14"/>
      <c r="COM4" s="14"/>
      <c r="CON4" s="14"/>
      <c r="COO4" s="14"/>
      <c r="COP4" s="14"/>
      <c r="COQ4" s="14"/>
      <c r="COR4" s="14"/>
      <c r="COS4" s="14"/>
      <c r="COT4" s="14"/>
      <c r="COU4" s="14"/>
      <c r="COV4" s="14"/>
      <c r="COW4" s="14"/>
      <c r="COX4" s="14"/>
      <c r="COY4" s="14"/>
      <c r="COZ4" s="14"/>
      <c r="CPA4" s="14"/>
      <c r="CPB4" s="14"/>
      <c r="CPC4" s="14"/>
      <c r="CPD4" s="14"/>
      <c r="CPE4" s="14"/>
      <c r="CPF4" s="14"/>
      <c r="CPG4" s="14"/>
      <c r="CPH4" s="14"/>
      <c r="CPI4" s="14"/>
      <c r="CPJ4" s="14"/>
      <c r="CPK4" s="14"/>
      <c r="CPL4" s="14"/>
      <c r="CPM4" s="14"/>
      <c r="CPN4" s="14"/>
      <c r="CPO4" s="14"/>
      <c r="CPP4" s="14"/>
      <c r="CPQ4" s="14"/>
      <c r="CPR4" s="14"/>
      <c r="CPS4" s="14"/>
      <c r="CPT4" s="14"/>
      <c r="CPU4" s="14"/>
      <c r="CPV4" s="14"/>
      <c r="CPW4" s="14"/>
      <c r="CPX4" s="14"/>
      <c r="CPY4" s="14"/>
      <c r="CPZ4" s="14"/>
      <c r="CQA4" s="14"/>
      <c r="CQB4" s="14"/>
      <c r="CQC4" s="14"/>
      <c r="CQD4" s="14"/>
      <c r="CQE4" s="14"/>
      <c r="CQF4" s="14"/>
      <c r="CQG4" s="14"/>
      <c r="CQH4" s="14"/>
      <c r="CQI4" s="14"/>
      <c r="CQJ4" s="14"/>
      <c r="CQK4" s="14"/>
      <c r="CQL4" s="14"/>
      <c r="CQM4" s="14"/>
      <c r="CQN4" s="14"/>
      <c r="CQO4" s="14"/>
      <c r="CQP4" s="14"/>
      <c r="CQQ4" s="14"/>
      <c r="CQR4" s="14"/>
      <c r="CQS4" s="14"/>
      <c r="CQT4" s="14"/>
      <c r="CQU4" s="14"/>
      <c r="CQV4" s="14"/>
      <c r="CQW4" s="14"/>
      <c r="CQX4" s="14"/>
      <c r="CQY4" s="14"/>
      <c r="CQZ4" s="14"/>
      <c r="CRA4" s="14"/>
      <c r="CRB4" s="14"/>
      <c r="CRC4" s="14"/>
      <c r="CRD4" s="14"/>
      <c r="CRE4" s="14"/>
      <c r="CRF4" s="14"/>
      <c r="CRG4" s="14"/>
      <c r="CRH4" s="14"/>
      <c r="CRI4" s="14"/>
      <c r="CRJ4" s="14"/>
      <c r="CRK4" s="14"/>
      <c r="CRL4" s="14"/>
      <c r="CRM4" s="14"/>
      <c r="CRN4" s="14"/>
      <c r="CRO4" s="14"/>
      <c r="CRP4" s="14"/>
      <c r="CRQ4" s="14"/>
      <c r="CRR4" s="14"/>
      <c r="CRS4" s="14"/>
      <c r="CRT4" s="14"/>
      <c r="CRU4" s="14"/>
      <c r="CRV4" s="14"/>
      <c r="CRW4" s="14"/>
      <c r="CRX4" s="14"/>
      <c r="CRY4" s="14"/>
      <c r="CRZ4" s="14"/>
      <c r="CSA4" s="14"/>
      <c r="CSB4" s="14"/>
      <c r="CSC4" s="14"/>
      <c r="CSD4" s="14"/>
      <c r="CSE4" s="14"/>
      <c r="CSF4" s="14"/>
      <c r="CSG4" s="14"/>
      <c r="CSH4" s="14"/>
      <c r="CSI4" s="14"/>
      <c r="CSJ4" s="14"/>
      <c r="CSK4" s="14"/>
      <c r="CSL4" s="14"/>
      <c r="CSM4" s="14"/>
      <c r="CSN4" s="14"/>
      <c r="CSO4" s="14"/>
      <c r="CSP4" s="14"/>
      <c r="CSQ4" s="14"/>
      <c r="CSR4" s="14"/>
      <c r="CSS4" s="14"/>
      <c r="CST4" s="14"/>
      <c r="CSU4" s="14"/>
      <c r="CSV4" s="14"/>
      <c r="CSW4" s="14"/>
      <c r="CSX4" s="14"/>
      <c r="CSY4" s="14"/>
      <c r="CSZ4" s="14"/>
      <c r="CTA4" s="14"/>
      <c r="CTB4" s="14"/>
      <c r="CTC4" s="14"/>
      <c r="CTD4" s="14"/>
      <c r="CTE4" s="14"/>
      <c r="CTF4" s="14"/>
      <c r="CTG4" s="14"/>
      <c r="CTH4" s="14"/>
      <c r="CTI4" s="14"/>
      <c r="CTJ4" s="14"/>
      <c r="CTK4" s="14"/>
      <c r="CTL4" s="14"/>
      <c r="CTM4" s="14"/>
      <c r="CTN4" s="14"/>
      <c r="CTO4" s="14"/>
      <c r="CTP4" s="14"/>
      <c r="CTQ4" s="14"/>
      <c r="CTR4" s="14"/>
      <c r="CTS4" s="14"/>
      <c r="CTT4" s="14"/>
      <c r="CTU4" s="14"/>
      <c r="CTV4" s="14"/>
      <c r="CTW4" s="14"/>
      <c r="CTX4" s="14"/>
      <c r="CTY4" s="14"/>
      <c r="CTZ4" s="14"/>
      <c r="CUA4" s="14"/>
      <c r="CUB4" s="14"/>
      <c r="CUC4" s="14"/>
      <c r="CUD4" s="14"/>
      <c r="CUE4" s="14"/>
      <c r="CUF4" s="14"/>
      <c r="CUG4" s="14"/>
      <c r="CUH4" s="14"/>
      <c r="CUI4" s="14"/>
      <c r="CUJ4" s="14"/>
      <c r="CUK4" s="14"/>
      <c r="CUL4" s="14"/>
      <c r="CUM4" s="14"/>
      <c r="CUN4" s="14"/>
      <c r="CUO4" s="14"/>
      <c r="CUP4" s="14"/>
      <c r="CUQ4" s="14"/>
      <c r="CUR4" s="14"/>
      <c r="CUS4" s="14"/>
      <c r="CUT4" s="14"/>
      <c r="CUU4" s="14"/>
      <c r="CUV4" s="14"/>
      <c r="CUW4" s="14"/>
      <c r="CUX4" s="14"/>
      <c r="CUY4" s="14"/>
      <c r="CUZ4" s="14"/>
      <c r="CVA4" s="14"/>
      <c r="CVB4" s="14"/>
      <c r="CVC4" s="14"/>
      <c r="CVD4" s="14"/>
      <c r="CVE4" s="14"/>
      <c r="CVF4" s="14"/>
      <c r="CVG4" s="14"/>
      <c r="CVH4" s="14"/>
      <c r="CVI4" s="14"/>
      <c r="CVJ4" s="14"/>
      <c r="CVK4" s="14"/>
      <c r="CVL4" s="14"/>
      <c r="CVM4" s="14"/>
      <c r="CVN4" s="14"/>
      <c r="CVO4" s="14"/>
      <c r="CVP4" s="14"/>
      <c r="CVQ4" s="14"/>
      <c r="CVR4" s="14"/>
      <c r="CVS4" s="14"/>
      <c r="CVT4" s="14"/>
      <c r="CVU4" s="14"/>
      <c r="CVV4" s="14"/>
      <c r="CVW4" s="14"/>
      <c r="CVX4" s="14"/>
      <c r="CVY4" s="14"/>
      <c r="CVZ4" s="14"/>
      <c r="CWA4" s="14"/>
      <c r="CWB4" s="14"/>
      <c r="CWC4" s="14"/>
      <c r="CWD4" s="14"/>
      <c r="CWE4" s="14"/>
      <c r="CWF4" s="14"/>
      <c r="CWG4" s="14"/>
      <c r="CWH4" s="14"/>
      <c r="CWI4" s="14"/>
      <c r="CWJ4" s="14"/>
      <c r="CWK4" s="14"/>
      <c r="CWL4" s="14"/>
      <c r="CWM4" s="14"/>
      <c r="CWN4" s="14"/>
      <c r="CWO4" s="14"/>
      <c r="CWP4" s="14"/>
      <c r="CWQ4" s="14"/>
      <c r="CWR4" s="14"/>
      <c r="CWS4" s="14"/>
      <c r="CWT4" s="14"/>
      <c r="CWU4" s="14"/>
      <c r="CWV4" s="14"/>
      <c r="CWW4" s="14"/>
      <c r="CWX4" s="14"/>
      <c r="CWY4" s="14"/>
      <c r="CWZ4" s="14"/>
      <c r="CXA4" s="14"/>
      <c r="CXB4" s="14"/>
      <c r="CXC4" s="14"/>
      <c r="CXD4" s="14"/>
      <c r="CXE4" s="14"/>
      <c r="CXF4" s="14"/>
      <c r="CXG4" s="14"/>
      <c r="CXH4" s="14"/>
      <c r="CXI4" s="14"/>
      <c r="CXJ4" s="14"/>
      <c r="CXK4" s="14"/>
      <c r="CXL4" s="14"/>
      <c r="CXM4" s="14"/>
      <c r="CXN4" s="14"/>
      <c r="CXO4" s="14"/>
      <c r="CXP4" s="14"/>
      <c r="CXQ4" s="14"/>
      <c r="CXR4" s="14"/>
      <c r="CXS4" s="14"/>
      <c r="CXT4" s="14"/>
      <c r="CXU4" s="14"/>
      <c r="CXV4" s="14"/>
      <c r="CXW4" s="14"/>
      <c r="CXX4" s="14"/>
      <c r="CXY4" s="14"/>
      <c r="CXZ4" s="14"/>
      <c r="CYA4" s="14"/>
      <c r="CYB4" s="14"/>
      <c r="CYC4" s="14"/>
      <c r="CYD4" s="14"/>
      <c r="CYE4" s="14"/>
      <c r="CYF4" s="14"/>
      <c r="CYG4" s="14"/>
      <c r="CYH4" s="14"/>
      <c r="CYI4" s="14"/>
      <c r="CYJ4" s="14"/>
      <c r="CYK4" s="14"/>
      <c r="CYL4" s="14"/>
      <c r="CYM4" s="14"/>
      <c r="CYN4" s="14"/>
      <c r="CYO4" s="14"/>
      <c r="CYP4" s="14"/>
      <c r="CYQ4" s="14"/>
      <c r="CYR4" s="14"/>
      <c r="CYS4" s="14"/>
      <c r="CYT4" s="14"/>
      <c r="CYU4" s="14"/>
      <c r="CYV4" s="14"/>
      <c r="CYW4" s="14"/>
      <c r="CYX4" s="14"/>
      <c r="CYY4" s="14"/>
      <c r="CYZ4" s="14"/>
      <c r="CZA4" s="14"/>
      <c r="CZB4" s="14"/>
      <c r="CZC4" s="14"/>
      <c r="CZD4" s="14"/>
      <c r="CZE4" s="14"/>
      <c r="CZF4" s="14"/>
      <c r="CZG4" s="14"/>
      <c r="CZH4" s="14"/>
      <c r="CZI4" s="14"/>
      <c r="CZJ4" s="14"/>
      <c r="CZK4" s="14"/>
      <c r="CZL4" s="14"/>
      <c r="CZM4" s="14"/>
      <c r="CZN4" s="14"/>
      <c r="CZO4" s="14"/>
      <c r="CZP4" s="14"/>
      <c r="CZQ4" s="14"/>
      <c r="CZR4" s="14"/>
      <c r="CZS4" s="14"/>
      <c r="CZT4" s="14"/>
      <c r="CZU4" s="14"/>
      <c r="CZV4" s="14"/>
      <c r="CZW4" s="14"/>
      <c r="CZX4" s="14"/>
      <c r="CZY4" s="14"/>
      <c r="CZZ4" s="14"/>
      <c r="DAA4" s="14"/>
      <c r="DAB4" s="14"/>
      <c r="DAC4" s="14"/>
      <c r="DAD4" s="14"/>
      <c r="DAE4" s="14"/>
      <c r="DAF4" s="14"/>
      <c r="DAG4" s="14"/>
      <c r="DAH4" s="14"/>
      <c r="DAI4" s="14"/>
      <c r="DAJ4" s="14"/>
      <c r="DAK4" s="14"/>
      <c r="DAL4" s="14"/>
      <c r="DAM4" s="14"/>
      <c r="DAN4" s="14"/>
      <c r="DAO4" s="14"/>
      <c r="DAP4" s="14"/>
      <c r="DAQ4" s="14"/>
      <c r="DAR4" s="14"/>
      <c r="DAS4" s="14"/>
      <c r="DAT4" s="14"/>
      <c r="DAU4" s="14"/>
      <c r="DAV4" s="14"/>
      <c r="DAW4" s="14"/>
      <c r="DAX4" s="14"/>
      <c r="DAY4" s="14"/>
      <c r="DAZ4" s="14"/>
      <c r="DBA4" s="14"/>
      <c r="DBB4" s="14"/>
      <c r="DBC4" s="14"/>
      <c r="DBD4" s="14"/>
      <c r="DBE4" s="14"/>
      <c r="DBF4" s="14"/>
      <c r="DBG4" s="14"/>
      <c r="DBH4" s="14"/>
      <c r="DBI4" s="14"/>
      <c r="DBJ4" s="14"/>
      <c r="DBK4" s="14"/>
      <c r="DBL4" s="14"/>
      <c r="DBM4" s="14"/>
      <c r="DBN4" s="14"/>
      <c r="DBO4" s="14"/>
      <c r="DBP4" s="14"/>
      <c r="DBQ4" s="14"/>
      <c r="DBR4" s="14"/>
      <c r="DBS4" s="14"/>
      <c r="DBT4" s="14"/>
      <c r="DBU4" s="14"/>
      <c r="DBV4" s="14"/>
      <c r="DBW4" s="14"/>
      <c r="DBX4" s="14"/>
      <c r="DBY4" s="14"/>
      <c r="DBZ4" s="14"/>
      <c r="DCA4" s="14"/>
      <c r="DCB4" s="14"/>
      <c r="DCC4" s="14"/>
      <c r="DCD4" s="14"/>
      <c r="DCE4" s="14"/>
      <c r="DCF4" s="14"/>
      <c r="DCG4" s="14"/>
      <c r="DCH4" s="14"/>
      <c r="DCI4" s="14"/>
      <c r="DCJ4" s="14"/>
      <c r="DCK4" s="14"/>
      <c r="DCL4" s="14"/>
      <c r="DCM4" s="14"/>
      <c r="DCN4" s="14"/>
      <c r="DCO4" s="14"/>
      <c r="DCP4" s="14"/>
      <c r="DCQ4" s="14"/>
      <c r="DCR4" s="14"/>
      <c r="DCS4" s="14"/>
      <c r="DCT4" s="14"/>
      <c r="DCU4" s="14"/>
      <c r="DCV4" s="14"/>
      <c r="DCW4" s="14"/>
      <c r="DCX4" s="14"/>
      <c r="DCY4" s="14"/>
      <c r="DCZ4" s="14"/>
      <c r="DDA4" s="14"/>
      <c r="DDB4" s="14"/>
      <c r="DDC4" s="14"/>
      <c r="DDD4" s="14"/>
      <c r="DDE4" s="14"/>
      <c r="DDF4" s="14"/>
      <c r="DDG4" s="14"/>
      <c r="DDH4" s="14"/>
      <c r="DDI4" s="14"/>
      <c r="DDJ4" s="14"/>
      <c r="DDK4" s="14"/>
      <c r="DDL4" s="14"/>
      <c r="DDM4" s="14"/>
      <c r="DDN4" s="14"/>
      <c r="DDO4" s="14"/>
      <c r="DDP4" s="14"/>
      <c r="DDQ4" s="14"/>
      <c r="DDR4" s="14"/>
      <c r="DDS4" s="14"/>
      <c r="DDT4" s="14"/>
      <c r="DDU4" s="14"/>
      <c r="DDV4" s="14"/>
      <c r="DDW4" s="14"/>
      <c r="DDX4" s="14"/>
      <c r="DDY4" s="14"/>
      <c r="DDZ4" s="14"/>
      <c r="DEA4" s="14"/>
      <c r="DEB4" s="14"/>
      <c r="DEC4" s="14"/>
      <c r="DED4" s="14"/>
      <c r="DEE4" s="14"/>
      <c r="DEF4" s="14"/>
      <c r="DEG4" s="14"/>
      <c r="DEH4" s="14"/>
      <c r="DEI4" s="14"/>
      <c r="DEJ4" s="14"/>
      <c r="DEK4" s="14"/>
      <c r="DEL4" s="14"/>
      <c r="DEM4" s="14"/>
      <c r="DEN4" s="14"/>
      <c r="DEO4" s="14"/>
      <c r="DEP4" s="14"/>
      <c r="DEQ4" s="14"/>
      <c r="DER4" s="14"/>
      <c r="DES4" s="14"/>
      <c r="DET4" s="14"/>
      <c r="DEU4" s="14"/>
      <c r="DEV4" s="14"/>
      <c r="DEW4" s="14"/>
      <c r="DEX4" s="14"/>
      <c r="DEY4" s="14"/>
      <c r="DEZ4" s="14"/>
      <c r="DFA4" s="14"/>
      <c r="DFB4" s="14"/>
      <c r="DFC4" s="14"/>
      <c r="DFD4" s="14"/>
      <c r="DFE4" s="14"/>
      <c r="DFF4" s="14"/>
      <c r="DFG4" s="14"/>
      <c r="DFH4" s="14"/>
      <c r="DFI4" s="14"/>
      <c r="DFJ4" s="14"/>
      <c r="DFK4" s="14"/>
      <c r="DFL4" s="14"/>
      <c r="DFM4" s="14"/>
      <c r="DFN4" s="14"/>
      <c r="DFO4" s="14"/>
      <c r="DFP4" s="14"/>
      <c r="DFQ4" s="14"/>
      <c r="DFR4" s="14"/>
      <c r="DFS4" s="14"/>
      <c r="DFT4" s="14"/>
      <c r="DFU4" s="14"/>
      <c r="DFV4" s="14"/>
      <c r="DFW4" s="14"/>
      <c r="DFX4" s="14"/>
      <c r="DFY4" s="14"/>
      <c r="DFZ4" s="14"/>
      <c r="DGA4" s="14"/>
      <c r="DGB4" s="14"/>
      <c r="DGC4" s="14"/>
      <c r="DGD4" s="14"/>
      <c r="DGE4" s="14"/>
      <c r="DGF4" s="14"/>
      <c r="DGG4" s="14"/>
      <c r="DGH4" s="14"/>
      <c r="DGI4" s="14"/>
      <c r="DGJ4" s="14"/>
      <c r="DGK4" s="14"/>
      <c r="DGL4" s="14"/>
      <c r="DGM4" s="14"/>
      <c r="DGN4" s="14"/>
      <c r="DGO4" s="14"/>
      <c r="DGP4" s="14"/>
      <c r="DGQ4" s="14"/>
      <c r="DGR4" s="14"/>
      <c r="DGS4" s="14"/>
      <c r="DGT4" s="14"/>
      <c r="DGU4" s="14"/>
      <c r="DGV4" s="14"/>
      <c r="DGW4" s="14"/>
      <c r="DGX4" s="14"/>
      <c r="DGY4" s="14"/>
      <c r="DGZ4" s="14"/>
      <c r="DHA4" s="14"/>
      <c r="DHB4" s="14"/>
      <c r="DHC4" s="14"/>
      <c r="DHD4" s="14"/>
      <c r="DHE4" s="14"/>
      <c r="DHF4" s="14"/>
      <c r="DHG4" s="14"/>
      <c r="DHH4" s="14"/>
      <c r="DHI4" s="14"/>
      <c r="DHJ4" s="14"/>
      <c r="DHK4" s="14"/>
      <c r="DHL4" s="14"/>
      <c r="DHM4" s="14"/>
      <c r="DHN4" s="14"/>
      <c r="DHO4" s="14"/>
      <c r="DHP4" s="14"/>
      <c r="DHQ4" s="14"/>
      <c r="DHR4" s="14"/>
      <c r="DHS4" s="14"/>
      <c r="DHT4" s="14"/>
      <c r="DHU4" s="14"/>
      <c r="DHV4" s="14"/>
      <c r="DHW4" s="14"/>
      <c r="DHX4" s="14"/>
      <c r="DHY4" s="14"/>
      <c r="DHZ4" s="14"/>
      <c r="DIA4" s="14"/>
      <c r="DIB4" s="14"/>
      <c r="DIC4" s="14"/>
      <c r="DID4" s="14"/>
      <c r="DIE4" s="14"/>
      <c r="DIF4" s="14"/>
      <c r="DIG4" s="14"/>
      <c r="DIH4" s="14"/>
      <c r="DII4" s="14"/>
      <c r="DIJ4" s="14"/>
      <c r="DIK4" s="14"/>
      <c r="DIL4" s="14"/>
      <c r="DIM4" s="14"/>
      <c r="DIN4" s="14"/>
      <c r="DIO4" s="14"/>
      <c r="DIP4" s="14"/>
      <c r="DIQ4" s="14"/>
      <c r="DIR4" s="14"/>
      <c r="DIS4" s="14"/>
      <c r="DIT4" s="14"/>
      <c r="DIU4" s="14"/>
      <c r="DIV4" s="14"/>
      <c r="DIW4" s="14"/>
      <c r="DIX4" s="14"/>
      <c r="DIY4" s="14"/>
      <c r="DIZ4" s="14"/>
      <c r="DJA4" s="14"/>
      <c r="DJB4" s="14"/>
      <c r="DJC4" s="14"/>
      <c r="DJD4" s="14"/>
      <c r="DJE4" s="14"/>
      <c r="DJF4" s="14"/>
      <c r="DJG4" s="14"/>
      <c r="DJH4" s="14"/>
      <c r="DJI4" s="14"/>
      <c r="DJJ4" s="14"/>
      <c r="DJK4" s="14"/>
      <c r="DJL4" s="14"/>
      <c r="DJM4" s="14"/>
      <c r="DJN4" s="14"/>
      <c r="DJO4" s="14"/>
      <c r="DJP4" s="14"/>
      <c r="DJQ4" s="14"/>
      <c r="DJR4" s="14"/>
      <c r="DJS4" s="14"/>
      <c r="DJT4" s="14"/>
      <c r="DJU4" s="14"/>
      <c r="DJV4" s="14"/>
      <c r="DJW4" s="14"/>
      <c r="DJX4" s="14"/>
      <c r="DJY4" s="14"/>
      <c r="DJZ4" s="14"/>
      <c r="DKA4" s="14"/>
      <c r="DKB4" s="14"/>
      <c r="DKC4" s="14"/>
      <c r="DKD4" s="14"/>
      <c r="DKE4" s="14"/>
      <c r="DKF4" s="14"/>
      <c r="DKG4" s="14"/>
      <c r="DKH4" s="14"/>
      <c r="DKI4" s="14"/>
      <c r="DKJ4" s="14"/>
      <c r="DKK4" s="14"/>
      <c r="DKL4" s="14"/>
      <c r="DKM4" s="14"/>
      <c r="DKN4" s="14"/>
      <c r="DKO4" s="14"/>
      <c r="DKP4" s="14"/>
      <c r="DKQ4" s="14"/>
      <c r="DKR4" s="14"/>
      <c r="DKS4" s="14"/>
      <c r="DKT4" s="14"/>
      <c r="DKU4" s="14"/>
      <c r="DKV4" s="14"/>
      <c r="DKW4" s="14"/>
      <c r="DKX4" s="14"/>
      <c r="DKY4" s="14"/>
      <c r="DKZ4" s="14"/>
      <c r="DLA4" s="14"/>
      <c r="DLB4" s="14"/>
      <c r="DLC4" s="14"/>
      <c r="DLD4" s="14"/>
      <c r="DLE4" s="14"/>
      <c r="DLF4" s="14"/>
      <c r="DLG4" s="14"/>
      <c r="DLH4" s="14"/>
      <c r="DLI4" s="14"/>
      <c r="DLJ4" s="14"/>
      <c r="DLK4" s="14"/>
      <c r="DLL4" s="14"/>
      <c r="DLM4" s="14"/>
      <c r="DLN4" s="14"/>
      <c r="DLO4" s="14"/>
      <c r="DLP4" s="14"/>
      <c r="DLQ4" s="14"/>
      <c r="DLR4" s="14"/>
      <c r="DLS4" s="14"/>
      <c r="DLT4" s="14"/>
      <c r="DLU4" s="14"/>
      <c r="DLV4" s="14"/>
      <c r="DLW4" s="14"/>
      <c r="DLX4" s="14"/>
      <c r="DLY4" s="14"/>
      <c r="DLZ4" s="14"/>
      <c r="DMA4" s="14"/>
      <c r="DMB4" s="14"/>
      <c r="DMC4" s="14"/>
      <c r="DMD4" s="14"/>
      <c r="DME4" s="14"/>
      <c r="DMF4" s="14"/>
      <c r="DMG4" s="14"/>
      <c r="DMH4" s="14"/>
      <c r="DMI4" s="14"/>
      <c r="DMJ4" s="14"/>
      <c r="DMK4" s="14"/>
      <c r="DML4" s="14"/>
      <c r="DMM4" s="14"/>
      <c r="DMN4" s="14"/>
      <c r="DMO4" s="14"/>
      <c r="DMP4" s="14"/>
      <c r="DMQ4" s="14"/>
      <c r="DMR4" s="14"/>
      <c r="DMS4" s="14"/>
      <c r="DMT4" s="14"/>
      <c r="DMU4" s="14"/>
      <c r="DMV4" s="14"/>
      <c r="DMW4" s="14"/>
      <c r="DMX4" s="14"/>
      <c r="DMY4" s="14"/>
      <c r="DMZ4" s="14"/>
      <c r="DNA4" s="14"/>
      <c r="DNB4" s="14"/>
      <c r="DNC4" s="14"/>
      <c r="DND4" s="14"/>
      <c r="DNE4" s="14"/>
      <c r="DNF4" s="14"/>
      <c r="DNG4" s="14"/>
      <c r="DNH4" s="14"/>
      <c r="DNI4" s="14"/>
      <c r="DNJ4" s="14"/>
      <c r="DNK4" s="14"/>
      <c r="DNL4" s="14"/>
      <c r="DNM4" s="14"/>
      <c r="DNN4" s="14"/>
      <c r="DNO4" s="14"/>
      <c r="DNP4" s="14"/>
      <c r="DNQ4" s="14"/>
      <c r="DNR4" s="14"/>
      <c r="DNS4" s="14"/>
      <c r="DNT4" s="14"/>
      <c r="DNU4" s="14"/>
      <c r="DNV4" s="14"/>
      <c r="DNW4" s="14"/>
      <c r="DNX4" s="14"/>
      <c r="DNY4" s="14"/>
      <c r="DNZ4" s="14"/>
      <c r="DOA4" s="14"/>
      <c r="DOB4" s="14"/>
      <c r="DOC4" s="14"/>
      <c r="DOD4" s="14"/>
      <c r="DOE4" s="14"/>
      <c r="DOF4" s="14"/>
      <c r="DOG4" s="14"/>
      <c r="DOH4" s="14"/>
      <c r="DOI4" s="14"/>
      <c r="DOJ4" s="14"/>
      <c r="DOK4" s="14"/>
      <c r="DOL4" s="14"/>
      <c r="DOM4" s="14"/>
      <c r="DON4" s="14"/>
      <c r="DOO4" s="14"/>
      <c r="DOP4" s="14"/>
      <c r="DOQ4" s="14"/>
      <c r="DOR4" s="14"/>
      <c r="DOS4" s="14"/>
      <c r="DOT4" s="14"/>
      <c r="DOU4" s="14"/>
      <c r="DOV4" s="14"/>
      <c r="DOW4" s="14"/>
      <c r="DOX4" s="14"/>
      <c r="DOY4" s="14"/>
      <c r="DOZ4" s="14"/>
      <c r="DPA4" s="14"/>
      <c r="DPB4" s="14"/>
      <c r="DPC4" s="14"/>
      <c r="DPD4" s="14"/>
      <c r="DPE4" s="14"/>
      <c r="DPF4" s="14"/>
      <c r="DPG4" s="14"/>
      <c r="DPH4" s="14"/>
      <c r="DPI4" s="14"/>
      <c r="DPJ4" s="14"/>
      <c r="DPK4" s="14"/>
      <c r="DPL4" s="14"/>
      <c r="DPM4" s="14"/>
      <c r="DPN4" s="14"/>
      <c r="DPO4" s="14"/>
      <c r="DPP4" s="14"/>
      <c r="DPQ4" s="14"/>
      <c r="DPR4" s="14"/>
      <c r="DPS4" s="14"/>
      <c r="DPT4" s="14"/>
      <c r="DPU4" s="14"/>
      <c r="DPV4" s="14"/>
      <c r="DPW4" s="14"/>
      <c r="DPX4" s="14"/>
      <c r="DPY4" s="14"/>
      <c r="DPZ4" s="14"/>
      <c r="DQA4" s="14"/>
      <c r="DQB4" s="14"/>
      <c r="DQC4" s="14"/>
      <c r="DQD4" s="14"/>
      <c r="DQE4" s="14"/>
      <c r="DQF4" s="14"/>
      <c r="DQG4" s="14"/>
      <c r="DQH4" s="14"/>
      <c r="DQI4" s="14"/>
      <c r="DQJ4" s="14"/>
      <c r="DQK4" s="14"/>
      <c r="DQL4" s="14"/>
      <c r="DQM4" s="14"/>
      <c r="DQN4" s="14"/>
      <c r="DQO4" s="14"/>
      <c r="DQP4" s="14"/>
      <c r="DQQ4" s="14"/>
      <c r="DQR4" s="14"/>
      <c r="DQS4" s="14"/>
      <c r="DQT4" s="14"/>
      <c r="DQU4" s="14"/>
      <c r="DQV4" s="14"/>
      <c r="DQW4" s="14"/>
      <c r="DQX4" s="14"/>
      <c r="DQY4" s="14"/>
      <c r="DQZ4" s="14"/>
      <c r="DRA4" s="14"/>
      <c r="DRB4" s="14"/>
      <c r="DRC4" s="14"/>
      <c r="DRD4" s="14"/>
      <c r="DRE4" s="14"/>
      <c r="DRF4" s="14"/>
      <c r="DRG4" s="14"/>
      <c r="DRH4" s="14"/>
      <c r="DRI4" s="14"/>
      <c r="DRJ4" s="14"/>
      <c r="DRK4" s="14"/>
      <c r="DRL4" s="14"/>
      <c r="DRM4" s="14"/>
      <c r="DRN4" s="14"/>
      <c r="DRO4" s="14"/>
      <c r="DRP4" s="14"/>
      <c r="DRQ4" s="14"/>
      <c r="DRR4" s="14"/>
      <c r="DRS4" s="14"/>
      <c r="DRT4" s="14"/>
      <c r="DRU4" s="14"/>
      <c r="DRV4" s="14"/>
      <c r="DRW4" s="14"/>
      <c r="DRX4" s="14"/>
      <c r="DRY4" s="14"/>
      <c r="DRZ4" s="14"/>
      <c r="DSA4" s="14"/>
      <c r="DSB4" s="14"/>
      <c r="DSC4" s="14"/>
      <c r="DSD4" s="14"/>
      <c r="DSE4" s="14"/>
      <c r="DSF4" s="14"/>
      <c r="DSG4" s="14"/>
      <c r="DSH4" s="14"/>
      <c r="DSI4" s="14"/>
      <c r="DSJ4" s="14"/>
      <c r="DSK4" s="14"/>
      <c r="DSL4" s="14"/>
      <c r="DSM4" s="14"/>
      <c r="DSN4" s="14"/>
      <c r="DSO4" s="14"/>
      <c r="DSP4" s="14"/>
      <c r="DSQ4" s="14"/>
      <c r="DSR4" s="14"/>
      <c r="DSS4" s="14"/>
      <c r="DST4" s="14"/>
      <c r="DSU4" s="14"/>
      <c r="DSV4" s="14"/>
      <c r="DSW4" s="14"/>
      <c r="DSX4" s="14"/>
      <c r="DSY4" s="14"/>
      <c r="DSZ4" s="14"/>
      <c r="DTA4" s="14"/>
      <c r="DTB4" s="14"/>
      <c r="DTC4" s="14"/>
      <c r="DTD4" s="14"/>
      <c r="DTE4" s="14"/>
      <c r="DTF4" s="14"/>
      <c r="DTG4" s="14"/>
      <c r="DTH4" s="14"/>
      <c r="DTI4" s="14"/>
      <c r="DTJ4" s="14"/>
      <c r="DTK4" s="14"/>
      <c r="DTL4" s="14"/>
      <c r="DTM4" s="14"/>
      <c r="DTN4" s="14"/>
      <c r="DTO4" s="14"/>
      <c r="DTP4" s="14"/>
      <c r="DTQ4" s="14"/>
      <c r="DTR4" s="14"/>
      <c r="DTS4" s="14"/>
      <c r="DTT4" s="14"/>
      <c r="DTU4" s="14"/>
      <c r="DTV4" s="14"/>
      <c r="DTW4" s="14"/>
      <c r="DTX4" s="14"/>
      <c r="DTY4" s="14"/>
      <c r="DTZ4" s="14"/>
      <c r="DUA4" s="14"/>
      <c r="DUB4" s="14"/>
      <c r="DUC4" s="14"/>
      <c r="DUD4" s="14"/>
      <c r="DUE4" s="14"/>
      <c r="DUF4" s="14"/>
      <c r="DUG4" s="14"/>
      <c r="DUH4" s="14"/>
      <c r="DUI4" s="14"/>
      <c r="DUJ4" s="14"/>
      <c r="DUK4" s="14"/>
      <c r="DUL4" s="14"/>
      <c r="DUM4" s="14"/>
      <c r="DUN4" s="14"/>
      <c r="DUO4" s="14"/>
      <c r="DUP4" s="14"/>
      <c r="DUQ4" s="14"/>
      <c r="DUR4" s="14"/>
      <c r="DUS4" s="14"/>
      <c r="DUT4" s="14"/>
      <c r="DUU4" s="14"/>
      <c r="DUV4" s="14"/>
      <c r="DUW4" s="14"/>
      <c r="DUX4" s="14"/>
      <c r="DUY4" s="14"/>
      <c r="DUZ4" s="14"/>
      <c r="DVA4" s="14"/>
      <c r="DVB4" s="14"/>
      <c r="DVC4" s="14"/>
      <c r="DVD4" s="14"/>
      <c r="DVE4" s="14"/>
      <c r="DVF4" s="14"/>
      <c r="DVG4" s="14"/>
      <c r="DVH4" s="14"/>
      <c r="DVI4" s="14"/>
      <c r="DVJ4" s="14"/>
      <c r="DVK4" s="14"/>
      <c r="DVL4" s="14"/>
      <c r="DVM4" s="14"/>
      <c r="DVN4" s="14"/>
      <c r="DVO4" s="14"/>
      <c r="DVP4" s="14"/>
      <c r="DVQ4" s="14"/>
      <c r="DVR4" s="14"/>
      <c r="DVS4" s="14"/>
      <c r="DVT4" s="14"/>
      <c r="DVU4" s="14"/>
      <c r="DVV4" s="14"/>
      <c r="DVW4" s="14"/>
      <c r="DVX4" s="14"/>
      <c r="DVY4" s="14"/>
      <c r="DVZ4" s="14"/>
      <c r="DWA4" s="14"/>
      <c r="DWB4" s="14"/>
      <c r="DWC4" s="14"/>
      <c r="DWD4" s="14"/>
      <c r="DWE4" s="14"/>
      <c r="DWF4" s="14"/>
      <c r="DWG4" s="14"/>
      <c r="DWH4" s="14"/>
      <c r="DWI4" s="14"/>
      <c r="DWJ4" s="14"/>
      <c r="DWK4" s="14"/>
      <c r="DWL4" s="14"/>
      <c r="DWM4" s="14"/>
      <c r="DWN4" s="14"/>
      <c r="DWO4" s="14"/>
      <c r="DWP4" s="14"/>
      <c r="DWQ4" s="14"/>
      <c r="DWR4" s="14"/>
      <c r="DWS4" s="14"/>
      <c r="DWT4" s="14"/>
      <c r="DWU4" s="14"/>
      <c r="DWV4" s="14"/>
      <c r="DWW4" s="14"/>
      <c r="DWX4" s="14"/>
      <c r="DWY4" s="14"/>
      <c r="DWZ4" s="14"/>
      <c r="DXA4" s="14"/>
      <c r="DXB4" s="14"/>
      <c r="DXC4" s="14"/>
      <c r="DXD4" s="14"/>
      <c r="DXE4" s="14"/>
      <c r="DXF4" s="14"/>
      <c r="DXG4" s="14"/>
      <c r="DXH4" s="14"/>
      <c r="DXI4" s="14"/>
      <c r="DXJ4" s="14"/>
      <c r="DXK4" s="14"/>
      <c r="DXL4" s="14"/>
      <c r="DXM4" s="14"/>
      <c r="DXN4" s="14"/>
      <c r="DXO4" s="14"/>
      <c r="DXP4" s="14"/>
      <c r="DXQ4" s="14"/>
      <c r="DXR4" s="14"/>
      <c r="DXS4" s="14"/>
      <c r="DXT4" s="14"/>
      <c r="DXU4" s="14"/>
      <c r="DXV4" s="14"/>
      <c r="DXW4" s="14"/>
      <c r="DXX4" s="14"/>
      <c r="DXY4" s="14"/>
      <c r="DXZ4" s="14"/>
      <c r="DYA4" s="14"/>
      <c r="DYB4" s="14"/>
      <c r="DYC4" s="14"/>
      <c r="DYD4" s="14"/>
      <c r="DYE4" s="14"/>
      <c r="DYF4" s="14"/>
      <c r="DYG4" s="14"/>
      <c r="DYH4" s="14"/>
      <c r="DYI4" s="14"/>
      <c r="DYJ4" s="14"/>
      <c r="DYK4" s="14"/>
      <c r="DYL4" s="14"/>
      <c r="DYM4" s="14"/>
      <c r="DYN4" s="14"/>
      <c r="DYO4" s="14"/>
      <c r="DYP4" s="14"/>
      <c r="DYQ4" s="14"/>
      <c r="DYR4" s="14"/>
      <c r="DYS4" s="14"/>
      <c r="DYT4" s="14"/>
      <c r="DYU4" s="14"/>
      <c r="DYV4" s="14"/>
      <c r="DYW4" s="14"/>
      <c r="DYX4" s="14"/>
      <c r="DYY4" s="14"/>
      <c r="DYZ4" s="14"/>
      <c r="DZA4" s="14"/>
      <c r="DZB4" s="14"/>
      <c r="DZC4" s="14"/>
      <c r="DZD4" s="14"/>
      <c r="DZE4" s="14"/>
      <c r="DZF4" s="14"/>
      <c r="DZG4" s="14"/>
      <c r="DZH4" s="14"/>
      <c r="DZI4" s="14"/>
      <c r="DZJ4" s="14"/>
      <c r="DZK4" s="14"/>
      <c r="DZL4" s="14"/>
      <c r="DZM4" s="14"/>
      <c r="DZN4" s="14"/>
      <c r="DZO4" s="14"/>
      <c r="DZP4" s="14"/>
      <c r="DZQ4" s="14"/>
      <c r="DZR4" s="14"/>
      <c r="DZS4" s="14"/>
      <c r="DZT4" s="14"/>
      <c r="DZU4" s="14"/>
      <c r="DZV4" s="14"/>
      <c r="DZW4" s="14"/>
      <c r="DZX4" s="14"/>
      <c r="DZY4" s="14"/>
      <c r="DZZ4" s="14"/>
      <c r="EAA4" s="14"/>
      <c r="EAB4" s="14"/>
      <c r="EAC4" s="14"/>
      <c r="EAD4" s="14"/>
      <c r="EAE4" s="14"/>
      <c r="EAF4" s="14"/>
      <c r="EAG4" s="14"/>
      <c r="EAH4" s="14"/>
      <c r="EAI4" s="14"/>
      <c r="EAJ4" s="14"/>
      <c r="EAK4" s="14"/>
      <c r="EAL4" s="14"/>
      <c r="EAM4" s="14"/>
      <c r="EAN4" s="14"/>
      <c r="EAO4" s="14"/>
      <c r="EAP4" s="14"/>
      <c r="EAQ4" s="14"/>
      <c r="EAR4" s="14"/>
      <c r="EAS4" s="14"/>
      <c r="EAT4" s="14"/>
      <c r="EAU4" s="14"/>
      <c r="EAV4" s="14"/>
      <c r="EAW4" s="14"/>
      <c r="EAX4" s="14"/>
      <c r="EAY4" s="14"/>
      <c r="EAZ4" s="14"/>
      <c r="EBA4" s="14"/>
      <c r="EBB4" s="14"/>
      <c r="EBC4" s="14"/>
      <c r="EBD4" s="14"/>
      <c r="EBE4" s="14"/>
      <c r="EBF4" s="14"/>
      <c r="EBG4" s="14"/>
      <c r="EBH4" s="14"/>
      <c r="EBI4" s="14"/>
      <c r="EBJ4" s="14"/>
      <c r="EBK4" s="14"/>
      <c r="EBL4" s="14"/>
      <c r="EBM4" s="14"/>
      <c r="EBN4" s="14"/>
      <c r="EBO4" s="14"/>
      <c r="EBP4" s="14"/>
      <c r="EBQ4" s="14"/>
      <c r="EBR4" s="14"/>
      <c r="EBS4" s="14"/>
      <c r="EBT4" s="14"/>
      <c r="EBU4" s="14"/>
      <c r="EBV4" s="14"/>
      <c r="EBW4" s="14"/>
      <c r="EBX4" s="14"/>
      <c r="EBY4" s="14"/>
      <c r="EBZ4" s="14"/>
      <c r="ECA4" s="14"/>
      <c r="ECB4" s="14"/>
      <c r="ECC4" s="14"/>
      <c r="ECD4" s="14"/>
      <c r="ECE4" s="14"/>
      <c r="ECF4" s="14"/>
      <c r="ECG4" s="14"/>
      <c r="ECH4" s="14"/>
      <c r="ECI4" s="14"/>
      <c r="ECJ4" s="14"/>
      <c r="ECK4" s="14"/>
      <c r="ECL4" s="14"/>
      <c r="ECM4" s="14"/>
      <c r="ECN4" s="14"/>
      <c r="ECO4" s="14"/>
      <c r="ECP4" s="14"/>
      <c r="ECQ4" s="14"/>
      <c r="ECR4" s="14"/>
      <c r="ECS4" s="14"/>
      <c r="ECT4" s="14"/>
      <c r="ECU4" s="14"/>
      <c r="ECV4" s="14"/>
      <c r="ECW4" s="14"/>
      <c r="ECX4" s="14"/>
      <c r="ECY4" s="14"/>
      <c r="ECZ4" s="14"/>
      <c r="EDA4" s="14"/>
      <c r="EDB4" s="14"/>
      <c r="EDC4" s="14"/>
      <c r="EDD4" s="14"/>
      <c r="EDE4" s="14"/>
      <c r="EDF4" s="14"/>
      <c r="EDG4" s="14"/>
      <c r="EDH4" s="14"/>
      <c r="EDI4" s="14"/>
      <c r="EDJ4" s="14"/>
      <c r="EDK4" s="14"/>
      <c r="EDL4" s="14"/>
      <c r="EDM4" s="14"/>
      <c r="EDN4" s="14"/>
      <c r="EDO4" s="14"/>
      <c r="EDP4" s="14"/>
      <c r="EDQ4" s="14"/>
      <c r="EDR4" s="14"/>
      <c r="EDS4" s="14"/>
      <c r="EDT4" s="14"/>
      <c r="EDU4" s="14"/>
      <c r="EDV4" s="14"/>
      <c r="EDW4" s="14"/>
      <c r="EDX4" s="14"/>
      <c r="EDY4" s="14"/>
      <c r="EDZ4" s="14"/>
      <c r="EEA4" s="14"/>
      <c r="EEB4" s="14"/>
      <c r="EEC4" s="14"/>
      <c r="EED4" s="14"/>
      <c r="EEE4" s="14"/>
      <c r="EEF4" s="14"/>
      <c r="EEG4" s="14"/>
      <c r="EEH4" s="14"/>
      <c r="EEI4" s="14"/>
      <c r="EEJ4" s="14"/>
      <c r="EEK4" s="14"/>
      <c r="EEL4" s="14"/>
      <c r="EEM4" s="14"/>
      <c r="EEN4" s="14"/>
      <c r="EEO4" s="14"/>
      <c r="EEP4" s="14"/>
      <c r="EEQ4" s="14"/>
      <c r="EER4" s="14"/>
      <c r="EES4" s="14"/>
      <c r="EET4" s="14"/>
      <c r="EEU4" s="14"/>
      <c r="EEV4" s="14"/>
      <c r="EEW4" s="14"/>
      <c r="EEX4" s="14"/>
      <c r="EEY4" s="14"/>
      <c r="EEZ4" s="14"/>
      <c r="EFA4" s="14"/>
      <c r="EFB4" s="14"/>
      <c r="EFC4" s="14"/>
      <c r="EFD4" s="14"/>
      <c r="EFE4" s="14"/>
      <c r="EFF4" s="14"/>
      <c r="EFG4" s="14"/>
      <c r="EFH4" s="14"/>
      <c r="EFI4" s="14"/>
      <c r="EFJ4" s="14"/>
      <c r="EFK4" s="14"/>
      <c r="EFL4" s="14"/>
      <c r="EFM4" s="14"/>
      <c r="EFN4" s="14"/>
      <c r="EFO4" s="14"/>
      <c r="EFP4" s="14"/>
      <c r="EFQ4" s="14"/>
      <c r="EFR4" s="14"/>
      <c r="EFS4" s="14"/>
      <c r="EFT4" s="14"/>
      <c r="EFU4" s="14"/>
      <c r="EFV4" s="14"/>
      <c r="EFW4" s="14"/>
      <c r="EFX4" s="14"/>
      <c r="EFY4" s="14"/>
      <c r="EFZ4" s="14"/>
      <c r="EGA4" s="14"/>
      <c r="EGB4" s="14"/>
      <c r="EGC4" s="14"/>
      <c r="EGD4" s="14"/>
      <c r="EGE4" s="14"/>
      <c r="EGF4" s="14"/>
      <c r="EGG4" s="14"/>
      <c r="EGH4" s="14"/>
      <c r="EGI4" s="14"/>
      <c r="EGJ4" s="14"/>
      <c r="EGK4" s="14"/>
      <c r="EGL4" s="14"/>
      <c r="EGM4" s="14"/>
      <c r="EGN4" s="14"/>
      <c r="EGO4" s="14"/>
      <c r="EGP4" s="14"/>
      <c r="EGQ4" s="14"/>
      <c r="EGR4" s="14"/>
      <c r="EGS4" s="14"/>
      <c r="EGT4" s="14"/>
      <c r="EGU4" s="14"/>
      <c r="EGV4" s="14"/>
      <c r="EGW4" s="14"/>
      <c r="EGX4" s="14"/>
      <c r="EGY4" s="14"/>
      <c r="EGZ4" s="14"/>
      <c r="EHA4" s="14"/>
      <c r="EHB4" s="14"/>
      <c r="EHC4" s="14"/>
      <c r="EHD4" s="14"/>
      <c r="EHE4" s="14"/>
      <c r="EHF4" s="14"/>
      <c r="EHG4" s="14"/>
      <c r="EHH4" s="14"/>
      <c r="EHI4" s="14"/>
      <c r="EHJ4" s="14"/>
      <c r="EHK4" s="14"/>
      <c r="EHL4" s="14"/>
      <c r="EHM4" s="14"/>
      <c r="EHN4" s="14"/>
      <c r="EHO4" s="14"/>
      <c r="EHP4" s="14"/>
      <c r="EHQ4" s="14"/>
      <c r="EHR4" s="14"/>
      <c r="EHS4" s="14"/>
      <c r="EHT4" s="14"/>
      <c r="EHU4" s="14"/>
      <c r="EHV4" s="14"/>
      <c r="EHW4" s="14"/>
      <c r="EHX4" s="14"/>
      <c r="EHY4" s="14"/>
      <c r="EHZ4" s="14"/>
      <c r="EIA4" s="14"/>
      <c r="EIB4" s="14"/>
      <c r="EIC4" s="14"/>
      <c r="EID4" s="14"/>
      <c r="EIE4" s="14"/>
      <c r="EIF4" s="14"/>
      <c r="EIG4" s="14"/>
      <c r="EIH4" s="14"/>
      <c r="EII4" s="14"/>
      <c r="EIJ4" s="14"/>
      <c r="EIK4" s="14"/>
      <c r="EIL4" s="14"/>
      <c r="EIM4" s="14"/>
      <c r="EIN4" s="14"/>
      <c r="EIO4" s="14"/>
      <c r="EIP4" s="14"/>
      <c r="EIQ4" s="14"/>
      <c r="EIR4" s="14"/>
      <c r="EIS4" s="14"/>
      <c r="EIT4" s="14"/>
      <c r="EIU4" s="14"/>
      <c r="EIV4" s="14"/>
      <c r="EIW4" s="14"/>
      <c r="EIX4" s="14"/>
      <c r="EIY4" s="14"/>
      <c r="EIZ4" s="14"/>
      <c r="EJA4" s="14"/>
      <c r="EJB4" s="14"/>
      <c r="EJC4" s="14"/>
      <c r="EJD4" s="14"/>
      <c r="EJE4" s="14"/>
      <c r="EJF4" s="14"/>
      <c r="EJG4" s="14"/>
      <c r="EJH4" s="14"/>
      <c r="EJI4" s="14"/>
      <c r="EJJ4" s="14"/>
      <c r="EJK4" s="14"/>
      <c r="EJL4" s="14"/>
      <c r="EJM4" s="14"/>
      <c r="EJN4" s="14"/>
      <c r="EJO4" s="14"/>
      <c r="EJP4" s="14"/>
      <c r="EJQ4" s="14"/>
      <c r="EJR4" s="14"/>
      <c r="EJS4" s="14"/>
      <c r="EJT4" s="14"/>
      <c r="EJU4" s="14"/>
      <c r="EJV4" s="14"/>
      <c r="EJW4" s="14"/>
      <c r="EJX4" s="14"/>
      <c r="EJY4" s="14"/>
      <c r="EJZ4" s="14"/>
      <c r="EKA4" s="14"/>
      <c r="EKB4" s="14"/>
      <c r="EKC4" s="14"/>
      <c r="EKD4" s="14"/>
      <c r="EKE4" s="14"/>
      <c r="EKF4" s="14"/>
      <c r="EKG4" s="14"/>
      <c r="EKH4" s="14"/>
      <c r="EKI4" s="14"/>
      <c r="EKJ4" s="14"/>
      <c r="EKK4" s="14"/>
      <c r="EKL4" s="14"/>
      <c r="EKM4" s="14"/>
      <c r="EKN4" s="14"/>
      <c r="EKO4" s="14"/>
      <c r="EKP4" s="14"/>
      <c r="EKQ4" s="14"/>
      <c r="EKR4" s="14"/>
      <c r="EKS4" s="14"/>
      <c r="EKT4" s="14"/>
      <c r="EKU4" s="14"/>
      <c r="EKV4" s="14"/>
      <c r="EKW4" s="14"/>
      <c r="EKX4" s="14"/>
      <c r="EKY4" s="14"/>
      <c r="EKZ4" s="14"/>
      <c r="ELA4" s="14"/>
      <c r="ELB4" s="14"/>
      <c r="ELC4" s="14"/>
      <c r="ELD4" s="14"/>
      <c r="ELE4" s="14"/>
      <c r="ELF4" s="14"/>
      <c r="ELG4" s="14"/>
      <c r="ELH4" s="14"/>
      <c r="ELI4" s="14"/>
      <c r="ELJ4" s="14"/>
      <c r="ELK4" s="14"/>
      <c r="ELL4" s="14"/>
      <c r="ELM4" s="14"/>
      <c r="ELN4" s="14"/>
      <c r="ELO4" s="14"/>
      <c r="ELP4" s="14"/>
      <c r="ELQ4" s="14"/>
      <c r="ELR4" s="14"/>
      <c r="ELS4" s="14"/>
      <c r="ELT4" s="14"/>
      <c r="ELU4" s="14"/>
      <c r="ELV4" s="14"/>
      <c r="ELW4" s="14"/>
      <c r="ELX4" s="14"/>
      <c r="ELY4" s="14"/>
      <c r="ELZ4" s="14"/>
      <c r="EMA4" s="14"/>
      <c r="EMB4" s="14"/>
      <c r="EMC4" s="14"/>
      <c r="EMD4" s="14"/>
      <c r="EME4" s="14"/>
      <c r="EMF4" s="14"/>
      <c r="EMG4" s="14"/>
      <c r="EMH4" s="14"/>
      <c r="EMI4" s="14"/>
      <c r="EMJ4" s="14"/>
      <c r="EMK4" s="14"/>
      <c r="EML4" s="14"/>
      <c r="EMM4" s="14"/>
      <c r="EMN4" s="14"/>
      <c r="EMO4" s="14"/>
      <c r="EMP4" s="14"/>
      <c r="EMQ4" s="14"/>
      <c r="EMR4" s="14"/>
      <c r="EMS4" s="14"/>
      <c r="EMT4" s="14"/>
      <c r="EMU4" s="14"/>
      <c r="EMV4" s="14"/>
      <c r="EMW4" s="14"/>
      <c r="EMX4" s="14"/>
      <c r="EMY4" s="14"/>
      <c r="EMZ4" s="14"/>
      <c r="ENA4" s="14"/>
      <c r="ENB4" s="14"/>
      <c r="ENC4" s="14"/>
      <c r="END4" s="14"/>
      <c r="ENE4" s="14"/>
      <c r="ENF4" s="14"/>
      <c r="ENG4" s="14"/>
      <c r="ENH4" s="14"/>
      <c r="ENI4" s="14"/>
      <c r="ENJ4" s="14"/>
      <c r="ENK4" s="14"/>
      <c r="ENL4" s="14"/>
      <c r="ENM4" s="14"/>
      <c r="ENN4" s="14"/>
      <c r="ENO4" s="14"/>
      <c r="ENP4" s="14"/>
      <c r="ENQ4" s="14"/>
      <c r="ENR4" s="14"/>
      <c r="ENS4" s="14"/>
      <c r="ENT4" s="14"/>
      <c r="ENU4" s="14"/>
      <c r="ENV4" s="14"/>
      <c r="ENW4" s="14"/>
      <c r="ENX4" s="14"/>
      <c r="ENY4" s="14"/>
      <c r="ENZ4" s="14"/>
      <c r="EOA4" s="14"/>
      <c r="EOB4" s="14"/>
      <c r="EOC4" s="14"/>
      <c r="EOD4" s="14"/>
      <c r="EOE4" s="14"/>
      <c r="EOF4" s="14"/>
      <c r="EOG4" s="14"/>
      <c r="EOH4" s="14"/>
      <c r="EOI4" s="14"/>
      <c r="EOJ4" s="14"/>
      <c r="EOK4" s="14"/>
      <c r="EOL4" s="14"/>
      <c r="EOM4" s="14"/>
      <c r="EON4" s="14"/>
      <c r="EOO4" s="14"/>
      <c r="EOP4" s="14"/>
      <c r="EOQ4" s="14"/>
      <c r="EOR4" s="14"/>
      <c r="EOS4" s="14"/>
      <c r="EOT4" s="14"/>
      <c r="EOU4" s="14"/>
      <c r="EOV4" s="14"/>
      <c r="EOW4" s="14"/>
      <c r="EOX4" s="14"/>
      <c r="EOY4" s="14"/>
      <c r="EOZ4" s="14"/>
      <c r="EPA4" s="14"/>
      <c r="EPB4" s="14"/>
      <c r="EPC4" s="14"/>
      <c r="EPD4" s="14"/>
      <c r="EPE4" s="14"/>
      <c r="EPF4" s="14"/>
      <c r="EPG4" s="14"/>
      <c r="EPH4" s="14"/>
      <c r="EPI4" s="14"/>
      <c r="EPJ4" s="14"/>
      <c r="EPK4" s="14"/>
      <c r="EPL4" s="14"/>
      <c r="EPM4" s="14"/>
      <c r="EPN4" s="14"/>
      <c r="EPO4" s="14"/>
      <c r="EPP4" s="14"/>
      <c r="EPQ4" s="14"/>
      <c r="EPR4" s="14"/>
      <c r="EPS4" s="14"/>
      <c r="EPT4" s="14"/>
      <c r="EPU4" s="14"/>
      <c r="EPV4" s="14"/>
      <c r="EPW4" s="14"/>
      <c r="EPX4" s="14"/>
      <c r="EPY4" s="14"/>
      <c r="EPZ4" s="14"/>
      <c r="EQA4" s="14"/>
      <c r="EQB4" s="14"/>
      <c r="EQC4" s="14"/>
      <c r="EQD4" s="14"/>
      <c r="EQE4" s="14"/>
      <c r="EQF4" s="14"/>
      <c r="EQG4" s="14"/>
      <c r="EQH4" s="14"/>
      <c r="EQI4" s="14"/>
      <c r="EQJ4" s="14"/>
      <c r="EQK4" s="14"/>
      <c r="EQL4" s="14"/>
      <c r="EQM4" s="14"/>
      <c r="EQN4" s="14"/>
      <c r="EQO4" s="14"/>
      <c r="EQP4" s="14"/>
      <c r="EQQ4" s="14"/>
      <c r="EQR4" s="14"/>
      <c r="EQS4" s="14"/>
      <c r="EQT4" s="14"/>
      <c r="EQU4" s="14"/>
      <c r="EQV4" s="14"/>
      <c r="EQW4" s="14"/>
      <c r="EQX4" s="14"/>
      <c r="EQY4" s="14"/>
      <c r="EQZ4" s="14"/>
      <c r="ERA4" s="14"/>
      <c r="ERB4" s="14"/>
      <c r="ERC4" s="14"/>
      <c r="ERD4" s="14"/>
      <c r="ERE4" s="14"/>
      <c r="ERF4" s="14"/>
      <c r="ERG4" s="14"/>
      <c r="ERH4" s="14"/>
      <c r="ERI4" s="14"/>
      <c r="ERJ4" s="14"/>
      <c r="ERK4" s="14"/>
      <c r="ERL4" s="14"/>
      <c r="ERM4" s="14"/>
      <c r="ERN4" s="14"/>
      <c r="ERO4" s="14"/>
      <c r="ERP4" s="14"/>
      <c r="ERQ4" s="14"/>
      <c r="ERR4" s="14"/>
      <c r="ERS4" s="14"/>
      <c r="ERT4" s="14"/>
      <c r="ERU4" s="14"/>
      <c r="ERV4" s="14"/>
      <c r="ERW4" s="14"/>
      <c r="ERX4" s="14"/>
      <c r="ERY4" s="14"/>
      <c r="ERZ4" s="14"/>
      <c r="ESA4" s="14"/>
      <c r="ESB4" s="14"/>
      <c r="ESC4" s="14"/>
      <c r="ESD4" s="14"/>
      <c r="ESE4" s="14"/>
      <c r="ESF4" s="14"/>
      <c r="ESG4" s="14"/>
      <c r="ESH4" s="14"/>
      <c r="ESI4" s="14"/>
      <c r="ESJ4" s="14"/>
      <c r="ESK4" s="14"/>
      <c r="ESL4" s="14"/>
      <c r="ESM4" s="14"/>
      <c r="ESN4" s="14"/>
      <c r="ESO4" s="14"/>
      <c r="ESP4" s="14"/>
      <c r="ESQ4" s="14"/>
      <c r="ESR4" s="14"/>
      <c r="ESS4" s="14"/>
      <c r="EST4" s="14"/>
      <c r="ESU4" s="14"/>
      <c r="ESV4" s="14"/>
      <c r="ESW4" s="14"/>
      <c r="ESX4" s="14"/>
      <c r="ESY4" s="14"/>
      <c r="ESZ4" s="14"/>
      <c r="ETA4" s="14"/>
      <c r="ETB4" s="14"/>
      <c r="ETC4" s="14"/>
      <c r="ETD4" s="14"/>
      <c r="ETE4" s="14"/>
      <c r="ETF4" s="14"/>
      <c r="ETG4" s="14"/>
      <c r="ETH4" s="14"/>
      <c r="ETI4" s="14"/>
      <c r="ETJ4" s="14"/>
      <c r="ETK4" s="14"/>
      <c r="ETL4" s="14"/>
      <c r="ETM4" s="14"/>
      <c r="ETN4" s="14"/>
      <c r="ETO4" s="14"/>
      <c r="ETP4" s="14"/>
      <c r="ETQ4" s="14"/>
      <c r="ETR4" s="14"/>
      <c r="ETS4" s="14"/>
      <c r="ETT4" s="14"/>
      <c r="ETU4" s="14"/>
      <c r="ETV4" s="14"/>
      <c r="ETW4" s="14"/>
      <c r="ETX4" s="14"/>
      <c r="ETY4" s="14"/>
      <c r="ETZ4" s="14"/>
      <c r="EUA4" s="14"/>
      <c r="EUB4" s="14"/>
      <c r="EUC4" s="14"/>
      <c r="EUD4" s="14"/>
      <c r="EUE4" s="14"/>
      <c r="EUF4" s="14"/>
      <c r="EUG4" s="14"/>
      <c r="EUH4" s="14"/>
      <c r="EUI4" s="14"/>
      <c r="EUJ4" s="14"/>
      <c r="EUK4" s="14"/>
      <c r="EUL4" s="14"/>
      <c r="EUM4" s="14"/>
      <c r="EUN4" s="14"/>
      <c r="EUO4" s="14"/>
      <c r="EUP4" s="14"/>
      <c r="EUQ4" s="14"/>
      <c r="EUR4" s="14"/>
      <c r="EUS4" s="14"/>
      <c r="EUT4" s="14"/>
      <c r="EUU4" s="14"/>
      <c r="EUV4" s="14"/>
      <c r="EUW4" s="14"/>
      <c r="EUX4" s="14"/>
      <c r="EUY4" s="14"/>
      <c r="EUZ4" s="14"/>
      <c r="EVA4" s="14"/>
      <c r="EVB4" s="14"/>
      <c r="EVC4" s="14"/>
      <c r="EVD4" s="14"/>
      <c r="EVE4" s="14"/>
      <c r="EVF4" s="14"/>
      <c r="EVG4" s="14"/>
      <c r="EVH4" s="14"/>
      <c r="EVI4" s="14"/>
      <c r="EVJ4" s="14"/>
      <c r="EVK4" s="14"/>
      <c r="EVL4" s="14"/>
      <c r="EVM4" s="14"/>
      <c r="EVN4" s="14"/>
      <c r="EVO4" s="14"/>
      <c r="EVP4" s="14"/>
      <c r="EVQ4" s="14"/>
      <c r="EVR4" s="14"/>
      <c r="EVS4" s="14"/>
      <c r="EVT4" s="14"/>
      <c r="EVU4" s="14"/>
      <c r="EVV4" s="14"/>
      <c r="EVW4" s="14"/>
      <c r="EVX4" s="14"/>
      <c r="EVY4" s="14"/>
      <c r="EVZ4" s="14"/>
      <c r="EWA4" s="14"/>
      <c r="EWB4" s="14"/>
      <c r="EWC4" s="14"/>
      <c r="EWD4" s="14"/>
      <c r="EWE4" s="14"/>
      <c r="EWF4" s="14"/>
      <c r="EWG4" s="14"/>
      <c r="EWH4" s="14"/>
      <c r="EWI4" s="14"/>
      <c r="EWJ4" s="14"/>
      <c r="EWK4" s="14"/>
      <c r="EWL4" s="14"/>
      <c r="EWM4" s="14"/>
      <c r="EWN4" s="14"/>
      <c r="EWO4" s="14"/>
      <c r="EWP4" s="14"/>
      <c r="EWQ4" s="14"/>
      <c r="EWR4" s="14"/>
      <c r="EWS4" s="14"/>
      <c r="EWT4" s="14"/>
      <c r="EWU4" s="14"/>
      <c r="EWV4" s="14"/>
      <c r="EWW4" s="14"/>
      <c r="EWX4" s="14"/>
      <c r="EWY4" s="14"/>
      <c r="EWZ4" s="14"/>
      <c r="EXA4" s="14"/>
      <c r="EXB4" s="14"/>
      <c r="EXC4" s="14"/>
      <c r="EXD4" s="14"/>
      <c r="EXE4" s="14"/>
      <c r="EXF4" s="14"/>
      <c r="EXG4" s="14"/>
      <c r="EXH4" s="14"/>
      <c r="EXI4" s="14"/>
      <c r="EXJ4" s="14"/>
      <c r="EXK4" s="14"/>
      <c r="EXL4" s="14"/>
      <c r="EXM4" s="14"/>
      <c r="EXN4" s="14"/>
      <c r="EXO4" s="14"/>
      <c r="EXP4" s="14"/>
      <c r="EXQ4" s="14"/>
      <c r="EXR4" s="14"/>
      <c r="EXS4" s="14"/>
      <c r="EXT4" s="14"/>
      <c r="EXU4" s="14"/>
      <c r="EXV4" s="14"/>
      <c r="EXW4" s="14"/>
      <c r="EXX4" s="14"/>
      <c r="EXY4" s="14"/>
      <c r="EXZ4" s="14"/>
      <c r="EYA4" s="14"/>
      <c r="EYB4" s="14"/>
      <c r="EYC4" s="14"/>
      <c r="EYD4" s="14"/>
      <c r="EYE4" s="14"/>
      <c r="EYF4" s="14"/>
      <c r="EYG4" s="14"/>
      <c r="EYH4" s="14"/>
      <c r="EYI4" s="14"/>
      <c r="EYJ4" s="14"/>
      <c r="EYK4" s="14"/>
      <c r="EYL4" s="14"/>
      <c r="EYM4" s="14"/>
      <c r="EYN4" s="14"/>
      <c r="EYO4" s="14"/>
      <c r="EYP4" s="14"/>
      <c r="EYQ4" s="14"/>
      <c r="EYR4" s="14"/>
      <c r="EYS4" s="14"/>
      <c r="EYT4" s="14"/>
      <c r="EYU4" s="14"/>
      <c r="EYV4" s="14"/>
      <c r="EYW4" s="14"/>
      <c r="EYX4" s="14"/>
      <c r="EYY4" s="14"/>
      <c r="EYZ4" s="14"/>
      <c r="EZA4" s="14"/>
      <c r="EZB4" s="14"/>
      <c r="EZC4" s="14"/>
      <c r="EZD4" s="14"/>
      <c r="EZE4" s="14"/>
      <c r="EZF4" s="14"/>
      <c r="EZG4" s="14"/>
      <c r="EZH4" s="14"/>
      <c r="EZI4" s="14"/>
      <c r="EZJ4" s="14"/>
      <c r="EZK4" s="14"/>
      <c r="EZL4" s="14"/>
      <c r="EZM4" s="14"/>
      <c r="EZN4" s="14"/>
      <c r="EZO4" s="14"/>
      <c r="EZP4" s="14"/>
      <c r="EZQ4" s="14"/>
      <c r="EZR4" s="14"/>
      <c r="EZS4" s="14"/>
      <c r="EZT4" s="14"/>
      <c r="EZU4" s="14"/>
      <c r="EZV4" s="14"/>
      <c r="EZW4" s="14"/>
      <c r="EZX4" s="14"/>
      <c r="EZY4" s="14"/>
      <c r="EZZ4" s="14"/>
      <c r="FAA4" s="14"/>
      <c r="FAB4" s="14"/>
      <c r="FAC4" s="14"/>
      <c r="FAD4" s="14"/>
      <c r="FAE4" s="14"/>
      <c r="FAF4" s="14"/>
      <c r="FAG4" s="14"/>
      <c r="FAH4" s="14"/>
      <c r="FAI4" s="14"/>
      <c r="FAJ4" s="14"/>
      <c r="FAK4" s="14"/>
      <c r="FAL4" s="14"/>
      <c r="FAM4" s="14"/>
      <c r="FAN4" s="14"/>
      <c r="FAO4" s="14"/>
      <c r="FAP4" s="14"/>
      <c r="FAQ4" s="14"/>
      <c r="FAR4" s="14"/>
      <c r="FAS4" s="14"/>
      <c r="FAT4" s="14"/>
      <c r="FAU4" s="14"/>
      <c r="FAV4" s="14"/>
      <c r="FAW4" s="14"/>
      <c r="FAX4" s="14"/>
      <c r="FAY4" s="14"/>
      <c r="FAZ4" s="14"/>
      <c r="FBA4" s="14"/>
      <c r="FBB4" s="14"/>
      <c r="FBC4" s="14"/>
      <c r="FBD4" s="14"/>
      <c r="FBE4" s="14"/>
      <c r="FBF4" s="14"/>
      <c r="FBG4" s="14"/>
      <c r="FBH4" s="14"/>
      <c r="FBI4" s="14"/>
      <c r="FBJ4" s="14"/>
      <c r="FBK4" s="14"/>
      <c r="FBL4" s="14"/>
      <c r="FBM4" s="14"/>
      <c r="FBN4" s="14"/>
      <c r="FBO4" s="14"/>
      <c r="FBP4" s="14"/>
      <c r="FBQ4" s="14"/>
      <c r="FBR4" s="14"/>
      <c r="FBS4" s="14"/>
      <c r="FBT4" s="14"/>
      <c r="FBU4" s="14"/>
      <c r="FBV4" s="14"/>
      <c r="FBW4" s="14"/>
      <c r="FBX4" s="14"/>
      <c r="FBY4" s="14"/>
      <c r="FBZ4" s="14"/>
      <c r="FCA4" s="14"/>
      <c r="FCB4" s="14"/>
      <c r="FCC4" s="14"/>
      <c r="FCD4" s="14"/>
      <c r="FCE4" s="14"/>
      <c r="FCF4" s="14"/>
      <c r="FCG4" s="14"/>
      <c r="FCH4" s="14"/>
      <c r="FCI4" s="14"/>
      <c r="FCJ4" s="14"/>
      <c r="FCK4" s="14"/>
      <c r="FCL4" s="14"/>
      <c r="FCM4" s="14"/>
      <c r="FCN4" s="14"/>
      <c r="FCO4" s="14"/>
      <c r="FCP4" s="14"/>
      <c r="FCQ4" s="14"/>
      <c r="FCR4" s="14"/>
      <c r="FCS4" s="14"/>
      <c r="FCT4" s="14"/>
      <c r="FCU4" s="14"/>
      <c r="FCV4" s="14"/>
      <c r="FCW4" s="14"/>
      <c r="FCX4" s="14"/>
      <c r="FCY4" s="14"/>
      <c r="FCZ4" s="14"/>
      <c r="FDA4" s="14"/>
      <c r="FDB4" s="14"/>
      <c r="FDC4" s="14"/>
      <c r="FDD4" s="14"/>
      <c r="FDE4" s="14"/>
      <c r="FDF4" s="14"/>
      <c r="FDG4" s="14"/>
      <c r="FDH4" s="14"/>
      <c r="FDI4" s="14"/>
      <c r="FDJ4" s="14"/>
      <c r="FDK4" s="14"/>
      <c r="FDL4" s="14"/>
      <c r="FDM4" s="14"/>
      <c r="FDN4" s="14"/>
      <c r="FDO4" s="14"/>
      <c r="FDP4" s="14"/>
      <c r="FDQ4" s="14"/>
      <c r="FDR4" s="14"/>
      <c r="FDS4" s="14"/>
      <c r="FDT4" s="14"/>
      <c r="FDU4" s="14"/>
      <c r="FDV4" s="14"/>
      <c r="FDW4" s="14"/>
      <c r="FDX4" s="14"/>
      <c r="FDY4" s="14"/>
      <c r="FDZ4" s="14"/>
      <c r="FEA4" s="14"/>
      <c r="FEB4" s="14"/>
      <c r="FEC4" s="14"/>
      <c r="FED4" s="14"/>
      <c r="FEE4" s="14"/>
      <c r="FEF4" s="14"/>
      <c r="FEG4" s="14"/>
      <c r="FEH4" s="14"/>
      <c r="FEI4" s="14"/>
      <c r="FEJ4" s="14"/>
      <c r="FEK4" s="14"/>
      <c r="FEL4" s="14"/>
      <c r="FEM4" s="14"/>
      <c r="FEN4" s="14"/>
      <c r="FEO4" s="14"/>
      <c r="FEP4" s="14"/>
      <c r="FEQ4" s="14"/>
      <c r="FER4" s="14"/>
      <c r="FES4" s="14"/>
      <c r="FET4" s="14"/>
      <c r="FEU4" s="14"/>
      <c r="FEV4" s="14"/>
      <c r="FEW4" s="14"/>
      <c r="FEX4" s="14"/>
      <c r="FEY4" s="14"/>
      <c r="FEZ4" s="14"/>
      <c r="FFA4" s="14"/>
      <c r="FFB4" s="14"/>
      <c r="FFC4" s="14"/>
      <c r="FFD4" s="14"/>
      <c r="FFE4" s="14"/>
      <c r="FFF4" s="14"/>
      <c r="FFG4" s="14"/>
      <c r="FFH4" s="14"/>
      <c r="FFI4" s="14"/>
      <c r="FFJ4" s="14"/>
      <c r="FFK4" s="14"/>
      <c r="FFL4" s="14"/>
      <c r="FFM4" s="14"/>
      <c r="FFN4" s="14"/>
      <c r="FFO4" s="14"/>
      <c r="FFP4" s="14"/>
      <c r="FFQ4" s="14"/>
      <c r="FFR4" s="14"/>
      <c r="FFS4" s="14"/>
      <c r="FFT4" s="14"/>
      <c r="FFU4" s="14"/>
      <c r="FFV4" s="14"/>
      <c r="FFW4" s="14"/>
      <c r="FFX4" s="14"/>
      <c r="FFY4" s="14"/>
      <c r="FFZ4" s="14"/>
      <c r="FGA4" s="14"/>
      <c r="FGB4" s="14"/>
      <c r="FGC4" s="14"/>
      <c r="FGD4" s="14"/>
      <c r="FGE4" s="14"/>
      <c r="FGF4" s="14"/>
      <c r="FGG4" s="14"/>
      <c r="FGH4" s="14"/>
      <c r="FGI4" s="14"/>
      <c r="FGJ4" s="14"/>
      <c r="FGK4" s="14"/>
      <c r="FGL4" s="14"/>
      <c r="FGM4" s="14"/>
      <c r="FGN4" s="14"/>
      <c r="FGO4" s="14"/>
      <c r="FGP4" s="14"/>
      <c r="FGQ4" s="14"/>
      <c r="FGR4" s="14"/>
      <c r="FGS4" s="14"/>
      <c r="FGT4" s="14"/>
      <c r="FGU4" s="14"/>
      <c r="FGV4" s="14"/>
      <c r="FGW4" s="14"/>
      <c r="FGX4" s="14"/>
      <c r="FGY4" s="14"/>
      <c r="FGZ4" s="14"/>
      <c r="FHA4" s="14"/>
      <c r="FHB4" s="14"/>
      <c r="FHC4" s="14"/>
      <c r="FHD4" s="14"/>
      <c r="FHE4" s="14"/>
      <c r="FHF4" s="14"/>
      <c r="FHG4" s="14"/>
      <c r="FHH4" s="14"/>
      <c r="FHI4" s="14"/>
      <c r="FHJ4" s="14"/>
      <c r="FHK4" s="14"/>
      <c r="FHL4" s="14"/>
      <c r="FHM4" s="14"/>
      <c r="FHN4" s="14"/>
      <c r="FHO4" s="14"/>
      <c r="FHP4" s="14"/>
      <c r="FHQ4" s="14"/>
      <c r="FHR4" s="14"/>
      <c r="FHS4" s="14"/>
      <c r="FHT4" s="14"/>
      <c r="FHU4" s="14"/>
      <c r="FHV4" s="14"/>
      <c r="FHW4" s="14"/>
      <c r="FHX4" s="14"/>
      <c r="FHY4" s="14"/>
      <c r="FHZ4" s="14"/>
      <c r="FIA4" s="14"/>
      <c r="FIB4" s="14"/>
      <c r="FIC4" s="14"/>
      <c r="FID4" s="14"/>
      <c r="FIE4" s="14"/>
      <c r="FIF4" s="14"/>
      <c r="FIG4" s="14"/>
      <c r="FIH4" s="14"/>
      <c r="FII4" s="14"/>
      <c r="FIJ4" s="14"/>
      <c r="FIK4" s="14"/>
      <c r="FIL4" s="14"/>
      <c r="FIM4" s="14"/>
      <c r="FIN4" s="14"/>
      <c r="FIO4" s="14"/>
      <c r="FIP4" s="14"/>
      <c r="FIQ4" s="14"/>
      <c r="FIR4" s="14"/>
      <c r="FIS4" s="14"/>
      <c r="FIT4" s="14"/>
      <c r="FIU4" s="14"/>
      <c r="FIV4" s="14"/>
      <c r="FIW4" s="14"/>
      <c r="FIX4" s="14"/>
      <c r="FIY4" s="14"/>
      <c r="FIZ4" s="14"/>
      <c r="FJA4" s="14"/>
      <c r="FJB4" s="14"/>
      <c r="FJC4" s="14"/>
      <c r="FJD4" s="14"/>
      <c r="FJE4" s="14"/>
      <c r="FJF4" s="14"/>
      <c r="FJG4" s="14"/>
      <c r="FJH4" s="14"/>
      <c r="FJI4" s="14"/>
      <c r="FJJ4" s="14"/>
      <c r="FJK4" s="14"/>
      <c r="FJL4" s="14"/>
      <c r="FJM4" s="14"/>
      <c r="FJN4" s="14"/>
      <c r="FJO4" s="14"/>
      <c r="FJP4" s="14"/>
      <c r="FJQ4" s="14"/>
      <c r="FJR4" s="14"/>
      <c r="FJS4" s="14"/>
      <c r="FJT4" s="14"/>
      <c r="FJU4" s="14"/>
      <c r="FJV4" s="14"/>
      <c r="FJW4" s="14"/>
      <c r="FJX4" s="14"/>
      <c r="FJY4" s="14"/>
      <c r="FJZ4" s="14"/>
      <c r="FKA4" s="14"/>
      <c r="FKB4" s="14"/>
      <c r="FKC4" s="14"/>
      <c r="FKD4" s="14"/>
      <c r="FKE4" s="14"/>
      <c r="FKF4" s="14"/>
      <c r="FKG4" s="14"/>
      <c r="FKH4" s="14"/>
      <c r="FKI4" s="14"/>
      <c r="FKJ4" s="14"/>
      <c r="FKK4" s="14"/>
      <c r="FKL4" s="14"/>
      <c r="FKM4" s="14"/>
      <c r="FKN4" s="14"/>
      <c r="FKO4" s="14"/>
      <c r="FKP4" s="14"/>
      <c r="FKQ4" s="14"/>
      <c r="FKR4" s="14"/>
      <c r="FKS4" s="14"/>
      <c r="FKT4" s="14"/>
      <c r="FKU4" s="14"/>
      <c r="FKV4" s="14"/>
      <c r="FKW4" s="14"/>
      <c r="FKX4" s="14"/>
      <c r="FKY4" s="14"/>
      <c r="FKZ4" s="14"/>
      <c r="FLA4" s="14"/>
      <c r="FLB4" s="14"/>
      <c r="FLC4" s="14"/>
      <c r="FLD4" s="14"/>
      <c r="FLE4" s="14"/>
      <c r="FLF4" s="14"/>
      <c r="FLG4" s="14"/>
      <c r="FLH4" s="14"/>
      <c r="FLI4" s="14"/>
      <c r="FLJ4" s="14"/>
      <c r="FLK4" s="14"/>
      <c r="FLL4" s="14"/>
      <c r="FLM4" s="14"/>
      <c r="FLN4" s="14"/>
      <c r="FLO4" s="14"/>
      <c r="FLP4" s="14"/>
      <c r="FLQ4" s="14"/>
      <c r="FLR4" s="14"/>
      <c r="FLS4" s="14"/>
      <c r="FLT4" s="14"/>
      <c r="FLU4" s="14"/>
      <c r="FLV4" s="14"/>
      <c r="FLW4" s="14"/>
      <c r="FLX4" s="14"/>
      <c r="FLY4" s="14"/>
      <c r="FLZ4" s="14"/>
      <c r="FMA4" s="14"/>
      <c r="FMB4" s="14"/>
      <c r="FMC4" s="14"/>
      <c r="FMD4" s="14"/>
      <c r="FME4" s="14"/>
      <c r="FMF4" s="14"/>
      <c r="FMG4" s="14"/>
      <c r="FMH4" s="14"/>
      <c r="FMI4" s="14"/>
      <c r="FMJ4" s="14"/>
      <c r="FMK4" s="14"/>
      <c r="FML4" s="14"/>
      <c r="FMM4" s="14"/>
      <c r="FMN4" s="14"/>
      <c r="FMO4" s="14"/>
      <c r="FMP4" s="14"/>
      <c r="FMQ4" s="14"/>
      <c r="FMR4" s="14"/>
      <c r="FMS4" s="14"/>
      <c r="FMT4" s="14"/>
      <c r="FMU4" s="14"/>
      <c r="FMV4" s="14"/>
      <c r="FMW4" s="14"/>
      <c r="FMX4" s="14"/>
      <c r="FMY4" s="14"/>
      <c r="FMZ4" s="14"/>
      <c r="FNA4" s="14"/>
      <c r="FNB4" s="14"/>
      <c r="FNC4" s="14"/>
      <c r="FND4" s="14"/>
      <c r="FNE4" s="14"/>
      <c r="FNF4" s="14"/>
      <c r="FNG4" s="14"/>
      <c r="FNH4" s="14"/>
      <c r="FNI4" s="14"/>
      <c r="FNJ4" s="14"/>
      <c r="FNK4" s="14"/>
      <c r="FNL4" s="14"/>
      <c r="FNM4" s="14"/>
      <c r="FNN4" s="14"/>
      <c r="FNO4" s="14"/>
      <c r="FNP4" s="14"/>
      <c r="FNQ4" s="14"/>
      <c r="FNR4" s="14"/>
      <c r="FNS4" s="14"/>
      <c r="FNT4" s="14"/>
      <c r="FNU4" s="14"/>
      <c r="FNV4" s="14"/>
      <c r="FNW4" s="14"/>
      <c r="FNX4" s="14"/>
      <c r="FNY4" s="14"/>
      <c r="FNZ4" s="14"/>
      <c r="FOA4" s="14"/>
      <c r="FOB4" s="14"/>
      <c r="FOC4" s="14"/>
      <c r="FOD4" s="14"/>
      <c r="FOE4" s="14"/>
      <c r="FOF4" s="14"/>
      <c r="FOG4" s="14"/>
      <c r="FOH4" s="14"/>
      <c r="FOI4" s="14"/>
      <c r="FOJ4" s="14"/>
      <c r="FOK4" s="14"/>
      <c r="FOL4" s="14"/>
      <c r="FOM4" s="14"/>
      <c r="FON4" s="14"/>
      <c r="FOO4" s="14"/>
      <c r="FOP4" s="14"/>
      <c r="FOQ4" s="14"/>
      <c r="FOR4" s="14"/>
      <c r="FOS4" s="14"/>
      <c r="FOT4" s="14"/>
      <c r="FOU4" s="14"/>
      <c r="FOV4" s="14"/>
      <c r="FOW4" s="14"/>
      <c r="FOX4" s="14"/>
      <c r="FOY4" s="14"/>
      <c r="FOZ4" s="14"/>
      <c r="FPA4" s="14"/>
      <c r="FPB4" s="14"/>
      <c r="FPC4" s="14"/>
      <c r="FPD4" s="14"/>
      <c r="FPE4" s="14"/>
      <c r="FPF4" s="14"/>
      <c r="FPG4" s="14"/>
      <c r="FPH4" s="14"/>
      <c r="FPI4" s="14"/>
      <c r="FPJ4" s="14"/>
      <c r="FPK4" s="14"/>
      <c r="FPL4" s="14"/>
      <c r="FPM4" s="14"/>
      <c r="FPN4" s="14"/>
      <c r="FPO4" s="14"/>
      <c r="FPP4" s="14"/>
      <c r="FPQ4" s="14"/>
      <c r="FPR4" s="14"/>
      <c r="FPS4" s="14"/>
      <c r="FPT4" s="14"/>
      <c r="FPU4" s="14"/>
      <c r="FPV4" s="14"/>
      <c r="FPW4" s="14"/>
      <c r="FPX4" s="14"/>
      <c r="FPY4" s="14"/>
      <c r="FPZ4" s="14"/>
      <c r="FQA4" s="14"/>
      <c r="FQB4" s="14"/>
      <c r="FQC4" s="14"/>
      <c r="FQD4" s="14"/>
      <c r="FQE4" s="14"/>
      <c r="FQF4" s="14"/>
      <c r="FQG4" s="14"/>
      <c r="FQH4" s="14"/>
      <c r="FQI4" s="14"/>
      <c r="FQJ4" s="14"/>
      <c r="FQK4" s="14"/>
      <c r="FQL4" s="14"/>
      <c r="FQM4" s="14"/>
      <c r="FQN4" s="14"/>
      <c r="FQO4" s="14"/>
      <c r="FQP4" s="14"/>
      <c r="FQQ4" s="14"/>
      <c r="FQR4" s="14"/>
      <c r="FQS4" s="14"/>
      <c r="FQT4" s="14"/>
      <c r="FQU4" s="14"/>
      <c r="FQV4" s="14"/>
      <c r="FQW4" s="14"/>
      <c r="FQX4" s="14"/>
      <c r="FQY4" s="14"/>
      <c r="FQZ4" s="14"/>
      <c r="FRA4" s="14"/>
      <c r="FRB4" s="14"/>
      <c r="FRC4" s="14"/>
      <c r="FRD4" s="14"/>
      <c r="FRE4" s="14"/>
      <c r="FRF4" s="14"/>
      <c r="FRG4" s="14"/>
      <c r="FRH4" s="14"/>
      <c r="FRI4" s="14"/>
      <c r="FRJ4" s="14"/>
      <c r="FRK4" s="14"/>
      <c r="FRL4" s="14"/>
      <c r="FRM4" s="14"/>
      <c r="FRN4" s="14"/>
      <c r="FRO4" s="14"/>
      <c r="FRP4" s="14"/>
      <c r="FRQ4" s="14"/>
      <c r="FRR4" s="14"/>
      <c r="FRS4" s="14"/>
      <c r="FRT4" s="14"/>
      <c r="FRU4" s="14"/>
      <c r="FRV4" s="14"/>
      <c r="FRW4" s="14"/>
      <c r="FRX4" s="14"/>
      <c r="FRY4" s="14"/>
      <c r="FRZ4" s="14"/>
      <c r="FSA4" s="14"/>
      <c r="FSB4" s="14"/>
      <c r="FSC4" s="14"/>
      <c r="FSD4" s="14"/>
      <c r="FSE4" s="14"/>
      <c r="FSF4" s="14"/>
      <c r="FSG4" s="14"/>
      <c r="FSH4" s="14"/>
      <c r="FSI4" s="14"/>
      <c r="FSJ4" s="14"/>
      <c r="FSK4" s="14"/>
      <c r="FSL4" s="14"/>
      <c r="FSM4" s="14"/>
      <c r="FSN4" s="14"/>
      <c r="FSO4" s="14"/>
      <c r="FSP4" s="14"/>
      <c r="FSQ4" s="14"/>
      <c r="FSR4" s="14"/>
      <c r="FSS4" s="14"/>
      <c r="FST4" s="14"/>
      <c r="FSU4" s="14"/>
      <c r="FSV4" s="14"/>
      <c r="FSW4" s="14"/>
      <c r="FSX4" s="14"/>
      <c r="FSY4" s="14"/>
      <c r="FSZ4" s="14"/>
      <c r="FTA4" s="14"/>
      <c r="FTB4" s="14"/>
      <c r="FTC4" s="14"/>
      <c r="FTD4" s="14"/>
      <c r="FTE4" s="14"/>
      <c r="FTF4" s="14"/>
      <c r="FTG4" s="14"/>
      <c r="FTH4" s="14"/>
      <c r="FTI4" s="14"/>
      <c r="FTJ4" s="14"/>
      <c r="FTK4" s="14"/>
      <c r="FTL4" s="14"/>
      <c r="FTM4" s="14"/>
      <c r="FTN4" s="14"/>
      <c r="FTO4" s="14"/>
      <c r="FTP4" s="14"/>
      <c r="FTQ4" s="14"/>
      <c r="FTR4" s="14"/>
      <c r="FTS4" s="14"/>
      <c r="FTT4" s="14"/>
      <c r="FTU4" s="14"/>
      <c r="FTV4" s="14"/>
      <c r="FTW4" s="14"/>
      <c r="FTX4" s="14"/>
      <c r="FTY4" s="14"/>
      <c r="FTZ4" s="14"/>
      <c r="FUA4" s="14"/>
      <c r="FUB4" s="14"/>
      <c r="FUC4" s="14"/>
      <c r="FUD4" s="14"/>
      <c r="FUE4" s="14"/>
      <c r="FUF4" s="14"/>
      <c r="FUG4" s="14"/>
      <c r="FUH4" s="14"/>
      <c r="FUI4" s="14"/>
      <c r="FUJ4" s="14"/>
      <c r="FUK4" s="14"/>
      <c r="FUL4" s="14"/>
      <c r="FUM4" s="14"/>
      <c r="FUN4" s="14"/>
      <c r="FUO4" s="14"/>
      <c r="FUP4" s="14"/>
      <c r="FUQ4" s="14"/>
      <c r="FUR4" s="14"/>
      <c r="FUS4" s="14"/>
      <c r="FUT4" s="14"/>
      <c r="FUU4" s="14"/>
      <c r="FUV4" s="14"/>
      <c r="FUW4" s="14"/>
      <c r="FUX4" s="14"/>
      <c r="FUY4" s="14"/>
      <c r="FUZ4" s="14"/>
      <c r="FVA4" s="14"/>
      <c r="FVB4" s="14"/>
      <c r="FVC4" s="14"/>
      <c r="FVD4" s="14"/>
      <c r="FVE4" s="14"/>
      <c r="FVF4" s="14"/>
      <c r="FVG4" s="14"/>
      <c r="FVH4" s="14"/>
      <c r="FVI4" s="14"/>
      <c r="FVJ4" s="14"/>
      <c r="FVK4" s="14"/>
      <c r="FVL4" s="14"/>
      <c r="FVM4" s="14"/>
      <c r="FVN4" s="14"/>
      <c r="FVO4" s="14"/>
      <c r="FVP4" s="14"/>
      <c r="FVQ4" s="14"/>
      <c r="FVR4" s="14"/>
      <c r="FVS4" s="14"/>
      <c r="FVT4" s="14"/>
      <c r="FVU4" s="14"/>
      <c r="FVV4" s="14"/>
      <c r="FVW4" s="14"/>
      <c r="FVX4" s="14"/>
      <c r="FVY4" s="14"/>
      <c r="FVZ4" s="14"/>
      <c r="FWA4" s="14"/>
      <c r="FWB4" s="14"/>
      <c r="FWC4" s="14"/>
      <c r="FWD4" s="14"/>
      <c r="FWE4" s="14"/>
      <c r="FWF4" s="14"/>
      <c r="FWG4" s="14"/>
      <c r="FWH4" s="14"/>
      <c r="FWI4" s="14"/>
      <c r="FWJ4" s="14"/>
      <c r="FWK4" s="14"/>
      <c r="FWL4" s="14"/>
      <c r="FWM4" s="14"/>
      <c r="FWN4" s="14"/>
      <c r="FWO4" s="14"/>
      <c r="FWP4" s="14"/>
      <c r="FWQ4" s="14"/>
      <c r="FWR4" s="14"/>
      <c r="FWS4" s="14"/>
      <c r="FWT4" s="14"/>
      <c r="FWU4" s="14"/>
      <c r="FWV4" s="14"/>
      <c r="FWW4" s="14"/>
      <c r="FWX4" s="14"/>
      <c r="FWY4" s="14"/>
      <c r="FWZ4" s="14"/>
      <c r="FXA4" s="14"/>
      <c r="FXB4" s="14"/>
      <c r="FXC4" s="14"/>
      <c r="FXD4" s="14"/>
      <c r="FXE4" s="14"/>
      <c r="FXF4" s="14"/>
      <c r="FXG4" s="14"/>
      <c r="FXH4" s="14"/>
      <c r="FXI4" s="14"/>
      <c r="FXJ4" s="14"/>
      <c r="FXK4" s="14"/>
      <c r="FXL4" s="14"/>
      <c r="FXM4" s="14"/>
      <c r="FXN4" s="14"/>
      <c r="FXO4" s="14"/>
      <c r="FXP4" s="14"/>
      <c r="FXQ4" s="14"/>
      <c r="FXR4" s="14"/>
      <c r="FXS4" s="14"/>
      <c r="FXT4" s="14"/>
      <c r="FXU4" s="14"/>
      <c r="FXV4" s="14"/>
      <c r="FXW4" s="14"/>
      <c r="FXX4" s="14"/>
      <c r="FXY4" s="14"/>
      <c r="FXZ4" s="14"/>
      <c r="FYA4" s="14"/>
      <c r="FYB4" s="14"/>
      <c r="FYC4" s="14"/>
      <c r="FYD4" s="14"/>
      <c r="FYE4" s="14"/>
      <c r="FYF4" s="14"/>
      <c r="FYG4" s="14"/>
      <c r="FYH4" s="14"/>
      <c r="FYI4" s="14"/>
      <c r="FYJ4" s="14"/>
      <c r="FYK4" s="14"/>
      <c r="FYL4" s="14"/>
      <c r="FYM4" s="14"/>
      <c r="FYN4" s="14"/>
      <c r="FYO4" s="14"/>
      <c r="FYP4" s="14"/>
      <c r="FYQ4" s="14"/>
      <c r="FYR4" s="14"/>
      <c r="FYS4" s="14"/>
      <c r="FYT4" s="14"/>
      <c r="FYU4" s="14"/>
      <c r="FYV4" s="14"/>
      <c r="FYW4" s="14"/>
      <c r="FYX4" s="14"/>
      <c r="FYY4" s="14"/>
      <c r="FYZ4" s="14"/>
      <c r="FZA4" s="14"/>
      <c r="FZB4" s="14"/>
      <c r="FZC4" s="14"/>
      <c r="FZD4" s="14"/>
      <c r="FZE4" s="14"/>
      <c r="FZF4" s="14"/>
      <c r="FZG4" s="14"/>
      <c r="FZH4" s="14"/>
      <c r="FZI4" s="14"/>
      <c r="FZJ4" s="14"/>
      <c r="FZK4" s="14"/>
      <c r="FZL4" s="14"/>
      <c r="FZM4" s="14"/>
      <c r="FZN4" s="14"/>
      <c r="FZO4" s="14"/>
      <c r="FZP4" s="14"/>
      <c r="FZQ4" s="14"/>
      <c r="FZR4" s="14"/>
      <c r="FZS4" s="14"/>
      <c r="FZT4" s="14"/>
      <c r="FZU4" s="14"/>
      <c r="FZV4" s="14"/>
      <c r="FZW4" s="14"/>
      <c r="FZX4" s="14"/>
      <c r="FZY4" s="14"/>
      <c r="FZZ4" s="14"/>
      <c r="GAA4" s="14"/>
      <c r="GAB4" s="14"/>
      <c r="GAC4" s="14"/>
      <c r="GAD4" s="14"/>
      <c r="GAE4" s="14"/>
      <c r="GAF4" s="14"/>
      <c r="GAG4" s="14"/>
      <c r="GAH4" s="14"/>
      <c r="GAI4" s="14"/>
      <c r="GAJ4" s="14"/>
      <c r="GAK4" s="14"/>
      <c r="GAL4" s="14"/>
      <c r="GAM4" s="14"/>
      <c r="GAN4" s="14"/>
      <c r="GAO4" s="14"/>
      <c r="GAP4" s="14"/>
      <c r="GAQ4" s="14"/>
      <c r="GAR4" s="14"/>
      <c r="GAS4" s="14"/>
      <c r="GAT4" s="14"/>
      <c r="GAU4" s="14"/>
      <c r="GAV4" s="14"/>
      <c r="GAW4" s="14"/>
      <c r="GAX4" s="14"/>
      <c r="GAY4" s="14"/>
      <c r="GAZ4" s="14"/>
      <c r="GBA4" s="14"/>
      <c r="GBB4" s="14"/>
      <c r="GBC4" s="14"/>
      <c r="GBD4" s="14"/>
      <c r="GBE4" s="14"/>
      <c r="GBF4" s="14"/>
      <c r="GBG4" s="14"/>
      <c r="GBH4" s="14"/>
      <c r="GBI4" s="14"/>
      <c r="GBJ4" s="14"/>
      <c r="GBK4" s="14"/>
      <c r="GBL4" s="14"/>
      <c r="GBM4" s="14"/>
      <c r="GBN4" s="14"/>
      <c r="GBO4" s="14"/>
      <c r="GBP4" s="14"/>
      <c r="GBQ4" s="14"/>
      <c r="GBR4" s="14"/>
      <c r="GBS4" s="14"/>
      <c r="GBT4" s="14"/>
      <c r="GBU4" s="14"/>
      <c r="GBV4" s="14"/>
      <c r="GBW4" s="14"/>
      <c r="GBX4" s="14"/>
      <c r="GBY4" s="14"/>
      <c r="GBZ4" s="14"/>
      <c r="GCA4" s="14"/>
      <c r="GCB4" s="14"/>
      <c r="GCC4" s="14"/>
      <c r="GCD4" s="14"/>
      <c r="GCE4" s="14"/>
      <c r="GCF4" s="14"/>
      <c r="GCG4" s="14"/>
      <c r="GCH4" s="14"/>
      <c r="GCI4" s="14"/>
      <c r="GCJ4" s="14"/>
      <c r="GCK4" s="14"/>
      <c r="GCL4" s="14"/>
      <c r="GCM4" s="14"/>
      <c r="GCN4" s="14"/>
      <c r="GCO4" s="14"/>
      <c r="GCP4" s="14"/>
      <c r="GCQ4" s="14"/>
      <c r="GCR4" s="14"/>
      <c r="GCS4" s="14"/>
      <c r="GCT4" s="14"/>
      <c r="GCU4" s="14"/>
      <c r="GCV4" s="14"/>
      <c r="GCW4" s="14"/>
      <c r="GCX4" s="14"/>
      <c r="GCY4" s="14"/>
      <c r="GCZ4" s="14"/>
      <c r="GDA4" s="14"/>
      <c r="GDB4" s="14"/>
      <c r="GDC4" s="14"/>
      <c r="GDD4" s="14"/>
      <c r="GDE4" s="14"/>
      <c r="GDF4" s="14"/>
      <c r="GDG4" s="14"/>
      <c r="GDH4" s="14"/>
      <c r="GDI4" s="14"/>
      <c r="GDJ4" s="14"/>
      <c r="GDK4" s="14"/>
      <c r="GDL4" s="14"/>
      <c r="GDM4" s="14"/>
      <c r="GDN4" s="14"/>
      <c r="GDO4" s="14"/>
      <c r="GDP4" s="14"/>
      <c r="GDQ4" s="14"/>
      <c r="GDR4" s="14"/>
      <c r="GDS4" s="14"/>
      <c r="GDT4" s="14"/>
      <c r="GDU4" s="14"/>
      <c r="GDV4" s="14"/>
      <c r="GDW4" s="14"/>
      <c r="GDX4" s="14"/>
      <c r="GDY4" s="14"/>
      <c r="GDZ4" s="14"/>
      <c r="GEA4" s="14"/>
      <c r="GEB4" s="14"/>
      <c r="GEC4" s="14"/>
      <c r="GED4" s="14"/>
      <c r="GEE4" s="14"/>
      <c r="GEF4" s="14"/>
      <c r="GEG4" s="14"/>
      <c r="GEH4" s="14"/>
      <c r="GEI4" s="14"/>
      <c r="GEJ4" s="14"/>
      <c r="GEK4" s="14"/>
      <c r="GEL4" s="14"/>
      <c r="GEM4" s="14"/>
      <c r="GEN4" s="14"/>
      <c r="GEO4" s="14"/>
      <c r="GEP4" s="14"/>
      <c r="GEQ4" s="14"/>
      <c r="GER4" s="14"/>
      <c r="GES4" s="14"/>
      <c r="GET4" s="14"/>
      <c r="GEU4" s="14"/>
      <c r="GEV4" s="14"/>
      <c r="GEW4" s="14"/>
      <c r="GEX4" s="14"/>
      <c r="GEY4" s="14"/>
      <c r="GEZ4" s="14"/>
      <c r="GFA4" s="14"/>
      <c r="GFB4" s="14"/>
      <c r="GFC4" s="14"/>
      <c r="GFD4" s="14"/>
      <c r="GFE4" s="14"/>
      <c r="GFF4" s="14"/>
      <c r="GFG4" s="14"/>
      <c r="GFH4" s="14"/>
      <c r="GFI4" s="14"/>
      <c r="GFJ4" s="14"/>
      <c r="GFK4" s="14"/>
      <c r="GFL4" s="14"/>
      <c r="GFM4" s="14"/>
      <c r="GFN4" s="14"/>
      <c r="GFO4" s="14"/>
      <c r="GFP4" s="14"/>
      <c r="GFQ4" s="14"/>
      <c r="GFR4" s="14"/>
      <c r="GFS4" s="14"/>
      <c r="GFT4" s="14"/>
      <c r="GFU4" s="14"/>
      <c r="GFV4" s="14"/>
      <c r="GFW4" s="14"/>
      <c r="GFX4" s="14"/>
      <c r="GFY4" s="14"/>
      <c r="GFZ4" s="14"/>
      <c r="GGA4" s="14"/>
      <c r="GGB4" s="14"/>
      <c r="GGC4" s="14"/>
      <c r="GGD4" s="14"/>
      <c r="GGE4" s="14"/>
      <c r="GGF4" s="14"/>
      <c r="GGG4" s="14"/>
      <c r="GGH4" s="14"/>
      <c r="GGI4" s="14"/>
      <c r="GGJ4" s="14"/>
      <c r="GGK4" s="14"/>
      <c r="GGL4" s="14"/>
      <c r="GGM4" s="14"/>
      <c r="GGN4" s="14"/>
      <c r="GGO4" s="14"/>
      <c r="GGP4" s="14"/>
      <c r="GGQ4" s="14"/>
      <c r="GGR4" s="14"/>
      <c r="GGS4" s="14"/>
      <c r="GGT4" s="14"/>
      <c r="GGU4" s="14"/>
      <c r="GGV4" s="14"/>
      <c r="GGW4" s="14"/>
      <c r="GGX4" s="14"/>
      <c r="GGY4" s="14"/>
      <c r="GGZ4" s="14"/>
      <c r="GHA4" s="14"/>
      <c r="GHB4" s="14"/>
      <c r="GHC4" s="14"/>
      <c r="GHD4" s="14"/>
      <c r="GHE4" s="14"/>
      <c r="GHF4" s="14"/>
      <c r="GHG4" s="14"/>
      <c r="GHH4" s="14"/>
      <c r="GHI4" s="14"/>
      <c r="GHJ4" s="14"/>
      <c r="GHK4" s="14"/>
      <c r="GHL4" s="14"/>
      <c r="GHM4" s="14"/>
      <c r="GHN4" s="14"/>
      <c r="GHO4" s="14"/>
      <c r="GHP4" s="14"/>
      <c r="GHQ4" s="14"/>
      <c r="GHR4" s="14"/>
      <c r="GHS4" s="14"/>
      <c r="GHT4" s="14"/>
      <c r="GHU4" s="14"/>
      <c r="GHV4" s="14"/>
      <c r="GHW4" s="14"/>
      <c r="GHX4" s="14"/>
      <c r="GHY4" s="14"/>
      <c r="GHZ4" s="14"/>
      <c r="GIA4" s="14"/>
      <c r="GIB4" s="14"/>
      <c r="GIC4" s="14"/>
      <c r="GID4" s="14"/>
      <c r="GIE4" s="14"/>
      <c r="GIF4" s="14"/>
      <c r="GIG4" s="14"/>
      <c r="GIH4" s="14"/>
      <c r="GII4" s="14"/>
      <c r="GIJ4" s="14"/>
      <c r="GIK4" s="14"/>
      <c r="GIL4" s="14"/>
      <c r="GIM4" s="14"/>
      <c r="GIN4" s="14"/>
      <c r="GIO4" s="14"/>
      <c r="GIP4" s="14"/>
      <c r="GIQ4" s="14"/>
      <c r="GIR4" s="14"/>
      <c r="GIS4" s="14"/>
      <c r="GIT4" s="14"/>
      <c r="GIU4" s="14"/>
      <c r="GIV4" s="14"/>
      <c r="GIW4" s="14"/>
      <c r="GIX4" s="14"/>
      <c r="GIY4" s="14"/>
      <c r="GIZ4" s="14"/>
      <c r="GJA4" s="14"/>
      <c r="GJB4" s="14"/>
      <c r="GJC4" s="14"/>
      <c r="GJD4" s="14"/>
      <c r="GJE4" s="14"/>
      <c r="GJF4" s="14"/>
      <c r="GJG4" s="14"/>
      <c r="GJH4" s="14"/>
      <c r="GJI4" s="14"/>
      <c r="GJJ4" s="14"/>
      <c r="GJK4" s="14"/>
      <c r="GJL4" s="14"/>
      <c r="GJM4" s="14"/>
      <c r="GJN4" s="14"/>
      <c r="GJO4" s="14"/>
      <c r="GJP4" s="14"/>
      <c r="GJQ4" s="14"/>
      <c r="GJR4" s="14"/>
      <c r="GJS4" s="14"/>
      <c r="GJT4" s="14"/>
      <c r="GJU4" s="14"/>
      <c r="GJV4" s="14"/>
      <c r="GJW4" s="14"/>
      <c r="GJX4" s="14"/>
      <c r="GJY4" s="14"/>
      <c r="GJZ4" s="14"/>
      <c r="GKA4" s="14"/>
      <c r="GKB4" s="14"/>
      <c r="GKC4" s="14"/>
      <c r="GKD4" s="14"/>
      <c r="GKE4" s="14"/>
      <c r="GKF4" s="14"/>
      <c r="GKG4" s="14"/>
      <c r="GKH4" s="14"/>
      <c r="GKI4" s="14"/>
      <c r="GKJ4" s="14"/>
      <c r="GKK4" s="14"/>
      <c r="GKL4" s="14"/>
      <c r="GKM4" s="14"/>
      <c r="GKN4" s="14"/>
      <c r="GKO4" s="14"/>
      <c r="GKP4" s="14"/>
      <c r="GKQ4" s="14"/>
      <c r="GKR4" s="14"/>
      <c r="GKS4" s="14"/>
      <c r="GKT4" s="14"/>
      <c r="GKU4" s="14"/>
      <c r="GKV4" s="14"/>
      <c r="GKW4" s="14"/>
      <c r="GKX4" s="14"/>
      <c r="GKY4" s="14"/>
      <c r="GKZ4" s="14"/>
      <c r="GLA4" s="14"/>
      <c r="GLB4" s="14"/>
      <c r="GLC4" s="14"/>
      <c r="GLD4" s="14"/>
      <c r="GLE4" s="14"/>
      <c r="GLF4" s="14"/>
      <c r="GLG4" s="14"/>
      <c r="GLH4" s="14"/>
      <c r="GLI4" s="14"/>
      <c r="GLJ4" s="14"/>
      <c r="GLK4" s="14"/>
      <c r="GLL4" s="14"/>
      <c r="GLM4" s="14"/>
      <c r="GLN4" s="14"/>
      <c r="GLO4" s="14"/>
      <c r="GLP4" s="14"/>
      <c r="GLQ4" s="14"/>
      <c r="GLR4" s="14"/>
      <c r="GLS4" s="14"/>
      <c r="GLT4" s="14"/>
      <c r="GLU4" s="14"/>
      <c r="GLV4" s="14"/>
      <c r="GLW4" s="14"/>
      <c r="GLX4" s="14"/>
      <c r="GLY4" s="14"/>
      <c r="GLZ4" s="14"/>
      <c r="GMA4" s="14"/>
      <c r="GMB4" s="14"/>
      <c r="GMC4" s="14"/>
      <c r="GMD4" s="14"/>
      <c r="GME4" s="14"/>
      <c r="GMF4" s="14"/>
      <c r="GMG4" s="14"/>
      <c r="GMH4" s="14"/>
      <c r="GMI4" s="14"/>
      <c r="GMJ4" s="14"/>
      <c r="GMK4" s="14"/>
      <c r="GML4" s="14"/>
      <c r="GMM4" s="14"/>
      <c r="GMN4" s="14"/>
      <c r="GMO4" s="14"/>
      <c r="GMP4" s="14"/>
      <c r="GMQ4" s="14"/>
      <c r="GMR4" s="14"/>
      <c r="GMS4" s="14"/>
      <c r="GMT4" s="14"/>
      <c r="GMU4" s="14"/>
      <c r="GMV4" s="14"/>
      <c r="GMW4" s="14"/>
      <c r="GMX4" s="14"/>
      <c r="GMY4" s="14"/>
      <c r="GMZ4" s="14"/>
      <c r="GNA4" s="14"/>
      <c r="GNB4" s="14"/>
      <c r="GNC4" s="14"/>
      <c r="GND4" s="14"/>
      <c r="GNE4" s="14"/>
      <c r="GNF4" s="14"/>
      <c r="GNG4" s="14"/>
      <c r="GNH4" s="14"/>
      <c r="GNI4" s="14"/>
      <c r="GNJ4" s="14"/>
      <c r="GNK4" s="14"/>
      <c r="GNL4" s="14"/>
      <c r="GNM4" s="14"/>
      <c r="GNN4" s="14"/>
      <c r="GNO4" s="14"/>
      <c r="GNP4" s="14"/>
      <c r="GNQ4" s="14"/>
      <c r="GNR4" s="14"/>
      <c r="GNS4" s="14"/>
      <c r="GNT4" s="14"/>
      <c r="GNU4" s="14"/>
      <c r="GNV4" s="14"/>
      <c r="GNW4" s="14"/>
      <c r="GNX4" s="14"/>
      <c r="GNY4" s="14"/>
      <c r="GNZ4" s="14"/>
      <c r="GOA4" s="14"/>
      <c r="GOB4" s="14"/>
      <c r="GOC4" s="14"/>
      <c r="GOD4" s="14"/>
      <c r="GOE4" s="14"/>
      <c r="GOF4" s="14"/>
      <c r="GOG4" s="14"/>
      <c r="GOH4" s="14"/>
      <c r="GOI4" s="14"/>
      <c r="GOJ4" s="14"/>
      <c r="GOK4" s="14"/>
      <c r="GOL4" s="14"/>
      <c r="GOM4" s="14"/>
      <c r="GON4" s="14"/>
      <c r="GOO4" s="14"/>
      <c r="GOP4" s="14"/>
      <c r="GOQ4" s="14"/>
      <c r="GOR4" s="14"/>
      <c r="GOS4" s="14"/>
      <c r="GOT4" s="14"/>
      <c r="GOU4" s="14"/>
      <c r="GOV4" s="14"/>
      <c r="GOW4" s="14"/>
      <c r="GOX4" s="14"/>
      <c r="GOY4" s="14"/>
      <c r="GOZ4" s="14"/>
      <c r="GPA4" s="14"/>
      <c r="GPB4" s="14"/>
      <c r="GPC4" s="14"/>
      <c r="GPD4" s="14"/>
      <c r="GPE4" s="14"/>
      <c r="GPF4" s="14"/>
      <c r="GPG4" s="14"/>
      <c r="GPH4" s="14"/>
      <c r="GPI4" s="14"/>
      <c r="GPJ4" s="14"/>
      <c r="GPK4" s="14"/>
      <c r="GPL4" s="14"/>
      <c r="GPM4" s="14"/>
      <c r="GPN4" s="14"/>
      <c r="GPO4" s="14"/>
      <c r="GPP4" s="14"/>
      <c r="GPQ4" s="14"/>
      <c r="GPR4" s="14"/>
      <c r="GPS4" s="14"/>
      <c r="GPT4" s="14"/>
      <c r="GPU4" s="14"/>
      <c r="GPV4" s="14"/>
      <c r="GPW4" s="14"/>
      <c r="GPX4" s="14"/>
      <c r="GPY4" s="14"/>
      <c r="GPZ4" s="14"/>
      <c r="GQA4" s="14"/>
      <c r="GQB4" s="14"/>
      <c r="GQC4" s="14"/>
      <c r="GQD4" s="14"/>
      <c r="GQE4" s="14"/>
      <c r="GQF4" s="14"/>
      <c r="GQG4" s="14"/>
      <c r="GQH4" s="14"/>
      <c r="GQI4" s="14"/>
      <c r="GQJ4" s="14"/>
      <c r="GQK4" s="14"/>
      <c r="GQL4" s="14"/>
      <c r="GQM4" s="14"/>
      <c r="GQN4" s="14"/>
      <c r="GQO4" s="14"/>
      <c r="GQP4" s="14"/>
      <c r="GQQ4" s="14"/>
      <c r="GQR4" s="14"/>
      <c r="GQS4" s="14"/>
      <c r="GQT4" s="14"/>
      <c r="GQU4" s="14"/>
      <c r="GQV4" s="14"/>
      <c r="GQW4" s="14"/>
      <c r="GQX4" s="14"/>
      <c r="GQY4" s="14"/>
      <c r="GQZ4" s="14"/>
      <c r="GRA4" s="14"/>
      <c r="GRB4" s="14"/>
      <c r="GRC4" s="14"/>
      <c r="GRD4" s="14"/>
      <c r="GRE4" s="14"/>
      <c r="GRF4" s="14"/>
      <c r="GRG4" s="14"/>
      <c r="GRH4" s="14"/>
      <c r="GRI4" s="14"/>
      <c r="GRJ4" s="14"/>
      <c r="GRK4" s="14"/>
      <c r="GRL4" s="14"/>
      <c r="GRM4" s="14"/>
      <c r="GRN4" s="14"/>
      <c r="GRO4" s="14"/>
      <c r="GRP4" s="14"/>
      <c r="GRQ4" s="14"/>
      <c r="GRR4" s="14"/>
      <c r="GRS4" s="14"/>
      <c r="GRT4" s="14"/>
      <c r="GRU4" s="14"/>
      <c r="GRV4" s="14"/>
      <c r="GRW4" s="14"/>
      <c r="GRX4" s="14"/>
      <c r="GRY4" s="14"/>
      <c r="GRZ4" s="14"/>
      <c r="GSA4" s="14"/>
      <c r="GSB4" s="14"/>
      <c r="GSC4" s="14"/>
      <c r="GSD4" s="14"/>
      <c r="GSE4" s="14"/>
      <c r="GSF4" s="14"/>
      <c r="GSG4" s="14"/>
      <c r="GSH4" s="14"/>
      <c r="GSI4" s="14"/>
      <c r="GSJ4" s="14"/>
      <c r="GSK4" s="14"/>
      <c r="GSL4" s="14"/>
      <c r="GSM4" s="14"/>
      <c r="GSN4" s="14"/>
      <c r="GSO4" s="14"/>
      <c r="GSP4" s="14"/>
      <c r="GSQ4" s="14"/>
      <c r="GSR4" s="14"/>
      <c r="GSS4" s="14"/>
      <c r="GST4" s="14"/>
      <c r="GSU4" s="14"/>
      <c r="GSV4" s="14"/>
      <c r="GSW4" s="14"/>
      <c r="GSX4" s="14"/>
      <c r="GSY4" s="14"/>
      <c r="GSZ4" s="14"/>
      <c r="GTA4" s="14"/>
      <c r="GTB4" s="14"/>
      <c r="GTC4" s="14"/>
      <c r="GTD4" s="14"/>
      <c r="GTE4" s="14"/>
      <c r="GTF4" s="14"/>
      <c r="GTG4" s="14"/>
      <c r="GTH4" s="14"/>
      <c r="GTI4" s="14"/>
      <c r="GTJ4" s="14"/>
      <c r="GTK4" s="14"/>
      <c r="GTL4" s="14"/>
      <c r="GTM4" s="14"/>
      <c r="GTN4" s="14"/>
      <c r="GTO4" s="14"/>
      <c r="GTP4" s="14"/>
      <c r="GTQ4" s="14"/>
      <c r="GTR4" s="14"/>
      <c r="GTS4" s="14"/>
      <c r="GTT4" s="14"/>
      <c r="GTU4" s="14"/>
      <c r="GTV4" s="14"/>
      <c r="GTW4" s="14"/>
      <c r="GTX4" s="14"/>
      <c r="GTY4" s="14"/>
      <c r="GTZ4" s="14"/>
      <c r="GUA4" s="14"/>
      <c r="GUB4" s="14"/>
      <c r="GUC4" s="14"/>
      <c r="GUD4" s="14"/>
      <c r="GUE4" s="14"/>
      <c r="GUF4" s="14"/>
      <c r="GUG4" s="14"/>
      <c r="GUH4" s="14"/>
      <c r="GUI4" s="14"/>
      <c r="GUJ4" s="14"/>
      <c r="GUK4" s="14"/>
      <c r="GUL4" s="14"/>
      <c r="GUM4" s="14"/>
      <c r="GUN4" s="14"/>
      <c r="GUO4" s="14"/>
      <c r="GUP4" s="14"/>
      <c r="GUQ4" s="14"/>
      <c r="GUR4" s="14"/>
      <c r="GUS4" s="14"/>
      <c r="GUT4" s="14"/>
      <c r="GUU4" s="14"/>
      <c r="GUV4" s="14"/>
      <c r="GUW4" s="14"/>
      <c r="GUX4" s="14"/>
      <c r="GUY4" s="14"/>
      <c r="GUZ4" s="14"/>
      <c r="GVA4" s="14"/>
      <c r="GVB4" s="14"/>
      <c r="GVC4" s="14"/>
      <c r="GVD4" s="14"/>
      <c r="GVE4" s="14"/>
      <c r="GVF4" s="14"/>
      <c r="GVG4" s="14"/>
      <c r="GVH4" s="14"/>
      <c r="GVI4" s="14"/>
      <c r="GVJ4" s="14"/>
      <c r="GVK4" s="14"/>
      <c r="GVL4" s="14"/>
      <c r="GVM4" s="14"/>
      <c r="GVN4" s="14"/>
      <c r="GVO4" s="14"/>
      <c r="GVP4" s="14"/>
      <c r="GVQ4" s="14"/>
      <c r="GVR4" s="14"/>
      <c r="GVS4" s="14"/>
      <c r="GVT4" s="14"/>
      <c r="GVU4" s="14"/>
      <c r="GVV4" s="14"/>
      <c r="GVW4" s="14"/>
      <c r="GVX4" s="14"/>
      <c r="GVY4" s="14"/>
      <c r="GVZ4" s="14"/>
      <c r="GWA4" s="14"/>
      <c r="GWB4" s="14"/>
      <c r="GWC4" s="14"/>
      <c r="GWD4" s="14"/>
      <c r="GWE4" s="14"/>
      <c r="GWF4" s="14"/>
      <c r="GWG4" s="14"/>
      <c r="GWH4" s="14"/>
      <c r="GWI4" s="14"/>
      <c r="GWJ4" s="14"/>
      <c r="GWK4" s="14"/>
      <c r="GWL4" s="14"/>
      <c r="GWM4" s="14"/>
      <c r="GWN4" s="14"/>
      <c r="GWO4" s="14"/>
      <c r="GWP4" s="14"/>
      <c r="GWQ4" s="14"/>
      <c r="GWR4" s="14"/>
      <c r="GWS4" s="14"/>
      <c r="GWT4" s="14"/>
      <c r="GWU4" s="14"/>
      <c r="GWV4" s="14"/>
      <c r="GWW4" s="14"/>
      <c r="GWX4" s="14"/>
      <c r="GWY4" s="14"/>
      <c r="GWZ4" s="14"/>
      <c r="GXA4" s="14"/>
      <c r="GXB4" s="14"/>
      <c r="GXC4" s="14"/>
      <c r="GXD4" s="14"/>
      <c r="GXE4" s="14"/>
      <c r="GXF4" s="14"/>
      <c r="GXG4" s="14"/>
      <c r="GXH4" s="14"/>
      <c r="GXI4" s="14"/>
      <c r="GXJ4" s="14"/>
      <c r="GXK4" s="14"/>
      <c r="GXL4" s="14"/>
      <c r="GXM4" s="14"/>
      <c r="GXN4" s="14"/>
      <c r="GXO4" s="14"/>
      <c r="GXP4" s="14"/>
      <c r="GXQ4" s="14"/>
      <c r="GXR4" s="14"/>
      <c r="GXS4" s="14"/>
      <c r="GXT4" s="14"/>
      <c r="GXU4" s="14"/>
      <c r="GXV4" s="14"/>
      <c r="GXW4" s="14"/>
      <c r="GXX4" s="14"/>
      <c r="GXY4" s="14"/>
      <c r="GXZ4" s="14"/>
      <c r="GYA4" s="14"/>
      <c r="GYB4" s="14"/>
      <c r="GYC4" s="14"/>
      <c r="GYD4" s="14"/>
      <c r="GYE4" s="14"/>
      <c r="GYF4" s="14"/>
      <c r="GYG4" s="14"/>
      <c r="GYH4" s="14"/>
      <c r="GYI4" s="14"/>
      <c r="GYJ4" s="14"/>
      <c r="GYK4" s="14"/>
      <c r="GYL4" s="14"/>
      <c r="GYM4" s="14"/>
      <c r="GYN4" s="14"/>
      <c r="GYO4" s="14"/>
      <c r="GYP4" s="14"/>
      <c r="GYQ4" s="14"/>
      <c r="GYR4" s="14"/>
      <c r="GYS4" s="14"/>
      <c r="GYT4" s="14"/>
      <c r="GYU4" s="14"/>
      <c r="GYV4" s="14"/>
      <c r="GYW4" s="14"/>
      <c r="GYX4" s="14"/>
      <c r="GYY4" s="14"/>
      <c r="GYZ4" s="14"/>
      <c r="GZA4" s="14"/>
      <c r="GZB4" s="14"/>
      <c r="GZC4" s="14"/>
      <c r="GZD4" s="14"/>
      <c r="GZE4" s="14"/>
      <c r="GZF4" s="14"/>
      <c r="GZG4" s="14"/>
      <c r="GZH4" s="14"/>
      <c r="GZI4" s="14"/>
      <c r="GZJ4" s="14"/>
      <c r="GZK4" s="14"/>
      <c r="GZL4" s="14"/>
      <c r="GZM4" s="14"/>
      <c r="GZN4" s="14"/>
      <c r="GZO4" s="14"/>
      <c r="GZP4" s="14"/>
      <c r="GZQ4" s="14"/>
      <c r="GZR4" s="14"/>
      <c r="GZS4" s="14"/>
      <c r="GZT4" s="14"/>
      <c r="GZU4" s="14"/>
      <c r="GZV4" s="14"/>
      <c r="GZW4" s="14"/>
      <c r="GZX4" s="14"/>
      <c r="GZY4" s="14"/>
      <c r="GZZ4" s="14"/>
      <c r="HAA4" s="14"/>
      <c r="HAB4" s="14"/>
      <c r="HAC4" s="14"/>
      <c r="HAD4" s="14"/>
      <c r="HAE4" s="14"/>
      <c r="HAF4" s="14"/>
      <c r="HAG4" s="14"/>
      <c r="HAH4" s="14"/>
      <c r="HAI4" s="14"/>
      <c r="HAJ4" s="14"/>
      <c r="HAK4" s="14"/>
      <c r="HAL4" s="14"/>
      <c r="HAM4" s="14"/>
      <c r="HAN4" s="14"/>
      <c r="HAO4" s="14"/>
      <c r="HAP4" s="14"/>
      <c r="HAQ4" s="14"/>
      <c r="HAR4" s="14"/>
      <c r="HAS4" s="14"/>
      <c r="HAT4" s="14"/>
      <c r="HAU4" s="14"/>
      <c r="HAV4" s="14"/>
      <c r="HAW4" s="14"/>
      <c r="HAX4" s="14"/>
      <c r="HAY4" s="14"/>
      <c r="HAZ4" s="14"/>
      <c r="HBA4" s="14"/>
      <c r="HBB4" s="14"/>
      <c r="HBC4" s="14"/>
      <c r="HBD4" s="14"/>
      <c r="HBE4" s="14"/>
      <c r="HBF4" s="14"/>
      <c r="HBG4" s="14"/>
      <c r="HBH4" s="14"/>
      <c r="HBI4" s="14"/>
      <c r="HBJ4" s="14"/>
      <c r="HBK4" s="14"/>
      <c r="HBL4" s="14"/>
      <c r="HBM4" s="14"/>
      <c r="HBN4" s="14"/>
      <c r="HBO4" s="14"/>
      <c r="HBP4" s="14"/>
      <c r="HBQ4" s="14"/>
      <c r="HBR4" s="14"/>
      <c r="HBS4" s="14"/>
      <c r="HBT4" s="14"/>
      <c r="HBU4" s="14"/>
      <c r="HBV4" s="14"/>
      <c r="HBW4" s="14"/>
      <c r="HBX4" s="14"/>
      <c r="HBY4" s="14"/>
      <c r="HBZ4" s="14"/>
      <c r="HCA4" s="14"/>
      <c r="HCB4" s="14"/>
      <c r="HCC4" s="14"/>
      <c r="HCD4" s="14"/>
      <c r="HCE4" s="14"/>
      <c r="HCF4" s="14"/>
      <c r="HCG4" s="14"/>
      <c r="HCH4" s="14"/>
      <c r="HCI4" s="14"/>
      <c r="HCJ4" s="14"/>
      <c r="HCK4" s="14"/>
      <c r="HCL4" s="14"/>
      <c r="HCM4" s="14"/>
      <c r="HCN4" s="14"/>
      <c r="HCO4" s="14"/>
      <c r="HCP4" s="14"/>
      <c r="HCQ4" s="14"/>
      <c r="HCR4" s="14"/>
      <c r="HCS4" s="14"/>
      <c r="HCT4" s="14"/>
      <c r="HCU4" s="14"/>
      <c r="HCV4" s="14"/>
      <c r="HCW4" s="14"/>
      <c r="HCX4" s="14"/>
      <c r="HCY4" s="14"/>
      <c r="HCZ4" s="14"/>
      <c r="HDA4" s="14"/>
      <c r="HDB4" s="14"/>
      <c r="HDC4" s="14"/>
      <c r="HDD4" s="14"/>
      <c r="HDE4" s="14"/>
      <c r="HDF4" s="14"/>
      <c r="HDG4" s="14"/>
      <c r="HDH4" s="14"/>
      <c r="HDI4" s="14"/>
      <c r="HDJ4" s="14"/>
      <c r="HDK4" s="14"/>
      <c r="HDL4" s="14"/>
      <c r="HDM4" s="14"/>
      <c r="HDN4" s="14"/>
      <c r="HDO4" s="14"/>
      <c r="HDP4" s="14"/>
      <c r="HDQ4" s="14"/>
      <c r="HDR4" s="14"/>
      <c r="HDS4" s="14"/>
      <c r="HDT4" s="14"/>
      <c r="HDU4" s="14"/>
      <c r="HDV4" s="14"/>
      <c r="HDW4" s="14"/>
      <c r="HDX4" s="14"/>
      <c r="HDY4" s="14"/>
      <c r="HDZ4" s="14"/>
      <c r="HEA4" s="14"/>
      <c r="HEB4" s="14"/>
      <c r="HEC4" s="14"/>
      <c r="HED4" s="14"/>
      <c r="HEE4" s="14"/>
      <c r="HEF4" s="14"/>
      <c r="HEG4" s="14"/>
      <c r="HEH4" s="14"/>
      <c r="HEI4" s="14"/>
      <c r="HEJ4" s="14"/>
      <c r="HEK4" s="14"/>
      <c r="HEL4" s="14"/>
      <c r="HEM4" s="14"/>
      <c r="HEN4" s="14"/>
      <c r="HEO4" s="14"/>
      <c r="HEP4" s="14"/>
      <c r="HEQ4" s="14"/>
      <c r="HER4" s="14"/>
      <c r="HES4" s="14"/>
      <c r="HET4" s="14"/>
      <c r="HEU4" s="14"/>
      <c r="HEV4" s="14"/>
      <c r="HEW4" s="14"/>
      <c r="HEX4" s="14"/>
      <c r="HEY4" s="14"/>
      <c r="HEZ4" s="14"/>
      <c r="HFA4" s="14"/>
      <c r="HFB4" s="14"/>
      <c r="HFC4" s="14"/>
      <c r="HFD4" s="14"/>
      <c r="HFE4" s="14"/>
      <c r="HFF4" s="14"/>
      <c r="HFG4" s="14"/>
      <c r="HFH4" s="14"/>
      <c r="HFI4" s="14"/>
      <c r="HFJ4" s="14"/>
      <c r="HFK4" s="14"/>
      <c r="HFL4" s="14"/>
      <c r="HFM4" s="14"/>
      <c r="HFN4" s="14"/>
      <c r="HFO4" s="14"/>
      <c r="HFP4" s="14"/>
      <c r="HFQ4" s="14"/>
      <c r="HFR4" s="14"/>
      <c r="HFS4" s="14"/>
      <c r="HFT4" s="14"/>
      <c r="HFU4" s="14"/>
      <c r="HFV4" s="14"/>
      <c r="HFW4" s="14"/>
      <c r="HFX4" s="14"/>
      <c r="HFY4" s="14"/>
      <c r="HFZ4" s="14"/>
      <c r="HGA4" s="14"/>
      <c r="HGB4" s="14"/>
      <c r="HGC4" s="14"/>
      <c r="HGD4" s="14"/>
      <c r="HGE4" s="14"/>
      <c r="HGF4" s="14"/>
      <c r="HGG4" s="14"/>
      <c r="HGH4" s="14"/>
      <c r="HGI4" s="14"/>
      <c r="HGJ4" s="14"/>
      <c r="HGK4" s="14"/>
      <c r="HGL4" s="14"/>
      <c r="HGM4" s="14"/>
      <c r="HGN4" s="14"/>
      <c r="HGO4" s="14"/>
      <c r="HGP4" s="14"/>
      <c r="HGQ4" s="14"/>
      <c r="HGR4" s="14"/>
      <c r="HGS4" s="14"/>
      <c r="HGT4" s="14"/>
      <c r="HGU4" s="14"/>
      <c r="HGV4" s="14"/>
      <c r="HGW4" s="14"/>
      <c r="HGX4" s="14"/>
      <c r="HGY4" s="14"/>
      <c r="HGZ4" s="14"/>
      <c r="HHA4" s="14"/>
      <c r="HHB4" s="14"/>
      <c r="HHC4" s="14"/>
      <c r="HHD4" s="14"/>
      <c r="HHE4" s="14"/>
      <c r="HHF4" s="14"/>
      <c r="HHG4" s="14"/>
      <c r="HHH4" s="14"/>
      <c r="HHI4" s="14"/>
      <c r="HHJ4" s="14"/>
      <c r="HHK4" s="14"/>
      <c r="HHL4" s="14"/>
      <c r="HHM4" s="14"/>
      <c r="HHN4" s="14"/>
      <c r="HHO4" s="14"/>
      <c r="HHP4" s="14"/>
      <c r="HHQ4" s="14"/>
      <c r="HHR4" s="14"/>
      <c r="HHS4" s="14"/>
      <c r="HHT4" s="14"/>
      <c r="HHU4" s="14"/>
      <c r="HHV4" s="14"/>
      <c r="HHW4" s="14"/>
      <c r="HHX4" s="14"/>
      <c r="HHY4" s="14"/>
      <c r="HHZ4" s="14"/>
      <c r="HIA4" s="14"/>
      <c r="HIB4" s="14"/>
      <c r="HIC4" s="14"/>
      <c r="HID4" s="14"/>
      <c r="HIE4" s="14"/>
      <c r="HIF4" s="14"/>
      <c r="HIG4" s="14"/>
      <c r="HIH4" s="14"/>
      <c r="HII4" s="14"/>
      <c r="HIJ4" s="14"/>
      <c r="HIK4" s="14"/>
      <c r="HIL4" s="14"/>
      <c r="HIM4" s="14"/>
      <c r="HIN4" s="14"/>
      <c r="HIO4" s="14"/>
      <c r="HIP4" s="14"/>
      <c r="HIQ4" s="14"/>
      <c r="HIR4" s="14"/>
      <c r="HIS4" s="14"/>
      <c r="HIT4" s="14"/>
      <c r="HIU4" s="14"/>
      <c r="HIV4" s="14"/>
      <c r="HIW4" s="14"/>
      <c r="HIX4" s="14"/>
      <c r="HIY4" s="14"/>
      <c r="HIZ4" s="14"/>
      <c r="HJA4" s="14"/>
      <c r="HJB4" s="14"/>
      <c r="HJC4" s="14"/>
      <c r="HJD4" s="14"/>
      <c r="HJE4" s="14"/>
      <c r="HJF4" s="14"/>
      <c r="HJG4" s="14"/>
      <c r="HJH4" s="14"/>
      <c r="HJI4" s="14"/>
      <c r="HJJ4" s="14"/>
      <c r="HJK4" s="14"/>
      <c r="HJL4" s="14"/>
      <c r="HJM4" s="14"/>
      <c r="HJN4" s="14"/>
      <c r="HJO4" s="14"/>
      <c r="HJP4" s="14"/>
      <c r="HJQ4" s="14"/>
      <c r="HJR4" s="14"/>
      <c r="HJS4" s="14"/>
      <c r="HJT4" s="14"/>
      <c r="HJU4" s="14"/>
      <c r="HJV4" s="14"/>
      <c r="HJW4" s="14"/>
      <c r="HJX4" s="14"/>
      <c r="HJY4" s="14"/>
      <c r="HJZ4" s="14"/>
      <c r="HKA4" s="14"/>
      <c r="HKB4" s="14"/>
      <c r="HKC4" s="14"/>
      <c r="HKD4" s="14"/>
      <c r="HKE4" s="14"/>
      <c r="HKF4" s="14"/>
      <c r="HKG4" s="14"/>
      <c r="HKH4" s="14"/>
      <c r="HKI4" s="14"/>
      <c r="HKJ4" s="14"/>
      <c r="HKK4" s="14"/>
      <c r="HKL4" s="14"/>
      <c r="HKM4" s="14"/>
      <c r="HKN4" s="14"/>
      <c r="HKO4" s="14"/>
      <c r="HKP4" s="14"/>
      <c r="HKQ4" s="14"/>
      <c r="HKR4" s="14"/>
      <c r="HKS4" s="14"/>
      <c r="HKT4" s="14"/>
      <c r="HKU4" s="14"/>
      <c r="HKV4" s="14"/>
      <c r="HKW4" s="14"/>
      <c r="HKX4" s="14"/>
      <c r="HKY4" s="14"/>
      <c r="HKZ4" s="14"/>
      <c r="HLA4" s="14"/>
      <c r="HLB4" s="14"/>
      <c r="HLC4" s="14"/>
      <c r="HLD4" s="14"/>
      <c r="HLE4" s="14"/>
      <c r="HLF4" s="14"/>
      <c r="HLG4" s="14"/>
      <c r="HLH4" s="14"/>
      <c r="HLI4" s="14"/>
      <c r="HLJ4" s="14"/>
      <c r="HLK4" s="14"/>
      <c r="HLL4" s="14"/>
      <c r="HLM4" s="14"/>
      <c r="HLN4" s="14"/>
      <c r="HLO4" s="14"/>
      <c r="HLP4" s="14"/>
      <c r="HLQ4" s="14"/>
      <c r="HLR4" s="14"/>
      <c r="HLS4" s="14"/>
      <c r="HLT4" s="14"/>
      <c r="HLU4" s="14"/>
      <c r="HLV4" s="14"/>
      <c r="HLW4" s="14"/>
      <c r="HLX4" s="14"/>
      <c r="HLY4" s="14"/>
      <c r="HLZ4" s="14"/>
      <c r="HMA4" s="14"/>
      <c r="HMB4" s="14"/>
      <c r="HMC4" s="14"/>
      <c r="HMD4" s="14"/>
      <c r="HME4" s="14"/>
      <c r="HMF4" s="14"/>
      <c r="HMG4" s="14"/>
      <c r="HMH4" s="14"/>
      <c r="HMI4" s="14"/>
      <c r="HMJ4" s="14"/>
      <c r="HMK4" s="14"/>
      <c r="HML4" s="14"/>
      <c r="HMM4" s="14"/>
      <c r="HMN4" s="14"/>
      <c r="HMO4" s="14"/>
      <c r="HMP4" s="14"/>
      <c r="HMQ4" s="14"/>
      <c r="HMR4" s="14"/>
      <c r="HMS4" s="14"/>
      <c r="HMT4" s="14"/>
      <c r="HMU4" s="14"/>
      <c r="HMV4" s="14"/>
      <c r="HMW4" s="14"/>
      <c r="HMX4" s="14"/>
      <c r="HMY4" s="14"/>
      <c r="HMZ4" s="14"/>
      <c r="HNA4" s="14"/>
      <c r="HNB4" s="14"/>
      <c r="HNC4" s="14"/>
      <c r="HND4" s="14"/>
      <c r="HNE4" s="14"/>
      <c r="HNF4" s="14"/>
      <c r="HNG4" s="14"/>
      <c r="HNH4" s="14"/>
      <c r="HNI4" s="14"/>
      <c r="HNJ4" s="14"/>
      <c r="HNK4" s="14"/>
      <c r="HNL4" s="14"/>
      <c r="HNM4" s="14"/>
      <c r="HNN4" s="14"/>
      <c r="HNO4" s="14"/>
      <c r="HNP4" s="14"/>
      <c r="HNQ4" s="14"/>
      <c r="HNR4" s="14"/>
      <c r="HNS4" s="14"/>
      <c r="HNT4" s="14"/>
      <c r="HNU4" s="14"/>
      <c r="HNV4" s="14"/>
      <c r="HNW4" s="14"/>
      <c r="HNX4" s="14"/>
      <c r="HNY4" s="14"/>
      <c r="HNZ4" s="14"/>
      <c r="HOA4" s="14"/>
      <c r="HOB4" s="14"/>
      <c r="HOC4" s="14"/>
      <c r="HOD4" s="14"/>
      <c r="HOE4" s="14"/>
      <c r="HOF4" s="14"/>
      <c r="HOG4" s="14"/>
      <c r="HOH4" s="14"/>
      <c r="HOI4" s="14"/>
      <c r="HOJ4" s="14"/>
      <c r="HOK4" s="14"/>
      <c r="HOL4" s="14"/>
      <c r="HOM4" s="14"/>
      <c r="HON4" s="14"/>
      <c r="HOO4" s="14"/>
      <c r="HOP4" s="14"/>
      <c r="HOQ4" s="14"/>
      <c r="HOR4" s="14"/>
      <c r="HOS4" s="14"/>
      <c r="HOT4" s="14"/>
      <c r="HOU4" s="14"/>
      <c r="HOV4" s="14"/>
      <c r="HOW4" s="14"/>
      <c r="HOX4" s="14"/>
      <c r="HOY4" s="14"/>
      <c r="HOZ4" s="14"/>
      <c r="HPA4" s="14"/>
      <c r="HPB4" s="14"/>
      <c r="HPC4" s="14"/>
      <c r="HPD4" s="14"/>
      <c r="HPE4" s="14"/>
      <c r="HPF4" s="14"/>
      <c r="HPG4" s="14"/>
      <c r="HPH4" s="14"/>
      <c r="HPI4" s="14"/>
      <c r="HPJ4" s="14"/>
      <c r="HPK4" s="14"/>
      <c r="HPL4" s="14"/>
      <c r="HPM4" s="14"/>
      <c r="HPN4" s="14"/>
      <c r="HPO4" s="14"/>
      <c r="HPP4" s="14"/>
      <c r="HPQ4" s="14"/>
      <c r="HPR4" s="14"/>
      <c r="HPS4" s="14"/>
      <c r="HPT4" s="14"/>
      <c r="HPU4" s="14"/>
      <c r="HPV4" s="14"/>
      <c r="HPW4" s="14"/>
      <c r="HPX4" s="14"/>
      <c r="HPY4" s="14"/>
      <c r="HPZ4" s="14"/>
      <c r="HQA4" s="14"/>
      <c r="HQB4" s="14"/>
      <c r="HQC4" s="14"/>
      <c r="HQD4" s="14"/>
      <c r="HQE4" s="14"/>
      <c r="HQF4" s="14"/>
      <c r="HQG4" s="14"/>
      <c r="HQH4" s="14"/>
      <c r="HQI4" s="14"/>
      <c r="HQJ4" s="14"/>
      <c r="HQK4" s="14"/>
      <c r="HQL4" s="14"/>
      <c r="HQM4" s="14"/>
      <c r="HQN4" s="14"/>
      <c r="HQO4" s="14"/>
      <c r="HQP4" s="14"/>
      <c r="HQQ4" s="14"/>
      <c r="HQR4" s="14"/>
      <c r="HQS4" s="14"/>
      <c r="HQT4" s="14"/>
      <c r="HQU4" s="14"/>
      <c r="HQV4" s="14"/>
      <c r="HQW4" s="14"/>
      <c r="HQX4" s="14"/>
      <c r="HQY4" s="14"/>
      <c r="HQZ4" s="14"/>
      <c r="HRA4" s="14"/>
      <c r="HRB4" s="14"/>
      <c r="HRC4" s="14"/>
      <c r="HRD4" s="14"/>
      <c r="HRE4" s="14"/>
      <c r="HRF4" s="14"/>
      <c r="HRG4" s="14"/>
      <c r="HRH4" s="14"/>
      <c r="HRI4" s="14"/>
      <c r="HRJ4" s="14"/>
      <c r="HRK4" s="14"/>
      <c r="HRL4" s="14"/>
      <c r="HRM4" s="14"/>
      <c r="HRN4" s="14"/>
      <c r="HRO4" s="14"/>
      <c r="HRP4" s="14"/>
      <c r="HRQ4" s="14"/>
      <c r="HRR4" s="14"/>
      <c r="HRS4" s="14"/>
      <c r="HRT4" s="14"/>
      <c r="HRU4" s="14"/>
      <c r="HRV4" s="14"/>
      <c r="HRW4" s="14"/>
      <c r="HRX4" s="14"/>
      <c r="HRY4" s="14"/>
      <c r="HRZ4" s="14"/>
      <c r="HSA4" s="14"/>
      <c r="HSB4" s="14"/>
      <c r="HSC4" s="14"/>
      <c r="HSD4" s="14"/>
      <c r="HSE4" s="14"/>
      <c r="HSF4" s="14"/>
      <c r="HSG4" s="14"/>
      <c r="HSH4" s="14"/>
      <c r="HSI4" s="14"/>
      <c r="HSJ4" s="14"/>
      <c r="HSK4" s="14"/>
      <c r="HSL4" s="14"/>
      <c r="HSM4" s="14"/>
      <c r="HSN4" s="14"/>
      <c r="HSO4" s="14"/>
      <c r="HSP4" s="14"/>
      <c r="HSQ4" s="14"/>
      <c r="HSR4" s="14"/>
      <c r="HSS4" s="14"/>
      <c r="HST4" s="14"/>
      <c r="HSU4" s="14"/>
      <c r="HSV4" s="14"/>
      <c r="HSW4" s="14"/>
      <c r="HSX4" s="14"/>
      <c r="HSY4" s="14"/>
      <c r="HSZ4" s="14"/>
      <c r="HTA4" s="14"/>
      <c r="HTB4" s="14"/>
      <c r="HTC4" s="14"/>
      <c r="HTD4" s="14"/>
      <c r="HTE4" s="14"/>
      <c r="HTF4" s="14"/>
      <c r="HTG4" s="14"/>
      <c r="HTH4" s="14"/>
      <c r="HTI4" s="14"/>
      <c r="HTJ4" s="14"/>
      <c r="HTK4" s="14"/>
      <c r="HTL4" s="14"/>
      <c r="HTM4" s="14"/>
      <c r="HTN4" s="14"/>
      <c r="HTO4" s="14"/>
      <c r="HTP4" s="14"/>
      <c r="HTQ4" s="14"/>
      <c r="HTR4" s="14"/>
      <c r="HTS4" s="14"/>
      <c r="HTT4" s="14"/>
      <c r="HTU4" s="14"/>
      <c r="HTV4" s="14"/>
      <c r="HTW4" s="14"/>
      <c r="HTX4" s="14"/>
      <c r="HTY4" s="14"/>
      <c r="HTZ4" s="14"/>
      <c r="HUA4" s="14"/>
      <c r="HUB4" s="14"/>
      <c r="HUC4" s="14"/>
      <c r="HUD4" s="14"/>
      <c r="HUE4" s="14"/>
      <c r="HUF4" s="14"/>
      <c r="HUG4" s="14"/>
      <c r="HUH4" s="14"/>
      <c r="HUI4" s="14"/>
      <c r="HUJ4" s="14"/>
      <c r="HUK4" s="14"/>
      <c r="HUL4" s="14"/>
      <c r="HUM4" s="14"/>
      <c r="HUN4" s="14"/>
      <c r="HUO4" s="14"/>
      <c r="HUP4" s="14"/>
      <c r="HUQ4" s="14"/>
      <c r="HUR4" s="14"/>
      <c r="HUS4" s="14"/>
      <c r="HUT4" s="14"/>
      <c r="HUU4" s="14"/>
      <c r="HUV4" s="14"/>
      <c r="HUW4" s="14"/>
      <c r="HUX4" s="14"/>
      <c r="HUY4" s="14"/>
      <c r="HUZ4" s="14"/>
      <c r="HVA4" s="14"/>
      <c r="HVB4" s="14"/>
      <c r="HVC4" s="14"/>
      <c r="HVD4" s="14"/>
      <c r="HVE4" s="14"/>
      <c r="HVF4" s="14"/>
      <c r="HVG4" s="14"/>
      <c r="HVH4" s="14"/>
      <c r="HVI4" s="14"/>
      <c r="HVJ4" s="14"/>
      <c r="HVK4" s="14"/>
      <c r="HVL4" s="14"/>
      <c r="HVM4" s="14"/>
      <c r="HVN4" s="14"/>
      <c r="HVO4" s="14"/>
      <c r="HVP4" s="14"/>
      <c r="HVQ4" s="14"/>
      <c r="HVR4" s="14"/>
      <c r="HVS4" s="14"/>
      <c r="HVT4" s="14"/>
      <c r="HVU4" s="14"/>
      <c r="HVV4" s="14"/>
      <c r="HVW4" s="14"/>
      <c r="HVX4" s="14"/>
      <c r="HVY4" s="14"/>
      <c r="HVZ4" s="14"/>
      <c r="HWA4" s="14"/>
      <c r="HWB4" s="14"/>
      <c r="HWC4" s="14"/>
      <c r="HWD4" s="14"/>
      <c r="HWE4" s="14"/>
      <c r="HWF4" s="14"/>
      <c r="HWG4" s="14"/>
      <c r="HWH4" s="14"/>
      <c r="HWI4" s="14"/>
      <c r="HWJ4" s="14"/>
      <c r="HWK4" s="14"/>
      <c r="HWL4" s="14"/>
      <c r="HWM4" s="14"/>
      <c r="HWN4" s="14"/>
      <c r="HWO4" s="14"/>
      <c r="HWP4" s="14"/>
      <c r="HWQ4" s="14"/>
      <c r="HWR4" s="14"/>
      <c r="HWS4" s="14"/>
      <c r="HWT4" s="14"/>
      <c r="HWU4" s="14"/>
      <c r="HWV4" s="14"/>
      <c r="HWW4" s="14"/>
      <c r="HWX4" s="14"/>
      <c r="HWY4" s="14"/>
      <c r="HWZ4" s="14"/>
      <c r="HXA4" s="14"/>
      <c r="HXB4" s="14"/>
      <c r="HXC4" s="14"/>
      <c r="HXD4" s="14"/>
      <c r="HXE4" s="14"/>
      <c r="HXF4" s="14"/>
      <c r="HXG4" s="14"/>
      <c r="HXH4" s="14"/>
      <c r="HXI4" s="14"/>
      <c r="HXJ4" s="14"/>
      <c r="HXK4" s="14"/>
      <c r="HXL4" s="14"/>
      <c r="HXM4" s="14"/>
      <c r="HXN4" s="14"/>
      <c r="HXO4" s="14"/>
      <c r="HXP4" s="14"/>
      <c r="HXQ4" s="14"/>
      <c r="HXR4" s="14"/>
      <c r="HXS4" s="14"/>
      <c r="HXT4" s="14"/>
      <c r="HXU4" s="14"/>
      <c r="HXV4" s="14"/>
      <c r="HXW4" s="14"/>
      <c r="HXX4" s="14"/>
      <c r="HXY4" s="14"/>
      <c r="HXZ4" s="14"/>
      <c r="HYA4" s="14"/>
      <c r="HYB4" s="14"/>
      <c r="HYC4" s="14"/>
      <c r="HYD4" s="14"/>
      <c r="HYE4" s="14"/>
      <c r="HYF4" s="14"/>
      <c r="HYG4" s="14"/>
      <c r="HYH4" s="14"/>
      <c r="HYI4" s="14"/>
      <c r="HYJ4" s="14"/>
      <c r="HYK4" s="14"/>
      <c r="HYL4" s="14"/>
      <c r="HYM4" s="14"/>
      <c r="HYN4" s="14"/>
      <c r="HYO4" s="14"/>
      <c r="HYP4" s="14"/>
      <c r="HYQ4" s="14"/>
      <c r="HYR4" s="14"/>
      <c r="HYS4" s="14"/>
      <c r="HYT4" s="14"/>
      <c r="HYU4" s="14"/>
      <c r="HYV4" s="14"/>
      <c r="HYW4" s="14"/>
      <c r="HYX4" s="14"/>
      <c r="HYY4" s="14"/>
      <c r="HYZ4" s="14"/>
      <c r="HZA4" s="14"/>
      <c r="HZB4" s="14"/>
      <c r="HZC4" s="14"/>
      <c r="HZD4" s="14"/>
      <c r="HZE4" s="14"/>
      <c r="HZF4" s="14"/>
      <c r="HZG4" s="14"/>
      <c r="HZH4" s="14"/>
      <c r="HZI4" s="14"/>
      <c r="HZJ4" s="14"/>
      <c r="HZK4" s="14"/>
      <c r="HZL4" s="14"/>
      <c r="HZM4" s="14"/>
      <c r="HZN4" s="14"/>
      <c r="HZO4" s="14"/>
      <c r="HZP4" s="14"/>
      <c r="HZQ4" s="14"/>
      <c r="HZR4" s="14"/>
      <c r="HZS4" s="14"/>
      <c r="HZT4" s="14"/>
      <c r="HZU4" s="14"/>
      <c r="HZV4" s="14"/>
      <c r="HZW4" s="14"/>
      <c r="HZX4" s="14"/>
      <c r="HZY4" s="14"/>
      <c r="HZZ4" s="14"/>
      <c r="IAA4" s="14"/>
      <c r="IAB4" s="14"/>
      <c r="IAC4" s="14"/>
      <c r="IAD4" s="14"/>
      <c r="IAE4" s="14"/>
      <c r="IAF4" s="14"/>
      <c r="IAG4" s="14"/>
      <c r="IAH4" s="14"/>
      <c r="IAI4" s="14"/>
      <c r="IAJ4" s="14"/>
      <c r="IAK4" s="14"/>
      <c r="IAL4" s="14"/>
      <c r="IAM4" s="14"/>
      <c r="IAN4" s="14"/>
      <c r="IAO4" s="14"/>
      <c r="IAP4" s="14"/>
      <c r="IAQ4" s="14"/>
      <c r="IAR4" s="14"/>
      <c r="IAS4" s="14"/>
      <c r="IAT4" s="14"/>
      <c r="IAU4" s="14"/>
      <c r="IAV4" s="14"/>
      <c r="IAW4" s="14"/>
      <c r="IAX4" s="14"/>
      <c r="IAY4" s="14"/>
      <c r="IAZ4" s="14"/>
      <c r="IBA4" s="14"/>
      <c r="IBB4" s="14"/>
      <c r="IBC4" s="14"/>
      <c r="IBD4" s="14"/>
      <c r="IBE4" s="14"/>
      <c r="IBF4" s="14"/>
      <c r="IBG4" s="14"/>
      <c r="IBH4" s="14"/>
      <c r="IBI4" s="14"/>
      <c r="IBJ4" s="14"/>
      <c r="IBK4" s="14"/>
      <c r="IBL4" s="14"/>
      <c r="IBM4" s="14"/>
      <c r="IBN4" s="14"/>
      <c r="IBO4" s="14"/>
      <c r="IBP4" s="14"/>
      <c r="IBQ4" s="14"/>
      <c r="IBR4" s="14"/>
      <c r="IBS4" s="14"/>
      <c r="IBT4" s="14"/>
      <c r="IBU4" s="14"/>
      <c r="IBV4" s="14"/>
      <c r="IBW4" s="14"/>
      <c r="IBX4" s="14"/>
      <c r="IBY4" s="14"/>
      <c r="IBZ4" s="14"/>
      <c r="ICA4" s="14"/>
      <c r="ICB4" s="14"/>
      <c r="ICC4" s="14"/>
      <c r="ICD4" s="14"/>
      <c r="ICE4" s="14"/>
      <c r="ICF4" s="14"/>
      <c r="ICG4" s="14"/>
      <c r="ICH4" s="14"/>
      <c r="ICI4" s="14"/>
      <c r="ICJ4" s="14"/>
      <c r="ICK4" s="14"/>
      <c r="ICL4" s="14"/>
      <c r="ICM4" s="14"/>
      <c r="ICN4" s="14"/>
      <c r="ICO4" s="14"/>
      <c r="ICP4" s="14"/>
      <c r="ICQ4" s="14"/>
      <c r="ICR4" s="14"/>
      <c r="ICS4" s="14"/>
      <c r="ICT4" s="14"/>
      <c r="ICU4" s="14"/>
      <c r="ICV4" s="14"/>
      <c r="ICW4" s="14"/>
      <c r="ICX4" s="14"/>
      <c r="ICY4" s="14"/>
      <c r="ICZ4" s="14"/>
      <c r="IDA4" s="14"/>
      <c r="IDB4" s="14"/>
      <c r="IDC4" s="14"/>
      <c r="IDD4" s="14"/>
      <c r="IDE4" s="14"/>
      <c r="IDF4" s="14"/>
      <c r="IDG4" s="14"/>
      <c r="IDH4" s="14"/>
      <c r="IDI4" s="14"/>
      <c r="IDJ4" s="14"/>
      <c r="IDK4" s="14"/>
      <c r="IDL4" s="14"/>
      <c r="IDM4" s="14"/>
      <c r="IDN4" s="14"/>
      <c r="IDO4" s="14"/>
      <c r="IDP4" s="14"/>
      <c r="IDQ4" s="14"/>
      <c r="IDR4" s="14"/>
      <c r="IDS4" s="14"/>
      <c r="IDT4" s="14"/>
      <c r="IDU4" s="14"/>
      <c r="IDV4" s="14"/>
      <c r="IDW4" s="14"/>
      <c r="IDX4" s="14"/>
      <c r="IDY4" s="14"/>
      <c r="IDZ4" s="14"/>
      <c r="IEA4" s="14"/>
      <c r="IEB4" s="14"/>
      <c r="IEC4" s="14"/>
      <c r="IED4" s="14"/>
      <c r="IEE4" s="14"/>
      <c r="IEF4" s="14"/>
      <c r="IEG4" s="14"/>
      <c r="IEH4" s="14"/>
      <c r="IEI4" s="14"/>
      <c r="IEJ4" s="14"/>
      <c r="IEK4" s="14"/>
      <c r="IEL4" s="14"/>
      <c r="IEM4" s="14"/>
      <c r="IEN4" s="14"/>
      <c r="IEO4" s="14"/>
      <c r="IEP4" s="14"/>
      <c r="IEQ4" s="14"/>
      <c r="IER4" s="14"/>
      <c r="IES4" s="14"/>
      <c r="IET4" s="14"/>
      <c r="IEU4" s="14"/>
      <c r="IEV4" s="14"/>
      <c r="IEW4" s="14"/>
      <c r="IEX4" s="14"/>
      <c r="IEY4" s="14"/>
      <c r="IEZ4" s="14"/>
      <c r="IFA4" s="14"/>
      <c r="IFB4" s="14"/>
      <c r="IFC4" s="14"/>
      <c r="IFD4" s="14"/>
      <c r="IFE4" s="14"/>
      <c r="IFF4" s="14"/>
      <c r="IFG4" s="14"/>
      <c r="IFH4" s="14"/>
      <c r="IFI4" s="14"/>
      <c r="IFJ4" s="14"/>
      <c r="IFK4" s="14"/>
      <c r="IFL4" s="14"/>
      <c r="IFM4" s="14"/>
      <c r="IFN4" s="14"/>
      <c r="IFO4" s="14"/>
      <c r="IFP4" s="14"/>
      <c r="IFQ4" s="14"/>
      <c r="IFR4" s="14"/>
      <c r="IFS4" s="14"/>
      <c r="IFT4" s="14"/>
      <c r="IFU4" s="14"/>
      <c r="IFV4" s="14"/>
      <c r="IFW4" s="14"/>
      <c r="IFX4" s="14"/>
      <c r="IFY4" s="14"/>
      <c r="IFZ4" s="14"/>
      <c r="IGA4" s="14"/>
      <c r="IGB4" s="14"/>
      <c r="IGC4" s="14"/>
      <c r="IGD4" s="14"/>
      <c r="IGE4" s="14"/>
      <c r="IGF4" s="14"/>
      <c r="IGG4" s="14"/>
      <c r="IGH4" s="14"/>
      <c r="IGI4" s="14"/>
      <c r="IGJ4" s="14"/>
      <c r="IGK4" s="14"/>
      <c r="IGL4" s="14"/>
      <c r="IGM4" s="14"/>
      <c r="IGN4" s="14"/>
      <c r="IGO4" s="14"/>
      <c r="IGP4" s="14"/>
      <c r="IGQ4" s="14"/>
      <c r="IGR4" s="14"/>
      <c r="IGS4" s="14"/>
      <c r="IGT4" s="14"/>
      <c r="IGU4" s="14"/>
      <c r="IGV4" s="14"/>
      <c r="IGW4" s="14"/>
      <c r="IGX4" s="14"/>
      <c r="IGY4" s="14"/>
      <c r="IGZ4" s="14"/>
      <c r="IHA4" s="14"/>
      <c r="IHB4" s="14"/>
      <c r="IHC4" s="14"/>
      <c r="IHD4" s="14"/>
      <c r="IHE4" s="14"/>
      <c r="IHF4" s="14"/>
      <c r="IHG4" s="14"/>
      <c r="IHH4" s="14"/>
      <c r="IHI4" s="14"/>
      <c r="IHJ4" s="14"/>
      <c r="IHK4" s="14"/>
      <c r="IHL4" s="14"/>
      <c r="IHM4" s="14"/>
      <c r="IHN4" s="14"/>
      <c r="IHO4" s="14"/>
      <c r="IHP4" s="14"/>
      <c r="IHQ4" s="14"/>
      <c r="IHR4" s="14"/>
      <c r="IHS4" s="14"/>
      <c r="IHT4" s="14"/>
      <c r="IHU4" s="14"/>
      <c r="IHV4" s="14"/>
      <c r="IHW4" s="14"/>
      <c r="IHX4" s="14"/>
      <c r="IHY4" s="14"/>
      <c r="IHZ4" s="14"/>
      <c r="IIA4" s="14"/>
      <c r="IIB4" s="14"/>
      <c r="IIC4" s="14"/>
      <c r="IID4" s="14"/>
      <c r="IIE4" s="14"/>
      <c r="IIF4" s="14"/>
      <c r="IIG4" s="14"/>
      <c r="IIH4" s="14"/>
      <c r="III4" s="14"/>
      <c r="IIJ4" s="14"/>
      <c r="IIK4" s="14"/>
      <c r="IIL4" s="14"/>
      <c r="IIM4" s="14"/>
      <c r="IIN4" s="14"/>
      <c r="IIO4" s="14"/>
      <c r="IIP4" s="14"/>
      <c r="IIQ4" s="14"/>
      <c r="IIR4" s="14"/>
      <c r="IIS4" s="14"/>
      <c r="IIT4" s="14"/>
      <c r="IIU4" s="14"/>
      <c r="IIV4" s="14"/>
      <c r="IIW4" s="14"/>
      <c r="IIX4" s="14"/>
      <c r="IIY4" s="14"/>
      <c r="IIZ4" s="14"/>
      <c r="IJA4" s="14"/>
      <c r="IJB4" s="14"/>
      <c r="IJC4" s="14"/>
      <c r="IJD4" s="14"/>
      <c r="IJE4" s="14"/>
      <c r="IJF4" s="14"/>
      <c r="IJG4" s="14"/>
      <c r="IJH4" s="14"/>
      <c r="IJI4" s="14"/>
      <c r="IJJ4" s="14"/>
      <c r="IJK4" s="14"/>
      <c r="IJL4" s="14"/>
      <c r="IJM4" s="14"/>
      <c r="IJN4" s="14"/>
      <c r="IJO4" s="14"/>
      <c r="IJP4" s="14"/>
      <c r="IJQ4" s="14"/>
      <c r="IJR4" s="14"/>
      <c r="IJS4" s="14"/>
      <c r="IJT4" s="14"/>
      <c r="IJU4" s="14"/>
      <c r="IJV4" s="14"/>
      <c r="IJW4" s="14"/>
      <c r="IJX4" s="14"/>
      <c r="IJY4" s="14"/>
      <c r="IJZ4" s="14"/>
      <c r="IKA4" s="14"/>
      <c r="IKB4" s="14"/>
      <c r="IKC4" s="14"/>
      <c r="IKD4" s="14"/>
      <c r="IKE4" s="14"/>
      <c r="IKF4" s="14"/>
      <c r="IKG4" s="14"/>
      <c r="IKH4" s="14"/>
      <c r="IKI4" s="14"/>
      <c r="IKJ4" s="14"/>
      <c r="IKK4" s="14"/>
      <c r="IKL4" s="14"/>
      <c r="IKM4" s="14"/>
      <c r="IKN4" s="14"/>
      <c r="IKO4" s="14"/>
      <c r="IKP4" s="14"/>
      <c r="IKQ4" s="14"/>
      <c r="IKR4" s="14"/>
      <c r="IKS4" s="14"/>
      <c r="IKT4" s="14"/>
      <c r="IKU4" s="14"/>
      <c r="IKV4" s="14"/>
      <c r="IKW4" s="14"/>
      <c r="IKX4" s="14"/>
      <c r="IKY4" s="14"/>
      <c r="IKZ4" s="14"/>
      <c r="ILA4" s="14"/>
      <c r="ILB4" s="14"/>
      <c r="ILC4" s="14"/>
      <c r="ILD4" s="14"/>
      <c r="ILE4" s="14"/>
      <c r="ILF4" s="14"/>
      <c r="ILG4" s="14"/>
      <c r="ILH4" s="14"/>
      <c r="ILI4" s="14"/>
      <c r="ILJ4" s="14"/>
      <c r="ILK4" s="14"/>
      <c r="ILL4" s="14"/>
      <c r="ILM4" s="14"/>
      <c r="ILN4" s="14"/>
      <c r="ILO4" s="14"/>
      <c r="ILP4" s="14"/>
      <c r="ILQ4" s="14"/>
      <c r="ILR4" s="14"/>
      <c r="ILS4" s="14"/>
      <c r="ILT4" s="14"/>
      <c r="ILU4" s="14"/>
      <c r="ILV4" s="14"/>
      <c r="ILW4" s="14"/>
      <c r="ILX4" s="14"/>
      <c r="ILY4" s="14"/>
      <c r="ILZ4" s="14"/>
      <c r="IMA4" s="14"/>
      <c r="IMB4" s="14"/>
      <c r="IMC4" s="14"/>
      <c r="IMD4" s="14"/>
      <c r="IME4" s="14"/>
      <c r="IMF4" s="14"/>
      <c r="IMG4" s="14"/>
      <c r="IMH4" s="14"/>
      <c r="IMI4" s="14"/>
      <c r="IMJ4" s="14"/>
      <c r="IMK4" s="14"/>
      <c r="IML4" s="14"/>
      <c r="IMM4" s="14"/>
      <c r="IMN4" s="14"/>
      <c r="IMO4" s="14"/>
      <c r="IMP4" s="14"/>
      <c r="IMQ4" s="14"/>
      <c r="IMR4" s="14"/>
      <c r="IMS4" s="14"/>
      <c r="IMT4" s="14"/>
      <c r="IMU4" s="14"/>
      <c r="IMV4" s="14"/>
      <c r="IMW4" s="14"/>
      <c r="IMX4" s="14"/>
      <c r="IMY4" s="14"/>
      <c r="IMZ4" s="14"/>
      <c r="INA4" s="14"/>
      <c r="INB4" s="14"/>
      <c r="INC4" s="14"/>
      <c r="IND4" s="14"/>
      <c r="INE4" s="14"/>
      <c r="INF4" s="14"/>
      <c r="ING4" s="14"/>
      <c r="INH4" s="14"/>
      <c r="INI4" s="14"/>
      <c r="INJ4" s="14"/>
      <c r="INK4" s="14"/>
      <c r="INL4" s="14"/>
      <c r="INM4" s="14"/>
      <c r="INN4" s="14"/>
      <c r="INO4" s="14"/>
      <c r="INP4" s="14"/>
      <c r="INQ4" s="14"/>
      <c r="INR4" s="14"/>
      <c r="INS4" s="14"/>
      <c r="INT4" s="14"/>
      <c r="INU4" s="14"/>
      <c r="INV4" s="14"/>
      <c r="INW4" s="14"/>
      <c r="INX4" s="14"/>
      <c r="INY4" s="14"/>
      <c r="INZ4" s="14"/>
      <c r="IOA4" s="14"/>
      <c r="IOB4" s="14"/>
      <c r="IOC4" s="14"/>
      <c r="IOD4" s="14"/>
      <c r="IOE4" s="14"/>
      <c r="IOF4" s="14"/>
      <c r="IOG4" s="14"/>
      <c r="IOH4" s="14"/>
      <c r="IOI4" s="14"/>
      <c r="IOJ4" s="14"/>
      <c r="IOK4" s="14"/>
      <c r="IOL4" s="14"/>
      <c r="IOM4" s="14"/>
      <c r="ION4" s="14"/>
      <c r="IOO4" s="14"/>
      <c r="IOP4" s="14"/>
      <c r="IOQ4" s="14"/>
      <c r="IOR4" s="14"/>
      <c r="IOS4" s="14"/>
      <c r="IOT4" s="14"/>
      <c r="IOU4" s="14"/>
      <c r="IOV4" s="14"/>
      <c r="IOW4" s="14"/>
      <c r="IOX4" s="14"/>
      <c r="IOY4" s="14"/>
      <c r="IOZ4" s="14"/>
      <c r="IPA4" s="14"/>
      <c r="IPB4" s="14"/>
      <c r="IPC4" s="14"/>
      <c r="IPD4" s="14"/>
      <c r="IPE4" s="14"/>
      <c r="IPF4" s="14"/>
      <c r="IPG4" s="14"/>
      <c r="IPH4" s="14"/>
      <c r="IPI4" s="14"/>
      <c r="IPJ4" s="14"/>
      <c r="IPK4" s="14"/>
      <c r="IPL4" s="14"/>
      <c r="IPM4" s="14"/>
      <c r="IPN4" s="14"/>
      <c r="IPO4" s="14"/>
      <c r="IPP4" s="14"/>
      <c r="IPQ4" s="14"/>
      <c r="IPR4" s="14"/>
      <c r="IPS4" s="14"/>
      <c r="IPT4" s="14"/>
      <c r="IPU4" s="14"/>
      <c r="IPV4" s="14"/>
      <c r="IPW4" s="14"/>
      <c r="IPX4" s="14"/>
      <c r="IPY4" s="14"/>
      <c r="IPZ4" s="14"/>
      <c r="IQA4" s="14"/>
      <c r="IQB4" s="14"/>
      <c r="IQC4" s="14"/>
      <c r="IQD4" s="14"/>
      <c r="IQE4" s="14"/>
      <c r="IQF4" s="14"/>
      <c r="IQG4" s="14"/>
      <c r="IQH4" s="14"/>
      <c r="IQI4" s="14"/>
      <c r="IQJ4" s="14"/>
      <c r="IQK4" s="14"/>
      <c r="IQL4" s="14"/>
      <c r="IQM4" s="14"/>
      <c r="IQN4" s="14"/>
      <c r="IQO4" s="14"/>
      <c r="IQP4" s="14"/>
      <c r="IQQ4" s="14"/>
      <c r="IQR4" s="14"/>
      <c r="IQS4" s="14"/>
      <c r="IQT4" s="14"/>
      <c r="IQU4" s="14"/>
      <c r="IQV4" s="14"/>
      <c r="IQW4" s="14"/>
      <c r="IQX4" s="14"/>
      <c r="IQY4" s="14"/>
      <c r="IQZ4" s="14"/>
      <c r="IRA4" s="14"/>
      <c r="IRB4" s="14"/>
      <c r="IRC4" s="14"/>
      <c r="IRD4" s="14"/>
      <c r="IRE4" s="14"/>
      <c r="IRF4" s="14"/>
      <c r="IRG4" s="14"/>
      <c r="IRH4" s="14"/>
      <c r="IRI4" s="14"/>
      <c r="IRJ4" s="14"/>
      <c r="IRK4" s="14"/>
      <c r="IRL4" s="14"/>
      <c r="IRM4" s="14"/>
      <c r="IRN4" s="14"/>
      <c r="IRO4" s="14"/>
      <c r="IRP4" s="14"/>
      <c r="IRQ4" s="14"/>
      <c r="IRR4" s="14"/>
      <c r="IRS4" s="14"/>
      <c r="IRT4" s="14"/>
      <c r="IRU4" s="14"/>
      <c r="IRV4" s="14"/>
      <c r="IRW4" s="14"/>
      <c r="IRX4" s="14"/>
      <c r="IRY4" s="14"/>
      <c r="IRZ4" s="14"/>
      <c r="ISA4" s="14"/>
      <c r="ISB4" s="14"/>
      <c r="ISC4" s="14"/>
      <c r="ISD4" s="14"/>
      <c r="ISE4" s="14"/>
      <c r="ISF4" s="14"/>
      <c r="ISG4" s="14"/>
      <c r="ISH4" s="14"/>
      <c r="ISI4" s="14"/>
      <c r="ISJ4" s="14"/>
      <c r="ISK4" s="14"/>
      <c r="ISL4" s="14"/>
      <c r="ISM4" s="14"/>
      <c r="ISN4" s="14"/>
      <c r="ISO4" s="14"/>
      <c r="ISP4" s="14"/>
      <c r="ISQ4" s="14"/>
      <c r="ISR4" s="14"/>
      <c r="ISS4" s="14"/>
      <c r="IST4" s="14"/>
      <c r="ISU4" s="14"/>
      <c r="ISV4" s="14"/>
      <c r="ISW4" s="14"/>
      <c r="ISX4" s="14"/>
      <c r="ISY4" s="14"/>
      <c r="ISZ4" s="14"/>
      <c r="ITA4" s="14"/>
      <c r="ITB4" s="14"/>
      <c r="ITC4" s="14"/>
      <c r="ITD4" s="14"/>
      <c r="ITE4" s="14"/>
      <c r="ITF4" s="14"/>
      <c r="ITG4" s="14"/>
      <c r="ITH4" s="14"/>
      <c r="ITI4" s="14"/>
      <c r="ITJ4" s="14"/>
      <c r="ITK4" s="14"/>
      <c r="ITL4" s="14"/>
      <c r="ITM4" s="14"/>
      <c r="ITN4" s="14"/>
      <c r="ITO4" s="14"/>
      <c r="ITP4" s="14"/>
      <c r="ITQ4" s="14"/>
      <c r="ITR4" s="14"/>
      <c r="ITS4" s="14"/>
      <c r="ITT4" s="14"/>
      <c r="ITU4" s="14"/>
      <c r="ITV4" s="14"/>
      <c r="ITW4" s="14"/>
      <c r="ITX4" s="14"/>
      <c r="ITY4" s="14"/>
      <c r="ITZ4" s="14"/>
      <c r="IUA4" s="14"/>
      <c r="IUB4" s="14"/>
      <c r="IUC4" s="14"/>
      <c r="IUD4" s="14"/>
      <c r="IUE4" s="14"/>
      <c r="IUF4" s="14"/>
      <c r="IUG4" s="14"/>
      <c r="IUH4" s="14"/>
      <c r="IUI4" s="14"/>
      <c r="IUJ4" s="14"/>
      <c r="IUK4" s="14"/>
      <c r="IUL4" s="14"/>
      <c r="IUM4" s="14"/>
      <c r="IUN4" s="14"/>
      <c r="IUO4" s="14"/>
      <c r="IUP4" s="14"/>
      <c r="IUQ4" s="14"/>
      <c r="IUR4" s="14"/>
      <c r="IUS4" s="14"/>
      <c r="IUT4" s="14"/>
      <c r="IUU4" s="14"/>
      <c r="IUV4" s="14"/>
      <c r="IUW4" s="14"/>
      <c r="IUX4" s="14"/>
      <c r="IUY4" s="14"/>
      <c r="IUZ4" s="14"/>
      <c r="IVA4" s="14"/>
      <c r="IVB4" s="14"/>
      <c r="IVC4" s="14"/>
      <c r="IVD4" s="14"/>
      <c r="IVE4" s="14"/>
      <c r="IVF4" s="14"/>
      <c r="IVG4" s="14"/>
      <c r="IVH4" s="14"/>
      <c r="IVI4" s="14"/>
      <c r="IVJ4" s="14"/>
      <c r="IVK4" s="14"/>
      <c r="IVL4" s="14"/>
      <c r="IVM4" s="14"/>
      <c r="IVN4" s="14"/>
      <c r="IVO4" s="14"/>
      <c r="IVP4" s="14"/>
      <c r="IVQ4" s="14"/>
      <c r="IVR4" s="14"/>
      <c r="IVS4" s="14"/>
      <c r="IVT4" s="14"/>
      <c r="IVU4" s="14"/>
      <c r="IVV4" s="14"/>
      <c r="IVW4" s="14"/>
      <c r="IVX4" s="14"/>
      <c r="IVY4" s="14"/>
      <c r="IVZ4" s="14"/>
      <c r="IWA4" s="14"/>
      <c r="IWB4" s="14"/>
      <c r="IWC4" s="14"/>
      <c r="IWD4" s="14"/>
      <c r="IWE4" s="14"/>
      <c r="IWF4" s="14"/>
      <c r="IWG4" s="14"/>
      <c r="IWH4" s="14"/>
      <c r="IWI4" s="14"/>
      <c r="IWJ4" s="14"/>
      <c r="IWK4" s="14"/>
      <c r="IWL4" s="14"/>
      <c r="IWM4" s="14"/>
      <c r="IWN4" s="14"/>
      <c r="IWO4" s="14"/>
      <c r="IWP4" s="14"/>
      <c r="IWQ4" s="14"/>
      <c r="IWR4" s="14"/>
      <c r="IWS4" s="14"/>
      <c r="IWT4" s="14"/>
      <c r="IWU4" s="14"/>
      <c r="IWV4" s="14"/>
      <c r="IWW4" s="14"/>
      <c r="IWX4" s="14"/>
      <c r="IWY4" s="14"/>
      <c r="IWZ4" s="14"/>
      <c r="IXA4" s="14"/>
      <c r="IXB4" s="14"/>
      <c r="IXC4" s="14"/>
      <c r="IXD4" s="14"/>
      <c r="IXE4" s="14"/>
      <c r="IXF4" s="14"/>
      <c r="IXG4" s="14"/>
      <c r="IXH4" s="14"/>
      <c r="IXI4" s="14"/>
      <c r="IXJ4" s="14"/>
      <c r="IXK4" s="14"/>
      <c r="IXL4" s="14"/>
      <c r="IXM4" s="14"/>
      <c r="IXN4" s="14"/>
      <c r="IXO4" s="14"/>
      <c r="IXP4" s="14"/>
      <c r="IXQ4" s="14"/>
      <c r="IXR4" s="14"/>
      <c r="IXS4" s="14"/>
      <c r="IXT4" s="14"/>
      <c r="IXU4" s="14"/>
      <c r="IXV4" s="14"/>
      <c r="IXW4" s="14"/>
      <c r="IXX4" s="14"/>
      <c r="IXY4" s="14"/>
      <c r="IXZ4" s="14"/>
      <c r="IYA4" s="14"/>
      <c r="IYB4" s="14"/>
      <c r="IYC4" s="14"/>
      <c r="IYD4" s="14"/>
      <c r="IYE4" s="14"/>
      <c r="IYF4" s="14"/>
      <c r="IYG4" s="14"/>
      <c r="IYH4" s="14"/>
      <c r="IYI4" s="14"/>
      <c r="IYJ4" s="14"/>
      <c r="IYK4" s="14"/>
      <c r="IYL4" s="14"/>
      <c r="IYM4" s="14"/>
      <c r="IYN4" s="14"/>
      <c r="IYO4" s="14"/>
      <c r="IYP4" s="14"/>
      <c r="IYQ4" s="14"/>
      <c r="IYR4" s="14"/>
      <c r="IYS4" s="14"/>
      <c r="IYT4" s="14"/>
      <c r="IYU4" s="14"/>
      <c r="IYV4" s="14"/>
      <c r="IYW4" s="14"/>
      <c r="IYX4" s="14"/>
      <c r="IYY4" s="14"/>
      <c r="IYZ4" s="14"/>
      <c r="IZA4" s="14"/>
      <c r="IZB4" s="14"/>
      <c r="IZC4" s="14"/>
      <c r="IZD4" s="14"/>
      <c r="IZE4" s="14"/>
      <c r="IZF4" s="14"/>
      <c r="IZG4" s="14"/>
      <c r="IZH4" s="14"/>
      <c r="IZI4" s="14"/>
      <c r="IZJ4" s="14"/>
      <c r="IZK4" s="14"/>
      <c r="IZL4" s="14"/>
      <c r="IZM4" s="14"/>
      <c r="IZN4" s="14"/>
      <c r="IZO4" s="14"/>
      <c r="IZP4" s="14"/>
      <c r="IZQ4" s="14"/>
      <c r="IZR4" s="14"/>
      <c r="IZS4" s="14"/>
      <c r="IZT4" s="14"/>
      <c r="IZU4" s="14"/>
      <c r="IZV4" s="14"/>
      <c r="IZW4" s="14"/>
      <c r="IZX4" s="14"/>
      <c r="IZY4" s="14"/>
      <c r="IZZ4" s="14"/>
      <c r="JAA4" s="14"/>
      <c r="JAB4" s="14"/>
      <c r="JAC4" s="14"/>
      <c r="JAD4" s="14"/>
      <c r="JAE4" s="14"/>
      <c r="JAF4" s="14"/>
      <c r="JAG4" s="14"/>
      <c r="JAH4" s="14"/>
      <c r="JAI4" s="14"/>
      <c r="JAJ4" s="14"/>
      <c r="JAK4" s="14"/>
      <c r="JAL4" s="14"/>
      <c r="JAM4" s="14"/>
      <c r="JAN4" s="14"/>
      <c r="JAO4" s="14"/>
      <c r="JAP4" s="14"/>
      <c r="JAQ4" s="14"/>
      <c r="JAR4" s="14"/>
      <c r="JAS4" s="14"/>
      <c r="JAT4" s="14"/>
      <c r="JAU4" s="14"/>
      <c r="JAV4" s="14"/>
      <c r="JAW4" s="14"/>
      <c r="JAX4" s="14"/>
      <c r="JAY4" s="14"/>
      <c r="JAZ4" s="14"/>
      <c r="JBA4" s="14"/>
      <c r="JBB4" s="14"/>
      <c r="JBC4" s="14"/>
      <c r="JBD4" s="14"/>
      <c r="JBE4" s="14"/>
      <c r="JBF4" s="14"/>
      <c r="JBG4" s="14"/>
      <c r="JBH4" s="14"/>
      <c r="JBI4" s="14"/>
      <c r="JBJ4" s="14"/>
      <c r="JBK4" s="14"/>
      <c r="JBL4" s="14"/>
      <c r="JBM4" s="14"/>
      <c r="JBN4" s="14"/>
      <c r="JBO4" s="14"/>
      <c r="JBP4" s="14"/>
      <c r="JBQ4" s="14"/>
      <c r="JBR4" s="14"/>
      <c r="JBS4" s="14"/>
      <c r="JBT4" s="14"/>
      <c r="JBU4" s="14"/>
      <c r="JBV4" s="14"/>
      <c r="JBW4" s="14"/>
      <c r="JBX4" s="14"/>
      <c r="JBY4" s="14"/>
      <c r="JBZ4" s="14"/>
      <c r="JCA4" s="14"/>
      <c r="JCB4" s="14"/>
      <c r="JCC4" s="14"/>
      <c r="JCD4" s="14"/>
      <c r="JCE4" s="14"/>
      <c r="JCF4" s="14"/>
      <c r="JCG4" s="14"/>
      <c r="JCH4" s="14"/>
      <c r="JCI4" s="14"/>
      <c r="JCJ4" s="14"/>
      <c r="JCK4" s="14"/>
      <c r="JCL4" s="14"/>
      <c r="JCM4" s="14"/>
      <c r="JCN4" s="14"/>
      <c r="JCO4" s="14"/>
      <c r="JCP4" s="14"/>
      <c r="JCQ4" s="14"/>
      <c r="JCR4" s="14"/>
      <c r="JCS4" s="14"/>
      <c r="JCT4" s="14"/>
      <c r="JCU4" s="14"/>
      <c r="JCV4" s="14"/>
      <c r="JCW4" s="14"/>
      <c r="JCX4" s="14"/>
      <c r="JCY4" s="14"/>
      <c r="JCZ4" s="14"/>
      <c r="JDA4" s="14"/>
      <c r="JDB4" s="14"/>
      <c r="JDC4" s="14"/>
      <c r="JDD4" s="14"/>
      <c r="JDE4" s="14"/>
      <c r="JDF4" s="14"/>
      <c r="JDG4" s="14"/>
      <c r="JDH4" s="14"/>
      <c r="JDI4" s="14"/>
      <c r="JDJ4" s="14"/>
      <c r="JDK4" s="14"/>
      <c r="JDL4" s="14"/>
      <c r="JDM4" s="14"/>
      <c r="JDN4" s="14"/>
      <c r="JDO4" s="14"/>
      <c r="JDP4" s="14"/>
      <c r="JDQ4" s="14"/>
      <c r="JDR4" s="14"/>
      <c r="JDS4" s="14"/>
      <c r="JDT4" s="14"/>
      <c r="JDU4" s="14"/>
      <c r="JDV4" s="14"/>
      <c r="JDW4" s="14"/>
      <c r="JDX4" s="14"/>
      <c r="JDY4" s="14"/>
      <c r="JDZ4" s="14"/>
      <c r="JEA4" s="14"/>
      <c r="JEB4" s="14"/>
      <c r="JEC4" s="14"/>
      <c r="JED4" s="14"/>
      <c r="JEE4" s="14"/>
      <c r="JEF4" s="14"/>
      <c r="JEG4" s="14"/>
      <c r="JEH4" s="14"/>
      <c r="JEI4" s="14"/>
      <c r="JEJ4" s="14"/>
      <c r="JEK4" s="14"/>
      <c r="JEL4" s="14"/>
      <c r="JEM4" s="14"/>
      <c r="JEN4" s="14"/>
      <c r="JEO4" s="14"/>
      <c r="JEP4" s="14"/>
      <c r="JEQ4" s="14"/>
      <c r="JER4" s="14"/>
      <c r="JES4" s="14"/>
      <c r="JET4" s="14"/>
      <c r="JEU4" s="14"/>
      <c r="JEV4" s="14"/>
      <c r="JEW4" s="14"/>
      <c r="JEX4" s="14"/>
      <c r="JEY4" s="14"/>
      <c r="JEZ4" s="14"/>
      <c r="JFA4" s="14"/>
      <c r="JFB4" s="14"/>
      <c r="JFC4" s="14"/>
      <c r="JFD4" s="14"/>
      <c r="JFE4" s="14"/>
      <c r="JFF4" s="14"/>
      <c r="JFG4" s="14"/>
      <c r="JFH4" s="14"/>
      <c r="JFI4" s="14"/>
      <c r="JFJ4" s="14"/>
      <c r="JFK4" s="14"/>
      <c r="JFL4" s="14"/>
      <c r="JFM4" s="14"/>
      <c r="JFN4" s="14"/>
      <c r="JFO4" s="14"/>
      <c r="JFP4" s="14"/>
      <c r="JFQ4" s="14"/>
      <c r="JFR4" s="14"/>
      <c r="JFS4" s="14"/>
      <c r="JFT4" s="14"/>
      <c r="JFU4" s="14"/>
      <c r="JFV4" s="14"/>
      <c r="JFW4" s="14"/>
      <c r="JFX4" s="14"/>
      <c r="JFY4" s="14"/>
      <c r="JFZ4" s="14"/>
      <c r="JGA4" s="14"/>
      <c r="JGB4" s="14"/>
      <c r="JGC4" s="14"/>
      <c r="JGD4" s="14"/>
      <c r="JGE4" s="14"/>
      <c r="JGF4" s="14"/>
      <c r="JGG4" s="14"/>
      <c r="JGH4" s="14"/>
      <c r="JGI4" s="14"/>
      <c r="JGJ4" s="14"/>
      <c r="JGK4" s="14"/>
      <c r="JGL4" s="14"/>
      <c r="JGM4" s="14"/>
      <c r="JGN4" s="14"/>
      <c r="JGO4" s="14"/>
      <c r="JGP4" s="14"/>
      <c r="JGQ4" s="14"/>
      <c r="JGR4" s="14"/>
      <c r="JGS4" s="14"/>
      <c r="JGT4" s="14"/>
      <c r="JGU4" s="14"/>
      <c r="JGV4" s="14"/>
      <c r="JGW4" s="14"/>
      <c r="JGX4" s="14"/>
      <c r="JGY4" s="14"/>
      <c r="JGZ4" s="14"/>
      <c r="JHA4" s="14"/>
      <c r="JHB4" s="14"/>
      <c r="JHC4" s="14"/>
      <c r="JHD4" s="14"/>
      <c r="JHE4" s="14"/>
      <c r="JHF4" s="14"/>
      <c r="JHG4" s="14"/>
      <c r="JHH4" s="14"/>
      <c r="JHI4" s="14"/>
      <c r="JHJ4" s="14"/>
      <c r="JHK4" s="14"/>
      <c r="JHL4" s="14"/>
      <c r="JHM4" s="14"/>
      <c r="JHN4" s="14"/>
      <c r="JHO4" s="14"/>
      <c r="JHP4" s="14"/>
      <c r="JHQ4" s="14"/>
      <c r="JHR4" s="14"/>
      <c r="JHS4" s="14"/>
      <c r="JHT4" s="14"/>
      <c r="JHU4" s="14"/>
      <c r="JHV4" s="14"/>
      <c r="JHW4" s="14"/>
      <c r="JHX4" s="14"/>
      <c r="JHY4" s="14"/>
      <c r="JHZ4" s="14"/>
      <c r="JIA4" s="14"/>
      <c r="JIB4" s="14"/>
      <c r="JIC4" s="14"/>
      <c r="JID4" s="14"/>
      <c r="JIE4" s="14"/>
      <c r="JIF4" s="14"/>
      <c r="JIG4" s="14"/>
      <c r="JIH4" s="14"/>
      <c r="JII4" s="14"/>
      <c r="JIJ4" s="14"/>
      <c r="JIK4" s="14"/>
      <c r="JIL4" s="14"/>
      <c r="JIM4" s="14"/>
      <c r="JIN4" s="14"/>
      <c r="JIO4" s="14"/>
      <c r="JIP4" s="14"/>
      <c r="JIQ4" s="14"/>
      <c r="JIR4" s="14"/>
      <c r="JIS4" s="14"/>
      <c r="JIT4" s="14"/>
      <c r="JIU4" s="14"/>
      <c r="JIV4" s="14"/>
      <c r="JIW4" s="14"/>
      <c r="JIX4" s="14"/>
      <c r="JIY4" s="14"/>
      <c r="JIZ4" s="14"/>
      <c r="JJA4" s="14"/>
      <c r="JJB4" s="14"/>
      <c r="JJC4" s="14"/>
      <c r="JJD4" s="14"/>
      <c r="JJE4" s="14"/>
      <c r="JJF4" s="14"/>
      <c r="JJG4" s="14"/>
      <c r="JJH4" s="14"/>
      <c r="JJI4" s="14"/>
      <c r="JJJ4" s="14"/>
      <c r="JJK4" s="14"/>
      <c r="JJL4" s="14"/>
      <c r="JJM4" s="14"/>
      <c r="JJN4" s="14"/>
      <c r="JJO4" s="14"/>
      <c r="JJP4" s="14"/>
      <c r="JJQ4" s="14"/>
      <c r="JJR4" s="14"/>
      <c r="JJS4" s="14"/>
      <c r="JJT4" s="14"/>
      <c r="JJU4" s="14"/>
      <c r="JJV4" s="14"/>
      <c r="JJW4" s="14"/>
      <c r="JJX4" s="14"/>
      <c r="JJY4" s="14"/>
      <c r="JJZ4" s="14"/>
      <c r="JKA4" s="14"/>
      <c r="JKB4" s="14"/>
      <c r="JKC4" s="14"/>
      <c r="JKD4" s="14"/>
      <c r="JKE4" s="14"/>
      <c r="JKF4" s="14"/>
      <c r="JKG4" s="14"/>
      <c r="JKH4" s="14"/>
      <c r="JKI4" s="14"/>
      <c r="JKJ4" s="14"/>
      <c r="JKK4" s="14"/>
      <c r="JKL4" s="14"/>
      <c r="JKM4" s="14"/>
      <c r="JKN4" s="14"/>
      <c r="JKO4" s="14"/>
      <c r="JKP4" s="14"/>
      <c r="JKQ4" s="14"/>
      <c r="JKR4" s="14"/>
      <c r="JKS4" s="14"/>
      <c r="JKT4" s="14"/>
      <c r="JKU4" s="14"/>
      <c r="JKV4" s="14"/>
      <c r="JKW4" s="14"/>
      <c r="JKX4" s="14"/>
      <c r="JKY4" s="14"/>
      <c r="JKZ4" s="14"/>
      <c r="JLA4" s="14"/>
      <c r="JLB4" s="14"/>
      <c r="JLC4" s="14"/>
      <c r="JLD4" s="14"/>
      <c r="JLE4" s="14"/>
      <c r="JLF4" s="14"/>
      <c r="JLG4" s="14"/>
      <c r="JLH4" s="14"/>
      <c r="JLI4" s="14"/>
      <c r="JLJ4" s="14"/>
      <c r="JLK4" s="14"/>
      <c r="JLL4" s="14"/>
      <c r="JLM4" s="14"/>
      <c r="JLN4" s="14"/>
      <c r="JLO4" s="14"/>
      <c r="JLP4" s="14"/>
      <c r="JLQ4" s="14"/>
      <c r="JLR4" s="14"/>
      <c r="JLS4" s="14"/>
      <c r="JLT4" s="14"/>
      <c r="JLU4" s="14"/>
      <c r="JLV4" s="14"/>
      <c r="JLW4" s="14"/>
      <c r="JLX4" s="14"/>
      <c r="JLY4" s="14"/>
      <c r="JLZ4" s="14"/>
      <c r="JMA4" s="14"/>
      <c r="JMB4" s="14"/>
      <c r="JMC4" s="14"/>
      <c r="JMD4" s="14"/>
      <c r="JME4" s="14"/>
      <c r="JMF4" s="14"/>
      <c r="JMG4" s="14"/>
      <c r="JMH4" s="14"/>
      <c r="JMI4" s="14"/>
      <c r="JMJ4" s="14"/>
      <c r="JMK4" s="14"/>
      <c r="JML4" s="14"/>
      <c r="JMM4" s="14"/>
      <c r="JMN4" s="14"/>
      <c r="JMO4" s="14"/>
      <c r="JMP4" s="14"/>
      <c r="JMQ4" s="14"/>
      <c r="JMR4" s="14"/>
      <c r="JMS4" s="14"/>
      <c r="JMT4" s="14"/>
      <c r="JMU4" s="14"/>
      <c r="JMV4" s="14"/>
      <c r="JMW4" s="14"/>
      <c r="JMX4" s="14"/>
      <c r="JMY4" s="14"/>
      <c r="JMZ4" s="14"/>
      <c r="JNA4" s="14"/>
      <c r="JNB4" s="14"/>
      <c r="JNC4" s="14"/>
      <c r="JND4" s="14"/>
      <c r="JNE4" s="14"/>
      <c r="JNF4" s="14"/>
      <c r="JNG4" s="14"/>
      <c r="JNH4" s="14"/>
      <c r="JNI4" s="14"/>
      <c r="JNJ4" s="14"/>
      <c r="JNK4" s="14"/>
      <c r="JNL4" s="14"/>
      <c r="JNM4" s="14"/>
      <c r="JNN4" s="14"/>
      <c r="JNO4" s="14"/>
      <c r="JNP4" s="14"/>
      <c r="JNQ4" s="14"/>
      <c r="JNR4" s="14"/>
      <c r="JNS4" s="14"/>
      <c r="JNT4" s="14"/>
      <c r="JNU4" s="14"/>
      <c r="JNV4" s="14"/>
      <c r="JNW4" s="14"/>
      <c r="JNX4" s="14"/>
      <c r="JNY4" s="14"/>
      <c r="JNZ4" s="14"/>
      <c r="JOA4" s="14"/>
      <c r="JOB4" s="14"/>
      <c r="JOC4" s="14"/>
      <c r="JOD4" s="14"/>
      <c r="JOE4" s="14"/>
      <c r="JOF4" s="14"/>
      <c r="JOG4" s="14"/>
      <c r="JOH4" s="14"/>
      <c r="JOI4" s="14"/>
      <c r="JOJ4" s="14"/>
      <c r="JOK4" s="14"/>
      <c r="JOL4" s="14"/>
      <c r="JOM4" s="14"/>
      <c r="JON4" s="14"/>
      <c r="JOO4" s="14"/>
      <c r="JOP4" s="14"/>
      <c r="JOQ4" s="14"/>
      <c r="JOR4" s="14"/>
      <c r="JOS4" s="14"/>
      <c r="JOT4" s="14"/>
      <c r="JOU4" s="14"/>
      <c r="JOV4" s="14"/>
      <c r="JOW4" s="14"/>
      <c r="JOX4" s="14"/>
      <c r="JOY4" s="14"/>
      <c r="JOZ4" s="14"/>
      <c r="JPA4" s="14"/>
      <c r="JPB4" s="14"/>
      <c r="JPC4" s="14"/>
      <c r="JPD4" s="14"/>
      <c r="JPE4" s="14"/>
      <c r="JPF4" s="14"/>
      <c r="JPG4" s="14"/>
      <c r="JPH4" s="14"/>
      <c r="JPI4" s="14"/>
      <c r="JPJ4" s="14"/>
      <c r="JPK4" s="14"/>
      <c r="JPL4" s="14"/>
      <c r="JPM4" s="14"/>
      <c r="JPN4" s="14"/>
      <c r="JPO4" s="14"/>
      <c r="JPP4" s="14"/>
      <c r="JPQ4" s="14"/>
      <c r="JPR4" s="14"/>
      <c r="JPS4" s="14"/>
      <c r="JPT4" s="14"/>
      <c r="JPU4" s="14"/>
      <c r="JPV4" s="14"/>
      <c r="JPW4" s="14"/>
      <c r="JPX4" s="14"/>
      <c r="JPY4" s="14"/>
      <c r="JPZ4" s="14"/>
      <c r="JQA4" s="14"/>
      <c r="JQB4" s="14"/>
      <c r="JQC4" s="14"/>
      <c r="JQD4" s="14"/>
      <c r="JQE4" s="14"/>
      <c r="JQF4" s="14"/>
      <c r="JQG4" s="14"/>
      <c r="JQH4" s="14"/>
      <c r="JQI4" s="14"/>
      <c r="JQJ4" s="14"/>
      <c r="JQK4" s="14"/>
      <c r="JQL4" s="14"/>
      <c r="JQM4" s="14"/>
      <c r="JQN4" s="14"/>
      <c r="JQO4" s="14"/>
      <c r="JQP4" s="14"/>
      <c r="JQQ4" s="14"/>
      <c r="JQR4" s="14"/>
      <c r="JQS4" s="14"/>
      <c r="JQT4" s="14"/>
      <c r="JQU4" s="14"/>
      <c r="JQV4" s="14"/>
      <c r="JQW4" s="14"/>
      <c r="JQX4" s="14"/>
      <c r="JQY4" s="14"/>
      <c r="JQZ4" s="14"/>
      <c r="JRA4" s="14"/>
      <c r="JRB4" s="14"/>
      <c r="JRC4" s="14"/>
      <c r="JRD4" s="14"/>
      <c r="JRE4" s="14"/>
      <c r="JRF4" s="14"/>
      <c r="JRG4" s="14"/>
      <c r="JRH4" s="14"/>
      <c r="JRI4" s="14"/>
      <c r="JRJ4" s="14"/>
      <c r="JRK4" s="14"/>
      <c r="JRL4" s="14"/>
      <c r="JRM4" s="14"/>
      <c r="JRN4" s="14"/>
      <c r="JRO4" s="14"/>
      <c r="JRP4" s="14"/>
      <c r="JRQ4" s="14"/>
      <c r="JRR4" s="14"/>
      <c r="JRS4" s="14"/>
      <c r="JRT4" s="14"/>
      <c r="JRU4" s="14"/>
      <c r="JRV4" s="14"/>
      <c r="JRW4" s="14"/>
      <c r="JRX4" s="14"/>
      <c r="JRY4" s="14"/>
      <c r="JRZ4" s="14"/>
      <c r="JSA4" s="14"/>
      <c r="JSB4" s="14"/>
      <c r="JSC4" s="14"/>
      <c r="JSD4" s="14"/>
      <c r="JSE4" s="14"/>
      <c r="JSF4" s="14"/>
      <c r="JSG4" s="14"/>
      <c r="JSH4" s="14"/>
      <c r="JSI4" s="14"/>
      <c r="JSJ4" s="14"/>
      <c r="JSK4" s="14"/>
      <c r="JSL4" s="14"/>
      <c r="JSM4" s="14"/>
      <c r="JSN4" s="14"/>
      <c r="JSO4" s="14"/>
      <c r="JSP4" s="14"/>
      <c r="JSQ4" s="14"/>
      <c r="JSR4" s="14"/>
      <c r="JSS4" s="14"/>
      <c r="JST4" s="14"/>
      <c r="JSU4" s="14"/>
      <c r="JSV4" s="14"/>
      <c r="JSW4" s="14"/>
      <c r="JSX4" s="14"/>
      <c r="JSY4" s="14"/>
      <c r="JSZ4" s="14"/>
      <c r="JTA4" s="14"/>
      <c r="JTB4" s="14"/>
      <c r="JTC4" s="14"/>
      <c r="JTD4" s="14"/>
      <c r="JTE4" s="14"/>
      <c r="JTF4" s="14"/>
      <c r="JTG4" s="14"/>
      <c r="JTH4" s="14"/>
      <c r="JTI4" s="14"/>
      <c r="JTJ4" s="14"/>
      <c r="JTK4" s="14"/>
      <c r="JTL4" s="14"/>
      <c r="JTM4" s="14"/>
      <c r="JTN4" s="14"/>
      <c r="JTO4" s="14"/>
      <c r="JTP4" s="14"/>
      <c r="JTQ4" s="14"/>
      <c r="JTR4" s="14"/>
      <c r="JTS4" s="14"/>
      <c r="JTT4" s="14"/>
      <c r="JTU4" s="14"/>
      <c r="JTV4" s="14"/>
      <c r="JTW4" s="14"/>
      <c r="JTX4" s="14"/>
      <c r="JTY4" s="14"/>
      <c r="JTZ4" s="14"/>
      <c r="JUA4" s="14"/>
      <c r="JUB4" s="14"/>
      <c r="JUC4" s="14"/>
      <c r="JUD4" s="14"/>
      <c r="JUE4" s="14"/>
      <c r="JUF4" s="14"/>
      <c r="JUG4" s="14"/>
      <c r="JUH4" s="14"/>
      <c r="JUI4" s="14"/>
      <c r="JUJ4" s="14"/>
      <c r="JUK4" s="14"/>
      <c r="JUL4" s="14"/>
      <c r="JUM4" s="14"/>
      <c r="JUN4" s="14"/>
      <c r="JUO4" s="14"/>
      <c r="JUP4" s="14"/>
      <c r="JUQ4" s="14"/>
      <c r="JUR4" s="14"/>
      <c r="JUS4" s="14"/>
      <c r="JUT4" s="14"/>
      <c r="JUU4" s="14"/>
      <c r="JUV4" s="14"/>
      <c r="JUW4" s="14"/>
      <c r="JUX4" s="14"/>
      <c r="JUY4" s="14"/>
      <c r="JUZ4" s="14"/>
      <c r="JVA4" s="14"/>
      <c r="JVB4" s="14"/>
      <c r="JVC4" s="14"/>
      <c r="JVD4" s="14"/>
      <c r="JVE4" s="14"/>
      <c r="JVF4" s="14"/>
      <c r="JVG4" s="14"/>
      <c r="JVH4" s="14"/>
      <c r="JVI4" s="14"/>
      <c r="JVJ4" s="14"/>
      <c r="JVK4" s="14"/>
      <c r="JVL4" s="14"/>
      <c r="JVM4" s="14"/>
      <c r="JVN4" s="14"/>
      <c r="JVO4" s="14"/>
      <c r="JVP4" s="14"/>
      <c r="JVQ4" s="14"/>
      <c r="JVR4" s="14"/>
      <c r="JVS4" s="14"/>
      <c r="JVT4" s="14"/>
      <c r="JVU4" s="14"/>
      <c r="JVV4" s="14"/>
      <c r="JVW4" s="14"/>
      <c r="JVX4" s="14"/>
      <c r="JVY4" s="14"/>
      <c r="JVZ4" s="14"/>
      <c r="JWA4" s="14"/>
      <c r="JWB4" s="14"/>
      <c r="JWC4" s="14"/>
      <c r="JWD4" s="14"/>
      <c r="JWE4" s="14"/>
      <c r="JWF4" s="14"/>
      <c r="JWG4" s="14"/>
      <c r="JWH4" s="14"/>
      <c r="JWI4" s="14"/>
      <c r="JWJ4" s="14"/>
      <c r="JWK4" s="14"/>
      <c r="JWL4" s="14"/>
      <c r="JWM4" s="14"/>
      <c r="JWN4" s="14"/>
      <c r="JWO4" s="14"/>
      <c r="JWP4" s="14"/>
      <c r="JWQ4" s="14"/>
      <c r="JWR4" s="14"/>
      <c r="JWS4" s="14"/>
      <c r="JWT4" s="14"/>
      <c r="JWU4" s="14"/>
      <c r="JWV4" s="14"/>
      <c r="JWW4" s="14"/>
      <c r="JWX4" s="14"/>
      <c r="JWY4" s="14"/>
      <c r="JWZ4" s="14"/>
      <c r="JXA4" s="14"/>
      <c r="JXB4" s="14"/>
      <c r="JXC4" s="14"/>
      <c r="JXD4" s="14"/>
      <c r="JXE4" s="14"/>
      <c r="JXF4" s="14"/>
      <c r="JXG4" s="14"/>
      <c r="JXH4" s="14"/>
      <c r="JXI4" s="14"/>
      <c r="JXJ4" s="14"/>
      <c r="JXK4" s="14"/>
      <c r="JXL4" s="14"/>
      <c r="JXM4" s="14"/>
      <c r="JXN4" s="14"/>
      <c r="JXO4" s="14"/>
      <c r="JXP4" s="14"/>
      <c r="JXQ4" s="14"/>
      <c r="JXR4" s="14"/>
      <c r="JXS4" s="14"/>
      <c r="JXT4" s="14"/>
      <c r="JXU4" s="14"/>
      <c r="JXV4" s="14"/>
      <c r="JXW4" s="14"/>
      <c r="JXX4" s="14"/>
      <c r="JXY4" s="14"/>
      <c r="JXZ4" s="14"/>
      <c r="JYA4" s="14"/>
      <c r="JYB4" s="14"/>
      <c r="JYC4" s="14"/>
      <c r="JYD4" s="14"/>
      <c r="JYE4" s="14"/>
      <c r="JYF4" s="14"/>
      <c r="JYG4" s="14"/>
      <c r="JYH4" s="14"/>
      <c r="JYI4" s="14"/>
      <c r="JYJ4" s="14"/>
      <c r="JYK4" s="14"/>
      <c r="JYL4" s="14"/>
      <c r="JYM4" s="14"/>
      <c r="JYN4" s="14"/>
      <c r="JYO4" s="14"/>
      <c r="JYP4" s="14"/>
      <c r="JYQ4" s="14"/>
      <c r="JYR4" s="14"/>
      <c r="JYS4" s="14"/>
      <c r="JYT4" s="14"/>
      <c r="JYU4" s="14"/>
      <c r="JYV4" s="14"/>
      <c r="JYW4" s="14"/>
      <c r="JYX4" s="14"/>
      <c r="JYY4" s="14"/>
      <c r="JYZ4" s="14"/>
      <c r="JZA4" s="14"/>
      <c r="JZB4" s="14"/>
      <c r="JZC4" s="14"/>
      <c r="JZD4" s="14"/>
      <c r="JZE4" s="14"/>
      <c r="JZF4" s="14"/>
      <c r="JZG4" s="14"/>
      <c r="JZH4" s="14"/>
      <c r="JZI4" s="14"/>
      <c r="JZJ4" s="14"/>
      <c r="JZK4" s="14"/>
      <c r="JZL4" s="14"/>
      <c r="JZM4" s="14"/>
      <c r="JZN4" s="14"/>
      <c r="JZO4" s="14"/>
      <c r="JZP4" s="14"/>
      <c r="JZQ4" s="14"/>
      <c r="JZR4" s="14"/>
      <c r="JZS4" s="14"/>
      <c r="JZT4" s="14"/>
      <c r="JZU4" s="14"/>
      <c r="JZV4" s="14"/>
      <c r="JZW4" s="14"/>
      <c r="JZX4" s="14"/>
      <c r="JZY4" s="14"/>
      <c r="JZZ4" s="14"/>
      <c r="KAA4" s="14"/>
      <c r="KAB4" s="14"/>
      <c r="KAC4" s="14"/>
      <c r="KAD4" s="14"/>
      <c r="KAE4" s="14"/>
      <c r="KAF4" s="14"/>
      <c r="KAG4" s="14"/>
      <c r="KAH4" s="14"/>
      <c r="KAI4" s="14"/>
      <c r="KAJ4" s="14"/>
      <c r="KAK4" s="14"/>
      <c r="KAL4" s="14"/>
      <c r="KAM4" s="14"/>
      <c r="KAN4" s="14"/>
      <c r="KAO4" s="14"/>
      <c r="KAP4" s="14"/>
      <c r="KAQ4" s="14"/>
      <c r="KAR4" s="14"/>
      <c r="KAS4" s="14"/>
      <c r="KAT4" s="14"/>
      <c r="KAU4" s="14"/>
      <c r="KAV4" s="14"/>
      <c r="KAW4" s="14"/>
      <c r="KAX4" s="14"/>
      <c r="KAY4" s="14"/>
      <c r="KAZ4" s="14"/>
      <c r="KBA4" s="14"/>
      <c r="KBB4" s="14"/>
      <c r="KBC4" s="14"/>
      <c r="KBD4" s="14"/>
      <c r="KBE4" s="14"/>
      <c r="KBF4" s="14"/>
      <c r="KBG4" s="14"/>
      <c r="KBH4" s="14"/>
      <c r="KBI4" s="14"/>
      <c r="KBJ4" s="14"/>
      <c r="KBK4" s="14"/>
      <c r="KBL4" s="14"/>
      <c r="KBM4" s="14"/>
      <c r="KBN4" s="14"/>
      <c r="KBO4" s="14"/>
      <c r="KBP4" s="14"/>
      <c r="KBQ4" s="14"/>
      <c r="KBR4" s="14"/>
      <c r="KBS4" s="14"/>
      <c r="KBT4" s="14"/>
      <c r="KBU4" s="14"/>
      <c r="KBV4" s="14"/>
      <c r="KBW4" s="14"/>
      <c r="KBX4" s="14"/>
      <c r="KBY4" s="14"/>
      <c r="KBZ4" s="14"/>
      <c r="KCA4" s="14"/>
      <c r="KCB4" s="14"/>
      <c r="KCC4" s="14"/>
      <c r="KCD4" s="14"/>
      <c r="KCE4" s="14"/>
      <c r="KCF4" s="14"/>
      <c r="KCG4" s="14"/>
      <c r="KCH4" s="14"/>
      <c r="KCI4" s="14"/>
      <c r="KCJ4" s="14"/>
      <c r="KCK4" s="14"/>
      <c r="KCL4" s="14"/>
      <c r="KCM4" s="14"/>
      <c r="KCN4" s="14"/>
      <c r="KCO4" s="14"/>
      <c r="KCP4" s="14"/>
      <c r="KCQ4" s="14"/>
      <c r="KCR4" s="14"/>
      <c r="KCS4" s="14"/>
      <c r="KCT4" s="14"/>
      <c r="KCU4" s="14"/>
      <c r="KCV4" s="14"/>
      <c r="KCW4" s="14"/>
      <c r="KCX4" s="14"/>
      <c r="KCY4" s="14"/>
      <c r="KCZ4" s="14"/>
      <c r="KDA4" s="14"/>
      <c r="KDB4" s="14"/>
      <c r="KDC4" s="14"/>
      <c r="KDD4" s="14"/>
      <c r="KDE4" s="14"/>
      <c r="KDF4" s="14"/>
      <c r="KDG4" s="14"/>
      <c r="KDH4" s="14"/>
      <c r="KDI4" s="14"/>
      <c r="KDJ4" s="14"/>
      <c r="KDK4" s="14"/>
      <c r="KDL4" s="14"/>
      <c r="KDM4" s="14"/>
      <c r="KDN4" s="14"/>
      <c r="KDO4" s="14"/>
      <c r="KDP4" s="14"/>
      <c r="KDQ4" s="14"/>
      <c r="KDR4" s="14"/>
      <c r="KDS4" s="14"/>
      <c r="KDT4" s="14"/>
      <c r="KDU4" s="14"/>
      <c r="KDV4" s="14"/>
      <c r="KDW4" s="14"/>
      <c r="KDX4" s="14"/>
      <c r="KDY4" s="14"/>
      <c r="KDZ4" s="14"/>
      <c r="KEA4" s="14"/>
      <c r="KEB4" s="14"/>
      <c r="KEC4" s="14"/>
      <c r="KED4" s="14"/>
      <c r="KEE4" s="14"/>
      <c r="KEF4" s="14"/>
      <c r="KEG4" s="14"/>
      <c r="KEH4" s="14"/>
      <c r="KEI4" s="14"/>
      <c r="KEJ4" s="14"/>
      <c r="KEK4" s="14"/>
      <c r="KEL4" s="14"/>
      <c r="KEM4" s="14"/>
      <c r="KEN4" s="14"/>
      <c r="KEO4" s="14"/>
      <c r="KEP4" s="14"/>
      <c r="KEQ4" s="14"/>
      <c r="KER4" s="14"/>
      <c r="KES4" s="14"/>
      <c r="KET4" s="14"/>
      <c r="KEU4" s="14"/>
      <c r="KEV4" s="14"/>
      <c r="KEW4" s="14"/>
      <c r="KEX4" s="14"/>
      <c r="KEY4" s="14"/>
      <c r="KEZ4" s="14"/>
      <c r="KFA4" s="14"/>
      <c r="KFB4" s="14"/>
      <c r="KFC4" s="14"/>
      <c r="KFD4" s="14"/>
      <c r="KFE4" s="14"/>
      <c r="KFF4" s="14"/>
      <c r="KFG4" s="14"/>
      <c r="KFH4" s="14"/>
      <c r="KFI4" s="14"/>
      <c r="KFJ4" s="14"/>
      <c r="KFK4" s="14"/>
      <c r="KFL4" s="14"/>
      <c r="KFM4" s="14"/>
      <c r="KFN4" s="14"/>
      <c r="KFO4" s="14"/>
      <c r="KFP4" s="14"/>
      <c r="KFQ4" s="14"/>
      <c r="KFR4" s="14"/>
      <c r="KFS4" s="14"/>
      <c r="KFT4" s="14"/>
      <c r="KFU4" s="14"/>
      <c r="KFV4" s="14"/>
      <c r="KFW4" s="14"/>
      <c r="KFX4" s="14"/>
      <c r="KFY4" s="14"/>
      <c r="KFZ4" s="14"/>
      <c r="KGA4" s="14"/>
      <c r="KGB4" s="14"/>
      <c r="KGC4" s="14"/>
      <c r="KGD4" s="14"/>
      <c r="KGE4" s="14"/>
      <c r="KGF4" s="14"/>
      <c r="KGG4" s="14"/>
      <c r="KGH4" s="14"/>
      <c r="KGI4" s="14"/>
      <c r="KGJ4" s="14"/>
      <c r="KGK4" s="14"/>
      <c r="KGL4" s="14"/>
      <c r="KGM4" s="14"/>
      <c r="KGN4" s="14"/>
      <c r="KGO4" s="14"/>
      <c r="KGP4" s="14"/>
      <c r="KGQ4" s="14"/>
      <c r="KGR4" s="14"/>
      <c r="KGS4" s="14"/>
      <c r="KGT4" s="14"/>
      <c r="KGU4" s="14"/>
      <c r="KGV4" s="14"/>
      <c r="KGW4" s="14"/>
      <c r="KGX4" s="14"/>
      <c r="KGY4" s="14"/>
      <c r="KGZ4" s="14"/>
      <c r="KHA4" s="14"/>
      <c r="KHB4" s="14"/>
      <c r="KHC4" s="14"/>
      <c r="KHD4" s="14"/>
      <c r="KHE4" s="14"/>
      <c r="KHF4" s="14"/>
      <c r="KHG4" s="14"/>
      <c r="KHH4" s="14"/>
      <c r="KHI4" s="14"/>
      <c r="KHJ4" s="14"/>
      <c r="KHK4" s="14"/>
      <c r="KHL4" s="14"/>
      <c r="KHM4" s="14"/>
      <c r="KHN4" s="14"/>
      <c r="KHO4" s="14"/>
      <c r="KHP4" s="14"/>
      <c r="KHQ4" s="14"/>
      <c r="KHR4" s="14"/>
      <c r="KHS4" s="14"/>
      <c r="KHT4" s="14"/>
      <c r="KHU4" s="14"/>
      <c r="KHV4" s="14"/>
      <c r="KHW4" s="14"/>
      <c r="KHX4" s="14"/>
      <c r="KHY4" s="14"/>
      <c r="KHZ4" s="14"/>
      <c r="KIA4" s="14"/>
      <c r="KIB4" s="14"/>
      <c r="KIC4" s="14"/>
      <c r="KID4" s="14"/>
      <c r="KIE4" s="14"/>
      <c r="KIF4" s="14"/>
      <c r="KIG4" s="14"/>
      <c r="KIH4" s="14"/>
      <c r="KII4" s="14"/>
      <c r="KIJ4" s="14"/>
      <c r="KIK4" s="14"/>
      <c r="KIL4" s="14"/>
      <c r="KIM4" s="14"/>
      <c r="KIN4" s="14"/>
      <c r="KIO4" s="14"/>
      <c r="KIP4" s="14"/>
      <c r="KIQ4" s="14"/>
      <c r="KIR4" s="14"/>
      <c r="KIS4" s="14"/>
      <c r="KIT4" s="14"/>
      <c r="KIU4" s="14"/>
      <c r="KIV4" s="14"/>
      <c r="KIW4" s="14"/>
      <c r="KIX4" s="14"/>
      <c r="KIY4" s="14"/>
      <c r="KIZ4" s="14"/>
      <c r="KJA4" s="14"/>
      <c r="KJB4" s="14"/>
      <c r="KJC4" s="14"/>
      <c r="KJD4" s="14"/>
      <c r="KJE4" s="14"/>
      <c r="KJF4" s="14"/>
      <c r="KJG4" s="14"/>
      <c r="KJH4" s="14"/>
      <c r="KJI4" s="14"/>
      <c r="KJJ4" s="14"/>
      <c r="KJK4" s="14"/>
      <c r="KJL4" s="14"/>
      <c r="KJM4" s="14"/>
      <c r="KJN4" s="14"/>
      <c r="KJO4" s="14"/>
      <c r="KJP4" s="14"/>
      <c r="KJQ4" s="14"/>
      <c r="KJR4" s="14"/>
      <c r="KJS4" s="14"/>
      <c r="KJT4" s="14"/>
      <c r="KJU4" s="14"/>
      <c r="KJV4" s="14"/>
      <c r="KJW4" s="14"/>
      <c r="KJX4" s="14"/>
      <c r="KJY4" s="14"/>
      <c r="KJZ4" s="14"/>
      <c r="KKA4" s="14"/>
      <c r="KKB4" s="14"/>
      <c r="KKC4" s="14"/>
      <c r="KKD4" s="14"/>
      <c r="KKE4" s="14"/>
      <c r="KKF4" s="14"/>
      <c r="KKG4" s="14"/>
      <c r="KKH4" s="14"/>
      <c r="KKI4" s="14"/>
      <c r="KKJ4" s="14"/>
      <c r="KKK4" s="14"/>
      <c r="KKL4" s="14"/>
      <c r="KKM4" s="14"/>
      <c r="KKN4" s="14"/>
      <c r="KKO4" s="14"/>
      <c r="KKP4" s="14"/>
      <c r="KKQ4" s="14"/>
      <c r="KKR4" s="14"/>
      <c r="KKS4" s="14"/>
      <c r="KKT4" s="14"/>
      <c r="KKU4" s="14"/>
      <c r="KKV4" s="14"/>
      <c r="KKW4" s="14"/>
      <c r="KKX4" s="14"/>
      <c r="KKY4" s="14"/>
      <c r="KKZ4" s="14"/>
      <c r="KLA4" s="14"/>
      <c r="KLB4" s="14"/>
      <c r="KLC4" s="14"/>
      <c r="KLD4" s="14"/>
      <c r="KLE4" s="14"/>
      <c r="KLF4" s="14"/>
      <c r="KLG4" s="14"/>
      <c r="KLH4" s="14"/>
      <c r="KLI4" s="14"/>
      <c r="KLJ4" s="14"/>
      <c r="KLK4" s="14"/>
      <c r="KLL4" s="14"/>
      <c r="KLM4" s="14"/>
      <c r="KLN4" s="14"/>
      <c r="KLO4" s="14"/>
      <c r="KLP4" s="14"/>
      <c r="KLQ4" s="14"/>
      <c r="KLR4" s="14"/>
      <c r="KLS4" s="14"/>
      <c r="KLT4" s="14"/>
      <c r="KLU4" s="14"/>
      <c r="KLV4" s="14"/>
      <c r="KLW4" s="14"/>
      <c r="KLX4" s="14"/>
      <c r="KLY4" s="14"/>
      <c r="KLZ4" s="14"/>
      <c r="KMA4" s="14"/>
      <c r="KMB4" s="14"/>
      <c r="KMC4" s="14"/>
      <c r="KMD4" s="14"/>
      <c r="KME4" s="14"/>
      <c r="KMF4" s="14"/>
      <c r="KMG4" s="14"/>
      <c r="KMH4" s="14"/>
      <c r="KMI4" s="14"/>
      <c r="KMJ4" s="14"/>
      <c r="KMK4" s="14"/>
      <c r="KML4" s="14"/>
      <c r="KMM4" s="14"/>
      <c r="KMN4" s="14"/>
      <c r="KMO4" s="14"/>
      <c r="KMP4" s="14"/>
      <c r="KMQ4" s="14"/>
      <c r="KMR4" s="14"/>
      <c r="KMS4" s="14"/>
      <c r="KMT4" s="14"/>
      <c r="KMU4" s="14"/>
      <c r="KMV4" s="14"/>
      <c r="KMW4" s="14"/>
      <c r="KMX4" s="14"/>
      <c r="KMY4" s="14"/>
      <c r="KMZ4" s="14"/>
      <c r="KNA4" s="14"/>
      <c r="KNB4" s="14"/>
      <c r="KNC4" s="14"/>
      <c r="KND4" s="14"/>
      <c r="KNE4" s="14"/>
      <c r="KNF4" s="14"/>
      <c r="KNG4" s="14"/>
      <c r="KNH4" s="14"/>
      <c r="KNI4" s="14"/>
      <c r="KNJ4" s="14"/>
      <c r="KNK4" s="14"/>
      <c r="KNL4" s="14"/>
      <c r="KNM4" s="14"/>
      <c r="KNN4" s="14"/>
      <c r="KNO4" s="14"/>
      <c r="KNP4" s="14"/>
      <c r="KNQ4" s="14"/>
      <c r="KNR4" s="14"/>
      <c r="KNS4" s="14"/>
      <c r="KNT4" s="14"/>
      <c r="KNU4" s="14"/>
      <c r="KNV4" s="14"/>
      <c r="KNW4" s="14"/>
      <c r="KNX4" s="14"/>
      <c r="KNY4" s="14"/>
      <c r="KNZ4" s="14"/>
      <c r="KOA4" s="14"/>
      <c r="KOB4" s="14"/>
      <c r="KOC4" s="14"/>
      <c r="KOD4" s="14"/>
      <c r="KOE4" s="14"/>
      <c r="KOF4" s="14"/>
      <c r="KOG4" s="14"/>
      <c r="KOH4" s="14"/>
      <c r="KOI4" s="14"/>
      <c r="KOJ4" s="14"/>
      <c r="KOK4" s="14"/>
      <c r="KOL4" s="14"/>
      <c r="KOM4" s="14"/>
      <c r="KON4" s="14"/>
      <c r="KOO4" s="14"/>
      <c r="KOP4" s="14"/>
      <c r="KOQ4" s="14"/>
      <c r="KOR4" s="14"/>
      <c r="KOS4" s="14"/>
      <c r="KOT4" s="14"/>
      <c r="KOU4" s="14"/>
      <c r="KOV4" s="14"/>
      <c r="KOW4" s="14"/>
      <c r="KOX4" s="14"/>
      <c r="KOY4" s="14"/>
      <c r="KOZ4" s="14"/>
      <c r="KPA4" s="14"/>
      <c r="KPB4" s="14"/>
      <c r="KPC4" s="14"/>
      <c r="KPD4" s="14"/>
      <c r="KPE4" s="14"/>
      <c r="KPF4" s="14"/>
      <c r="KPG4" s="14"/>
      <c r="KPH4" s="14"/>
      <c r="KPI4" s="14"/>
      <c r="KPJ4" s="14"/>
      <c r="KPK4" s="14"/>
      <c r="KPL4" s="14"/>
      <c r="KPM4" s="14"/>
      <c r="KPN4" s="14"/>
      <c r="KPO4" s="14"/>
      <c r="KPP4" s="14"/>
      <c r="KPQ4" s="14"/>
      <c r="KPR4" s="14"/>
      <c r="KPS4" s="14"/>
      <c r="KPT4" s="14"/>
      <c r="KPU4" s="14"/>
      <c r="KPV4" s="14"/>
      <c r="KPW4" s="14"/>
      <c r="KPX4" s="14"/>
      <c r="KPY4" s="14"/>
      <c r="KPZ4" s="14"/>
      <c r="KQA4" s="14"/>
      <c r="KQB4" s="14"/>
      <c r="KQC4" s="14"/>
      <c r="KQD4" s="14"/>
      <c r="KQE4" s="14"/>
      <c r="KQF4" s="14"/>
      <c r="KQG4" s="14"/>
      <c r="KQH4" s="14"/>
      <c r="KQI4" s="14"/>
      <c r="KQJ4" s="14"/>
      <c r="KQK4" s="14"/>
      <c r="KQL4" s="14"/>
      <c r="KQM4" s="14"/>
      <c r="KQN4" s="14"/>
      <c r="KQO4" s="14"/>
      <c r="KQP4" s="14"/>
      <c r="KQQ4" s="14"/>
      <c r="KQR4" s="14"/>
      <c r="KQS4" s="14"/>
      <c r="KQT4" s="14"/>
      <c r="KQU4" s="14"/>
      <c r="KQV4" s="14"/>
      <c r="KQW4" s="14"/>
      <c r="KQX4" s="14"/>
      <c r="KQY4" s="14"/>
      <c r="KQZ4" s="14"/>
      <c r="KRA4" s="14"/>
      <c r="KRB4" s="14"/>
      <c r="KRC4" s="14"/>
      <c r="KRD4" s="14"/>
      <c r="KRE4" s="14"/>
      <c r="KRF4" s="14"/>
      <c r="KRG4" s="14"/>
      <c r="KRH4" s="14"/>
      <c r="KRI4" s="14"/>
      <c r="KRJ4" s="14"/>
      <c r="KRK4" s="14"/>
      <c r="KRL4" s="14"/>
      <c r="KRM4" s="14"/>
      <c r="KRN4" s="14"/>
      <c r="KRO4" s="14"/>
      <c r="KRP4" s="14"/>
      <c r="KRQ4" s="14"/>
      <c r="KRR4" s="14"/>
      <c r="KRS4" s="14"/>
      <c r="KRT4" s="14"/>
      <c r="KRU4" s="14"/>
      <c r="KRV4" s="14"/>
      <c r="KRW4" s="14"/>
      <c r="KRX4" s="14"/>
      <c r="KRY4" s="14"/>
      <c r="KRZ4" s="14"/>
      <c r="KSA4" s="14"/>
      <c r="KSB4" s="14"/>
      <c r="KSC4" s="14"/>
      <c r="KSD4" s="14"/>
      <c r="KSE4" s="14"/>
      <c r="KSF4" s="14"/>
      <c r="KSG4" s="14"/>
      <c r="KSH4" s="14"/>
      <c r="KSI4" s="14"/>
      <c r="KSJ4" s="14"/>
      <c r="KSK4" s="14"/>
      <c r="KSL4" s="14"/>
      <c r="KSM4" s="14"/>
      <c r="KSN4" s="14"/>
      <c r="KSO4" s="14"/>
      <c r="KSP4" s="14"/>
      <c r="KSQ4" s="14"/>
      <c r="KSR4" s="14"/>
      <c r="KSS4" s="14"/>
      <c r="KST4" s="14"/>
      <c r="KSU4" s="14"/>
      <c r="KSV4" s="14"/>
      <c r="KSW4" s="14"/>
      <c r="KSX4" s="14"/>
      <c r="KSY4" s="14"/>
      <c r="KSZ4" s="14"/>
      <c r="KTA4" s="14"/>
      <c r="KTB4" s="14"/>
      <c r="KTC4" s="14"/>
      <c r="KTD4" s="14"/>
      <c r="KTE4" s="14"/>
      <c r="KTF4" s="14"/>
      <c r="KTG4" s="14"/>
      <c r="KTH4" s="14"/>
      <c r="KTI4" s="14"/>
      <c r="KTJ4" s="14"/>
      <c r="KTK4" s="14"/>
      <c r="KTL4" s="14"/>
      <c r="KTM4" s="14"/>
      <c r="KTN4" s="14"/>
      <c r="KTO4" s="14"/>
      <c r="KTP4" s="14"/>
      <c r="KTQ4" s="14"/>
      <c r="KTR4" s="14"/>
      <c r="KTS4" s="14"/>
      <c r="KTT4" s="14"/>
      <c r="KTU4" s="14"/>
      <c r="KTV4" s="14"/>
      <c r="KTW4" s="14"/>
      <c r="KTX4" s="14"/>
      <c r="KTY4" s="14"/>
      <c r="KTZ4" s="14"/>
      <c r="KUA4" s="14"/>
      <c r="KUB4" s="14"/>
      <c r="KUC4" s="14"/>
      <c r="KUD4" s="14"/>
      <c r="KUE4" s="14"/>
      <c r="KUF4" s="14"/>
      <c r="KUG4" s="14"/>
      <c r="KUH4" s="14"/>
      <c r="KUI4" s="14"/>
      <c r="KUJ4" s="14"/>
      <c r="KUK4" s="14"/>
      <c r="KUL4" s="14"/>
      <c r="KUM4" s="14"/>
      <c r="KUN4" s="14"/>
      <c r="KUO4" s="14"/>
      <c r="KUP4" s="14"/>
      <c r="KUQ4" s="14"/>
      <c r="KUR4" s="14"/>
      <c r="KUS4" s="14"/>
      <c r="KUT4" s="14"/>
      <c r="KUU4" s="14"/>
      <c r="KUV4" s="14"/>
      <c r="KUW4" s="14"/>
      <c r="KUX4" s="14"/>
      <c r="KUY4" s="14"/>
      <c r="KUZ4" s="14"/>
      <c r="KVA4" s="14"/>
      <c r="KVB4" s="14"/>
      <c r="KVC4" s="14"/>
      <c r="KVD4" s="14"/>
      <c r="KVE4" s="14"/>
      <c r="KVF4" s="14"/>
      <c r="KVG4" s="14"/>
      <c r="KVH4" s="14"/>
      <c r="KVI4" s="14"/>
      <c r="KVJ4" s="14"/>
      <c r="KVK4" s="14"/>
      <c r="KVL4" s="14"/>
      <c r="KVM4" s="14"/>
      <c r="KVN4" s="14"/>
      <c r="KVO4" s="14"/>
      <c r="KVP4" s="14"/>
      <c r="KVQ4" s="14"/>
      <c r="KVR4" s="14"/>
      <c r="KVS4" s="14"/>
      <c r="KVT4" s="14"/>
      <c r="KVU4" s="14"/>
      <c r="KVV4" s="14"/>
      <c r="KVW4" s="14"/>
      <c r="KVX4" s="14"/>
      <c r="KVY4" s="14"/>
      <c r="KVZ4" s="14"/>
      <c r="KWA4" s="14"/>
      <c r="KWB4" s="14"/>
      <c r="KWC4" s="14"/>
      <c r="KWD4" s="14"/>
      <c r="KWE4" s="14"/>
      <c r="KWF4" s="14"/>
      <c r="KWG4" s="14"/>
      <c r="KWH4" s="14"/>
      <c r="KWI4" s="14"/>
      <c r="KWJ4" s="14"/>
      <c r="KWK4" s="14"/>
      <c r="KWL4" s="14"/>
      <c r="KWM4" s="14"/>
      <c r="KWN4" s="14"/>
      <c r="KWO4" s="14"/>
      <c r="KWP4" s="14"/>
      <c r="KWQ4" s="14"/>
      <c r="KWR4" s="14"/>
      <c r="KWS4" s="14"/>
      <c r="KWT4" s="14"/>
      <c r="KWU4" s="14"/>
      <c r="KWV4" s="14"/>
      <c r="KWW4" s="14"/>
      <c r="KWX4" s="14"/>
      <c r="KWY4" s="14"/>
      <c r="KWZ4" s="14"/>
      <c r="KXA4" s="14"/>
      <c r="KXB4" s="14"/>
      <c r="KXC4" s="14"/>
      <c r="KXD4" s="14"/>
      <c r="KXE4" s="14"/>
      <c r="KXF4" s="14"/>
      <c r="KXG4" s="14"/>
      <c r="KXH4" s="14"/>
      <c r="KXI4" s="14"/>
      <c r="KXJ4" s="14"/>
      <c r="KXK4" s="14"/>
      <c r="KXL4" s="14"/>
      <c r="KXM4" s="14"/>
      <c r="KXN4" s="14"/>
      <c r="KXO4" s="14"/>
      <c r="KXP4" s="14"/>
      <c r="KXQ4" s="14"/>
      <c r="KXR4" s="14"/>
      <c r="KXS4" s="14"/>
      <c r="KXT4" s="14"/>
      <c r="KXU4" s="14"/>
      <c r="KXV4" s="14"/>
      <c r="KXW4" s="14"/>
      <c r="KXX4" s="14"/>
      <c r="KXY4" s="14"/>
      <c r="KXZ4" s="14"/>
      <c r="KYA4" s="14"/>
      <c r="KYB4" s="14"/>
      <c r="KYC4" s="14"/>
      <c r="KYD4" s="14"/>
      <c r="KYE4" s="14"/>
      <c r="KYF4" s="14"/>
      <c r="KYG4" s="14"/>
      <c r="KYH4" s="14"/>
      <c r="KYI4" s="14"/>
      <c r="KYJ4" s="14"/>
      <c r="KYK4" s="14"/>
      <c r="KYL4" s="14"/>
      <c r="KYM4" s="14"/>
      <c r="KYN4" s="14"/>
      <c r="KYO4" s="14"/>
      <c r="KYP4" s="14"/>
      <c r="KYQ4" s="14"/>
      <c r="KYR4" s="14"/>
      <c r="KYS4" s="14"/>
      <c r="KYT4" s="14"/>
      <c r="KYU4" s="14"/>
      <c r="KYV4" s="14"/>
      <c r="KYW4" s="14"/>
      <c r="KYX4" s="14"/>
      <c r="KYY4" s="14"/>
      <c r="KYZ4" s="14"/>
      <c r="KZA4" s="14"/>
      <c r="KZB4" s="14"/>
      <c r="KZC4" s="14"/>
      <c r="KZD4" s="14"/>
      <c r="KZE4" s="14"/>
      <c r="KZF4" s="14"/>
      <c r="KZG4" s="14"/>
      <c r="KZH4" s="14"/>
      <c r="KZI4" s="14"/>
      <c r="KZJ4" s="14"/>
      <c r="KZK4" s="14"/>
      <c r="KZL4" s="14"/>
      <c r="KZM4" s="14"/>
      <c r="KZN4" s="14"/>
      <c r="KZO4" s="14"/>
      <c r="KZP4" s="14"/>
      <c r="KZQ4" s="14"/>
      <c r="KZR4" s="14"/>
      <c r="KZS4" s="14"/>
      <c r="KZT4" s="14"/>
      <c r="KZU4" s="14"/>
      <c r="KZV4" s="14"/>
      <c r="KZW4" s="14"/>
      <c r="KZX4" s="14"/>
      <c r="KZY4" s="14"/>
      <c r="KZZ4" s="14"/>
      <c r="LAA4" s="14"/>
      <c r="LAB4" s="14"/>
      <c r="LAC4" s="14"/>
      <c r="LAD4" s="14"/>
      <c r="LAE4" s="14"/>
      <c r="LAF4" s="14"/>
      <c r="LAG4" s="14"/>
      <c r="LAH4" s="14"/>
      <c r="LAI4" s="14"/>
      <c r="LAJ4" s="14"/>
      <c r="LAK4" s="14"/>
      <c r="LAL4" s="14"/>
      <c r="LAM4" s="14"/>
      <c r="LAN4" s="14"/>
      <c r="LAO4" s="14"/>
      <c r="LAP4" s="14"/>
      <c r="LAQ4" s="14"/>
      <c r="LAR4" s="14"/>
      <c r="LAS4" s="14"/>
      <c r="LAT4" s="14"/>
      <c r="LAU4" s="14"/>
      <c r="LAV4" s="14"/>
      <c r="LAW4" s="14"/>
      <c r="LAX4" s="14"/>
      <c r="LAY4" s="14"/>
      <c r="LAZ4" s="14"/>
      <c r="LBA4" s="14"/>
      <c r="LBB4" s="14"/>
      <c r="LBC4" s="14"/>
      <c r="LBD4" s="14"/>
      <c r="LBE4" s="14"/>
      <c r="LBF4" s="14"/>
      <c r="LBG4" s="14"/>
      <c r="LBH4" s="14"/>
      <c r="LBI4" s="14"/>
      <c r="LBJ4" s="14"/>
      <c r="LBK4" s="14"/>
      <c r="LBL4" s="14"/>
      <c r="LBM4" s="14"/>
      <c r="LBN4" s="14"/>
      <c r="LBO4" s="14"/>
      <c r="LBP4" s="14"/>
      <c r="LBQ4" s="14"/>
      <c r="LBR4" s="14"/>
      <c r="LBS4" s="14"/>
      <c r="LBT4" s="14"/>
      <c r="LBU4" s="14"/>
      <c r="LBV4" s="14"/>
      <c r="LBW4" s="14"/>
      <c r="LBX4" s="14"/>
      <c r="LBY4" s="14"/>
      <c r="LBZ4" s="14"/>
      <c r="LCA4" s="14"/>
      <c r="LCB4" s="14"/>
      <c r="LCC4" s="14"/>
      <c r="LCD4" s="14"/>
      <c r="LCE4" s="14"/>
      <c r="LCF4" s="14"/>
      <c r="LCG4" s="14"/>
      <c r="LCH4" s="14"/>
      <c r="LCI4" s="14"/>
      <c r="LCJ4" s="14"/>
      <c r="LCK4" s="14"/>
      <c r="LCL4" s="14"/>
      <c r="LCM4" s="14"/>
      <c r="LCN4" s="14"/>
      <c r="LCO4" s="14"/>
      <c r="LCP4" s="14"/>
      <c r="LCQ4" s="14"/>
      <c r="LCR4" s="14"/>
      <c r="LCS4" s="14"/>
      <c r="LCT4" s="14"/>
      <c r="LCU4" s="14"/>
      <c r="LCV4" s="14"/>
      <c r="LCW4" s="14"/>
      <c r="LCX4" s="14"/>
      <c r="LCY4" s="14"/>
      <c r="LCZ4" s="14"/>
      <c r="LDA4" s="14"/>
      <c r="LDB4" s="14"/>
      <c r="LDC4" s="14"/>
      <c r="LDD4" s="14"/>
      <c r="LDE4" s="14"/>
      <c r="LDF4" s="14"/>
      <c r="LDG4" s="14"/>
      <c r="LDH4" s="14"/>
      <c r="LDI4" s="14"/>
      <c r="LDJ4" s="14"/>
      <c r="LDK4" s="14"/>
      <c r="LDL4" s="14"/>
      <c r="LDM4" s="14"/>
      <c r="LDN4" s="14"/>
      <c r="LDO4" s="14"/>
      <c r="LDP4" s="14"/>
      <c r="LDQ4" s="14"/>
      <c r="LDR4" s="14"/>
      <c r="LDS4" s="14"/>
      <c r="LDT4" s="14"/>
      <c r="LDU4" s="14"/>
      <c r="LDV4" s="14"/>
      <c r="LDW4" s="14"/>
      <c r="LDX4" s="14"/>
      <c r="LDY4" s="14"/>
      <c r="LDZ4" s="14"/>
      <c r="LEA4" s="14"/>
      <c r="LEB4" s="14"/>
      <c r="LEC4" s="14"/>
      <c r="LED4" s="14"/>
      <c r="LEE4" s="14"/>
      <c r="LEF4" s="14"/>
      <c r="LEG4" s="14"/>
      <c r="LEH4" s="14"/>
      <c r="LEI4" s="14"/>
      <c r="LEJ4" s="14"/>
      <c r="LEK4" s="14"/>
      <c r="LEL4" s="14"/>
      <c r="LEM4" s="14"/>
      <c r="LEN4" s="14"/>
      <c r="LEO4" s="14"/>
      <c r="LEP4" s="14"/>
      <c r="LEQ4" s="14"/>
      <c r="LER4" s="14"/>
      <c r="LES4" s="14"/>
      <c r="LET4" s="14"/>
      <c r="LEU4" s="14"/>
      <c r="LEV4" s="14"/>
      <c r="LEW4" s="14"/>
      <c r="LEX4" s="14"/>
      <c r="LEY4" s="14"/>
      <c r="LEZ4" s="14"/>
      <c r="LFA4" s="14"/>
      <c r="LFB4" s="14"/>
      <c r="LFC4" s="14"/>
      <c r="LFD4" s="14"/>
      <c r="LFE4" s="14"/>
      <c r="LFF4" s="14"/>
      <c r="LFG4" s="14"/>
      <c r="LFH4" s="14"/>
      <c r="LFI4" s="14"/>
      <c r="LFJ4" s="14"/>
      <c r="LFK4" s="14"/>
      <c r="LFL4" s="14"/>
      <c r="LFM4" s="14"/>
      <c r="LFN4" s="14"/>
      <c r="LFO4" s="14"/>
      <c r="LFP4" s="14"/>
      <c r="LFQ4" s="14"/>
      <c r="LFR4" s="14"/>
      <c r="LFS4" s="14"/>
      <c r="LFT4" s="14"/>
      <c r="LFU4" s="14"/>
      <c r="LFV4" s="14"/>
      <c r="LFW4" s="14"/>
      <c r="LFX4" s="14"/>
      <c r="LFY4" s="14"/>
      <c r="LFZ4" s="14"/>
      <c r="LGA4" s="14"/>
      <c r="LGB4" s="14"/>
      <c r="LGC4" s="14"/>
      <c r="LGD4" s="14"/>
      <c r="LGE4" s="14"/>
      <c r="LGF4" s="14"/>
      <c r="LGG4" s="14"/>
      <c r="LGH4" s="14"/>
      <c r="LGI4" s="14"/>
      <c r="LGJ4" s="14"/>
      <c r="LGK4" s="14"/>
      <c r="LGL4" s="14"/>
      <c r="LGM4" s="14"/>
      <c r="LGN4" s="14"/>
      <c r="LGO4" s="14"/>
      <c r="LGP4" s="14"/>
      <c r="LGQ4" s="14"/>
      <c r="LGR4" s="14"/>
      <c r="LGS4" s="14"/>
      <c r="LGT4" s="14"/>
      <c r="LGU4" s="14"/>
      <c r="LGV4" s="14"/>
      <c r="LGW4" s="14"/>
      <c r="LGX4" s="14"/>
      <c r="LGY4" s="14"/>
      <c r="LGZ4" s="14"/>
      <c r="LHA4" s="14"/>
      <c r="LHB4" s="14"/>
      <c r="LHC4" s="14"/>
      <c r="LHD4" s="14"/>
      <c r="LHE4" s="14"/>
      <c r="LHF4" s="14"/>
      <c r="LHG4" s="14"/>
      <c r="LHH4" s="14"/>
      <c r="LHI4" s="14"/>
      <c r="LHJ4" s="14"/>
      <c r="LHK4" s="14"/>
      <c r="LHL4" s="14"/>
      <c r="LHM4" s="14"/>
      <c r="LHN4" s="14"/>
      <c r="LHO4" s="14"/>
      <c r="LHP4" s="14"/>
      <c r="LHQ4" s="14"/>
      <c r="LHR4" s="14"/>
      <c r="LHS4" s="14"/>
      <c r="LHT4" s="14"/>
      <c r="LHU4" s="14"/>
      <c r="LHV4" s="14"/>
      <c r="LHW4" s="14"/>
      <c r="LHX4" s="14"/>
      <c r="LHY4" s="14"/>
      <c r="LHZ4" s="14"/>
      <c r="LIA4" s="14"/>
      <c r="LIB4" s="14"/>
      <c r="LIC4" s="14"/>
      <c r="LID4" s="14"/>
      <c r="LIE4" s="14"/>
      <c r="LIF4" s="14"/>
      <c r="LIG4" s="14"/>
      <c r="LIH4" s="14"/>
      <c r="LII4" s="14"/>
      <c r="LIJ4" s="14"/>
      <c r="LIK4" s="14"/>
      <c r="LIL4" s="14"/>
      <c r="LIM4" s="14"/>
      <c r="LIN4" s="14"/>
      <c r="LIO4" s="14"/>
      <c r="LIP4" s="14"/>
      <c r="LIQ4" s="14"/>
      <c r="LIR4" s="14"/>
      <c r="LIS4" s="14"/>
      <c r="LIT4" s="14"/>
      <c r="LIU4" s="14"/>
      <c r="LIV4" s="14"/>
      <c r="LIW4" s="14"/>
      <c r="LIX4" s="14"/>
      <c r="LIY4" s="14"/>
      <c r="LIZ4" s="14"/>
      <c r="LJA4" s="14"/>
      <c r="LJB4" s="14"/>
      <c r="LJC4" s="14"/>
      <c r="LJD4" s="14"/>
      <c r="LJE4" s="14"/>
      <c r="LJF4" s="14"/>
      <c r="LJG4" s="14"/>
      <c r="LJH4" s="14"/>
      <c r="LJI4" s="14"/>
      <c r="LJJ4" s="14"/>
      <c r="LJK4" s="14"/>
      <c r="LJL4" s="14"/>
      <c r="LJM4" s="14"/>
      <c r="LJN4" s="14"/>
      <c r="LJO4" s="14"/>
      <c r="LJP4" s="14"/>
      <c r="LJQ4" s="14"/>
      <c r="LJR4" s="14"/>
      <c r="LJS4" s="14"/>
      <c r="LJT4" s="14"/>
      <c r="LJU4" s="14"/>
      <c r="LJV4" s="14"/>
      <c r="LJW4" s="14"/>
      <c r="LJX4" s="14"/>
      <c r="LJY4" s="14"/>
      <c r="LJZ4" s="14"/>
      <c r="LKA4" s="14"/>
      <c r="LKB4" s="14"/>
      <c r="LKC4" s="14"/>
      <c r="LKD4" s="14"/>
      <c r="LKE4" s="14"/>
      <c r="LKF4" s="14"/>
      <c r="LKG4" s="14"/>
      <c r="LKH4" s="14"/>
      <c r="LKI4" s="14"/>
      <c r="LKJ4" s="14"/>
      <c r="LKK4" s="14"/>
      <c r="LKL4" s="14"/>
      <c r="LKM4" s="14"/>
      <c r="LKN4" s="14"/>
      <c r="LKO4" s="14"/>
      <c r="LKP4" s="14"/>
      <c r="LKQ4" s="14"/>
      <c r="LKR4" s="14"/>
      <c r="LKS4" s="14"/>
      <c r="LKT4" s="14"/>
      <c r="LKU4" s="14"/>
      <c r="LKV4" s="14"/>
      <c r="LKW4" s="14"/>
      <c r="LKX4" s="14"/>
      <c r="LKY4" s="14"/>
      <c r="LKZ4" s="14"/>
      <c r="LLA4" s="14"/>
      <c r="LLB4" s="14"/>
      <c r="LLC4" s="14"/>
      <c r="LLD4" s="14"/>
      <c r="LLE4" s="14"/>
      <c r="LLF4" s="14"/>
      <c r="LLG4" s="14"/>
      <c r="LLH4" s="14"/>
      <c r="LLI4" s="14"/>
      <c r="LLJ4" s="14"/>
      <c r="LLK4" s="14"/>
      <c r="LLL4" s="14"/>
      <c r="LLM4" s="14"/>
      <c r="LLN4" s="14"/>
      <c r="LLO4" s="14"/>
      <c r="LLP4" s="14"/>
      <c r="LLQ4" s="14"/>
      <c r="LLR4" s="14"/>
      <c r="LLS4" s="14"/>
      <c r="LLT4" s="14"/>
      <c r="LLU4" s="14"/>
      <c r="LLV4" s="14"/>
      <c r="LLW4" s="14"/>
      <c r="LLX4" s="14"/>
      <c r="LLY4" s="14"/>
      <c r="LLZ4" s="14"/>
      <c r="LMA4" s="14"/>
      <c r="LMB4" s="14"/>
      <c r="LMC4" s="14"/>
      <c r="LMD4" s="14"/>
      <c r="LME4" s="14"/>
      <c r="LMF4" s="14"/>
      <c r="LMG4" s="14"/>
      <c r="LMH4" s="14"/>
      <c r="LMI4" s="14"/>
      <c r="LMJ4" s="14"/>
      <c r="LMK4" s="14"/>
      <c r="LML4" s="14"/>
      <c r="LMM4" s="14"/>
      <c r="LMN4" s="14"/>
      <c r="LMO4" s="14"/>
      <c r="LMP4" s="14"/>
      <c r="LMQ4" s="14"/>
      <c r="LMR4" s="14"/>
      <c r="LMS4" s="14"/>
      <c r="LMT4" s="14"/>
      <c r="LMU4" s="14"/>
      <c r="LMV4" s="14"/>
      <c r="LMW4" s="14"/>
      <c r="LMX4" s="14"/>
      <c r="LMY4" s="14"/>
      <c r="LMZ4" s="14"/>
      <c r="LNA4" s="14"/>
      <c r="LNB4" s="14"/>
      <c r="LNC4" s="14"/>
      <c r="LND4" s="14"/>
      <c r="LNE4" s="14"/>
      <c r="LNF4" s="14"/>
      <c r="LNG4" s="14"/>
      <c r="LNH4" s="14"/>
      <c r="LNI4" s="14"/>
      <c r="LNJ4" s="14"/>
      <c r="LNK4" s="14"/>
      <c r="LNL4" s="14"/>
      <c r="LNM4" s="14"/>
      <c r="LNN4" s="14"/>
      <c r="LNO4" s="14"/>
      <c r="LNP4" s="14"/>
      <c r="LNQ4" s="14"/>
      <c r="LNR4" s="14"/>
      <c r="LNS4" s="14"/>
      <c r="LNT4" s="14"/>
      <c r="LNU4" s="14"/>
      <c r="LNV4" s="14"/>
      <c r="LNW4" s="14"/>
      <c r="LNX4" s="14"/>
      <c r="LNY4" s="14"/>
      <c r="LNZ4" s="14"/>
      <c r="LOA4" s="14"/>
      <c r="LOB4" s="14"/>
      <c r="LOC4" s="14"/>
      <c r="LOD4" s="14"/>
      <c r="LOE4" s="14"/>
      <c r="LOF4" s="14"/>
      <c r="LOG4" s="14"/>
      <c r="LOH4" s="14"/>
      <c r="LOI4" s="14"/>
      <c r="LOJ4" s="14"/>
      <c r="LOK4" s="14"/>
      <c r="LOL4" s="14"/>
      <c r="LOM4" s="14"/>
      <c r="LON4" s="14"/>
      <c r="LOO4" s="14"/>
      <c r="LOP4" s="14"/>
      <c r="LOQ4" s="14"/>
      <c r="LOR4" s="14"/>
      <c r="LOS4" s="14"/>
      <c r="LOT4" s="14"/>
      <c r="LOU4" s="14"/>
      <c r="LOV4" s="14"/>
      <c r="LOW4" s="14"/>
      <c r="LOX4" s="14"/>
      <c r="LOY4" s="14"/>
      <c r="LOZ4" s="14"/>
      <c r="LPA4" s="14"/>
      <c r="LPB4" s="14"/>
      <c r="LPC4" s="14"/>
      <c r="LPD4" s="14"/>
      <c r="LPE4" s="14"/>
      <c r="LPF4" s="14"/>
      <c r="LPG4" s="14"/>
      <c r="LPH4" s="14"/>
      <c r="LPI4" s="14"/>
      <c r="LPJ4" s="14"/>
      <c r="LPK4" s="14"/>
      <c r="LPL4" s="14"/>
      <c r="LPM4" s="14"/>
      <c r="LPN4" s="14"/>
      <c r="LPO4" s="14"/>
      <c r="LPP4" s="14"/>
      <c r="LPQ4" s="14"/>
      <c r="LPR4" s="14"/>
      <c r="LPS4" s="14"/>
      <c r="LPT4" s="14"/>
      <c r="LPU4" s="14"/>
      <c r="LPV4" s="14"/>
      <c r="LPW4" s="14"/>
      <c r="LPX4" s="14"/>
      <c r="LPY4" s="14"/>
      <c r="LPZ4" s="14"/>
      <c r="LQA4" s="14"/>
      <c r="LQB4" s="14"/>
      <c r="LQC4" s="14"/>
      <c r="LQD4" s="14"/>
      <c r="LQE4" s="14"/>
      <c r="LQF4" s="14"/>
      <c r="LQG4" s="14"/>
      <c r="LQH4" s="14"/>
      <c r="LQI4" s="14"/>
      <c r="LQJ4" s="14"/>
      <c r="LQK4" s="14"/>
      <c r="LQL4" s="14"/>
      <c r="LQM4" s="14"/>
      <c r="LQN4" s="14"/>
      <c r="LQO4" s="14"/>
      <c r="LQP4" s="14"/>
      <c r="LQQ4" s="14"/>
      <c r="LQR4" s="14"/>
      <c r="LQS4" s="14"/>
      <c r="LQT4" s="14"/>
      <c r="LQU4" s="14"/>
      <c r="LQV4" s="14"/>
      <c r="LQW4" s="14"/>
      <c r="LQX4" s="14"/>
      <c r="LQY4" s="14"/>
      <c r="LQZ4" s="14"/>
      <c r="LRA4" s="14"/>
      <c r="LRB4" s="14"/>
      <c r="LRC4" s="14"/>
      <c r="LRD4" s="14"/>
      <c r="LRE4" s="14"/>
      <c r="LRF4" s="14"/>
      <c r="LRG4" s="14"/>
      <c r="LRH4" s="14"/>
      <c r="LRI4" s="14"/>
      <c r="LRJ4" s="14"/>
      <c r="LRK4" s="14"/>
      <c r="LRL4" s="14"/>
      <c r="LRM4" s="14"/>
      <c r="LRN4" s="14"/>
      <c r="LRO4" s="14"/>
      <c r="LRP4" s="14"/>
      <c r="LRQ4" s="14"/>
      <c r="LRR4" s="14"/>
      <c r="LRS4" s="14"/>
      <c r="LRT4" s="14"/>
      <c r="LRU4" s="14"/>
      <c r="LRV4" s="14"/>
      <c r="LRW4" s="14"/>
      <c r="LRX4" s="14"/>
      <c r="LRY4" s="14"/>
      <c r="LRZ4" s="14"/>
      <c r="LSA4" s="14"/>
      <c r="LSB4" s="14"/>
      <c r="LSC4" s="14"/>
      <c r="LSD4" s="14"/>
      <c r="LSE4" s="14"/>
      <c r="LSF4" s="14"/>
      <c r="LSG4" s="14"/>
      <c r="LSH4" s="14"/>
      <c r="LSI4" s="14"/>
      <c r="LSJ4" s="14"/>
      <c r="LSK4" s="14"/>
      <c r="LSL4" s="14"/>
      <c r="LSM4" s="14"/>
      <c r="LSN4" s="14"/>
      <c r="LSO4" s="14"/>
      <c r="LSP4" s="14"/>
      <c r="LSQ4" s="14"/>
      <c r="LSR4" s="14"/>
      <c r="LSS4" s="14"/>
      <c r="LST4" s="14"/>
      <c r="LSU4" s="14"/>
      <c r="LSV4" s="14"/>
      <c r="LSW4" s="14"/>
      <c r="LSX4" s="14"/>
      <c r="LSY4" s="14"/>
      <c r="LSZ4" s="14"/>
      <c r="LTA4" s="14"/>
      <c r="LTB4" s="14"/>
      <c r="LTC4" s="14"/>
      <c r="LTD4" s="14"/>
      <c r="LTE4" s="14"/>
      <c r="LTF4" s="14"/>
      <c r="LTG4" s="14"/>
      <c r="LTH4" s="14"/>
      <c r="LTI4" s="14"/>
      <c r="LTJ4" s="14"/>
      <c r="LTK4" s="14"/>
      <c r="LTL4" s="14"/>
      <c r="LTM4" s="14"/>
      <c r="LTN4" s="14"/>
      <c r="LTO4" s="14"/>
      <c r="LTP4" s="14"/>
      <c r="LTQ4" s="14"/>
      <c r="LTR4" s="14"/>
      <c r="LTS4" s="14"/>
      <c r="LTT4" s="14"/>
      <c r="LTU4" s="14"/>
      <c r="LTV4" s="14"/>
      <c r="LTW4" s="14"/>
      <c r="LTX4" s="14"/>
      <c r="LTY4" s="14"/>
      <c r="LTZ4" s="14"/>
      <c r="LUA4" s="14"/>
      <c r="LUB4" s="14"/>
      <c r="LUC4" s="14"/>
      <c r="LUD4" s="14"/>
      <c r="LUE4" s="14"/>
      <c r="LUF4" s="14"/>
      <c r="LUG4" s="14"/>
      <c r="LUH4" s="14"/>
      <c r="LUI4" s="14"/>
      <c r="LUJ4" s="14"/>
      <c r="LUK4" s="14"/>
      <c r="LUL4" s="14"/>
      <c r="LUM4" s="14"/>
      <c r="LUN4" s="14"/>
      <c r="LUO4" s="14"/>
      <c r="LUP4" s="14"/>
      <c r="LUQ4" s="14"/>
      <c r="LUR4" s="14"/>
      <c r="LUS4" s="14"/>
      <c r="LUT4" s="14"/>
      <c r="LUU4" s="14"/>
      <c r="LUV4" s="14"/>
      <c r="LUW4" s="14"/>
      <c r="LUX4" s="14"/>
      <c r="LUY4" s="14"/>
      <c r="LUZ4" s="14"/>
      <c r="LVA4" s="14"/>
      <c r="LVB4" s="14"/>
      <c r="LVC4" s="14"/>
      <c r="LVD4" s="14"/>
      <c r="LVE4" s="14"/>
      <c r="LVF4" s="14"/>
      <c r="LVG4" s="14"/>
      <c r="LVH4" s="14"/>
      <c r="LVI4" s="14"/>
      <c r="LVJ4" s="14"/>
      <c r="LVK4" s="14"/>
      <c r="LVL4" s="14"/>
      <c r="LVM4" s="14"/>
      <c r="LVN4" s="14"/>
      <c r="LVO4" s="14"/>
      <c r="LVP4" s="14"/>
      <c r="LVQ4" s="14"/>
      <c r="LVR4" s="14"/>
      <c r="LVS4" s="14"/>
      <c r="LVT4" s="14"/>
      <c r="LVU4" s="14"/>
      <c r="LVV4" s="14"/>
      <c r="LVW4" s="14"/>
      <c r="LVX4" s="14"/>
      <c r="LVY4" s="14"/>
      <c r="LVZ4" s="14"/>
      <c r="LWA4" s="14"/>
      <c r="LWB4" s="14"/>
      <c r="LWC4" s="14"/>
      <c r="LWD4" s="14"/>
      <c r="LWE4" s="14"/>
      <c r="LWF4" s="14"/>
      <c r="LWG4" s="14"/>
      <c r="LWH4" s="14"/>
      <c r="LWI4" s="14"/>
      <c r="LWJ4" s="14"/>
      <c r="LWK4" s="14"/>
      <c r="LWL4" s="14"/>
      <c r="LWM4" s="14"/>
      <c r="LWN4" s="14"/>
      <c r="LWO4" s="14"/>
      <c r="LWP4" s="14"/>
      <c r="LWQ4" s="14"/>
      <c r="LWR4" s="14"/>
      <c r="LWS4" s="14"/>
      <c r="LWT4" s="14"/>
      <c r="LWU4" s="14"/>
      <c r="LWV4" s="14"/>
      <c r="LWW4" s="14"/>
      <c r="LWX4" s="14"/>
      <c r="LWY4" s="14"/>
      <c r="LWZ4" s="14"/>
      <c r="LXA4" s="14"/>
      <c r="LXB4" s="14"/>
      <c r="LXC4" s="14"/>
      <c r="LXD4" s="14"/>
      <c r="LXE4" s="14"/>
      <c r="LXF4" s="14"/>
      <c r="LXG4" s="14"/>
      <c r="LXH4" s="14"/>
      <c r="LXI4" s="14"/>
      <c r="LXJ4" s="14"/>
      <c r="LXK4" s="14"/>
      <c r="LXL4" s="14"/>
      <c r="LXM4" s="14"/>
      <c r="LXN4" s="14"/>
      <c r="LXO4" s="14"/>
      <c r="LXP4" s="14"/>
      <c r="LXQ4" s="14"/>
      <c r="LXR4" s="14"/>
      <c r="LXS4" s="14"/>
      <c r="LXT4" s="14"/>
      <c r="LXU4" s="14"/>
      <c r="LXV4" s="14"/>
      <c r="LXW4" s="14"/>
      <c r="LXX4" s="14"/>
      <c r="LXY4" s="14"/>
      <c r="LXZ4" s="14"/>
      <c r="LYA4" s="14"/>
      <c r="LYB4" s="14"/>
      <c r="LYC4" s="14"/>
      <c r="LYD4" s="14"/>
      <c r="LYE4" s="14"/>
      <c r="LYF4" s="14"/>
      <c r="LYG4" s="14"/>
      <c r="LYH4" s="14"/>
      <c r="LYI4" s="14"/>
      <c r="LYJ4" s="14"/>
      <c r="LYK4" s="14"/>
      <c r="LYL4" s="14"/>
      <c r="LYM4" s="14"/>
      <c r="LYN4" s="14"/>
      <c r="LYO4" s="14"/>
      <c r="LYP4" s="14"/>
      <c r="LYQ4" s="14"/>
      <c r="LYR4" s="14"/>
      <c r="LYS4" s="14"/>
      <c r="LYT4" s="14"/>
      <c r="LYU4" s="14"/>
      <c r="LYV4" s="14"/>
      <c r="LYW4" s="14"/>
      <c r="LYX4" s="14"/>
      <c r="LYY4" s="14"/>
      <c r="LYZ4" s="14"/>
      <c r="LZA4" s="14"/>
      <c r="LZB4" s="14"/>
      <c r="LZC4" s="14"/>
      <c r="LZD4" s="14"/>
      <c r="LZE4" s="14"/>
      <c r="LZF4" s="14"/>
      <c r="LZG4" s="14"/>
      <c r="LZH4" s="14"/>
      <c r="LZI4" s="14"/>
      <c r="LZJ4" s="14"/>
      <c r="LZK4" s="14"/>
      <c r="LZL4" s="14"/>
      <c r="LZM4" s="14"/>
      <c r="LZN4" s="14"/>
      <c r="LZO4" s="14"/>
      <c r="LZP4" s="14"/>
      <c r="LZQ4" s="14"/>
      <c r="LZR4" s="14"/>
      <c r="LZS4" s="14"/>
      <c r="LZT4" s="14"/>
      <c r="LZU4" s="14"/>
      <c r="LZV4" s="14"/>
      <c r="LZW4" s="14"/>
      <c r="LZX4" s="14"/>
      <c r="LZY4" s="14"/>
      <c r="LZZ4" s="14"/>
      <c r="MAA4" s="14"/>
      <c r="MAB4" s="14"/>
      <c r="MAC4" s="14"/>
      <c r="MAD4" s="14"/>
      <c r="MAE4" s="14"/>
      <c r="MAF4" s="14"/>
      <c r="MAG4" s="14"/>
      <c r="MAH4" s="14"/>
      <c r="MAI4" s="14"/>
      <c r="MAJ4" s="14"/>
      <c r="MAK4" s="14"/>
      <c r="MAL4" s="14"/>
      <c r="MAM4" s="14"/>
      <c r="MAN4" s="14"/>
      <c r="MAO4" s="14"/>
      <c r="MAP4" s="14"/>
      <c r="MAQ4" s="14"/>
      <c r="MAR4" s="14"/>
      <c r="MAS4" s="14"/>
      <c r="MAT4" s="14"/>
      <c r="MAU4" s="14"/>
      <c r="MAV4" s="14"/>
      <c r="MAW4" s="14"/>
      <c r="MAX4" s="14"/>
      <c r="MAY4" s="14"/>
      <c r="MAZ4" s="14"/>
      <c r="MBA4" s="14"/>
      <c r="MBB4" s="14"/>
      <c r="MBC4" s="14"/>
      <c r="MBD4" s="14"/>
      <c r="MBE4" s="14"/>
      <c r="MBF4" s="14"/>
      <c r="MBG4" s="14"/>
      <c r="MBH4" s="14"/>
      <c r="MBI4" s="14"/>
      <c r="MBJ4" s="14"/>
      <c r="MBK4" s="14"/>
      <c r="MBL4" s="14"/>
      <c r="MBM4" s="14"/>
      <c r="MBN4" s="14"/>
      <c r="MBO4" s="14"/>
      <c r="MBP4" s="14"/>
      <c r="MBQ4" s="14"/>
      <c r="MBR4" s="14"/>
      <c r="MBS4" s="14"/>
      <c r="MBT4" s="14"/>
      <c r="MBU4" s="14"/>
      <c r="MBV4" s="14"/>
      <c r="MBW4" s="14"/>
      <c r="MBX4" s="14"/>
      <c r="MBY4" s="14"/>
      <c r="MBZ4" s="14"/>
      <c r="MCA4" s="14"/>
      <c r="MCB4" s="14"/>
      <c r="MCC4" s="14"/>
      <c r="MCD4" s="14"/>
      <c r="MCE4" s="14"/>
      <c r="MCF4" s="14"/>
      <c r="MCG4" s="14"/>
      <c r="MCH4" s="14"/>
      <c r="MCI4" s="14"/>
      <c r="MCJ4" s="14"/>
      <c r="MCK4" s="14"/>
      <c r="MCL4" s="14"/>
      <c r="MCM4" s="14"/>
      <c r="MCN4" s="14"/>
      <c r="MCO4" s="14"/>
      <c r="MCP4" s="14"/>
      <c r="MCQ4" s="14"/>
      <c r="MCR4" s="14"/>
      <c r="MCS4" s="14"/>
      <c r="MCT4" s="14"/>
      <c r="MCU4" s="14"/>
      <c r="MCV4" s="14"/>
      <c r="MCW4" s="14"/>
      <c r="MCX4" s="14"/>
      <c r="MCY4" s="14"/>
      <c r="MCZ4" s="14"/>
      <c r="MDA4" s="14"/>
      <c r="MDB4" s="14"/>
      <c r="MDC4" s="14"/>
      <c r="MDD4" s="14"/>
      <c r="MDE4" s="14"/>
      <c r="MDF4" s="14"/>
      <c r="MDG4" s="14"/>
      <c r="MDH4" s="14"/>
      <c r="MDI4" s="14"/>
      <c r="MDJ4" s="14"/>
      <c r="MDK4" s="14"/>
      <c r="MDL4" s="14"/>
      <c r="MDM4" s="14"/>
      <c r="MDN4" s="14"/>
      <c r="MDO4" s="14"/>
      <c r="MDP4" s="14"/>
      <c r="MDQ4" s="14"/>
      <c r="MDR4" s="14"/>
      <c r="MDS4" s="14"/>
      <c r="MDT4" s="14"/>
      <c r="MDU4" s="14"/>
      <c r="MDV4" s="14"/>
      <c r="MDW4" s="14"/>
      <c r="MDX4" s="14"/>
      <c r="MDY4" s="14"/>
      <c r="MDZ4" s="14"/>
      <c r="MEA4" s="14"/>
      <c r="MEB4" s="14"/>
      <c r="MEC4" s="14"/>
      <c r="MED4" s="14"/>
      <c r="MEE4" s="14"/>
      <c r="MEF4" s="14"/>
      <c r="MEG4" s="14"/>
      <c r="MEH4" s="14"/>
      <c r="MEI4" s="14"/>
      <c r="MEJ4" s="14"/>
      <c r="MEK4" s="14"/>
      <c r="MEL4" s="14"/>
      <c r="MEM4" s="14"/>
      <c r="MEN4" s="14"/>
      <c r="MEO4" s="14"/>
      <c r="MEP4" s="14"/>
      <c r="MEQ4" s="14"/>
      <c r="MER4" s="14"/>
      <c r="MES4" s="14"/>
      <c r="MET4" s="14"/>
      <c r="MEU4" s="14"/>
      <c r="MEV4" s="14"/>
      <c r="MEW4" s="14"/>
      <c r="MEX4" s="14"/>
      <c r="MEY4" s="14"/>
      <c r="MEZ4" s="14"/>
      <c r="MFA4" s="14"/>
      <c r="MFB4" s="14"/>
      <c r="MFC4" s="14"/>
      <c r="MFD4" s="14"/>
      <c r="MFE4" s="14"/>
      <c r="MFF4" s="14"/>
      <c r="MFG4" s="14"/>
      <c r="MFH4" s="14"/>
      <c r="MFI4" s="14"/>
      <c r="MFJ4" s="14"/>
      <c r="MFK4" s="14"/>
      <c r="MFL4" s="14"/>
      <c r="MFM4" s="14"/>
      <c r="MFN4" s="14"/>
      <c r="MFO4" s="14"/>
      <c r="MFP4" s="14"/>
      <c r="MFQ4" s="14"/>
      <c r="MFR4" s="14"/>
      <c r="MFS4" s="14"/>
      <c r="MFT4" s="14"/>
      <c r="MFU4" s="14"/>
      <c r="MFV4" s="14"/>
      <c r="MFW4" s="14"/>
      <c r="MFX4" s="14"/>
      <c r="MFY4" s="14"/>
      <c r="MFZ4" s="14"/>
      <c r="MGA4" s="14"/>
      <c r="MGB4" s="14"/>
      <c r="MGC4" s="14"/>
      <c r="MGD4" s="14"/>
      <c r="MGE4" s="14"/>
      <c r="MGF4" s="14"/>
      <c r="MGG4" s="14"/>
      <c r="MGH4" s="14"/>
      <c r="MGI4" s="14"/>
      <c r="MGJ4" s="14"/>
      <c r="MGK4" s="14"/>
      <c r="MGL4" s="14"/>
      <c r="MGM4" s="14"/>
      <c r="MGN4" s="14"/>
      <c r="MGO4" s="14"/>
      <c r="MGP4" s="14"/>
      <c r="MGQ4" s="14"/>
      <c r="MGR4" s="14"/>
      <c r="MGS4" s="14"/>
      <c r="MGT4" s="14"/>
      <c r="MGU4" s="14"/>
      <c r="MGV4" s="14"/>
      <c r="MGW4" s="14"/>
      <c r="MGX4" s="14"/>
      <c r="MGY4" s="14"/>
      <c r="MGZ4" s="14"/>
      <c r="MHA4" s="14"/>
      <c r="MHB4" s="14"/>
      <c r="MHC4" s="14"/>
      <c r="MHD4" s="14"/>
      <c r="MHE4" s="14"/>
      <c r="MHF4" s="14"/>
      <c r="MHG4" s="14"/>
      <c r="MHH4" s="14"/>
      <c r="MHI4" s="14"/>
      <c r="MHJ4" s="14"/>
      <c r="MHK4" s="14"/>
      <c r="MHL4" s="14"/>
      <c r="MHM4" s="14"/>
      <c r="MHN4" s="14"/>
      <c r="MHO4" s="14"/>
      <c r="MHP4" s="14"/>
      <c r="MHQ4" s="14"/>
      <c r="MHR4" s="14"/>
      <c r="MHS4" s="14"/>
      <c r="MHT4" s="14"/>
      <c r="MHU4" s="14"/>
      <c r="MHV4" s="14"/>
      <c r="MHW4" s="14"/>
      <c r="MHX4" s="14"/>
      <c r="MHY4" s="14"/>
      <c r="MHZ4" s="14"/>
      <c r="MIA4" s="14"/>
      <c r="MIB4" s="14"/>
      <c r="MIC4" s="14"/>
      <c r="MID4" s="14"/>
      <c r="MIE4" s="14"/>
      <c r="MIF4" s="14"/>
      <c r="MIG4" s="14"/>
      <c r="MIH4" s="14"/>
      <c r="MII4" s="14"/>
      <c r="MIJ4" s="14"/>
      <c r="MIK4" s="14"/>
      <c r="MIL4" s="14"/>
      <c r="MIM4" s="14"/>
      <c r="MIN4" s="14"/>
      <c r="MIO4" s="14"/>
      <c r="MIP4" s="14"/>
      <c r="MIQ4" s="14"/>
      <c r="MIR4" s="14"/>
      <c r="MIS4" s="14"/>
      <c r="MIT4" s="14"/>
      <c r="MIU4" s="14"/>
      <c r="MIV4" s="14"/>
      <c r="MIW4" s="14"/>
      <c r="MIX4" s="14"/>
      <c r="MIY4" s="14"/>
      <c r="MIZ4" s="14"/>
      <c r="MJA4" s="14"/>
      <c r="MJB4" s="14"/>
      <c r="MJC4" s="14"/>
      <c r="MJD4" s="14"/>
      <c r="MJE4" s="14"/>
      <c r="MJF4" s="14"/>
      <c r="MJG4" s="14"/>
      <c r="MJH4" s="14"/>
      <c r="MJI4" s="14"/>
      <c r="MJJ4" s="14"/>
      <c r="MJK4" s="14"/>
      <c r="MJL4" s="14"/>
      <c r="MJM4" s="14"/>
      <c r="MJN4" s="14"/>
      <c r="MJO4" s="14"/>
      <c r="MJP4" s="14"/>
      <c r="MJQ4" s="14"/>
      <c r="MJR4" s="14"/>
      <c r="MJS4" s="14"/>
      <c r="MJT4" s="14"/>
      <c r="MJU4" s="14"/>
      <c r="MJV4" s="14"/>
      <c r="MJW4" s="14"/>
      <c r="MJX4" s="14"/>
      <c r="MJY4" s="14"/>
      <c r="MJZ4" s="14"/>
      <c r="MKA4" s="14"/>
      <c r="MKB4" s="14"/>
      <c r="MKC4" s="14"/>
      <c r="MKD4" s="14"/>
      <c r="MKE4" s="14"/>
      <c r="MKF4" s="14"/>
      <c r="MKG4" s="14"/>
      <c r="MKH4" s="14"/>
      <c r="MKI4" s="14"/>
      <c r="MKJ4" s="14"/>
      <c r="MKK4" s="14"/>
      <c r="MKL4" s="14"/>
      <c r="MKM4" s="14"/>
      <c r="MKN4" s="14"/>
      <c r="MKO4" s="14"/>
      <c r="MKP4" s="14"/>
      <c r="MKQ4" s="14"/>
      <c r="MKR4" s="14"/>
      <c r="MKS4" s="14"/>
      <c r="MKT4" s="14"/>
      <c r="MKU4" s="14"/>
      <c r="MKV4" s="14"/>
      <c r="MKW4" s="14"/>
      <c r="MKX4" s="14"/>
      <c r="MKY4" s="14"/>
      <c r="MKZ4" s="14"/>
      <c r="MLA4" s="14"/>
      <c r="MLB4" s="14"/>
      <c r="MLC4" s="14"/>
      <c r="MLD4" s="14"/>
      <c r="MLE4" s="14"/>
      <c r="MLF4" s="14"/>
      <c r="MLG4" s="14"/>
      <c r="MLH4" s="14"/>
      <c r="MLI4" s="14"/>
      <c r="MLJ4" s="14"/>
      <c r="MLK4" s="14"/>
      <c r="MLL4" s="14"/>
      <c r="MLM4" s="14"/>
      <c r="MLN4" s="14"/>
      <c r="MLO4" s="14"/>
      <c r="MLP4" s="14"/>
      <c r="MLQ4" s="14"/>
      <c r="MLR4" s="14"/>
      <c r="MLS4" s="14"/>
      <c r="MLT4" s="14"/>
      <c r="MLU4" s="14"/>
      <c r="MLV4" s="14"/>
      <c r="MLW4" s="14"/>
      <c r="MLX4" s="14"/>
      <c r="MLY4" s="14"/>
      <c r="MLZ4" s="14"/>
      <c r="MMA4" s="14"/>
      <c r="MMB4" s="14"/>
      <c r="MMC4" s="14"/>
      <c r="MMD4" s="14"/>
      <c r="MME4" s="14"/>
      <c r="MMF4" s="14"/>
      <c r="MMG4" s="14"/>
      <c r="MMH4" s="14"/>
      <c r="MMI4" s="14"/>
      <c r="MMJ4" s="14"/>
      <c r="MMK4" s="14"/>
      <c r="MML4" s="14"/>
      <c r="MMM4" s="14"/>
      <c r="MMN4" s="14"/>
      <c r="MMO4" s="14"/>
      <c r="MMP4" s="14"/>
      <c r="MMQ4" s="14"/>
      <c r="MMR4" s="14"/>
      <c r="MMS4" s="14"/>
      <c r="MMT4" s="14"/>
      <c r="MMU4" s="14"/>
      <c r="MMV4" s="14"/>
      <c r="MMW4" s="14"/>
      <c r="MMX4" s="14"/>
      <c r="MMY4" s="14"/>
      <c r="MMZ4" s="14"/>
      <c r="MNA4" s="14"/>
      <c r="MNB4" s="14"/>
      <c r="MNC4" s="14"/>
      <c r="MND4" s="14"/>
      <c r="MNE4" s="14"/>
      <c r="MNF4" s="14"/>
      <c r="MNG4" s="14"/>
      <c r="MNH4" s="14"/>
      <c r="MNI4" s="14"/>
      <c r="MNJ4" s="14"/>
      <c r="MNK4" s="14"/>
      <c r="MNL4" s="14"/>
      <c r="MNM4" s="14"/>
      <c r="MNN4" s="14"/>
      <c r="MNO4" s="14"/>
      <c r="MNP4" s="14"/>
      <c r="MNQ4" s="14"/>
      <c r="MNR4" s="14"/>
      <c r="MNS4" s="14"/>
      <c r="MNT4" s="14"/>
      <c r="MNU4" s="14"/>
      <c r="MNV4" s="14"/>
      <c r="MNW4" s="14"/>
      <c r="MNX4" s="14"/>
      <c r="MNY4" s="14"/>
      <c r="MNZ4" s="14"/>
      <c r="MOA4" s="14"/>
      <c r="MOB4" s="14"/>
      <c r="MOC4" s="14"/>
      <c r="MOD4" s="14"/>
      <c r="MOE4" s="14"/>
      <c r="MOF4" s="14"/>
      <c r="MOG4" s="14"/>
      <c r="MOH4" s="14"/>
      <c r="MOI4" s="14"/>
      <c r="MOJ4" s="14"/>
      <c r="MOK4" s="14"/>
      <c r="MOL4" s="14"/>
      <c r="MOM4" s="14"/>
      <c r="MON4" s="14"/>
      <c r="MOO4" s="14"/>
      <c r="MOP4" s="14"/>
      <c r="MOQ4" s="14"/>
      <c r="MOR4" s="14"/>
      <c r="MOS4" s="14"/>
      <c r="MOT4" s="14"/>
      <c r="MOU4" s="14"/>
      <c r="MOV4" s="14"/>
      <c r="MOW4" s="14"/>
      <c r="MOX4" s="14"/>
      <c r="MOY4" s="14"/>
      <c r="MOZ4" s="14"/>
      <c r="MPA4" s="14"/>
      <c r="MPB4" s="14"/>
      <c r="MPC4" s="14"/>
      <c r="MPD4" s="14"/>
      <c r="MPE4" s="14"/>
      <c r="MPF4" s="14"/>
      <c r="MPG4" s="14"/>
      <c r="MPH4" s="14"/>
      <c r="MPI4" s="14"/>
      <c r="MPJ4" s="14"/>
      <c r="MPK4" s="14"/>
      <c r="MPL4" s="14"/>
      <c r="MPM4" s="14"/>
      <c r="MPN4" s="14"/>
      <c r="MPO4" s="14"/>
      <c r="MPP4" s="14"/>
      <c r="MPQ4" s="14"/>
      <c r="MPR4" s="14"/>
      <c r="MPS4" s="14"/>
      <c r="MPT4" s="14"/>
      <c r="MPU4" s="14"/>
      <c r="MPV4" s="14"/>
      <c r="MPW4" s="14"/>
      <c r="MPX4" s="14"/>
      <c r="MPY4" s="14"/>
      <c r="MPZ4" s="14"/>
      <c r="MQA4" s="14"/>
      <c r="MQB4" s="14"/>
      <c r="MQC4" s="14"/>
      <c r="MQD4" s="14"/>
      <c r="MQE4" s="14"/>
      <c r="MQF4" s="14"/>
      <c r="MQG4" s="14"/>
      <c r="MQH4" s="14"/>
      <c r="MQI4" s="14"/>
      <c r="MQJ4" s="14"/>
      <c r="MQK4" s="14"/>
      <c r="MQL4" s="14"/>
      <c r="MQM4" s="14"/>
      <c r="MQN4" s="14"/>
      <c r="MQO4" s="14"/>
      <c r="MQP4" s="14"/>
      <c r="MQQ4" s="14"/>
      <c r="MQR4" s="14"/>
      <c r="MQS4" s="14"/>
      <c r="MQT4" s="14"/>
      <c r="MQU4" s="14"/>
      <c r="MQV4" s="14"/>
      <c r="MQW4" s="14"/>
      <c r="MQX4" s="14"/>
      <c r="MQY4" s="14"/>
      <c r="MQZ4" s="14"/>
      <c r="MRA4" s="14"/>
      <c r="MRB4" s="14"/>
      <c r="MRC4" s="14"/>
      <c r="MRD4" s="14"/>
      <c r="MRE4" s="14"/>
      <c r="MRF4" s="14"/>
      <c r="MRG4" s="14"/>
      <c r="MRH4" s="14"/>
      <c r="MRI4" s="14"/>
      <c r="MRJ4" s="14"/>
      <c r="MRK4" s="14"/>
      <c r="MRL4" s="14"/>
      <c r="MRM4" s="14"/>
      <c r="MRN4" s="14"/>
      <c r="MRO4" s="14"/>
      <c r="MRP4" s="14"/>
      <c r="MRQ4" s="14"/>
      <c r="MRR4" s="14"/>
      <c r="MRS4" s="14"/>
      <c r="MRT4" s="14"/>
      <c r="MRU4" s="14"/>
      <c r="MRV4" s="14"/>
      <c r="MRW4" s="14"/>
      <c r="MRX4" s="14"/>
      <c r="MRY4" s="14"/>
      <c r="MRZ4" s="14"/>
      <c r="MSA4" s="14"/>
      <c r="MSB4" s="14"/>
      <c r="MSC4" s="14"/>
      <c r="MSD4" s="14"/>
      <c r="MSE4" s="14"/>
      <c r="MSF4" s="14"/>
      <c r="MSG4" s="14"/>
      <c r="MSH4" s="14"/>
      <c r="MSI4" s="14"/>
      <c r="MSJ4" s="14"/>
      <c r="MSK4" s="14"/>
      <c r="MSL4" s="14"/>
      <c r="MSM4" s="14"/>
      <c r="MSN4" s="14"/>
      <c r="MSO4" s="14"/>
      <c r="MSP4" s="14"/>
      <c r="MSQ4" s="14"/>
      <c r="MSR4" s="14"/>
      <c r="MSS4" s="14"/>
      <c r="MST4" s="14"/>
      <c r="MSU4" s="14"/>
      <c r="MSV4" s="14"/>
      <c r="MSW4" s="14"/>
      <c r="MSX4" s="14"/>
      <c r="MSY4" s="14"/>
      <c r="MSZ4" s="14"/>
      <c r="MTA4" s="14"/>
      <c r="MTB4" s="14"/>
      <c r="MTC4" s="14"/>
      <c r="MTD4" s="14"/>
      <c r="MTE4" s="14"/>
      <c r="MTF4" s="14"/>
      <c r="MTG4" s="14"/>
      <c r="MTH4" s="14"/>
      <c r="MTI4" s="14"/>
      <c r="MTJ4" s="14"/>
      <c r="MTK4" s="14"/>
      <c r="MTL4" s="14"/>
      <c r="MTM4" s="14"/>
      <c r="MTN4" s="14"/>
      <c r="MTO4" s="14"/>
      <c r="MTP4" s="14"/>
      <c r="MTQ4" s="14"/>
      <c r="MTR4" s="14"/>
      <c r="MTS4" s="14"/>
      <c r="MTT4" s="14"/>
      <c r="MTU4" s="14"/>
      <c r="MTV4" s="14"/>
      <c r="MTW4" s="14"/>
      <c r="MTX4" s="14"/>
      <c r="MTY4" s="14"/>
      <c r="MTZ4" s="14"/>
      <c r="MUA4" s="14"/>
      <c r="MUB4" s="14"/>
      <c r="MUC4" s="14"/>
      <c r="MUD4" s="14"/>
      <c r="MUE4" s="14"/>
      <c r="MUF4" s="14"/>
      <c r="MUG4" s="14"/>
      <c r="MUH4" s="14"/>
      <c r="MUI4" s="14"/>
      <c r="MUJ4" s="14"/>
      <c r="MUK4" s="14"/>
      <c r="MUL4" s="14"/>
      <c r="MUM4" s="14"/>
      <c r="MUN4" s="14"/>
      <c r="MUO4" s="14"/>
      <c r="MUP4" s="14"/>
      <c r="MUQ4" s="14"/>
      <c r="MUR4" s="14"/>
      <c r="MUS4" s="14"/>
      <c r="MUT4" s="14"/>
      <c r="MUU4" s="14"/>
      <c r="MUV4" s="14"/>
      <c r="MUW4" s="14"/>
      <c r="MUX4" s="14"/>
      <c r="MUY4" s="14"/>
      <c r="MUZ4" s="14"/>
      <c r="MVA4" s="14"/>
      <c r="MVB4" s="14"/>
      <c r="MVC4" s="14"/>
      <c r="MVD4" s="14"/>
      <c r="MVE4" s="14"/>
      <c r="MVF4" s="14"/>
      <c r="MVG4" s="14"/>
      <c r="MVH4" s="14"/>
      <c r="MVI4" s="14"/>
      <c r="MVJ4" s="14"/>
      <c r="MVK4" s="14"/>
      <c r="MVL4" s="14"/>
      <c r="MVM4" s="14"/>
      <c r="MVN4" s="14"/>
      <c r="MVO4" s="14"/>
      <c r="MVP4" s="14"/>
      <c r="MVQ4" s="14"/>
      <c r="MVR4" s="14"/>
      <c r="MVS4" s="14"/>
      <c r="MVT4" s="14"/>
      <c r="MVU4" s="14"/>
      <c r="MVV4" s="14"/>
      <c r="MVW4" s="14"/>
      <c r="MVX4" s="14"/>
      <c r="MVY4" s="14"/>
      <c r="MVZ4" s="14"/>
      <c r="MWA4" s="14"/>
      <c r="MWB4" s="14"/>
      <c r="MWC4" s="14"/>
      <c r="MWD4" s="14"/>
      <c r="MWE4" s="14"/>
      <c r="MWF4" s="14"/>
      <c r="MWG4" s="14"/>
      <c r="MWH4" s="14"/>
      <c r="MWI4" s="14"/>
      <c r="MWJ4" s="14"/>
      <c r="MWK4" s="14"/>
      <c r="MWL4" s="14"/>
      <c r="MWM4" s="14"/>
      <c r="MWN4" s="14"/>
      <c r="MWO4" s="14"/>
      <c r="MWP4" s="14"/>
      <c r="MWQ4" s="14"/>
      <c r="MWR4" s="14"/>
      <c r="MWS4" s="14"/>
      <c r="MWT4" s="14"/>
      <c r="MWU4" s="14"/>
      <c r="MWV4" s="14"/>
      <c r="MWW4" s="14"/>
      <c r="MWX4" s="14"/>
      <c r="MWY4" s="14"/>
      <c r="MWZ4" s="14"/>
      <c r="MXA4" s="14"/>
      <c r="MXB4" s="14"/>
      <c r="MXC4" s="14"/>
      <c r="MXD4" s="14"/>
      <c r="MXE4" s="14"/>
      <c r="MXF4" s="14"/>
      <c r="MXG4" s="14"/>
      <c r="MXH4" s="14"/>
      <c r="MXI4" s="14"/>
      <c r="MXJ4" s="14"/>
      <c r="MXK4" s="14"/>
      <c r="MXL4" s="14"/>
      <c r="MXM4" s="14"/>
      <c r="MXN4" s="14"/>
      <c r="MXO4" s="14"/>
      <c r="MXP4" s="14"/>
      <c r="MXQ4" s="14"/>
      <c r="MXR4" s="14"/>
      <c r="MXS4" s="14"/>
      <c r="MXT4" s="14"/>
      <c r="MXU4" s="14"/>
      <c r="MXV4" s="14"/>
      <c r="MXW4" s="14"/>
      <c r="MXX4" s="14"/>
      <c r="MXY4" s="14"/>
      <c r="MXZ4" s="14"/>
      <c r="MYA4" s="14"/>
      <c r="MYB4" s="14"/>
      <c r="MYC4" s="14"/>
      <c r="MYD4" s="14"/>
      <c r="MYE4" s="14"/>
      <c r="MYF4" s="14"/>
      <c r="MYG4" s="14"/>
      <c r="MYH4" s="14"/>
      <c r="MYI4" s="14"/>
      <c r="MYJ4" s="14"/>
      <c r="MYK4" s="14"/>
      <c r="MYL4" s="14"/>
      <c r="MYM4" s="14"/>
      <c r="MYN4" s="14"/>
      <c r="MYO4" s="14"/>
      <c r="MYP4" s="14"/>
      <c r="MYQ4" s="14"/>
      <c r="MYR4" s="14"/>
      <c r="MYS4" s="14"/>
      <c r="MYT4" s="14"/>
      <c r="MYU4" s="14"/>
      <c r="MYV4" s="14"/>
      <c r="MYW4" s="14"/>
      <c r="MYX4" s="14"/>
      <c r="MYY4" s="14"/>
      <c r="MYZ4" s="14"/>
      <c r="MZA4" s="14"/>
      <c r="MZB4" s="14"/>
      <c r="MZC4" s="14"/>
      <c r="MZD4" s="14"/>
      <c r="MZE4" s="14"/>
      <c r="MZF4" s="14"/>
      <c r="MZG4" s="14"/>
      <c r="MZH4" s="14"/>
      <c r="MZI4" s="14"/>
      <c r="MZJ4" s="14"/>
      <c r="MZK4" s="14"/>
      <c r="MZL4" s="14"/>
      <c r="MZM4" s="14"/>
      <c r="MZN4" s="14"/>
      <c r="MZO4" s="14"/>
      <c r="MZP4" s="14"/>
      <c r="MZQ4" s="14"/>
      <c r="MZR4" s="14"/>
      <c r="MZS4" s="14"/>
      <c r="MZT4" s="14"/>
      <c r="MZU4" s="14"/>
      <c r="MZV4" s="14"/>
      <c r="MZW4" s="14"/>
      <c r="MZX4" s="14"/>
      <c r="MZY4" s="14"/>
      <c r="MZZ4" s="14"/>
      <c r="NAA4" s="14"/>
      <c r="NAB4" s="14"/>
      <c r="NAC4" s="14"/>
      <c r="NAD4" s="14"/>
      <c r="NAE4" s="14"/>
      <c r="NAF4" s="14"/>
      <c r="NAG4" s="14"/>
      <c r="NAH4" s="14"/>
      <c r="NAI4" s="14"/>
      <c r="NAJ4" s="14"/>
      <c r="NAK4" s="14"/>
      <c r="NAL4" s="14"/>
      <c r="NAM4" s="14"/>
      <c r="NAN4" s="14"/>
      <c r="NAO4" s="14"/>
      <c r="NAP4" s="14"/>
      <c r="NAQ4" s="14"/>
      <c r="NAR4" s="14"/>
      <c r="NAS4" s="14"/>
      <c r="NAT4" s="14"/>
      <c r="NAU4" s="14"/>
      <c r="NAV4" s="14"/>
      <c r="NAW4" s="14"/>
      <c r="NAX4" s="14"/>
      <c r="NAY4" s="14"/>
      <c r="NAZ4" s="14"/>
      <c r="NBA4" s="14"/>
      <c r="NBB4" s="14"/>
      <c r="NBC4" s="14"/>
      <c r="NBD4" s="14"/>
      <c r="NBE4" s="14"/>
      <c r="NBF4" s="14"/>
      <c r="NBG4" s="14"/>
      <c r="NBH4" s="14"/>
      <c r="NBI4" s="14"/>
      <c r="NBJ4" s="14"/>
      <c r="NBK4" s="14"/>
      <c r="NBL4" s="14"/>
      <c r="NBM4" s="14"/>
      <c r="NBN4" s="14"/>
      <c r="NBO4" s="14"/>
      <c r="NBP4" s="14"/>
      <c r="NBQ4" s="14"/>
      <c r="NBR4" s="14"/>
      <c r="NBS4" s="14"/>
      <c r="NBT4" s="14"/>
      <c r="NBU4" s="14"/>
      <c r="NBV4" s="14"/>
      <c r="NBW4" s="14"/>
      <c r="NBX4" s="14"/>
      <c r="NBY4" s="14"/>
      <c r="NBZ4" s="14"/>
      <c r="NCA4" s="14"/>
      <c r="NCB4" s="14"/>
      <c r="NCC4" s="14"/>
      <c r="NCD4" s="14"/>
      <c r="NCE4" s="14"/>
      <c r="NCF4" s="14"/>
      <c r="NCG4" s="14"/>
      <c r="NCH4" s="14"/>
      <c r="NCI4" s="14"/>
      <c r="NCJ4" s="14"/>
      <c r="NCK4" s="14"/>
      <c r="NCL4" s="14"/>
      <c r="NCM4" s="14"/>
      <c r="NCN4" s="14"/>
      <c r="NCO4" s="14"/>
      <c r="NCP4" s="14"/>
      <c r="NCQ4" s="14"/>
      <c r="NCR4" s="14"/>
      <c r="NCS4" s="14"/>
      <c r="NCT4" s="14"/>
      <c r="NCU4" s="14"/>
      <c r="NCV4" s="14"/>
      <c r="NCW4" s="14"/>
      <c r="NCX4" s="14"/>
      <c r="NCY4" s="14"/>
      <c r="NCZ4" s="14"/>
      <c r="NDA4" s="14"/>
      <c r="NDB4" s="14"/>
      <c r="NDC4" s="14"/>
      <c r="NDD4" s="14"/>
      <c r="NDE4" s="14"/>
      <c r="NDF4" s="14"/>
      <c r="NDG4" s="14"/>
      <c r="NDH4" s="14"/>
      <c r="NDI4" s="14"/>
      <c r="NDJ4" s="14"/>
      <c r="NDK4" s="14"/>
      <c r="NDL4" s="14"/>
      <c r="NDM4" s="14"/>
      <c r="NDN4" s="14"/>
      <c r="NDO4" s="14"/>
      <c r="NDP4" s="14"/>
      <c r="NDQ4" s="14"/>
      <c r="NDR4" s="14"/>
      <c r="NDS4" s="14"/>
      <c r="NDT4" s="14"/>
      <c r="NDU4" s="14"/>
      <c r="NDV4" s="14"/>
      <c r="NDW4" s="14"/>
      <c r="NDX4" s="14"/>
      <c r="NDY4" s="14"/>
      <c r="NDZ4" s="14"/>
      <c r="NEA4" s="14"/>
      <c r="NEB4" s="14"/>
      <c r="NEC4" s="14"/>
      <c r="NED4" s="14"/>
      <c r="NEE4" s="14"/>
      <c r="NEF4" s="14"/>
      <c r="NEG4" s="14"/>
      <c r="NEH4" s="14"/>
      <c r="NEI4" s="14"/>
      <c r="NEJ4" s="14"/>
      <c r="NEK4" s="14"/>
      <c r="NEL4" s="14"/>
      <c r="NEM4" s="14"/>
      <c r="NEN4" s="14"/>
      <c r="NEO4" s="14"/>
      <c r="NEP4" s="14"/>
      <c r="NEQ4" s="14"/>
      <c r="NER4" s="14"/>
      <c r="NES4" s="14"/>
      <c r="NET4" s="14"/>
      <c r="NEU4" s="14"/>
      <c r="NEV4" s="14"/>
      <c r="NEW4" s="14"/>
      <c r="NEX4" s="14"/>
      <c r="NEY4" s="14"/>
      <c r="NEZ4" s="14"/>
      <c r="NFA4" s="14"/>
      <c r="NFB4" s="14"/>
      <c r="NFC4" s="14"/>
      <c r="NFD4" s="14"/>
      <c r="NFE4" s="14"/>
      <c r="NFF4" s="14"/>
      <c r="NFG4" s="14"/>
      <c r="NFH4" s="14"/>
      <c r="NFI4" s="14"/>
      <c r="NFJ4" s="14"/>
      <c r="NFK4" s="14"/>
      <c r="NFL4" s="14"/>
      <c r="NFM4" s="14"/>
      <c r="NFN4" s="14"/>
      <c r="NFO4" s="14"/>
      <c r="NFP4" s="14"/>
      <c r="NFQ4" s="14"/>
      <c r="NFR4" s="14"/>
      <c r="NFS4" s="14"/>
      <c r="NFT4" s="14"/>
      <c r="NFU4" s="14"/>
      <c r="NFV4" s="14"/>
      <c r="NFW4" s="14"/>
      <c r="NFX4" s="14"/>
      <c r="NFY4" s="14"/>
      <c r="NFZ4" s="14"/>
      <c r="NGA4" s="14"/>
      <c r="NGB4" s="14"/>
      <c r="NGC4" s="14"/>
      <c r="NGD4" s="14"/>
      <c r="NGE4" s="14"/>
      <c r="NGF4" s="14"/>
      <c r="NGG4" s="14"/>
      <c r="NGH4" s="14"/>
      <c r="NGI4" s="14"/>
      <c r="NGJ4" s="14"/>
      <c r="NGK4" s="14"/>
      <c r="NGL4" s="14"/>
      <c r="NGM4" s="14"/>
      <c r="NGN4" s="14"/>
      <c r="NGO4" s="14"/>
      <c r="NGP4" s="14"/>
      <c r="NGQ4" s="14"/>
      <c r="NGR4" s="14"/>
      <c r="NGS4" s="14"/>
      <c r="NGT4" s="14"/>
      <c r="NGU4" s="14"/>
      <c r="NGV4" s="14"/>
      <c r="NGW4" s="14"/>
      <c r="NGX4" s="14"/>
      <c r="NGY4" s="14"/>
      <c r="NGZ4" s="14"/>
      <c r="NHA4" s="14"/>
      <c r="NHB4" s="14"/>
      <c r="NHC4" s="14"/>
      <c r="NHD4" s="14"/>
      <c r="NHE4" s="14"/>
      <c r="NHF4" s="14"/>
      <c r="NHG4" s="14"/>
      <c r="NHH4" s="14"/>
      <c r="NHI4" s="14"/>
      <c r="NHJ4" s="14"/>
      <c r="NHK4" s="14"/>
      <c r="NHL4" s="14"/>
      <c r="NHM4" s="14"/>
      <c r="NHN4" s="14"/>
      <c r="NHO4" s="14"/>
      <c r="NHP4" s="14"/>
      <c r="NHQ4" s="14"/>
      <c r="NHR4" s="14"/>
      <c r="NHS4" s="14"/>
      <c r="NHT4" s="14"/>
      <c r="NHU4" s="14"/>
      <c r="NHV4" s="14"/>
      <c r="NHW4" s="14"/>
      <c r="NHX4" s="14"/>
      <c r="NHY4" s="14"/>
      <c r="NHZ4" s="14"/>
      <c r="NIA4" s="14"/>
      <c r="NIB4" s="14"/>
      <c r="NIC4" s="14"/>
      <c r="NID4" s="14"/>
      <c r="NIE4" s="14"/>
      <c r="NIF4" s="14"/>
      <c r="NIG4" s="14"/>
      <c r="NIH4" s="14"/>
      <c r="NII4" s="14"/>
      <c r="NIJ4" s="14"/>
      <c r="NIK4" s="14"/>
      <c r="NIL4" s="14"/>
      <c r="NIM4" s="14"/>
      <c r="NIN4" s="14"/>
      <c r="NIO4" s="14"/>
      <c r="NIP4" s="14"/>
      <c r="NIQ4" s="14"/>
      <c r="NIR4" s="14"/>
      <c r="NIS4" s="14"/>
      <c r="NIT4" s="14"/>
      <c r="NIU4" s="14"/>
      <c r="NIV4" s="14"/>
      <c r="NIW4" s="14"/>
      <c r="NIX4" s="14"/>
      <c r="NIY4" s="14"/>
      <c r="NIZ4" s="14"/>
      <c r="NJA4" s="14"/>
      <c r="NJB4" s="14"/>
      <c r="NJC4" s="14"/>
      <c r="NJD4" s="14"/>
      <c r="NJE4" s="14"/>
      <c r="NJF4" s="14"/>
      <c r="NJG4" s="14"/>
      <c r="NJH4" s="14"/>
      <c r="NJI4" s="14"/>
      <c r="NJJ4" s="14"/>
      <c r="NJK4" s="14"/>
      <c r="NJL4" s="14"/>
      <c r="NJM4" s="14"/>
      <c r="NJN4" s="14"/>
      <c r="NJO4" s="14"/>
      <c r="NJP4" s="14"/>
      <c r="NJQ4" s="14"/>
      <c r="NJR4" s="14"/>
      <c r="NJS4" s="14"/>
      <c r="NJT4" s="14"/>
      <c r="NJU4" s="14"/>
      <c r="NJV4" s="14"/>
      <c r="NJW4" s="14"/>
      <c r="NJX4" s="14"/>
      <c r="NJY4" s="14"/>
      <c r="NJZ4" s="14"/>
      <c r="NKA4" s="14"/>
      <c r="NKB4" s="14"/>
      <c r="NKC4" s="14"/>
      <c r="NKD4" s="14"/>
      <c r="NKE4" s="14"/>
      <c r="NKF4" s="14"/>
      <c r="NKG4" s="14"/>
      <c r="NKH4" s="14"/>
      <c r="NKI4" s="14"/>
      <c r="NKJ4" s="14"/>
      <c r="NKK4" s="14"/>
      <c r="NKL4" s="14"/>
      <c r="NKM4" s="14"/>
      <c r="NKN4" s="14"/>
      <c r="NKO4" s="14"/>
      <c r="NKP4" s="14"/>
      <c r="NKQ4" s="14"/>
      <c r="NKR4" s="14"/>
      <c r="NKS4" s="14"/>
      <c r="NKT4" s="14"/>
      <c r="NKU4" s="14"/>
      <c r="NKV4" s="14"/>
      <c r="NKW4" s="14"/>
      <c r="NKX4" s="14"/>
      <c r="NKY4" s="14"/>
      <c r="NKZ4" s="14"/>
      <c r="NLA4" s="14"/>
      <c r="NLB4" s="14"/>
      <c r="NLC4" s="14"/>
      <c r="NLD4" s="14"/>
      <c r="NLE4" s="14"/>
      <c r="NLF4" s="14"/>
      <c r="NLG4" s="14"/>
      <c r="NLH4" s="14"/>
      <c r="NLI4" s="14"/>
      <c r="NLJ4" s="14"/>
      <c r="NLK4" s="14"/>
      <c r="NLL4" s="14"/>
      <c r="NLM4" s="14"/>
      <c r="NLN4" s="14"/>
      <c r="NLO4" s="14"/>
      <c r="NLP4" s="14"/>
      <c r="NLQ4" s="14"/>
      <c r="NLR4" s="14"/>
      <c r="NLS4" s="14"/>
      <c r="NLT4" s="14"/>
      <c r="NLU4" s="14"/>
      <c r="NLV4" s="14"/>
      <c r="NLW4" s="14"/>
      <c r="NLX4" s="14"/>
      <c r="NLY4" s="14"/>
      <c r="NLZ4" s="14"/>
      <c r="NMA4" s="14"/>
      <c r="NMB4" s="14"/>
      <c r="NMC4" s="14"/>
      <c r="NMD4" s="14"/>
      <c r="NME4" s="14"/>
      <c r="NMF4" s="14"/>
      <c r="NMG4" s="14"/>
      <c r="NMH4" s="14"/>
      <c r="NMI4" s="14"/>
      <c r="NMJ4" s="14"/>
      <c r="NMK4" s="14"/>
      <c r="NML4" s="14"/>
      <c r="NMM4" s="14"/>
      <c r="NMN4" s="14"/>
      <c r="NMO4" s="14"/>
      <c r="NMP4" s="14"/>
      <c r="NMQ4" s="14"/>
      <c r="NMR4" s="14"/>
      <c r="NMS4" s="14"/>
      <c r="NMT4" s="14"/>
      <c r="NMU4" s="14"/>
      <c r="NMV4" s="14"/>
      <c r="NMW4" s="14"/>
      <c r="NMX4" s="14"/>
      <c r="NMY4" s="14"/>
      <c r="NMZ4" s="14"/>
      <c r="NNA4" s="14"/>
      <c r="NNB4" s="14"/>
      <c r="NNC4" s="14"/>
      <c r="NND4" s="14"/>
      <c r="NNE4" s="14"/>
      <c r="NNF4" s="14"/>
      <c r="NNG4" s="14"/>
      <c r="NNH4" s="14"/>
      <c r="NNI4" s="14"/>
      <c r="NNJ4" s="14"/>
      <c r="NNK4" s="14"/>
      <c r="NNL4" s="14"/>
      <c r="NNM4" s="14"/>
      <c r="NNN4" s="14"/>
      <c r="NNO4" s="14"/>
      <c r="NNP4" s="14"/>
      <c r="NNQ4" s="14"/>
      <c r="NNR4" s="14"/>
      <c r="NNS4" s="14"/>
      <c r="NNT4" s="14"/>
      <c r="NNU4" s="14"/>
      <c r="NNV4" s="14"/>
      <c r="NNW4" s="14"/>
      <c r="NNX4" s="14"/>
      <c r="NNY4" s="14"/>
      <c r="NNZ4" s="14"/>
      <c r="NOA4" s="14"/>
      <c r="NOB4" s="14"/>
      <c r="NOC4" s="14"/>
      <c r="NOD4" s="14"/>
      <c r="NOE4" s="14"/>
      <c r="NOF4" s="14"/>
      <c r="NOG4" s="14"/>
      <c r="NOH4" s="14"/>
      <c r="NOI4" s="14"/>
      <c r="NOJ4" s="14"/>
      <c r="NOK4" s="14"/>
      <c r="NOL4" s="14"/>
      <c r="NOM4" s="14"/>
      <c r="NON4" s="14"/>
      <c r="NOO4" s="14"/>
      <c r="NOP4" s="14"/>
      <c r="NOQ4" s="14"/>
      <c r="NOR4" s="14"/>
      <c r="NOS4" s="14"/>
      <c r="NOT4" s="14"/>
      <c r="NOU4" s="14"/>
      <c r="NOV4" s="14"/>
      <c r="NOW4" s="14"/>
      <c r="NOX4" s="14"/>
      <c r="NOY4" s="14"/>
      <c r="NOZ4" s="14"/>
      <c r="NPA4" s="14"/>
      <c r="NPB4" s="14"/>
      <c r="NPC4" s="14"/>
      <c r="NPD4" s="14"/>
      <c r="NPE4" s="14"/>
      <c r="NPF4" s="14"/>
      <c r="NPG4" s="14"/>
      <c r="NPH4" s="14"/>
      <c r="NPI4" s="14"/>
      <c r="NPJ4" s="14"/>
      <c r="NPK4" s="14"/>
      <c r="NPL4" s="14"/>
      <c r="NPM4" s="14"/>
      <c r="NPN4" s="14"/>
      <c r="NPO4" s="14"/>
      <c r="NPP4" s="14"/>
      <c r="NPQ4" s="14"/>
      <c r="NPR4" s="14"/>
      <c r="NPS4" s="14"/>
      <c r="NPT4" s="14"/>
      <c r="NPU4" s="14"/>
      <c r="NPV4" s="14"/>
      <c r="NPW4" s="14"/>
      <c r="NPX4" s="14"/>
      <c r="NPY4" s="14"/>
      <c r="NPZ4" s="14"/>
      <c r="NQA4" s="14"/>
      <c r="NQB4" s="14"/>
      <c r="NQC4" s="14"/>
      <c r="NQD4" s="14"/>
      <c r="NQE4" s="14"/>
      <c r="NQF4" s="14"/>
      <c r="NQG4" s="14"/>
      <c r="NQH4" s="14"/>
      <c r="NQI4" s="14"/>
      <c r="NQJ4" s="14"/>
      <c r="NQK4" s="14"/>
      <c r="NQL4" s="14"/>
      <c r="NQM4" s="14"/>
      <c r="NQN4" s="14"/>
      <c r="NQO4" s="14"/>
      <c r="NQP4" s="14"/>
      <c r="NQQ4" s="14"/>
      <c r="NQR4" s="14"/>
      <c r="NQS4" s="14"/>
      <c r="NQT4" s="14"/>
      <c r="NQU4" s="14"/>
      <c r="NQV4" s="14"/>
      <c r="NQW4" s="14"/>
      <c r="NQX4" s="14"/>
      <c r="NQY4" s="14"/>
      <c r="NQZ4" s="14"/>
      <c r="NRA4" s="14"/>
      <c r="NRB4" s="14"/>
      <c r="NRC4" s="14"/>
      <c r="NRD4" s="14"/>
      <c r="NRE4" s="14"/>
      <c r="NRF4" s="14"/>
      <c r="NRG4" s="14"/>
      <c r="NRH4" s="14"/>
      <c r="NRI4" s="14"/>
      <c r="NRJ4" s="14"/>
      <c r="NRK4" s="14"/>
      <c r="NRL4" s="14"/>
      <c r="NRM4" s="14"/>
      <c r="NRN4" s="14"/>
      <c r="NRO4" s="14"/>
      <c r="NRP4" s="14"/>
      <c r="NRQ4" s="14"/>
      <c r="NRR4" s="14"/>
      <c r="NRS4" s="14"/>
      <c r="NRT4" s="14"/>
      <c r="NRU4" s="14"/>
      <c r="NRV4" s="14"/>
      <c r="NRW4" s="14"/>
      <c r="NRX4" s="14"/>
      <c r="NRY4" s="14"/>
      <c r="NRZ4" s="14"/>
      <c r="NSA4" s="14"/>
      <c r="NSB4" s="14"/>
      <c r="NSC4" s="14"/>
      <c r="NSD4" s="14"/>
      <c r="NSE4" s="14"/>
      <c r="NSF4" s="14"/>
      <c r="NSG4" s="14"/>
      <c r="NSH4" s="14"/>
      <c r="NSI4" s="14"/>
      <c r="NSJ4" s="14"/>
      <c r="NSK4" s="14"/>
      <c r="NSL4" s="14"/>
      <c r="NSM4" s="14"/>
      <c r="NSN4" s="14"/>
      <c r="NSO4" s="14"/>
      <c r="NSP4" s="14"/>
      <c r="NSQ4" s="14"/>
      <c r="NSR4" s="14"/>
      <c r="NSS4" s="14"/>
      <c r="NST4" s="14"/>
      <c r="NSU4" s="14"/>
      <c r="NSV4" s="14"/>
      <c r="NSW4" s="14"/>
      <c r="NSX4" s="14"/>
      <c r="NSY4" s="14"/>
      <c r="NSZ4" s="14"/>
      <c r="NTA4" s="14"/>
      <c r="NTB4" s="14"/>
      <c r="NTC4" s="14"/>
      <c r="NTD4" s="14"/>
      <c r="NTE4" s="14"/>
      <c r="NTF4" s="14"/>
      <c r="NTG4" s="14"/>
      <c r="NTH4" s="14"/>
      <c r="NTI4" s="14"/>
      <c r="NTJ4" s="14"/>
      <c r="NTK4" s="14"/>
      <c r="NTL4" s="14"/>
      <c r="NTM4" s="14"/>
      <c r="NTN4" s="14"/>
      <c r="NTO4" s="14"/>
      <c r="NTP4" s="14"/>
      <c r="NTQ4" s="14"/>
      <c r="NTR4" s="14"/>
      <c r="NTS4" s="14"/>
      <c r="NTT4" s="14"/>
      <c r="NTU4" s="14"/>
      <c r="NTV4" s="14"/>
      <c r="NTW4" s="14"/>
      <c r="NTX4" s="14"/>
      <c r="NTY4" s="14"/>
      <c r="NTZ4" s="14"/>
      <c r="NUA4" s="14"/>
      <c r="NUB4" s="14"/>
      <c r="NUC4" s="14"/>
      <c r="NUD4" s="14"/>
      <c r="NUE4" s="14"/>
      <c r="NUF4" s="14"/>
      <c r="NUG4" s="14"/>
      <c r="NUH4" s="14"/>
      <c r="NUI4" s="14"/>
      <c r="NUJ4" s="14"/>
      <c r="NUK4" s="14"/>
      <c r="NUL4" s="14"/>
      <c r="NUM4" s="14"/>
      <c r="NUN4" s="14"/>
      <c r="NUO4" s="14"/>
      <c r="NUP4" s="14"/>
      <c r="NUQ4" s="14"/>
      <c r="NUR4" s="14"/>
      <c r="NUS4" s="14"/>
      <c r="NUT4" s="14"/>
      <c r="NUU4" s="14"/>
      <c r="NUV4" s="14"/>
      <c r="NUW4" s="14"/>
      <c r="NUX4" s="14"/>
      <c r="NUY4" s="14"/>
      <c r="NUZ4" s="14"/>
      <c r="NVA4" s="14"/>
      <c r="NVB4" s="14"/>
      <c r="NVC4" s="14"/>
      <c r="NVD4" s="14"/>
      <c r="NVE4" s="14"/>
      <c r="NVF4" s="14"/>
      <c r="NVG4" s="14"/>
      <c r="NVH4" s="14"/>
      <c r="NVI4" s="14"/>
      <c r="NVJ4" s="14"/>
      <c r="NVK4" s="14"/>
      <c r="NVL4" s="14"/>
      <c r="NVM4" s="14"/>
      <c r="NVN4" s="14"/>
      <c r="NVO4" s="14"/>
      <c r="NVP4" s="14"/>
      <c r="NVQ4" s="14"/>
      <c r="NVR4" s="14"/>
      <c r="NVS4" s="14"/>
      <c r="NVT4" s="14"/>
      <c r="NVU4" s="14"/>
      <c r="NVV4" s="14"/>
      <c r="NVW4" s="14"/>
      <c r="NVX4" s="14"/>
      <c r="NVY4" s="14"/>
      <c r="NVZ4" s="14"/>
      <c r="NWA4" s="14"/>
      <c r="NWB4" s="14"/>
      <c r="NWC4" s="14"/>
      <c r="NWD4" s="14"/>
      <c r="NWE4" s="14"/>
      <c r="NWF4" s="14"/>
      <c r="NWG4" s="14"/>
      <c r="NWH4" s="14"/>
      <c r="NWI4" s="14"/>
      <c r="NWJ4" s="14"/>
      <c r="NWK4" s="14"/>
      <c r="NWL4" s="14"/>
      <c r="NWM4" s="14"/>
      <c r="NWN4" s="14"/>
      <c r="NWO4" s="14"/>
      <c r="NWP4" s="14"/>
      <c r="NWQ4" s="14"/>
      <c r="NWR4" s="14"/>
      <c r="NWS4" s="14"/>
      <c r="NWT4" s="14"/>
      <c r="NWU4" s="14"/>
      <c r="NWV4" s="14"/>
      <c r="NWW4" s="14"/>
      <c r="NWX4" s="14"/>
      <c r="NWY4" s="14"/>
      <c r="NWZ4" s="14"/>
      <c r="NXA4" s="14"/>
      <c r="NXB4" s="14"/>
      <c r="NXC4" s="14"/>
      <c r="NXD4" s="14"/>
      <c r="NXE4" s="14"/>
      <c r="NXF4" s="14"/>
      <c r="NXG4" s="14"/>
      <c r="NXH4" s="14"/>
      <c r="NXI4" s="14"/>
      <c r="NXJ4" s="14"/>
      <c r="NXK4" s="14"/>
      <c r="NXL4" s="14"/>
      <c r="NXM4" s="14"/>
      <c r="NXN4" s="14"/>
      <c r="NXO4" s="14"/>
      <c r="NXP4" s="14"/>
      <c r="NXQ4" s="14"/>
      <c r="NXR4" s="14"/>
      <c r="NXS4" s="14"/>
      <c r="NXT4" s="14"/>
      <c r="NXU4" s="14"/>
      <c r="NXV4" s="14"/>
      <c r="NXW4" s="14"/>
      <c r="NXX4" s="14"/>
      <c r="NXY4" s="14"/>
      <c r="NXZ4" s="14"/>
      <c r="NYA4" s="14"/>
      <c r="NYB4" s="14"/>
      <c r="NYC4" s="14"/>
      <c r="NYD4" s="14"/>
      <c r="NYE4" s="14"/>
      <c r="NYF4" s="14"/>
      <c r="NYG4" s="14"/>
      <c r="NYH4" s="14"/>
      <c r="NYI4" s="14"/>
      <c r="NYJ4" s="14"/>
      <c r="NYK4" s="14"/>
      <c r="NYL4" s="14"/>
      <c r="NYM4" s="14"/>
      <c r="NYN4" s="14"/>
      <c r="NYO4" s="14"/>
      <c r="NYP4" s="14"/>
      <c r="NYQ4" s="14"/>
      <c r="NYR4" s="14"/>
      <c r="NYS4" s="14"/>
      <c r="NYT4" s="14"/>
      <c r="NYU4" s="14"/>
      <c r="NYV4" s="14"/>
      <c r="NYW4" s="14"/>
      <c r="NYX4" s="14"/>
      <c r="NYY4" s="14"/>
      <c r="NYZ4" s="14"/>
      <c r="NZA4" s="14"/>
      <c r="NZB4" s="14"/>
      <c r="NZC4" s="14"/>
      <c r="NZD4" s="14"/>
      <c r="NZE4" s="14"/>
      <c r="NZF4" s="14"/>
      <c r="NZG4" s="14"/>
      <c r="NZH4" s="14"/>
      <c r="NZI4" s="14"/>
      <c r="NZJ4" s="14"/>
      <c r="NZK4" s="14"/>
      <c r="NZL4" s="14"/>
      <c r="NZM4" s="14"/>
      <c r="NZN4" s="14"/>
      <c r="NZO4" s="14"/>
      <c r="NZP4" s="14"/>
      <c r="NZQ4" s="14"/>
      <c r="NZR4" s="14"/>
      <c r="NZS4" s="14"/>
      <c r="NZT4" s="14"/>
      <c r="NZU4" s="14"/>
      <c r="NZV4" s="14"/>
      <c r="NZW4" s="14"/>
      <c r="NZX4" s="14"/>
      <c r="NZY4" s="14"/>
      <c r="NZZ4" s="14"/>
      <c r="OAA4" s="14"/>
      <c r="OAB4" s="14"/>
      <c r="OAC4" s="14"/>
      <c r="OAD4" s="14"/>
      <c r="OAE4" s="14"/>
      <c r="OAF4" s="14"/>
      <c r="OAG4" s="14"/>
      <c r="OAH4" s="14"/>
      <c r="OAI4" s="14"/>
      <c r="OAJ4" s="14"/>
      <c r="OAK4" s="14"/>
      <c r="OAL4" s="14"/>
      <c r="OAM4" s="14"/>
      <c r="OAN4" s="14"/>
      <c r="OAO4" s="14"/>
      <c r="OAP4" s="14"/>
      <c r="OAQ4" s="14"/>
      <c r="OAR4" s="14"/>
      <c r="OAS4" s="14"/>
      <c r="OAT4" s="14"/>
      <c r="OAU4" s="14"/>
      <c r="OAV4" s="14"/>
      <c r="OAW4" s="14"/>
      <c r="OAX4" s="14"/>
      <c r="OAY4" s="14"/>
      <c r="OAZ4" s="14"/>
      <c r="OBA4" s="14"/>
      <c r="OBB4" s="14"/>
      <c r="OBC4" s="14"/>
      <c r="OBD4" s="14"/>
      <c r="OBE4" s="14"/>
      <c r="OBF4" s="14"/>
      <c r="OBG4" s="14"/>
      <c r="OBH4" s="14"/>
      <c r="OBI4" s="14"/>
      <c r="OBJ4" s="14"/>
      <c r="OBK4" s="14"/>
      <c r="OBL4" s="14"/>
      <c r="OBM4" s="14"/>
      <c r="OBN4" s="14"/>
      <c r="OBO4" s="14"/>
      <c r="OBP4" s="14"/>
      <c r="OBQ4" s="14"/>
      <c r="OBR4" s="14"/>
      <c r="OBS4" s="14"/>
      <c r="OBT4" s="14"/>
      <c r="OBU4" s="14"/>
      <c r="OBV4" s="14"/>
      <c r="OBW4" s="14"/>
      <c r="OBX4" s="14"/>
      <c r="OBY4" s="14"/>
      <c r="OBZ4" s="14"/>
      <c r="OCA4" s="14"/>
      <c r="OCB4" s="14"/>
      <c r="OCC4" s="14"/>
      <c r="OCD4" s="14"/>
      <c r="OCE4" s="14"/>
      <c r="OCF4" s="14"/>
      <c r="OCG4" s="14"/>
      <c r="OCH4" s="14"/>
      <c r="OCI4" s="14"/>
      <c r="OCJ4" s="14"/>
      <c r="OCK4" s="14"/>
      <c r="OCL4" s="14"/>
      <c r="OCM4" s="14"/>
      <c r="OCN4" s="14"/>
      <c r="OCO4" s="14"/>
      <c r="OCP4" s="14"/>
      <c r="OCQ4" s="14"/>
      <c r="OCR4" s="14"/>
      <c r="OCS4" s="14"/>
      <c r="OCT4" s="14"/>
      <c r="OCU4" s="14"/>
      <c r="OCV4" s="14"/>
      <c r="OCW4" s="14"/>
      <c r="OCX4" s="14"/>
      <c r="OCY4" s="14"/>
      <c r="OCZ4" s="14"/>
      <c r="ODA4" s="14"/>
      <c r="ODB4" s="14"/>
      <c r="ODC4" s="14"/>
      <c r="ODD4" s="14"/>
      <c r="ODE4" s="14"/>
      <c r="ODF4" s="14"/>
      <c r="ODG4" s="14"/>
      <c r="ODH4" s="14"/>
      <c r="ODI4" s="14"/>
      <c r="ODJ4" s="14"/>
      <c r="ODK4" s="14"/>
      <c r="ODL4" s="14"/>
      <c r="ODM4" s="14"/>
      <c r="ODN4" s="14"/>
      <c r="ODO4" s="14"/>
      <c r="ODP4" s="14"/>
      <c r="ODQ4" s="14"/>
      <c r="ODR4" s="14"/>
      <c r="ODS4" s="14"/>
      <c r="ODT4" s="14"/>
      <c r="ODU4" s="14"/>
      <c r="ODV4" s="14"/>
      <c r="ODW4" s="14"/>
      <c r="ODX4" s="14"/>
      <c r="ODY4" s="14"/>
      <c r="ODZ4" s="14"/>
      <c r="OEA4" s="14"/>
      <c r="OEB4" s="14"/>
      <c r="OEC4" s="14"/>
      <c r="OED4" s="14"/>
      <c r="OEE4" s="14"/>
      <c r="OEF4" s="14"/>
      <c r="OEG4" s="14"/>
      <c r="OEH4" s="14"/>
      <c r="OEI4" s="14"/>
      <c r="OEJ4" s="14"/>
      <c r="OEK4" s="14"/>
      <c r="OEL4" s="14"/>
      <c r="OEM4" s="14"/>
      <c r="OEN4" s="14"/>
      <c r="OEO4" s="14"/>
      <c r="OEP4" s="14"/>
      <c r="OEQ4" s="14"/>
      <c r="OER4" s="14"/>
      <c r="OES4" s="14"/>
      <c r="OET4" s="14"/>
      <c r="OEU4" s="14"/>
      <c r="OEV4" s="14"/>
      <c r="OEW4" s="14"/>
      <c r="OEX4" s="14"/>
      <c r="OEY4" s="14"/>
      <c r="OEZ4" s="14"/>
      <c r="OFA4" s="14"/>
      <c r="OFB4" s="14"/>
      <c r="OFC4" s="14"/>
      <c r="OFD4" s="14"/>
      <c r="OFE4" s="14"/>
      <c r="OFF4" s="14"/>
      <c r="OFG4" s="14"/>
      <c r="OFH4" s="14"/>
      <c r="OFI4" s="14"/>
      <c r="OFJ4" s="14"/>
      <c r="OFK4" s="14"/>
      <c r="OFL4" s="14"/>
      <c r="OFM4" s="14"/>
      <c r="OFN4" s="14"/>
      <c r="OFO4" s="14"/>
      <c r="OFP4" s="14"/>
      <c r="OFQ4" s="14"/>
      <c r="OFR4" s="14"/>
      <c r="OFS4" s="14"/>
      <c r="OFT4" s="14"/>
      <c r="OFU4" s="14"/>
      <c r="OFV4" s="14"/>
      <c r="OFW4" s="14"/>
      <c r="OFX4" s="14"/>
      <c r="OFY4" s="14"/>
      <c r="OFZ4" s="14"/>
      <c r="OGA4" s="14"/>
      <c r="OGB4" s="14"/>
      <c r="OGC4" s="14"/>
      <c r="OGD4" s="14"/>
      <c r="OGE4" s="14"/>
      <c r="OGF4" s="14"/>
      <c r="OGG4" s="14"/>
      <c r="OGH4" s="14"/>
      <c r="OGI4" s="14"/>
      <c r="OGJ4" s="14"/>
      <c r="OGK4" s="14"/>
      <c r="OGL4" s="14"/>
      <c r="OGM4" s="14"/>
      <c r="OGN4" s="14"/>
      <c r="OGO4" s="14"/>
      <c r="OGP4" s="14"/>
      <c r="OGQ4" s="14"/>
      <c r="OGR4" s="14"/>
      <c r="OGS4" s="14"/>
      <c r="OGT4" s="14"/>
      <c r="OGU4" s="14"/>
      <c r="OGV4" s="14"/>
      <c r="OGW4" s="14"/>
      <c r="OGX4" s="14"/>
      <c r="OGY4" s="14"/>
      <c r="OGZ4" s="14"/>
      <c r="OHA4" s="14"/>
      <c r="OHB4" s="14"/>
      <c r="OHC4" s="14"/>
      <c r="OHD4" s="14"/>
      <c r="OHE4" s="14"/>
      <c r="OHF4" s="14"/>
      <c r="OHG4" s="14"/>
      <c r="OHH4" s="14"/>
      <c r="OHI4" s="14"/>
      <c r="OHJ4" s="14"/>
      <c r="OHK4" s="14"/>
      <c r="OHL4" s="14"/>
      <c r="OHM4" s="14"/>
      <c r="OHN4" s="14"/>
      <c r="OHO4" s="14"/>
      <c r="OHP4" s="14"/>
      <c r="OHQ4" s="14"/>
      <c r="OHR4" s="14"/>
      <c r="OHS4" s="14"/>
      <c r="OHT4" s="14"/>
      <c r="OHU4" s="14"/>
      <c r="OHV4" s="14"/>
      <c r="OHW4" s="14"/>
      <c r="OHX4" s="14"/>
      <c r="OHY4" s="14"/>
      <c r="OHZ4" s="14"/>
      <c r="OIA4" s="14"/>
      <c r="OIB4" s="14"/>
      <c r="OIC4" s="14"/>
      <c r="OID4" s="14"/>
      <c r="OIE4" s="14"/>
      <c r="OIF4" s="14"/>
      <c r="OIG4" s="14"/>
      <c r="OIH4" s="14"/>
      <c r="OII4" s="14"/>
      <c r="OIJ4" s="14"/>
      <c r="OIK4" s="14"/>
      <c r="OIL4" s="14"/>
      <c r="OIM4" s="14"/>
      <c r="OIN4" s="14"/>
      <c r="OIO4" s="14"/>
      <c r="OIP4" s="14"/>
      <c r="OIQ4" s="14"/>
      <c r="OIR4" s="14"/>
      <c r="OIS4" s="14"/>
      <c r="OIT4" s="14"/>
      <c r="OIU4" s="14"/>
      <c r="OIV4" s="14"/>
      <c r="OIW4" s="14"/>
      <c r="OIX4" s="14"/>
      <c r="OIY4" s="14"/>
      <c r="OIZ4" s="14"/>
      <c r="OJA4" s="14"/>
      <c r="OJB4" s="14"/>
      <c r="OJC4" s="14"/>
      <c r="OJD4" s="14"/>
      <c r="OJE4" s="14"/>
      <c r="OJF4" s="14"/>
      <c r="OJG4" s="14"/>
      <c r="OJH4" s="14"/>
      <c r="OJI4" s="14"/>
      <c r="OJJ4" s="14"/>
      <c r="OJK4" s="14"/>
      <c r="OJL4" s="14"/>
      <c r="OJM4" s="14"/>
      <c r="OJN4" s="14"/>
      <c r="OJO4" s="14"/>
      <c r="OJP4" s="14"/>
      <c r="OJQ4" s="14"/>
      <c r="OJR4" s="14"/>
      <c r="OJS4" s="14"/>
      <c r="OJT4" s="14"/>
      <c r="OJU4" s="14"/>
      <c r="OJV4" s="14"/>
      <c r="OJW4" s="14"/>
      <c r="OJX4" s="14"/>
      <c r="OJY4" s="14"/>
      <c r="OJZ4" s="14"/>
      <c r="OKA4" s="14"/>
      <c r="OKB4" s="14"/>
      <c r="OKC4" s="14"/>
      <c r="OKD4" s="14"/>
      <c r="OKE4" s="14"/>
      <c r="OKF4" s="14"/>
      <c r="OKG4" s="14"/>
      <c r="OKH4" s="14"/>
      <c r="OKI4" s="14"/>
      <c r="OKJ4" s="14"/>
      <c r="OKK4" s="14"/>
      <c r="OKL4" s="14"/>
      <c r="OKM4" s="14"/>
      <c r="OKN4" s="14"/>
      <c r="OKO4" s="14"/>
      <c r="OKP4" s="14"/>
      <c r="OKQ4" s="14"/>
      <c r="OKR4" s="14"/>
      <c r="OKS4" s="14"/>
      <c r="OKT4" s="14"/>
      <c r="OKU4" s="14"/>
      <c r="OKV4" s="14"/>
      <c r="OKW4" s="14"/>
      <c r="OKX4" s="14"/>
      <c r="OKY4" s="14"/>
      <c r="OKZ4" s="14"/>
      <c r="OLA4" s="14"/>
      <c r="OLB4" s="14"/>
      <c r="OLC4" s="14"/>
      <c r="OLD4" s="14"/>
      <c r="OLE4" s="14"/>
      <c r="OLF4" s="14"/>
      <c r="OLG4" s="14"/>
      <c r="OLH4" s="14"/>
      <c r="OLI4" s="14"/>
      <c r="OLJ4" s="14"/>
      <c r="OLK4" s="14"/>
      <c r="OLL4" s="14"/>
      <c r="OLM4" s="14"/>
      <c r="OLN4" s="14"/>
      <c r="OLO4" s="14"/>
      <c r="OLP4" s="14"/>
      <c r="OLQ4" s="14"/>
      <c r="OLR4" s="14"/>
      <c r="OLS4" s="14"/>
      <c r="OLT4" s="14"/>
      <c r="OLU4" s="14"/>
      <c r="OLV4" s="14"/>
      <c r="OLW4" s="14"/>
      <c r="OLX4" s="14"/>
      <c r="OLY4" s="14"/>
      <c r="OLZ4" s="14"/>
      <c r="OMA4" s="14"/>
      <c r="OMB4" s="14"/>
      <c r="OMC4" s="14"/>
      <c r="OMD4" s="14"/>
      <c r="OME4" s="14"/>
      <c r="OMF4" s="14"/>
      <c r="OMG4" s="14"/>
      <c r="OMH4" s="14"/>
      <c r="OMI4" s="14"/>
      <c r="OMJ4" s="14"/>
      <c r="OMK4" s="14"/>
      <c r="OML4" s="14"/>
      <c r="OMM4" s="14"/>
      <c r="OMN4" s="14"/>
      <c r="OMO4" s="14"/>
      <c r="OMP4" s="14"/>
      <c r="OMQ4" s="14"/>
      <c r="OMR4" s="14"/>
      <c r="OMS4" s="14"/>
      <c r="OMT4" s="14"/>
      <c r="OMU4" s="14"/>
      <c r="OMV4" s="14"/>
      <c r="OMW4" s="14"/>
      <c r="OMX4" s="14"/>
      <c r="OMY4" s="14"/>
      <c r="OMZ4" s="14"/>
      <c r="ONA4" s="14"/>
      <c r="ONB4" s="14"/>
      <c r="ONC4" s="14"/>
      <c r="OND4" s="14"/>
      <c r="ONE4" s="14"/>
      <c r="ONF4" s="14"/>
      <c r="ONG4" s="14"/>
      <c r="ONH4" s="14"/>
      <c r="ONI4" s="14"/>
      <c r="ONJ4" s="14"/>
      <c r="ONK4" s="14"/>
      <c r="ONL4" s="14"/>
      <c r="ONM4" s="14"/>
      <c r="ONN4" s="14"/>
      <c r="ONO4" s="14"/>
      <c r="ONP4" s="14"/>
      <c r="ONQ4" s="14"/>
      <c r="ONR4" s="14"/>
      <c r="ONS4" s="14"/>
      <c r="ONT4" s="14"/>
      <c r="ONU4" s="14"/>
      <c r="ONV4" s="14"/>
      <c r="ONW4" s="14"/>
      <c r="ONX4" s="14"/>
      <c r="ONY4" s="14"/>
      <c r="ONZ4" s="14"/>
      <c r="OOA4" s="14"/>
      <c r="OOB4" s="14"/>
      <c r="OOC4" s="14"/>
      <c r="OOD4" s="14"/>
      <c r="OOE4" s="14"/>
      <c r="OOF4" s="14"/>
      <c r="OOG4" s="14"/>
      <c r="OOH4" s="14"/>
      <c r="OOI4" s="14"/>
      <c r="OOJ4" s="14"/>
      <c r="OOK4" s="14"/>
      <c r="OOL4" s="14"/>
      <c r="OOM4" s="14"/>
      <c r="OON4" s="14"/>
      <c r="OOO4" s="14"/>
      <c r="OOP4" s="14"/>
      <c r="OOQ4" s="14"/>
      <c r="OOR4" s="14"/>
      <c r="OOS4" s="14"/>
      <c r="OOT4" s="14"/>
      <c r="OOU4" s="14"/>
      <c r="OOV4" s="14"/>
      <c r="OOW4" s="14"/>
      <c r="OOX4" s="14"/>
      <c r="OOY4" s="14"/>
      <c r="OOZ4" s="14"/>
      <c r="OPA4" s="14"/>
      <c r="OPB4" s="14"/>
      <c r="OPC4" s="14"/>
      <c r="OPD4" s="14"/>
      <c r="OPE4" s="14"/>
      <c r="OPF4" s="14"/>
      <c r="OPG4" s="14"/>
      <c r="OPH4" s="14"/>
      <c r="OPI4" s="14"/>
      <c r="OPJ4" s="14"/>
      <c r="OPK4" s="14"/>
      <c r="OPL4" s="14"/>
      <c r="OPM4" s="14"/>
      <c r="OPN4" s="14"/>
      <c r="OPO4" s="14"/>
      <c r="OPP4" s="14"/>
      <c r="OPQ4" s="14"/>
      <c r="OPR4" s="14"/>
      <c r="OPS4" s="14"/>
      <c r="OPT4" s="14"/>
      <c r="OPU4" s="14"/>
      <c r="OPV4" s="14"/>
      <c r="OPW4" s="14"/>
      <c r="OPX4" s="14"/>
      <c r="OPY4" s="14"/>
      <c r="OPZ4" s="14"/>
      <c r="OQA4" s="14"/>
      <c r="OQB4" s="14"/>
      <c r="OQC4" s="14"/>
      <c r="OQD4" s="14"/>
      <c r="OQE4" s="14"/>
      <c r="OQF4" s="14"/>
      <c r="OQG4" s="14"/>
      <c r="OQH4" s="14"/>
      <c r="OQI4" s="14"/>
      <c r="OQJ4" s="14"/>
      <c r="OQK4" s="14"/>
      <c r="OQL4" s="14"/>
      <c r="OQM4" s="14"/>
      <c r="OQN4" s="14"/>
      <c r="OQO4" s="14"/>
      <c r="OQP4" s="14"/>
      <c r="OQQ4" s="14"/>
      <c r="OQR4" s="14"/>
      <c r="OQS4" s="14"/>
      <c r="OQT4" s="14"/>
      <c r="OQU4" s="14"/>
      <c r="OQV4" s="14"/>
      <c r="OQW4" s="14"/>
      <c r="OQX4" s="14"/>
      <c r="OQY4" s="14"/>
      <c r="OQZ4" s="14"/>
      <c r="ORA4" s="14"/>
      <c r="ORB4" s="14"/>
      <c r="ORC4" s="14"/>
      <c r="ORD4" s="14"/>
      <c r="ORE4" s="14"/>
      <c r="ORF4" s="14"/>
      <c r="ORG4" s="14"/>
      <c r="ORH4" s="14"/>
      <c r="ORI4" s="14"/>
      <c r="ORJ4" s="14"/>
      <c r="ORK4" s="14"/>
      <c r="ORL4" s="14"/>
      <c r="ORM4" s="14"/>
      <c r="ORN4" s="14"/>
      <c r="ORO4" s="14"/>
      <c r="ORP4" s="14"/>
      <c r="ORQ4" s="14"/>
      <c r="ORR4" s="14"/>
      <c r="ORS4" s="14"/>
      <c r="ORT4" s="14"/>
      <c r="ORU4" s="14"/>
      <c r="ORV4" s="14"/>
      <c r="ORW4" s="14"/>
      <c r="ORX4" s="14"/>
      <c r="ORY4" s="14"/>
      <c r="ORZ4" s="14"/>
      <c r="OSA4" s="14"/>
      <c r="OSB4" s="14"/>
      <c r="OSC4" s="14"/>
      <c r="OSD4" s="14"/>
      <c r="OSE4" s="14"/>
      <c r="OSF4" s="14"/>
      <c r="OSG4" s="14"/>
      <c r="OSH4" s="14"/>
      <c r="OSI4" s="14"/>
      <c r="OSJ4" s="14"/>
      <c r="OSK4" s="14"/>
      <c r="OSL4" s="14"/>
      <c r="OSM4" s="14"/>
      <c r="OSN4" s="14"/>
      <c r="OSO4" s="14"/>
      <c r="OSP4" s="14"/>
      <c r="OSQ4" s="14"/>
      <c r="OSR4" s="14"/>
      <c r="OSS4" s="14"/>
      <c r="OST4" s="14"/>
      <c r="OSU4" s="14"/>
      <c r="OSV4" s="14"/>
      <c r="OSW4" s="14"/>
      <c r="OSX4" s="14"/>
      <c r="OSY4" s="14"/>
      <c r="OSZ4" s="14"/>
      <c r="OTA4" s="14"/>
      <c r="OTB4" s="14"/>
      <c r="OTC4" s="14"/>
      <c r="OTD4" s="14"/>
      <c r="OTE4" s="14"/>
      <c r="OTF4" s="14"/>
      <c r="OTG4" s="14"/>
      <c r="OTH4" s="14"/>
      <c r="OTI4" s="14"/>
      <c r="OTJ4" s="14"/>
      <c r="OTK4" s="14"/>
      <c r="OTL4" s="14"/>
      <c r="OTM4" s="14"/>
      <c r="OTN4" s="14"/>
      <c r="OTO4" s="14"/>
      <c r="OTP4" s="14"/>
      <c r="OTQ4" s="14"/>
      <c r="OTR4" s="14"/>
      <c r="OTS4" s="14"/>
      <c r="OTT4" s="14"/>
      <c r="OTU4" s="14"/>
      <c r="OTV4" s="14"/>
      <c r="OTW4" s="14"/>
      <c r="OTX4" s="14"/>
      <c r="OTY4" s="14"/>
      <c r="OTZ4" s="14"/>
      <c r="OUA4" s="14"/>
      <c r="OUB4" s="14"/>
      <c r="OUC4" s="14"/>
      <c r="OUD4" s="14"/>
      <c r="OUE4" s="14"/>
      <c r="OUF4" s="14"/>
      <c r="OUG4" s="14"/>
      <c r="OUH4" s="14"/>
      <c r="OUI4" s="14"/>
      <c r="OUJ4" s="14"/>
      <c r="OUK4" s="14"/>
      <c r="OUL4" s="14"/>
      <c r="OUM4" s="14"/>
      <c r="OUN4" s="14"/>
      <c r="OUO4" s="14"/>
      <c r="OUP4" s="14"/>
      <c r="OUQ4" s="14"/>
      <c r="OUR4" s="14"/>
      <c r="OUS4" s="14"/>
      <c r="OUT4" s="14"/>
      <c r="OUU4" s="14"/>
      <c r="OUV4" s="14"/>
      <c r="OUW4" s="14"/>
      <c r="OUX4" s="14"/>
      <c r="OUY4" s="14"/>
      <c r="OUZ4" s="14"/>
      <c r="OVA4" s="14"/>
      <c r="OVB4" s="14"/>
      <c r="OVC4" s="14"/>
      <c r="OVD4" s="14"/>
      <c r="OVE4" s="14"/>
      <c r="OVF4" s="14"/>
      <c r="OVG4" s="14"/>
      <c r="OVH4" s="14"/>
      <c r="OVI4" s="14"/>
      <c r="OVJ4" s="14"/>
      <c r="OVK4" s="14"/>
      <c r="OVL4" s="14"/>
      <c r="OVM4" s="14"/>
      <c r="OVN4" s="14"/>
      <c r="OVO4" s="14"/>
      <c r="OVP4" s="14"/>
      <c r="OVQ4" s="14"/>
      <c r="OVR4" s="14"/>
      <c r="OVS4" s="14"/>
      <c r="OVT4" s="14"/>
      <c r="OVU4" s="14"/>
      <c r="OVV4" s="14"/>
      <c r="OVW4" s="14"/>
      <c r="OVX4" s="14"/>
      <c r="OVY4" s="14"/>
      <c r="OVZ4" s="14"/>
      <c r="OWA4" s="14"/>
      <c r="OWB4" s="14"/>
      <c r="OWC4" s="14"/>
      <c r="OWD4" s="14"/>
      <c r="OWE4" s="14"/>
      <c r="OWF4" s="14"/>
      <c r="OWG4" s="14"/>
      <c r="OWH4" s="14"/>
      <c r="OWI4" s="14"/>
      <c r="OWJ4" s="14"/>
      <c r="OWK4" s="14"/>
      <c r="OWL4" s="14"/>
      <c r="OWM4" s="14"/>
      <c r="OWN4" s="14"/>
      <c r="OWO4" s="14"/>
      <c r="OWP4" s="14"/>
      <c r="OWQ4" s="14"/>
      <c r="OWR4" s="14"/>
      <c r="OWS4" s="14"/>
      <c r="OWT4" s="14"/>
      <c r="OWU4" s="14"/>
      <c r="OWV4" s="14"/>
      <c r="OWW4" s="14"/>
      <c r="OWX4" s="14"/>
      <c r="OWY4" s="14"/>
      <c r="OWZ4" s="14"/>
      <c r="OXA4" s="14"/>
      <c r="OXB4" s="14"/>
      <c r="OXC4" s="14"/>
      <c r="OXD4" s="14"/>
      <c r="OXE4" s="14"/>
      <c r="OXF4" s="14"/>
      <c r="OXG4" s="14"/>
      <c r="OXH4" s="14"/>
      <c r="OXI4" s="14"/>
      <c r="OXJ4" s="14"/>
      <c r="OXK4" s="14"/>
      <c r="OXL4" s="14"/>
      <c r="OXM4" s="14"/>
      <c r="OXN4" s="14"/>
      <c r="OXO4" s="14"/>
      <c r="OXP4" s="14"/>
      <c r="OXQ4" s="14"/>
      <c r="OXR4" s="14"/>
      <c r="OXS4" s="14"/>
      <c r="OXT4" s="14"/>
      <c r="OXU4" s="14"/>
      <c r="OXV4" s="14"/>
      <c r="OXW4" s="14"/>
      <c r="OXX4" s="14"/>
      <c r="OXY4" s="14"/>
      <c r="OXZ4" s="14"/>
      <c r="OYA4" s="14"/>
      <c r="OYB4" s="14"/>
      <c r="OYC4" s="14"/>
      <c r="OYD4" s="14"/>
      <c r="OYE4" s="14"/>
      <c r="OYF4" s="14"/>
      <c r="OYG4" s="14"/>
      <c r="OYH4" s="14"/>
      <c r="OYI4" s="14"/>
      <c r="OYJ4" s="14"/>
      <c r="OYK4" s="14"/>
      <c r="OYL4" s="14"/>
      <c r="OYM4" s="14"/>
      <c r="OYN4" s="14"/>
      <c r="OYO4" s="14"/>
      <c r="OYP4" s="14"/>
      <c r="OYQ4" s="14"/>
      <c r="OYR4" s="14"/>
      <c r="OYS4" s="14"/>
      <c r="OYT4" s="14"/>
      <c r="OYU4" s="14"/>
      <c r="OYV4" s="14"/>
      <c r="OYW4" s="14"/>
      <c r="OYX4" s="14"/>
      <c r="OYY4" s="14"/>
      <c r="OYZ4" s="14"/>
      <c r="OZA4" s="14"/>
      <c r="OZB4" s="14"/>
      <c r="OZC4" s="14"/>
      <c r="OZD4" s="14"/>
      <c r="OZE4" s="14"/>
      <c r="OZF4" s="14"/>
      <c r="OZG4" s="14"/>
      <c r="OZH4" s="14"/>
      <c r="OZI4" s="14"/>
      <c r="OZJ4" s="14"/>
      <c r="OZK4" s="14"/>
      <c r="OZL4" s="14"/>
      <c r="OZM4" s="14"/>
      <c r="OZN4" s="14"/>
      <c r="OZO4" s="14"/>
      <c r="OZP4" s="14"/>
      <c r="OZQ4" s="14"/>
      <c r="OZR4" s="14"/>
      <c r="OZS4" s="14"/>
      <c r="OZT4" s="14"/>
      <c r="OZU4" s="14"/>
      <c r="OZV4" s="14"/>
      <c r="OZW4" s="14"/>
      <c r="OZX4" s="14"/>
      <c r="OZY4" s="14"/>
      <c r="OZZ4" s="14"/>
      <c r="PAA4" s="14"/>
      <c r="PAB4" s="14"/>
      <c r="PAC4" s="14"/>
      <c r="PAD4" s="14"/>
      <c r="PAE4" s="14"/>
      <c r="PAF4" s="14"/>
      <c r="PAG4" s="14"/>
      <c r="PAH4" s="14"/>
      <c r="PAI4" s="14"/>
      <c r="PAJ4" s="14"/>
      <c r="PAK4" s="14"/>
      <c r="PAL4" s="14"/>
      <c r="PAM4" s="14"/>
      <c r="PAN4" s="14"/>
      <c r="PAO4" s="14"/>
      <c r="PAP4" s="14"/>
      <c r="PAQ4" s="14"/>
      <c r="PAR4" s="14"/>
      <c r="PAS4" s="14"/>
      <c r="PAT4" s="14"/>
      <c r="PAU4" s="14"/>
      <c r="PAV4" s="14"/>
      <c r="PAW4" s="14"/>
      <c r="PAX4" s="14"/>
      <c r="PAY4" s="14"/>
      <c r="PAZ4" s="14"/>
      <c r="PBA4" s="14"/>
      <c r="PBB4" s="14"/>
      <c r="PBC4" s="14"/>
      <c r="PBD4" s="14"/>
      <c r="PBE4" s="14"/>
      <c r="PBF4" s="14"/>
      <c r="PBG4" s="14"/>
      <c r="PBH4" s="14"/>
      <c r="PBI4" s="14"/>
      <c r="PBJ4" s="14"/>
      <c r="PBK4" s="14"/>
      <c r="PBL4" s="14"/>
      <c r="PBM4" s="14"/>
      <c r="PBN4" s="14"/>
      <c r="PBO4" s="14"/>
      <c r="PBP4" s="14"/>
      <c r="PBQ4" s="14"/>
      <c r="PBR4" s="14"/>
      <c r="PBS4" s="14"/>
      <c r="PBT4" s="14"/>
      <c r="PBU4" s="14"/>
      <c r="PBV4" s="14"/>
      <c r="PBW4" s="14"/>
      <c r="PBX4" s="14"/>
      <c r="PBY4" s="14"/>
      <c r="PBZ4" s="14"/>
      <c r="PCA4" s="14"/>
      <c r="PCB4" s="14"/>
      <c r="PCC4" s="14"/>
      <c r="PCD4" s="14"/>
      <c r="PCE4" s="14"/>
      <c r="PCF4" s="14"/>
      <c r="PCG4" s="14"/>
      <c r="PCH4" s="14"/>
      <c r="PCI4" s="14"/>
      <c r="PCJ4" s="14"/>
      <c r="PCK4" s="14"/>
      <c r="PCL4" s="14"/>
      <c r="PCM4" s="14"/>
      <c r="PCN4" s="14"/>
      <c r="PCO4" s="14"/>
      <c r="PCP4" s="14"/>
      <c r="PCQ4" s="14"/>
      <c r="PCR4" s="14"/>
      <c r="PCS4" s="14"/>
      <c r="PCT4" s="14"/>
      <c r="PCU4" s="14"/>
      <c r="PCV4" s="14"/>
      <c r="PCW4" s="14"/>
      <c r="PCX4" s="14"/>
      <c r="PCY4" s="14"/>
      <c r="PCZ4" s="14"/>
      <c r="PDA4" s="14"/>
      <c r="PDB4" s="14"/>
      <c r="PDC4" s="14"/>
      <c r="PDD4" s="14"/>
      <c r="PDE4" s="14"/>
      <c r="PDF4" s="14"/>
      <c r="PDG4" s="14"/>
      <c r="PDH4" s="14"/>
      <c r="PDI4" s="14"/>
      <c r="PDJ4" s="14"/>
      <c r="PDK4" s="14"/>
      <c r="PDL4" s="14"/>
      <c r="PDM4" s="14"/>
      <c r="PDN4" s="14"/>
      <c r="PDO4" s="14"/>
      <c r="PDP4" s="14"/>
      <c r="PDQ4" s="14"/>
      <c r="PDR4" s="14"/>
      <c r="PDS4" s="14"/>
      <c r="PDT4" s="14"/>
      <c r="PDU4" s="14"/>
      <c r="PDV4" s="14"/>
      <c r="PDW4" s="14"/>
      <c r="PDX4" s="14"/>
      <c r="PDY4" s="14"/>
      <c r="PDZ4" s="14"/>
      <c r="PEA4" s="14"/>
      <c r="PEB4" s="14"/>
      <c r="PEC4" s="14"/>
      <c r="PED4" s="14"/>
      <c r="PEE4" s="14"/>
      <c r="PEF4" s="14"/>
      <c r="PEG4" s="14"/>
      <c r="PEH4" s="14"/>
      <c r="PEI4" s="14"/>
      <c r="PEJ4" s="14"/>
      <c r="PEK4" s="14"/>
      <c r="PEL4" s="14"/>
      <c r="PEM4" s="14"/>
      <c r="PEN4" s="14"/>
      <c r="PEO4" s="14"/>
      <c r="PEP4" s="14"/>
      <c r="PEQ4" s="14"/>
      <c r="PER4" s="14"/>
      <c r="PES4" s="14"/>
      <c r="PET4" s="14"/>
      <c r="PEU4" s="14"/>
      <c r="PEV4" s="14"/>
      <c r="PEW4" s="14"/>
      <c r="PEX4" s="14"/>
      <c r="PEY4" s="14"/>
      <c r="PEZ4" s="14"/>
      <c r="PFA4" s="14"/>
      <c r="PFB4" s="14"/>
      <c r="PFC4" s="14"/>
      <c r="PFD4" s="14"/>
      <c r="PFE4" s="14"/>
      <c r="PFF4" s="14"/>
      <c r="PFG4" s="14"/>
      <c r="PFH4" s="14"/>
      <c r="PFI4" s="14"/>
      <c r="PFJ4" s="14"/>
      <c r="PFK4" s="14"/>
      <c r="PFL4" s="14"/>
      <c r="PFM4" s="14"/>
      <c r="PFN4" s="14"/>
      <c r="PFO4" s="14"/>
      <c r="PFP4" s="14"/>
      <c r="PFQ4" s="14"/>
      <c r="PFR4" s="14"/>
      <c r="PFS4" s="14"/>
      <c r="PFT4" s="14"/>
      <c r="PFU4" s="14"/>
      <c r="PFV4" s="14"/>
      <c r="PFW4" s="14"/>
      <c r="PFX4" s="14"/>
      <c r="PFY4" s="14"/>
      <c r="PFZ4" s="14"/>
      <c r="PGA4" s="14"/>
      <c r="PGB4" s="14"/>
      <c r="PGC4" s="14"/>
      <c r="PGD4" s="14"/>
      <c r="PGE4" s="14"/>
      <c r="PGF4" s="14"/>
      <c r="PGG4" s="14"/>
      <c r="PGH4" s="14"/>
      <c r="PGI4" s="14"/>
      <c r="PGJ4" s="14"/>
      <c r="PGK4" s="14"/>
      <c r="PGL4" s="14"/>
      <c r="PGM4" s="14"/>
      <c r="PGN4" s="14"/>
      <c r="PGO4" s="14"/>
      <c r="PGP4" s="14"/>
      <c r="PGQ4" s="14"/>
      <c r="PGR4" s="14"/>
      <c r="PGS4" s="14"/>
      <c r="PGT4" s="14"/>
      <c r="PGU4" s="14"/>
      <c r="PGV4" s="14"/>
      <c r="PGW4" s="14"/>
      <c r="PGX4" s="14"/>
      <c r="PGY4" s="14"/>
      <c r="PGZ4" s="14"/>
      <c r="PHA4" s="14"/>
      <c r="PHB4" s="14"/>
      <c r="PHC4" s="14"/>
      <c r="PHD4" s="14"/>
      <c r="PHE4" s="14"/>
      <c r="PHF4" s="14"/>
      <c r="PHG4" s="14"/>
      <c r="PHH4" s="14"/>
      <c r="PHI4" s="14"/>
      <c r="PHJ4" s="14"/>
      <c r="PHK4" s="14"/>
      <c r="PHL4" s="14"/>
      <c r="PHM4" s="14"/>
      <c r="PHN4" s="14"/>
      <c r="PHO4" s="14"/>
      <c r="PHP4" s="14"/>
      <c r="PHQ4" s="14"/>
      <c r="PHR4" s="14"/>
      <c r="PHS4" s="14"/>
      <c r="PHT4" s="14"/>
      <c r="PHU4" s="14"/>
      <c r="PHV4" s="14"/>
      <c r="PHW4" s="14"/>
      <c r="PHX4" s="14"/>
      <c r="PHY4" s="14"/>
      <c r="PHZ4" s="14"/>
      <c r="PIA4" s="14"/>
      <c r="PIB4" s="14"/>
      <c r="PIC4" s="14"/>
      <c r="PID4" s="14"/>
      <c r="PIE4" s="14"/>
      <c r="PIF4" s="14"/>
      <c r="PIG4" s="14"/>
      <c r="PIH4" s="14"/>
      <c r="PII4" s="14"/>
      <c r="PIJ4" s="14"/>
      <c r="PIK4" s="14"/>
      <c r="PIL4" s="14"/>
      <c r="PIM4" s="14"/>
      <c r="PIN4" s="14"/>
      <c r="PIO4" s="14"/>
      <c r="PIP4" s="14"/>
      <c r="PIQ4" s="14"/>
      <c r="PIR4" s="14"/>
      <c r="PIS4" s="14"/>
      <c r="PIT4" s="14"/>
      <c r="PIU4" s="14"/>
      <c r="PIV4" s="14"/>
      <c r="PIW4" s="14"/>
      <c r="PIX4" s="14"/>
      <c r="PIY4" s="14"/>
      <c r="PIZ4" s="14"/>
      <c r="PJA4" s="14"/>
      <c r="PJB4" s="14"/>
      <c r="PJC4" s="14"/>
      <c r="PJD4" s="14"/>
      <c r="PJE4" s="14"/>
      <c r="PJF4" s="14"/>
      <c r="PJG4" s="14"/>
      <c r="PJH4" s="14"/>
      <c r="PJI4" s="14"/>
      <c r="PJJ4" s="14"/>
      <c r="PJK4" s="14"/>
      <c r="PJL4" s="14"/>
      <c r="PJM4" s="14"/>
      <c r="PJN4" s="14"/>
      <c r="PJO4" s="14"/>
      <c r="PJP4" s="14"/>
      <c r="PJQ4" s="14"/>
      <c r="PJR4" s="14"/>
      <c r="PJS4" s="14"/>
      <c r="PJT4" s="14"/>
      <c r="PJU4" s="14"/>
      <c r="PJV4" s="14"/>
      <c r="PJW4" s="14"/>
      <c r="PJX4" s="14"/>
      <c r="PJY4" s="14"/>
      <c r="PJZ4" s="14"/>
      <c r="PKA4" s="14"/>
      <c r="PKB4" s="14"/>
      <c r="PKC4" s="14"/>
      <c r="PKD4" s="14"/>
      <c r="PKE4" s="14"/>
      <c r="PKF4" s="14"/>
      <c r="PKG4" s="14"/>
      <c r="PKH4" s="14"/>
      <c r="PKI4" s="14"/>
      <c r="PKJ4" s="14"/>
      <c r="PKK4" s="14"/>
      <c r="PKL4" s="14"/>
      <c r="PKM4" s="14"/>
      <c r="PKN4" s="14"/>
      <c r="PKO4" s="14"/>
      <c r="PKP4" s="14"/>
      <c r="PKQ4" s="14"/>
      <c r="PKR4" s="14"/>
      <c r="PKS4" s="14"/>
      <c r="PKT4" s="14"/>
      <c r="PKU4" s="14"/>
      <c r="PKV4" s="14"/>
      <c r="PKW4" s="14"/>
      <c r="PKX4" s="14"/>
      <c r="PKY4" s="14"/>
      <c r="PKZ4" s="14"/>
      <c r="PLA4" s="14"/>
      <c r="PLB4" s="14"/>
      <c r="PLC4" s="14"/>
      <c r="PLD4" s="14"/>
      <c r="PLE4" s="14"/>
      <c r="PLF4" s="14"/>
      <c r="PLG4" s="14"/>
      <c r="PLH4" s="14"/>
      <c r="PLI4" s="14"/>
      <c r="PLJ4" s="14"/>
      <c r="PLK4" s="14"/>
      <c r="PLL4" s="14"/>
      <c r="PLM4" s="14"/>
      <c r="PLN4" s="14"/>
      <c r="PLO4" s="14"/>
      <c r="PLP4" s="14"/>
      <c r="PLQ4" s="14"/>
      <c r="PLR4" s="14"/>
      <c r="PLS4" s="14"/>
      <c r="PLT4" s="14"/>
      <c r="PLU4" s="14"/>
      <c r="PLV4" s="14"/>
      <c r="PLW4" s="14"/>
      <c r="PLX4" s="14"/>
      <c r="PLY4" s="14"/>
      <c r="PLZ4" s="14"/>
      <c r="PMA4" s="14"/>
      <c r="PMB4" s="14"/>
      <c r="PMC4" s="14"/>
      <c r="PMD4" s="14"/>
      <c r="PME4" s="14"/>
      <c r="PMF4" s="14"/>
      <c r="PMG4" s="14"/>
      <c r="PMH4" s="14"/>
      <c r="PMI4" s="14"/>
      <c r="PMJ4" s="14"/>
      <c r="PMK4" s="14"/>
      <c r="PML4" s="14"/>
      <c r="PMM4" s="14"/>
      <c r="PMN4" s="14"/>
      <c r="PMO4" s="14"/>
      <c r="PMP4" s="14"/>
      <c r="PMQ4" s="14"/>
      <c r="PMR4" s="14"/>
      <c r="PMS4" s="14"/>
      <c r="PMT4" s="14"/>
      <c r="PMU4" s="14"/>
      <c r="PMV4" s="14"/>
      <c r="PMW4" s="14"/>
      <c r="PMX4" s="14"/>
      <c r="PMY4" s="14"/>
      <c r="PMZ4" s="14"/>
      <c r="PNA4" s="14"/>
      <c r="PNB4" s="14"/>
      <c r="PNC4" s="14"/>
      <c r="PND4" s="14"/>
      <c r="PNE4" s="14"/>
      <c r="PNF4" s="14"/>
      <c r="PNG4" s="14"/>
      <c r="PNH4" s="14"/>
      <c r="PNI4" s="14"/>
      <c r="PNJ4" s="14"/>
      <c r="PNK4" s="14"/>
      <c r="PNL4" s="14"/>
      <c r="PNM4" s="14"/>
      <c r="PNN4" s="14"/>
      <c r="PNO4" s="14"/>
      <c r="PNP4" s="14"/>
      <c r="PNQ4" s="14"/>
      <c r="PNR4" s="14"/>
      <c r="PNS4" s="14"/>
      <c r="PNT4" s="14"/>
      <c r="PNU4" s="14"/>
      <c r="PNV4" s="14"/>
      <c r="PNW4" s="14"/>
      <c r="PNX4" s="14"/>
      <c r="PNY4" s="14"/>
      <c r="PNZ4" s="14"/>
      <c r="POA4" s="14"/>
      <c r="POB4" s="14"/>
      <c r="POC4" s="14"/>
      <c r="POD4" s="14"/>
      <c r="POE4" s="14"/>
      <c r="POF4" s="14"/>
      <c r="POG4" s="14"/>
      <c r="POH4" s="14"/>
      <c r="POI4" s="14"/>
      <c r="POJ4" s="14"/>
      <c r="POK4" s="14"/>
      <c r="POL4" s="14"/>
      <c r="POM4" s="14"/>
      <c r="PON4" s="14"/>
      <c r="POO4" s="14"/>
      <c r="POP4" s="14"/>
      <c r="POQ4" s="14"/>
      <c r="POR4" s="14"/>
      <c r="POS4" s="14"/>
      <c r="POT4" s="14"/>
      <c r="POU4" s="14"/>
      <c r="POV4" s="14"/>
      <c r="POW4" s="14"/>
      <c r="POX4" s="14"/>
      <c r="POY4" s="14"/>
      <c r="POZ4" s="14"/>
      <c r="PPA4" s="14"/>
      <c r="PPB4" s="14"/>
      <c r="PPC4" s="14"/>
      <c r="PPD4" s="14"/>
      <c r="PPE4" s="14"/>
      <c r="PPF4" s="14"/>
      <c r="PPG4" s="14"/>
      <c r="PPH4" s="14"/>
      <c r="PPI4" s="14"/>
      <c r="PPJ4" s="14"/>
      <c r="PPK4" s="14"/>
      <c r="PPL4" s="14"/>
      <c r="PPM4" s="14"/>
      <c r="PPN4" s="14"/>
      <c r="PPO4" s="14"/>
      <c r="PPP4" s="14"/>
      <c r="PPQ4" s="14"/>
      <c r="PPR4" s="14"/>
      <c r="PPS4" s="14"/>
      <c r="PPT4" s="14"/>
      <c r="PPU4" s="14"/>
      <c r="PPV4" s="14"/>
      <c r="PPW4" s="14"/>
      <c r="PPX4" s="14"/>
      <c r="PPY4" s="14"/>
      <c r="PPZ4" s="14"/>
      <c r="PQA4" s="14"/>
      <c r="PQB4" s="14"/>
      <c r="PQC4" s="14"/>
      <c r="PQD4" s="14"/>
      <c r="PQE4" s="14"/>
      <c r="PQF4" s="14"/>
      <c r="PQG4" s="14"/>
      <c r="PQH4" s="14"/>
      <c r="PQI4" s="14"/>
      <c r="PQJ4" s="14"/>
      <c r="PQK4" s="14"/>
      <c r="PQL4" s="14"/>
      <c r="PQM4" s="14"/>
      <c r="PQN4" s="14"/>
      <c r="PQO4" s="14"/>
      <c r="PQP4" s="14"/>
      <c r="PQQ4" s="14"/>
      <c r="PQR4" s="14"/>
      <c r="PQS4" s="14"/>
      <c r="PQT4" s="14"/>
      <c r="PQU4" s="14"/>
      <c r="PQV4" s="14"/>
      <c r="PQW4" s="14"/>
      <c r="PQX4" s="14"/>
      <c r="PQY4" s="14"/>
      <c r="PQZ4" s="14"/>
      <c r="PRA4" s="14"/>
      <c r="PRB4" s="14"/>
      <c r="PRC4" s="14"/>
      <c r="PRD4" s="14"/>
      <c r="PRE4" s="14"/>
      <c r="PRF4" s="14"/>
      <c r="PRG4" s="14"/>
      <c r="PRH4" s="14"/>
      <c r="PRI4" s="14"/>
      <c r="PRJ4" s="14"/>
      <c r="PRK4" s="14"/>
      <c r="PRL4" s="14"/>
      <c r="PRM4" s="14"/>
      <c r="PRN4" s="14"/>
      <c r="PRO4" s="14"/>
      <c r="PRP4" s="14"/>
      <c r="PRQ4" s="14"/>
      <c r="PRR4" s="14"/>
      <c r="PRS4" s="14"/>
      <c r="PRT4" s="14"/>
      <c r="PRU4" s="14"/>
      <c r="PRV4" s="14"/>
      <c r="PRW4" s="14"/>
      <c r="PRX4" s="14"/>
      <c r="PRY4" s="14"/>
      <c r="PRZ4" s="14"/>
      <c r="PSA4" s="14"/>
      <c r="PSB4" s="14"/>
      <c r="PSC4" s="14"/>
      <c r="PSD4" s="14"/>
      <c r="PSE4" s="14"/>
      <c r="PSF4" s="14"/>
      <c r="PSG4" s="14"/>
      <c r="PSH4" s="14"/>
      <c r="PSI4" s="14"/>
      <c r="PSJ4" s="14"/>
      <c r="PSK4" s="14"/>
      <c r="PSL4" s="14"/>
      <c r="PSM4" s="14"/>
      <c r="PSN4" s="14"/>
      <c r="PSO4" s="14"/>
      <c r="PSP4" s="14"/>
      <c r="PSQ4" s="14"/>
      <c r="PSR4" s="14"/>
      <c r="PSS4" s="14"/>
      <c r="PST4" s="14"/>
      <c r="PSU4" s="14"/>
      <c r="PSV4" s="14"/>
      <c r="PSW4" s="14"/>
      <c r="PSX4" s="14"/>
      <c r="PSY4" s="14"/>
      <c r="PSZ4" s="14"/>
      <c r="PTA4" s="14"/>
      <c r="PTB4" s="14"/>
      <c r="PTC4" s="14"/>
      <c r="PTD4" s="14"/>
      <c r="PTE4" s="14"/>
      <c r="PTF4" s="14"/>
      <c r="PTG4" s="14"/>
      <c r="PTH4" s="14"/>
      <c r="PTI4" s="14"/>
      <c r="PTJ4" s="14"/>
      <c r="PTK4" s="14"/>
      <c r="PTL4" s="14"/>
      <c r="PTM4" s="14"/>
      <c r="PTN4" s="14"/>
      <c r="PTO4" s="14"/>
      <c r="PTP4" s="14"/>
      <c r="PTQ4" s="14"/>
      <c r="PTR4" s="14"/>
      <c r="PTS4" s="14"/>
      <c r="PTT4" s="14"/>
      <c r="PTU4" s="14"/>
      <c r="PTV4" s="14"/>
      <c r="PTW4" s="14"/>
      <c r="PTX4" s="14"/>
      <c r="PTY4" s="14"/>
      <c r="PTZ4" s="14"/>
      <c r="PUA4" s="14"/>
      <c r="PUB4" s="14"/>
      <c r="PUC4" s="14"/>
      <c r="PUD4" s="14"/>
      <c r="PUE4" s="14"/>
      <c r="PUF4" s="14"/>
      <c r="PUG4" s="14"/>
      <c r="PUH4" s="14"/>
      <c r="PUI4" s="14"/>
      <c r="PUJ4" s="14"/>
      <c r="PUK4" s="14"/>
      <c r="PUL4" s="14"/>
      <c r="PUM4" s="14"/>
      <c r="PUN4" s="14"/>
      <c r="PUO4" s="14"/>
      <c r="PUP4" s="14"/>
      <c r="PUQ4" s="14"/>
      <c r="PUR4" s="14"/>
      <c r="PUS4" s="14"/>
      <c r="PUT4" s="14"/>
      <c r="PUU4" s="14"/>
      <c r="PUV4" s="14"/>
      <c r="PUW4" s="14"/>
      <c r="PUX4" s="14"/>
      <c r="PUY4" s="14"/>
      <c r="PUZ4" s="14"/>
      <c r="PVA4" s="14"/>
      <c r="PVB4" s="14"/>
      <c r="PVC4" s="14"/>
      <c r="PVD4" s="14"/>
      <c r="PVE4" s="14"/>
      <c r="PVF4" s="14"/>
      <c r="PVG4" s="14"/>
      <c r="PVH4" s="14"/>
      <c r="PVI4" s="14"/>
      <c r="PVJ4" s="14"/>
      <c r="PVK4" s="14"/>
      <c r="PVL4" s="14"/>
      <c r="PVM4" s="14"/>
      <c r="PVN4" s="14"/>
      <c r="PVO4" s="14"/>
      <c r="PVP4" s="14"/>
      <c r="PVQ4" s="14"/>
      <c r="PVR4" s="14"/>
      <c r="PVS4" s="14"/>
      <c r="PVT4" s="14"/>
      <c r="PVU4" s="14"/>
      <c r="PVV4" s="14"/>
      <c r="PVW4" s="14"/>
      <c r="PVX4" s="14"/>
      <c r="PVY4" s="14"/>
      <c r="PVZ4" s="14"/>
      <c r="PWA4" s="14"/>
      <c r="PWB4" s="14"/>
      <c r="PWC4" s="14"/>
      <c r="PWD4" s="14"/>
      <c r="PWE4" s="14"/>
      <c r="PWF4" s="14"/>
      <c r="PWG4" s="14"/>
      <c r="PWH4" s="14"/>
      <c r="PWI4" s="14"/>
      <c r="PWJ4" s="14"/>
      <c r="PWK4" s="14"/>
      <c r="PWL4" s="14"/>
      <c r="PWM4" s="14"/>
      <c r="PWN4" s="14"/>
      <c r="PWO4" s="14"/>
      <c r="PWP4" s="14"/>
      <c r="PWQ4" s="14"/>
      <c r="PWR4" s="14"/>
      <c r="PWS4" s="14"/>
      <c r="PWT4" s="14"/>
      <c r="PWU4" s="14"/>
      <c r="PWV4" s="14"/>
      <c r="PWW4" s="14"/>
      <c r="PWX4" s="14"/>
      <c r="PWY4" s="14"/>
      <c r="PWZ4" s="14"/>
      <c r="PXA4" s="14"/>
      <c r="PXB4" s="14"/>
      <c r="PXC4" s="14"/>
      <c r="PXD4" s="14"/>
      <c r="PXE4" s="14"/>
      <c r="PXF4" s="14"/>
      <c r="PXG4" s="14"/>
      <c r="PXH4" s="14"/>
      <c r="PXI4" s="14"/>
      <c r="PXJ4" s="14"/>
      <c r="PXK4" s="14"/>
      <c r="PXL4" s="14"/>
      <c r="PXM4" s="14"/>
      <c r="PXN4" s="14"/>
      <c r="PXO4" s="14"/>
      <c r="PXP4" s="14"/>
      <c r="PXQ4" s="14"/>
      <c r="PXR4" s="14"/>
      <c r="PXS4" s="14"/>
      <c r="PXT4" s="14"/>
      <c r="PXU4" s="14"/>
      <c r="PXV4" s="14"/>
      <c r="PXW4" s="14"/>
      <c r="PXX4" s="14"/>
      <c r="PXY4" s="14"/>
      <c r="PXZ4" s="14"/>
      <c r="PYA4" s="14"/>
      <c r="PYB4" s="14"/>
      <c r="PYC4" s="14"/>
      <c r="PYD4" s="14"/>
      <c r="PYE4" s="14"/>
      <c r="PYF4" s="14"/>
      <c r="PYG4" s="14"/>
      <c r="PYH4" s="14"/>
      <c r="PYI4" s="14"/>
      <c r="PYJ4" s="14"/>
      <c r="PYK4" s="14"/>
      <c r="PYL4" s="14"/>
      <c r="PYM4" s="14"/>
      <c r="PYN4" s="14"/>
      <c r="PYO4" s="14"/>
      <c r="PYP4" s="14"/>
      <c r="PYQ4" s="14"/>
      <c r="PYR4" s="14"/>
      <c r="PYS4" s="14"/>
      <c r="PYT4" s="14"/>
      <c r="PYU4" s="14"/>
      <c r="PYV4" s="14"/>
      <c r="PYW4" s="14"/>
      <c r="PYX4" s="14"/>
      <c r="PYY4" s="14"/>
      <c r="PYZ4" s="14"/>
      <c r="PZA4" s="14"/>
      <c r="PZB4" s="14"/>
      <c r="PZC4" s="14"/>
      <c r="PZD4" s="14"/>
      <c r="PZE4" s="14"/>
      <c r="PZF4" s="14"/>
      <c r="PZG4" s="14"/>
      <c r="PZH4" s="14"/>
      <c r="PZI4" s="14"/>
      <c r="PZJ4" s="14"/>
      <c r="PZK4" s="14"/>
      <c r="PZL4" s="14"/>
      <c r="PZM4" s="14"/>
      <c r="PZN4" s="14"/>
      <c r="PZO4" s="14"/>
      <c r="PZP4" s="14"/>
      <c r="PZQ4" s="14"/>
      <c r="PZR4" s="14"/>
      <c r="PZS4" s="14"/>
      <c r="PZT4" s="14"/>
      <c r="PZU4" s="14"/>
      <c r="PZV4" s="14"/>
      <c r="PZW4" s="14"/>
      <c r="PZX4" s="14"/>
      <c r="PZY4" s="14"/>
      <c r="PZZ4" s="14"/>
      <c r="QAA4" s="14"/>
      <c r="QAB4" s="14"/>
      <c r="QAC4" s="14"/>
      <c r="QAD4" s="14"/>
      <c r="QAE4" s="14"/>
      <c r="QAF4" s="14"/>
      <c r="QAG4" s="14"/>
      <c r="QAH4" s="14"/>
      <c r="QAI4" s="14"/>
      <c r="QAJ4" s="14"/>
      <c r="QAK4" s="14"/>
      <c r="QAL4" s="14"/>
      <c r="QAM4" s="14"/>
      <c r="QAN4" s="14"/>
      <c r="QAO4" s="14"/>
      <c r="QAP4" s="14"/>
      <c r="QAQ4" s="14"/>
      <c r="QAR4" s="14"/>
      <c r="QAS4" s="14"/>
      <c r="QAT4" s="14"/>
      <c r="QAU4" s="14"/>
      <c r="QAV4" s="14"/>
      <c r="QAW4" s="14"/>
      <c r="QAX4" s="14"/>
      <c r="QAY4" s="14"/>
      <c r="QAZ4" s="14"/>
      <c r="QBA4" s="14"/>
      <c r="QBB4" s="14"/>
      <c r="QBC4" s="14"/>
      <c r="QBD4" s="14"/>
      <c r="QBE4" s="14"/>
      <c r="QBF4" s="14"/>
      <c r="QBG4" s="14"/>
      <c r="QBH4" s="14"/>
      <c r="QBI4" s="14"/>
      <c r="QBJ4" s="14"/>
      <c r="QBK4" s="14"/>
      <c r="QBL4" s="14"/>
      <c r="QBM4" s="14"/>
      <c r="QBN4" s="14"/>
      <c r="QBO4" s="14"/>
      <c r="QBP4" s="14"/>
      <c r="QBQ4" s="14"/>
      <c r="QBR4" s="14"/>
      <c r="QBS4" s="14"/>
      <c r="QBT4" s="14"/>
      <c r="QBU4" s="14"/>
      <c r="QBV4" s="14"/>
      <c r="QBW4" s="14"/>
      <c r="QBX4" s="14"/>
      <c r="QBY4" s="14"/>
      <c r="QBZ4" s="14"/>
      <c r="QCA4" s="14"/>
      <c r="QCB4" s="14"/>
      <c r="QCC4" s="14"/>
      <c r="QCD4" s="14"/>
      <c r="QCE4" s="14"/>
      <c r="QCF4" s="14"/>
      <c r="QCG4" s="14"/>
      <c r="QCH4" s="14"/>
      <c r="QCI4" s="14"/>
      <c r="QCJ4" s="14"/>
      <c r="QCK4" s="14"/>
      <c r="QCL4" s="14"/>
      <c r="QCM4" s="14"/>
      <c r="QCN4" s="14"/>
      <c r="QCO4" s="14"/>
      <c r="QCP4" s="14"/>
      <c r="QCQ4" s="14"/>
      <c r="QCR4" s="14"/>
      <c r="QCS4" s="14"/>
      <c r="QCT4" s="14"/>
      <c r="QCU4" s="14"/>
      <c r="QCV4" s="14"/>
      <c r="QCW4" s="14"/>
      <c r="QCX4" s="14"/>
      <c r="QCY4" s="14"/>
      <c r="QCZ4" s="14"/>
      <c r="QDA4" s="14"/>
      <c r="QDB4" s="14"/>
      <c r="QDC4" s="14"/>
      <c r="QDD4" s="14"/>
      <c r="QDE4" s="14"/>
      <c r="QDF4" s="14"/>
      <c r="QDG4" s="14"/>
      <c r="QDH4" s="14"/>
      <c r="QDI4" s="14"/>
      <c r="QDJ4" s="14"/>
      <c r="QDK4" s="14"/>
      <c r="QDL4" s="14"/>
      <c r="QDM4" s="14"/>
      <c r="QDN4" s="14"/>
      <c r="QDO4" s="14"/>
      <c r="QDP4" s="14"/>
      <c r="QDQ4" s="14"/>
      <c r="QDR4" s="14"/>
      <c r="QDS4" s="14"/>
      <c r="QDT4" s="14"/>
      <c r="QDU4" s="14"/>
      <c r="QDV4" s="14"/>
      <c r="QDW4" s="14"/>
      <c r="QDX4" s="14"/>
      <c r="QDY4" s="14"/>
      <c r="QDZ4" s="14"/>
      <c r="QEA4" s="14"/>
      <c r="QEB4" s="14"/>
      <c r="QEC4" s="14"/>
      <c r="QED4" s="14"/>
      <c r="QEE4" s="14"/>
      <c r="QEF4" s="14"/>
      <c r="QEG4" s="14"/>
      <c r="QEH4" s="14"/>
      <c r="QEI4" s="14"/>
      <c r="QEJ4" s="14"/>
      <c r="QEK4" s="14"/>
      <c r="QEL4" s="14"/>
      <c r="QEM4" s="14"/>
      <c r="QEN4" s="14"/>
      <c r="QEO4" s="14"/>
      <c r="QEP4" s="14"/>
      <c r="QEQ4" s="14"/>
      <c r="QER4" s="14"/>
      <c r="QES4" s="14"/>
      <c r="QET4" s="14"/>
      <c r="QEU4" s="14"/>
      <c r="QEV4" s="14"/>
      <c r="QEW4" s="14"/>
      <c r="QEX4" s="14"/>
      <c r="QEY4" s="14"/>
      <c r="QEZ4" s="14"/>
      <c r="QFA4" s="14"/>
      <c r="QFB4" s="14"/>
      <c r="QFC4" s="14"/>
      <c r="QFD4" s="14"/>
      <c r="QFE4" s="14"/>
      <c r="QFF4" s="14"/>
      <c r="QFG4" s="14"/>
      <c r="QFH4" s="14"/>
      <c r="QFI4" s="14"/>
      <c r="QFJ4" s="14"/>
      <c r="QFK4" s="14"/>
      <c r="QFL4" s="14"/>
      <c r="QFM4" s="14"/>
      <c r="QFN4" s="14"/>
      <c r="QFO4" s="14"/>
      <c r="QFP4" s="14"/>
      <c r="QFQ4" s="14"/>
      <c r="QFR4" s="14"/>
      <c r="QFS4" s="14"/>
      <c r="QFT4" s="14"/>
      <c r="QFU4" s="14"/>
      <c r="QFV4" s="14"/>
      <c r="QFW4" s="14"/>
      <c r="QFX4" s="14"/>
      <c r="QFY4" s="14"/>
      <c r="QFZ4" s="14"/>
      <c r="QGA4" s="14"/>
      <c r="QGB4" s="14"/>
      <c r="QGC4" s="14"/>
      <c r="QGD4" s="14"/>
      <c r="QGE4" s="14"/>
      <c r="QGF4" s="14"/>
      <c r="QGG4" s="14"/>
      <c r="QGH4" s="14"/>
      <c r="QGI4" s="14"/>
      <c r="QGJ4" s="14"/>
      <c r="QGK4" s="14"/>
      <c r="QGL4" s="14"/>
      <c r="QGM4" s="14"/>
      <c r="QGN4" s="14"/>
      <c r="QGO4" s="14"/>
      <c r="QGP4" s="14"/>
      <c r="QGQ4" s="14"/>
      <c r="QGR4" s="14"/>
      <c r="QGS4" s="14"/>
      <c r="QGT4" s="14"/>
      <c r="QGU4" s="14"/>
      <c r="QGV4" s="14"/>
      <c r="QGW4" s="14"/>
      <c r="QGX4" s="14"/>
      <c r="QGY4" s="14"/>
      <c r="QGZ4" s="14"/>
      <c r="QHA4" s="14"/>
      <c r="QHB4" s="14"/>
      <c r="QHC4" s="14"/>
      <c r="QHD4" s="14"/>
      <c r="QHE4" s="14"/>
      <c r="QHF4" s="14"/>
      <c r="QHG4" s="14"/>
      <c r="QHH4" s="14"/>
      <c r="QHI4" s="14"/>
      <c r="QHJ4" s="14"/>
      <c r="QHK4" s="14"/>
      <c r="QHL4" s="14"/>
      <c r="QHM4" s="14"/>
      <c r="QHN4" s="14"/>
      <c r="QHO4" s="14"/>
      <c r="QHP4" s="14"/>
      <c r="QHQ4" s="14"/>
      <c r="QHR4" s="14"/>
      <c r="QHS4" s="14"/>
      <c r="QHT4" s="14"/>
      <c r="QHU4" s="14"/>
      <c r="QHV4" s="14"/>
      <c r="QHW4" s="14"/>
      <c r="QHX4" s="14"/>
      <c r="QHY4" s="14"/>
      <c r="QHZ4" s="14"/>
      <c r="QIA4" s="14"/>
      <c r="QIB4" s="14"/>
      <c r="QIC4" s="14"/>
      <c r="QID4" s="14"/>
      <c r="QIE4" s="14"/>
      <c r="QIF4" s="14"/>
      <c r="QIG4" s="14"/>
      <c r="QIH4" s="14"/>
      <c r="QII4" s="14"/>
      <c r="QIJ4" s="14"/>
      <c r="QIK4" s="14"/>
      <c r="QIL4" s="14"/>
      <c r="QIM4" s="14"/>
      <c r="QIN4" s="14"/>
      <c r="QIO4" s="14"/>
      <c r="QIP4" s="14"/>
      <c r="QIQ4" s="14"/>
      <c r="QIR4" s="14"/>
      <c r="QIS4" s="14"/>
      <c r="QIT4" s="14"/>
      <c r="QIU4" s="14"/>
      <c r="QIV4" s="14"/>
      <c r="QIW4" s="14"/>
      <c r="QIX4" s="14"/>
      <c r="QIY4" s="14"/>
      <c r="QIZ4" s="14"/>
      <c r="QJA4" s="14"/>
      <c r="QJB4" s="14"/>
      <c r="QJC4" s="14"/>
      <c r="QJD4" s="14"/>
      <c r="QJE4" s="14"/>
      <c r="QJF4" s="14"/>
      <c r="QJG4" s="14"/>
      <c r="QJH4" s="14"/>
      <c r="QJI4" s="14"/>
      <c r="QJJ4" s="14"/>
      <c r="QJK4" s="14"/>
      <c r="QJL4" s="14"/>
      <c r="QJM4" s="14"/>
      <c r="QJN4" s="14"/>
      <c r="QJO4" s="14"/>
      <c r="QJP4" s="14"/>
      <c r="QJQ4" s="14"/>
      <c r="QJR4" s="14"/>
      <c r="QJS4" s="14"/>
      <c r="QJT4" s="14"/>
      <c r="QJU4" s="14"/>
      <c r="QJV4" s="14"/>
      <c r="QJW4" s="14"/>
      <c r="QJX4" s="14"/>
      <c r="QJY4" s="14"/>
      <c r="QJZ4" s="14"/>
      <c r="QKA4" s="14"/>
      <c r="QKB4" s="14"/>
      <c r="QKC4" s="14"/>
      <c r="QKD4" s="14"/>
      <c r="QKE4" s="14"/>
      <c r="QKF4" s="14"/>
      <c r="QKG4" s="14"/>
      <c r="QKH4" s="14"/>
      <c r="QKI4" s="14"/>
      <c r="QKJ4" s="14"/>
      <c r="QKK4" s="14"/>
      <c r="QKL4" s="14"/>
      <c r="QKM4" s="14"/>
      <c r="QKN4" s="14"/>
      <c r="QKO4" s="14"/>
      <c r="QKP4" s="14"/>
      <c r="QKQ4" s="14"/>
      <c r="QKR4" s="14"/>
      <c r="QKS4" s="14"/>
      <c r="QKT4" s="14"/>
      <c r="QKU4" s="14"/>
      <c r="QKV4" s="14"/>
      <c r="QKW4" s="14"/>
      <c r="QKX4" s="14"/>
      <c r="QKY4" s="14"/>
      <c r="QKZ4" s="14"/>
      <c r="QLA4" s="14"/>
      <c r="QLB4" s="14"/>
      <c r="QLC4" s="14"/>
      <c r="QLD4" s="14"/>
      <c r="QLE4" s="14"/>
      <c r="QLF4" s="14"/>
      <c r="QLG4" s="14"/>
      <c r="QLH4" s="14"/>
      <c r="QLI4" s="14"/>
      <c r="QLJ4" s="14"/>
      <c r="QLK4" s="14"/>
      <c r="QLL4" s="14"/>
      <c r="QLM4" s="14"/>
      <c r="QLN4" s="14"/>
      <c r="QLO4" s="14"/>
      <c r="QLP4" s="14"/>
      <c r="QLQ4" s="14"/>
      <c r="QLR4" s="14"/>
      <c r="QLS4" s="14"/>
      <c r="QLT4" s="14"/>
      <c r="QLU4" s="14"/>
      <c r="QLV4" s="14"/>
      <c r="QLW4" s="14"/>
      <c r="QLX4" s="14"/>
      <c r="QLY4" s="14"/>
      <c r="QLZ4" s="14"/>
      <c r="QMA4" s="14"/>
      <c r="QMB4" s="14"/>
      <c r="QMC4" s="14"/>
      <c r="QMD4" s="14"/>
      <c r="QME4" s="14"/>
      <c r="QMF4" s="14"/>
      <c r="QMG4" s="14"/>
      <c r="QMH4" s="14"/>
      <c r="QMI4" s="14"/>
      <c r="QMJ4" s="14"/>
      <c r="QMK4" s="14"/>
      <c r="QML4" s="14"/>
      <c r="QMM4" s="14"/>
      <c r="QMN4" s="14"/>
      <c r="QMO4" s="14"/>
      <c r="QMP4" s="14"/>
      <c r="QMQ4" s="14"/>
      <c r="QMR4" s="14"/>
      <c r="QMS4" s="14"/>
      <c r="QMT4" s="14"/>
      <c r="QMU4" s="14"/>
      <c r="QMV4" s="14"/>
      <c r="QMW4" s="14"/>
      <c r="QMX4" s="14"/>
      <c r="QMY4" s="14"/>
      <c r="QMZ4" s="14"/>
      <c r="QNA4" s="14"/>
      <c r="QNB4" s="14"/>
      <c r="QNC4" s="14"/>
      <c r="QND4" s="14"/>
      <c r="QNE4" s="14"/>
      <c r="QNF4" s="14"/>
      <c r="QNG4" s="14"/>
      <c r="QNH4" s="14"/>
      <c r="QNI4" s="14"/>
      <c r="QNJ4" s="14"/>
      <c r="QNK4" s="14"/>
      <c r="QNL4" s="14"/>
      <c r="QNM4" s="14"/>
      <c r="QNN4" s="14"/>
      <c r="QNO4" s="14"/>
      <c r="QNP4" s="14"/>
      <c r="QNQ4" s="14"/>
      <c r="QNR4" s="14"/>
      <c r="QNS4" s="14"/>
      <c r="QNT4" s="14"/>
      <c r="QNU4" s="14"/>
      <c r="QNV4" s="14"/>
      <c r="QNW4" s="14"/>
      <c r="QNX4" s="14"/>
      <c r="QNY4" s="14"/>
      <c r="QNZ4" s="14"/>
      <c r="QOA4" s="14"/>
      <c r="QOB4" s="14"/>
      <c r="QOC4" s="14"/>
      <c r="QOD4" s="14"/>
      <c r="QOE4" s="14"/>
      <c r="QOF4" s="14"/>
      <c r="QOG4" s="14"/>
      <c r="QOH4" s="14"/>
      <c r="QOI4" s="14"/>
      <c r="QOJ4" s="14"/>
      <c r="QOK4" s="14"/>
      <c r="QOL4" s="14"/>
      <c r="QOM4" s="14"/>
      <c r="QON4" s="14"/>
      <c r="QOO4" s="14"/>
      <c r="QOP4" s="14"/>
      <c r="QOQ4" s="14"/>
      <c r="QOR4" s="14"/>
      <c r="QOS4" s="14"/>
      <c r="QOT4" s="14"/>
      <c r="QOU4" s="14"/>
      <c r="QOV4" s="14"/>
      <c r="QOW4" s="14"/>
      <c r="QOX4" s="14"/>
      <c r="QOY4" s="14"/>
      <c r="QOZ4" s="14"/>
      <c r="QPA4" s="14"/>
      <c r="QPB4" s="14"/>
      <c r="QPC4" s="14"/>
      <c r="QPD4" s="14"/>
      <c r="QPE4" s="14"/>
      <c r="QPF4" s="14"/>
      <c r="QPG4" s="14"/>
      <c r="QPH4" s="14"/>
      <c r="QPI4" s="14"/>
      <c r="QPJ4" s="14"/>
      <c r="QPK4" s="14"/>
      <c r="QPL4" s="14"/>
      <c r="QPM4" s="14"/>
      <c r="QPN4" s="14"/>
      <c r="QPO4" s="14"/>
      <c r="QPP4" s="14"/>
      <c r="QPQ4" s="14"/>
      <c r="QPR4" s="14"/>
      <c r="QPS4" s="14"/>
      <c r="QPT4" s="14"/>
      <c r="QPU4" s="14"/>
      <c r="QPV4" s="14"/>
      <c r="QPW4" s="14"/>
      <c r="QPX4" s="14"/>
      <c r="QPY4" s="14"/>
      <c r="QPZ4" s="14"/>
      <c r="QQA4" s="14"/>
      <c r="QQB4" s="14"/>
      <c r="QQC4" s="14"/>
      <c r="QQD4" s="14"/>
      <c r="QQE4" s="14"/>
      <c r="QQF4" s="14"/>
      <c r="QQG4" s="14"/>
      <c r="QQH4" s="14"/>
      <c r="QQI4" s="14"/>
      <c r="QQJ4" s="14"/>
      <c r="QQK4" s="14"/>
      <c r="QQL4" s="14"/>
      <c r="QQM4" s="14"/>
      <c r="QQN4" s="14"/>
      <c r="QQO4" s="14"/>
      <c r="QQP4" s="14"/>
      <c r="QQQ4" s="14"/>
      <c r="QQR4" s="14"/>
      <c r="QQS4" s="14"/>
      <c r="QQT4" s="14"/>
      <c r="QQU4" s="14"/>
      <c r="QQV4" s="14"/>
      <c r="QQW4" s="14"/>
      <c r="QQX4" s="14"/>
      <c r="QQY4" s="14"/>
      <c r="QQZ4" s="14"/>
      <c r="QRA4" s="14"/>
      <c r="QRB4" s="14"/>
      <c r="QRC4" s="14"/>
      <c r="QRD4" s="14"/>
      <c r="QRE4" s="14"/>
      <c r="QRF4" s="14"/>
      <c r="QRG4" s="14"/>
      <c r="QRH4" s="14"/>
      <c r="QRI4" s="14"/>
      <c r="QRJ4" s="14"/>
      <c r="QRK4" s="14"/>
      <c r="QRL4" s="14"/>
      <c r="QRM4" s="14"/>
      <c r="QRN4" s="14"/>
      <c r="QRO4" s="14"/>
      <c r="QRP4" s="14"/>
      <c r="QRQ4" s="14"/>
      <c r="QRR4" s="14"/>
      <c r="QRS4" s="14"/>
      <c r="QRT4" s="14"/>
      <c r="QRU4" s="14"/>
      <c r="QRV4" s="14"/>
      <c r="QRW4" s="14"/>
      <c r="QRX4" s="14"/>
      <c r="QRY4" s="14"/>
      <c r="QRZ4" s="14"/>
      <c r="QSA4" s="14"/>
      <c r="QSB4" s="14"/>
      <c r="QSC4" s="14"/>
      <c r="QSD4" s="14"/>
      <c r="QSE4" s="14"/>
      <c r="QSF4" s="14"/>
      <c r="QSG4" s="14"/>
      <c r="QSH4" s="14"/>
      <c r="QSI4" s="14"/>
      <c r="QSJ4" s="14"/>
      <c r="QSK4" s="14"/>
      <c r="QSL4" s="14"/>
      <c r="QSM4" s="14"/>
      <c r="QSN4" s="14"/>
      <c r="QSO4" s="14"/>
      <c r="QSP4" s="14"/>
      <c r="QSQ4" s="14"/>
      <c r="QSR4" s="14"/>
      <c r="QSS4" s="14"/>
      <c r="QST4" s="14"/>
      <c r="QSU4" s="14"/>
      <c r="QSV4" s="14"/>
      <c r="QSW4" s="14"/>
      <c r="QSX4" s="14"/>
      <c r="QSY4" s="14"/>
      <c r="QSZ4" s="14"/>
      <c r="QTA4" s="14"/>
      <c r="QTB4" s="14"/>
      <c r="QTC4" s="14"/>
      <c r="QTD4" s="14"/>
      <c r="QTE4" s="14"/>
      <c r="QTF4" s="14"/>
      <c r="QTG4" s="14"/>
      <c r="QTH4" s="14"/>
      <c r="QTI4" s="14"/>
      <c r="QTJ4" s="14"/>
      <c r="QTK4" s="14"/>
      <c r="QTL4" s="14"/>
      <c r="QTM4" s="14"/>
      <c r="QTN4" s="14"/>
      <c r="QTO4" s="14"/>
      <c r="QTP4" s="14"/>
      <c r="QTQ4" s="14"/>
      <c r="QTR4" s="14"/>
      <c r="QTS4" s="14"/>
      <c r="QTT4" s="14"/>
      <c r="QTU4" s="14"/>
      <c r="QTV4" s="14"/>
      <c r="QTW4" s="14"/>
      <c r="QTX4" s="14"/>
      <c r="QTY4" s="14"/>
      <c r="QTZ4" s="14"/>
      <c r="QUA4" s="14"/>
      <c r="QUB4" s="14"/>
      <c r="QUC4" s="14"/>
      <c r="QUD4" s="14"/>
      <c r="QUE4" s="14"/>
      <c r="QUF4" s="14"/>
      <c r="QUG4" s="14"/>
      <c r="QUH4" s="14"/>
      <c r="QUI4" s="14"/>
      <c r="QUJ4" s="14"/>
      <c r="QUK4" s="14"/>
      <c r="QUL4" s="14"/>
      <c r="QUM4" s="14"/>
      <c r="QUN4" s="14"/>
      <c r="QUO4" s="14"/>
      <c r="QUP4" s="14"/>
      <c r="QUQ4" s="14"/>
      <c r="QUR4" s="14"/>
      <c r="QUS4" s="14"/>
      <c r="QUT4" s="14"/>
      <c r="QUU4" s="14"/>
      <c r="QUV4" s="14"/>
      <c r="QUW4" s="14"/>
      <c r="QUX4" s="14"/>
      <c r="QUY4" s="14"/>
      <c r="QUZ4" s="14"/>
      <c r="QVA4" s="14"/>
      <c r="QVB4" s="14"/>
      <c r="QVC4" s="14"/>
      <c r="QVD4" s="14"/>
      <c r="QVE4" s="14"/>
      <c r="QVF4" s="14"/>
      <c r="QVG4" s="14"/>
      <c r="QVH4" s="14"/>
      <c r="QVI4" s="14"/>
      <c r="QVJ4" s="14"/>
      <c r="QVK4" s="14"/>
      <c r="QVL4" s="14"/>
      <c r="QVM4" s="14"/>
      <c r="QVN4" s="14"/>
      <c r="QVO4" s="14"/>
      <c r="QVP4" s="14"/>
      <c r="QVQ4" s="14"/>
      <c r="QVR4" s="14"/>
      <c r="QVS4" s="14"/>
      <c r="QVT4" s="14"/>
      <c r="QVU4" s="14"/>
      <c r="QVV4" s="14"/>
      <c r="QVW4" s="14"/>
      <c r="QVX4" s="14"/>
      <c r="QVY4" s="14"/>
      <c r="QVZ4" s="14"/>
      <c r="QWA4" s="14"/>
      <c r="QWB4" s="14"/>
      <c r="QWC4" s="14"/>
      <c r="QWD4" s="14"/>
      <c r="QWE4" s="14"/>
      <c r="QWF4" s="14"/>
      <c r="QWG4" s="14"/>
      <c r="QWH4" s="14"/>
      <c r="QWI4" s="14"/>
      <c r="QWJ4" s="14"/>
      <c r="QWK4" s="14"/>
      <c r="QWL4" s="14"/>
      <c r="QWM4" s="14"/>
      <c r="QWN4" s="14"/>
      <c r="QWO4" s="14"/>
      <c r="QWP4" s="14"/>
      <c r="QWQ4" s="14"/>
      <c r="QWR4" s="14"/>
      <c r="QWS4" s="14"/>
      <c r="QWT4" s="14"/>
      <c r="QWU4" s="14"/>
      <c r="QWV4" s="14"/>
      <c r="QWW4" s="14"/>
      <c r="QWX4" s="14"/>
      <c r="QWY4" s="14"/>
      <c r="QWZ4" s="14"/>
      <c r="QXA4" s="14"/>
      <c r="QXB4" s="14"/>
      <c r="QXC4" s="14"/>
      <c r="QXD4" s="14"/>
      <c r="QXE4" s="14"/>
      <c r="QXF4" s="14"/>
      <c r="QXG4" s="14"/>
      <c r="QXH4" s="14"/>
      <c r="QXI4" s="14"/>
      <c r="QXJ4" s="14"/>
      <c r="QXK4" s="14"/>
      <c r="QXL4" s="14"/>
      <c r="QXM4" s="14"/>
      <c r="QXN4" s="14"/>
      <c r="QXO4" s="14"/>
      <c r="QXP4" s="14"/>
      <c r="QXQ4" s="14"/>
      <c r="QXR4" s="14"/>
      <c r="QXS4" s="14"/>
      <c r="QXT4" s="14"/>
      <c r="QXU4" s="14"/>
      <c r="QXV4" s="14"/>
      <c r="QXW4" s="14"/>
      <c r="QXX4" s="14"/>
      <c r="QXY4" s="14"/>
      <c r="QXZ4" s="14"/>
      <c r="QYA4" s="14"/>
      <c r="QYB4" s="14"/>
      <c r="QYC4" s="14"/>
      <c r="QYD4" s="14"/>
      <c r="QYE4" s="14"/>
      <c r="QYF4" s="14"/>
      <c r="QYG4" s="14"/>
      <c r="QYH4" s="14"/>
      <c r="QYI4" s="14"/>
      <c r="QYJ4" s="14"/>
      <c r="QYK4" s="14"/>
      <c r="QYL4" s="14"/>
      <c r="QYM4" s="14"/>
      <c r="QYN4" s="14"/>
      <c r="QYO4" s="14"/>
      <c r="QYP4" s="14"/>
      <c r="QYQ4" s="14"/>
      <c r="QYR4" s="14"/>
      <c r="QYS4" s="14"/>
      <c r="QYT4" s="14"/>
      <c r="QYU4" s="14"/>
      <c r="QYV4" s="14"/>
      <c r="QYW4" s="14"/>
      <c r="QYX4" s="14"/>
      <c r="QYY4" s="14"/>
      <c r="QYZ4" s="14"/>
      <c r="QZA4" s="14"/>
      <c r="QZB4" s="14"/>
      <c r="QZC4" s="14"/>
      <c r="QZD4" s="14"/>
      <c r="QZE4" s="14"/>
      <c r="QZF4" s="14"/>
      <c r="QZG4" s="14"/>
      <c r="QZH4" s="14"/>
      <c r="QZI4" s="14"/>
      <c r="QZJ4" s="14"/>
      <c r="QZK4" s="14"/>
      <c r="QZL4" s="14"/>
      <c r="QZM4" s="14"/>
      <c r="QZN4" s="14"/>
      <c r="QZO4" s="14"/>
      <c r="QZP4" s="14"/>
      <c r="QZQ4" s="14"/>
      <c r="QZR4" s="14"/>
      <c r="QZS4" s="14"/>
      <c r="QZT4" s="14"/>
      <c r="QZU4" s="14"/>
      <c r="QZV4" s="14"/>
      <c r="QZW4" s="14"/>
      <c r="QZX4" s="14"/>
      <c r="QZY4" s="14"/>
      <c r="QZZ4" s="14"/>
      <c r="RAA4" s="14"/>
      <c r="RAB4" s="14"/>
      <c r="RAC4" s="14"/>
      <c r="RAD4" s="14"/>
      <c r="RAE4" s="14"/>
      <c r="RAF4" s="14"/>
      <c r="RAG4" s="14"/>
      <c r="RAH4" s="14"/>
      <c r="RAI4" s="14"/>
      <c r="RAJ4" s="14"/>
      <c r="RAK4" s="14"/>
      <c r="RAL4" s="14"/>
      <c r="RAM4" s="14"/>
      <c r="RAN4" s="14"/>
      <c r="RAO4" s="14"/>
      <c r="RAP4" s="14"/>
      <c r="RAQ4" s="14"/>
      <c r="RAR4" s="14"/>
      <c r="RAS4" s="14"/>
      <c r="RAT4" s="14"/>
      <c r="RAU4" s="14"/>
      <c r="RAV4" s="14"/>
      <c r="RAW4" s="14"/>
      <c r="RAX4" s="14"/>
      <c r="RAY4" s="14"/>
      <c r="RAZ4" s="14"/>
      <c r="RBA4" s="14"/>
      <c r="RBB4" s="14"/>
      <c r="RBC4" s="14"/>
      <c r="RBD4" s="14"/>
      <c r="RBE4" s="14"/>
      <c r="RBF4" s="14"/>
      <c r="RBG4" s="14"/>
      <c r="RBH4" s="14"/>
      <c r="RBI4" s="14"/>
      <c r="RBJ4" s="14"/>
      <c r="RBK4" s="14"/>
      <c r="RBL4" s="14"/>
      <c r="RBM4" s="14"/>
      <c r="RBN4" s="14"/>
      <c r="RBO4" s="14"/>
      <c r="RBP4" s="14"/>
      <c r="RBQ4" s="14"/>
      <c r="RBR4" s="14"/>
      <c r="RBS4" s="14"/>
      <c r="RBT4" s="14"/>
      <c r="RBU4" s="14"/>
      <c r="RBV4" s="14"/>
      <c r="RBW4" s="14"/>
      <c r="RBX4" s="14"/>
      <c r="RBY4" s="14"/>
      <c r="RBZ4" s="14"/>
      <c r="RCA4" s="14"/>
      <c r="RCB4" s="14"/>
      <c r="RCC4" s="14"/>
      <c r="RCD4" s="14"/>
      <c r="RCE4" s="14"/>
      <c r="RCF4" s="14"/>
      <c r="RCG4" s="14"/>
      <c r="RCH4" s="14"/>
      <c r="RCI4" s="14"/>
      <c r="RCJ4" s="14"/>
      <c r="RCK4" s="14"/>
      <c r="RCL4" s="14"/>
      <c r="RCM4" s="14"/>
      <c r="RCN4" s="14"/>
      <c r="RCO4" s="14"/>
      <c r="RCP4" s="14"/>
      <c r="RCQ4" s="14"/>
      <c r="RCR4" s="14"/>
      <c r="RCS4" s="14"/>
      <c r="RCT4" s="14"/>
      <c r="RCU4" s="14"/>
      <c r="RCV4" s="14"/>
      <c r="RCW4" s="14"/>
      <c r="RCX4" s="14"/>
      <c r="RCY4" s="14"/>
      <c r="RCZ4" s="14"/>
      <c r="RDA4" s="14"/>
      <c r="RDB4" s="14"/>
      <c r="RDC4" s="14"/>
      <c r="RDD4" s="14"/>
      <c r="RDE4" s="14"/>
      <c r="RDF4" s="14"/>
      <c r="RDG4" s="14"/>
      <c r="RDH4" s="14"/>
      <c r="RDI4" s="14"/>
      <c r="RDJ4" s="14"/>
      <c r="RDK4" s="14"/>
      <c r="RDL4" s="14"/>
      <c r="RDM4" s="14"/>
      <c r="RDN4" s="14"/>
      <c r="RDO4" s="14"/>
      <c r="RDP4" s="14"/>
      <c r="RDQ4" s="14"/>
      <c r="RDR4" s="14"/>
      <c r="RDS4" s="14"/>
      <c r="RDT4" s="14"/>
      <c r="RDU4" s="14"/>
      <c r="RDV4" s="14"/>
      <c r="RDW4" s="14"/>
      <c r="RDX4" s="14"/>
      <c r="RDY4" s="14"/>
      <c r="RDZ4" s="14"/>
      <c r="REA4" s="14"/>
      <c r="REB4" s="14"/>
      <c r="REC4" s="14"/>
      <c r="RED4" s="14"/>
      <c r="REE4" s="14"/>
      <c r="REF4" s="14"/>
      <c r="REG4" s="14"/>
      <c r="REH4" s="14"/>
      <c r="REI4" s="14"/>
      <c r="REJ4" s="14"/>
      <c r="REK4" s="14"/>
      <c r="REL4" s="14"/>
      <c r="REM4" s="14"/>
      <c r="REN4" s="14"/>
      <c r="REO4" s="14"/>
      <c r="REP4" s="14"/>
      <c r="REQ4" s="14"/>
      <c r="RER4" s="14"/>
      <c r="RES4" s="14"/>
      <c r="RET4" s="14"/>
      <c r="REU4" s="14"/>
      <c r="REV4" s="14"/>
      <c r="REW4" s="14"/>
      <c r="REX4" s="14"/>
      <c r="REY4" s="14"/>
      <c r="REZ4" s="14"/>
      <c r="RFA4" s="14"/>
      <c r="RFB4" s="14"/>
      <c r="RFC4" s="14"/>
      <c r="RFD4" s="14"/>
      <c r="RFE4" s="14"/>
      <c r="RFF4" s="14"/>
      <c r="RFG4" s="14"/>
      <c r="RFH4" s="14"/>
      <c r="RFI4" s="14"/>
      <c r="RFJ4" s="14"/>
      <c r="RFK4" s="14"/>
      <c r="RFL4" s="14"/>
      <c r="RFM4" s="14"/>
      <c r="RFN4" s="14"/>
      <c r="RFO4" s="14"/>
      <c r="RFP4" s="14"/>
      <c r="RFQ4" s="14"/>
      <c r="RFR4" s="14"/>
      <c r="RFS4" s="14"/>
      <c r="RFT4" s="14"/>
      <c r="RFU4" s="14"/>
      <c r="RFV4" s="14"/>
      <c r="RFW4" s="14"/>
      <c r="RFX4" s="14"/>
      <c r="RFY4" s="14"/>
      <c r="RFZ4" s="14"/>
      <c r="RGA4" s="14"/>
      <c r="RGB4" s="14"/>
      <c r="RGC4" s="14"/>
      <c r="RGD4" s="14"/>
      <c r="RGE4" s="14"/>
      <c r="RGF4" s="14"/>
      <c r="RGG4" s="14"/>
      <c r="RGH4" s="14"/>
      <c r="RGI4" s="14"/>
      <c r="RGJ4" s="14"/>
      <c r="RGK4" s="14"/>
      <c r="RGL4" s="14"/>
      <c r="RGM4" s="14"/>
      <c r="RGN4" s="14"/>
      <c r="RGO4" s="14"/>
      <c r="RGP4" s="14"/>
      <c r="RGQ4" s="14"/>
      <c r="RGR4" s="14"/>
      <c r="RGS4" s="14"/>
      <c r="RGT4" s="14"/>
      <c r="RGU4" s="14"/>
      <c r="RGV4" s="14"/>
      <c r="RGW4" s="14"/>
      <c r="RGX4" s="14"/>
      <c r="RGY4" s="14"/>
      <c r="RGZ4" s="14"/>
      <c r="RHA4" s="14"/>
      <c r="RHB4" s="14"/>
      <c r="RHC4" s="14"/>
      <c r="RHD4" s="14"/>
      <c r="RHE4" s="14"/>
      <c r="RHF4" s="14"/>
      <c r="RHG4" s="14"/>
      <c r="RHH4" s="14"/>
      <c r="RHI4" s="14"/>
      <c r="RHJ4" s="14"/>
      <c r="RHK4" s="14"/>
      <c r="RHL4" s="14"/>
      <c r="RHM4" s="14"/>
      <c r="RHN4" s="14"/>
      <c r="RHO4" s="14"/>
      <c r="RHP4" s="14"/>
      <c r="RHQ4" s="14"/>
      <c r="RHR4" s="14"/>
      <c r="RHS4" s="14"/>
      <c r="RHT4" s="14"/>
      <c r="RHU4" s="14"/>
      <c r="RHV4" s="14"/>
      <c r="RHW4" s="14"/>
      <c r="RHX4" s="14"/>
      <c r="RHY4" s="14"/>
      <c r="RHZ4" s="14"/>
      <c r="RIA4" s="14"/>
      <c r="RIB4" s="14"/>
      <c r="RIC4" s="14"/>
      <c r="RID4" s="14"/>
      <c r="RIE4" s="14"/>
      <c r="RIF4" s="14"/>
      <c r="RIG4" s="14"/>
      <c r="RIH4" s="14"/>
      <c r="RII4" s="14"/>
      <c r="RIJ4" s="14"/>
      <c r="RIK4" s="14"/>
      <c r="RIL4" s="14"/>
      <c r="RIM4" s="14"/>
      <c r="RIN4" s="14"/>
      <c r="RIO4" s="14"/>
      <c r="RIP4" s="14"/>
      <c r="RIQ4" s="14"/>
      <c r="RIR4" s="14"/>
      <c r="RIS4" s="14"/>
      <c r="RIT4" s="14"/>
      <c r="RIU4" s="14"/>
      <c r="RIV4" s="14"/>
      <c r="RIW4" s="14"/>
      <c r="RIX4" s="14"/>
      <c r="RIY4" s="14"/>
      <c r="RIZ4" s="14"/>
      <c r="RJA4" s="14"/>
      <c r="RJB4" s="14"/>
      <c r="RJC4" s="14"/>
      <c r="RJD4" s="14"/>
      <c r="RJE4" s="14"/>
      <c r="RJF4" s="14"/>
      <c r="RJG4" s="14"/>
      <c r="RJH4" s="14"/>
      <c r="RJI4" s="14"/>
      <c r="RJJ4" s="14"/>
      <c r="RJK4" s="14"/>
      <c r="RJL4" s="14"/>
      <c r="RJM4" s="14"/>
      <c r="RJN4" s="14"/>
      <c r="RJO4" s="14"/>
      <c r="RJP4" s="14"/>
      <c r="RJQ4" s="14"/>
      <c r="RJR4" s="14"/>
      <c r="RJS4" s="14"/>
      <c r="RJT4" s="14"/>
      <c r="RJU4" s="14"/>
      <c r="RJV4" s="14"/>
      <c r="RJW4" s="14"/>
      <c r="RJX4" s="14"/>
      <c r="RJY4" s="14"/>
      <c r="RJZ4" s="14"/>
      <c r="RKA4" s="14"/>
      <c r="RKB4" s="14"/>
      <c r="RKC4" s="14"/>
      <c r="RKD4" s="14"/>
      <c r="RKE4" s="14"/>
      <c r="RKF4" s="14"/>
      <c r="RKG4" s="14"/>
      <c r="RKH4" s="14"/>
      <c r="RKI4" s="14"/>
      <c r="RKJ4" s="14"/>
      <c r="RKK4" s="14"/>
      <c r="RKL4" s="14"/>
      <c r="RKM4" s="14"/>
      <c r="RKN4" s="14"/>
      <c r="RKO4" s="14"/>
      <c r="RKP4" s="14"/>
      <c r="RKQ4" s="14"/>
      <c r="RKR4" s="14"/>
      <c r="RKS4" s="14"/>
      <c r="RKT4" s="14"/>
      <c r="RKU4" s="14"/>
      <c r="RKV4" s="14"/>
      <c r="RKW4" s="14"/>
      <c r="RKX4" s="14"/>
      <c r="RKY4" s="14"/>
      <c r="RKZ4" s="14"/>
      <c r="RLA4" s="14"/>
      <c r="RLB4" s="14"/>
      <c r="RLC4" s="14"/>
      <c r="RLD4" s="14"/>
      <c r="RLE4" s="14"/>
      <c r="RLF4" s="14"/>
      <c r="RLG4" s="14"/>
      <c r="RLH4" s="14"/>
      <c r="RLI4" s="14"/>
      <c r="RLJ4" s="14"/>
      <c r="RLK4" s="14"/>
      <c r="RLL4" s="14"/>
      <c r="RLM4" s="14"/>
      <c r="RLN4" s="14"/>
      <c r="RLO4" s="14"/>
      <c r="RLP4" s="14"/>
      <c r="RLQ4" s="14"/>
      <c r="RLR4" s="14"/>
      <c r="RLS4" s="14"/>
      <c r="RLT4" s="14"/>
      <c r="RLU4" s="14"/>
      <c r="RLV4" s="14"/>
      <c r="RLW4" s="14"/>
      <c r="RLX4" s="14"/>
      <c r="RLY4" s="14"/>
      <c r="RLZ4" s="14"/>
      <c r="RMA4" s="14"/>
      <c r="RMB4" s="14"/>
      <c r="RMC4" s="14"/>
      <c r="RMD4" s="14"/>
      <c r="RME4" s="14"/>
      <c r="RMF4" s="14"/>
      <c r="RMG4" s="14"/>
      <c r="RMH4" s="14"/>
      <c r="RMI4" s="14"/>
      <c r="RMJ4" s="14"/>
      <c r="RMK4" s="14"/>
      <c r="RML4" s="14"/>
      <c r="RMM4" s="14"/>
      <c r="RMN4" s="14"/>
      <c r="RMO4" s="14"/>
      <c r="RMP4" s="14"/>
      <c r="RMQ4" s="14"/>
      <c r="RMR4" s="14"/>
      <c r="RMS4" s="14"/>
      <c r="RMT4" s="14"/>
      <c r="RMU4" s="14"/>
      <c r="RMV4" s="14"/>
      <c r="RMW4" s="14"/>
      <c r="RMX4" s="14"/>
      <c r="RMY4" s="14"/>
      <c r="RMZ4" s="14"/>
      <c r="RNA4" s="14"/>
      <c r="RNB4" s="14"/>
      <c r="RNC4" s="14"/>
      <c r="RND4" s="14"/>
      <c r="RNE4" s="14"/>
      <c r="RNF4" s="14"/>
      <c r="RNG4" s="14"/>
      <c r="RNH4" s="14"/>
      <c r="RNI4" s="14"/>
      <c r="RNJ4" s="14"/>
      <c r="RNK4" s="14"/>
      <c r="RNL4" s="14"/>
      <c r="RNM4" s="14"/>
      <c r="RNN4" s="14"/>
      <c r="RNO4" s="14"/>
      <c r="RNP4" s="14"/>
      <c r="RNQ4" s="14"/>
      <c r="RNR4" s="14"/>
      <c r="RNS4" s="14"/>
      <c r="RNT4" s="14"/>
      <c r="RNU4" s="14"/>
      <c r="RNV4" s="14"/>
      <c r="RNW4" s="14"/>
      <c r="RNX4" s="14"/>
      <c r="RNY4" s="14"/>
      <c r="RNZ4" s="14"/>
      <c r="ROA4" s="14"/>
      <c r="ROB4" s="14"/>
      <c r="ROC4" s="14"/>
      <c r="ROD4" s="14"/>
      <c r="ROE4" s="14"/>
      <c r="ROF4" s="14"/>
      <c r="ROG4" s="14"/>
      <c r="ROH4" s="14"/>
      <c r="ROI4" s="14"/>
      <c r="ROJ4" s="14"/>
      <c r="ROK4" s="14"/>
      <c r="ROL4" s="14"/>
      <c r="ROM4" s="14"/>
      <c r="RON4" s="14"/>
      <c r="ROO4" s="14"/>
      <c r="ROP4" s="14"/>
      <c r="ROQ4" s="14"/>
      <c r="ROR4" s="14"/>
      <c r="ROS4" s="14"/>
      <c r="ROT4" s="14"/>
      <c r="ROU4" s="14"/>
      <c r="ROV4" s="14"/>
      <c r="ROW4" s="14"/>
      <c r="ROX4" s="14"/>
      <c r="ROY4" s="14"/>
      <c r="ROZ4" s="14"/>
      <c r="RPA4" s="14"/>
      <c r="RPB4" s="14"/>
      <c r="RPC4" s="14"/>
      <c r="RPD4" s="14"/>
      <c r="RPE4" s="14"/>
      <c r="RPF4" s="14"/>
      <c r="RPG4" s="14"/>
      <c r="RPH4" s="14"/>
      <c r="RPI4" s="14"/>
      <c r="RPJ4" s="14"/>
      <c r="RPK4" s="14"/>
      <c r="RPL4" s="14"/>
      <c r="RPM4" s="14"/>
      <c r="RPN4" s="14"/>
      <c r="RPO4" s="14"/>
      <c r="RPP4" s="14"/>
      <c r="RPQ4" s="14"/>
      <c r="RPR4" s="14"/>
      <c r="RPS4" s="14"/>
      <c r="RPT4" s="14"/>
      <c r="RPU4" s="14"/>
      <c r="RPV4" s="14"/>
      <c r="RPW4" s="14"/>
      <c r="RPX4" s="14"/>
      <c r="RPY4" s="14"/>
      <c r="RPZ4" s="14"/>
      <c r="RQA4" s="14"/>
      <c r="RQB4" s="14"/>
      <c r="RQC4" s="14"/>
      <c r="RQD4" s="14"/>
      <c r="RQE4" s="14"/>
      <c r="RQF4" s="14"/>
      <c r="RQG4" s="14"/>
      <c r="RQH4" s="14"/>
      <c r="RQI4" s="14"/>
      <c r="RQJ4" s="14"/>
      <c r="RQK4" s="14"/>
      <c r="RQL4" s="14"/>
      <c r="RQM4" s="14"/>
      <c r="RQN4" s="14"/>
      <c r="RQO4" s="14"/>
      <c r="RQP4" s="14"/>
      <c r="RQQ4" s="14"/>
      <c r="RQR4" s="14"/>
      <c r="RQS4" s="14"/>
      <c r="RQT4" s="14"/>
      <c r="RQU4" s="14"/>
      <c r="RQV4" s="14"/>
      <c r="RQW4" s="14"/>
      <c r="RQX4" s="14"/>
      <c r="RQY4" s="14"/>
      <c r="RQZ4" s="14"/>
      <c r="RRA4" s="14"/>
      <c r="RRB4" s="14"/>
      <c r="RRC4" s="14"/>
      <c r="RRD4" s="14"/>
      <c r="RRE4" s="14"/>
      <c r="RRF4" s="14"/>
      <c r="RRG4" s="14"/>
      <c r="RRH4" s="14"/>
      <c r="RRI4" s="14"/>
      <c r="RRJ4" s="14"/>
      <c r="RRK4" s="14"/>
      <c r="RRL4" s="14"/>
      <c r="RRM4" s="14"/>
      <c r="RRN4" s="14"/>
      <c r="RRO4" s="14"/>
      <c r="RRP4" s="14"/>
      <c r="RRQ4" s="14"/>
      <c r="RRR4" s="14"/>
      <c r="RRS4" s="14"/>
      <c r="RRT4" s="14"/>
      <c r="RRU4" s="14"/>
      <c r="RRV4" s="14"/>
      <c r="RRW4" s="14"/>
      <c r="RRX4" s="14"/>
      <c r="RRY4" s="14"/>
      <c r="RRZ4" s="14"/>
      <c r="RSA4" s="14"/>
      <c r="RSB4" s="14"/>
      <c r="RSC4" s="14"/>
      <c r="RSD4" s="14"/>
      <c r="RSE4" s="14"/>
      <c r="RSF4" s="14"/>
      <c r="RSG4" s="14"/>
      <c r="RSH4" s="14"/>
      <c r="RSI4" s="14"/>
      <c r="RSJ4" s="14"/>
      <c r="RSK4" s="14"/>
      <c r="RSL4" s="14"/>
      <c r="RSM4" s="14"/>
      <c r="RSN4" s="14"/>
      <c r="RSO4" s="14"/>
      <c r="RSP4" s="14"/>
      <c r="RSQ4" s="14"/>
      <c r="RSR4" s="14"/>
      <c r="RSS4" s="14"/>
      <c r="RST4" s="14"/>
      <c r="RSU4" s="14"/>
      <c r="RSV4" s="14"/>
      <c r="RSW4" s="14"/>
      <c r="RSX4" s="14"/>
      <c r="RSY4" s="14"/>
      <c r="RSZ4" s="14"/>
      <c r="RTA4" s="14"/>
      <c r="RTB4" s="14"/>
      <c r="RTC4" s="14"/>
      <c r="RTD4" s="14"/>
      <c r="RTE4" s="14"/>
      <c r="RTF4" s="14"/>
      <c r="RTG4" s="14"/>
      <c r="RTH4" s="14"/>
      <c r="RTI4" s="14"/>
      <c r="RTJ4" s="14"/>
      <c r="RTK4" s="14"/>
      <c r="RTL4" s="14"/>
      <c r="RTM4" s="14"/>
      <c r="RTN4" s="14"/>
      <c r="RTO4" s="14"/>
      <c r="RTP4" s="14"/>
      <c r="RTQ4" s="14"/>
      <c r="RTR4" s="14"/>
      <c r="RTS4" s="14"/>
      <c r="RTT4" s="14"/>
      <c r="RTU4" s="14"/>
      <c r="RTV4" s="14"/>
      <c r="RTW4" s="14"/>
      <c r="RTX4" s="14"/>
      <c r="RTY4" s="14"/>
      <c r="RTZ4" s="14"/>
      <c r="RUA4" s="14"/>
      <c r="RUB4" s="14"/>
      <c r="RUC4" s="14"/>
      <c r="RUD4" s="14"/>
      <c r="RUE4" s="14"/>
      <c r="RUF4" s="14"/>
      <c r="RUG4" s="14"/>
      <c r="RUH4" s="14"/>
      <c r="RUI4" s="14"/>
      <c r="RUJ4" s="14"/>
      <c r="RUK4" s="14"/>
      <c r="RUL4" s="14"/>
      <c r="RUM4" s="14"/>
      <c r="RUN4" s="14"/>
      <c r="RUO4" s="14"/>
      <c r="RUP4" s="14"/>
      <c r="RUQ4" s="14"/>
      <c r="RUR4" s="14"/>
      <c r="RUS4" s="14"/>
      <c r="RUT4" s="14"/>
      <c r="RUU4" s="14"/>
      <c r="RUV4" s="14"/>
      <c r="RUW4" s="14"/>
      <c r="RUX4" s="14"/>
      <c r="RUY4" s="14"/>
      <c r="RUZ4" s="14"/>
      <c r="RVA4" s="14"/>
      <c r="RVB4" s="14"/>
      <c r="RVC4" s="14"/>
      <c r="RVD4" s="14"/>
      <c r="RVE4" s="14"/>
      <c r="RVF4" s="14"/>
      <c r="RVG4" s="14"/>
      <c r="RVH4" s="14"/>
      <c r="RVI4" s="14"/>
      <c r="RVJ4" s="14"/>
      <c r="RVK4" s="14"/>
      <c r="RVL4" s="14"/>
      <c r="RVM4" s="14"/>
      <c r="RVN4" s="14"/>
      <c r="RVO4" s="14"/>
      <c r="RVP4" s="14"/>
      <c r="RVQ4" s="14"/>
      <c r="RVR4" s="14"/>
      <c r="RVS4" s="14"/>
      <c r="RVT4" s="14"/>
      <c r="RVU4" s="14"/>
      <c r="RVV4" s="14"/>
      <c r="RVW4" s="14"/>
      <c r="RVX4" s="14"/>
      <c r="RVY4" s="14"/>
      <c r="RVZ4" s="14"/>
      <c r="RWA4" s="14"/>
      <c r="RWB4" s="14"/>
      <c r="RWC4" s="14"/>
      <c r="RWD4" s="14"/>
      <c r="RWE4" s="14"/>
      <c r="RWF4" s="14"/>
      <c r="RWG4" s="14"/>
      <c r="RWH4" s="14"/>
      <c r="RWI4" s="14"/>
      <c r="RWJ4" s="14"/>
      <c r="RWK4" s="14"/>
      <c r="RWL4" s="14"/>
      <c r="RWM4" s="14"/>
      <c r="RWN4" s="14"/>
      <c r="RWO4" s="14"/>
      <c r="RWP4" s="14"/>
      <c r="RWQ4" s="14"/>
      <c r="RWR4" s="14"/>
      <c r="RWS4" s="14"/>
      <c r="RWT4" s="14"/>
      <c r="RWU4" s="14"/>
      <c r="RWV4" s="14"/>
      <c r="RWW4" s="14"/>
      <c r="RWX4" s="14"/>
      <c r="RWY4" s="14"/>
      <c r="RWZ4" s="14"/>
      <c r="RXA4" s="14"/>
      <c r="RXB4" s="14"/>
      <c r="RXC4" s="14"/>
      <c r="RXD4" s="14"/>
      <c r="RXE4" s="14"/>
      <c r="RXF4" s="14"/>
      <c r="RXG4" s="14"/>
      <c r="RXH4" s="14"/>
      <c r="RXI4" s="14"/>
      <c r="RXJ4" s="14"/>
      <c r="RXK4" s="14"/>
      <c r="RXL4" s="14"/>
      <c r="RXM4" s="14"/>
      <c r="RXN4" s="14"/>
      <c r="RXO4" s="14"/>
      <c r="RXP4" s="14"/>
      <c r="RXQ4" s="14"/>
      <c r="RXR4" s="14"/>
      <c r="RXS4" s="14"/>
      <c r="RXT4" s="14"/>
      <c r="RXU4" s="14"/>
      <c r="RXV4" s="14"/>
      <c r="RXW4" s="14"/>
      <c r="RXX4" s="14"/>
      <c r="RXY4" s="14"/>
      <c r="RXZ4" s="14"/>
      <c r="RYA4" s="14"/>
      <c r="RYB4" s="14"/>
      <c r="RYC4" s="14"/>
      <c r="RYD4" s="14"/>
      <c r="RYE4" s="14"/>
      <c r="RYF4" s="14"/>
      <c r="RYG4" s="14"/>
      <c r="RYH4" s="14"/>
      <c r="RYI4" s="14"/>
      <c r="RYJ4" s="14"/>
      <c r="RYK4" s="14"/>
      <c r="RYL4" s="14"/>
      <c r="RYM4" s="14"/>
      <c r="RYN4" s="14"/>
      <c r="RYO4" s="14"/>
      <c r="RYP4" s="14"/>
      <c r="RYQ4" s="14"/>
      <c r="RYR4" s="14"/>
      <c r="RYS4" s="14"/>
      <c r="RYT4" s="14"/>
      <c r="RYU4" s="14"/>
      <c r="RYV4" s="14"/>
      <c r="RYW4" s="14"/>
      <c r="RYX4" s="14"/>
      <c r="RYY4" s="14"/>
      <c r="RYZ4" s="14"/>
      <c r="RZA4" s="14"/>
      <c r="RZB4" s="14"/>
      <c r="RZC4" s="14"/>
      <c r="RZD4" s="14"/>
      <c r="RZE4" s="14"/>
      <c r="RZF4" s="14"/>
      <c r="RZG4" s="14"/>
      <c r="RZH4" s="14"/>
      <c r="RZI4" s="14"/>
      <c r="RZJ4" s="14"/>
      <c r="RZK4" s="14"/>
      <c r="RZL4" s="14"/>
      <c r="RZM4" s="14"/>
      <c r="RZN4" s="14"/>
      <c r="RZO4" s="14"/>
      <c r="RZP4" s="14"/>
      <c r="RZQ4" s="14"/>
      <c r="RZR4" s="14"/>
      <c r="RZS4" s="14"/>
      <c r="RZT4" s="14"/>
      <c r="RZU4" s="14"/>
      <c r="RZV4" s="14"/>
      <c r="RZW4" s="14"/>
      <c r="RZX4" s="14"/>
      <c r="RZY4" s="14"/>
      <c r="RZZ4" s="14"/>
      <c r="SAA4" s="14"/>
      <c r="SAB4" s="14"/>
      <c r="SAC4" s="14"/>
      <c r="SAD4" s="14"/>
      <c r="SAE4" s="14"/>
      <c r="SAF4" s="14"/>
      <c r="SAG4" s="14"/>
      <c r="SAH4" s="14"/>
      <c r="SAI4" s="14"/>
      <c r="SAJ4" s="14"/>
      <c r="SAK4" s="14"/>
      <c r="SAL4" s="14"/>
      <c r="SAM4" s="14"/>
      <c r="SAN4" s="14"/>
      <c r="SAO4" s="14"/>
      <c r="SAP4" s="14"/>
      <c r="SAQ4" s="14"/>
      <c r="SAR4" s="14"/>
      <c r="SAS4" s="14"/>
      <c r="SAT4" s="14"/>
      <c r="SAU4" s="14"/>
      <c r="SAV4" s="14"/>
      <c r="SAW4" s="14"/>
      <c r="SAX4" s="14"/>
      <c r="SAY4" s="14"/>
      <c r="SAZ4" s="14"/>
      <c r="SBA4" s="14"/>
      <c r="SBB4" s="14"/>
      <c r="SBC4" s="14"/>
      <c r="SBD4" s="14"/>
      <c r="SBE4" s="14"/>
      <c r="SBF4" s="14"/>
      <c r="SBG4" s="14"/>
      <c r="SBH4" s="14"/>
      <c r="SBI4" s="14"/>
      <c r="SBJ4" s="14"/>
      <c r="SBK4" s="14"/>
      <c r="SBL4" s="14"/>
      <c r="SBM4" s="14"/>
      <c r="SBN4" s="14"/>
      <c r="SBO4" s="14"/>
      <c r="SBP4" s="14"/>
      <c r="SBQ4" s="14"/>
      <c r="SBR4" s="14"/>
      <c r="SBS4" s="14"/>
      <c r="SBT4" s="14"/>
      <c r="SBU4" s="14"/>
      <c r="SBV4" s="14"/>
      <c r="SBW4" s="14"/>
      <c r="SBX4" s="14"/>
      <c r="SBY4" s="14"/>
      <c r="SBZ4" s="14"/>
      <c r="SCA4" s="14"/>
      <c r="SCB4" s="14"/>
      <c r="SCC4" s="14"/>
      <c r="SCD4" s="14"/>
      <c r="SCE4" s="14"/>
      <c r="SCF4" s="14"/>
      <c r="SCG4" s="14"/>
      <c r="SCH4" s="14"/>
      <c r="SCI4" s="14"/>
      <c r="SCJ4" s="14"/>
      <c r="SCK4" s="14"/>
      <c r="SCL4" s="14"/>
      <c r="SCM4" s="14"/>
      <c r="SCN4" s="14"/>
      <c r="SCO4" s="14"/>
      <c r="SCP4" s="14"/>
      <c r="SCQ4" s="14"/>
      <c r="SCR4" s="14"/>
      <c r="SCS4" s="14"/>
      <c r="SCT4" s="14"/>
      <c r="SCU4" s="14"/>
      <c r="SCV4" s="14"/>
      <c r="SCW4" s="14"/>
      <c r="SCX4" s="14"/>
      <c r="SCY4" s="14"/>
      <c r="SCZ4" s="14"/>
      <c r="SDA4" s="14"/>
      <c r="SDB4" s="14"/>
      <c r="SDC4" s="14"/>
      <c r="SDD4" s="14"/>
      <c r="SDE4" s="14"/>
      <c r="SDF4" s="14"/>
      <c r="SDG4" s="14"/>
      <c r="SDH4" s="14"/>
      <c r="SDI4" s="14"/>
      <c r="SDJ4" s="14"/>
      <c r="SDK4" s="14"/>
      <c r="SDL4" s="14"/>
      <c r="SDM4" s="14"/>
      <c r="SDN4" s="14"/>
      <c r="SDO4" s="14"/>
      <c r="SDP4" s="14"/>
      <c r="SDQ4" s="14"/>
      <c r="SDR4" s="14"/>
      <c r="SDS4" s="14"/>
      <c r="SDT4" s="14"/>
      <c r="SDU4" s="14"/>
      <c r="SDV4" s="14"/>
      <c r="SDW4" s="14"/>
      <c r="SDX4" s="14"/>
      <c r="SDY4" s="14"/>
      <c r="SDZ4" s="14"/>
      <c r="SEA4" s="14"/>
      <c r="SEB4" s="14"/>
      <c r="SEC4" s="14"/>
      <c r="SED4" s="14"/>
      <c r="SEE4" s="14"/>
      <c r="SEF4" s="14"/>
      <c r="SEG4" s="14"/>
      <c r="SEH4" s="14"/>
      <c r="SEI4" s="14"/>
      <c r="SEJ4" s="14"/>
      <c r="SEK4" s="14"/>
      <c r="SEL4" s="14"/>
      <c r="SEM4" s="14"/>
      <c r="SEN4" s="14"/>
      <c r="SEO4" s="14"/>
      <c r="SEP4" s="14"/>
      <c r="SEQ4" s="14"/>
      <c r="SER4" s="14"/>
      <c r="SES4" s="14"/>
      <c r="SET4" s="14"/>
      <c r="SEU4" s="14"/>
      <c r="SEV4" s="14"/>
      <c r="SEW4" s="14"/>
      <c r="SEX4" s="14"/>
      <c r="SEY4" s="14"/>
      <c r="SEZ4" s="14"/>
      <c r="SFA4" s="14"/>
      <c r="SFB4" s="14"/>
      <c r="SFC4" s="14"/>
      <c r="SFD4" s="14"/>
      <c r="SFE4" s="14"/>
      <c r="SFF4" s="14"/>
      <c r="SFG4" s="14"/>
      <c r="SFH4" s="14"/>
      <c r="SFI4" s="14"/>
      <c r="SFJ4" s="14"/>
      <c r="SFK4" s="14"/>
      <c r="SFL4" s="14"/>
      <c r="SFM4" s="14"/>
      <c r="SFN4" s="14"/>
      <c r="SFO4" s="14"/>
      <c r="SFP4" s="14"/>
      <c r="SFQ4" s="14"/>
      <c r="SFR4" s="14"/>
      <c r="SFS4" s="14"/>
      <c r="SFT4" s="14"/>
      <c r="SFU4" s="14"/>
      <c r="SFV4" s="14"/>
      <c r="SFW4" s="14"/>
      <c r="SFX4" s="14"/>
      <c r="SFY4" s="14"/>
      <c r="SFZ4" s="14"/>
      <c r="SGA4" s="14"/>
      <c r="SGB4" s="14"/>
      <c r="SGC4" s="14"/>
      <c r="SGD4" s="14"/>
      <c r="SGE4" s="14"/>
      <c r="SGF4" s="14"/>
      <c r="SGG4" s="14"/>
      <c r="SGH4" s="14"/>
      <c r="SGI4" s="14"/>
      <c r="SGJ4" s="14"/>
      <c r="SGK4" s="14"/>
      <c r="SGL4" s="14"/>
      <c r="SGM4" s="14"/>
      <c r="SGN4" s="14"/>
      <c r="SGO4" s="14"/>
      <c r="SGP4" s="14"/>
      <c r="SGQ4" s="14"/>
      <c r="SGR4" s="14"/>
      <c r="SGS4" s="14"/>
      <c r="SGT4" s="14"/>
      <c r="SGU4" s="14"/>
      <c r="SGV4" s="14"/>
      <c r="SGW4" s="14"/>
      <c r="SGX4" s="14"/>
      <c r="SGY4" s="14"/>
      <c r="SGZ4" s="14"/>
      <c r="SHA4" s="14"/>
      <c r="SHB4" s="14"/>
      <c r="SHC4" s="14"/>
      <c r="SHD4" s="14"/>
      <c r="SHE4" s="14"/>
      <c r="SHF4" s="14"/>
      <c r="SHG4" s="14"/>
      <c r="SHH4" s="14"/>
      <c r="SHI4" s="14"/>
      <c r="SHJ4" s="14"/>
      <c r="SHK4" s="14"/>
      <c r="SHL4" s="14"/>
      <c r="SHM4" s="14"/>
      <c r="SHN4" s="14"/>
      <c r="SHO4" s="14"/>
      <c r="SHP4" s="14"/>
      <c r="SHQ4" s="14"/>
      <c r="SHR4" s="14"/>
      <c r="SHS4" s="14"/>
      <c r="SHT4" s="14"/>
      <c r="SHU4" s="14"/>
      <c r="SHV4" s="14"/>
      <c r="SHW4" s="14"/>
      <c r="SHX4" s="14"/>
      <c r="SHY4" s="14"/>
      <c r="SHZ4" s="14"/>
      <c r="SIA4" s="14"/>
      <c r="SIB4" s="14"/>
      <c r="SIC4" s="14"/>
      <c r="SID4" s="14"/>
      <c r="SIE4" s="14"/>
      <c r="SIF4" s="14"/>
      <c r="SIG4" s="14"/>
      <c r="SIH4" s="14"/>
      <c r="SII4" s="14"/>
      <c r="SIJ4" s="14"/>
      <c r="SIK4" s="14"/>
      <c r="SIL4" s="14"/>
      <c r="SIM4" s="14"/>
      <c r="SIN4" s="14"/>
      <c r="SIO4" s="14"/>
      <c r="SIP4" s="14"/>
      <c r="SIQ4" s="14"/>
      <c r="SIR4" s="14"/>
      <c r="SIS4" s="14"/>
      <c r="SIT4" s="14"/>
      <c r="SIU4" s="14"/>
      <c r="SIV4" s="14"/>
      <c r="SIW4" s="14"/>
      <c r="SIX4" s="14"/>
      <c r="SIY4" s="14"/>
      <c r="SIZ4" s="14"/>
      <c r="SJA4" s="14"/>
      <c r="SJB4" s="14"/>
      <c r="SJC4" s="14"/>
      <c r="SJD4" s="14"/>
      <c r="SJE4" s="14"/>
      <c r="SJF4" s="14"/>
      <c r="SJG4" s="14"/>
      <c r="SJH4" s="14"/>
      <c r="SJI4" s="14"/>
      <c r="SJJ4" s="14"/>
      <c r="SJK4" s="14"/>
      <c r="SJL4" s="14"/>
      <c r="SJM4" s="14"/>
      <c r="SJN4" s="14"/>
      <c r="SJO4" s="14"/>
      <c r="SJP4" s="14"/>
      <c r="SJQ4" s="14"/>
      <c r="SJR4" s="14"/>
      <c r="SJS4" s="14"/>
      <c r="SJT4" s="14"/>
      <c r="SJU4" s="14"/>
      <c r="SJV4" s="14"/>
      <c r="SJW4" s="14"/>
      <c r="SJX4" s="14"/>
      <c r="SJY4" s="14"/>
      <c r="SJZ4" s="14"/>
      <c r="SKA4" s="14"/>
      <c r="SKB4" s="14"/>
      <c r="SKC4" s="14"/>
      <c r="SKD4" s="14"/>
      <c r="SKE4" s="14"/>
      <c r="SKF4" s="14"/>
      <c r="SKG4" s="14"/>
      <c r="SKH4" s="14"/>
      <c r="SKI4" s="14"/>
      <c r="SKJ4" s="14"/>
      <c r="SKK4" s="14"/>
      <c r="SKL4" s="14"/>
      <c r="SKM4" s="14"/>
      <c r="SKN4" s="14"/>
      <c r="SKO4" s="14"/>
      <c r="SKP4" s="14"/>
      <c r="SKQ4" s="14"/>
      <c r="SKR4" s="14"/>
      <c r="SKS4" s="14"/>
      <c r="SKT4" s="14"/>
      <c r="SKU4" s="14"/>
      <c r="SKV4" s="14"/>
      <c r="SKW4" s="14"/>
      <c r="SKX4" s="14"/>
      <c r="SKY4" s="14"/>
      <c r="SKZ4" s="14"/>
      <c r="SLA4" s="14"/>
      <c r="SLB4" s="14"/>
      <c r="SLC4" s="14"/>
      <c r="SLD4" s="14"/>
      <c r="SLE4" s="14"/>
      <c r="SLF4" s="14"/>
      <c r="SLG4" s="14"/>
      <c r="SLH4" s="14"/>
      <c r="SLI4" s="14"/>
      <c r="SLJ4" s="14"/>
      <c r="SLK4" s="14"/>
      <c r="SLL4" s="14"/>
      <c r="SLM4" s="14"/>
      <c r="SLN4" s="14"/>
      <c r="SLO4" s="14"/>
      <c r="SLP4" s="14"/>
      <c r="SLQ4" s="14"/>
      <c r="SLR4" s="14"/>
      <c r="SLS4" s="14"/>
      <c r="SLT4" s="14"/>
      <c r="SLU4" s="14"/>
      <c r="SLV4" s="14"/>
      <c r="SLW4" s="14"/>
      <c r="SLX4" s="14"/>
      <c r="SLY4" s="14"/>
      <c r="SLZ4" s="14"/>
      <c r="SMA4" s="14"/>
      <c r="SMB4" s="14"/>
      <c r="SMC4" s="14"/>
      <c r="SMD4" s="14"/>
      <c r="SME4" s="14"/>
      <c r="SMF4" s="14"/>
      <c r="SMG4" s="14"/>
      <c r="SMH4" s="14"/>
      <c r="SMI4" s="14"/>
      <c r="SMJ4" s="14"/>
      <c r="SMK4" s="14"/>
      <c r="SML4" s="14"/>
      <c r="SMM4" s="14"/>
      <c r="SMN4" s="14"/>
      <c r="SMO4" s="14"/>
      <c r="SMP4" s="14"/>
      <c r="SMQ4" s="14"/>
      <c r="SMR4" s="14"/>
      <c r="SMS4" s="14"/>
      <c r="SMT4" s="14"/>
      <c r="SMU4" s="14"/>
      <c r="SMV4" s="14"/>
      <c r="SMW4" s="14"/>
      <c r="SMX4" s="14"/>
      <c r="SMY4" s="14"/>
      <c r="SMZ4" s="14"/>
      <c r="SNA4" s="14"/>
      <c r="SNB4" s="14"/>
      <c r="SNC4" s="14"/>
      <c r="SND4" s="14"/>
      <c r="SNE4" s="14"/>
      <c r="SNF4" s="14"/>
      <c r="SNG4" s="14"/>
      <c r="SNH4" s="14"/>
      <c r="SNI4" s="14"/>
      <c r="SNJ4" s="14"/>
      <c r="SNK4" s="14"/>
      <c r="SNL4" s="14"/>
      <c r="SNM4" s="14"/>
      <c r="SNN4" s="14"/>
      <c r="SNO4" s="14"/>
      <c r="SNP4" s="14"/>
      <c r="SNQ4" s="14"/>
      <c r="SNR4" s="14"/>
      <c r="SNS4" s="14"/>
      <c r="SNT4" s="14"/>
      <c r="SNU4" s="14"/>
      <c r="SNV4" s="14"/>
      <c r="SNW4" s="14"/>
      <c r="SNX4" s="14"/>
      <c r="SNY4" s="14"/>
      <c r="SNZ4" s="14"/>
      <c r="SOA4" s="14"/>
      <c r="SOB4" s="14"/>
      <c r="SOC4" s="14"/>
      <c r="SOD4" s="14"/>
      <c r="SOE4" s="14"/>
      <c r="SOF4" s="14"/>
      <c r="SOG4" s="14"/>
      <c r="SOH4" s="14"/>
      <c r="SOI4" s="14"/>
      <c r="SOJ4" s="14"/>
      <c r="SOK4" s="14"/>
      <c r="SOL4" s="14"/>
      <c r="SOM4" s="14"/>
      <c r="SON4" s="14"/>
      <c r="SOO4" s="14"/>
      <c r="SOP4" s="14"/>
      <c r="SOQ4" s="14"/>
      <c r="SOR4" s="14"/>
      <c r="SOS4" s="14"/>
      <c r="SOT4" s="14"/>
      <c r="SOU4" s="14"/>
      <c r="SOV4" s="14"/>
      <c r="SOW4" s="14"/>
      <c r="SOX4" s="14"/>
      <c r="SOY4" s="14"/>
      <c r="SOZ4" s="14"/>
      <c r="SPA4" s="14"/>
      <c r="SPB4" s="14"/>
      <c r="SPC4" s="14"/>
      <c r="SPD4" s="14"/>
      <c r="SPE4" s="14"/>
      <c r="SPF4" s="14"/>
      <c r="SPG4" s="14"/>
      <c r="SPH4" s="14"/>
      <c r="SPI4" s="14"/>
      <c r="SPJ4" s="14"/>
      <c r="SPK4" s="14"/>
      <c r="SPL4" s="14"/>
      <c r="SPM4" s="14"/>
      <c r="SPN4" s="14"/>
      <c r="SPO4" s="14"/>
      <c r="SPP4" s="14"/>
      <c r="SPQ4" s="14"/>
      <c r="SPR4" s="14"/>
      <c r="SPS4" s="14"/>
      <c r="SPT4" s="14"/>
      <c r="SPU4" s="14"/>
      <c r="SPV4" s="14"/>
      <c r="SPW4" s="14"/>
      <c r="SPX4" s="14"/>
      <c r="SPY4" s="14"/>
      <c r="SPZ4" s="14"/>
      <c r="SQA4" s="14"/>
      <c r="SQB4" s="14"/>
      <c r="SQC4" s="14"/>
      <c r="SQD4" s="14"/>
      <c r="SQE4" s="14"/>
      <c r="SQF4" s="14"/>
      <c r="SQG4" s="14"/>
      <c r="SQH4" s="14"/>
      <c r="SQI4" s="14"/>
      <c r="SQJ4" s="14"/>
      <c r="SQK4" s="14"/>
      <c r="SQL4" s="14"/>
      <c r="SQM4" s="14"/>
      <c r="SQN4" s="14"/>
      <c r="SQO4" s="14"/>
      <c r="SQP4" s="14"/>
      <c r="SQQ4" s="14"/>
      <c r="SQR4" s="14"/>
      <c r="SQS4" s="14"/>
      <c r="SQT4" s="14"/>
      <c r="SQU4" s="14"/>
      <c r="SQV4" s="14"/>
      <c r="SQW4" s="14"/>
      <c r="SQX4" s="14"/>
      <c r="SQY4" s="14"/>
      <c r="SQZ4" s="14"/>
      <c r="SRA4" s="14"/>
      <c r="SRB4" s="14"/>
      <c r="SRC4" s="14"/>
      <c r="SRD4" s="14"/>
      <c r="SRE4" s="14"/>
      <c r="SRF4" s="14"/>
      <c r="SRG4" s="14"/>
      <c r="SRH4" s="14"/>
      <c r="SRI4" s="14"/>
      <c r="SRJ4" s="14"/>
      <c r="SRK4" s="14"/>
      <c r="SRL4" s="14"/>
      <c r="SRM4" s="14"/>
      <c r="SRN4" s="14"/>
      <c r="SRO4" s="14"/>
      <c r="SRP4" s="14"/>
      <c r="SRQ4" s="14"/>
      <c r="SRR4" s="14"/>
      <c r="SRS4" s="14"/>
      <c r="SRT4" s="14"/>
      <c r="SRU4" s="14"/>
      <c r="SRV4" s="14"/>
      <c r="SRW4" s="14"/>
      <c r="SRX4" s="14"/>
      <c r="SRY4" s="14"/>
      <c r="SRZ4" s="14"/>
      <c r="SSA4" s="14"/>
      <c r="SSB4" s="14"/>
      <c r="SSC4" s="14"/>
      <c r="SSD4" s="14"/>
      <c r="SSE4" s="14"/>
      <c r="SSF4" s="14"/>
      <c r="SSG4" s="14"/>
      <c r="SSH4" s="14"/>
      <c r="SSI4" s="14"/>
      <c r="SSJ4" s="14"/>
      <c r="SSK4" s="14"/>
      <c r="SSL4" s="14"/>
      <c r="SSM4" s="14"/>
      <c r="SSN4" s="14"/>
      <c r="SSO4" s="14"/>
      <c r="SSP4" s="14"/>
      <c r="SSQ4" s="14"/>
      <c r="SSR4" s="14"/>
      <c r="SSS4" s="14"/>
      <c r="SST4" s="14"/>
      <c r="SSU4" s="14"/>
      <c r="SSV4" s="14"/>
      <c r="SSW4" s="14"/>
      <c r="SSX4" s="14"/>
      <c r="SSY4" s="14"/>
      <c r="SSZ4" s="14"/>
      <c r="STA4" s="14"/>
      <c r="STB4" s="14"/>
      <c r="STC4" s="14"/>
      <c r="STD4" s="14"/>
      <c r="STE4" s="14"/>
      <c r="STF4" s="14"/>
      <c r="STG4" s="14"/>
      <c r="STH4" s="14"/>
      <c r="STI4" s="14"/>
      <c r="STJ4" s="14"/>
      <c r="STK4" s="14"/>
      <c r="STL4" s="14"/>
      <c r="STM4" s="14"/>
      <c r="STN4" s="14"/>
      <c r="STO4" s="14"/>
      <c r="STP4" s="14"/>
      <c r="STQ4" s="14"/>
      <c r="STR4" s="14"/>
      <c r="STS4" s="14"/>
      <c r="STT4" s="14"/>
      <c r="STU4" s="14"/>
      <c r="STV4" s="14"/>
      <c r="STW4" s="14"/>
      <c r="STX4" s="14"/>
      <c r="STY4" s="14"/>
      <c r="STZ4" s="14"/>
      <c r="SUA4" s="14"/>
      <c r="SUB4" s="14"/>
      <c r="SUC4" s="14"/>
      <c r="SUD4" s="14"/>
      <c r="SUE4" s="14"/>
      <c r="SUF4" s="14"/>
      <c r="SUG4" s="14"/>
      <c r="SUH4" s="14"/>
      <c r="SUI4" s="14"/>
      <c r="SUJ4" s="14"/>
      <c r="SUK4" s="14"/>
      <c r="SUL4" s="14"/>
      <c r="SUM4" s="14"/>
      <c r="SUN4" s="14"/>
      <c r="SUO4" s="14"/>
      <c r="SUP4" s="14"/>
      <c r="SUQ4" s="14"/>
      <c r="SUR4" s="14"/>
      <c r="SUS4" s="14"/>
      <c r="SUT4" s="14"/>
      <c r="SUU4" s="14"/>
      <c r="SUV4" s="14"/>
      <c r="SUW4" s="14"/>
      <c r="SUX4" s="14"/>
      <c r="SUY4" s="14"/>
      <c r="SUZ4" s="14"/>
      <c r="SVA4" s="14"/>
      <c r="SVB4" s="14"/>
      <c r="SVC4" s="14"/>
      <c r="SVD4" s="14"/>
      <c r="SVE4" s="14"/>
      <c r="SVF4" s="14"/>
      <c r="SVG4" s="14"/>
      <c r="SVH4" s="14"/>
      <c r="SVI4" s="14"/>
      <c r="SVJ4" s="14"/>
      <c r="SVK4" s="14"/>
      <c r="SVL4" s="14"/>
      <c r="SVM4" s="14"/>
      <c r="SVN4" s="14"/>
      <c r="SVO4" s="14"/>
      <c r="SVP4" s="14"/>
      <c r="SVQ4" s="14"/>
      <c r="SVR4" s="14"/>
      <c r="SVS4" s="14"/>
      <c r="SVT4" s="14"/>
      <c r="SVU4" s="14"/>
      <c r="SVV4" s="14"/>
      <c r="SVW4" s="14"/>
      <c r="SVX4" s="14"/>
      <c r="SVY4" s="14"/>
      <c r="SVZ4" s="14"/>
      <c r="SWA4" s="14"/>
      <c r="SWB4" s="14"/>
      <c r="SWC4" s="14"/>
      <c r="SWD4" s="14"/>
      <c r="SWE4" s="14"/>
      <c r="SWF4" s="14"/>
      <c r="SWG4" s="14"/>
      <c r="SWH4" s="14"/>
      <c r="SWI4" s="14"/>
      <c r="SWJ4" s="14"/>
      <c r="SWK4" s="14"/>
      <c r="SWL4" s="14"/>
      <c r="SWM4" s="14"/>
      <c r="SWN4" s="14"/>
      <c r="SWO4" s="14"/>
      <c r="SWP4" s="14"/>
      <c r="SWQ4" s="14"/>
      <c r="SWR4" s="14"/>
      <c r="SWS4" s="14"/>
      <c r="SWT4" s="14"/>
      <c r="SWU4" s="14"/>
      <c r="SWV4" s="14"/>
      <c r="SWW4" s="14"/>
      <c r="SWX4" s="14"/>
      <c r="SWY4" s="14"/>
      <c r="SWZ4" s="14"/>
      <c r="SXA4" s="14"/>
      <c r="SXB4" s="14"/>
      <c r="SXC4" s="14"/>
      <c r="SXD4" s="14"/>
      <c r="SXE4" s="14"/>
      <c r="SXF4" s="14"/>
      <c r="SXG4" s="14"/>
      <c r="SXH4" s="14"/>
      <c r="SXI4" s="14"/>
      <c r="SXJ4" s="14"/>
      <c r="SXK4" s="14"/>
      <c r="SXL4" s="14"/>
      <c r="SXM4" s="14"/>
      <c r="SXN4" s="14"/>
      <c r="SXO4" s="14"/>
      <c r="SXP4" s="14"/>
      <c r="SXQ4" s="14"/>
      <c r="SXR4" s="14"/>
      <c r="SXS4" s="14"/>
      <c r="SXT4" s="14"/>
      <c r="SXU4" s="14"/>
      <c r="SXV4" s="14"/>
      <c r="SXW4" s="14"/>
      <c r="SXX4" s="14"/>
      <c r="SXY4" s="14"/>
      <c r="SXZ4" s="14"/>
      <c r="SYA4" s="14"/>
      <c r="SYB4" s="14"/>
      <c r="SYC4" s="14"/>
      <c r="SYD4" s="14"/>
      <c r="SYE4" s="14"/>
      <c r="SYF4" s="14"/>
      <c r="SYG4" s="14"/>
      <c r="SYH4" s="14"/>
      <c r="SYI4" s="14"/>
      <c r="SYJ4" s="14"/>
      <c r="SYK4" s="14"/>
      <c r="SYL4" s="14"/>
      <c r="SYM4" s="14"/>
      <c r="SYN4" s="14"/>
      <c r="SYO4" s="14"/>
      <c r="SYP4" s="14"/>
      <c r="SYQ4" s="14"/>
      <c r="SYR4" s="14"/>
      <c r="SYS4" s="14"/>
      <c r="SYT4" s="14"/>
      <c r="SYU4" s="14"/>
      <c r="SYV4" s="14"/>
      <c r="SYW4" s="14"/>
      <c r="SYX4" s="14"/>
      <c r="SYY4" s="14"/>
      <c r="SYZ4" s="14"/>
      <c r="SZA4" s="14"/>
      <c r="SZB4" s="14"/>
      <c r="SZC4" s="14"/>
      <c r="SZD4" s="14"/>
      <c r="SZE4" s="14"/>
      <c r="SZF4" s="14"/>
      <c r="SZG4" s="14"/>
      <c r="SZH4" s="14"/>
      <c r="SZI4" s="14"/>
      <c r="SZJ4" s="14"/>
      <c r="SZK4" s="14"/>
      <c r="SZL4" s="14"/>
      <c r="SZM4" s="14"/>
      <c r="SZN4" s="14"/>
      <c r="SZO4" s="14"/>
      <c r="SZP4" s="14"/>
      <c r="SZQ4" s="14"/>
      <c r="SZR4" s="14"/>
      <c r="SZS4" s="14"/>
      <c r="SZT4" s="14"/>
      <c r="SZU4" s="14"/>
      <c r="SZV4" s="14"/>
      <c r="SZW4" s="14"/>
      <c r="SZX4" s="14"/>
      <c r="SZY4" s="14"/>
      <c r="SZZ4" s="14"/>
      <c r="TAA4" s="14"/>
      <c r="TAB4" s="14"/>
      <c r="TAC4" s="14"/>
      <c r="TAD4" s="14"/>
      <c r="TAE4" s="14"/>
      <c r="TAF4" s="14"/>
      <c r="TAG4" s="14"/>
      <c r="TAH4" s="14"/>
      <c r="TAI4" s="14"/>
      <c r="TAJ4" s="14"/>
      <c r="TAK4" s="14"/>
      <c r="TAL4" s="14"/>
      <c r="TAM4" s="14"/>
      <c r="TAN4" s="14"/>
      <c r="TAO4" s="14"/>
      <c r="TAP4" s="14"/>
      <c r="TAQ4" s="14"/>
      <c r="TAR4" s="14"/>
      <c r="TAS4" s="14"/>
      <c r="TAT4" s="14"/>
      <c r="TAU4" s="14"/>
      <c r="TAV4" s="14"/>
      <c r="TAW4" s="14"/>
      <c r="TAX4" s="14"/>
      <c r="TAY4" s="14"/>
      <c r="TAZ4" s="14"/>
      <c r="TBA4" s="14"/>
      <c r="TBB4" s="14"/>
      <c r="TBC4" s="14"/>
      <c r="TBD4" s="14"/>
      <c r="TBE4" s="14"/>
      <c r="TBF4" s="14"/>
      <c r="TBG4" s="14"/>
      <c r="TBH4" s="14"/>
      <c r="TBI4" s="14"/>
      <c r="TBJ4" s="14"/>
      <c r="TBK4" s="14"/>
      <c r="TBL4" s="14"/>
      <c r="TBM4" s="14"/>
      <c r="TBN4" s="14"/>
      <c r="TBO4" s="14"/>
      <c r="TBP4" s="14"/>
      <c r="TBQ4" s="14"/>
      <c r="TBR4" s="14"/>
      <c r="TBS4" s="14"/>
      <c r="TBT4" s="14"/>
      <c r="TBU4" s="14"/>
      <c r="TBV4" s="14"/>
      <c r="TBW4" s="14"/>
      <c r="TBX4" s="14"/>
      <c r="TBY4" s="14"/>
      <c r="TBZ4" s="14"/>
      <c r="TCA4" s="14"/>
      <c r="TCB4" s="14"/>
      <c r="TCC4" s="14"/>
      <c r="TCD4" s="14"/>
      <c r="TCE4" s="14"/>
      <c r="TCF4" s="14"/>
      <c r="TCG4" s="14"/>
      <c r="TCH4" s="14"/>
      <c r="TCI4" s="14"/>
      <c r="TCJ4" s="14"/>
      <c r="TCK4" s="14"/>
      <c r="TCL4" s="14"/>
      <c r="TCM4" s="14"/>
      <c r="TCN4" s="14"/>
      <c r="TCO4" s="14"/>
      <c r="TCP4" s="14"/>
      <c r="TCQ4" s="14"/>
      <c r="TCR4" s="14"/>
      <c r="TCS4" s="14"/>
      <c r="TCT4" s="14"/>
      <c r="TCU4" s="14"/>
      <c r="TCV4" s="14"/>
      <c r="TCW4" s="14"/>
      <c r="TCX4" s="14"/>
      <c r="TCY4" s="14"/>
      <c r="TCZ4" s="14"/>
      <c r="TDA4" s="14"/>
      <c r="TDB4" s="14"/>
      <c r="TDC4" s="14"/>
      <c r="TDD4" s="14"/>
      <c r="TDE4" s="14"/>
      <c r="TDF4" s="14"/>
      <c r="TDG4" s="14"/>
      <c r="TDH4" s="14"/>
      <c r="TDI4" s="14"/>
      <c r="TDJ4" s="14"/>
      <c r="TDK4" s="14"/>
      <c r="TDL4" s="14"/>
      <c r="TDM4" s="14"/>
      <c r="TDN4" s="14"/>
      <c r="TDO4" s="14"/>
      <c r="TDP4" s="14"/>
      <c r="TDQ4" s="14"/>
      <c r="TDR4" s="14"/>
      <c r="TDS4" s="14"/>
      <c r="TDT4" s="14"/>
      <c r="TDU4" s="14"/>
      <c r="TDV4" s="14"/>
      <c r="TDW4" s="14"/>
      <c r="TDX4" s="14"/>
      <c r="TDY4" s="14"/>
      <c r="TDZ4" s="14"/>
      <c r="TEA4" s="14"/>
      <c r="TEB4" s="14"/>
      <c r="TEC4" s="14"/>
      <c r="TED4" s="14"/>
      <c r="TEE4" s="14"/>
      <c r="TEF4" s="14"/>
      <c r="TEG4" s="14"/>
      <c r="TEH4" s="14"/>
      <c r="TEI4" s="14"/>
      <c r="TEJ4" s="14"/>
      <c r="TEK4" s="14"/>
      <c r="TEL4" s="14"/>
      <c r="TEM4" s="14"/>
      <c r="TEN4" s="14"/>
      <c r="TEO4" s="14"/>
      <c r="TEP4" s="14"/>
      <c r="TEQ4" s="14"/>
      <c r="TER4" s="14"/>
      <c r="TES4" s="14"/>
      <c r="TET4" s="14"/>
      <c r="TEU4" s="14"/>
      <c r="TEV4" s="14"/>
      <c r="TEW4" s="14"/>
      <c r="TEX4" s="14"/>
      <c r="TEY4" s="14"/>
      <c r="TEZ4" s="14"/>
      <c r="TFA4" s="14"/>
      <c r="TFB4" s="14"/>
      <c r="TFC4" s="14"/>
      <c r="TFD4" s="14"/>
      <c r="TFE4" s="14"/>
      <c r="TFF4" s="14"/>
      <c r="TFG4" s="14"/>
      <c r="TFH4" s="14"/>
      <c r="TFI4" s="14"/>
      <c r="TFJ4" s="14"/>
      <c r="TFK4" s="14"/>
      <c r="TFL4" s="14"/>
      <c r="TFM4" s="14"/>
      <c r="TFN4" s="14"/>
      <c r="TFO4" s="14"/>
      <c r="TFP4" s="14"/>
      <c r="TFQ4" s="14"/>
      <c r="TFR4" s="14"/>
      <c r="TFS4" s="14"/>
      <c r="TFT4" s="14"/>
      <c r="TFU4" s="14"/>
      <c r="TFV4" s="14"/>
      <c r="TFW4" s="14"/>
      <c r="TFX4" s="14"/>
      <c r="TFY4" s="14"/>
      <c r="TFZ4" s="14"/>
      <c r="TGA4" s="14"/>
      <c r="TGB4" s="14"/>
      <c r="TGC4" s="14"/>
      <c r="TGD4" s="14"/>
      <c r="TGE4" s="14"/>
      <c r="TGF4" s="14"/>
      <c r="TGG4" s="14"/>
      <c r="TGH4" s="14"/>
      <c r="TGI4" s="14"/>
      <c r="TGJ4" s="14"/>
      <c r="TGK4" s="14"/>
      <c r="TGL4" s="14"/>
      <c r="TGM4" s="14"/>
      <c r="TGN4" s="14"/>
      <c r="TGO4" s="14"/>
      <c r="TGP4" s="14"/>
      <c r="TGQ4" s="14"/>
      <c r="TGR4" s="14"/>
      <c r="TGS4" s="14"/>
      <c r="TGT4" s="14"/>
      <c r="TGU4" s="14"/>
      <c r="TGV4" s="14"/>
      <c r="TGW4" s="14"/>
      <c r="TGX4" s="14"/>
      <c r="TGY4" s="14"/>
      <c r="TGZ4" s="14"/>
      <c r="THA4" s="14"/>
      <c r="THB4" s="14"/>
      <c r="THC4" s="14"/>
      <c r="THD4" s="14"/>
      <c r="THE4" s="14"/>
      <c r="THF4" s="14"/>
      <c r="THG4" s="14"/>
      <c r="THH4" s="14"/>
      <c r="THI4" s="14"/>
      <c r="THJ4" s="14"/>
      <c r="THK4" s="14"/>
      <c r="THL4" s="14"/>
      <c r="THM4" s="14"/>
      <c r="THN4" s="14"/>
      <c r="THO4" s="14"/>
      <c r="THP4" s="14"/>
      <c r="THQ4" s="14"/>
      <c r="THR4" s="14"/>
      <c r="THS4" s="14"/>
      <c r="THT4" s="14"/>
      <c r="THU4" s="14"/>
      <c r="THV4" s="14"/>
      <c r="THW4" s="14"/>
      <c r="THX4" s="14"/>
      <c r="THY4" s="14"/>
      <c r="THZ4" s="14"/>
      <c r="TIA4" s="14"/>
      <c r="TIB4" s="14"/>
      <c r="TIC4" s="14"/>
      <c r="TID4" s="14"/>
      <c r="TIE4" s="14"/>
      <c r="TIF4" s="14"/>
      <c r="TIG4" s="14"/>
      <c r="TIH4" s="14"/>
      <c r="TII4" s="14"/>
      <c r="TIJ4" s="14"/>
      <c r="TIK4" s="14"/>
      <c r="TIL4" s="14"/>
      <c r="TIM4" s="14"/>
      <c r="TIN4" s="14"/>
      <c r="TIO4" s="14"/>
      <c r="TIP4" s="14"/>
      <c r="TIQ4" s="14"/>
      <c r="TIR4" s="14"/>
      <c r="TIS4" s="14"/>
      <c r="TIT4" s="14"/>
      <c r="TIU4" s="14"/>
      <c r="TIV4" s="14"/>
      <c r="TIW4" s="14"/>
      <c r="TIX4" s="14"/>
      <c r="TIY4" s="14"/>
      <c r="TIZ4" s="14"/>
      <c r="TJA4" s="14"/>
      <c r="TJB4" s="14"/>
      <c r="TJC4" s="14"/>
      <c r="TJD4" s="14"/>
      <c r="TJE4" s="14"/>
      <c r="TJF4" s="14"/>
      <c r="TJG4" s="14"/>
      <c r="TJH4" s="14"/>
      <c r="TJI4" s="14"/>
      <c r="TJJ4" s="14"/>
      <c r="TJK4" s="14"/>
      <c r="TJL4" s="14"/>
      <c r="TJM4" s="14"/>
      <c r="TJN4" s="14"/>
      <c r="TJO4" s="14"/>
      <c r="TJP4" s="14"/>
      <c r="TJQ4" s="14"/>
      <c r="TJR4" s="14"/>
      <c r="TJS4" s="14"/>
      <c r="TJT4" s="14"/>
      <c r="TJU4" s="14"/>
      <c r="TJV4" s="14"/>
      <c r="TJW4" s="14"/>
      <c r="TJX4" s="14"/>
      <c r="TJY4" s="14"/>
      <c r="TJZ4" s="14"/>
      <c r="TKA4" s="14"/>
      <c r="TKB4" s="14"/>
      <c r="TKC4" s="14"/>
      <c r="TKD4" s="14"/>
      <c r="TKE4" s="14"/>
      <c r="TKF4" s="14"/>
      <c r="TKG4" s="14"/>
      <c r="TKH4" s="14"/>
      <c r="TKI4" s="14"/>
      <c r="TKJ4" s="14"/>
      <c r="TKK4" s="14"/>
      <c r="TKL4" s="14"/>
      <c r="TKM4" s="14"/>
      <c r="TKN4" s="14"/>
      <c r="TKO4" s="14"/>
      <c r="TKP4" s="14"/>
      <c r="TKQ4" s="14"/>
      <c r="TKR4" s="14"/>
      <c r="TKS4" s="14"/>
      <c r="TKT4" s="14"/>
      <c r="TKU4" s="14"/>
      <c r="TKV4" s="14"/>
      <c r="TKW4" s="14"/>
      <c r="TKX4" s="14"/>
      <c r="TKY4" s="14"/>
      <c r="TKZ4" s="14"/>
      <c r="TLA4" s="14"/>
      <c r="TLB4" s="14"/>
      <c r="TLC4" s="14"/>
      <c r="TLD4" s="14"/>
      <c r="TLE4" s="14"/>
      <c r="TLF4" s="14"/>
      <c r="TLG4" s="14"/>
      <c r="TLH4" s="14"/>
      <c r="TLI4" s="14"/>
      <c r="TLJ4" s="14"/>
      <c r="TLK4" s="14"/>
      <c r="TLL4" s="14"/>
      <c r="TLM4" s="14"/>
      <c r="TLN4" s="14"/>
      <c r="TLO4" s="14"/>
      <c r="TLP4" s="14"/>
      <c r="TLQ4" s="14"/>
      <c r="TLR4" s="14"/>
      <c r="TLS4" s="14"/>
      <c r="TLT4" s="14"/>
      <c r="TLU4" s="14"/>
      <c r="TLV4" s="14"/>
      <c r="TLW4" s="14"/>
      <c r="TLX4" s="14"/>
      <c r="TLY4" s="14"/>
      <c r="TLZ4" s="14"/>
      <c r="TMA4" s="14"/>
      <c r="TMB4" s="14"/>
      <c r="TMC4" s="14"/>
      <c r="TMD4" s="14"/>
      <c r="TME4" s="14"/>
      <c r="TMF4" s="14"/>
      <c r="TMG4" s="14"/>
      <c r="TMH4" s="14"/>
      <c r="TMI4" s="14"/>
      <c r="TMJ4" s="14"/>
      <c r="TMK4" s="14"/>
      <c r="TML4" s="14"/>
      <c r="TMM4" s="14"/>
      <c r="TMN4" s="14"/>
      <c r="TMO4" s="14"/>
      <c r="TMP4" s="14"/>
      <c r="TMQ4" s="14"/>
      <c r="TMR4" s="14"/>
      <c r="TMS4" s="14"/>
      <c r="TMT4" s="14"/>
      <c r="TMU4" s="14"/>
      <c r="TMV4" s="14"/>
      <c r="TMW4" s="14"/>
      <c r="TMX4" s="14"/>
      <c r="TMY4" s="14"/>
      <c r="TMZ4" s="14"/>
      <c r="TNA4" s="14"/>
      <c r="TNB4" s="14"/>
      <c r="TNC4" s="14"/>
      <c r="TND4" s="14"/>
      <c r="TNE4" s="14"/>
      <c r="TNF4" s="14"/>
      <c r="TNG4" s="14"/>
      <c r="TNH4" s="14"/>
      <c r="TNI4" s="14"/>
      <c r="TNJ4" s="14"/>
      <c r="TNK4" s="14"/>
      <c r="TNL4" s="14"/>
      <c r="TNM4" s="14"/>
      <c r="TNN4" s="14"/>
      <c r="TNO4" s="14"/>
      <c r="TNP4" s="14"/>
      <c r="TNQ4" s="14"/>
      <c r="TNR4" s="14"/>
      <c r="TNS4" s="14"/>
      <c r="TNT4" s="14"/>
      <c r="TNU4" s="14"/>
      <c r="TNV4" s="14"/>
      <c r="TNW4" s="14"/>
      <c r="TNX4" s="14"/>
      <c r="TNY4" s="14"/>
      <c r="TNZ4" s="14"/>
      <c r="TOA4" s="14"/>
      <c r="TOB4" s="14"/>
      <c r="TOC4" s="14"/>
      <c r="TOD4" s="14"/>
      <c r="TOE4" s="14"/>
      <c r="TOF4" s="14"/>
      <c r="TOG4" s="14"/>
      <c r="TOH4" s="14"/>
      <c r="TOI4" s="14"/>
      <c r="TOJ4" s="14"/>
      <c r="TOK4" s="14"/>
      <c r="TOL4" s="14"/>
      <c r="TOM4" s="14"/>
      <c r="TON4" s="14"/>
      <c r="TOO4" s="14"/>
      <c r="TOP4" s="14"/>
      <c r="TOQ4" s="14"/>
      <c r="TOR4" s="14"/>
      <c r="TOS4" s="14"/>
      <c r="TOT4" s="14"/>
      <c r="TOU4" s="14"/>
      <c r="TOV4" s="14"/>
      <c r="TOW4" s="14"/>
      <c r="TOX4" s="14"/>
      <c r="TOY4" s="14"/>
      <c r="TOZ4" s="14"/>
      <c r="TPA4" s="14"/>
      <c r="TPB4" s="14"/>
      <c r="TPC4" s="14"/>
      <c r="TPD4" s="14"/>
      <c r="TPE4" s="14"/>
      <c r="TPF4" s="14"/>
      <c r="TPG4" s="14"/>
      <c r="TPH4" s="14"/>
      <c r="TPI4" s="14"/>
      <c r="TPJ4" s="14"/>
      <c r="TPK4" s="14"/>
      <c r="TPL4" s="14"/>
      <c r="TPM4" s="14"/>
      <c r="TPN4" s="14"/>
      <c r="TPO4" s="14"/>
      <c r="TPP4" s="14"/>
      <c r="TPQ4" s="14"/>
      <c r="TPR4" s="14"/>
      <c r="TPS4" s="14"/>
      <c r="TPT4" s="14"/>
      <c r="TPU4" s="14"/>
      <c r="TPV4" s="14"/>
      <c r="TPW4" s="14"/>
      <c r="TPX4" s="14"/>
      <c r="TPY4" s="14"/>
      <c r="TPZ4" s="14"/>
      <c r="TQA4" s="14"/>
      <c r="TQB4" s="14"/>
      <c r="TQC4" s="14"/>
      <c r="TQD4" s="14"/>
      <c r="TQE4" s="14"/>
      <c r="TQF4" s="14"/>
      <c r="TQG4" s="14"/>
      <c r="TQH4" s="14"/>
      <c r="TQI4" s="14"/>
      <c r="TQJ4" s="14"/>
      <c r="TQK4" s="14"/>
      <c r="TQL4" s="14"/>
      <c r="TQM4" s="14"/>
      <c r="TQN4" s="14"/>
      <c r="TQO4" s="14"/>
      <c r="TQP4" s="14"/>
      <c r="TQQ4" s="14"/>
      <c r="TQR4" s="14"/>
      <c r="TQS4" s="14"/>
      <c r="TQT4" s="14"/>
      <c r="TQU4" s="14"/>
      <c r="TQV4" s="14"/>
      <c r="TQW4" s="14"/>
      <c r="TQX4" s="14"/>
      <c r="TQY4" s="14"/>
      <c r="TQZ4" s="14"/>
      <c r="TRA4" s="14"/>
      <c r="TRB4" s="14"/>
      <c r="TRC4" s="14"/>
      <c r="TRD4" s="14"/>
      <c r="TRE4" s="14"/>
      <c r="TRF4" s="14"/>
      <c r="TRG4" s="14"/>
      <c r="TRH4" s="14"/>
      <c r="TRI4" s="14"/>
      <c r="TRJ4" s="14"/>
      <c r="TRK4" s="14"/>
      <c r="TRL4" s="14"/>
      <c r="TRM4" s="14"/>
      <c r="TRN4" s="14"/>
      <c r="TRO4" s="14"/>
      <c r="TRP4" s="14"/>
      <c r="TRQ4" s="14"/>
      <c r="TRR4" s="14"/>
      <c r="TRS4" s="14"/>
      <c r="TRT4" s="14"/>
      <c r="TRU4" s="14"/>
      <c r="TRV4" s="14"/>
      <c r="TRW4" s="14"/>
      <c r="TRX4" s="14"/>
      <c r="TRY4" s="14"/>
      <c r="TRZ4" s="14"/>
      <c r="TSA4" s="14"/>
      <c r="TSB4" s="14"/>
      <c r="TSC4" s="14"/>
      <c r="TSD4" s="14"/>
      <c r="TSE4" s="14"/>
      <c r="TSF4" s="14"/>
      <c r="TSG4" s="14"/>
      <c r="TSH4" s="14"/>
      <c r="TSI4" s="14"/>
      <c r="TSJ4" s="14"/>
      <c r="TSK4" s="14"/>
      <c r="TSL4" s="14"/>
      <c r="TSM4" s="14"/>
      <c r="TSN4" s="14"/>
      <c r="TSO4" s="14"/>
      <c r="TSP4" s="14"/>
      <c r="TSQ4" s="14"/>
      <c r="TSR4" s="14"/>
      <c r="TSS4" s="14"/>
      <c r="TST4" s="14"/>
      <c r="TSU4" s="14"/>
      <c r="TSV4" s="14"/>
      <c r="TSW4" s="14"/>
      <c r="TSX4" s="14"/>
      <c r="TSY4" s="14"/>
      <c r="TSZ4" s="14"/>
      <c r="TTA4" s="14"/>
      <c r="TTB4" s="14"/>
      <c r="TTC4" s="14"/>
      <c r="TTD4" s="14"/>
      <c r="TTE4" s="14"/>
      <c r="TTF4" s="14"/>
      <c r="TTG4" s="14"/>
      <c r="TTH4" s="14"/>
      <c r="TTI4" s="14"/>
      <c r="TTJ4" s="14"/>
      <c r="TTK4" s="14"/>
      <c r="TTL4" s="14"/>
      <c r="TTM4" s="14"/>
      <c r="TTN4" s="14"/>
      <c r="TTO4" s="14"/>
      <c r="TTP4" s="14"/>
      <c r="TTQ4" s="14"/>
      <c r="TTR4" s="14"/>
      <c r="TTS4" s="14"/>
      <c r="TTT4" s="14"/>
      <c r="TTU4" s="14"/>
      <c r="TTV4" s="14"/>
      <c r="TTW4" s="14"/>
      <c r="TTX4" s="14"/>
      <c r="TTY4" s="14"/>
      <c r="TTZ4" s="14"/>
      <c r="TUA4" s="14"/>
      <c r="TUB4" s="14"/>
      <c r="TUC4" s="14"/>
      <c r="TUD4" s="14"/>
      <c r="TUE4" s="14"/>
      <c r="TUF4" s="14"/>
      <c r="TUG4" s="14"/>
      <c r="TUH4" s="14"/>
      <c r="TUI4" s="14"/>
      <c r="TUJ4" s="14"/>
      <c r="TUK4" s="14"/>
      <c r="TUL4" s="14"/>
      <c r="TUM4" s="14"/>
      <c r="TUN4" s="14"/>
      <c r="TUO4" s="14"/>
      <c r="TUP4" s="14"/>
      <c r="TUQ4" s="14"/>
      <c r="TUR4" s="14"/>
      <c r="TUS4" s="14"/>
      <c r="TUT4" s="14"/>
      <c r="TUU4" s="14"/>
      <c r="TUV4" s="14"/>
      <c r="TUW4" s="14"/>
      <c r="TUX4" s="14"/>
      <c r="TUY4" s="14"/>
      <c r="TUZ4" s="14"/>
      <c r="TVA4" s="14"/>
      <c r="TVB4" s="14"/>
      <c r="TVC4" s="14"/>
      <c r="TVD4" s="14"/>
      <c r="TVE4" s="14"/>
      <c r="TVF4" s="14"/>
      <c r="TVG4" s="14"/>
      <c r="TVH4" s="14"/>
      <c r="TVI4" s="14"/>
      <c r="TVJ4" s="14"/>
      <c r="TVK4" s="14"/>
      <c r="TVL4" s="14"/>
      <c r="TVM4" s="14"/>
      <c r="TVN4" s="14"/>
      <c r="TVO4" s="14"/>
      <c r="TVP4" s="14"/>
      <c r="TVQ4" s="14"/>
      <c r="TVR4" s="14"/>
      <c r="TVS4" s="14"/>
      <c r="TVT4" s="14"/>
      <c r="TVU4" s="14"/>
      <c r="TVV4" s="14"/>
      <c r="TVW4" s="14"/>
      <c r="TVX4" s="14"/>
      <c r="TVY4" s="14"/>
      <c r="TVZ4" s="14"/>
      <c r="TWA4" s="14"/>
      <c r="TWB4" s="14"/>
      <c r="TWC4" s="14"/>
      <c r="TWD4" s="14"/>
      <c r="TWE4" s="14"/>
      <c r="TWF4" s="14"/>
      <c r="TWG4" s="14"/>
      <c r="TWH4" s="14"/>
      <c r="TWI4" s="14"/>
      <c r="TWJ4" s="14"/>
      <c r="TWK4" s="14"/>
      <c r="TWL4" s="14"/>
      <c r="TWM4" s="14"/>
      <c r="TWN4" s="14"/>
      <c r="TWO4" s="14"/>
      <c r="TWP4" s="14"/>
      <c r="TWQ4" s="14"/>
      <c r="TWR4" s="14"/>
      <c r="TWS4" s="14"/>
      <c r="TWT4" s="14"/>
      <c r="TWU4" s="14"/>
      <c r="TWV4" s="14"/>
      <c r="TWW4" s="14"/>
      <c r="TWX4" s="14"/>
      <c r="TWY4" s="14"/>
      <c r="TWZ4" s="14"/>
      <c r="TXA4" s="14"/>
      <c r="TXB4" s="14"/>
      <c r="TXC4" s="14"/>
      <c r="TXD4" s="14"/>
      <c r="TXE4" s="14"/>
      <c r="TXF4" s="14"/>
      <c r="TXG4" s="14"/>
      <c r="TXH4" s="14"/>
      <c r="TXI4" s="14"/>
      <c r="TXJ4" s="14"/>
      <c r="TXK4" s="14"/>
      <c r="TXL4" s="14"/>
      <c r="TXM4" s="14"/>
      <c r="TXN4" s="14"/>
      <c r="TXO4" s="14"/>
      <c r="TXP4" s="14"/>
      <c r="TXQ4" s="14"/>
      <c r="TXR4" s="14"/>
      <c r="TXS4" s="14"/>
      <c r="TXT4" s="14"/>
      <c r="TXU4" s="14"/>
      <c r="TXV4" s="14"/>
      <c r="TXW4" s="14"/>
      <c r="TXX4" s="14"/>
      <c r="TXY4" s="14"/>
      <c r="TXZ4" s="14"/>
      <c r="TYA4" s="14"/>
      <c r="TYB4" s="14"/>
      <c r="TYC4" s="14"/>
      <c r="TYD4" s="14"/>
      <c r="TYE4" s="14"/>
      <c r="TYF4" s="14"/>
      <c r="TYG4" s="14"/>
      <c r="TYH4" s="14"/>
      <c r="TYI4" s="14"/>
      <c r="TYJ4" s="14"/>
      <c r="TYK4" s="14"/>
      <c r="TYL4" s="14"/>
      <c r="TYM4" s="14"/>
      <c r="TYN4" s="14"/>
      <c r="TYO4" s="14"/>
      <c r="TYP4" s="14"/>
      <c r="TYQ4" s="14"/>
      <c r="TYR4" s="14"/>
      <c r="TYS4" s="14"/>
      <c r="TYT4" s="14"/>
      <c r="TYU4" s="14"/>
      <c r="TYV4" s="14"/>
      <c r="TYW4" s="14"/>
      <c r="TYX4" s="14"/>
      <c r="TYY4" s="14"/>
      <c r="TYZ4" s="14"/>
      <c r="TZA4" s="14"/>
      <c r="TZB4" s="14"/>
      <c r="TZC4" s="14"/>
      <c r="TZD4" s="14"/>
      <c r="TZE4" s="14"/>
      <c r="TZF4" s="14"/>
      <c r="TZG4" s="14"/>
      <c r="TZH4" s="14"/>
      <c r="TZI4" s="14"/>
      <c r="TZJ4" s="14"/>
      <c r="TZK4" s="14"/>
      <c r="TZL4" s="14"/>
      <c r="TZM4" s="14"/>
      <c r="TZN4" s="14"/>
      <c r="TZO4" s="14"/>
      <c r="TZP4" s="14"/>
      <c r="TZQ4" s="14"/>
      <c r="TZR4" s="14"/>
      <c r="TZS4" s="14"/>
      <c r="TZT4" s="14"/>
      <c r="TZU4" s="14"/>
      <c r="TZV4" s="14"/>
      <c r="TZW4" s="14"/>
      <c r="TZX4" s="14"/>
      <c r="TZY4" s="14"/>
      <c r="TZZ4" s="14"/>
      <c r="UAA4" s="14"/>
      <c r="UAB4" s="14"/>
      <c r="UAC4" s="14"/>
      <c r="UAD4" s="14"/>
      <c r="UAE4" s="14"/>
      <c r="UAF4" s="14"/>
      <c r="UAG4" s="14"/>
      <c r="UAH4" s="14"/>
      <c r="UAI4" s="14"/>
      <c r="UAJ4" s="14"/>
      <c r="UAK4" s="14"/>
      <c r="UAL4" s="14"/>
      <c r="UAM4" s="14"/>
      <c r="UAN4" s="14"/>
      <c r="UAO4" s="14"/>
      <c r="UAP4" s="14"/>
      <c r="UAQ4" s="14"/>
      <c r="UAR4" s="14"/>
      <c r="UAS4" s="14"/>
      <c r="UAT4" s="14"/>
      <c r="UAU4" s="14"/>
      <c r="UAV4" s="14"/>
      <c r="UAW4" s="14"/>
      <c r="UAX4" s="14"/>
      <c r="UAY4" s="14"/>
      <c r="UAZ4" s="14"/>
      <c r="UBA4" s="14"/>
      <c r="UBB4" s="14"/>
      <c r="UBC4" s="14"/>
      <c r="UBD4" s="14"/>
      <c r="UBE4" s="14"/>
      <c r="UBF4" s="14"/>
      <c r="UBG4" s="14"/>
      <c r="UBH4" s="14"/>
      <c r="UBI4" s="14"/>
      <c r="UBJ4" s="14"/>
      <c r="UBK4" s="14"/>
      <c r="UBL4" s="14"/>
      <c r="UBM4" s="14"/>
      <c r="UBN4" s="14"/>
      <c r="UBO4" s="14"/>
      <c r="UBP4" s="14"/>
      <c r="UBQ4" s="14"/>
      <c r="UBR4" s="14"/>
      <c r="UBS4" s="14"/>
      <c r="UBT4" s="14"/>
      <c r="UBU4" s="14"/>
      <c r="UBV4" s="14"/>
      <c r="UBW4" s="14"/>
      <c r="UBX4" s="14"/>
      <c r="UBY4" s="14"/>
      <c r="UBZ4" s="14"/>
      <c r="UCA4" s="14"/>
      <c r="UCB4" s="14"/>
      <c r="UCC4" s="14"/>
      <c r="UCD4" s="14"/>
      <c r="UCE4" s="14"/>
      <c r="UCF4" s="14"/>
      <c r="UCG4" s="14"/>
      <c r="UCH4" s="14"/>
      <c r="UCI4" s="14"/>
      <c r="UCJ4" s="14"/>
      <c r="UCK4" s="14"/>
      <c r="UCL4" s="14"/>
      <c r="UCM4" s="14"/>
      <c r="UCN4" s="14"/>
      <c r="UCO4" s="14"/>
      <c r="UCP4" s="14"/>
      <c r="UCQ4" s="14"/>
      <c r="UCR4" s="14"/>
      <c r="UCS4" s="14"/>
      <c r="UCT4" s="14"/>
      <c r="UCU4" s="14"/>
      <c r="UCV4" s="14"/>
      <c r="UCW4" s="14"/>
      <c r="UCX4" s="14"/>
      <c r="UCY4" s="14"/>
      <c r="UCZ4" s="14"/>
      <c r="UDA4" s="14"/>
      <c r="UDB4" s="14"/>
      <c r="UDC4" s="14"/>
      <c r="UDD4" s="14"/>
      <c r="UDE4" s="14"/>
      <c r="UDF4" s="14"/>
      <c r="UDG4" s="14"/>
      <c r="UDH4" s="14"/>
      <c r="UDI4" s="14"/>
      <c r="UDJ4" s="14"/>
      <c r="UDK4" s="14"/>
      <c r="UDL4" s="14"/>
      <c r="UDM4" s="14"/>
      <c r="UDN4" s="14"/>
      <c r="UDO4" s="14"/>
      <c r="UDP4" s="14"/>
      <c r="UDQ4" s="14"/>
      <c r="UDR4" s="14"/>
      <c r="UDS4" s="14"/>
      <c r="UDT4" s="14"/>
      <c r="UDU4" s="14"/>
      <c r="UDV4" s="14"/>
      <c r="UDW4" s="14"/>
      <c r="UDX4" s="14"/>
      <c r="UDY4" s="14"/>
      <c r="UDZ4" s="14"/>
      <c r="UEA4" s="14"/>
      <c r="UEB4" s="14"/>
      <c r="UEC4" s="14"/>
      <c r="UED4" s="14"/>
      <c r="UEE4" s="14"/>
      <c r="UEF4" s="14"/>
      <c r="UEG4" s="14"/>
      <c r="UEH4" s="14"/>
      <c r="UEI4" s="14"/>
      <c r="UEJ4" s="14"/>
      <c r="UEK4" s="14"/>
      <c r="UEL4" s="14"/>
      <c r="UEM4" s="14"/>
      <c r="UEN4" s="14"/>
      <c r="UEO4" s="14"/>
      <c r="UEP4" s="14"/>
      <c r="UEQ4" s="14"/>
      <c r="UER4" s="14"/>
      <c r="UES4" s="14"/>
      <c r="UET4" s="14"/>
      <c r="UEU4" s="14"/>
      <c r="UEV4" s="14"/>
      <c r="UEW4" s="14"/>
      <c r="UEX4" s="14"/>
      <c r="UEY4" s="14"/>
      <c r="UEZ4" s="14"/>
      <c r="UFA4" s="14"/>
      <c r="UFB4" s="14"/>
      <c r="UFC4" s="14"/>
      <c r="UFD4" s="14"/>
      <c r="UFE4" s="14"/>
      <c r="UFF4" s="14"/>
      <c r="UFG4" s="14"/>
      <c r="UFH4" s="14"/>
      <c r="UFI4" s="14"/>
      <c r="UFJ4" s="14"/>
      <c r="UFK4" s="14"/>
      <c r="UFL4" s="14"/>
      <c r="UFM4" s="14"/>
      <c r="UFN4" s="14"/>
      <c r="UFO4" s="14"/>
      <c r="UFP4" s="14"/>
      <c r="UFQ4" s="14"/>
      <c r="UFR4" s="14"/>
      <c r="UFS4" s="14"/>
      <c r="UFT4" s="14"/>
      <c r="UFU4" s="14"/>
      <c r="UFV4" s="14"/>
      <c r="UFW4" s="14"/>
      <c r="UFX4" s="14"/>
      <c r="UFY4" s="14"/>
      <c r="UFZ4" s="14"/>
      <c r="UGA4" s="14"/>
      <c r="UGB4" s="14"/>
      <c r="UGC4" s="14"/>
      <c r="UGD4" s="14"/>
      <c r="UGE4" s="14"/>
      <c r="UGF4" s="14"/>
      <c r="UGG4" s="14"/>
      <c r="UGH4" s="14"/>
      <c r="UGI4" s="14"/>
      <c r="UGJ4" s="14"/>
      <c r="UGK4" s="14"/>
      <c r="UGL4" s="14"/>
      <c r="UGM4" s="14"/>
      <c r="UGN4" s="14"/>
      <c r="UGO4" s="14"/>
      <c r="UGP4" s="14"/>
      <c r="UGQ4" s="14"/>
      <c r="UGR4" s="14"/>
      <c r="UGS4" s="14"/>
      <c r="UGT4" s="14"/>
      <c r="UGU4" s="14"/>
      <c r="UGV4" s="14"/>
      <c r="UGW4" s="14"/>
      <c r="UGX4" s="14"/>
      <c r="UGY4" s="14"/>
      <c r="UGZ4" s="14"/>
      <c r="UHA4" s="14"/>
      <c r="UHB4" s="14"/>
      <c r="UHC4" s="14"/>
      <c r="UHD4" s="14"/>
      <c r="UHE4" s="14"/>
      <c r="UHF4" s="14"/>
      <c r="UHG4" s="14"/>
      <c r="UHH4" s="14"/>
      <c r="UHI4" s="14"/>
      <c r="UHJ4" s="14"/>
      <c r="UHK4" s="14"/>
      <c r="UHL4" s="14"/>
      <c r="UHM4" s="14"/>
      <c r="UHN4" s="14"/>
      <c r="UHO4" s="14"/>
      <c r="UHP4" s="14"/>
      <c r="UHQ4" s="14"/>
      <c r="UHR4" s="14"/>
      <c r="UHS4" s="14"/>
      <c r="UHT4" s="14"/>
      <c r="UHU4" s="14"/>
      <c r="UHV4" s="14"/>
      <c r="UHW4" s="14"/>
      <c r="UHX4" s="14"/>
      <c r="UHY4" s="14"/>
      <c r="UHZ4" s="14"/>
      <c r="UIA4" s="14"/>
      <c r="UIB4" s="14"/>
      <c r="UIC4" s="14"/>
      <c r="UID4" s="14"/>
      <c r="UIE4" s="14"/>
      <c r="UIF4" s="14"/>
      <c r="UIG4" s="14"/>
      <c r="UIH4" s="14"/>
      <c r="UII4" s="14"/>
      <c r="UIJ4" s="14"/>
      <c r="UIK4" s="14"/>
      <c r="UIL4" s="14"/>
      <c r="UIM4" s="14"/>
      <c r="UIN4" s="14"/>
      <c r="UIO4" s="14"/>
      <c r="UIP4" s="14"/>
      <c r="UIQ4" s="14"/>
      <c r="UIR4" s="14"/>
      <c r="UIS4" s="14"/>
      <c r="UIT4" s="14"/>
      <c r="UIU4" s="14"/>
      <c r="UIV4" s="14"/>
      <c r="UIW4" s="14"/>
      <c r="UIX4" s="14"/>
      <c r="UIY4" s="14"/>
      <c r="UIZ4" s="14"/>
      <c r="UJA4" s="14"/>
      <c r="UJB4" s="14"/>
      <c r="UJC4" s="14"/>
      <c r="UJD4" s="14"/>
      <c r="UJE4" s="14"/>
      <c r="UJF4" s="14"/>
      <c r="UJG4" s="14"/>
      <c r="UJH4" s="14"/>
      <c r="UJI4" s="14"/>
      <c r="UJJ4" s="14"/>
      <c r="UJK4" s="14"/>
      <c r="UJL4" s="14"/>
      <c r="UJM4" s="14"/>
      <c r="UJN4" s="14"/>
      <c r="UJO4" s="14"/>
      <c r="UJP4" s="14"/>
      <c r="UJQ4" s="14"/>
      <c r="UJR4" s="14"/>
      <c r="UJS4" s="14"/>
      <c r="UJT4" s="14"/>
      <c r="UJU4" s="14"/>
      <c r="UJV4" s="14"/>
      <c r="UJW4" s="14"/>
      <c r="UJX4" s="14"/>
      <c r="UJY4" s="14"/>
      <c r="UJZ4" s="14"/>
      <c r="UKA4" s="14"/>
      <c r="UKB4" s="14"/>
      <c r="UKC4" s="14"/>
      <c r="UKD4" s="14"/>
      <c r="UKE4" s="14"/>
      <c r="UKF4" s="14"/>
      <c r="UKG4" s="14"/>
      <c r="UKH4" s="14"/>
      <c r="UKI4" s="14"/>
      <c r="UKJ4" s="14"/>
      <c r="UKK4" s="14"/>
      <c r="UKL4" s="14"/>
      <c r="UKM4" s="14"/>
      <c r="UKN4" s="14"/>
      <c r="UKO4" s="14"/>
      <c r="UKP4" s="14"/>
      <c r="UKQ4" s="14"/>
      <c r="UKR4" s="14"/>
      <c r="UKS4" s="14"/>
      <c r="UKT4" s="14"/>
      <c r="UKU4" s="14"/>
      <c r="UKV4" s="14"/>
      <c r="UKW4" s="14"/>
      <c r="UKX4" s="14"/>
      <c r="UKY4" s="14"/>
      <c r="UKZ4" s="14"/>
      <c r="ULA4" s="14"/>
      <c r="ULB4" s="14"/>
      <c r="ULC4" s="14"/>
      <c r="ULD4" s="14"/>
      <c r="ULE4" s="14"/>
      <c r="ULF4" s="14"/>
      <c r="ULG4" s="14"/>
      <c r="ULH4" s="14"/>
      <c r="ULI4" s="14"/>
      <c r="ULJ4" s="14"/>
      <c r="ULK4" s="14"/>
      <c r="ULL4" s="14"/>
      <c r="ULM4" s="14"/>
      <c r="ULN4" s="14"/>
      <c r="ULO4" s="14"/>
      <c r="ULP4" s="14"/>
      <c r="ULQ4" s="14"/>
      <c r="ULR4" s="14"/>
      <c r="ULS4" s="14"/>
      <c r="ULT4" s="14"/>
      <c r="ULU4" s="14"/>
      <c r="ULV4" s="14"/>
      <c r="ULW4" s="14"/>
      <c r="ULX4" s="14"/>
      <c r="ULY4" s="14"/>
      <c r="ULZ4" s="14"/>
      <c r="UMA4" s="14"/>
      <c r="UMB4" s="14"/>
      <c r="UMC4" s="14"/>
      <c r="UMD4" s="14"/>
      <c r="UME4" s="14"/>
      <c r="UMF4" s="14"/>
      <c r="UMG4" s="14"/>
      <c r="UMH4" s="14"/>
      <c r="UMI4" s="14"/>
      <c r="UMJ4" s="14"/>
      <c r="UMK4" s="14"/>
      <c r="UML4" s="14"/>
      <c r="UMM4" s="14"/>
      <c r="UMN4" s="14"/>
      <c r="UMO4" s="14"/>
      <c r="UMP4" s="14"/>
      <c r="UMQ4" s="14"/>
      <c r="UMR4" s="14"/>
      <c r="UMS4" s="14"/>
      <c r="UMT4" s="14"/>
      <c r="UMU4" s="14"/>
      <c r="UMV4" s="14"/>
      <c r="UMW4" s="14"/>
      <c r="UMX4" s="14"/>
      <c r="UMY4" s="14"/>
      <c r="UMZ4" s="14"/>
      <c r="UNA4" s="14"/>
      <c r="UNB4" s="14"/>
      <c r="UNC4" s="14"/>
      <c r="UND4" s="14"/>
      <c r="UNE4" s="14"/>
      <c r="UNF4" s="14"/>
      <c r="UNG4" s="14"/>
      <c r="UNH4" s="14"/>
      <c r="UNI4" s="14"/>
      <c r="UNJ4" s="14"/>
      <c r="UNK4" s="14"/>
      <c r="UNL4" s="14"/>
      <c r="UNM4" s="14"/>
      <c r="UNN4" s="14"/>
      <c r="UNO4" s="14"/>
      <c r="UNP4" s="14"/>
      <c r="UNQ4" s="14"/>
      <c r="UNR4" s="14"/>
      <c r="UNS4" s="14"/>
      <c r="UNT4" s="14"/>
      <c r="UNU4" s="14"/>
      <c r="UNV4" s="14"/>
      <c r="UNW4" s="14"/>
      <c r="UNX4" s="14"/>
      <c r="UNY4" s="14"/>
      <c r="UNZ4" s="14"/>
      <c r="UOA4" s="14"/>
      <c r="UOB4" s="14"/>
      <c r="UOC4" s="14"/>
      <c r="UOD4" s="14"/>
      <c r="UOE4" s="14"/>
      <c r="UOF4" s="14"/>
      <c r="UOG4" s="14"/>
      <c r="UOH4" s="14"/>
      <c r="UOI4" s="14"/>
      <c r="UOJ4" s="14"/>
      <c r="UOK4" s="14"/>
      <c r="UOL4" s="14"/>
      <c r="UOM4" s="14"/>
      <c r="UON4" s="14"/>
      <c r="UOO4" s="14"/>
      <c r="UOP4" s="14"/>
      <c r="UOQ4" s="14"/>
      <c r="UOR4" s="14"/>
      <c r="UOS4" s="14"/>
      <c r="UOT4" s="14"/>
      <c r="UOU4" s="14"/>
      <c r="UOV4" s="14"/>
      <c r="UOW4" s="14"/>
      <c r="UOX4" s="14"/>
      <c r="UOY4" s="14"/>
      <c r="UOZ4" s="14"/>
      <c r="UPA4" s="14"/>
      <c r="UPB4" s="14"/>
      <c r="UPC4" s="14"/>
      <c r="UPD4" s="14"/>
      <c r="UPE4" s="14"/>
      <c r="UPF4" s="14"/>
      <c r="UPG4" s="14"/>
      <c r="UPH4" s="14"/>
      <c r="UPI4" s="14"/>
      <c r="UPJ4" s="14"/>
      <c r="UPK4" s="14"/>
      <c r="UPL4" s="14"/>
      <c r="UPM4" s="14"/>
      <c r="UPN4" s="14"/>
      <c r="UPO4" s="14"/>
      <c r="UPP4" s="14"/>
      <c r="UPQ4" s="14"/>
      <c r="UPR4" s="14"/>
      <c r="UPS4" s="14"/>
      <c r="UPT4" s="14"/>
      <c r="UPU4" s="14"/>
      <c r="UPV4" s="14"/>
      <c r="UPW4" s="14"/>
      <c r="UPX4" s="14"/>
      <c r="UPY4" s="14"/>
      <c r="UPZ4" s="14"/>
      <c r="UQA4" s="14"/>
      <c r="UQB4" s="14"/>
      <c r="UQC4" s="14"/>
      <c r="UQD4" s="14"/>
      <c r="UQE4" s="14"/>
      <c r="UQF4" s="14"/>
      <c r="UQG4" s="14"/>
      <c r="UQH4" s="14"/>
      <c r="UQI4" s="14"/>
      <c r="UQJ4" s="14"/>
      <c r="UQK4" s="14"/>
      <c r="UQL4" s="14"/>
      <c r="UQM4" s="14"/>
      <c r="UQN4" s="14"/>
      <c r="UQO4" s="14"/>
      <c r="UQP4" s="14"/>
      <c r="UQQ4" s="14"/>
      <c r="UQR4" s="14"/>
      <c r="UQS4" s="14"/>
      <c r="UQT4" s="14"/>
      <c r="UQU4" s="14"/>
      <c r="UQV4" s="14"/>
      <c r="UQW4" s="14"/>
      <c r="UQX4" s="14"/>
      <c r="UQY4" s="14"/>
      <c r="UQZ4" s="14"/>
      <c r="URA4" s="14"/>
      <c r="URB4" s="14"/>
      <c r="URC4" s="14"/>
      <c r="URD4" s="14"/>
      <c r="URE4" s="14"/>
      <c r="URF4" s="14"/>
      <c r="URG4" s="14"/>
      <c r="URH4" s="14"/>
      <c r="URI4" s="14"/>
      <c r="URJ4" s="14"/>
      <c r="URK4" s="14"/>
      <c r="URL4" s="14"/>
      <c r="URM4" s="14"/>
      <c r="URN4" s="14"/>
      <c r="URO4" s="14"/>
      <c r="URP4" s="14"/>
      <c r="URQ4" s="14"/>
      <c r="URR4" s="14"/>
      <c r="URS4" s="14"/>
      <c r="URT4" s="14"/>
      <c r="URU4" s="14"/>
      <c r="URV4" s="14"/>
      <c r="URW4" s="14"/>
      <c r="URX4" s="14"/>
      <c r="URY4" s="14"/>
      <c r="URZ4" s="14"/>
      <c r="USA4" s="14"/>
      <c r="USB4" s="14"/>
      <c r="USC4" s="14"/>
      <c r="USD4" s="14"/>
      <c r="USE4" s="14"/>
      <c r="USF4" s="14"/>
      <c r="USG4" s="14"/>
      <c r="USH4" s="14"/>
      <c r="USI4" s="14"/>
      <c r="USJ4" s="14"/>
      <c r="USK4" s="14"/>
      <c r="USL4" s="14"/>
      <c r="USM4" s="14"/>
      <c r="USN4" s="14"/>
      <c r="USO4" s="14"/>
      <c r="USP4" s="14"/>
      <c r="USQ4" s="14"/>
      <c r="USR4" s="14"/>
      <c r="USS4" s="14"/>
      <c r="UST4" s="14"/>
      <c r="USU4" s="14"/>
      <c r="USV4" s="14"/>
      <c r="USW4" s="14"/>
      <c r="USX4" s="14"/>
      <c r="USY4" s="14"/>
      <c r="USZ4" s="14"/>
      <c r="UTA4" s="14"/>
      <c r="UTB4" s="14"/>
      <c r="UTC4" s="14"/>
      <c r="UTD4" s="14"/>
      <c r="UTE4" s="14"/>
      <c r="UTF4" s="14"/>
      <c r="UTG4" s="14"/>
      <c r="UTH4" s="14"/>
      <c r="UTI4" s="14"/>
      <c r="UTJ4" s="14"/>
      <c r="UTK4" s="14"/>
      <c r="UTL4" s="14"/>
      <c r="UTM4" s="14"/>
      <c r="UTN4" s="14"/>
      <c r="UTO4" s="14"/>
      <c r="UTP4" s="14"/>
      <c r="UTQ4" s="14"/>
      <c r="UTR4" s="14"/>
      <c r="UTS4" s="14"/>
      <c r="UTT4" s="14"/>
      <c r="UTU4" s="14"/>
      <c r="UTV4" s="14"/>
      <c r="UTW4" s="14"/>
      <c r="UTX4" s="14"/>
      <c r="UTY4" s="14"/>
      <c r="UTZ4" s="14"/>
      <c r="UUA4" s="14"/>
      <c r="UUB4" s="14"/>
      <c r="UUC4" s="14"/>
      <c r="UUD4" s="14"/>
      <c r="UUE4" s="14"/>
      <c r="UUF4" s="14"/>
      <c r="UUG4" s="14"/>
      <c r="UUH4" s="14"/>
      <c r="UUI4" s="14"/>
      <c r="UUJ4" s="14"/>
      <c r="UUK4" s="14"/>
      <c r="UUL4" s="14"/>
      <c r="UUM4" s="14"/>
      <c r="UUN4" s="14"/>
      <c r="UUO4" s="14"/>
      <c r="UUP4" s="14"/>
      <c r="UUQ4" s="14"/>
      <c r="UUR4" s="14"/>
      <c r="UUS4" s="14"/>
      <c r="UUT4" s="14"/>
      <c r="UUU4" s="14"/>
      <c r="UUV4" s="14"/>
      <c r="UUW4" s="14"/>
      <c r="UUX4" s="14"/>
      <c r="UUY4" s="14"/>
      <c r="UUZ4" s="14"/>
      <c r="UVA4" s="14"/>
      <c r="UVB4" s="14"/>
      <c r="UVC4" s="14"/>
      <c r="UVD4" s="14"/>
      <c r="UVE4" s="14"/>
      <c r="UVF4" s="14"/>
      <c r="UVG4" s="14"/>
      <c r="UVH4" s="14"/>
      <c r="UVI4" s="14"/>
      <c r="UVJ4" s="14"/>
      <c r="UVK4" s="14"/>
      <c r="UVL4" s="14"/>
      <c r="UVM4" s="14"/>
      <c r="UVN4" s="14"/>
      <c r="UVO4" s="14"/>
      <c r="UVP4" s="14"/>
      <c r="UVQ4" s="14"/>
      <c r="UVR4" s="14"/>
      <c r="UVS4" s="14"/>
      <c r="UVT4" s="14"/>
      <c r="UVU4" s="14"/>
      <c r="UVV4" s="14"/>
      <c r="UVW4" s="14"/>
      <c r="UVX4" s="14"/>
      <c r="UVY4" s="14"/>
      <c r="UVZ4" s="14"/>
      <c r="UWA4" s="14"/>
      <c r="UWB4" s="14"/>
      <c r="UWC4" s="14"/>
      <c r="UWD4" s="14"/>
      <c r="UWE4" s="14"/>
      <c r="UWF4" s="14"/>
      <c r="UWG4" s="14"/>
      <c r="UWH4" s="14"/>
      <c r="UWI4" s="14"/>
      <c r="UWJ4" s="14"/>
      <c r="UWK4" s="14"/>
      <c r="UWL4" s="14"/>
      <c r="UWM4" s="14"/>
      <c r="UWN4" s="14"/>
      <c r="UWO4" s="14"/>
      <c r="UWP4" s="14"/>
      <c r="UWQ4" s="14"/>
      <c r="UWR4" s="14"/>
      <c r="UWS4" s="14"/>
      <c r="UWT4" s="14"/>
      <c r="UWU4" s="14"/>
      <c r="UWV4" s="14"/>
      <c r="UWW4" s="14"/>
      <c r="UWX4" s="14"/>
      <c r="UWY4" s="14"/>
      <c r="UWZ4" s="14"/>
      <c r="UXA4" s="14"/>
      <c r="UXB4" s="14"/>
      <c r="UXC4" s="14"/>
      <c r="UXD4" s="14"/>
      <c r="UXE4" s="14"/>
      <c r="UXF4" s="14"/>
      <c r="UXG4" s="14"/>
      <c r="UXH4" s="14"/>
      <c r="UXI4" s="14"/>
      <c r="UXJ4" s="14"/>
      <c r="UXK4" s="14"/>
      <c r="UXL4" s="14"/>
      <c r="UXM4" s="14"/>
      <c r="UXN4" s="14"/>
      <c r="UXO4" s="14"/>
      <c r="UXP4" s="14"/>
      <c r="UXQ4" s="14"/>
      <c r="UXR4" s="14"/>
      <c r="UXS4" s="14"/>
      <c r="UXT4" s="14"/>
      <c r="UXU4" s="14"/>
      <c r="UXV4" s="14"/>
      <c r="UXW4" s="14"/>
      <c r="UXX4" s="14"/>
      <c r="UXY4" s="14"/>
      <c r="UXZ4" s="14"/>
      <c r="UYA4" s="14"/>
      <c r="UYB4" s="14"/>
      <c r="UYC4" s="14"/>
      <c r="UYD4" s="14"/>
      <c r="UYE4" s="14"/>
      <c r="UYF4" s="14"/>
      <c r="UYG4" s="14"/>
      <c r="UYH4" s="14"/>
      <c r="UYI4" s="14"/>
      <c r="UYJ4" s="14"/>
      <c r="UYK4" s="14"/>
      <c r="UYL4" s="14"/>
      <c r="UYM4" s="14"/>
      <c r="UYN4" s="14"/>
      <c r="UYO4" s="14"/>
      <c r="UYP4" s="14"/>
      <c r="UYQ4" s="14"/>
      <c r="UYR4" s="14"/>
      <c r="UYS4" s="14"/>
      <c r="UYT4" s="14"/>
      <c r="UYU4" s="14"/>
      <c r="UYV4" s="14"/>
      <c r="UYW4" s="14"/>
      <c r="UYX4" s="14"/>
      <c r="UYY4" s="14"/>
      <c r="UYZ4" s="14"/>
      <c r="UZA4" s="14"/>
      <c r="UZB4" s="14"/>
      <c r="UZC4" s="14"/>
      <c r="UZD4" s="14"/>
      <c r="UZE4" s="14"/>
      <c r="UZF4" s="14"/>
      <c r="UZG4" s="14"/>
      <c r="UZH4" s="14"/>
      <c r="UZI4" s="14"/>
      <c r="UZJ4" s="14"/>
      <c r="UZK4" s="14"/>
      <c r="UZL4" s="14"/>
      <c r="UZM4" s="14"/>
      <c r="UZN4" s="14"/>
      <c r="UZO4" s="14"/>
      <c r="UZP4" s="14"/>
      <c r="UZQ4" s="14"/>
      <c r="UZR4" s="14"/>
      <c r="UZS4" s="14"/>
      <c r="UZT4" s="14"/>
      <c r="UZU4" s="14"/>
      <c r="UZV4" s="14"/>
      <c r="UZW4" s="14"/>
      <c r="UZX4" s="14"/>
      <c r="UZY4" s="14"/>
      <c r="UZZ4" s="14"/>
      <c r="VAA4" s="14"/>
      <c r="VAB4" s="14"/>
      <c r="VAC4" s="14"/>
      <c r="VAD4" s="14"/>
      <c r="VAE4" s="14"/>
      <c r="VAF4" s="14"/>
      <c r="VAG4" s="14"/>
      <c r="VAH4" s="14"/>
      <c r="VAI4" s="14"/>
      <c r="VAJ4" s="14"/>
      <c r="VAK4" s="14"/>
      <c r="VAL4" s="14"/>
      <c r="VAM4" s="14"/>
      <c r="VAN4" s="14"/>
      <c r="VAO4" s="14"/>
      <c r="VAP4" s="14"/>
      <c r="VAQ4" s="14"/>
      <c r="VAR4" s="14"/>
      <c r="VAS4" s="14"/>
      <c r="VAT4" s="14"/>
      <c r="VAU4" s="14"/>
      <c r="VAV4" s="14"/>
      <c r="VAW4" s="14"/>
      <c r="VAX4" s="14"/>
      <c r="VAY4" s="14"/>
      <c r="VAZ4" s="14"/>
      <c r="VBA4" s="14"/>
      <c r="VBB4" s="14"/>
      <c r="VBC4" s="14"/>
      <c r="VBD4" s="14"/>
      <c r="VBE4" s="14"/>
      <c r="VBF4" s="14"/>
      <c r="VBG4" s="14"/>
      <c r="VBH4" s="14"/>
      <c r="VBI4" s="14"/>
      <c r="VBJ4" s="14"/>
      <c r="VBK4" s="14"/>
      <c r="VBL4" s="14"/>
      <c r="VBM4" s="14"/>
      <c r="VBN4" s="14"/>
      <c r="VBO4" s="14"/>
      <c r="VBP4" s="14"/>
      <c r="VBQ4" s="14"/>
      <c r="VBR4" s="14"/>
      <c r="VBS4" s="14"/>
      <c r="VBT4" s="14"/>
      <c r="VBU4" s="14"/>
      <c r="VBV4" s="14"/>
      <c r="VBW4" s="14"/>
      <c r="VBX4" s="14"/>
      <c r="VBY4" s="14"/>
      <c r="VBZ4" s="14"/>
      <c r="VCA4" s="14"/>
      <c r="VCB4" s="14"/>
      <c r="VCC4" s="14"/>
      <c r="VCD4" s="14"/>
      <c r="VCE4" s="14"/>
      <c r="VCF4" s="14"/>
      <c r="VCG4" s="14"/>
      <c r="VCH4" s="14"/>
      <c r="VCI4" s="14"/>
      <c r="VCJ4" s="14"/>
      <c r="VCK4" s="14"/>
      <c r="VCL4" s="14"/>
      <c r="VCM4" s="14"/>
      <c r="VCN4" s="14"/>
      <c r="VCO4" s="14"/>
      <c r="VCP4" s="14"/>
      <c r="VCQ4" s="14"/>
      <c r="VCR4" s="14"/>
      <c r="VCS4" s="14"/>
      <c r="VCT4" s="14"/>
      <c r="VCU4" s="14"/>
      <c r="VCV4" s="14"/>
      <c r="VCW4" s="14"/>
      <c r="VCX4" s="14"/>
      <c r="VCY4" s="14"/>
      <c r="VCZ4" s="14"/>
      <c r="VDA4" s="14"/>
      <c r="VDB4" s="14"/>
      <c r="VDC4" s="14"/>
      <c r="VDD4" s="14"/>
      <c r="VDE4" s="14"/>
      <c r="VDF4" s="14"/>
      <c r="VDG4" s="14"/>
      <c r="VDH4" s="14"/>
      <c r="VDI4" s="14"/>
      <c r="VDJ4" s="14"/>
      <c r="VDK4" s="14"/>
      <c r="VDL4" s="14"/>
      <c r="VDM4" s="14"/>
      <c r="VDN4" s="14"/>
      <c r="VDO4" s="14"/>
      <c r="VDP4" s="14"/>
      <c r="VDQ4" s="14"/>
      <c r="VDR4" s="14"/>
      <c r="VDS4" s="14"/>
      <c r="VDT4" s="14"/>
      <c r="VDU4" s="14"/>
      <c r="VDV4" s="14"/>
      <c r="VDW4" s="14"/>
      <c r="VDX4" s="14"/>
      <c r="VDY4" s="14"/>
      <c r="VDZ4" s="14"/>
      <c r="VEA4" s="14"/>
      <c r="VEB4" s="14"/>
      <c r="VEC4" s="14"/>
      <c r="VED4" s="14"/>
      <c r="VEE4" s="14"/>
      <c r="VEF4" s="14"/>
      <c r="VEG4" s="14"/>
      <c r="VEH4" s="14"/>
      <c r="VEI4" s="14"/>
      <c r="VEJ4" s="14"/>
      <c r="VEK4" s="14"/>
      <c r="VEL4" s="14"/>
      <c r="VEM4" s="14"/>
      <c r="VEN4" s="14"/>
      <c r="VEO4" s="14"/>
      <c r="VEP4" s="14"/>
      <c r="VEQ4" s="14"/>
      <c r="VER4" s="14"/>
      <c r="VES4" s="14"/>
      <c r="VET4" s="14"/>
      <c r="VEU4" s="14"/>
      <c r="VEV4" s="14"/>
      <c r="VEW4" s="14"/>
      <c r="VEX4" s="14"/>
      <c r="VEY4" s="14"/>
      <c r="VEZ4" s="14"/>
      <c r="VFA4" s="14"/>
      <c r="VFB4" s="14"/>
      <c r="VFC4" s="14"/>
      <c r="VFD4" s="14"/>
      <c r="VFE4" s="14"/>
      <c r="VFF4" s="14"/>
      <c r="VFG4" s="14"/>
      <c r="VFH4" s="14"/>
      <c r="VFI4" s="14"/>
      <c r="VFJ4" s="14"/>
      <c r="VFK4" s="14"/>
      <c r="VFL4" s="14"/>
      <c r="VFM4" s="14"/>
      <c r="VFN4" s="14"/>
      <c r="VFO4" s="14"/>
      <c r="VFP4" s="14"/>
      <c r="VFQ4" s="14"/>
      <c r="VFR4" s="14"/>
      <c r="VFS4" s="14"/>
      <c r="VFT4" s="14"/>
      <c r="VFU4" s="14"/>
      <c r="VFV4" s="14"/>
      <c r="VFW4" s="14"/>
      <c r="VFX4" s="14"/>
      <c r="VFY4" s="14"/>
      <c r="VFZ4" s="14"/>
      <c r="VGA4" s="14"/>
      <c r="VGB4" s="14"/>
      <c r="VGC4" s="14"/>
      <c r="VGD4" s="14"/>
      <c r="VGE4" s="14"/>
      <c r="VGF4" s="14"/>
      <c r="VGG4" s="14"/>
      <c r="VGH4" s="14"/>
      <c r="VGI4" s="14"/>
      <c r="VGJ4" s="14"/>
      <c r="VGK4" s="14"/>
      <c r="VGL4" s="14"/>
      <c r="VGM4" s="14"/>
      <c r="VGN4" s="14"/>
      <c r="VGO4" s="14"/>
      <c r="VGP4" s="14"/>
      <c r="VGQ4" s="14"/>
      <c r="VGR4" s="14"/>
      <c r="VGS4" s="14"/>
      <c r="VGT4" s="14"/>
      <c r="VGU4" s="14"/>
      <c r="VGV4" s="14"/>
      <c r="VGW4" s="14"/>
      <c r="VGX4" s="14"/>
      <c r="VGY4" s="14"/>
      <c r="VGZ4" s="14"/>
      <c r="VHA4" s="14"/>
      <c r="VHB4" s="14"/>
      <c r="VHC4" s="14"/>
      <c r="VHD4" s="14"/>
      <c r="VHE4" s="14"/>
      <c r="VHF4" s="14"/>
      <c r="VHG4" s="14"/>
      <c r="VHH4" s="14"/>
      <c r="VHI4" s="14"/>
      <c r="VHJ4" s="14"/>
      <c r="VHK4" s="14"/>
      <c r="VHL4" s="14"/>
      <c r="VHM4" s="14"/>
      <c r="VHN4" s="14"/>
      <c r="VHO4" s="14"/>
      <c r="VHP4" s="14"/>
      <c r="VHQ4" s="14"/>
      <c r="VHR4" s="14"/>
      <c r="VHS4" s="14"/>
      <c r="VHT4" s="14"/>
      <c r="VHU4" s="14"/>
      <c r="VHV4" s="14"/>
      <c r="VHW4" s="14"/>
      <c r="VHX4" s="14"/>
      <c r="VHY4" s="14"/>
      <c r="VHZ4" s="14"/>
      <c r="VIA4" s="14"/>
      <c r="VIB4" s="14"/>
      <c r="VIC4" s="14"/>
      <c r="VID4" s="14"/>
      <c r="VIE4" s="14"/>
      <c r="VIF4" s="14"/>
      <c r="VIG4" s="14"/>
      <c r="VIH4" s="14"/>
      <c r="VII4" s="14"/>
      <c r="VIJ4" s="14"/>
      <c r="VIK4" s="14"/>
      <c r="VIL4" s="14"/>
      <c r="VIM4" s="14"/>
      <c r="VIN4" s="14"/>
      <c r="VIO4" s="14"/>
      <c r="VIP4" s="14"/>
      <c r="VIQ4" s="14"/>
      <c r="VIR4" s="14"/>
      <c r="VIS4" s="14"/>
      <c r="VIT4" s="14"/>
      <c r="VIU4" s="14"/>
      <c r="VIV4" s="14"/>
      <c r="VIW4" s="14"/>
      <c r="VIX4" s="14"/>
      <c r="VIY4" s="14"/>
      <c r="VIZ4" s="14"/>
      <c r="VJA4" s="14"/>
      <c r="VJB4" s="14"/>
      <c r="VJC4" s="14"/>
      <c r="VJD4" s="14"/>
      <c r="VJE4" s="14"/>
      <c r="VJF4" s="14"/>
      <c r="VJG4" s="14"/>
      <c r="VJH4" s="14"/>
      <c r="VJI4" s="14"/>
      <c r="VJJ4" s="14"/>
      <c r="VJK4" s="14"/>
      <c r="VJL4" s="14"/>
      <c r="VJM4" s="14"/>
      <c r="VJN4" s="14"/>
      <c r="VJO4" s="14"/>
      <c r="VJP4" s="14"/>
      <c r="VJQ4" s="14"/>
      <c r="VJR4" s="14"/>
      <c r="VJS4" s="14"/>
      <c r="VJT4" s="14"/>
      <c r="VJU4" s="14"/>
      <c r="VJV4" s="14"/>
      <c r="VJW4" s="14"/>
      <c r="VJX4" s="14"/>
      <c r="VJY4" s="14"/>
      <c r="VJZ4" s="14"/>
      <c r="VKA4" s="14"/>
      <c r="VKB4" s="14"/>
      <c r="VKC4" s="14"/>
      <c r="VKD4" s="14"/>
      <c r="VKE4" s="14"/>
      <c r="VKF4" s="14"/>
      <c r="VKG4" s="14"/>
      <c r="VKH4" s="14"/>
      <c r="VKI4" s="14"/>
      <c r="VKJ4" s="14"/>
      <c r="VKK4" s="14"/>
      <c r="VKL4" s="14"/>
      <c r="VKM4" s="14"/>
      <c r="VKN4" s="14"/>
      <c r="VKO4" s="14"/>
      <c r="VKP4" s="14"/>
      <c r="VKQ4" s="14"/>
      <c r="VKR4" s="14"/>
      <c r="VKS4" s="14"/>
      <c r="VKT4" s="14"/>
      <c r="VKU4" s="14"/>
      <c r="VKV4" s="14"/>
      <c r="VKW4" s="14"/>
      <c r="VKX4" s="14"/>
      <c r="VKY4" s="14"/>
      <c r="VKZ4" s="14"/>
      <c r="VLA4" s="14"/>
      <c r="VLB4" s="14"/>
      <c r="VLC4" s="14"/>
      <c r="VLD4" s="14"/>
      <c r="VLE4" s="14"/>
      <c r="VLF4" s="14"/>
      <c r="VLG4" s="14"/>
      <c r="VLH4" s="14"/>
      <c r="VLI4" s="14"/>
      <c r="VLJ4" s="14"/>
      <c r="VLK4" s="14"/>
      <c r="VLL4" s="14"/>
      <c r="VLM4" s="14"/>
      <c r="VLN4" s="14"/>
      <c r="VLO4" s="14"/>
      <c r="VLP4" s="14"/>
      <c r="VLQ4" s="14"/>
      <c r="VLR4" s="14"/>
      <c r="VLS4" s="14"/>
      <c r="VLT4" s="14"/>
      <c r="VLU4" s="14"/>
      <c r="VLV4" s="14"/>
      <c r="VLW4" s="14"/>
      <c r="VLX4" s="14"/>
      <c r="VLY4" s="14"/>
      <c r="VLZ4" s="14"/>
      <c r="VMA4" s="14"/>
      <c r="VMB4" s="14"/>
      <c r="VMC4" s="14"/>
      <c r="VMD4" s="14"/>
      <c r="VME4" s="14"/>
      <c r="VMF4" s="14"/>
      <c r="VMG4" s="14"/>
      <c r="VMH4" s="14"/>
      <c r="VMI4" s="14"/>
      <c r="VMJ4" s="14"/>
      <c r="VMK4" s="14"/>
      <c r="VML4" s="14"/>
      <c r="VMM4" s="14"/>
      <c r="VMN4" s="14"/>
      <c r="VMO4" s="14"/>
      <c r="VMP4" s="14"/>
      <c r="VMQ4" s="14"/>
      <c r="VMR4" s="14"/>
      <c r="VMS4" s="14"/>
      <c r="VMT4" s="14"/>
      <c r="VMU4" s="14"/>
      <c r="VMV4" s="14"/>
      <c r="VMW4" s="14"/>
      <c r="VMX4" s="14"/>
      <c r="VMY4" s="14"/>
      <c r="VMZ4" s="14"/>
      <c r="VNA4" s="14"/>
      <c r="VNB4" s="14"/>
      <c r="VNC4" s="14"/>
      <c r="VND4" s="14"/>
      <c r="VNE4" s="14"/>
      <c r="VNF4" s="14"/>
      <c r="VNG4" s="14"/>
      <c r="VNH4" s="14"/>
      <c r="VNI4" s="14"/>
      <c r="VNJ4" s="14"/>
      <c r="VNK4" s="14"/>
      <c r="VNL4" s="14"/>
      <c r="VNM4" s="14"/>
      <c r="VNN4" s="14"/>
      <c r="VNO4" s="14"/>
      <c r="VNP4" s="14"/>
      <c r="VNQ4" s="14"/>
      <c r="VNR4" s="14"/>
      <c r="VNS4" s="14"/>
      <c r="VNT4" s="14"/>
      <c r="VNU4" s="14"/>
      <c r="VNV4" s="14"/>
      <c r="VNW4" s="14"/>
      <c r="VNX4" s="14"/>
      <c r="VNY4" s="14"/>
      <c r="VNZ4" s="14"/>
      <c r="VOA4" s="14"/>
      <c r="VOB4" s="14"/>
      <c r="VOC4" s="14"/>
      <c r="VOD4" s="14"/>
      <c r="VOE4" s="14"/>
      <c r="VOF4" s="14"/>
      <c r="VOG4" s="14"/>
      <c r="VOH4" s="14"/>
      <c r="VOI4" s="14"/>
      <c r="VOJ4" s="14"/>
      <c r="VOK4" s="14"/>
      <c r="VOL4" s="14"/>
      <c r="VOM4" s="14"/>
      <c r="VON4" s="14"/>
      <c r="VOO4" s="14"/>
      <c r="VOP4" s="14"/>
      <c r="VOQ4" s="14"/>
      <c r="VOR4" s="14"/>
      <c r="VOS4" s="14"/>
      <c r="VOT4" s="14"/>
      <c r="VOU4" s="14"/>
      <c r="VOV4" s="14"/>
      <c r="VOW4" s="14"/>
      <c r="VOX4" s="14"/>
      <c r="VOY4" s="14"/>
      <c r="VOZ4" s="14"/>
      <c r="VPA4" s="14"/>
      <c r="VPB4" s="14"/>
      <c r="VPC4" s="14"/>
      <c r="VPD4" s="14"/>
      <c r="VPE4" s="14"/>
      <c r="VPF4" s="14"/>
      <c r="VPG4" s="14"/>
      <c r="VPH4" s="14"/>
      <c r="VPI4" s="14"/>
      <c r="VPJ4" s="14"/>
      <c r="VPK4" s="14"/>
      <c r="VPL4" s="14"/>
      <c r="VPM4" s="14"/>
      <c r="VPN4" s="14"/>
      <c r="VPO4" s="14"/>
      <c r="VPP4" s="14"/>
      <c r="VPQ4" s="14"/>
      <c r="VPR4" s="14"/>
      <c r="VPS4" s="14"/>
      <c r="VPT4" s="14"/>
      <c r="VPU4" s="14"/>
      <c r="VPV4" s="14"/>
      <c r="VPW4" s="14"/>
      <c r="VPX4" s="14"/>
      <c r="VPY4" s="14"/>
      <c r="VPZ4" s="14"/>
      <c r="VQA4" s="14"/>
      <c r="VQB4" s="14"/>
      <c r="VQC4" s="14"/>
      <c r="VQD4" s="14"/>
      <c r="VQE4" s="14"/>
      <c r="VQF4" s="14"/>
      <c r="VQG4" s="14"/>
      <c r="VQH4" s="14"/>
      <c r="VQI4" s="14"/>
      <c r="VQJ4" s="14"/>
      <c r="VQK4" s="14"/>
      <c r="VQL4" s="14"/>
      <c r="VQM4" s="14"/>
      <c r="VQN4" s="14"/>
      <c r="VQO4" s="14"/>
      <c r="VQP4" s="14"/>
      <c r="VQQ4" s="14"/>
      <c r="VQR4" s="14"/>
      <c r="VQS4" s="14"/>
      <c r="VQT4" s="14"/>
      <c r="VQU4" s="14"/>
      <c r="VQV4" s="14"/>
      <c r="VQW4" s="14"/>
      <c r="VQX4" s="14"/>
      <c r="VQY4" s="14"/>
      <c r="VQZ4" s="14"/>
      <c r="VRA4" s="14"/>
      <c r="VRB4" s="14"/>
      <c r="VRC4" s="14"/>
      <c r="VRD4" s="14"/>
      <c r="VRE4" s="14"/>
      <c r="VRF4" s="14"/>
      <c r="VRG4" s="14"/>
      <c r="VRH4" s="14"/>
      <c r="VRI4" s="14"/>
      <c r="VRJ4" s="14"/>
      <c r="VRK4" s="14"/>
      <c r="VRL4" s="14"/>
      <c r="VRM4" s="14"/>
      <c r="VRN4" s="14"/>
      <c r="VRO4" s="14"/>
      <c r="VRP4" s="14"/>
      <c r="VRQ4" s="14"/>
      <c r="VRR4" s="14"/>
      <c r="VRS4" s="14"/>
      <c r="VRT4" s="14"/>
      <c r="VRU4" s="14"/>
      <c r="VRV4" s="14"/>
      <c r="VRW4" s="14"/>
      <c r="VRX4" s="14"/>
      <c r="VRY4" s="14"/>
      <c r="VRZ4" s="14"/>
      <c r="VSA4" s="14"/>
      <c r="VSB4" s="14"/>
      <c r="VSC4" s="14"/>
      <c r="VSD4" s="14"/>
      <c r="VSE4" s="14"/>
      <c r="VSF4" s="14"/>
      <c r="VSG4" s="14"/>
      <c r="VSH4" s="14"/>
      <c r="VSI4" s="14"/>
      <c r="VSJ4" s="14"/>
      <c r="VSK4" s="14"/>
      <c r="VSL4" s="14"/>
      <c r="VSM4" s="14"/>
      <c r="VSN4" s="14"/>
      <c r="VSO4" s="14"/>
      <c r="VSP4" s="14"/>
      <c r="VSQ4" s="14"/>
      <c r="VSR4" s="14"/>
      <c r="VSS4" s="14"/>
      <c r="VST4" s="14"/>
      <c r="VSU4" s="14"/>
      <c r="VSV4" s="14"/>
      <c r="VSW4" s="14"/>
      <c r="VSX4" s="14"/>
      <c r="VSY4" s="14"/>
      <c r="VSZ4" s="14"/>
      <c r="VTA4" s="14"/>
      <c r="VTB4" s="14"/>
      <c r="VTC4" s="14"/>
      <c r="VTD4" s="14"/>
      <c r="VTE4" s="14"/>
      <c r="VTF4" s="14"/>
      <c r="VTG4" s="14"/>
      <c r="VTH4" s="14"/>
      <c r="VTI4" s="14"/>
      <c r="VTJ4" s="14"/>
      <c r="VTK4" s="14"/>
      <c r="VTL4" s="14"/>
      <c r="VTM4" s="14"/>
      <c r="VTN4" s="14"/>
      <c r="VTO4" s="14"/>
      <c r="VTP4" s="14"/>
      <c r="VTQ4" s="14"/>
      <c r="VTR4" s="14"/>
      <c r="VTS4" s="14"/>
      <c r="VTT4" s="14"/>
      <c r="VTU4" s="14"/>
      <c r="VTV4" s="14"/>
      <c r="VTW4" s="14"/>
      <c r="VTX4" s="14"/>
      <c r="VTY4" s="14"/>
      <c r="VTZ4" s="14"/>
      <c r="VUA4" s="14"/>
      <c r="VUB4" s="14"/>
      <c r="VUC4" s="14"/>
      <c r="VUD4" s="14"/>
      <c r="VUE4" s="14"/>
      <c r="VUF4" s="14"/>
      <c r="VUG4" s="14"/>
      <c r="VUH4" s="14"/>
      <c r="VUI4" s="14"/>
      <c r="VUJ4" s="14"/>
      <c r="VUK4" s="14"/>
      <c r="VUL4" s="14"/>
      <c r="VUM4" s="14"/>
      <c r="VUN4" s="14"/>
      <c r="VUO4" s="14"/>
      <c r="VUP4" s="14"/>
      <c r="VUQ4" s="14"/>
      <c r="VUR4" s="14"/>
      <c r="VUS4" s="14"/>
      <c r="VUT4" s="14"/>
      <c r="VUU4" s="14"/>
      <c r="VUV4" s="14"/>
      <c r="VUW4" s="14"/>
      <c r="VUX4" s="14"/>
      <c r="VUY4" s="14"/>
      <c r="VUZ4" s="14"/>
      <c r="VVA4" s="14"/>
      <c r="VVB4" s="14"/>
      <c r="VVC4" s="14"/>
      <c r="VVD4" s="14"/>
      <c r="VVE4" s="14"/>
      <c r="VVF4" s="14"/>
      <c r="VVG4" s="14"/>
      <c r="VVH4" s="14"/>
      <c r="VVI4" s="14"/>
      <c r="VVJ4" s="14"/>
      <c r="VVK4" s="14"/>
      <c r="VVL4" s="14"/>
      <c r="VVM4" s="14"/>
      <c r="VVN4" s="14"/>
      <c r="VVO4" s="14"/>
      <c r="VVP4" s="14"/>
      <c r="VVQ4" s="14"/>
      <c r="VVR4" s="14"/>
      <c r="VVS4" s="14"/>
      <c r="VVT4" s="14"/>
      <c r="VVU4" s="14"/>
      <c r="VVV4" s="14"/>
      <c r="VVW4" s="14"/>
      <c r="VVX4" s="14"/>
      <c r="VVY4" s="14"/>
      <c r="VVZ4" s="14"/>
      <c r="VWA4" s="14"/>
      <c r="VWB4" s="14"/>
      <c r="VWC4" s="14"/>
      <c r="VWD4" s="14"/>
      <c r="VWE4" s="14"/>
      <c r="VWF4" s="14"/>
      <c r="VWG4" s="14"/>
      <c r="VWH4" s="14"/>
      <c r="VWI4" s="14"/>
      <c r="VWJ4" s="14"/>
      <c r="VWK4" s="14"/>
      <c r="VWL4" s="14"/>
      <c r="VWM4" s="14"/>
      <c r="VWN4" s="14"/>
      <c r="VWO4" s="14"/>
      <c r="VWP4" s="14"/>
      <c r="VWQ4" s="14"/>
      <c r="VWR4" s="14"/>
      <c r="VWS4" s="14"/>
      <c r="VWT4" s="14"/>
      <c r="VWU4" s="14"/>
      <c r="VWV4" s="14"/>
      <c r="VWW4" s="14"/>
      <c r="VWX4" s="14"/>
      <c r="VWY4" s="14"/>
      <c r="VWZ4" s="14"/>
      <c r="VXA4" s="14"/>
      <c r="VXB4" s="14"/>
      <c r="VXC4" s="14"/>
      <c r="VXD4" s="14"/>
      <c r="VXE4" s="14"/>
      <c r="VXF4" s="14"/>
      <c r="VXG4" s="14"/>
      <c r="VXH4" s="14"/>
      <c r="VXI4" s="14"/>
      <c r="VXJ4" s="14"/>
      <c r="VXK4" s="14"/>
      <c r="VXL4" s="14"/>
      <c r="VXM4" s="14"/>
      <c r="VXN4" s="14"/>
      <c r="VXO4" s="14"/>
      <c r="VXP4" s="14"/>
      <c r="VXQ4" s="14"/>
      <c r="VXR4" s="14"/>
      <c r="VXS4" s="14"/>
      <c r="VXT4" s="14"/>
      <c r="VXU4" s="14"/>
      <c r="VXV4" s="14"/>
      <c r="VXW4" s="14"/>
      <c r="VXX4" s="14"/>
      <c r="VXY4" s="14"/>
      <c r="VXZ4" s="14"/>
      <c r="VYA4" s="14"/>
      <c r="VYB4" s="14"/>
      <c r="VYC4" s="14"/>
      <c r="VYD4" s="14"/>
      <c r="VYE4" s="14"/>
      <c r="VYF4" s="14"/>
      <c r="VYG4" s="14"/>
      <c r="VYH4" s="14"/>
      <c r="VYI4" s="14"/>
      <c r="VYJ4" s="14"/>
      <c r="VYK4" s="14"/>
      <c r="VYL4" s="14"/>
      <c r="VYM4" s="14"/>
      <c r="VYN4" s="14"/>
      <c r="VYO4" s="14"/>
      <c r="VYP4" s="14"/>
      <c r="VYQ4" s="14"/>
      <c r="VYR4" s="14"/>
      <c r="VYS4" s="14"/>
      <c r="VYT4" s="14"/>
      <c r="VYU4" s="14"/>
      <c r="VYV4" s="14"/>
      <c r="VYW4" s="14"/>
      <c r="VYX4" s="14"/>
      <c r="VYY4" s="14"/>
      <c r="VYZ4" s="14"/>
      <c r="VZA4" s="14"/>
      <c r="VZB4" s="14"/>
      <c r="VZC4" s="14"/>
      <c r="VZD4" s="14"/>
      <c r="VZE4" s="14"/>
      <c r="VZF4" s="14"/>
      <c r="VZG4" s="14"/>
      <c r="VZH4" s="14"/>
      <c r="VZI4" s="14"/>
      <c r="VZJ4" s="14"/>
      <c r="VZK4" s="14"/>
      <c r="VZL4" s="14"/>
      <c r="VZM4" s="14"/>
      <c r="VZN4" s="14"/>
      <c r="VZO4" s="14"/>
      <c r="VZP4" s="14"/>
      <c r="VZQ4" s="14"/>
      <c r="VZR4" s="14"/>
      <c r="VZS4" s="14"/>
      <c r="VZT4" s="14"/>
      <c r="VZU4" s="14"/>
      <c r="VZV4" s="14"/>
      <c r="VZW4" s="14"/>
      <c r="VZX4" s="14"/>
      <c r="VZY4" s="14"/>
      <c r="VZZ4" s="14"/>
      <c r="WAA4" s="14"/>
      <c r="WAB4" s="14"/>
      <c r="WAC4" s="14"/>
      <c r="WAD4" s="14"/>
      <c r="WAE4" s="14"/>
      <c r="WAF4" s="14"/>
      <c r="WAG4" s="14"/>
      <c r="WAH4" s="14"/>
      <c r="WAI4" s="14"/>
      <c r="WAJ4" s="14"/>
      <c r="WAK4" s="14"/>
      <c r="WAL4" s="14"/>
      <c r="WAM4" s="14"/>
      <c r="WAN4" s="14"/>
      <c r="WAO4" s="14"/>
      <c r="WAP4" s="14"/>
      <c r="WAQ4" s="14"/>
      <c r="WAR4" s="14"/>
      <c r="WAS4" s="14"/>
      <c r="WAT4" s="14"/>
      <c r="WAU4" s="14"/>
      <c r="WAV4" s="14"/>
      <c r="WAW4" s="14"/>
      <c r="WAX4" s="14"/>
      <c r="WAY4" s="14"/>
      <c r="WAZ4" s="14"/>
      <c r="WBA4" s="14"/>
      <c r="WBB4" s="14"/>
      <c r="WBC4" s="14"/>
      <c r="WBD4" s="14"/>
      <c r="WBE4" s="14"/>
      <c r="WBF4" s="14"/>
      <c r="WBG4" s="14"/>
      <c r="WBH4" s="14"/>
      <c r="WBI4" s="14"/>
      <c r="WBJ4" s="14"/>
      <c r="WBK4" s="14"/>
      <c r="WBL4" s="14"/>
      <c r="WBM4" s="14"/>
      <c r="WBN4" s="14"/>
      <c r="WBO4" s="14"/>
      <c r="WBP4" s="14"/>
      <c r="WBQ4" s="14"/>
      <c r="WBR4" s="14"/>
      <c r="WBS4" s="14"/>
      <c r="WBT4" s="14"/>
      <c r="WBU4" s="14"/>
      <c r="WBV4" s="14"/>
      <c r="WBW4" s="14"/>
      <c r="WBX4" s="14"/>
      <c r="WBY4" s="14"/>
      <c r="WBZ4" s="14"/>
      <c r="WCA4" s="14"/>
      <c r="WCB4" s="14"/>
      <c r="WCC4" s="14"/>
      <c r="WCD4" s="14"/>
      <c r="WCE4" s="14"/>
      <c r="WCF4" s="14"/>
      <c r="WCG4" s="14"/>
      <c r="WCH4" s="14"/>
      <c r="WCI4" s="14"/>
      <c r="WCJ4" s="14"/>
      <c r="WCK4" s="14"/>
      <c r="WCL4" s="14"/>
      <c r="WCM4" s="14"/>
      <c r="WCN4" s="14"/>
      <c r="WCO4" s="14"/>
      <c r="WCP4" s="14"/>
      <c r="WCQ4" s="14"/>
      <c r="WCR4" s="14"/>
      <c r="WCS4" s="14"/>
      <c r="WCT4" s="14"/>
      <c r="WCU4" s="14"/>
      <c r="WCV4" s="14"/>
      <c r="WCW4" s="14"/>
      <c r="WCX4" s="14"/>
      <c r="WCY4" s="14"/>
      <c r="WCZ4" s="14"/>
      <c r="WDA4" s="14"/>
      <c r="WDB4" s="14"/>
      <c r="WDC4" s="14"/>
      <c r="WDD4" s="14"/>
      <c r="WDE4" s="14"/>
      <c r="WDF4" s="14"/>
      <c r="WDG4" s="14"/>
      <c r="WDH4" s="14"/>
      <c r="WDI4" s="14"/>
      <c r="WDJ4" s="14"/>
      <c r="WDK4" s="14"/>
      <c r="WDL4" s="14"/>
      <c r="WDM4" s="14"/>
      <c r="WDN4" s="14"/>
      <c r="WDO4" s="14"/>
      <c r="WDP4" s="14"/>
      <c r="WDQ4" s="14"/>
      <c r="WDR4" s="14"/>
      <c r="WDS4" s="14"/>
      <c r="WDT4" s="14"/>
      <c r="WDU4" s="14"/>
      <c r="WDV4" s="14"/>
      <c r="WDW4" s="14"/>
      <c r="WDX4" s="14"/>
      <c r="WDY4" s="14"/>
      <c r="WDZ4" s="14"/>
      <c r="WEA4" s="14"/>
      <c r="WEB4" s="14"/>
      <c r="WEC4" s="14"/>
      <c r="WED4" s="14"/>
      <c r="WEE4" s="14"/>
      <c r="WEF4" s="14"/>
      <c r="WEG4" s="14"/>
      <c r="WEH4" s="14"/>
      <c r="WEI4" s="14"/>
      <c r="WEJ4" s="14"/>
      <c r="WEK4" s="14"/>
      <c r="WEL4" s="14"/>
      <c r="WEM4" s="14"/>
      <c r="WEN4" s="14"/>
      <c r="WEO4" s="14"/>
      <c r="WEP4" s="14"/>
      <c r="WEQ4" s="14"/>
      <c r="WER4" s="14"/>
      <c r="WES4" s="14"/>
      <c r="WET4" s="14"/>
      <c r="WEU4" s="14"/>
      <c r="WEV4" s="14"/>
      <c r="WEW4" s="14"/>
      <c r="WEX4" s="14"/>
      <c r="WEY4" s="14"/>
      <c r="WEZ4" s="14"/>
      <c r="WFA4" s="14"/>
      <c r="WFB4" s="14"/>
      <c r="WFC4" s="14"/>
      <c r="WFD4" s="14"/>
      <c r="WFE4" s="14"/>
      <c r="WFF4" s="14"/>
      <c r="WFG4" s="14"/>
      <c r="WFH4" s="14"/>
      <c r="WFI4" s="14"/>
      <c r="WFJ4" s="14"/>
      <c r="WFK4" s="14"/>
      <c r="WFL4" s="14"/>
      <c r="WFM4" s="14"/>
      <c r="WFN4" s="14"/>
      <c r="WFO4" s="14"/>
      <c r="WFP4" s="14"/>
      <c r="WFQ4" s="14"/>
      <c r="WFR4" s="14"/>
      <c r="WFS4" s="14"/>
      <c r="WFT4" s="14"/>
      <c r="WFU4" s="14"/>
      <c r="WFV4" s="14"/>
      <c r="WFW4" s="14"/>
      <c r="WFX4" s="14"/>
      <c r="WFY4" s="14"/>
      <c r="WFZ4" s="14"/>
      <c r="WGA4" s="14"/>
      <c r="WGB4" s="14"/>
      <c r="WGC4" s="14"/>
      <c r="WGD4" s="14"/>
      <c r="WGE4" s="14"/>
      <c r="WGF4" s="14"/>
      <c r="WGG4" s="14"/>
      <c r="WGH4" s="14"/>
      <c r="WGI4" s="14"/>
      <c r="WGJ4" s="14"/>
      <c r="WGK4" s="14"/>
      <c r="WGL4" s="14"/>
      <c r="WGM4" s="14"/>
      <c r="WGN4" s="14"/>
      <c r="WGO4" s="14"/>
      <c r="WGP4" s="14"/>
      <c r="WGQ4" s="14"/>
      <c r="WGR4" s="14"/>
      <c r="WGS4" s="14"/>
      <c r="WGT4" s="14"/>
      <c r="WGU4" s="14"/>
      <c r="WGV4" s="14"/>
      <c r="WGW4" s="14"/>
      <c r="WGX4" s="14"/>
      <c r="WGY4" s="14"/>
      <c r="WGZ4" s="14"/>
      <c r="WHA4" s="14"/>
      <c r="WHB4" s="14"/>
      <c r="WHC4" s="14"/>
      <c r="WHD4" s="14"/>
      <c r="WHE4" s="14"/>
      <c r="WHF4" s="14"/>
      <c r="WHG4" s="14"/>
      <c r="WHH4" s="14"/>
      <c r="WHI4" s="14"/>
      <c r="WHJ4" s="14"/>
      <c r="WHK4" s="14"/>
      <c r="WHL4" s="14"/>
      <c r="WHM4" s="14"/>
      <c r="WHN4" s="14"/>
      <c r="WHO4" s="14"/>
      <c r="WHP4" s="14"/>
      <c r="WHQ4" s="14"/>
      <c r="WHR4" s="14"/>
      <c r="WHS4" s="14"/>
      <c r="WHT4" s="14"/>
      <c r="WHU4" s="14"/>
      <c r="WHV4" s="14"/>
      <c r="WHW4" s="14"/>
      <c r="WHX4" s="14"/>
      <c r="WHY4" s="14"/>
      <c r="WHZ4" s="14"/>
      <c r="WIA4" s="14"/>
      <c r="WIB4" s="14"/>
      <c r="WIC4" s="14"/>
      <c r="WID4" s="14"/>
      <c r="WIE4" s="14"/>
      <c r="WIF4" s="14"/>
      <c r="WIG4" s="14"/>
      <c r="WIH4" s="14"/>
      <c r="WII4" s="14"/>
      <c r="WIJ4" s="14"/>
      <c r="WIK4" s="14"/>
      <c r="WIL4" s="14"/>
      <c r="WIM4" s="14"/>
      <c r="WIN4" s="14"/>
      <c r="WIO4" s="14"/>
      <c r="WIP4" s="14"/>
      <c r="WIQ4" s="14"/>
      <c r="WIR4" s="14"/>
      <c r="WIS4" s="14"/>
      <c r="WIT4" s="14"/>
      <c r="WIU4" s="14"/>
      <c r="WIV4" s="14"/>
      <c r="WIW4" s="14"/>
      <c r="WIX4" s="14"/>
      <c r="WIY4" s="14"/>
      <c r="WIZ4" s="14"/>
      <c r="WJA4" s="14"/>
      <c r="WJB4" s="14"/>
      <c r="WJC4" s="14"/>
      <c r="WJD4" s="14"/>
      <c r="WJE4" s="14"/>
      <c r="WJF4" s="14"/>
      <c r="WJG4" s="14"/>
      <c r="WJH4" s="14"/>
      <c r="WJI4" s="14"/>
      <c r="WJJ4" s="14"/>
      <c r="WJK4" s="14"/>
      <c r="WJL4" s="14"/>
      <c r="WJM4" s="14"/>
      <c r="WJN4" s="14"/>
      <c r="WJO4" s="14"/>
      <c r="WJP4" s="14"/>
      <c r="WJQ4" s="14"/>
      <c r="WJR4" s="14"/>
      <c r="WJS4" s="14"/>
      <c r="WJT4" s="14"/>
      <c r="WJU4" s="14"/>
      <c r="WJV4" s="14"/>
      <c r="WJW4" s="14"/>
      <c r="WJX4" s="14"/>
      <c r="WJY4" s="14"/>
      <c r="WJZ4" s="14"/>
      <c r="WKA4" s="14"/>
      <c r="WKB4" s="14"/>
      <c r="WKC4" s="14"/>
      <c r="WKD4" s="14"/>
      <c r="WKE4" s="14"/>
      <c r="WKF4" s="14"/>
      <c r="WKG4" s="14"/>
      <c r="WKH4" s="14"/>
      <c r="WKI4" s="14"/>
      <c r="WKJ4" s="14"/>
      <c r="WKK4" s="14"/>
      <c r="WKL4" s="14"/>
      <c r="WKM4" s="14"/>
      <c r="WKN4" s="14"/>
      <c r="WKO4" s="14"/>
      <c r="WKP4" s="14"/>
      <c r="WKQ4" s="14"/>
      <c r="WKR4" s="14"/>
      <c r="WKS4" s="14"/>
      <c r="WKT4" s="14"/>
      <c r="WKU4" s="14"/>
      <c r="WKV4" s="14"/>
      <c r="WKW4" s="14"/>
      <c r="WKX4" s="14"/>
      <c r="WKY4" s="14"/>
      <c r="WKZ4" s="14"/>
      <c r="WLA4" s="14"/>
      <c r="WLB4" s="14"/>
      <c r="WLC4" s="14"/>
      <c r="WLD4" s="14"/>
      <c r="WLE4" s="14"/>
      <c r="WLF4" s="14"/>
      <c r="WLG4" s="14"/>
      <c r="WLH4" s="14"/>
      <c r="WLI4" s="14"/>
      <c r="WLJ4" s="14"/>
      <c r="WLK4" s="14"/>
      <c r="WLL4" s="14"/>
      <c r="WLM4" s="14"/>
      <c r="WLN4" s="14"/>
      <c r="WLO4" s="14"/>
      <c r="WLP4" s="14"/>
      <c r="WLQ4" s="14"/>
      <c r="WLR4" s="14"/>
      <c r="WLS4" s="14"/>
      <c r="WLT4" s="14"/>
      <c r="WLU4" s="14"/>
      <c r="WLV4" s="14"/>
      <c r="WLW4" s="14"/>
      <c r="WLX4" s="14"/>
      <c r="WLY4" s="14"/>
      <c r="WLZ4" s="14"/>
      <c r="WMA4" s="14"/>
      <c r="WMB4" s="14"/>
      <c r="WMC4" s="14"/>
      <c r="WMD4" s="14"/>
      <c r="WME4" s="14"/>
      <c r="WMF4" s="14"/>
      <c r="WMG4" s="14"/>
      <c r="WMH4" s="14"/>
      <c r="WMI4" s="14"/>
      <c r="WMJ4" s="14"/>
      <c r="WMK4" s="14"/>
      <c r="WML4" s="14"/>
      <c r="WMM4" s="14"/>
      <c r="WMN4" s="14"/>
      <c r="WMO4" s="14"/>
      <c r="WMP4" s="14"/>
      <c r="WMQ4" s="14"/>
      <c r="WMR4" s="14"/>
      <c r="WMS4" s="14"/>
      <c r="WMT4" s="14"/>
      <c r="WMU4" s="14"/>
      <c r="WMV4" s="14"/>
      <c r="WMW4" s="14"/>
      <c r="WMX4" s="14"/>
      <c r="WMY4" s="14"/>
      <c r="WMZ4" s="14"/>
      <c r="WNA4" s="14"/>
      <c r="WNB4" s="14"/>
      <c r="WNC4" s="14"/>
      <c r="WND4" s="14"/>
      <c r="WNE4" s="14"/>
      <c r="WNF4" s="14"/>
      <c r="WNG4" s="14"/>
      <c r="WNH4" s="14"/>
      <c r="WNI4" s="14"/>
      <c r="WNJ4" s="14"/>
      <c r="WNK4" s="14"/>
      <c r="WNL4" s="14"/>
      <c r="WNM4" s="14"/>
      <c r="WNN4" s="14"/>
      <c r="WNO4" s="14"/>
      <c r="WNP4" s="14"/>
      <c r="WNQ4" s="14"/>
      <c r="WNR4" s="14"/>
      <c r="WNS4" s="14"/>
      <c r="WNT4" s="14"/>
      <c r="WNU4" s="14"/>
      <c r="WNV4" s="14"/>
      <c r="WNW4" s="14"/>
      <c r="WNX4" s="14"/>
      <c r="WNY4" s="14"/>
      <c r="WNZ4" s="14"/>
      <c r="WOA4" s="14"/>
      <c r="WOB4" s="14"/>
      <c r="WOC4" s="14"/>
      <c r="WOD4" s="14"/>
      <c r="WOE4" s="14"/>
      <c r="WOF4" s="14"/>
      <c r="WOG4" s="14"/>
      <c r="WOH4" s="14"/>
      <c r="WOI4" s="14"/>
      <c r="WOJ4" s="14"/>
      <c r="WOK4" s="14"/>
      <c r="WOL4" s="14"/>
      <c r="WOM4" s="14"/>
      <c r="WON4" s="14"/>
      <c r="WOO4" s="14"/>
      <c r="WOP4" s="14"/>
      <c r="WOQ4" s="14"/>
      <c r="WOR4" s="14"/>
      <c r="WOS4" s="14"/>
      <c r="WOT4" s="14"/>
      <c r="WOU4" s="14"/>
      <c r="WOV4" s="14"/>
      <c r="WOW4" s="14"/>
      <c r="WOX4" s="14"/>
      <c r="WOY4" s="14"/>
      <c r="WOZ4" s="14"/>
      <c r="WPA4" s="14"/>
      <c r="WPB4" s="14"/>
      <c r="WPC4" s="14"/>
      <c r="WPD4" s="14"/>
      <c r="WPE4" s="14"/>
      <c r="WPF4" s="14"/>
      <c r="WPG4" s="14"/>
      <c r="WPH4" s="14"/>
      <c r="WPI4" s="14"/>
      <c r="WPJ4" s="14"/>
      <c r="WPK4" s="14"/>
      <c r="WPL4" s="14"/>
      <c r="WPM4" s="14"/>
      <c r="WPN4" s="14"/>
      <c r="WPO4" s="14"/>
      <c r="WPP4" s="14"/>
      <c r="WPQ4" s="14"/>
      <c r="WPR4" s="14"/>
      <c r="WPS4" s="14"/>
      <c r="WPT4" s="14"/>
      <c r="WPU4" s="14"/>
      <c r="WPV4" s="14"/>
      <c r="WPW4" s="14"/>
      <c r="WPX4" s="14"/>
      <c r="WPY4" s="14"/>
      <c r="WPZ4" s="14"/>
      <c r="WQA4" s="14"/>
      <c r="WQB4" s="14"/>
      <c r="WQC4" s="14"/>
      <c r="WQD4" s="14"/>
      <c r="WQE4" s="14"/>
      <c r="WQF4" s="14"/>
      <c r="WQG4" s="14"/>
      <c r="WQH4" s="14"/>
      <c r="WQI4" s="14"/>
      <c r="WQJ4" s="14"/>
      <c r="WQK4" s="14"/>
      <c r="WQL4" s="14"/>
      <c r="WQM4" s="14"/>
      <c r="WQN4" s="14"/>
      <c r="WQO4" s="14"/>
      <c r="WQP4" s="14"/>
      <c r="WQQ4" s="14"/>
      <c r="WQR4" s="14"/>
      <c r="WQS4" s="14"/>
      <c r="WQT4" s="14"/>
      <c r="WQU4" s="14"/>
      <c r="WQV4" s="14"/>
      <c r="WQW4" s="14"/>
      <c r="WQX4" s="14"/>
      <c r="WQY4" s="14"/>
      <c r="WQZ4" s="14"/>
      <c r="WRA4" s="14"/>
      <c r="WRB4" s="14"/>
      <c r="WRC4" s="14"/>
      <c r="WRD4" s="14"/>
      <c r="WRE4" s="14"/>
      <c r="WRF4" s="14"/>
      <c r="WRG4" s="14"/>
      <c r="WRH4" s="14"/>
      <c r="WRI4" s="14"/>
      <c r="WRJ4" s="14"/>
      <c r="WRK4" s="14"/>
      <c r="WRL4" s="14"/>
      <c r="WRM4" s="14"/>
      <c r="WRN4" s="14"/>
      <c r="WRO4" s="14"/>
      <c r="WRP4" s="14"/>
      <c r="WRQ4" s="14"/>
      <c r="WRR4" s="14"/>
      <c r="WRS4" s="14"/>
      <c r="WRT4" s="14"/>
      <c r="WRU4" s="14"/>
      <c r="WRV4" s="14"/>
      <c r="WRW4" s="14"/>
      <c r="WRX4" s="14"/>
      <c r="WRY4" s="14"/>
      <c r="WRZ4" s="14"/>
      <c r="WSA4" s="14"/>
      <c r="WSB4" s="14"/>
      <c r="WSC4" s="14"/>
      <c r="WSD4" s="14"/>
      <c r="WSE4" s="14"/>
      <c r="WSF4" s="14"/>
      <c r="WSG4" s="14"/>
      <c r="WSH4" s="14"/>
      <c r="WSI4" s="14"/>
      <c r="WSJ4" s="14"/>
      <c r="WSK4" s="14"/>
      <c r="WSL4" s="14"/>
      <c r="WSM4" s="14"/>
      <c r="WSN4" s="14"/>
      <c r="WSO4" s="14"/>
      <c r="WSP4" s="14"/>
      <c r="WSQ4" s="14"/>
      <c r="WSR4" s="14"/>
      <c r="WSS4" s="14"/>
      <c r="WST4" s="14"/>
      <c r="WSU4" s="14"/>
      <c r="WSV4" s="14"/>
      <c r="WSW4" s="14"/>
      <c r="WSX4" s="14"/>
      <c r="WSY4" s="14"/>
      <c r="WSZ4" s="14"/>
      <c r="WTA4" s="14"/>
      <c r="WTB4" s="14"/>
      <c r="WTC4" s="14"/>
      <c r="WTD4" s="14"/>
      <c r="WTE4" s="14"/>
      <c r="WTF4" s="14"/>
      <c r="WTG4" s="14"/>
      <c r="WTH4" s="14"/>
      <c r="WTI4" s="14"/>
      <c r="WTJ4" s="14"/>
      <c r="WTK4" s="14"/>
      <c r="WTL4" s="14"/>
      <c r="WTM4" s="14"/>
      <c r="WTN4" s="14"/>
      <c r="WTO4" s="14"/>
      <c r="WTP4" s="14"/>
      <c r="WTQ4" s="14"/>
      <c r="WTR4" s="14"/>
      <c r="WTS4" s="14"/>
      <c r="WTT4" s="14"/>
      <c r="WTU4" s="14"/>
      <c r="WTV4" s="14"/>
      <c r="WTW4" s="14"/>
      <c r="WTX4" s="14"/>
      <c r="WTY4" s="14"/>
      <c r="WTZ4" s="14"/>
      <c r="WUA4" s="14"/>
      <c r="WUB4" s="14"/>
      <c r="WUC4" s="14"/>
      <c r="WUD4" s="14"/>
      <c r="WUE4" s="14"/>
      <c r="WUF4" s="14"/>
      <c r="WUG4" s="14"/>
      <c r="WUH4" s="14"/>
      <c r="WUI4" s="14"/>
      <c r="WUJ4" s="14"/>
      <c r="WUK4" s="14"/>
      <c r="WUL4" s="14"/>
      <c r="WUM4" s="14"/>
      <c r="WUN4" s="14"/>
      <c r="WUO4" s="14"/>
      <c r="WUP4" s="14"/>
      <c r="WUQ4" s="14"/>
      <c r="WUR4" s="14"/>
      <c r="WUS4" s="14"/>
      <c r="WUT4" s="14"/>
      <c r="WUU4" s="14"/>
      <c r="WUV4" s="14"/>
      <c r="WUW4" s="14"/>
      <c r="WUX4" s="14"/>
      <c r="WUY4" s="14"/>
      <c r="WUZ4" s="14"/>
      <c r="WVA4" s="14"/>
      <c r="WVB4" s="14"/>
      <c r="WVC4" s="14"/>
      <c r="WVD4" s="14"/>
      <c r="WVE4" s="14"/>
      <c r="WVF4" s="14"/>
      <c r="WVG4" s="14"/>
      <c r="WVH4" s="14"/>
      <c r="WVI4" s="14"/>
      <c r="WVJ4" s="14"/>
      <c r="WVK4" s="14"/>
      <c r="WVL4" s="14"/>
      <c r="WVM4" s="14"/>
      <c r="WVN4" s="14"/>
      <c r="WVO4" s="14"/>
      <c r="WVP4" s="14"/>
      <c r="WVQ4" s="14"/>
      <c r="WVR4" s="14"/>
      <c r="WVS4" s="14"/>
      <c r="WVT4" s="14"/>
      <c r="WVU4" s="14"/>
      <c r="WVV4" s="14"/>
      <c r="WVW4" s="14"/>
      <c r="WVX4" s="14"/>
      <c r="WVY4" s="14"/>
      <c r="WVZ4" s="14"/>
      <c r="WWA4" s="14"/>
      <c r="WWB4" s="14"/>
      <c r="WWC4" s="14"/>
      <c r="WWD4" s="14"/>
      <c r="WWE4" s="14"/>
      <c r="WWF4" s="14"/>
      <c r="WWG4" s="14"/>
      <c r="WWH4" s="14"/>
      <c r="WWI4" s="14"/>
      <c r="WWJ4" s="14"/>
      <c r="WWK4" s="14"/>
      <c r="WWL4" s="14"/>
      <c r="WWM4" s="14"/>
      <c r="WWN4" s="14"/>
      <c r="WWO4" s="14"/>
      <c r="WWP4" s="14"/>
      <c r="WWQ4" s="14"/>
      <c r="WWR4" s="14"/>
      <c r="WWS4" s="14"/>
      <c r="WWT4" s="14"/>
      <c r="WWU4" s="14"/>
      <c r="WWV4" s="14"/>
      <c r="WWW4" s="14"/>
      <c r="WWX4" s="14"/>
      <c r="WWY4" s="14"/>
      <c r="WWZ4" s="14"/>
      <c r="WXA4" s="14"/>
      <c r="WXB4" s="14"/>
      <c r="WXC4" s="14"/>
      <c r="WXD4" s="14"/>
      <c r="WXE4" s="14"/>
      <c r="WXF4" s="14"/>
      <c r="WXG4" s="14"/>
      <c r="WXH4" s="14"/>
      <c r="WXI4" s="14"/>
      <c r="WXJ4" s="14"/>
      <c r="WXK4" s="14"/>
      <c r="WXL4" s="14"/>
      <c r="WXM4" s="14"/>
      <c r="WXN4" s="14"/>
      <c r="WXO4" s="14"/>
      <c r="WXP4" s="14"/>
      <c r="WXQ4" s="14"/>
      <c r="WXR4" s="14"/>
      <c r="WXS4" s="14"/>
      <c r="WXT4" s="14"/>
      <c r="WXU4" s="14"/>
      <c r="WXV4" s="14"/>
      <c r="WXW4" s="14"/>
      <c r="WXX4" s="14"/>
      <c r="WXY4" s="14"/>
      <c r="WXZ4" s="14"/>
      <c r="WYA4" s="14"/>
      <c r="WYB4" s="14"/>
      <c r="WYC4" s="14"/>
      <c r="WYD4" s="14"/>
      <c r="WYE4" s="14"/>
      <c r="WYF4" s="14"/>
      <c r="WYG4" s="14"/>
      <c r="WYH4" s="14"/>
      <c r="WYI4" s="14"/>
      <c r="WYJ4" s="14"/>
      <c r="WYK4" s="14"/>
      <c r="WYL4" s="14"/>
      <c r="WYM4" s="14"/>
      <c r="WYN4" s="14"/>
      <c r="WYO4" s="14"/>
      <c r="WYP4" s="14"/>
      <c r="WYQ4" s="14"/>
      <c r="WYR4" s="14"/>
      <c r="WYS4" s="14"/>
      <c r="WYT4" s="14"/>
      <c r="WYU4" s="14"/>
      <c r="WYV4" s="14"/>
      <c r="WYW4" s="14"/>
      <c r="WYX4" s="14"/>
      <c r="WYY4" s="14"/>
      <c r="WYZ4" s="14"/>
      <c r="WZA4" s="14"/>
      <c r="WZB4" s="14"/>
      <c r="WZC4" s="14"/>
      <c r="WZD4" s="14"/>
      <c r="WZE4" s="14"/>
      <c r="WZF4" s="14"/>
      <c r="WZG4" s="14"/>
      <c r="WZH4" s="14"/>
      <c r="WZI4" s="14"/>
      <c r="WZJ4" s="14"/>
      <c r="WZK4" s="14"/>
      <c r="WZL4" s="14"/>
      <c r="WZM4" s="14"/>
      <c r="WZN4" s="14"/>
      <c r="WZO4" s="14"/>
      <c r="WZP4" s="14"/>
      <c r="WZQ4" s="14"/>
      <c r="WZR4" s="14"/>
      <c r="WZS4" s="14"/>
      <c r="WZT4" s="14"/>
      <c r="WZU4" s="14"/>
      <c r="WZV4" s="14"/>
      <c r="WZW4" s="14"/>
      <c r="WZX4" s="14"/>
      <c r="WZY4" s="14"/>
      <c r="WZZ4" s="14"/>
      <c r="XAA4" s="14"/>
      <c r="XAB4" s="14"/>
      <c r="XAC4" s="14"/>
      <c r="XAD4" s="14"/>
      <c r="XAE4" s="14"/>
      <c r="XAF4" s="14"/>
      <c r="XAG4" s="14"/>
      <c r="XAH4" s="14"/>
      <c r="XAI4" s="14"/>
      <c r="XAJ4" s="14"/>
      <c r="XAK4" s="14"/>
      <c r="XAL4" s="14"/>
      <c r="XAM4" s="14"/>
      <c r="XAN4" s="14"/>
      <c r="XAO4" s="14"/>
      <c r="XAP4" s="14"/>
      <c r="XAQ4" s="14"/>
      <c r="XAR4" s="14"/>
      <c r="XAS4" s="14"/>
      <c r="XAT4" s="14"/>
      <c r="XAU4" s="14"/>
      <c r="XAV4" s="14"/>
      <c r="XAW4" s="14"/>
      <c r="XAX4" s="14"/>
      <c r="XAY4" s="14"/>
      <c r="XAZ4" s="14"/>
      <c r="XBA4" s="14"/>
      <c r="XBB4" s="14"/>
      <c r="XBC4" s="14"/>
      <c r="XBD4" s="14"/>
      <c r="XBE4" s="14"/>
      <c r="XBF4" s="14"/>
      <c r="XBG4" s="14"/>
      <c r="XBH4" s="14"/>
      <c r="XBI4" s="14"/>
      <c r="XBJ4" s="14"/>
      <c r="XBK4" s="14"/>
      <c r="XBL4" s="14"/>
      <c r="XBM4" s="14"/>
      <c r="XBN4" s="14"/>
      <c r="XBO4" s="14"/>
      <c r="XBP4" s="14"/>
      <c r="XBQ4" s="14"/>
      <c r="XBR4" s="14"/>
      <c r="XBS4" s="14"/>
      <c r="XBT4" s="14"/>
      <c r="XBU4" s="14"/>
      <c r="XBV4" s="14"/>
      <c r="XBW4" s="14"/>
      <c r="XBX4" s="14"/>
      <c r="XBY4" s="14"/>
      <c r="XBZ4" s="14"/>
      <c r="XCA4" s="14"/>
      <c r="XCB4" s="14"/>
      <c r="XCC4" s="14"/>
      <c r="XCD4" s="14"/>
      <c r="XCE4" s="14"/>
      <c r="XCF4" s="14"/>
      <c r="XCG4" s="14"/>
      <c r="XCH4" s="14"/>
      <c r="XCI4" s="14"/>
      <c r="XCJ4" s="14"/>
      <c r="XCK4" s="14"/>
      <c r="XCL4" s="14"/>
      <c r="XCM4" s="14"/>
      <c r="XCN4" s="14"/>
      <c r="XCO4" s="14"/>
      <c r="XCP4" s="14"/>
      <c r="XCQ4" s="14"/>
      <c r="XCR4" s="14"/>
      <c r="XCS4" s="14"/>
      <c r="XCT4" s="14"/>
      <c r="XCU4" s="14"/>
      <c r="XCV4" s="14"/>
      <c r="XCW4" s="14"/>
      <c r="XCX4" s="14"/>
      <c r="XCY4" s="14"/>
      <c r="XCZ4" s="14"/>
      <c r="XDA4" s="14"/>
      <c r="XDB4" s="14"/>
      <c r="XDC4" s="14"/>
      <c r="XDD4" s="14"/>
      <c r="XDE4" s="14"/>
      <c r="XDF4" s="14"/>
      <c r="XDG4" s="14"/>
      <c r="XDH4" s="14"/>
      <c r="XDI4" s="14"/>
      <c r="XDJ4" s="14"/>
      <c r="XDK4" s="14"/>
      <c r="XDL4" s="14"/>
      <c r="XDM4" s="14"/>
      <c r="XDN4" s="14"/>
      <c r="XDO4" s="14"/>
      <c r="XDP4" s="14"/>
      <c r="XDQ4" s="14"/>
      <c r="XDR4" s="14"/>
      <c r="XDS4" s="14"/>
      <c r="XDT4" s="14"/>
      <c r="XDU4" s="14"/>
      <c r="XDV4" s="14"/>
      <c r="XDW4" s="14"/>
      <c r="XDX4" s="14"/>
      <c r="XDY4" s="14"/>
      <c r="XDZ4" s="14"/>
      <c r="XEA4" s="14"/>
      <c r="XEB4" s="14"/>
      <c r="XEC4" s="14"/>
      <c r="XED4" s="14"/>
      <c r="XEE4" s="14"/>
      <c r="XEF4" s="14"/>
      <c r="XEG4" s="14"/>
      <c r="XEH4" s="14"/>
      <c r="XEI4" s="14"/>
      <c r="XEJ4" s="14"/>
      <c r="XEK4" s="14"/>
      <c r="XEL4" s="14"/>
    </row>
    <row r="5" spans="1:16366" x14ac:dyDescent="0.25">
      <c r="A5" s="1" t="s">
        <v>145</v>
      </c>
      <c r="C5" s="53" t="s">
        <v>81</v>
      </c>
      <c r="D5" s="53">
        <v>1.3</v>
      </c>
      <c r="E5" s="53">
        <v>1.6</v>
      </c>
      <c r="F5" s="53">
        <v>0.66700000000000004</v>
      </c>
      <c r="G5" s="53">
        <v>0.33600000000000002</v>
      </c>
      <c r="H5" s="53">
        <v>2</v>
      </c>
      <c r="I5" s="53">
        <v>1.6</v>
      </c>
      <c r="J5" s="53">
        <v>10</v>
      </c>
      <c r="K5" s="53">
        <v>5</v>
      </c>
      <c r="L5" s="53">
        <v>4</v>
      </c>
      <c r="M5" s="53">
        <v>5</v>
      </c>
      <c r="N5" s="53">
        <v>4</v>
      </c>
      <c r="O5" s="64">
        <v>0</v>
      </c>
      <c r="P5" s="53">
        <f t="shared" ref="P5:X5" si="1">O5*1.065</f>
        <v>0</v>
      </c>
      <c r="Q5" s="53">
        <f t="shared" si="1"/>
        <v>0</v>
      </c>
      <c r="R5" s="53">
        <f t="shared" si="1"/>
        <v>0</v>
      </c>
      <c r="S5" s="53">
        <f t="shared" si="1"/>
        <v>0</v>
      </c>
      <c r="T5" s="53">
        <f t="shared" si="1"/>
        <v>0</v>
      </c>
      <c r="U5" s="53">
        <f t="shared" si="1"/>
        <v>0</v>
      </c>
      <c r="V5" s="53">
        <f t="shared" si="1"/>
        <v>0</v>
      </c>
      <c r="W5" s="53">
        <f t="shared" si="1"/>
        <v>0</v>
      </c>
      <c r="X5" s="53">
        <f t="shared" si="1"/>
        <v>0</v>
      </c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</row>
    <row r="6" spans="1:16366" x14ac:dyDescent="0.25">
      <c r="A6" s="25">
        <f>AA24</f>
        <v>83.52357908992154</v>
      </c>
      <c r="C6" s="1" t="s">
        <v>22</v>
      </c>
      <c r="D6" s="18">
        <f t="shared" ref="D6:J6" si="2">SUM(D4:D5)</f>
        <v>1189.7329999999999</v>
      </c>
      <c r="E6" s="18">
        <f t="shared" si="2"/>
        <v>1295.5319999999999</v>
      </c>
      <c r="F6" s="18">
        <f t="shared" si="2"/>
        <v>1382.3419999999999</v>
      </c>
      <c r="G6" s="18">
        <f t="shared" si="2"/>
        <v>1467.0650000000001</v>
      </c>
      <c r="H6" s="18">
        <f t="shared" si="2"/>
        <v>2344.1799999999998</v>
      </c>
      <c r="I6" s="18">
        <f t="shared" si="2"/>
        <v>2996.2579999999998</v>
      </c>
      <c r="J6" s="18">
        <f t="shared" si="2"/>
        <v>3107.096</v>
      </c>
      <c r="K6" s="18">
        <f>SUM(K4:K5)</f>
        <v>3184</v>
      </c>
      <c r="L6" s="18">
        <f t="shared" ref="L6" si="3">SUM(L4:L5)</f>
        <v>3417</v>
      </c>
      <c r="M6" s="18">
        <f>SUM(M4:M5)</f>
        <v>3790</v>
      </c>
      <c r="N6" s="18">
        <f>SUM(N4:N5)</f>
        <v>3948</v>
      </c>
      <c r="O6" s="16">
        <f t="shared" ref="O6:X6" si="4">SUM(O4:O5)</f>
        <v>3944</v>
      </c>
      <c r="P6" s="18">
        <f t="shared" si="4"/>
        <v>3944</v>
      </c>
      <c r="Q6" s="18">
        <f t="shared" si="4"/>
        <v>3944</v>
      </c>
      <c r="R6" s="18">
        <f t="shared" si="4"/>
        <v>3944</v>
      </c>
      <c r="S6" s="18">
        <f t="shared" si="4"/>
        <v>3944</v>
      </c>
      <c r="T6" s="18">
        <f t="shared" si="4"/>
        <v>3944</v>
      </c>
      <c r="U6" s="18">
        <f t="shared" si="4"/>
        <v>3944</v>
      </c>
      <c r="V6" s="18">
        <f t="shared" si="4"/>
        <v>3944</v>
      </c>
      <c r="W6" s="18">
        <f t="shared" si="4"/>
        <v>3944</v>
      </c>
      <c r="X6" s="18">
        <f t="shared" si="4"/>
        <v>3944</v>
      </c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</row>
    <row r="7" spans="1:16366" x14ac:dyDescent="0.25">
      <c r="A7" s="27">
        <f>AA25</f>
        <v>-0.29217305855998693</v>
      </c>
      <c r="C7" s="3" t="s">
        <v>23</v>
      </c>
      <c r="D7" s="14">
        <v>-492</v>
      </c>
      <c r="E7" s="14">
        <v>-515.29899999999998</v>
      </c>
      <c r="F7" s="14">
        <v>-547.62699999999995</v>
      </c>
      <c r="G7" s="14">
        <v>-573.23</v>
      </c>
      <c r="H7" s="14">
        <f>-1019.79+94.124</f>
        <v>-925.66599999999994</v>
      </c>
      <c r="I7" s="14">
        <f>-1128.69+15.677</f>
        <v>-1113.0130000000001</v>
      </c>
      <c r="J7" s="14">
        <v>-1159.5060000000001</v>
      </c>
      <c r="K7" s="14">
        <v>-1332</v>
      </c>
      <c r="L7" s="14">
        <v>-1314</v>
      </c>
      <c r="M7" s="14">
        <v>-1443</v>
      </c>
      <c r="N7" s="14">
        <v>-1520</v>
      </c>
      <c r="O7" s="15">
        <f>O6*-0.38</f>
        <v>-1498.72</v>
      </c>
      <c r="P7" s="14">
        <f t="shared" ref="P7:X7" si="5">P6*-0.38</f>
        <v>-1498.72</v>
      </c>
      <c r="Q7" s="14">
        <f t="shared" si="5"/>
        <v>-1498.72</v>
      </c>
      <c r="R7" s="14">
        <f t="shared" si="5"/>
        <v>-1498.72</v>
      </c>
      <c r="S7" s="14">
        <f t="shared" si="5"/>
        <v>-1498.72</v>
      </c>
      <c r="T7" s="14">
        <f t="shared" si="5"/>
        <v>-1498.72</v>
      </c>
      <c r="U7" s="14">
        <f t="shared" si="5"/>
        <v>-1498.72</v>
      </c>
      <c r="V7" s="14">
        <f t="shared" si="5"/>
        <v>-1498.72</v>
      </c>
      <c r="W7" s="14">
        <f t="shared" si="5"/>
        <v>-1498.72</v>
      </c>
      <c r="X7" s="14">
        <f t="shared" si="5"/>
        <v>-1498.72</v>
      </c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  <c r="IS7" s="14"/>
      <c r="IT7" s="14"/>
      <c r="IU7" s="14"/>
      <c r="IV7" s="14"/>
      <c r="IW7" s="14"/>
      <c r="IX7" s="14"/>
      <c r="IY7" s="14"/>
      <c r="IZ7" s="14"/>
      <c r="JA7" s="14"/>
      <c r="JB7" s="14"/>
      <c r="JC7" s="14"/>
      <c r="JD7" s="14"/>
      <c r="JE7" s="14"/>
      <c r="JF7" s="14"/>
      <c r="JG7" s="14"/>
      <c r="JH7" s="14"/>
      <c r="JI7" s="14"/>
      <c r="JJ7" s="14"/>
      <c r="JK7" s="14"/>
      <c r="JL7" s="14"/>
      <c r="JM7" s="14"/>
      <c r="JN7" s="14"/>
      <c r="JO7" s="14"/>
      <c r="JP7" s="14"/>
      <c r="JQ7" s="14"/>
      <c r="JR7" s="14"/>
      <c r="JS7" s="14"/>
      <c r="JT7" s="14"/>
      <c r="JU7" s="14"/>
      <c r="JV7" s="14"/>
      <c r="JW7" s="14"/>
      <c r="JX7" s="14"/>
      <c r="JY7" s="14"/>
      <c r="JZ7" s="14"/>
      <c r="KA7" s="14"/>
      <c r="KB7" s="14"/>
      <c r="KC7" s="14"/>
      <c r="KD7" s="14"/>
      <c r="KE7" s="14"/>
      <c r="KF7" s="14"/>
      <c r="KG7" s="14"/>
      <c r="KH7" s="14"/>
      <c r="KI7" s="14"/>
      <c r="KJ7" s="14"/>
      <c r="KK7" s="14"/>
      <c r="KL7" s="14"/>
      <c r="KM7" s="14"/>
      <c r="KN7" s="14"/>
      <c r="KO7" s="14"/>
      <c r="KP7" s="14"/>
      <c r="KQ7" s="14"/>
      <c r="KR7" s="14"/>
      <c r="KS7" s="14"/>
      <c r="KT7" s="14"/>
      <c r="KU7" s="14"/>
      <c r="KV7" s="14"/>
      <c r="KW7" s="14"/>
      <c r="KX7" s="14"/>
      <c r="KY7" s="14"/>
      <c r="KZ7" s="14"/>
      <c r="LA7" s="14"/>
      <c r="LB7" s="14"/>
      <c r="LC7" s="14"/>
      <c r="LD7" s="14"/>
      <c r="LE7" s="14"/>
      <c r="LF7" s="14"/>
      <c r="LG7" s="14"/>
      <c r="LH7" s="14"/>
      <c r="LI7" s="14"/>
      <c r="LJ7" s="14"/>
      <c r="LK7" s="14"/>
      <c r="LL7" s="14"/>
      <c r="LM7" s="14"/>
      <c r="LN7" s="14"/>
      <c r="LO7" s="14"/>
      <c r="LP7" s="14"/>
      <c r="LQ7" s="14"/>
      <c r="LR7" s="14"/>
      <c r="LS7" s="14"/>
      <c r="LT7" s="14"/>
      <c r="LU7" s="14"/>
      <c r="LV7" s="14"/>
      <c r="LW7" s="14"/>
      <c r="LX7" s="14"/>
      <c r="LY7" s="14"/>
      <c r="LZ7" s="14"/>
      <c r="MA7" s="14"/>
      <c r="MB7" s="14"/>
      <c r="MC7" s="14"/>
      <c r="MD7" s="14"/>
      <c r="ME7" s="14"/>
      <c r="MF7" s="14"/>
      <c r="MG7" s="14"/>
      <c r="MH7" s="14"/>
      <c r="MI7" s="14"/>
      <c r="MJ7" s="14"/>
      <c r="MK7" s="14"/>
      <c r="ML7" s="14"/>
      <c r="MM7" s="14"/>
      <c r="MN7" s="14"/>
      <c r="MO7" s="14"/>
      <c r="MP7" s="14"/>
      <c r="MQ7" s="14"/>
      <c r="MR7" s="14"/>
      <c r="MS7" s="14"/>
      <c r="MT7" s="14"/>
      <c r="MU7" s="14"/>
      <c r="MV7" s="14"/>
      <c r="MW7" s="14"/>
      <c r="MX7" s="14"/>
      <c r="MY7" s="14"/>
      <c r="MZ7" s="14"/>
      <c r="NA7" s="14"/>
      <c r="NB7" s="14"/>
      <c r="NC7" s="14"/>
      <c r="ND7" s="14"/>
      <c r="NE7" s="14"/>
      <c r="NF7" s="14"/>
      <c r="NG7" s="14"/>
      <c r="NH7" s="14"/>
      <c r="NI7" s="14"/>
      <c r="NJ7" s="14"/>
      <c r="NK7" s="14"/>
      <c r="NL7" s="14"/>
      <c r="NM7" s="14"/>
      <c r="NN7" s="14"/>
      <c r="NO7" s="14"/>
      <c r="NP7" s="14"/>
      <c r="NQ7" s="14"/>
      <c r="NR7" s="14"/>
      <c r="NS7" s="14"/>
      <c r="NT7" s="14"/>
      <c r="NU7" s="14"/>
      <c r="NV7" s="14"/>
      <c r="NW7" s="14"/>
      <c r="NX7" s="14"/>
      <c r="NY7" s="14"/>
      <c r="NZ7" s="14"/>
      <c r="OA7" s="14"/>
      <c r="OB7" s="14"/>
      <c r="OC7" s="14"/>
      <c r="OD7" s="14"/>
      <c r="OE7" s="14"/>
      <c r="OF7" s="14"/>
      <c r="OG7" s="14"/>
      <c r="OH7" s="14"/>
      <c r="OI7" s="14"/>
      <c r="OJ7" s="14"/>
      <c r="OK7" s="14"/>
      <c r="OL7" s="14"/>
      <c r="OM7" s="14"/>
      <c r="ON7" s="14"/>
      <c r="OO7" s="14"/>
      <c r="OP7" s="14"/>
      <c r="OQ7" s="14"/>
      <c r="OR7" s="14"/>
      <c r="OS7" s="14"/>
      <c r="OT7" s="14"/>
      <c r="OU7" s="14"/>
      <c r="OV7" s="14"/>
      <c r="OW7" s="14"/>
      <c r="OX7" s="14"/>
      <c r="OY7" s="14"/>
      <c r="OZ7" s="14"/>
      <c r="PA7" s="14"/>
      <c r="PB7" s="14"/>
      <c r="PC7" s="14"/>
      <c r="PD7" s="14"/>
      <c r="PE7" s="14"/>
      <c r="PF7" s="14"/>
      <c r="PG7" s="14"/>
      <c r="PH7" s="14"/>
      <c r="PI7" s="14"/>
      <c r="PJ7" s="14"/>
      <c r="PK7" s="14"/>
      <c r="PL7" s="14"/>
      <c r="PM7" s="14"/>
      <c r="PN7" s="14"/>
      <c r="PO7" s="14"/>
      <c r="PP7" s="14"/>
      <c r="PQ7" s="14"/>
      <c r="PR7" s="14"/>
      <c r="PS7" s="14"/>
      <c r="PT7" s="14"/>
      <c r="PU7" s="14"/>
      <c r="PV7" s="14"/>
      <c r="PW7" s="14"/>
      <c r="PX7" s="14"/>
      <c r="PY7" s="14"/>
      <c r="PZ7" s="14"/>
      <c r="QA7" s="14"/>
      <c r="QB7" s="14"/>
      <c r="QC7" s="14"/>
      <c r="QD7" s="14"/>
      <c r="QE7" s="14"/>
      <c r="QF7" s="14"/>
      <c r="QG7" s="14"/>
      <c r="QH7" s="14"/>
      <c r="QI7" s="14"/>
      <c r="QJ7" s="14"/>
      <c r="QK7" s="14"/>
      <c r="QL7" s="14"/>
      <c r="QM7" s="14"/>
      <c r="QN7" s="14"/>
      <c r="QO7" s="14"/>
      <c r="QP7" s="14"/>
      <c r="QQ7" s="14"/>
      <c r="QR7" s="14"/>
      <c r="QS7" s="14"/>
      <c r="QT7" s="14"/>
      <c r="QU7" s="14"/>
      <c r="QV7" s="14"/>
      <c r="QW7" s="14"/>
      <c r="QX7" s="14"/>
      <c r="QY7" s="14"/>
      <c r="QZ7" s="14"/>
      <c r="RA7" s="14"/>
      <c r="RB7" s="14"/>
      <c r="RC7" s="14"/>
      <c r="RD7" s="14"/>
      <c r="RE7" s="14"/>
      <c r="RF7" s="14"/>
      <c r="RG7" s="14"/>
      <c r="RH7" s="14"/>
      <c r="RI7" s="14"/>
      <c r="RJ7" s="14"/>
      <c r="RK7" s="14"/>
      <c r="RL7" s="14"/>
      <c r="RM7" s="14"/>
      <c r="RN7" s="14"/>
      <c r="RO7" s="14"/>
      <c r="RP7" s="14"/>
      <c r="RQ7" s="14"/>
      <c r="RR7" s="14"/>
      <c r="RS7" s="14"/>
      <c r="RT7" s="14"/>
      <c r="RU7" s="14"/>
      <c r="RV7" s="14"/>
      <c r="RW7" s="14"/>
      <c r="RX7" s="14"/>
      <c r="RY7" s="14"/>
      <c r="RZ7" s="14"/>
      <c r="SA7" s="14"/>
      <c r="SB7" s="14"/>
      <c r="SC7" s="14"/>
      <c r="SD7" s="14"/>
      <c r="SE7" s="14"/>
      <c r="SF7" s="14"/>
      <c r="SG7" s="14"/>
      <c r="SH7" s="14"/>
      <c r="SI7" s="14"/>
      <c r="SJ7" s="14"/>
      <c r="SK7" s="14"/>
      <c r="SL7" s="14"/>
      <c r="SM7" s="14"/>
      <c r="SN7" s="14"/>
      <c r="SO7" s="14"/>
      <c r="SP7" s="14"/>
      <c r="SQ7" s="14"/>
      <c r="SR7" s="14"/>
      <c r="SS7" s="14"/>
      <c r="ST7" s="14"/>
      <c r="SU7" s="14"/>
      <c r="SV7" s="14"/>
      <c r="SW7" s="14"/>
      <c r="SX7" s="14"/>
      <c r="SY7" s="14"/>
      <c r="SZ7" s="14"/>
      <c r="TA7" s="14"/>
      <c r="TB7" s="14"/>
      <c r="TC7" s="14"/>
      <c r="TD7" s="14"/>
      <c r="TE7" s="14"/>
      <c r="TF7" s="14"/>
      <c r="TG7" s="14"/>
      <c r="TH7" s="14"/>
      <c r="TI7" s="14"/>
      <c r="TJ7" s="14"/>
      <c r="TK7" s="14"/>
      <c r="TL7" s="14"/>
      <c r="TM7" s="14"/>
      <c r="TN7" s="14"/>
      <c r="TO7" s="14"/>
      <c r="TP7" s="14"/>
      <c r="TQ7" s="14"/>
      <c r="TR7" s="14"/>
      <c r="TS7" s="14"/>
      <c r="TT7" s="14"/>
      <c r="TU7" s="14"/>
      <c r="TV7" s="14"/>
      <c r="TW7" s="14"/>
      <c r="TX7" s="14"/>
      <c r="TY7" s="14"/>
      <c r="TZ7" s="14"/>
      <c r="UA7" s="14"/>
      <c r="UB7" s="14"/>
      <c r="UC7" s="14"/>
      <c r="UD7" s="14"/>
      <c r="UE7" s="14"/>
      <c r="UF7" s="14"/>
      <c r="UG7" s="14"/>
      <c r="UH7" s="14"/>
      <c r="UI7" s="14"/>
      <c r="UJ7" s="14"/>
      <c r="UK7" s="14"/>
      <c r="UL7" s="14"/>
      <c r="UM7" s="14"/>
      <c r="UN7" s="14"/>
      <c r="UO7" s="14"/>
      <c r="UP7" s="14"/>
      <c r="UQ7" s="14"/>
      <c r="UR7" s="14"/>
      <c r="US7" s="14"/>
      <c r="UT7" s="14"/>
      <c r="UU7" s="14"/>
      <c r="UV7" s="14"/>
      <c r="UW7" s="14"/>
      <c r="UX7" s="14"/>
      <c r="UY7" s="14"/>
      <c r="UZ7" s="14"/>
      <c r="VA7" s="14"/>
      <c r="VB7" s="14"/>
      <c r="VC7" s="14"/>
      <c r="VD7" s="14"/>
      <c r="VE7" s="14"/>
      <c r="VF7" s="14"/>
      <c r="VG7" s="14"/>
      <c r="VH7" s="14"/>
      <c r="VI7" s="14"/>
      <c r="VJ7" s="14"/>
      <c r="VK7" s="14"/>
      <c r="VL7" s="14"/>
      <c r="VM7" s="14"/>
      <c r="VN7" s="14"/>
      <c r="VO7" s="14"/>
      <c r="VP7" s="14"/>
      <c r="VQ7" s="14"/>
      <c r="VR7" s="14"/>
      <c r="VS7" s="14"/>
      <c r="VT7" s="14"/>
      <c r="VU7" s="14"/>
      <c r="VV7" s="14"/>
      <c r="VW7" s="14"/>
      <c r="VX7" s="14"/>
      <c r="VY7" s="14"/>
      <c r="VZ7" s="14"/>
      <c r="WA7" s="14"/>
      <c r="WB7" s="14"/>
      <c r="WC7" s="14"/>
      <c r="WD7" s="14"/>
      <c r="WE7" s="14"/>
      <c r="WF7" s="14"/>
      <c r="WG7" s="14"/>
      <c r="WH7" s="14"/>
      <c r="WI7" s="14"/>
      <c r="WJ7" s="14"/>
      <c r="WK7" s="14"/>
      <c r="WL7" s="14"/>
      <c r="WM7" s="14"/>
      <c r="WN7" s="14"/>
      <c r="WO7" s="14"/>
      <c r="WP7" s="14"/>
      <c r="WQ7" s="14"/>
      <c r="WR7" s="14"/>
      <c r="WS7" s="14"/>
      <c r="WT7" s="14"/>
      <c r="WU7" s="14"/>
      <c r="WV7" s="14"/>
      <c r="WW7" s="14"/>
      <c r="WX7" s="14"/>
      <c r="WY7" s="14"/>
      <c r="WZ7" s="14"/>
      <c r="XA7" s="14"/>
      <c r="XB7" s="14"/>
      <c r="XC7" s="14"/>
      <c r="XD7" s="14"/>
      <c r="XE7" s="14"/>
      <c r="XF7" s="14"/>
      <c r="XG7" s="14"/>
      <c r="XH7" s="14"/>
      <c r="XI7" s="14"/>
      <c r="XJ7" s="14"/>
      <c r="XK7" s="14"/>
      <c r="XL7" s="14"/>
      <c r="XM7" s="14"/>
      <c r="XN7" s="14"/>
      <c r="XO7" s="14"/>
      <c r="XP7" s="14"/>
      <c r="XQ7" s="14"/>
      <c r="XR7" s="14"/>
      <c r="XS7" s="14"/>
      <c r="XT7" s="14"/>
      <c r="XU7" s="14"/>
      <c r="XV7" s="14"/>
      <c r="XW7" s="14"/>
      <c r="XX7" s="14"/>
      <c r="XY7" s="14"/>
      <c r="XZ7" s="14"/>
      <c r="YA7" s="14"/>
      <c r="YB7" s="14"/>
      <c r="YC7" s="14"/>
      <c r="YD7" s="14"/>
      <c r="YE7" s="14"/>
      <c r="YF7" s="14"/>
      <c r="YG7" s="14"/>
      <c r="YH7" s="14"/>
      <c r="YI7" s="14"/>
      <c r="YJ7" s="14"/>
      <c r="YK7" s="14"/>
      <c r="YL7" s="14"/>
      <c r="YM7" s="14"/>
      <c r="YN7" s="14"/>
      <c r="YO7" s="14"/>
      <c r="YP7" s="14"/>
      <c r="YQ7" s="14"/>
      <c r="YR7" s="14"/>
      <c r="YS7" s="14"/>
      <c r="YT7" s="14"/>
      <c r="YU7" s="14"/>
      <c r="YV7" s="14"/>
      <c r="YW7" s="14"/>
      <c r="YX7" s="14"/>
      <c r="YY7" s="14"/>
      <c r="YZ7" s="14"/>
      <c r="ZA7" s="14"/>
      <c r="ZB7" s="14"/>
      <c r="ZC7" s="14"/>
      <c r="ZD7" s="14"/>
      <c r="ZE7" s="14"/>
      <c r="ZF7" s="14"/>
      <c r="ZG7" s="14"/>
      <c r="ZH7" s="14"/>
      <c r="ZI7" s="14"/>
      <c r="ZJ7" s="14"/>
      <c r="ZK7" s="14"/>
      <c r="ZL7" s="14"/>
      <c r="ZM7" s="14"/>
      <c r="ZN7" s="14"/>
      <c r="ZO7" s="14"/>
      <c r="ZP7" s="14"/>
      <c r="ZQ7" s="14"/>
      <c r="ZR7" s="14"/>
      <c r="ZS7" s="14"/>
      <c r="ZT7" s="14"/>
      <c r="ZU7" s="14"/>
      <c r="ZV7" s="14"/>
      <c r="ZW7" s="14"/>
      <c r="ZX7" s="14"/>
      <c r="ZY7" s="14"/>
      <c r="ZZ7" s="14"/>
      <c r="AAA7" s="14"/>
      <c r="AAB7" s="14"/>
      <c r="AAC7" s="14"/>
      <c r="AAD7" s="14"/>
      <c r="AAE7" s="14"/>
      <c r="AAF7" s="14"/>
      <c r="AAG7" s="14"/>
      <c r="AAH7" s="14"/>
      <c r="AAI7" s="14"/>
      <c r="AAJ7" s="14"/>
      <c r="AAK7" s="14"/>
      <c r="AAL7" s="14"/>
      <c r="AAM7" s="14"/>
      <c r="AAN7" s="14"/>
      <c r="AAO7" s="14"/>
      <c r="AAP7" s="14"/>
      <c r="AAQ7" s="14"/>
      <c r="AAR7" s="14"/>
      <c r="AAS7" s="14"/>
      <c r="AAT7" s="14"/>
      <c r="AAU7" s="14"/>
      <c r="AAV7" s="14"/>
      <c r="AAW7" s="14"/>
      <c r="AAX7" s="14"/>
      <c r="AAY7" s="14"/>
      <c r="AAZ7" s="14"/>
      <c r="ABA7" s="14"/>
      <c r="ABB7" s="14"/>
      <c r="ABC7" s="14"/>
      <c r="ABD7" s="14"/>
      <c r="ABE7" s="14"/>
      <c r="ABF7" s="14"/>
      <c r="ABG7" s="14"/>
      <c r="ABH7" s="14"/>
      <c r="ABI7" s="14"/>
      <c r="ABJ7" s="14"/>
      <c r="ABK7" s="14"/>
      <c r="ABL7" s="14"/>
      <c r="ABM7" s="14"/>
      <c r="ABN7" s="14"/>
      <c r="ABO7" s="14"/>
      <c r="ABP7" s="14"/>
      <c r="ABQ7" s="14"/>
      <c r="ABR7" s="14"/>
      <c r="ABS7" s="14"/>
      <c r="ABT7" s="14"/>
      <c r="ABU7" s="14"/>
      <c r="ABV7" s="14"/>
      <c r="ABW7" s="14"/>
      <c r="ABX7" s="14"/>
      <c r="ABY7" s="14"/>
      <c r="ABZ7" s="14"/>
      <c r="ACA7" s="14"/>
      <c r="ACB7" s="14"/>
      <c r="ACC7" s="14"/>
      <c r="ACD7" s="14"/>
      <c r="ACE7" s="14"/>
      <c r="ACF7" s="14"/>
      <c r="ACG7" s="14"/>
      <c r="ACH7" s="14"/>
      <c r="ACI7" s="14"/>
      <c r="ACJ7" s="14"/>
      <c r="ACK7" s="14"/>
      <c r="ACL7" s="14"/>
      <c r="ACM7" s="14"/>
      <c r="ACN7" s="14"/>
      <c r="ACO7" s="14"/>
      <c r="ACP7" s="14"/>
      <c r="ACQ7" s="14"/>
      <c r="ACR7" s="14"/>
      <c r="ACS7" s="14"/>
      <c r="ACT7" s="14"/>
      <c r="ACU7" s="14"/>
      <c r="ACV7" s="14"/>
      <c r="ACW7" s="14"/>
      <c r="ACX7" s="14"/>
      <c r="ACY7" s="14"/>
      <c r="ACZ7" s="14"/>
      <c r="ADA7" s="14"/>
      <c r="ADB7" s="14"/>
      <c r="ADC7" s="14"/>
      <c r="ADD7" s="14"/>
      <c r="ADE7" s="14"/>
      <c r="ADF7" s="14"/>
      <c r="ADG7" s="14"/>
      <c r="ADH7" s="14"/>
      <c r="ADI7" s="14"/>
      <c r="ADJ7" s="14"/>
      <c r="ADK7" s="14"/>
      <c r="ADL7" s="14"/>
      <c r="ADM7" s="14"/>
      <c r="ADN7" s="14"/>
      <c r="ADO7" s="14"/>
      <c r="ADP7" s="14"/>
      <c r="ADQ7" s="14"/>
      <c r="ADR7" s="14"/>
      <c r="ADS7" s="14"/>
      <c r="ADT7" s="14"/>
      <c r="ADU7" s="14"/>
      <c r="ADV7" s="14"/>
      <c r="ADW7" s="14"/>
      <c r="ADX7" s="14"/>
      <c r="ADY7" s="14"/>
      <c r="ADZ7" s="14"/>
      <c r="AEA7" s="14"/>
      <c r="AEB7" s="14"/>
      <c r="AEC7" s="14"/>
      <c r="AED7" s="14"/>
      <c r="AEE7" s="14"/>
      <c r="AEF7" s="14"/>
      <c r="AEG7" s="14"/>
      <c r="AEH7" s="14"/>
      <c r="AEI7" s="14"/>
      <c r="AEJ7" s="14"/>
      <c r="AEK7" s="14"/>
      <c r="AEL7" s="14"/>
      <c r="AEM7" s="14"/>
      <c r="AEN7" s="14"/>
      <c r="AEO7" s="14"/>
      <c r="AEP7" s="14"/>
      <c r="AEQ7" s="14"/>
      <c r="AER7" s="14"/>
      <c r="AES7" s="14"/>
      <c r="AET7" s="14"/>
      <c r="AEU7" s="14"/>
      <c r="AEV7" s="14"/>
      <c r="AEW7" s="14"/>
      <c r="AEX7" s="14"/>
      <c r="AEY7" s="14"/>
      <c r="AEZ7" s="14"/>
      <c r="AFA7" s="14"/>
      <c r="AFB7" s="14"/>
      <c r="AFC7" s="14"/>
      <c r="AFD7" s="14"/>
      <c r="AFE7" s="14"/>
      <c r="AFF7" s="14"/>
      <c r="AFG7" s="14"/>
      <c r="AFH7" s="14"/>
      <c r="AFI7" s="14"/>
      <c r="AFJ7" s="14"/>
      <c r="AFK7" s="14"/>
      <c r="AFL7" s="14"/>
      <c r="AFM7" s="14"/>
      <c r="AFN7" s="14"/>
      <c r="AFO7" s="14"/>
      <c r="AFP7" s="14"/>
      <c r="AFQ7" s="14"/>
      <c r="AFR7" s="14"/>
      <c r="AFS7" s="14"/>
      <c r="AFT7" s="14"/>
      <c r="AFU7" s="14"/>
      <c r="AFV7" s="14"/>
      <c r="AFW7" s="14"/>
      <c r="AFX7" s="14"/>
      <c r="AFY7" s="14"/>
      <c r="AFZ7" s="14"/>
      <c r="AGA7" s="14"/>
      <c r="AGB7" s="14"/>
      <c r="AGC7" s="14"/>
      <c r="AGD7" s="14"/>
      <c r="AGE7" s="14"/>
      <c r="AGF7" s="14"/>
      <c r="AGG7" s="14"/>
      <c r="AGH7" s="14"/>
      <c r="AGI7" s="14"/>
      <c r="AGJ7" s="14"/>
      <c r="AGK7" s="14"/>
      <c r="AGL7" s="14"/>
      <c r="AGM7" s="14"/>
      <c r="AGN7" s="14"/>
      <c r="AGO7" s="14"/>
      <c r="AGP7" s="14"/>
      <c r="AGQ7" s="14"/>
      <c r="AGR7" s="14"/>
      <c r="AGS7" s="14"/>
      <c r="AGT7" s="14"/>
      <c r="AGU7" s="14"/>
      <c r="AGV7" s="14"/>
      <c r="AGW7" s="14"/>
      <c r="AGX7" s="14"/>
      <c r="AGY7" s="14"/>
      <c r="AGZ7" s="14"/>
      <c r="AHA7" s="14"/>
      <c r="AHB7" s="14"/>
      <c r="AHC7" s="14"/>
      <c r="AHD7" s="14"/>
      <c r="AHE7" s="14"/>
      <c r="AHF7" s="14"/>
      <c r="AHG7" s="14"/>
      <c r="AHH7" s="14"/>
      <c r="AHI7" s="14"/>
      <c r="AHJ7" s="14"/>
      <c r="AHK7" s="14"/>
      <c r="AHL7" s="14"/>
      <c r="AHM7" s="14"/>
      <c r="AHN7" s="14"/>
      <c r="AHO7" s="14"/>
      <c r="AHP7" s="14"/>
      <c r="AHQ7" s="14"/>
      <c r="AHR7" s="14"/>
      <c r="AHS7" s="14"/>
      <c r="AHT7" s="14"/>
      <c r="AHU7" s="14"/>
      <c r="AHV7" s="14"/>
      <c r="AHW7" s="14"/>
      <c r="AHX7" s="14"/>
      <c r="AHY7" s="14"/>
      <c r="AHZ7" s="14"/>
      <c r="AIA7" s="14"/>
      <c r="AIB7" s="14"/>
      <c r="AIC7" s="14"/>
      <c r="AID7" s="14"/>
      <c r="AIE7" s="14"/>
      <c r="AIF7" s="14"/>
      <c r="AIG7" s="14"/>
      <c r="AIH7" s="14"/>
      <c r="AII7" s="14"/>
      <c r="AIJ7" s="14"/>
      <c r="AIK7" s="14"/>
      <c r="AIL7" s="14"/>
      <c r="AIM7" s="14"/>
      <c r="AIN7" s="14"/>
      <c r="AIO7" s="14"/>
      <c r="AIP7" s="14"/>
      <c r="AIQ7" s="14"/>
      <c r="AIR7" s="14"/>
      <c r="AIS7" s="14"/>
      <c r="AIT7" s="14"/>
      <c r="AIU7" s="14"/>
      <c r="AIV7" s="14"/>
      <c r="AIW7" s="14"/>
      <c r="AIX7" s="14"/>
      <c r="AIY7" s="14"/>
      <c r="AIZ7" s="14"/>
      <c r="AJA7" s="14"/>
      <c r="AJB7" s="14"/>
      <c r="AJC7" s="14"/>
      <c r="AJD7" s="14"/>
      <c r="AJE7" s="14"/>
      <c r="AJF7" s="14"/>
      <c r="AJG7" s="14"/>
      <c r="AJH7" s="14"/>
      <c r="AJI7" s="14"/>
      <c r="AJJ7" s="14"/>
      <c r="AJK7" s="14"/>
      <c r="AJL7" s="14"/>
      <c r="AJM7" s="14"/>
      <c r="AJN7" s="14"/>
      <c r="AJO7" s="14"/>
      <c r="AJP7" s="14"/>
      <c r="AJQ7" s="14"/>
      <c r="AJR7" s="14"/>
      <c r="AJS7" s="14"/>
      <c r="AJT7" s="14"/>
      <c r="AJU7" s="14"/>
      <c r="AJV7" s="14"/>
      <c r="AJW7" s="14"/>
      <c r="AJX7" s="14"/>
      <c r="AJY7" s="14"/>
      <c r="AJZ7" s="14"/>
      <c r="AKA7" s="14"/>
      <c r="AKB7" s="14"/>
      <c r="AKC7" s="14"/>
      <c r="AKD7" s="14"/>
      <c r="AKE7" s="14"/>
      <c r="AKF7" s="14"/>
      <c r="AKG7" s="14"/>
      <c r="AKH7" s="14"/>
      <c r="AKI7" s="14"/>
      <c r="AKJ7" s="14"/>
      <c r="AKK7" s="14"/>
      <c r="AKL7" s="14"/>
      <c r="AKM7" s="14"/>
      <c r="AKN7" s="14"/>
      <c r="AKO7" s="14"/>
      <c r="AKP7" s="14"/>
      <c r="AKQ7" s="14"/>
      <c r="AKR7" s="14"/>
      <c r="AKS7" s="14"/>
      <c r="AKT7" s="14"/>
      <c r="AKU7" s="14"/>
      <c r="AKV7" s="14"/>
      <c r="AKW7" s="14"/>
      <c r="AKX7" s="14"/>
      <c r="AKY7" s="14"/>
      <c r="AKZ7" s="14"/>
      <c r="ALA7" s="14"/>
      <c r="ALB7" s="14"/>
      <c r="ALC7" s="14"/>
      <c r="ALD7" s="14"/>
      <c r="ALE7" s="14"/>
      <c r="ALF7" s="14"/>
      <c r="ALG7" s="14"/>
      <c r="ALH7" s="14"/>
      <c r="ALI7" s="14"/>
      <c r="ALJ7" s="14"/>
      <c r="ALK7" s="14"/>
      <c r="ALL7" s="14"/>
      <c r="ALM7" s="14"/>
      <c r="ALN7" s="14"/>
      <c r="ALO7" s="14"/>
      <c r="ALP7" s="14"/>
      <c r="ALQ7" s="14"/>
      <c r="ALR7" s="14"/>
      <c r="ALS7" s="14"/>
      <c r="ALT7" s="14"/>
      <c r="ALU7" s="14"/>
      <c r="ALV7" s="14"/>
      <c r="ALW7" s="14"/>
      <c r="ALX7" s="14"/>
      <c r="ALY7" s="14"/>
      <c r="ALZ7" s="14"/>
      <c r="AMA7" s="14"/>
      <c r="AMB7" s="14"/>
      <c r="AMC7" s="14"/>
      <c r="AMD7" s="14"/>
      <c r="AME7" s="14"/>
      <c r="AMF7" s="14"/>
      <c r="AMG7" s="14"/>
      <c r="AMH7" s="14"/>
      <c r="AMI7" s="14"/>
      <c r="AMJ7" s="14"/>
      <c r="AMK7" s="14"/>
      <c r="AML7" s="14"/>
      <c r="AMM7" s="14"/>
      <c r="AMN7" s="14"/>
      <c r="AMO7" s="14"/>
      <c r="AMP7" s="14"/>
      <c r="AMQ7" s="14"/>
      <c r="AMR7" s="14"/>
      <c r="AMS7" s="14"/>
      <c r="AMT7" s="14"/>
      <c r="AMU7" s="14"/>
      <c r="AMV7" s="14"/>
      <c r="AMW7" s="14"/>
      <c r="AMX7" s="14"/>
      <c r="AMY7" s="14"/>
      <c r="AMZ7" s="14"/>
      <c r="ANA7" s="14"/>
      <c r="ANB7" s="14"/>
      <c r="ANC7" s="14"/>
      <c r="AND7" s="14"/>
      <c r="ANE7" s="14"/>
      <c r="ANF7" s="14"/>
      <c r="ANG7" s="14"/>
      <c r="ANH7" s="14"/>
      <c r="ANI7" s="14"/>
      <c r="ANJ7" s="14"/>
      <c r="ANK7" s="14"/>
      <c r="ANL7" s="14"/>
      <c r="ANM7" s="14"/>
      <c r="ANN7" s="14"/>
      <c r="ANO7" s="14"/>
      <c r="ANP7" s="14"/>
      <c r="ANQ7" s="14"/>
      <c r="ANR7" s="14"/>
      <c r="ANS7" s="14"/>
      <c r="ANT7" s="14"/>
      <c r="ANU7" s="14"/>
      <c r="ANV7" s="14"/>
      <c r="ANW7" s="14"/>
      <c r="ANX7" s="14"/>
      <c r="ANY7" s="14"/>
      <c r="ANZ7" s="14"/>
      <c r="AOA7" s="14"/>
      <c r="AOB7" s="14"/>
      <c r="AOC7" s="14"/>
      <c r="AOD7" s="14"/>
      <c r="AOE7" s="14"/>
      <c r="AOF7" s="14"/>
      <c r="AOG7" s="14"/>
      <c r="AOH7" s="14"/>
      <c r="AOI7" s="14"/>
      <c r="AOJ7" s="14"/>
      <c r="AOK7" s="14"/>
      <c r="AOL7" s="14"/>
      <c r="AOM7" s="14"/>
      <c r="AON7" s="14"/>
      <c r="AOO7" s="14"/>
      <c r="AOP7" s="14"/>
      <c r="AOQ7" s="14"/>
      <c r="AOR7" s="14"/>
      <c r="AOS7" s="14"/>
      <c r="AOT7" s="14"/>
      <c r="AOU7" s="14"/>
      <c r="AOV7" s="14"/>
      <c r="AOW7" s="14"/>
      <c r="AOX7" s="14"/>
      <c r="AOY7" s="14"/>
      <c r="AOZ7" s="14"/>
      <c r="APA7" s="14"/>
      <c r="APB7" s="14"/>
      <c r="APC7" s="14"/>
      <c r="APD7" s="14"/>
      <c r="APE7" s="14"/>
      <c r="APF7" s="14"/>
      <c r="APG7" s="14"/>
      <c r="APH7" s="14"/>
      <c r="API7" s="14"/>
      <c r="APJ7" s="14"/>
      <c r="APK7" s="14"/>
      <c r="APL7" s="14"/>
      <c r="APM7" s="14"/>
      <c r="APN7" s="14"/>
      <c r="APO7" s="14"/>
      <c r="APP7" s="14"/>
      <c r="APQ7" s="14"/>
      <c r="APR7" s="14"/>
      <c r="APS7" s="14"/>
      <c r="APT7" s="14"/>
      <c r="APU7" s="14"/>
      <c r="APV7" s="14"/>
      <c r="APW7" s="14"/>
      <c r="APX7" s="14"/>
      <c r="APY7" s="14"/>
      <c r="APZ7" s="14"/>
      <c r="AQA7" s="14"/>
      <c r="AQB7" s="14"/>
      <c r="AQC7" s="14"/>
      <c r="AQD7" s="14"/>
      <c r="AQE7" s="14"/>
      <c r="AQF7" s="14"/>
      <c r="AQG7" s="14"/>
      <c r="AQH7" s="14"/>
      <c r="AQI7" s="14"/>
      <c r="AQJ7" s="14"/>
      <c r="AQK7" s="14"/>
      <c r="AQL7" s="14"/>
      <c r="AQM7" s="14"/>
      <c r="AQN7" s="14"/>
      <c r="AQO7" s="14"/>
      <c r="AQP7" s="14"/>
      <c r="AQQ7" s="14"/>
      <c r="AQR7" s="14"/>
      <c r="AQS7" s="14"/>
      <c r="AQT7" s="14"/>
      <c r="AQU7" s="14"/>
      <c r="AQV7" s="14"/>
      <c r="AQW7" s="14"/>
      <c r="AQX7" s="14"/>
      <c r="AQY7" s="14"/>
      <c r="AQZ7" s="14"/>
      <c r="ARA7" s="14"/>
      <c r="ARB7" s="14"/>
      <c r="ARC7" s="14"/>
      <c r="ARD7" s="14"/>
      <c r="ARE7" s="14"/>
      <c r="ARF7" s="14"/>
      <c r="ARG7" s="14"/>
      <c r="ARH7" s="14"/>
      <c r="ARI7" s="14"/>
      <c r="ARJ7" s="14"/>
      <c r="ARK7" s="14"/>
      <c r="ARL7" s="14"/>
      <c r="ARM7" s="14"/>
      <c r="ARN7" s="14"/>
      <c r="ARO7" s="14"/>
      <c r="ARP7" s="14"/>
      <c r="ARQ7" s="14"/>
      <c r="ARR7" s="14"/>
      <c r="ARS7" s="14"/>
      <c r="ART7" s="14"/>
      <c r="ARU7" s="14"/>
      <c r="ARV7" s="14"/>
      <c r="ARW7" s="14"/>
      <c r="ARX7" s="14"/>
      <c r="ARY7" s="14"/>
      <c r="ARZ7" s="14"/>
      <c r="ASA7" s="14"/>
      <c r="ASB7" s="14"/>
      <c r="ASC7" s="14"/>
      <c r="ASD7" s="14"/>
      <c r="ASE7" s="14"/>
      <c r="ASF7" s="14"/>
      <c r="ASG7" s="14"/>
      <c r="ASH7" s="14"/>
      <c r="ASI7" s="14"/>
      <c r="ASJ7" s="14"/>
      <c r="ASK7" s="14"/>
      <c r="ASL7" s="14"/>
      <c r="ASM7" s="14"/>
      <c r="ASN7" s="14"/>
      <c r="ASO7" s="14"/>
      <c r="ASP7" s="14"/>
      <c r="ASQ7" s="14"/>
      <c r="ASR7" s="14"/>
      <c r="ASS7" s="14"/>
      <c r="AST7" s="14"/>
      <c r="ASU7" s="14"/>
      <c r="ASV7" s="14"/>
      <c r="ASW7" s="14"/>
      <c r="ASX7" s="14"/>
      <c r="ASY7" s="14"/>
      <c r="ASZ7" s="14"/>
      <c r="ATA7" s="14"/>
      <c r="ATB7" s="14"/>
      <c r="ATC7" s="14"/>
      <c r="ATD7" s="14"/>
      <c r="ATE7" s="14"/>
      <c r="ATF7" s="14"/>
      <c r="ATG7" s="14"/>
      <c r="ATH7" s="14"/>
      <c r="ATI7" s="14"/>
      <c r="ATJ7" s="14"/>
      <c r="ATK7" s="14"/>
      <c r="ATL7" s="14"/>
      <c r="ATM7" s="14"/>
      <c r="ATN7" s="14"/>
      <c r="ATO7" s="14"/>
      <c r="ATP7" s="14"/>
      <c r="ATQ7" s="14"/>
      <c r="ATR7" s="14"/>
      <c r="ATS7" s="14"/>
      <c r="ATT7" s="14"/>
      <c r="ATU7" s="14"/>
      <c r="ATV7" s="14"/>
      <c r="ATW7" s="14"/>
      <c r="ATX7" s="14"/>
      <c r="ATY7" s="14"/>
      <c r="ATZ7" s="14"/>
      <c r="AUA7" s="14"/>
      <c r="AUB7" s="14"/>
      <c r="AUC7" s="14"/>
      <c r="AUD7" s="14"/>
      <c r="AUE7" s="14"/>
      <c r="AUF7" s="14"/>
      <c r="AUG7" s="14"/>
      <c r="AUH7" s="14"/>
      <c r="AUI7" s="14"/>
      <c r="AUJ7" s="14"/>
      <c r="AUK7" s="14"/>
      <c r="AUL7" s="14"/>
      <c r="AUM7" s="14"/>
      <c r="AUN7" s="14"/>
      <c r="AUO7" s="14"/>
      <c r="AUP7" s="14"/>
      <c r="AUQ7" s="14"/>
      <c r="AUR7" s="14"/>
      <c r="AUS7" s="14"/>
      <c r="AUT7" s="14"/>
      <c r="AUU7" s="14"/>
      <c r="AUV7" s="14"/>
      <c r="AUW7" s="14"/>
      <c r="AUX7" s="14"/>
      <c r="AUY7" s="14"/>
      <c r="AUZ7" s="14"/>
      <c r="AVA7" s="14"/>
      <c r="AVB7" s="14"/>
      <c r="AVC7" s="14"/>
      <c r="AVD7" s="14"/>
      <c r="AVE7" s="14"/>
      <c r="AVF7" s="14"/>
      <c r="AVG7" s="14"/>
      <c r="AVH7" s="14"/>
      <c r="AVI7" s="14"/>
      <c r="AVJ7" s="14"/>
      <c r="AVK7" s="14"/>
      <c r="AVL7" s="14"/>
      <c r="AVM7" s="14"/>
      <c r="AVN7" s="14"/>
      <c r="AVO7" s="14"/>
      <c r="AVP7" s="14"/>
      <c r="AVQ7" s="14"/>
      <c r="AVR7" s="14"/>
      <c r="AVS7" s="14"/>
      <c r="AVT7" s="14"/>
      <c r="AVU7" s="14"/>
      <c r="AVV7" s="14"/>
      <c r="AVW7" s="14"/>
      <c r="AVX7" s="14"/>
      <c r="AVY7" s="14"/>
      <c r="AVZ7" s="14"/>
      <c r="AWA7" s="14"/>
      <c r="AWB7" s="14"/>
      <c r="AWC7" s="14"/>
      <c r="AWD7" s="14"/>
      <c r="AWE7" s="14"/>
      <c r="AWF7" s="14"/>
      <c r="AWG7" s="14"/>
      <c r="AWH7" s="14"/>
      <c r="AWI7" s="14"/>
      <c r="AWJ7" s="14"/>
      <c r="AWK7" s="14"/>
      <c r="AWL7" s="14"/>
      <c r="AWM7" s="14"/>
      <c r="AWN7" s="14"/>
      <c r="AWO7" s="14"/>
      <c r="AWP7" s="14"/>
      <c r="AWQ7" s="14"/>
      <c r="AWR7" s="14"/>
      <c r="AWS7" s="14"/>
      <c r="AWT7" s="14"/>
      <c r="AWU7" s="14"/>
      <c r="AWV7" s="14"/>
      <c r="AWW7" s="14"/>
      <c r="AWX7" s="14"/>
      <c r="AWY7" s="14"/>
      <c r="AWZ7" s="14"/>
      <c r="AXA7" s="14"/>
      <c r="AXB7" s="14"/>
      <c r="AXC7" s="14"/>
      <c r="AXD7" s="14"/>
      <c r="AXE7" s="14"/>
      <c r="AXF7" s="14"/>
      <c r="AXG7" s="14"/>
      <c r="AXH7" s="14"/>
      <c r="AXI7" s="14"/>
      <c r="AXJ7" s="14"/>
      <c r="AXK7" s="14"/>
      <c r="AXL7" s="14"/>
      <c r="AXM7" s="14"/>
      <c r="AXN7" s="14"/>
      <c r="AXO7" s="14"/>
      <c r="AXP7" s="14"/>
      <c r="AXQ7" s="14"/>
      <c r="AXR7" s="14"/>
      <c r="AXS7" s="14"/>
      <c r="AXT7" s="14"/>
      <c r="AXU7" s="14"/>
      <c r="AXV7" s="14"/>
      <c r="AXW7" s="14"/>
      <c r="AXX7" s="14"/>
      <c r="AXY7" s="14"/>
      <c r="AXZ7" s="14"/>
      <c r="AYA7" s="14"/>
      <c r="AYB7" s="14"/>
      <c r="AYC7" s="14"/>
      <c r="AYD7" s="14"/>
      <c r="AYE7" s="14"/>
      <c r="AYF7" s="14"/>
      <c r="AYG7" s="14"/>
      <c r="AYH7" s="14"/>
      <c r="AYI7" s="14"/>
      <c r="AYJ7" s="14"/>
      <c r="AYK7" s="14"/>
      <c r="AYL7" s="14"/>
      <c r="AYM7" s="14"/>
      <c r="AYN7" s="14"/>
      <c r="AYO7" s="14"/>
      <c r="AYP7" s="14"/>
      <c r="AYQ7" s="14"/>
      <c r="AYR7" s="14"/>
      <c r="AYS7" s="14"/>
      <c r="AYT7" s="14"/>
      <c r="AYU7" s="14"/>
      <c r="AYV7" s="14"/>
      <c r="AYW7" s="14"/>
      <c r="AYX7" s="14"/>
      <c r="AYY7" s="14"/>
      <c r="AYZ7" s="14"/>
      <c r="AZA7" s="14"/>
      <c r="AZB7" s="14"/>
      <c r="AZC7" s="14"/>
      <c r="AZD7" s="14"/>
      <c r="AZE7" s="14"/>
      <c r="AZF7" s="14"/>
      <c r="AZG7" s="14"/>
      <c r="AZH7" s="14"/>
      <c r="AZI7" s="14"/>
      <c r="AZJ7" s="14"/>
      <c r="AZK7" s="14"/>
      <c r="AZL7" s="14"/>
      <c r="AZM7" s="14"/>
      <c r="AZN7" s="14"/>
      <c r="AZO7" s="14"/>
      <c r="AZP7" s="14"/>
      <c r="AZQ7" s="14"/>
      <c r="AZR7" s="14"/>
      <c r="AZS7" s="14"/>
      <c r="AZT7" s="14"/>
      <c r="AZU7" s="14"/>
      <c r="AZV7" s="14"/>
      <c r="AZW7" s="14"/>
      <c r="AZX7" s="14"/>
      <c r="AZY7" s="14"/>
      <c r="AZZ7" s="14"/>
      <c r="BAA7" s="14"/>
      <c r="BAB7" s="14"/>
      <c r="BAC7" s="14"/>
      <c r="BAD7" s="14"/>
      <c r="BAE7" s="14"/>
      <c r="BAF7" s="14"/>
      <c r="BAG7" s="14"/>
      <c r="BAH7" s="14"/>
      <c r="BAI7" s="14"/>
      <c r="BAJ7" s="14"/>
      <c r="BAK7" s="14"/>
      <c r="BAL7" s="14"/>
      <c r="BAM7" s="14"/>
      <c r="BAN7" s="14"/>
      <c r="BAO7" s="14"/>
      <c r="BAP7" s="14"/>
      <c r="BAQ7" s="14"/>
      <c r="BAR7" s="14"/>
      <c r="BAS7" s="14"/>
      <c r="BAT7" s="14"/>
      <c r="BAU7" s="14"/>
      <c r="BAV7" s="14"/>
      <c r="BAW7" s="14"/>
      <c r="BAX7" s="14"/>
      <c r="BAY7" s="14"/>
      <c r="BAZ7" s="14"/>
      <c r="BBA7" s="14"/>
      <c r="BBB7" s="14"/>
      <c r="BBC7" s="14"/>
      <c r="BBD7" s="14"/>
      <c r="BBE7" s="14"/>
      <c r="BBF7" s="14"/>
      <c r="BBG7" s="14"/>
      <c r="BBH7" s="14"/>
      <c r="BBI7" s="14"/>
      <c r="BBJ7" s="14"/>
      <c r="BBK7" s="14"/>
      <c r="BBL7" s="14"/>
      <c r="BBM7" s="14"/>
      <c r="BBN7" s="14"/>
      <c r="BBO7" s="14"/>
      <c r="BBP7" s="14"/>
      <c r="BBQ7" s="14"/>
      <c r="BBR7" s="14"/>
      <c r="BBS7" s="14"/>
      <c r="BBT7" s="14"/>
      <c r="BBU7" s="14"/>
      <c r="BBV7" s="14"/>
      <c r="BBW7" s="14"/>
      <c r="BBX7" s="14"/>
      <c r="BBY7" s="14"/>
      <c r="BBZ7" s="14"/>
      <c r="BCA7" s="14"/>
      <c r="BCB7" s="14"/>
      <c r="BCC7" s="14"/>
      <c r="BCD7" s="14"/>
      <c r="BCE7" s="14"/>
      <c r="BCF7" s="14"/>
      <c r="BCG7" s="14"/>
      <c r="BCH7" s="14"/>
      <c r="BCI7" s="14"/>
      <c r="BCJ7" s="14"/>
      <c r="BCK7" s="14"/>
      <c r="BCL7" s="14"/>
      <c r="BCM7" s="14"/>
      <c r="BCN7" s="14"/>
      <c r="BCO7" s="14"/>
      <c r="BCP7" s="14"/>
      <c r="BCQ7" s="14"/>
      <c r="BCR7" s="14"/>
      <c r="BCS7" s="14"/>
      <c r="BCT7" s="14"/>
      <c r="BCU7" s="14"/>
      <c r="BCV7" s="14"/>
      <c r="BCW7" s="14"/>
      <c r="BCX7" s="14"/>
      <c r="BCY7" s="14"/>
      <c r="BCZ7" s="14"/>
      <c r="BDA7" s="14"/>
      <c r="BDB7" s="14"/>
      <c r="BDC7" s="14"/>
      <c r="BDD7" s="14"/>
      <c r="BDE7" s="14"/>
      <c r="BDF7" s="14"/>
      <c r="BDG7" s="14"/>
      <c r="BDH7" s="14"/>
      <c r="BDI7" s="14"/>
      <c r="BDJ7" s="14"/>
      <c r="BDK7" s="14"/>
      <c r="BDL7" s="14"/>
      <c r="BDM7" s="14"/>
      <c r="BDN7" s="14"/>
      <c r="BDO7" s="14"/>
      <c r="BDP7" s="14"/>
      <c r="BDQ7" s="14"/>
      <c r="BDR7" s="14"/>
      <c r="BDS7" s="14"/>
      <c r="BDT7" s="14"/>
      <c r="BDU7" s="14"/>
      <c r="BDV7" s="14"/>
      <c r="BDW7" s="14"/>
      <c r="BDX7" s="14"/>
      <c r="BDY7" s="14"/>
      <c r="BDZ7" s="14"/>
      <c r="BEA7" s="14"/>
      <c r="BEB7" s="14"/>
      <c r="BEC7" s="14"/>
      <c r="BED7" s="14"/>
      <c r="BEE7" s="14"/>
      <c r="BEF7" s="14"/>
      <c r="BEG7" s="14"/>
      <c r="BEH7" s="14"/>
      <c r="BEI7" s="14"/>
      <c r="BEJ7" s="14"/>
      <c r="BEK7" s="14"/>
      <c r="BEL7" s="14"/>
      <c r="BEM7" s="14"/>
      <c r="BEN7" s="14"/>
      <c r="BEO7" s="14"/>
      <c r="BEP7" s="14"/>
      <c r="BEQ7" s="14"/>
      <c r="BER7" s="14"/>
      <c r="BES7" s="14"/>
      <c r="BET7" s="14"/>
      <c r="BEU7" s="14"/>
      <c r="BEV7" s="14"/>
      <c r="BEW7" s="14"/>
      <c r="BEX7" s="14"/>
      <c r="BEY7" s="14"/>
      <c r="BEZ7" s="14"/>
      <c r="BFA7" s="14"/>
      <c r="BFB7" s="14"/>
      <c r="BFC7" s="14"/>
      <c r="BFD7" s="14"/>
      <c r="BFE7" s="14"/>
      <c r="BFF7" s="14"/>
      <c r="BFG7" s="14"/>
      <c r="BFH7" s="14"/>
      <c r="BFI7" s="14"/>
      <c r="BFJ7" s="14"/>
      <c r="BFK7" s="14"/>
      <c r="BFL7" s="14"/>
      <c r="BFM7" s="14"/>
      <c r="BFN7" s="14"/>
      <c r="BFO7" s="14"/>
      <c r="BFP7" s="14"/>
      <c r="BFQ7" s="14"/>
      <c r="BFR7" s="14"/>
      <c r="BFS7" s="14"/>
      <c r="BFT7" s="14"/>
      <c r="BFU7" s="14"/>
      <c r="BFV7" s="14"/>
      <c r="BFW7" s="14"/>
      <c r="BFX7" s="14"/>
      <c r="BFY7" s="14"/>
      <c r="BFZ7" s="14"/>
      <c r="BGA7" s="14"/>
      <c r="BGB7" s="14"/>
      <c r="BGC7" s="14"/>
      <c r="BGD7" s="14"/>
      <c r="BGE7" s="14"/>
      <c r="BGF7" s="14"/>
      <c r="BGG7" s="14"/>
      <c r="BGH7" s="14"/>
      <c r="BGI7" s="14"/>
      <c r="BGJ7" s="14"/>
      <c r="BGK7" s="14"/>
      <c r="BGL7" s="14"/>
      <c r="BGM7" s="14"/>
      <c r="BGN7" s="14"/>
      <c r="BGO7" s="14"/>
      <c r="BGP7" s="14"/>
      <c r="BGQ7" s="14"/>
      <c r="BGR7" s="14"/>
      <c r="BGS7" s="14"/>
      <c r="BGT7" s="14"/>
      <c r="BGU7" s="14"/>
      <c r="BGV7" s="14"/>
      <c r="BGW7" s="14"/>
      <c r="BGX7" s="14"/>
      <c r="BGY7" s="14"/>
      <c r="BGZ7" s="14"/>
      <c r="BHA7" s="14"/>
      <c r="BHB7" s="14"/>
      <c r="BHC7" s="14"/>
      <c r="BHD7" s="14"/>
      <c r="BHE7" s="14"/>
      <c r="BHF7" s="14"/>
      <c r="BHG7" s="14"/>
      <c r="BHH7" s="14"/>
      <c r="BHI7" s="14"/>
      <c r="BHJ7" s="14"/>
      <c r="BHK7" s="14"/>
      <c r="BHL7" s="14"/>
      <c r="BHM7" s="14"/>
      <c r="BHN7" s="14"/>
      <c r="BHO7" s="14"/>
      <c r="BHP7" s="14"/>
      <c r="BHQ7" s="14"/>
      <c r="BHR7" s="14"/>
      <c r="BHS7" s="14"/>
      <c r="BHT7" s="14"/>
      <c r="BHU7" s="14"/>
      <c r="BHV7" s="14"/>
      <c r="BHW7" s="14"/>
      <c r="BHX7" s="14"/>
      <c r="BHY7" s="14"/>
      <c r="BHZ7" s="14"/>
      <c r="BIA7" s="14"/>
      <c r="BIB7" s="14"/>
      <c r="BIC7" s="14"/>
      <c r="BID7" s="14"/>
      <c r="BIE7" s="14"/>
      <c r="BIF7" s="14"/>
      <c r="BIG7" s="14"/>
      <c r="BIH7" s="14"/>
      <c r="BII7" s="14"/>
      <c r="BIJ7" s="14"/>
      <c r="BIK7" s="14"/>
      <c r="BIL7" s="14"/>
      <c r="BIM7" s="14"/>
      <c r="BIN7" s="14"/>
      <c r="BIO7" s="14"/>
      <c r="BIP7" s="14"/>
      <c r="BIQ7" s="14"/>
      <c r="BIR7" s="14"/>
      <c r="BIS7" s="14"/>
      <c r="BIT7" s="14"/>
      <c r="BIU7" s="14"/>
      <c r="BIV7" s="14"/>
      <c r="BIW7" s="14"/>
      <c r="BIX7" s="14"/>
      <c r="BIY7" s="14"/>
      <c r="BIZ7" s="14"/>
      <c r="BJA7" s="14"/>
      <c r="BJB7" s="14"/>
      <c r="BJC7" s="14"/>
      <c r="BJD7" s="14"/>
      <c r="BJE7" s="14"/>
      <c r="BJF7" s="14"/>
      <c r="BJG7" s="14"/>
      <c r="BJH7" s="14"/>
      <c r="BJI7" s="14"/>
      <c r="BJJ7" s="14"/>
      <c r="BJK7" s="14"/>
      <c r="BJL7" s="14"/>
      <c r="BJM7" s="14"/>
      <c r="BJN7" s="14"/>
      <c r="BJO7" s="14"/>
      <c r="BJP7" s="14"/>
      <c r="BJQ7" s="14"/>
      <c r="BJR7" s="14"/>
      <c r="BJS7" s="14"/>
      <c r="BJT7" s="14"/>
      <c r="BJU7" s="14"/>
      <c r="BJV7" s="14"/>
      <c r="BJW7" s="14"/>
      <c r="BJX7" s="14"/>
      <c r="BJY7" s="14"/>
      <c r="BJZ7" s="14"/>
      <c r="BKA7" s="14"/>
      <c r="BKB7" s="14"/>
      <c r="BKC7" s="14"/>
      <c r="BKD7" s="14"/>
      <c r="BKE7" s="14"/>
      <c r="BKF7" s="14"/>
      <c r="BKG7" s="14"/>
      <c r="BKH7" s="14"/>
      <c r="BKI7" s="14"/>
      <c r="BKJ7" s="14"/>
      <c r="BKK7" s="14"/>
      <c r="BKL7" s="14"/>
      <c r="BKM7" s="14"/>
      <c r="BKN7" s="14"/>
      <c r="BKO7" s="14"/>
      <c r="BKP7" s="14"/>
      <c r="BKQ7" s="14"/>
      <c r="BKR7" s="14"/>
      <c r="BKS7" s="14"/>
      <c r="BKT7" s="14"/>
      <c r="BKU7" s="14"/>
      <c r="BKV7" s="14"/>
      <c r="BKW7" s="14"/>
      <c r="BKX7" s="14"/>
      <c r="BKY7" s="14"/>
      <c r="BKZ7" s="14"/>
      <c r="BLA7" s="14"/>
      <c r="BLB7" s="14"/>
      <c r="BLC7" s="14"/>
      <c r="BLD7" s="14"/>
      <c r="BLE7" s="14"/>
      <c r="BLF7" s="14"/>
      <c r="BLG7" s="14"/>
      <c r="BLH7" s="14"/>
      <c r="BLI7" s="14"/>
      <c r="BLJ7" s="14"/>
      <c r="BLK7" s="14"/>
      <c r="BLL7" s="14"/>
      <c r="BLM7" s="14"/>
      <c r="BLN7" s="14"/>
      <c r="BLO7" s="14"/>
      <c r="BLP7" s="14"/>
      <c r="BLQ7" s="14"/>
      <c r="BLR7" s="14"/>
      <c r="BLS7" s="14"/>
      <c r="BLT7" s="14"/>
      <c r="BLU7" s="14"/>
      <c r="BLV7" s="14"/>
      <c r="BLW7" s="14"/>
      <c r="BLX7" s="14"/>
      <c r="BLY7" s="14"/>
      <c r="BLZ7" s="14"/>
      <c r="BMA7" s="14"/>
      <c r="BMB7" s="14"/>
      <c r="BMC7" s="14"/>
      <c r="BMD7" s="14"/>
      <c r="BME7" s="14"/>
      <c r="BMF7" s="14"/>
      <c r="BMG7" s="14"/>
      <c r="BMH7" s="14"/>
      <c r="BMI7" s="14"/>
      <c r="BMJ7" s="14"/>
      <c r="BMK7" s="14"/>
      <c r="BML7" s="14"/>
      <c r="BMM7" s="14"/>
      <c r="BMN7" s="14"/>
      <c r="BMO7" s="14"/>
      <c r="BMP7" s="14"/>
      <c r="BMQ7" s="14"/>
      <c r="BMR7" s="14"/>
      <c r="BMS7" s="14"/>
      <c r="BMT7" s="14"/>
      <c r="BMU7" s="14"/>
      <c r="BMV7" s="14"/>
      <c r="BMW7" s="14"/>
      <c r="BMX7" s="14"/>
      <c r="BMY7" s="14"/>
      <c r="BMZ7" s="14"/>
      <c r="BNA7" s="14"/>
      <c r="BNB7" s="14"/>
      <c r="BNC7" s="14"/>
      <c r="BND7" s="14"/>
      <c r="BNE7" s="14"/>
      <c r="BNF7" s="14"/>
      <c r="BNG7" s="14"/>
      <c r="BNH7" s="14"/>
      <c r="BNI7" s="14"/>
      <c r="BNJ7" s="14"/>
      <c r="BNK7" s="14"/>
      <c r="BNL7" s="14"/>
      <c r="BNM7" s="14"/>
      <c r="BNN7" s="14"/>
      <c r="BNO7" s="14"/>
      <c r="BNP7" s="14"/>
      <c r="BNQ7" s="14"/>
      <c r="BNR7" s="14"/>
      <c r="BNS7" s="14"/>
      <c r="BNT7" s="14"/>
      <c r="BNU7" s="14"/>
      <c r="BNV7" s="14"/>
      <c r="BNW7" s="14"/>
      <c r="BNX7" s="14"/>
      <c r="BNY7" s="14"/>
      <c r="BNZ7" s="14"/>
      <c r="BOA7" s="14"/>
      <c r="BOB7" s="14"/>
      <c r="BOC7" s="14"/>
      <c r="BOD7" s="14"/>
      <c r="BOE7" s="14"/>
      <c r="BOF7" s="14"/>
      <c r="BOG7" s="14"/>
      <c r="BOH7" s="14"/>
      <c r="BOI7" s="14"/>
      <c r="BOJ7" s="14"/>
      <c r="BOK7" s="14"/>
      <c r="BOL7" s="14"/>
      <c r="BOM7" s="14"/>
      <c r="BON7" s="14"/>
      <c r="BOO7" s="14"/>
      <c r="BOP7" s="14"/>
      <c r="BOQ7" s="14"/>
      <c r="BOR7" s="14"/>
      <c r="BOS7" s="14"/>
      <c r="BOT7" s="14"/>
      <c r="BOU7" s="14"/>
      <c r="BOV7" s="14"/>
      <c r="BOW7" s="14"/>
      <c r="BOX7" s="14"/>
      <c r="BOY7" s="14"/>
      <c r="BOZ7" s="14"/>
      <c r="BPA7" s="14"/>
      <c r="BPB7" s="14"/>
      <c r="BPC7" s="14"/>
      <c r="BPD7" s="14"/>
      <c r="BPE7" s="14"/>
      <c r="BPF7" s="14"/>
      <c r="BPG7" s="14"/>
      <c r="BPH7" s="14"/>
      <c r="BPI7" s="14"/>
      <c r="BPJ7" s="14"/>
      <c r="BPK7" s="14"/>
      <c r="BPL7" s="14"/>
      <c r="BPM7" s="14"/>
      <c r="BPN7" s="14"/>
      <c r="BPO7" s="14"/>
      <c r="BPP7" s="14"/>
      <c r="BPQ7" s="14"/>
      <c r="BPR7" s="14"/>
      <c r="BPS7" s="14"/>
      <c r="BPT7" s="14"/>
      <c r="BPU7" s="14"/>
      <c r="BPV7" s="14"/>
      <c r="BPW7" s="14"/>
      <c r="BPX7" s="14"/>
      <c r="BPY7" s="14"/>
      <c r="BPZ7" s="14"/>
      <c r="BQA7" s="14"/>
      <c r="BQB7" s="14"/>
      <c r="BQC7" s="14"/>
      <c r="BQD7" s="14"/>
      <c r="BQE7" s="14"/>
      <c r="BQF7" s="14"/>
      <c r="BQG7" s="14"/>
      <c r="BQH7" s="14"/>
      <c r="BQI7" s="14"/>
      <c r="BQJ7" s="14"/>
      <c r="BQK7" s="14"/>
      <c r="BQL7" s="14"/>
      <c r="BQM7" s="14"/>
      <c r="BQN7" s="14"/>
      <c r="BQO7" s="14"/>
      <c r="BQP7" s="14"/>
      <c r="BQQ7" s="14"/>
      <c r="BQR7" s="14"/>
      <c r="BQS7" s="14"/>
      <c r="BQT7" s="14"/>
      <c r="BQU7" s="14"/>
      <c r="BQV7" s="14"/>
      <c r="BQW7" s="14"/>
      <c r="BQX7" s="14"/>
      <c r="BQY7" s="14"/>
      <c r="BQZ7" s="14"/>
      <c r="BRA7" s="14"/>
      <c r="BRB7" s="14"/>
      <c r="BRC7" s="14"/>
      <c r="BRD7" s="14"/>
      <c r="BRE7" s="14"/>
      <c r="BRF7" s="14"/>
      <c r="BRG7" s="14"/>
      <c r="BRH7" s="14"/>
      <c r="BRI7" s="14"/>
      <c r="BRJ7" s="14"/>
      <c r="BRK7" s="14"/>
      <c r="BRL7" s="14"/>
      <c r="BRM7" s="14"/>
      <c r="BRN7" s="14"/>
      <c r="BRO7" s="14"/>
      <c r="BRP7" s="14"/>
      <c r="BRQ7" s="14"/>
      <c r="BRR7" s="14"/>
      <c r="BRS7" s="14"/>
      <c r="BRT7" s="14"/>
      <c r="BRU7" s="14"/>
      <c r="BRV7" s="14"/>
      <c r="BRW7" s="14"/>
      <c r="BRX7" s="14"/>
      <c r="BRY7" s="14"/>
      <c r="BRZ7" s="14"/>
      <c r="BSA7" s="14"/>
      <c r="BSB7" s="14"/>
      <c r="BSC7" s="14"/>
      <c r="BSD7" s="14"/>
      <c r="BSE7" s="14"/>
      <c r="BSF7" s="14"/>
      <c r="BSG7" s="14"/>
      <c r="BSH7" s="14"/>
      <c r="BSI7" s="14"/>
      <c r="BSJ7" s="14"/>
      <c r="BSK7" s="14"/>
      <c r="BSL7" s="14"/>
      <c r="BSM7" s="14"/>
      <c r="BSN7" s="14"/>
      <c r="BSO7" s="14"/>
      <c r="BSP7" s="14"/>
      <c r="BSQ7" s="14"/>
      <c r="BSR7" s="14"/>
      <c r="BSS7" s="14"/>
      <c r="BST7" s="14"/>
      <c r="BSU7" s="14"/>
      <c r="BSV7" s="14"/>
      <c r="BSW7" s="14"/>
      <c r="BSX7" s="14"/>
      <c r="BSY7" s="14"/>
      <c r="BSZ7" s="14"/>
      <c r="BTA7" s="14"/>
      <c r="BTB7" s="14"/>
      <c r="BTC7" s="14"/>
      <c r="BTD7" s="14"/>
      <c r="BTE7" s="14"/>
      <c r="BTF7" s="14"/>
      <c r="BTG7" s="14"/>
      <c r="BTH7" s="14"/>
      <c r="BTI7" s="14"/>
      <c r="BTJ7" s="14"/>
      <c r="BTK7" s="14"/>
      <c r="BTL7" s="14"/>
      <c r="BTM7" s="14"/>
      <c r="BTN7" s="14"/>
      <c r="BTO7" s="14"/>
      <c r="BTP7" s="14"/>
      <c r="BTQ7" s="14"/>
      <c r="BTR7" s="14"/>
      <c r="BTS7" s="14"/>
      <c r="BTT7" s="14"/>
      <c r="BTU7" s="14"/>
      <c r="BTV7" s="14"/>
      <c r="BTW7" s="14"/>
      <c r="BTX7" s="14"/>
      <c r="BTY7" s="14"/>
      <c r="BTZ7" s="14"/>
      <c r="BUA7" s="14"/>
      <c r="BUB7" s="14"/>
      <c r="BUC7" s="14"/>
      <c r="BUD7" s="14"/>
      <c r="BUE7" s="14"/>
      <c r="BUF7" s="14"/>
      <c r="BUG7" s="14"/>
      <c r="BUH7" s="14"/>
      <c r="BUI7" s="14"/>
      <c r="BUJ7" s="14"/>
      <c r="BUK7" s="14"/>
      <c r="BUL7" s="14"/>
      <c r="BUM7" s="14"/>
      <c r="BUN7" s="14"/>
      <c r="BUO7" s="14"/>
      <c r="BUP7" s="14"/>
      <c r="BUQ7" s="14"/>
      <c r="BUR7" s="14"/>
      <c r="BUS7" s="14"/>
      <c r="BUT7" s="14"/>
      <c r="BUU7" s="14"/>
      <c r="BUV7" s="14"/>
      <c r="BUW7" s="14"/>
      <c r="BUX7" s="14"/>
      <c r="BUY7" s="14"/>
      <c r="BUZ7" s="14"/>
      <c r="BVA7" s="14"/>
      <c r="BVB7" s="14"/>
      <c r="BVC7" s="14"/>
      <c r="BVD7" s="14"/>
      <c r="BVE7" s="14"/>
      <c r="BVF7" s="14"/>
      <c r="BVG7" s="14"/>
      <c r="BVH7" s="14"/>
      <c r="BVI7" s="14"/>
      <c r="BVJ7" s="14"/>
      <c r="BVK7" s="14"/>
      <c r="BVL7" s="14"/>
      <c r="BVM7" s="14"/>
      <c r="BVN7" s="14"/>
      <c r="BVO7" s="14"/>
      <c r="BVP7" s="14"/>
      <c r="BVQ7" s="14"/>
      <c r="BVR7" s="14"/>
      <c r="BVS7" s="14"/>
      <c r="BVT7" s="14"/>
      <c r="BVU7" s="14"/>
      <c r="BVV7" s="14"/>
      <c r="BVW7" s="14"/>
      <c r="BVX7" s="14"/>
      <c r="BVY7" s="14"/>
      <c r="BVZ7" s="14"/>
      <c r="BWA7" s="14"/>
      <c r="BWB7" s="14"/>
      <c r="BWC7" s="14"/>
      <c r="BWD7" s="14"/>
      <c r="BWE7" s="14"/>
      <c r="BWF7" s="14"/>
      <c r="BWG7" s="14"/>
      <c r="BWH7" s="14"/>
      <c r="BWI7" s="14"/>
      <c r="BWJ7" s="14"/>
      <c r="BWK7" s="14"/>
      <c r="BWL7" s="14"/>
      <c r="BWM7" s="14"/>
      <c r="BWN7" s="14"/>
      <c r="BWO7" s="14"/>
      <c r="BWP7" s="14"/>
      <c r="BWQ7" s="14"/>
      <c r="BWR7" s="14"/>
      <c r="BWS7" s="14"/>
      <c r="BWT7" s="14"/>
      <c r="BWU7" s="14"/>
      <c r="BWV7" s="14"/>
      <c r="BWW7" s="14"/>
      <c r="BWX7" s="14"/>
      <c r="BWY7" s="14"/>
      <c r="BWZ7" s="14"/>
      <c r="BXA7" s="14"/>
      <c r="BXB7" s="14"/>
      <c r="BXC7" s="14"/>
      <c r="BXD7" s="14"/>
      <c r="BXE7" s="14"/>
      <c r="BXF7" s="14"/>
      <c r="BXG7" s="14"/>
      <c r="BXH7" s="14"/>
      <c r="BXI7" s="14"/>
      <c r="BXJ7" s="14"/>
      <c r="BXK7" s="14"/>
      <c r="BXL7" s="14"/>
      <c r="BXM7" s="14"/>
      <c r="BXN7" s="14"/>
      <c r="BXO7" s="14"/>
      <c r="BXP7" s="14"/>
      <c r="BXQ7" s="14"/>
      <c r="BXR7" s="14"/>
      <c r="BXS7" s="14"/>
      <c r="BXT7" s="14"/>
      <c r="BXU7" s="14"/>
      <c r="BXV7" s="14"/>
      <c r="BXW7" s="14"/>
      <c r="BXX7" s="14"/>
      <c r="BXY7" s="14"/>
      <c r="BXZ7" s="14"/>
      <c r="BYA7" s="14"/>
      <c r="BYB7" s="14"/>
      <c r="BYC7" s="14"/>
      <c r="BYD7" s="14"/>
      <c r="BYE7" s="14"/>
      <c r="BYF7" s="14"/>
      <c r="BYG7" s="14"/>
      <c r="BYH7" s="14"/>
      <c r="BYI7" s="14"/>
      <c r="BYJ7" s="14"/>
      <c r="BYK7" s="14"/>
      <c r="BYL7" s="14"/>
      <c r="BYM7" s="14"/>
      <c r="BYN7" s="14"/>
      <c r="BYO7" s="14"/>
      <c r="BYP7" s="14"/>
      <c r="BYQ7" s="14"/>
      <c r="BYR7" s="14"/>
      <c r="BYS7" s="14"/>
      <c r="BYT7" s="14"/>
      <c r="BYU7" s="14"/>
      <c r="BYV7" s="14"/>
      <c r="BYW7" s="14"/>
      <c r="BYX7" s="14"/>
      <c r="BYY7" s="14"/>
      <c r="BYZ7" s="14"/>
      <c r="BZA7" s="14"/>
      <c r="BZB7" s="14"/>
      <c r="BZC7" s="14"/>
      <c r="BZD7" s="14"/>
      <c r="BZE7" s="14"/>
      <c r="BZF7" s="14"/>
      <c r="BZG7" s="14"/>
      <c r="BZH7" s="14"/>
      <c r="BZI7" s="14"/>
      <c r="BZJ7" s="14"/>
      <c r="BZK7" s="14"/>
      <c r="BZL7" s="14"/>
      <c r="BZM7" s="14"/>
      <c r="BZN7" s="14"/>
      <c r="BZO7" s="14"/>
      <c r="BZP7" s="14"/>
      <c r="BZQ7" s="14"/>
      <c r="BZR7" s="14"/>
      <c r="BZS7" s="14"/>
      <c r="BZT7" s="14"/>
      <c r="BZU7" s="14"/>
      <c r="BZV7" s="14"/>
      <c r="BZW7" s="14"/>
      <c r="BZX7" s="14"/>
      <c r="BZY7" s="14"/>
      <c r="BZZ7" s="14"/>
      <c r="CAA7" s="14"/>
      <c r="CAB7" s="14"/>
      <c r="CAC7" s="14"/>
      <c r="CAD7" s="14"/>
      <c r="CAE7" s="14"/>
      <c r="CAF7" s="14"/>
      <c r="CAG7" s="14"/>
      <c r="CAH7" s="14"/>
      <c r="CAI7" s="14"/>
      <c r="CAJ7" s="14"/>
      <c r="CAK7" s="14"/>
      <c r="CAL7" s="14"/>
      <c r="CAM7" s="14"/>
      <c r="CAN7" s="14"/>
      <c r="CAO7" s="14"/>
      <c r="CAP7" s="14"/>
      <c r="CAQ7" s="14"/>
      <c r="CAR7" s="14"/>
      <c r="CAS7" s="14"/>
      <c r="CAT7" s="14"/>
      <c r="CAU7" s="14"/>
      <c r="CAV7" s="14"/>
      <c r="CAW7" s="14"/>
      <c r="CAX7" s="14"/>
      <c r="CAY7" s="14"/>
      <c r="CAZ7" s="14"/>
      <c r="CBA7" s="14"/>
      <c r="CBB7" s="14"/>
      <c r="CBC7" s="14"/>
      <c r="CBD7" s="14"/>
      <c r="CBE7" s="14"/>
      <c r="CBF7" s="14"/>
      <c r="CBG7" s="14"/>
      <c r="CBH7" s="14"/>
      <c r="CBI7" s="14"/>
      <c r="CBJ7" s="14"/>
      <c r="CBK7" s="14"/>
      <c r="CBL7" s="14"/>
      <c r="CBM7" s="14"/>
      <c r="CBN7" s="14"/>
      <c r="CBO7" s="14"/>
      <c r="CBP7" s="14"/>
      <c r="CBQ7" s="14"/>
      <c r="CBR7" s="14"/>
      <c r="CBS7" s="14"/>
      <c r="CBT7" s="14"/>
      <c r="CBU7" s="14"/>
      <c r="CBV7" s="14"/>
      <c r="CBW7" s="14"/>
      <c r="CBX7" s="14"/>
      <c r="CBY7" s="14"/>
      <c r="CBZ7" s="14"/>
      <c r="CCA7" s="14"/>
      <c r="CCB7" s="14"/>
      <c r="CCC7" s="14"/>
      <c r="CCD7" s="14"/>
      <c r="CCE7" s="14"/>
      <c r="CCF7" s="14"/>
      <c r="CCG7" s="14"/>
      <c r="CCH7" s="14"/>
      <c r="CCI7" s="14"/>
      <c r="CCJ7" s="14"/>
      <c r="CCK7" s="14"/>
      <c r="CCL7" s="14"/>
      <c r="CCM7" s="14"/>
      <c r="CCN7" s="14"/>
      <c r="CCO7" s="14"/>
      <c r="CCP7" s="14"/>
      <c r="CCQ7" s="14"/>
      <c r="CCR7" s="14"/>
      <c r="CCS7" s="14"/>
      <c r="CCT7" s="14"/>
      <c r="CCU7" s="14"/>
      <c r="CCV7" s="14"/>
      <c r="CCW7" s="14"/>
      <c r="CCX7" s="14"/>
      <c r="CCY7" s="14"/>
      <c r="CCZ7" s="14"/>
      <c r="CDA7" s="14"/>
      <c r="CDB7" s="14"/>
      <c r="CDC7" s="14"/>
      <c r="CDD7" s="14"/>
      <c r="CDE7" s="14"/>
      <c r="CDF7" s="14"/>
      <c r="CDG7" s="14"/>
      <c r="CDH7" s="14"/>
      <c r="CDI7" s="14"/>
      <c r="CDJ7" s="14"/>
      <c r="CDK7" s="14"/>
      <c r="CDL7" s="14"/>
      <c r="CDM7" s="14"/>
      <c r="CDN7" s="14"/>
      <c r="CDO7" s="14"/>
      <c r="CDP7" s="14"/>
      <c r="CDQ7" s="14"/>
      <c r="CDR7" s="14"/>
      <c r="CDS7" s="14"/>
      <c r="CDT7" s="14"/>
      <c r="CDU7" s="14"/>
      <c r="CDV7" s="14"/>
      <c r="CDW7" s="14"/>
      <c r="CDX7" s="14"/>
      <c r="CDY7" s="14"/>
      <c r="CDZ7" s="14"/>
      <c r="CEA7" s="14"/>
      <c r="CEB7" s="14"/>
      <c r="CEC7" s="14"/>
      <c r="CED7" s="14"/>
      <c r="CEE7" s="14"/>
      <c r="CEF7" s="14"/>
      <c r="CEG7" s="14"/>
      <c r="CEH7" s="14"/>
      <c r="CEI7" s="14"/>
      <c r="CEJ7" s="14"/>
      <c r="CEK7" s="14"/>
      <c r="CEL7" s="14"/>
      <c r="CEM7" s="14"/>
      <c r="CEN7" s="14"/>
      <c r="CEO7" s="14"/>
      <c r="CEP7" s="14"/>
      <c r="CEQ7" s="14"/>
      <c r="CER7" s="14"/>
      <c r="CES7" s="14"/>
      <c r="CET7" s="14"/>
      <c r="CEU7" s="14"/>
      <c r="CEV7" s="14"/>
      <c r="CEW7" s="14"/>
      <c r="CEX7" s="14"/>
      <c r="CEY7" s="14"/>
      <c r="CEZ7" s="14"/>
      <c r="CFA7" s="14"/>
      <c r="CFB7" s="14"/>
      <c r="CFC7" s="14"/>
      <c r="CFD7" s="14"/>
      <c r="CFE7" s="14"/>
      <c r="CFF7" s="14"/>
      <c r="CFG7" s="14"/>
      <c r="CFH7" s="14"/>
      <c r="CFI7" s="14"/>
      <c r="CFJ7" s="14"/>
      <c r="CFK7" s="14"/>
      <c r="CFL7" s="14"/>
      <c r="CFM7" s="14"/>
      <c r="CFN7" s="14"/>
      <c r="CFO7" s="14"/>
      <c r="CFP7" s="14"/>
      <c r="CFQ7" s="14"/>
      <c r="CFR7" s="14"/>
      <c r="CFS7" s="14"/>
      <c r="CFT7" s="14"/>
      <c r="CFU7" s="14"/>
      <c r="CFV7" s="14"/>
      <c r="CFW7" s="14"/>
      <c r="CFX7" s="14"/>
      <c r="CFY7" s="14"/>
      <c r="CFZ7" s="14"/>
      <c r="CGA7" s="14"/>
      <c r="CGB7" s="14"/>
      <c r="CGC7" s="14"/>
      <c r="CGD7" s="14"/>
      <c r="CGE7" s="14"/>
      <c r="CGF7" s="14"/>
      <c r="CGG7" s="14"/>
      <c r="CGH7" s="14"/>
      <c r="CGI7" s="14"/>
      <c r="CGJ7" s="14"/>
      <c r="CGK7" s="14"/>
      <c r="CGL7" s="14"/>
      <c r="CGM7" s="14"/>
      <c r="CGN7" s="14"/>
      <c r="CGO7" s="14"/>
      <c r="CGP7" s="14"/>
      <c r="CGQ7" s="14"/>
      <c r="CGR7" s="14"/>
      <c r="CGS7" s="14"/>
      <c r="CGT7" s="14"/>
      <c r="CGU7" s="14"/>
      <c r="CGV7" s="14"/>
      <c r="CGW7" s="14"/>
      <c r="CGX7" s="14"/>
      <c r="CGY7" s="14"/>
      <c r="CGZ7" s="14"/>
      <c r="CHA7" s="14"/>
      <c r="CHB7" s="14"/>
      <c r="CHC7" s="14"/>
      <c r="CHD7" s="14"/>
      <c r="CHE7" s="14"/>
      <c r="CHF7" s="14"/>
      <c r="CHG7" s="14"/>
      <c r="CHH7" s="14"/>
      <c r="CHI7" s="14"/>
      <c r="CHJ7" s="14"/>
      <c r="CHK7" s="14"/>
      <c r="CHL7" s="14"/>
      <c r="CHM7" s="14"/>
      <c r="CHN7" s="14"/>
      <c r="CHO7" s="14"/>
      <c r="CHP7" s="14"/>
      <c r="CHQ7" s="14"/>
      <c r="CHR7" s="14"/>
      <c r="CHS7" s="14"/>
      <c r="CHT7" s="14"/>
      <c r="CHU7" s="14"/>
      <c r="CHV7" s="14"/>
      <c r="CHW7" s="14"/>
      <c r="CHX7" s="14"/>
      <c r="CHY7" s="14"/>
      <c r="CHZ7" s="14"/>
      <c r="CIA7" s="14"/>
      <c r="CIB7" s="14"/>
      <c r="CIC7" s="14"/>
      <c r="CID7" s="14"/>
      <c r="CIE7" s="14"/>
      <c r="CIF7" s="14"/>
      <c r="CIG7" s="14"/>
      <c r="CIH7" s="14"/>
      <c r="CII7" s="14"/>
      <c r="CIJ7" s="14"/>
      <c r="CIK7" s="14"/>
      <c r="CIL7" s="14"/>
      <c r="CIM7" s="14"/>
      <c r="CIN7" s="14"/>
      <c r="CIO7" s="14"/>
      <c r="CIP7" s="14"/>
      <c r="CIQ7" s="14"/>
      <c r="CIR7" s="14"/>
      <c r="CIS7" s="14"/>
      <c r="CIT7" s="14"/>
      <c r="CIU7" s="14"/>
      <c r="CIV7" s="14"/>
      <c r="CIW7" s="14"/>
      <c r="CIX7" s="14"/>
      <c r="CIY7" s="14"/>
      <c r="CIZ7" s="14"/>
      <c r="CJA7" s="14"/>
      <c r="CJB7" s="14"/>
      <c r="CJC7" s="14"/>
      <c r="CJD7" s="14"/>
      <c r="CJE7" s="14"/>
      <c r="CJF7" s="14"/>
      <c r="CJG7" s="14"/>
      <c r="CJH7" s="14"/>
      <c r="CJI7" s="14"/>
      <c r="CJJ7" s="14"/>
      <c r="CJK7" s="14"/>
      <c r="CJL7" s="14"/>
      <c r="CJM7" s="14"/>
      <c r="CJN7" s="14"/>
      <c r="CJO7" s="14"/>
      <c r="CJP7" s="14"/>
      <c r="CJQ7" s="14"/>
      <c r="CJR7" s="14"/>
      <c r="CJS7" s="14"/>
      <c r="CJT7" s="14"/>
      <c r="CJU7" s="14"/>
      <c r="CJV7" s="14"/>
      <c r="CJW7" s="14"/>
      <c r="CJX7" s="14"/>
      <c r="CJY7" s="14"/>
      <c r="CJZ7" s="14"/>
      <c r="CKA7" s="14"/>
      <c r="CKB7" s="14"/>
      <c r="CKC7" s="14"/>
      <c r="CKD7" s="14"/>
      <c r="CKE7" s="14"/>
      <c r="CKF7" s="14"/>
      <c r="CKG7" s="14"/>
      <c r="CKH7" s="14"/>
      <c r="CKI7" s="14"/>
      <c r="CKJ7" s="14"/>
      <c r="CKK7" s="14"/>
      <c r="CKL7" s="14"/>
      <c r="CKM7" s="14"/>
      <c r="CKN7" s="14"/>
      <c r="CKO7" s="14"/>
      <c r="CKP7" s="14"/>
      <c r="CKQ7" s="14"/>
      <c r="CKR7" s="14"/>
      <c r="CKS7" s="14"/>
      <c r="CKT7" s="14"/>
      <c r="CKU7" s="14"/>
      <c r="CKV7" s="14"/>
      <c r="CKW7" s="14"/>
      <c r="CKX7" s="14"/>
      <c r="CKY7" s="14"/>
      <c r="CKZ7" s="14"/>
      <c r="CLA7" s="14"/>
      <c r="CLB7" s="14"/>
      <c r="CLC7" s="14"/>
      <c r="CLD7" s="14"/>
      <c r="CLE7" s="14"/>
      <c r="CLF7" s="14"/>
      <c r="CLG7" s="14"/>
      <c r="CLH7" s="14"/>
      <c r="CLI7" s="14"/>
      <c r="CLJ7" s="14"/>
      <c r="CLK7" s="14"/>
      <c r="CLL7" s="14"/>
      <c r="CLM7" s="14"/>
      <c r="CLN7" s="14"/>
      <c r="CLO7" s="14"/>
      <c r="CLP7" s="14"/>
      <c r="CLQ7" s="14"/>
      <c r="CLR7" s="14"/>
      <c r="CLS7" s="14"/>
      <c r="CLT7" s="14"/>
      <c r="CLU7" s="14"/>
      <c r="CLV7" s="14"/>
      <c r="CLW7" s="14"/>
      <c r="CLX7" s="14"/>
      <c r="CLY7" s="14"/>
      <c r="CLZ7" s="14"/>
      <c r="CMA7" s="14"/>
      <c r="CMB7" s="14"/>
      <c r="CMC7" s="14"/>
      <c r="CMD7" s="14"/>
      <c r="CME7" s="14"/>
      <c r="CMF7" s="14"/>
      <c r="CMG7" s="14"/>
      <c r="CMH7" s="14"/>
      <c r="CMI7" s="14"/>
      <c r="CMJ7" s="14"/>
      <c r="CMK7" s="14"/>
      <c r="CML7" s="14"/>
      <c r="CMM7" s="14"/>
      <c r="CMN7" s="14"/>
      <c r="CMO7" s="14"/>
      <c r="CMP7" s="14"/>
      <c r="CMQ7" s="14"/>
      <c r="CMR7" s="14"/>
      <c r="CMS7" s="14"/>
      <c r="CMT7" s="14"/>
      <c r="CMU7" s="14"/>
      <c r="CMV7" s="14"/>
      <c r="CMW7" s="14"/>
      <c r="CMX7" s="14"/>
      <c r="CMY7" s="14"/>
      <c r="CMZ7" s="14"/>
      <c r="CNA7" s="14"/>
      <c r="CNB7" s="14"/>
      <c r="CNC7" s="14"/>
      <c r="CND7" s="14"/>
      <c r="CNE7" s="14"/>
      <c r="CNF7" s="14"/>
      <c r="CNG7" s="14"/>
      <c r="CNH7" s="14"/>
      <c r="CNI7" s="14"/>
      <c r="CNJ7" s="14"/>
      <c r="CNK7" s="14"/>
      <c r="CNL7" s="14"/>
      <c r="CNM7" s="14"/>
      <c r="CNN7" s="14"/>
      <c r="CNO7" s="14"/>
      <c r="CNP7" s="14"/>
      <c r="CNQ7" s="14"/>
      <c r="CNR7" s="14"/>
      <c r="CNS7" s="14"/>
      <c r="CNT7" s="14"/>
      <c r="CNU7" s="14"/>
      <c r="CNV7" s="14"/>
      <c r="CNW7" s="14"/>
      <c r="CNX7" s="14"/>
      <c r="CNY7" s="14"/>
      <c r="CNZ7" s="14"/>
      <c r="COA7" s="14"/>
      <c r="COB7" s="14"/>
      <c r="COC7" s="14"/>
      <c r="COD7" s="14"/>
      <c r="COE7" s="14"/>
      <c r="COF7" s="14"/>
      <c r="COG7" s="14"/>
      <c r="COH7" s="14"/>
      <c r="COI7" s="14"/>
      <c r="COJ7" s="14"/>
      <c r="COK7" s="14"/>
      <c r="COL7" s="14"/>
      <c r="COM7" s="14"/>
      <c r="CON7" s="14"/>
      <c r="COO7" s="14"/>
      <c r="COP7" s="14"/>
      <c r="COQ7" s="14"/>
      <c r="COR7" s="14"/>
      <c r="COS7" s="14"/>
      <c r="COT7" s="14"/>
      <c r="COU7" s="14"/>
      <c r="COV7" s="14"/>
      <c r="COW7" s="14"/>
      <c r="COX7" s="14"/>
      <c r="COY7" s="14"/>
      <c r="COZ7" s="14"/>
      <c r="CPA7" s="14"/>
      <c r="CPB7" s="14"/>
      <c r="CPC7" s="14"/>
      <c r="CPD7" s="14"/>
      <c r="CPE7" s="14"/>
      <c r="CPF7" s="14"/>
      <c r="CPG7" s="14"/>
      <c r="CPH7" s="14"/>
      <c r="CPI7" s="14"/>
      <c r="CPJ7" s="14"/>
      <c r="CPK7" s="14"/>
      <c r="CPL7" s="14"/>
      <c r="CPM7" s="14"/>
      <c r="CPN7" s="14"/>
      <c r="CPO7" s="14"/>
      <c r="CPP7" s="14"/>
      <c r="CPQ7" s="14"/>
      <c r="CPR7" s="14"/>
      <c r="CPS7" s="14"/>
      <c r="CPT7" s="14"/>
      <c r="CPU7" s="14"/>
      <c r="CPV7" s="14"/>
      <c r="CPW7" s="14"/>
      <c r="CPX7" s="14"/>
      <c r="CPY7" s="14"/>
      <c r="CPZ7" s="14"/>
      <c r="CQA7" s="14"/>
      <c r="CQB7" s="14"/>
      <c r="CQC7" s="14"/>
      <c r="CQD7" s="14"/>
      <c r="CQE7" s="14"/>
      <c r="CQF7" s="14"/>
      <c r="CQG7" s="14"/>
      <c r="CQH7" s="14"/>
      <c r="CQI7" s="14"/>
      <c r="CQJ7" s="14"/>
      <c r="CQK7" s="14"/>
      <c r="CQL7" s="14"/>
      <c r="CQM7" s="14"/>
      <c r="CQN7" s="14"/>
      <c r="CQO7" s="14"/>
      <c r="CQP7" s="14"/>
      <c r="CQQ7" s="14"/>
      <c r="CQR7" s="14"/>
      <c r="CQS7" s="14"/>
      <c r="CQT7" s="14"/>
      <c r="CQU7" s="14"/>
      <c r="CQV7" s="14"/>
      <c r="CQW7" s="14"/>
      <c r="CQX7" s="14"/>
      <c r="CQY7" s="14"/>
      <c r="CQZ7" s="14"/>
      <c r="CRA7" s="14"/>
      <c r="CRB7" s="14"/>
      <c r="CRC7" s="14"/>
      <c r="CRD7" s="14"/>
      <c r="CRE7" s="14"/>
      <c r="CRF7" s="14"/>
      <c r="CRG7" s="14"/>
      <c r="CRH7" s="14"/>
      <c r="CRI7" s="14"/>
      <c r="CRJ7" s="14"/>
      <c r="CRK7" s="14"/>
      <c r="CRL7" s="14"/>
      <c r="CRM7" s="14"/>
      <c r="CRN7" s="14"/>
      <c r="CRO7" s="14"/>
      <c r="CRP7" s="14"/>
      <c r="CRQ7" s="14"/>
      <c r="CRR7" s="14"/>
      <c r="CRS7" s="14"/>
      <c r="CRT7" s="14"/>
      <c r="CRU7" s="14"/>
      <c r="CRV7" s="14"/>
      <c r="CRW7" s="14"/>
      <c r="CRX7" s="14"/>
      <c r="CRY7" s="14"/>
      <c r="CRZ7" s="14"/>
      <c r="CSA7" s="14"/>
      <c r="CSB7" s="14"/>
      <c r="CSC7" s="14"/>
      <c r="CSD7" s="14"/>
      <c r="CSE7" s="14"/>
      <c r="CSF7" s="14"/>
      <c r="CSG7" s="14"/>
      <c r="CSH7" s="14"/>
      <c r="CSI7" s="14"/>
      <c r="CSJ7" s="14"/>
      <c r="CSK7" s="14"/>
      <c r="CSL7" s="14"/>
      <c r="CSM7" s="14"/>
      <c r="CSN7" s="14"/>
      <c r="CSO7" s="14"/>
      <c r="CSP7" s="14"/>
      <c r="CSQ7" s="14"/>
      <c r="CSR7" s="14"/>
      <c r="CSS7" s="14"/>
      <c r="CST7" s="14"/>
      <c r="CSU7" s="14"/>
      <c r="CSV7" s="14"/>
      <c r="CSW7" s="14"/>
      <c r="CSX7" s="14"/>
      <c r="CSY7" s="14"/>
      <c r="CSZ7" s="14"/>
      <c r="CTA7" s="14"/>
      <c r="CTB7" s="14"/>
      <c r="CTC7" s="14"/>
      <c r="CTD7" s="14"/>
      <c r="CTE7" s="14"/>
      <c r="CTF7" s="14"/>
      <c r="CTG7" s="14"/>
      <c r="CTH7" s="14"/>
      <c r="CTI7" s="14"/>
      <c r="CTJ7" s="14"/>
      <c r="CTK7" s="14"/>
      <c r="CTL7" s="14"/>
      <c r="CTM7" s="14"/>
      <c r="CTN7" s="14"/>
      <c r="CTO7" s="14"/>
      <c r="CTP7" s="14"/>
      <c r="CTQ7" s="14"/>
      <c r="CTR7" s="14"/>
      <c r="CTS7" s="14"/>
      <c r="CTT7" s="14"/>
      <c r="CTU7" s="14"/>
      <c r="CTV7" s="14"/>
      <c r="CTW7" s="14"/>
      <c r="CTX7" s="14"/>
      <c r="CTY7" s="14"/>
      <c r="CTZ7" s="14"/>
      <c r="CUA7" s="14"/>
      <c r="CUB7" s="14"/>
      <c r="CUC7" s="14"/>
      <c r="CUD7" s="14"/>
      <c r="CUE7" s="14"/>
      <c r="CUF7" s="14"/>
      <c r="CUG7" s="14"/>
      <c r="CUH7" s="14"/>
      <c r="CUI7" s="14"/>
      <c r="CUJ7" s="14"/>
      <c r="CUK7" s="14"/>
      <c r="CUL7" s="14"/>
      <c r="CUM7" s="14"/>
      <c r="CUN7" s="14"/>
      <c r="CUO7" s="14"/>
      <c r="CUP7" s="14"/>
      <c r="CUQ7" s="14"/>
      <c r="CUR7" s="14"/>
      <c r="CUS7" s="14"/>
      <c r="CUT7" s="14"/>
      <c r="CUU7" s="14"/>
      <c r="CUV7" s="14"/>
      <c r="CUW7" s="14"/>
      <c r="CUX7" s="14"/>
      <c r="CUY7" s="14"/>
      <c r="CUZ7" s="14"/>
      <c r="CVA7" s="14"/>
      <c r="CVB7" s="14"/>
      <c r="CVC7" s="14"/>
      <c r="CVD7" s="14"/>
      <c r="CVE7" s="14"/>
      <c r="CVF7" s="14"/>
      <c r="CVG7" s="14"/>
      <c r="CVH7" s="14"/>
      <c r="CVI7" s="14"/>
      <c r="CVJ7" s="14"/>
      <c r="CVK7" s="14"/>
      <c r="CVL7" s="14"/>
      <c r="CVM7" s="14"/>
      <c r="CVN7" s="14"/>
      <c r="CVO7" s="14"/>
      <c r="CVP7" s="14"/>
      <c r="CVQ7" s="14"/>
      <c r="CVR7" s="14"/>
      <c r="CVS7" s="14"/>
      <c r="CVT7" s="14"/>
      <c r="CVU7" s="14"/>
      <c r="CVV7" s="14"/>
      <c r="CVW7" s="14"/>
      <c r="CVX7" s="14"/>
      <c r="CVY7" s="14"/>
      <c r="CVZ7" s="14"/>
      <c r="CWA7" s="14"/>
      <c r="CWB7" s="14"/>
      <c r="CWC7" s="14"/>
      <c r="CWD7" s="14"/>
      <c r="CWE7" s="14"/>
      <c r="CWF7" s="14"/>
      <c r="CWG7" s="14"/>
      <c r="CWH7" s="14"/>
      <c r="CWI7" s="14"/>
      <c r="CWJ7" s="14"/>
      <c r="CWK7" s="14"/>
      <c r="CWL7" s="14"/>
      <c r="CWM7" s="14"/>
      <c r="CWN7" s="14"/>
      <c r="CWO7" s="14"/>
      <c r="CWP7" s="14"/>
      <c r="CWQ7" s="14"/>
      <c r="CWR7" s="14"/>
      <c r="CWS7" s="14"/>
      <c r="CWT7" s="14"/>
      <c r="CWU7" s="14"/>
      <c r="CWV7" s="14"/>
      <c r="CWW7" s="14"/>
      <c r="CWX7" s="14"/>
      <c r="CWY7" s="14"/>
      <c r="CWZ7" s="14"/>
      <c r="CXA7" s="14"/>
      <c r="CXB7" s="14"/>
      <c r="CXC7" s="14"/>
      <c r="CXD7" s="14"/>
      <c r="CXE7" s="14"/>
      <c r="CXF7" s="14"/>
      <c r="CXG7" s="14"/>
      <c r="CXH7" s="14"/>
      <c r="CXI7" s="14"/>
      <c r="CXJ7" s="14"/>
      <c r="CXK7" s="14"/>
      <c r="CXL7" s="14"/>
      <c r="CXM7" s="14"/>
      <c r="CXN7" s="14"/>
      <c r="CXO7" s="14"/>
      <c r="CXP7" s="14"/>
      <c r="CXQ7" s="14"/>
      <c r="CXR7" s="14"/>
      <c r="CXS7" s="14"/>
      <c r="CXT7" s="14"/>
      <c r="CXU7" s="14"/>
      <c r="CXV7" s="14"/>
      <c r="CXW7" s="14"/>
      <c r="CXX7" s="14"/>
      <c r="CXY7" s="14"/>
      <c r="CXZ7" s="14"/>
      <c r="CYA7" s="14"/>
      <c r="CYB7" s="14"/>
      <c r="CYC7" s="14"/>
      <c r="CYD7" s="14"/>
      <c r="CYE7" s="14"/>
      <c r="CYF7" s="14"/>
      <c r="CYG7" s="14"/>
      <c r="CYH7" s="14"/>
      <c r="CYI7" s="14"/>
      <c r="CYJ7" s="14"/>
      <c r="CYK7" s="14"/>
      <c r="CYL7" s="14"/>
      <c r="CYM7" s="14"/>
      <c r="CYN7" s="14"/>
      <c r="CYO7" s="14"/>
      <c r="CYP7" s="14"/>
      <c r="CYQ7" s="14"/>
      <c r="CYR7" s="14"/>
      <c r="CYS7" s="14"/>
      <c r="CYT7" s="14"/>
      <c r="CYU7" s="14"/>
      <c r="CYV7" s="14"/>
      <c r="CYW7" s="14"/>
      <c r="CYX7" s="14"/>
      <c r="CYY7" s="14"/>
      <c r="CYZ7" s="14"/>
      <c r="CZA7" s="14"/>
      <c r="CZB7" s="14"/>
      <c r="CZC7" s="14"/>
      <c r="CZD7" s="14"/>
      <c r="CZE7" s="14"/>
      <c r="CZF7" s="14"/>
      <c r="CZG7" s="14"/>
      <c r="CZH7" s="14"/>
      <c r="CZI7" s="14"/>
      <c r="CZJ7" s="14"/>
      <c r="CZK7" s="14"/>
      <c r="CZL7" s="14"/>
      <c r="CZM7" s="14"/>
      <c r="CZN7" s="14"/>
      <c r="CZO7" s="14"/>
      <c r="CZP7" s="14"/>
      <c r="CZQ7" s="14"/>
      <c r="CZR7" s="14"/>
      <c r="CZS7" s="14"/>
      <c r="CZT7" s="14"/>
      <c r="CZU7" s="14"/>
      <c r="CZV7" s="14"/>
      <c r="CZW7" s="14"/>
      <c r="CZX7" s="14"/>
      <c r="CZY7" s="14"/>
      <c r="CZZ7" s="14"/>
      <c r="DAA7" s="14"/>
      <c r="DAB7" s="14"/>
      <c r="DAC7" s="14"/>
      <c r="DAD7" s="14"/>
      <c r="DAE7" s="14"/>
      <c r="DAF7" s="14"/>
      <c r="DAG7" s="14"/>
      <c r="DAH7" s="14"/>
      <c r="DAI7" s="14"/>
      <c r="DAJ7" s="14"/>
      <c r="DAK7" s="14"/>
      <c r="DAL7" s="14"/>
      <c r="DAM7" s="14"/>
      <c r="DAN7" s="14"/>
      <c r="DAO7" s="14"/>
      <c r="DAP7" s="14"/>
      <c r="DAQ7" s="14"/>
      <c r="DAR7" s="14"/>
      <c r="DAS7" s="14"/>
      <c r="DAT7" s="14"/>
      <c r="DAU7" s="14"/>
      <c r="DAV7" s="14"/>
      <c r="DAW7" s="14"/>
      <c r="DAX7" s="14"/>
      <c r="DAY7" s="14"/>
      <c r="DAZ7" s="14"/>
      <c r="DBA7" s="14"/>
      <c r="DBB7" s="14"/>
      <c r="DBC7" s="14"/>
      <c r="DBD7" s="14"/>
      <c r="DBE7" s="14"/>
      <c r="DBF7" s="14"/>
      <c r="DBG7" s="14"/>
      <c r="DBH7" s="14"/>
      <c r="DBI7" s="14"/>
      <c r="DBJ7" s="14"/>
      <c r="DBK7" s="14"/>
      <c r="DBL7" s="14"/>
      <c r="DBM7" s="14"/>
      <c r="DBN7" s="14"/>
      <c r="DBO7" s="14"/>
      <c r="DBP7" s="14"/>
      <c r="DBQ7" s="14"/>
      <c r="DBR7" s="14"/>
      <c r="DBS7" s="14"/>
      <c r="DBT7" s="14"/>
      <c r="DBU7" s="14"/>
      <c r="DBV7" s="14"/>
      <c r="DBW7" s="14"/>
      <c r="DBX7" s="14"/>
      <c r="DBY7" s="14"/>
      <c r="DBZ7" s="14"/>
      <c r="DCA7" s="14"/>
      <c r="DCB7" s="14"/>
      <c r="DCC7" s="14"/>
      <c r="DCD7" s="14"/>
      <c r="DCE7" s="14"/>
      <c r="DCF7" s="14"/>
      <c r="DCG7" s="14"/>
      <c r="DCH7" s="14"/>
      <c r="DCI7" s="14"/>
      <c r="DCJ7" s="14"/>
      <c r="DCK7" s="14"/>
      <c r="DCL7" s="14"/>
      <c r="DCM7" s="14"/>
      <c r="DCN7" s="14"/>
      <c r="DCO7" s="14"/>
      <c r="DCP7" s="14"/>
      <c r="DCQ7" s="14"/>
      <c r="DCR7" s="14"/>
      <c r="DCS7" s="14"/>
      <c r="DCT7" s="14"/>
      <c r="DCU7" s="14"/>
      <c r="DCV7" s="14"/>
      <c r="DCW7" s="14"/>
      <c r="DCX7" s="14"/>
      <c r="DCY7" s="14"/>
      <c r="DCZ7" s="14"/>
      <c r="DDA7" s="14"/>
      <c r="DDB7" s="14"/>
      <c r="DDC7" s="14"/>
      <c r="DDD7" s="14"/>
      <c r="DDE7" s="14"/>
      <c r="DDF7" s="14"/>
      <c r="DDG7" s="14"/>
      <c r="DDH7" s="14"/>
      <c r="DDI7" s="14"/>
      <c r="DDJ7" s="14"/>
      <c r="DDK7" s="14"/>
      <c r="DDL7" s="14"/>
      <c r="DDM7" s="14"/>
      <c r="DDN7" s="14"/>
      <c r="DDO7" s="14"/>
      <c r="DDP7" s="14"/>
      <c r="DDQ7" s="14"/>
      <c r="DDR7" s="14"/>
      <c r="DDS7" s="14"/>
      <c r="DDT7" s="14"/>
      <c r="DDU7" s="14"/>
      <c r="DDV7" s="14"/>
      <c r="DDW7" s="14"/>
      <c r="DDX7" s="14"/>
      <c r="DDY7" s="14"/>
      <c r="DDZ7" s="14"/>
      <c r="DEA7" s="14"/>
      <c r="DEB7" s="14"/>
      <c r="DEC7" s="14"/>
      <c r="DED7" s="14"/>
      <c r="DEE7" s="14"/>
      <c r="DEF7" s="14"/>
      <c r="DEG7" s="14"/>
      <c r="DEH7" s="14"/>
      <c r="DEI7" s="14"/>
      <c r="DEJ7" s="14"/>
      <c r="DEK7" s="14"/>
      <c r="DEL7" s="14"/>
      <c r="DEM7" s="14"/>
      <c r="DEN7" s="14"/>
      <c r="DEO7" s="14"/>
      <c r="DEP7" s="14"/>
      <c r="DEQ7" s="14"/>
      <c r="DER7" s="14"/>
      <c r="DES7" s="14"/>
      <c r="DET7" s="14"/>
      <c r="DEU7" s="14"/>
      <c r="DEV7" s="14"/>
      <c r="DEW7" s="14"/>
      <c r="DEX7" s="14"/>
      <c r="DEY7" s="14"/>
      <c r="DEZ7" s="14"/>
      <c r="DFA7" s="14"/>
      <c r="DFB7" s="14"/>
      <c r="DFC7" s="14"/>
      <c r="DFD7" s="14"/>
      <c r="DFE7" s="14"/>
      <c r="DFF7" s="14"/>
      <c r="DFG7" s="14"/>
      <c r="DFH7" s="14"/>
      <c r="DFI7" s="14"/>
      <c r="DFJ7" s="14"/>
      <c r="DFK7" s="14"/>
      <c r="DFL7" s="14"/>
      <c r="DFM7" s="14"/>
      <c r="DFN7" s="14"/>
      <c r="DFO7" s="14"/>
      <c r="DFP7" s="14"/>
      <c r="DFQ7" s="14"/>
      <c r="DFR7" s="14"/>
      <c r="DFS7" s="14"/>
      <c r="DFT7" s="14"/>
      <c r="DFU7" s="14"/>
      <c r="DFV7" s="14"/>
      <c r="DFW7" s="14"/>
      <c r="DFX7" s="14"/>
      <c r="DFY7" s="14"/>
      <c r="DFZ7" s="14"/>
      <c r="DGA7" s="14"/>
      <c r="DGB7" s="14"/>
      <c r="DGC7" s="14"/>
      <c r="DGD7" s="14"/>
      <c r="DGE7" s="14"/>
      <c r="DGF7" s="14"/>
      <c r="DGG7" s="14"/>
      <c r="DGH7" s="14"/>
      <c r="DGI7" s="14"/>
      <c r="DGJ7" s="14"/>
      <c r="DGK7" s="14"/>
      <c r="DGL7" s="14"/>
      <c r="DGM7" s="14"/>
      <c r="DGN7" s="14"/>
      <c r="DGO7" s="14"/>
      <c r="DGP7" s="14"/>
      <c r="DGQ7" s="14"/>
      <c r="DGR7" s="14"/>
      <c r="DGS7" s="14"/>
      <c r="DGT7" s="14"/>
      <c r="DGU7" s="14"/>
      <c r="DGV7" s="14"/>
      <c r="DGW7" s="14"/>
      <c r="DGX7" s="14"/>
      <c r="DGY7" s="14"/>
      <c r="DGZ7" s="14"/>
      <c r="DHA7" s="14"/>
      <c r="DHB7" s="14"/>
      <c r="DHC7" s="14"/>
      <c r="DHD7" s="14"/>
      <c r="DHE7" s="14"/>
      <c r="DHF7" s="14"/>
      <c r="DHG7" s="14"/>
      <c r="DHH7" s="14"/>
      <c r="DHI7" s="14"/>
      <c r="DHJ7" s="14"/>
      <c r="DHK7" s="14"/>
      <c r="DHL7" s="14"/>
      <c r="DHM7" s="14"/>
      <c r="DHN7" s="14"/>
      <c r="DHO7" s="14"/>
      <c r="DHP7" s="14"/>
      <c r="DHQ7" s="14"/>
      <c r="DHR7" s="14"/>
      <c r="DHS7" s="14"/>
      <c r="DHT7" s="14"/>
      <c r="DHU7" s="14"/>
      <c r="DHV7" s="14"/>
      <c r="DHW7" s="14"/>
      <c r="DHX7" s="14"/>
      <c r="DHY7" s="14"/>
      <c r="DHZ7" s="14"/>
      <c r="DIA7" s="14"/>
      <c r="DIB7" s="14"/>
      <c r="DIC7" s="14"/>
      <c r="DID7" s="14"/>
      <c r="DIE7" s="14"/>
      <c r="DIF7" s="14"/>
      <c r="DIG7" s="14"/>
      <c r="DIH7" s="14"/>
      <c r="DII7" s="14"/>
      <c r="DIJ7" s="14"/>
      <c r="DIK7" s="14"/>
      <c r="DIL7" s="14"/>
      <c r="DIM7" s="14"/>
      <c r="DIN7" s="14"/>
      <c r="DIO7" s="14"/>
      <c r="DIP7" s="14"/>
      <c r="DIQ7" s="14"/>
      <c r="DIR7" s="14"/>
      <c r="DIS7" s="14"/>
      <c r="DIT7" s="14"/>
      <c r="DIU7" s="14"/>
      <c r="DIV7" s="14"/>
      <c r="DIW7" s="14"/>
      <c r="DIX7" s="14"/>
      <c r="DIY7" s="14"/>
      <c r="DIZ7" s="14"/>
      <c r="DJA7" s="14"/>
      <c r="DJB7" s="14"/>
      <c r="DJC7" s="14"/>
      <c r="DJD7" s="14"/>
      <c r="DJE7" s="14"/>
      <c r="DJF7" s="14"/>
      <c r="DJG7" s="14"/>
      <c r="DJH7" s="14"/>
      <c r="DJI7" s="14"/>
      <c r="DJJ7" s="14"/>
      <c r="DJK7" s="14"/>
      <c r="DJL7" s="14"/>
      <c r="DJM7" s="14"/>
      <c r="DJN7" s="14"/>
      <c r="DJO7" s="14"/>
      <c r="DJP7" s="14"/>
      <c r="DJQ7" s="14"/>
      <c r="DJR7" s="14"/>
      <c r="DJS7" s="14"/>
      <c r="DJT7" s="14"/>
      <c r="DJU7" s="14"/>
      <c r="DJV7" s="14"/>
      <c r="DJW7" s="14"/>
      <c r="DJX7" s="14"/>
      <c r="DJY7" s="14"/>
      <c r="DJZ7" s="14"/>
      <c r="DKA7" s="14"/>
      <c r="DKB7" s="14"/>
      <c r="DKC7" s="14"/>
      <c r="DKD7" s="14"/>
      <c r="DKE7" s="14"/>
      <c r="DKF7" s="14"/>
      <c r="DKG7" s="14"/>
      <c r="DKH7" s="14"/>
      <c r="DKI7" s="14"/>
      <c r="DKJ7" s="14"/>
      <c r="DKK7" s="14"/>
      <c r="DKL7" s="14"/>
      <c r="DKM7" s="14"/>
      <c r="DKN7" s="14"/>
      <c r="DKO7" s="14"/>
      <c r="DKP7" s="14"/>
      <c r="DKQ7" s="14"/>
      <c r="DKR7" s="14"/>
      <c r="DKS7" s="14"/>
      <c r="DKT7" s="14"/>
      <c r="DKU7" s="14"/>
      <c r="DKV7" s="14"/>
      <c r="DKW7" s="14"/>
      <c r="DKX7" s="14"/>
      <c r="DKY7" s="14"/>
      <c r="DKZ7" s="14"/>
      <c r="DLA7" s="14"/>
      <c r="DLB7" s="14"/>
      <c r="DLC7" s="14"/>
      <c r="DLD7" s="14"/>
      <c r="DLE7" s="14"/>
      <c r="DLF7" s="14"/>
      <c r="DLG7" s="14"/>
      <c r="DLH7" s="14"/>
      <c r="DLI7" s="14"/>
      <c r="DLJ7" s="14"/>
      <c r="DLK7" s="14"/>
      <c r="DLL7" s="14"/>
      <c r="DLM7" s="14"/>
      <c r="DLN7" s="14"/>
      <c r="DLO7" s="14"/>
      <c r="DLP7" s="14"/>
      <c r="DLQ7" s="14"/>
      <c r="DLR7" s="14"/>
      <c r="DLS7" s="14"/>
      <c r="DLT7" s="14"/>
      <c r="DLU7" s="14"/>
      <c r="DLV7" s="14"/>
      <c r="DLW7" s="14"/>
      <c r="DLX7" s="14"/>
      <c r="DLY7" s="14"/>
      <c r="DLZ7" s="14"/>
      <c r="DMA7" s="14"/>
      <c r="DMB7" s="14"/>
      <c r="DMC7" s="14"/>
      <c r="DMD7" s="14"/>
      <c r="DME7" s="14"/>
      <c r="DMF7" s="14"/>
      <c r="DMG7" s="14"/>
      <c r="DMH7" s="14"/>
      <c r="DMI7" s="14"/>
      <c r="DMJ7" s="14"/>
      <c r="DMK7" s="14"/>
      <c r="DML7" s="14"/>
      <c r="DMM7" s="14"/>
      <c r="DMN7" s="14"/>
      <c r="DMO7" s="14"/>
      <c r="DMP7" s="14"/>
      <c r="DMQ7" s="14"/>
      <c r="DMR7" s="14"/>
      <c r="DMS7" s="14"/>
      <c r="DMT7" s="14"/>
      <c r="DMU7" s="14"/>
      <c r="DMV7" s="14"/>
      <c r="DMW7" s="14"/>
      <c r="DMX7" s="14"/>
      <c r="DMY7" s="14"/>
      <c r="DMZ7" s="14"/>
      <c r="DNA7" s="14"/>
      <c r="DNB7" s="14"/>
      <c r="DNC7" s="14"/>
      <c r="DND7" s="14"/>
      <c r="DNE7" s="14"/>
      <c r="DNF7" s="14"/>
      <c r="DNG7" s="14"/>
      <c r="DNH7" s="14"/>
      <c r="DNI7" s="14"/>
      <c r="DNJ7" s="14"/>
      <c r="DNK7" s="14"/>
      <c r="DNL7" s="14"/>
      <c r="DNM7" s="14"/>
      <c r="DNN7" s="14"/>
      <c r="DNO7" s="14"/>
      <c r="DNP7" s="14"/>
      <c r="DNQ7" s="14"/>
      <c r="DNR7" s="14"/>
      <c r="DNS7" s="14"/>
      <c r="DNT7" s="14"/>
      <c r="DNU7" s="14"/>
      <c r="DNV7" s="14"/>
      <c r="DNW7" s="14"/>
      <c r="DNX7" s="14"/>
      <c r="DNY7" s="14"/>
      <c r="DNZ7" s="14"/>
      <c r="DOA7" s="14"/>
      <c r="DOB7" s="14"/>
      <c r="DOC7" s="14"/>
      <c r="DOD7" s="14"/>
      <c r="DOE7" s="14"/>
      <c r="DOF7" s="14"/>
      <c r="DOG7" s="14"/>
      <c r="DOH7" s="14"/>
      <c r="DOI7" s="14"/>
      <c r="DOJ7" s="14"/>
      <c r="DOK7" s="14"/>
      <c r="DOL7" s="14"/>
      <c r="DOM7" s="14"/>
      <c r="DON7" s="14"/>
      <c r="DOO7" s="14"/>
      <c r="DOP7" s="14"/>
      <c r="DOQ7" s="14"/>
      <c r="DOR7" s="14"/>
      <c r="DOS7" s="14"/>
      <c r="DOT7" s="14"/>
      <c r="DOU7" s="14"/>
      <c r="DOV7" s="14"/>
      <c r="DOW7" s="14"/>
      <c r="DOX7" s="14"/>
      <c r="DOY7" s="14"/>
      <c r="DOZ7" s="14"/>
      <c r="DPA7" s="14"/>
      <c r="DPB7" s="14"/>
      <c r="DPC7" s="14"/>
      <c r="DPD7" s="14"/>
      <c r="DPE7" s="14"/>
      <c r="DPF7" s="14"/>
      <c r="DPG7" s="14"/>
      <c r="DPH7" s="14"/>
      <c r="DPI7" s="14"/>
      <c r="DPJ7" s="14"/>
      <c r="DPK7" s="14"/>
      <c r="DPL7" s="14"/>
      <c r="DPM7" s="14"/>
      <c r="DPN7" s="14"/>
      <c r="DPO7" s="14"/>
      <c r="DPP7" s="14"/>
      <c r="DPQ7" s="14"/>
      <c r="DPR7" s="14"/>
      <c r="DPS7" s="14"/>
      <c r="DPT7" s="14"/>
      <c r="DPU7" s="14"/>
      <c r="DPV7" s="14"/>
      <c r="DPW7" s="14"/>
      <c r="DPX7" s="14"/>
      <c r="DPY7" s="14"/>
      <c r="DPZ7" s="14"/>
      <c r="DQA7" s="14"/>
      <c r="DQB7" s="14"/>
      <c r="DQC7" s="14"/>
      <c r="DQD7" s="14"/>
      <c r="DQE7" s="14"/>
      <c r="DQF7" s="14"/>
      <c r="DQG7" s="14"/>
      <c r="DQH7" s="14"/>
      <c r="DQI7" s="14"/>
      <c r="DQJ7" s="14"/>
      <c r="DQK7" s="14"/>
      <c r="DQL7" s="14"/>
      <c r="DQM7" s="14"/>
      <c r="DQN7" s="14"/>
      <c r="DQO7" s="14"/>
      <c r="DQP7" s="14"/>
      <c r="DQQ7" s="14"/>
      <c r="DQR7" s="14"/>
      <c r="DQS7" s="14"/>
      <c r="DQT7" s="14"/>
      <c r="DQU7" s="14"/>
      <c r="DQV7" s="14"/>
      <c r="DQW7" s="14"/>
      <c r="DQX7" s="14"/>
      <c r="DQY7" s="14"/>
      <c r="DQZ7" s="14"/>
      <c r="DRA7" s="14"/>
      <c r="DRB7" s="14"/>
      <c r="DRC7" s="14"/>
      <c r="DRD7" s="14"/>
      <c r="DRE7" s="14"/>
      <c r="DRF7" s="14"/>
      <c r="DRG7" s="14"/>
      <c r="DRH7" s="14"/>
      <c r="DRI7" s="14"/>
      <c r="DRJ7" s="14"/>
      <c r="DRK7" s="14"/>
      <c r="DRL7" s="14"/>
      <c r="DRM7" s="14"/>
      <c r="DRN7" s="14"/>
      <c r="DRO7" s="14"/>
      <c r="DRP7" s="14"/>
      <c r="DRQ7" s="14"/>
      <c r="DRR7" s="14"/>
      <c r="DRS7" s="14"/>
      <c r="DRT7" s="14"/>
      <c r="DRU7" s="14"/>
      <c r="DRV7" s="14"/>
      <c r="DRW7" s="14"/>
      <c r="DRX7" s="14"/>
      <c r="DRY7" s="14"/>
      <c r="DRZ7" s="14"/>
      <c r="DSA7" s="14"/>
      <c r="DSB7" s="14"/>
      <c r="DSC7" s="14"/>
      <c r="DSD7" s="14"/>
      <c r="DSE7" s="14"/>
      <c r="DSF7" s="14"/>
      <c r="DSG7" s="14"/>
      <c r="DSH7" s="14"/>
      <c r="DSI7" s="14"/>
      <c r="DSJ7" s="14"/>
      <c r="DSK7" s="14"/>
      <c r="DSL7" s="14"/>
      <c r="DSM7" s="14"/>
      <c r="DSN7" s="14"/>
      <c r="DSO7" s="14"/>
      <c r="DSP7" s="14"/>
      <c r="DSQ7" s="14"/>
      <c r="DSR7" s="14"/>
      <c r="DSS7" s="14"/>
      <c r="DST7" s="14"/>
      <c r="DSU7" s="14"/>
      <c r="DSV7" s="14"/>
      <c r="DSW7" s="14"/>
      <c r="DSX7" s="14"/>
      <c r="DSY7" s="14"/>
      <c r="DSZ7" s="14"/>
      <c r="DTA7" s="14"/>
      <c r="DTB7" s="14"/>
      <c r="DTC7" s="14"/>
      <c r="DTD7" s="14"/>
      <c r="DTE7" s="14"/>
      <c r="DTF7" s="14"/>
      <c r="DTG7" s="14"/>
      <c r="DTH7" s="14"/>
      <c r="DTI7" s="14"/>
      <c r="DTJ7" s="14"/>
      <c r="DTK7" s="14"/>
      <c r="DTL7" s="14"/>
      <c r="DTM7" s="14"/>
      <c r="DTN7" s="14"/>
      <c r="DTO7" s="14"/>
      <c r="DTP7" s="14"/>
      <c r="DTQ7" s="14"/>
      <c r="DTR7" s="14"/>
      <c r="DTS7" s="14"/>
      <c r="DTT7" s="14"/>
      <c r="DTU7" s="14"/>
      <c r="DTV7" s="14"/>
      <c r="DTW7" s="14"/>
      <c r="DTX7" s="14"/>
      <c r="DTY7" s="14"/>
      <c r="DTZ7" s="14"/>
      <c r="DUA7" s="14"/>
      <c r="DUB7" s="14"/>
      <c r="DUC7" s="14"/>
      <c r="DUD7" s="14"/>
      <c r="DUE7" s="14"/>
      <c r="DUF7" s="14"/>
      <c r="DUG7" s="14"/>
      <c r="DUH7" s="14"/>
      <c r="DUI7" s="14"/>
      <c r="DUJ7" s="14"/>
      <c r="DUK7" s="14"/>
      <c r="DUL7" s="14"/>
      <c r="DUM7" s="14"/>
      <c r="DUN7" s="14"/>
      <c r="DUO7" s="14"/>
      <c r="DUP7" s="14"/>
      <c r="DUQ7" s="14"/>
      <c r="DUR7" s="14"/>
      <c r="DUS7" s="14"/>
      <c r="DUT7" s="14"/>
      <c r="DUU7" s="14"/>
      <c r="DUV7" s="14"/>
      <c r="DUW7" s="14"/>
      <c r="DUX7" s="14"/>
      <c r="DUY7" s="14"/>
      <c r="DUZ7" s="14"/>
      <c r="DVA7" s="14"/>
      <c r="DVB7" s="14"/>
      <c r="DVC7" s="14"/>
      <c r="DVD7" s="14"/>
      <c r="DVE7" s="14"/>
      <c r="DVF7" s="14"/>
      <c r="DVG7" s="14"/>
      <c r="DVH7" s="14"/>
      <c r="DVI7" s="14"/>
      <c r="DVJ7" s="14"/>
      <c r="DVK7" s="14"/>
      <c r="DVL7" s="14"/>
      <c r="DVM7" s="14"/>
      <c r="DVN7" s="14"/>
      <c r="DVO7" s="14"/>
      <c r="DVP7" s="14"/>
      <c r="DVQ7" s="14"/>
      <c r="DVR7" s="14"/>
      <c r="DVS7" s="14"/>
      <c r="DVT7" s="14"/>
      <c r="DVU7" s="14"/>
      <c r="DVV7" s="14"/>
      <c r="DVW7" s="14"/>
      <c r="DVX7" s="14"/>
      <c r="DVY7" s="14"/>
      <c r="DVZ7" s="14"/>
      <c r="DWA7" s="14"/>
      <c r="DWB7" s="14"/>
      <c r="DWC7" s="14"/>
      <c r="DWD7" s="14"/>
      <c r="DWE7" s="14"/>
      <c r="DWF7" s="14"/>
      <c r="DWG7" s="14"/>
      <c r="DWH7" s="14"/>
      <c r="DWI7" s="14"/>
      <c r="DWJ7" s="14"/>
      <c r="DWK7" s="14"/>
      <c r="DWL7" s="14"/>
      <c r="DWM7" s="14"/>
      <c r="DWN7" s="14"/>
      <c r="DWO7" s="14"/>
      <c r="DWP7" s="14"/>
      <c r="DWQ7" s="14"/>
      <c r="DWR7" s="14"/>
      <c r="DWS7" s="14"/>
      <c r="DWT7" s="14"/>
      <c r="DWU7" s="14"/>
      <c r="DWV7" s="14"/>
      <c r="DWW7" s="14"/>
      <c r="DWX7" s="14"/>
      <c r="DWY7" s="14"/>
      <c r="DWZ7" s="14"/>
      <c r="DXA7" s="14"/>
      <c r="DXB7" s="14"/>
      <c r="DXC7" s="14"/>
      <c r="DXD7" s="14"/>
      <c r="DXE7" s="14"/>
      <c r="DXF7" s="14"/>
      <c r="DXG7" s="14"/>
      <c r="DXH7" s="14"/>
      <c r="DXI7" s="14"/>
      <c r="DXJ7" s="14"/>
      <c r="DXK7" s="14"/>
      <c r="DXL7" s="14"/>
      <c r="DXM7" s="14"/>
      <c r="DXN7" s="14"/>
      <c r="DXO7" s="14"/>
      <c r="DXP7" s="14"/>
      <c r="DXQ7" s="14"/>
      <c r="DXR7" s="14"/>
      <c r="DXS7" s="14"/>
      <c r="DXT7" s="14"/>
      <c r="DXU7" s="14"/>
      <c r="DXV7" s="14"/>
      <c r="DXW7" s="14"/>
      <c r="DXX7" s="14"/>
      <c r="DXY7" s="14"/>
      <c r="DXZ7" s="14"/>
      <c r="DYA7" s="14"/>
      <c r="DYB7" s="14"/>
      <c r="DYC7" s="14"/>
      <c r="DYD7" s="14"/>
      <c r="DYE7" s="14"/>
      <c r="DYF7" s="14"/>
      <c r="DYG7" s="14"/>
      <c r="DYH7" s="14"/>
      <c r="DYI7" s="14"/>
      <c r="DYJ7" s="14"/>
      <c r="DYK7" s="14"/>
      <c r="DYL7" s="14"/>
      <c r="DYM7" s="14"/>
      <c r="DYN7" s="14"/>
      <c r="DYO7" s="14"/>
      <c r="DYP7" s="14"/>
      <c r="DYQ7" s="14"/>
      <c r="DYR7" s="14"/>
      <c r="DYS7" s="14"/>
      <c r="DYT7" s="14"/>
      <c r="DYU7" s="14"/>
      <c r="DYV7" s="14"/>
      <c r="DYW7" s="14"/>
      <c r="DYX7" s="14"/>
      <c r="DYY7" s="14"/>
      <c r="DYZ7" s="14"/>
      <c r="DZA7" s="14"/>
      <c r="DZB7" s="14"/>
      <c r="DZC7" s="14"/>
      <c r="DZD7" s="14"/>
      <c r="DZE7" s="14"/>
      <c r="DZF7" s="14"/>
      <c r="DZG7" s="14"/>
      <c r="DZH7" s="14"/>
      <c r="DZI7" s="14"/>
      <c r="DZJ7" s="14"/>
      <c r="DZK7" s="14"/>
      <c r="DZL7" s="14"/>
      <c r="DZM7" s="14"/>
      <c r="DZN7" s="14"/>
      <c r="DZO7" s="14"/>
      <c r="DZP7" s="14"/>
      <c r="DZQ7" s="14"/>
      <c r="DZR7" s="14"/>
      <c r="DZS7" s="14"/>
      <c r="DZT7" s="14"/>
      <c r="DZU7" s="14"/>
      <c r="DZV7" s="14"/>
      <c r="DZW7" s="14"/>
      <c r="DZX7" s="14"/>
      <c r="DZY7" s="14"/>
      <c r="DZZ7" s="14"/>
      <c r="EAA7" s="14"/>
      <c r="EAB7" s="14"/>
      <c r="EAC7" s="14"/>
      <c r="EAD7" s="14"/>
      <c r="EAE7" s="14"/>
      <c r="EAF7" s="14"/>
      <c r="EAG7" s="14"/>
      <c r="EAH7" s="14"/>
      <c r="EAI7" s="14"/>
      <c r="EAJ7" s="14"/>
      <c r="EAK7" s="14"/>
      <c r="EAL7" s="14"/>
      <c r="EAM7" s="14"/>
      <c r="EAN7" s="14"/>
      <c r="EAO7" s="14"/>
      <c r="EAP7" s="14"/>
      <c r="EAQ7" s="14"/>
      <c r="EAR7" s="14"/>
      <c r="EAS7" s="14"/>
      <c r="EAT7" s="14"/>
      <c r="EAU7" s="14"/>
      <c r="EAV7" s="14"/>
      <c r="EAW7" s="14"/>
      <c r="EAX7" s="14"/>
      <c r="EAY7" s="14"/>
      <c r="EAZ7" s="14"/>
      <c r="EBA7" s="14"/>
      <c r="EBB7" s="14"/>
      <c r="EBC7" s="14"/>
      <c r="EBD7" s="14"/>
      <c r="EBE7" s="14"/>
      <c r="EBF7" s="14"/>
      <c r="EBG7" s="14"/>
      <c r="EBH7" s="14"/>
      <c r="EBI7" s="14"/>
      <c r="EBJ7" s="14"/>
      <c r="EBK7" s="14"/>
      <c r="EBL7" s="14"/>
      <c r="EBM7" s="14"/>
      <c r="EBN7" s="14"/>
      <c r="EBO7" s="14"/>
      <c r="EBP7" s="14"/>
      <c r="EBQ7" s="14"/>
      <c r="EBR7" s="14"/>
      <c r="EBS7" s="14"/>
      <c r="EBT7" s="14"/>
      <c r="EBU7" s="14"/>
      <c r="EBV7" s="14"/>
      <c r="EBW7" s="14"/>
      <c r="EBX7" s="14"/>
      <c r="EBY7" s="14"/>
      <c r="EBZ7" s="14"/>
      <c r="ECA7" s="14"/>
      <c r="ECB7" s="14"/>
      <c r="ECC7" s="14"/>
      <c r="ECD7" s="14"/>
      <c r="ECE7" s="14"/>
      <c r="ECF7" s="14"/>
      <c r="ECG7" s="14"/>
      <c r="ECH7" s="14"/>
      <c r="ECI7" s="14"/>
      <c r="ECJ7" s="14"/>
      <c r="ECK7" s="14"/>
      <c r="ECL7" s="14"/>
      <c r="ECM7" s="14"/>
      <c r="ECN7" s="14"/>
      <c r="ECO7" s="14"/>
      <c r="ECP7" s="14"/>
      <c r="ECQ7" s="14"/>
      <c r="ECR7" s="14"/>
      <c r="ECS7" s="14"/>
      <c r="ECT7" s="14"/>
      <c r="ECU7" s="14"/>
      <c r="ECV7" s="14"/>
      <c r="ECW7" s="14"/>
      <c r="ECX7" s="14"/>
      <c r="ECY7" s="14"/>
      <c r="ECZ7" s="14"/>
      <c r="EDA7" s="14"/>
      <c r="EDB7" s="14"/>
      <c r="EDC7" s="14"/>
      <c r="EDD7" s="14"/>
      <c r="EDE7" s="14"/>
      <c r="EDF7" s="14"/>
      <c r="EDG7" s="14"/>
      <c r="EDH7" s="14"/>
      <c r="EDI7" s="14"/>
      <c r="EDJ7" s="14"/>
      <c r="EDK7" s="14"/>
      <c r="EDL7" s="14"/>
      <c r="EDM7" s="14"/>
      <c r="EDN7" s="14"/>
      <c r="EDO7" s="14"/>
      <c r="EDP7" s="14"/>
      <c r="EDQ7" s="14"/>
      <c r="EDR7" s="14"/>
      <c r="EDS7" s="14"/>
      <c r="EDT7" s="14"/>
      <c r="EDU7" s="14"/>
      <c r="EDV7" s="14"/>
      <c r="EDW7" s="14"/>
      <c r="EDX7" s="14"/>
      <c r="EDY7" s="14"/>
      <c r="EDZ7" s="14"/>
      <c r="EEA7" s="14"/>
      <c r="EEB7" s="14"/>
      <c r="EEC7" s="14"/>
      <c r="EED7" s="14"/>
      <c r="EEE7" s="14"/>
      <c r="EEF7" s="14"/>
      <c r="EEG7" s="14"/>
      <c r="EEH7" s="14"/>
      <c r="EEI7" s="14"/>
      <c r="EEJ7" s="14"/>
      <c r="EEK7" s="14"/>
      <c r="EEL7" s="14"/>
      <c r="EEM7" s="14"/>
      <c r="EEN7" s="14"/>
      <c r="EEO7" s="14"/>
      <c r="EEP7" s="14"/>
      <c r="EEQ7" s="14"/>
      <c r="EER7" s="14"/>
      <c r="EES7" s="14"/>
      <c r="EET7" s="14"/>
      <c r="EEU7" s="14"/>
      <c r="EEV7" s="14"/>
      <c r="EEW7" s="14"/>
      <c r="EEX7" s="14"/>
      <c r="EEY7" s="14"/>
      <c r="EEZ7" s="14"/>
      <c r="EFA7" s="14"/>
      <c r="EFB7" s="14"/>
      <c r="EFC7" s="14"/>
      <c r="EFD7" s="14"/>
      <c r="EFE7" s="14"/>
      <c r="EFF7" s="14"/>
      <c r="EFG7" s="14"/>
      <c r="EFH7" s="14"/>
      <c r="EFI7" s="14"/>
      <c r="EFJ7" s="14"/>
      <c r="EFK7" s="14"/>
      <c r="EFL7" s="14"/>
      <c r="EFM7" s="14"/>
      <c r="EFN7" s="14"/>
      <c r="EFO7" s="14"/>
      <c r="EFP7" s="14"/>
      <c r="EFQ7" s="14"/>
      <c r="EFR7" s="14"/>
      <c r="EFS7" s="14"/>
      <c r="EFT7" s="14"/>
      <c r="EFU7" s="14"/>
      <c r="EFV7" s="14"/>
      <c r="EFW7" s="14"/>
      <c r="EFX7" s="14"/>
      <c r="EFY7" s="14"/>
      <c r="EFZ7" s="14"/>
      <c r="EGA7" s="14"/>
      <c r="EGB7" s="14"/>
      <c r="EGC7" s="14"/>
      <c r="EGD7" s="14"/>
      <c r="EGE7" s="14"/>
      <c r="EGF7" s="14"/>
      <c r="EGG7" s="14"/>
      <c r="EGH7" s="14"/>
      <c r="EGI7" s="14"/>
      <c r="EGJ7" s="14"/>
      <c r="EGK7" s="14"/>
      <c r="EGL7" s="14"/>
      <c r="EGM7" s="14"/>
      <c r="EGN7" s="14"/>
      <c r="EGO7" s="14"/>
      <c r="EGP7" s="14"/>
      <c r="EGQ7" s="14"/>
      <c r="EGR7" s="14"/>
      <c r="EGS7" s="14"/>
      <c r="EGT7" s="14"/>
      <c r="EGU7" s="14"/>
      <c r="EGV7" s="14"/>
      <c r="EGW7" s="14"/>
      <c r="EGX7" s="14"/>
      <c r="EGY7" s="14"/>
      <c r="EGZ7" s="14"/>
      <c r="EHA7" s="14"/>
      <c r="EHB7" s="14"/>
      <c r="EHC7" s="14"/>
      <c r="EHD7" s="14"/>
      <c r="EHE7" s="14"/>
      <c r="EHF7" s="14"/>
      <c r="EHG7" s="14"/>
      <c r="EHH7" s="14"/>
      <c r="EHI7" s="14"/>
      <c r="EHJ7" s="14"/>
      <c r="EHK7" s="14"/>
      <c r="EHL7" s="14"/>
      <c r="EHM7" s="14"/>
      <c r="EHN7" s="14"/>
      <c r="EHO7" s="14"/>
      <c r="EHP7" s="14"/>
      <c r="EHQ7" s="14"/>
      <c r="EHR7" s="14"/>
      <c r="EHS7" s="14"/>
      <c r="EHT7" s="14"/>
      <c r="EHU7" s="14"/>
      <c r="EHV7" s="14"/>
      <c r="EHW7" s="14"/>
      <c r="EHX7" s="14"/>
      <c r="EHY7" s="14"/>
      <c r="EHZ7" s="14"/>
      <c r="EIA7" s="14"/>
      <c r="EIB7" s="14"/>
      <c r="EIC7" s="14"/>
      <c r="EID7" s="14"/>
      <c r="EIE7" s="14"/>
      <c r="EIF7" s="14"/>
      <c r="EIG7" s="14"/>
      <c r="EIH7" s="14"/>
      <c r="EII7" s="14"/>
      <c r="EIJ7" s="14"/>
      <c r="EIK7" s="14"/>
      <c r="EIL7" s="14"/>
      <c r="EIM7" s="14"/>
      <c r="EIN7" s="14"/>
      <c r="EIO7" s="14"/>
      <c r="EIP7" s="14"/>
      <c r="EIQ7" s="14"/>
      <c r="EIR7" s="14"/>
      <c r="EIS7" s="14"/>
      <c r="EIT7" s="14"/>
      <c r="EIU7" s="14"/>
      <c r="EIV7" s="14"/>
      <c r="EIW7" s="14"/>
      <c r="EIX7" s="14"/>
      <c r="EIY7" s="14"/>
      <c r="EIZ7" s="14"/>
      <c r="EJA7" s="14"/>
      <c r="EJB7" s="14"/>
      <c r="EJC7" s="14"/>
      <c r="EJD7" s="14"/>
      <c r="EJE7" s="14"/>
      <c r="EJF7" s="14"/>
      <c r="EJG7" s="14"/>
      <c r="EJH7" s="14"/>
      <c r="EJI7" s="14"/>
      <c r="EJJ7" s="14"/>
      <c r="EJK7" s="14"/>
      <c r="EJL7" s="14"/>
      <c r="EJM7" s="14"/>
      <c r="EJN7" s="14"/>
      <c r="EJO7" s="14"/>
      <c r="EJP7" s="14"/>
      <c r="EJQ7" s="14"/>
      <c r="EJR7" s="14"/>
      <c r="EJS7" s="14"/>
      <c r="EJT7" s="14"/>
      <c r="EJU7" s="14"/>
      <c r="EJV7" s="14"/>
      <c r="EJW7" s="14"/>
      <c r="EJX7" s="14"/>
      <c r="EJY7" s="14"/>
      <c r="EJZ7" s="14"/>
      <c r="EKA7" s="14"/>
      <c r="EKB7" s="14"/>
      <c r="EKC7" s="14"/>
      <c r="EKD7" s="14"/>
      <c r="EKE7" s="14"/>
      <c r="EKF7" s="14"/>
      <c r="EKG7" s="14"/>
      <c r="EKH7" s="14"/>
      <c r="EKI7" s="14"/>
      <c r="EKJ7" s="14"/>
      <c r="EKK7" s="14"/>
      <c r="EKL7" s="14"/>
      <c r="EKM7" s="14"/>
      <c r="EKN7" s="14"/>
      <c r="EKO7" s="14"/>
      <c r="EKP7" s="14"/>
      <c r="EKQ7" s="14"/>
      <c r="EKR7" s="14"/>
      <c r="EKS7" s="14"/>
      <c r="EKT7" s="14"/>
      <c r="EKU7" s="14"/>
      <c r="EKV7" s="14"/>
      <c r="EKW7" s="14"/>
      <c r="EKX7" s="14"/>
      <c r="EKY7" s="14"/>
      <c r="EKZ7" s="14"/>
      <c r="ELA7" s="14"/>
      <c r="ELB7" s="14"/>
      <c r="ELC7" s="14"/>
      <c r="ELD7" s="14"/>
      <c r="ELE7" s="14"/>
      <c r="ELF7" s="14"/>
      <c r="ELG7" s="14"/>
      <c r="ELH7" s="14"/>
      <c r="ELI7" s="14"/>
      <c r="ELJ7" s="14"/>
      <c r="ELK7" s="14"/>
      <c r="ELL7" s="14"/>
      <c r="ELM7" s="14"/>
      <c r="ELN7" s="14"/>
      <c r="ELO7" s="14"/>
      <c r="ELP7" s="14"/>
      <c r="ELQ7" s="14"/>
      <c r="ELR7" s="14"/>
      <c r="ELS7" s="14"/>
      <c r="ELT7" s="14"/>
      <c r="ELU7" s="14"/>
      <c r="ELV7" s="14"/>
      <c r="ELW7" s="14"/>
      <c r="ELX7" s="14"/>
      <c r="ELY7" s="14"/>
      <c r="ELZ7" s="14"/>
      <c r="EMA7" s="14"/>
      <c r="EMB7" s="14"/>
      <c r="EMC7" s="14"/>
      <c r="EMD7" s="14"/>
      <c r="EME7" s="14"/>
      <c r="EMF7" s="14"/>
      <c r="EMG7" s="14"/>
      <c r="EMH7" s="14"/>
      <c r="EMI7" s="14"/>
      <c r="EMJ7" s="14"/>
      <c r="EMK7" s="14"/>
      <c r="EML7" s="14"/>
      <c r="EMM7" s="14"/>
      <c r="EMN7" s="14"/>
      <c r="EMO7" s="14"/>
      <c r="EMP7" s="14"/>
      <c r="EMQ7" s="14"/>
      <c r="EMR7" s="14"/>
      <c r="EMS7" s="14"/>
      <c r="EMT7" s="14"/>
      <c r="EMU7" s="14"/>
      <c r="EMV7" s="14"/>
      <c r="EMW7" s="14"/>
      <c r="EMX7" s="14"/>
      <c r="EMY7" s="14"/>
      <c r="EMZ7" s="14"/>
      <c r="ENA7" s="14"/>
      <c r="ENB7" s="14"/>
      <c r="ENC7" s="14"/>
      <c r="END7" s="14"/>
      <c r="ENE7" s="14"/>
      <c r="ENF7" s="14"/>
      <c r="ENG7" s="14"/>
      <c r="ENH7" s="14"/>
      <c r="ENI7" s="14"/>
      <c r="ENJ7" s="14"/>
      <c r="ENK7" s="14"/>
      <c r="ENL7" s="14"/>
      <c r="ENM7" s="14"/>
      <c r="ENN7" s="14"/>
      <c r="ENO7" s="14"/>
      <c r="ENP7" s="14"/>
      <c r="ENQ7" s="14"/>
      <c r="ENR7" s="14"/>
      <c r="ENS7" s="14"/>
      <c r="ENT7" s="14"/>
      <c r="ENU7" s="14"/>
      <c r="ENV7" s="14"/>
      <c r="ENW7" s="14"/>
      <c r="ENX7" s="14"/>
      <c r="ENY7" s="14"/>
      <c r="ENZ7" s="14"/>
      <c r="EOA7" s="14"/>
      <c r="EOB7" s="14"/>
      <c r="EOC7" s="14"/>
      <c r="EOD7" s="14"/>
      <c r="EOE7" s="14"/>
      <c r="EOF7" s="14"/>
      <c r="EOG7" s="14"/>
      <c r="EOH7" s="14"/>
      <c r="EOI7" s="14"/>
      <c r="EOJ7" s="14"/>
      <c r="EOK7" s="14"/>
      <c r="EOL7" s="14"/>
      <c r="EOM7" s="14"/>
      <c r="EON7" s="14"/>
      <c r="EOO7" s="14"/>
      <c r="EOP7" s="14"/>
      <c r="EOQ7" s="14"/>
      <c r="EOR7" s="14"/>
      <c r="EOS7" s="14"/>
      <c r="EOT7" s="14"/>
      <c r="EOU7" s="14"/>
      <c r="EOV7" s="14"/>
      <c r="EOW7" s="14"/>
      <c r="EOX7" s="14"/>
      <c r="EOY7" s="14"/>
      <c r="EOZ7" s="14"/>
      <c r="EPA7" s="14"/>
      <c r="EPB7" s="14"/>
      <c r="EPC7" s="14"/>
      <c r="EPD7" s="14"/>
      <c r="EPE7" s="14"/>
      <c r="EPF7" s="14"/>
      <c r="EPG7" s="14"/>
      <c r="EPH7" s="14"/>
      <c r="EPI7" s="14"/>
      <c r="EPJ7" s="14"/>
      <c r="EPK7" s="14"/>
      <c r="EPL7" s="14"/>
      <c r="EPM7" s="14"/>
      <c r="EPN7" s="14"/>
      <c r="EPO7" s="14"/>
      <c r="EPP7" s="14"/>
      <c r="EPQ7" s="14"/>
      <c r="EPR7" s="14"/>
      <c r="EPS7" s="14"/>
      <c r="EPT7" s="14"/>
      <c r="EPU7" s="14"/>
      <c r="EPV7" s="14"/>
      <c r="EPW7" s="14"/>
      <c r="EPX7" s="14"/>
      <c r="EPY7" s="14"/>
      <c r="EPZ7" s="14"/>
      <c r="EQA7" s="14"/>
      <c r="EQB7" s="14"/>
      <c r="EQC7" s="14"/>
      <c r="EQD7" s="14"/>
      <c r="EQE7" s="14"/>
      <c r="EQF7" s="14"/>
      <c r="EQG7" s="14"/>
      <c r="EQH7" s="14"/>
      <c r="EQI7" s="14"/>
      <c r="EQJ7" s="14"/>
      <c r="EQK7" s="14"/>
      <c r="EQL7" s="14"/>
      <c r="EQM7" s="14"/>
      <c r="EQN7" s="14"/>
      <c r="EQO7" s="14"/>
      <c r="EQP7" s="14"/>
      <c r="EQQ7" s="14"/>
      <c r="EQR7" s="14"/>
      <c r="EQS7" s="14"/>
      <c r="EQT7" s="14"/>
      <c r="EQU7" s="14"/>
      <c r="EQV7" s="14"/>
      <c r="EQW7" s="14"/>
      <c r="EQX7" s="14"/>
      <c r="EQY7" s="14"/>
      <c r="EQZ7" s="14"/>
      <c r="ERA7" s="14"/>
      <c r="ERB7" s="14"/>
      <c r="ERC7" s="14"/>
      <c r="ERD7" s="14"/>
      <c r="ERE7" s="14"/>
      <c r="ERF7" s="14"/>
      <c r="ERG7" s="14"/>
      <c r="ERH7" s="14"/>
      <c r="ERI7" s="14"/>
      <c r="ERJ7" s="14"/>
      <c r="ERK7" s="14"/>
      <c r="ERL7" s="14"/>
      <c r="ERM7" s="14"/>
      <c r="ERN7" s="14"/>
      <c r="ERO7" s="14"/>
      <c r="ERP7" s="14"/>
      <c r="ERQ7" s="14"/>
      <c r="ERR7" s="14"/>
      <c r="ERS7" s="14"/>
      <c r="ERT7" s="14"/>
      <c r="ERU7" s="14"/>
      <c r="ERV7" s="14"/>
      <c r="ERW7" s="14"/>
      <c r="ERX7" s="14"/>
      <c r="ERY7" s="14"/>
      <c r="ERZ7" s="14"/>
      <c r="ESA7" s="14"/>
      <c r="ESB7" s="14"/>
      <c r="ESC7" s="14"/>
      <c r="ESD7" s="14"/>
      <c r="ESE7" s="14"/>
      <c r="ESF7" s="14"/>
      <c r="ESG7" s="14"/>
      <c r="ESH7" s="14"/>
      <c r="ESI7" s="14"/>
      <c r="ESJ7" s="14"/>
      <c r="ESK7" s="14"/>
      <c r="ESL7" s="14"/>
      <c r="ESM7" s="14"/>
      <c r="ESN7" s="14"/>
      <c r="ESO7" s="14"/>
      <c r="ESP7" s="14"/>
      <c r="ESQ7" s="14"/>
      <c r="ESR7" s="14"/>
      <c r="ESS7" s="14"/>
      <c r="EST7" s="14"/>
      <c r="ESU7" s="14"/>
      <c r="ESV7" s="14"/>
      <c r="ESW7" s="14"/>
      <c r="ESX7" s="14"/>
      <c r="ESY7" s="14"/>
      <c r="ESZ7" s="14"/>
      <c r="ETA7" s="14"/>
      <c r="ETB7" s="14"/>
      <c r="ETC7" s="14"/>
      <c r="ETD7" s="14"/>
      <c r="ETE7" s="14"/>
      <c r="ETF7" s="14"/>
      <c r="ETG7" s="14"/>
      <c r="ETH7" s="14"/>
      <c r="ETI7" s="14"/>
      <c r="ETJ7" s="14"/>
      <c r="ETK7" s="14"/>
      <c r="ETL7" s="14"/>
      <c r="ETM7" s="14"/>
      <c r="ETN7" s="14"/>
      <c r="ETO7" s="14"/>
      <c r="ETP7" s="14"/>
      <c r="ETQ7" s="14"/>
      <c r="ETR7" s="14"/>
      <c r="ETS7" s="14"/>
      <c r="ETT7" s="14"/>
      <c r="ETU7" s="14"/>
      <c r="ETV7" s="14"/>
      <c r="ETW7" s="14"/>
      <c r="ETX7" s="14"/>
      <c r="ETY7" s="14"/>
      <c r="ETZ7" s="14"/>
      <c r="EUA7" s="14"/>
      <c r="EUB7" s="14"/>
      <c r="EUC7" s="14"/>
      <c r="EUD7" s="14"/>
      <c r="EUE7" s="14"/>
      <c r="EUF7" s="14"/>
      <c r="EUG7" s="14"/>
      <c r="EUH7" s="14"/>
      <c r="EUI7" s="14"/>
      <c r="EUJ7" s="14"/>
      <c r="EUK7" s="14"/>
      <c r="EUL7" s="14"/>
      <c r="EUM7" s="14"/>
      <c r="EUN7" s="14"/>
      <c r="EUO7" s="14"/>
      <c r="EUP7" s="14"/>
      <c r="EUQ7" s="14"/>
      <c r="EUR7" s="14"/>
      <c r="EUS7" s="14"/>
      <c r="EUT7" s="14"/>
      <c r="EUU7" s="14"/>
      <c r="EUV7" s="14"/>
      <c r="EUW7" s="14"/>
      <c r="EUX7" s="14"/>
      <c r="EUY7" s="14"/>
      <c r="EUZ7" s="14"/>
      <c r="EVA7" s="14"/>
      <c r="EVB7" s="14"/>
      <c r="EVC7" s="14"/>
      <c r="EVD7" s="14"/>
      <c r="EVE7" s="14"/>
      <c r="EVF7" s="14"/>
      <c r="EVG7" s="14"/>
      <c r="EVH7" s="14"/>
      <c r="EVI7" s="14"/>
      <c r="EVJ7" s="14"/>
      <c r="EVK7" s="14"/>
      <c r="EVL7" s="14"/>
      <c r="EVM7" s="14"/>
      <c r="EVN7" s="14"/>
      <c r="EVO7" s="14"/>
      <c r="EVP7" s="14"/>
      <c r="EVQ7" s="14"/>
      <c r="EVR7" s="14"/>
      <c r="EVS7" s="14"/>
      <c r="EVT7" s="14"/>
      <c r="EVU7" s="14"/>
      <c r="EVV7" s="14"/>
      <c r="EVW7" s="14"/>
      <c r="EVX7" s="14"/>
      <c r="EVY7" s="14"/>
      <c r="EVZ7" s="14"/>
      <c r="EWA7" s="14"/>
      <c r="EWB7" s="14"/>
      <c r="EWC7" s="14"/>
      <c r="EWD7" s="14"/>
      <c r="EWE7" s="14"/>
      <c r="EWF7" s="14"/>
      <c r="EWG7" s="14"/>
      <c r="EWH7" s="14"/>
      <c r="EWI7" s="14"/>
      <c r="EWJ7" s="14"/>
      <c r="EWK7" s="14"/>
      <c r="EWL7" s="14"/>
      <c r="EWM7" s="14"/>
      <c r="EWN7" s="14"/>
      <c r="EWO7" s="14"/>
      <c r="EWP7" s="14"/>
      <c r="EWQ7" s="14"/>
      <c r="EWR7" s="14"/>
      <c r="EWS7" s="14"/>
      <c r="EWT7" s="14"/>
      <c r="EWU7" s="14"/>
      <c r="EWV7" s="14"/>
      <c r="EWW7" s="14"/>
      <c r="EWX7" s="14"/>
      <c r="EWY7" s="14"/>
      <c r="EWZ7" s="14"/>
      <c r="EXA7" s="14"/>
      <c r="EXB7" s="14"/>
      <c r="EXC7" s="14"/>
      <c r="EXD7" s="14"/>
      <c r="EXE7" s="14"/>
      <c r="EXF7" s="14"/>
      <c r="EXG7" s="14"/>
      <c r="EXH7" s="14"/>
      <c r="EXI7" s="14"/>
      <c r="EXJ7" s="14"/>
      <c r="EXK7" s="14"/>
      <c r="EXL7" s="14"/>
      <c r="EXM7" s="14"/>
      <c r="EXN7" s="14"/>
      <c r="EXO7" s="14"/>
      <c r="EXP7" s="14"/>
      <c r="EXQ7" s="14"/>
      <c r="EXR7" s="14"/>
      <c r="EXS7" s="14"/>
      <c r="EXT7" s="14"/>
      <c r="EXU7" s="14"/>
      <c r="EXV7" s="14"/>
      <c r="EXW7" s="14"/>
      <c r="EXX7" s="14"/>
      <c r="EXY7" s="14"/>
      <c r="EXZ7" s="14"/>
      <c r="EYA7" s="14"/>
      <c r="EYB7" s="14"/>
      <c r="EYC7" s="14"/>
      <c r="EYD7" s="14"/>
      <c r="EYE7" s="14"/>
      <c r="EYF7" s="14"/>
      <c r="EYG7" s="14"/>
      <c r="EYH7" s="14"/>
      <c r="EYI7" s="14"/>
      <c r="EYJ7" s="14"/>
      <c r="EYK7" s="14"/>
      <c r="EYL7" s="14"/>
      <c r="EYM7" s="14"/>
      <c r="EYN7" s="14"/>
      <c r="EYO7" s="14"/>
      <c r="EYP7" s="14"/>
      <c r="EYQ7" s="14"/>
      <c r="EYR7" s="14"/>
      <c r="EYS7" s="14"/>
      <c r="EYT7" s="14"/>
      <c r="EYU7" s="14"/>
      <c r="EYV7" s="14"/>
      <c r="EYW7" s="14"/>
      <c r="EYX7" s="14"/>
      <c r="EYY7" s="14"/>
      <c r="EYZ7" s="14"/>
      <c r="EZA7" s="14"/>
      <c r="EZB7" s="14"/>
      <c r="EZC7" s="14"/>
      <c r="EZD7" s="14"/>
      <c r="EZE7" s="14"/>
      <c r="EZF7" s="14"/>
      <c r="EZG7" s="14"/>
      <c r="EZH7" s="14"/>
      <c r="EZI7" s="14"/>
      <c r="EZJ7" s="14"/>
      <c r="EZK7" s="14"/>
      <c r="EZL7" s="14"/>
      <c r="EZM7" s="14"/>
      <c r="EZN7" s="14"/>
      <c r="EZO7" s="14"/>
      <c r="EZP7" s="14"/>
      <c r="EZQ7" s="14"/>
      <c r="EZR7" s="14"/>
      <c r="EZS7" s="14"/>
      <c r="EZT7" s="14"/>
      <c r="EZU7" s="14"/>
      <c r="EZV7" s="14"/>
      <c r="EZW7" s="14"/>
      <c r="EZX7" s="14"/>
      <c r="EZY7" s="14"/>
      <c r="EZZ7" s="14"/>
      <c r="FAA7" s="14"/>
      <c r="FAB7" s="14"/>
      <c r="FAC7" s="14"/>
      <c r="FAD7" s="14"/>
      <c r="FAE7" s="14"/>
      <c r="FAF7" s="14"/>
      <c r="FAG7" s="14"/>
      <c r="FAH7" s="14"/>
      <c r="FAI7" s="14"/>
      <c r="FAJ7" s="14"/>
      <c r="FAK7" s="14"/>
      <c r="FAL7" s="14"/>
      <c r="FAM7" s="14"/>
      <c r="FAN7" s="14"/>
      <c r="FAO7" s="14"/>
      <c r="FAP7" s="14"/>
      <c r="FAQ7" s="14"/>
      <c r="FAR7" s="14"/>
      <c r="FAS7" s="14"/>
      <c r="FAT7" s="14"/>
      <c r="FAU7" s="14"/>
      <c r="FAV7" s="14"/>
      <c r="FAW7" s="14"/>
      <c r="FAX7" s="14"/>
      <c r="FAY7" s="14"/>
      <c r="FAZ7" s="14"/>
      <c r="FBA7" s="14"/>
      <c r="FBB7" s="14"/>
      <c r="FBC7" s="14"/>
      <c r="FBD7" s="14"/>
      <c r="FBE7" s="14"/>
      <c r="FBF7" s="14"/>
      <c r="FBG7" s="14"/>
      <c r="FBH7" s="14"/>
      <c r="FBI7" s="14"/>
      <c r="FBJ7" s="14"/>
      <c r="FBK7" s="14"/>
      <c r="FBL7" s="14"/>
      <c r="FBM7" s="14"/>
      <c r="FBN7" s="14"/>
      <c r="FBO7" s="14"/>
      <c r="FBP7" s="14"/>
      <c r="FBQ7" s="14"/>
      <c r="FBR7" s="14"/>
      <c r="FBS7" s="14"/>
      <c r="FBT7" s="14"/>
      <c r="FBU7" s="14"/>
      <c r="FBV7" s="14"/>
      <c r="FBW7" s="14"/>
      <c r="FBX7" s="14"/>
      <c r="FBY7" s="14"/>
      <c r="FBZ7" s="14"/>
      <c r="FCA7" s="14"/>
      <c r="FCB7" s="14"/>
      <c r="FCC7" s="14"/>
      <c r="FCD7" s="14"/>
      <c r="FCE7" s="14"/>
      <c r="FCF7" s="14"/>
      <c r="FCG7" s="14"/>
      <c r="FCH7" s="14"/>
      <c r="FCI7" s="14"/>
      <c r="FCJ7" s="14"/>
      <c r="FCK7" s="14"/>
      <c r="FCL7" s="14"/>
      <c r="FCM7" s="14"/>
      <c r="FCN7" s="14"/>
      <c r="FCO7" s="14"/>
      <c r="FCP7" s="14"/>
      <c r="FCQ7" s="14"/>
      <c r="FCR7" s="14"/>
      <c r="FCS7" s="14"/>
      <c r="FCT7" s="14"/>
      <c r="FCU7" s="14"/>
      <c r="FCV7" s="14"/>
      <c r="FCW7" s="14"/>
      <c r="FCX7" s="14"/>
      <c r="FCY7" s="14"/>
      <c r="FCZ7" s="14"/>
      <c r="FDA7" s="14"/>
      <c r="FDB7" s="14"/>
      <c r="FDC7" s="14"/>
      <c r="FDD7" s="14"/>
      <c r="FDE7" s="14"/>
      <c r="FDF7" s="14"/>
      <c r="FDG7" s="14"/>
      <c r="FDH7" s="14"/>
      <c r="FDI7" s="14"/>
      <c r="FDJ7" s="14"/>
      <c r="FDK7" s="14"/>
      <c r="FDL7" s="14"/>
      <c r="FDM7" s="14"/>
      <c r="FDN7" s="14"/>
      <c r="FDO7" s="14"/>
      <c r="FDP7" s="14"/>
      <c r="FDQ7" s="14"/>
      <c r="FDR7" s="14"/>
      <c r="FDS7" s="14"/>
      <c r="FDT7" s="14"/>
      <c r="FDU7" s="14"/>
      <c r="FDV7" s="14"/>
      <c r="FDW7" s="14"/>
      <c r="FDX7" s="14"/>
      <c r="FDY7" s="14"/>
      <c r="FDZ7" s="14"/>
      <c r="FEA7" s="14"/>
      <c r="FEB7" s="14"/>
      <c r="FEC7" s="14"/>
      <c r="FED7" s="14"/>
      <c r="FEE7" s="14"/>
      <c r="FEF7" s="14"/>
      <c r="FEG7" s="14"/>
      <c r="FEH7" s="14"/>
      <c r="FEI7" s="14"/>
      <c r="FEJ7" s="14"/>
      <c r="FEK7" s="14"/>
      <c r="FEL7" s="14"/>
      <c r="FEM7" s="14"/>
      <c r="FEN7" s="14"/>
      <c r="FEO7" s="14"/>
      <c r="FEP7" s="14"/>
      <c r="FEQ7" s="14"/>
      <c r="FER7" s="14"/>
      <c r="FES7" s="14"/>
      <c r="FET7" s="14"/>
      <c r="FEU7" s="14"/>
      <c r="FEV7" s="14"/>
      <c r="FEW7" s="14"/>
      <c r="FEX7" s="14"/>
      <c r="FEY7" s="14"/>
      <c r="FEZ7" s="14"/>
      <c r="FFA7" s="14"/>
      <c r="FFB7" s="14"/>
      <c r="FFC7" s="14"/>
      <c r="FFD7" s="14"/>
      <c r="FFE7" s="14"/>
      <c r="FFF7" s="14"/>
      <c r="FFG7" s="14"/>
      <c r="FFH7" s="14"/>
      <c r="FFI7" s="14"/>
      <c r="FFJ7" s="14"/>
      <c r="FFK7" s="14"/>
      <c r="FFL7" s="14"/>
      <c r="FFM7" s="14"/>
      <c r="FFN7" s="14"/>
      <c r="FFO7" s="14"/>
      <c r="FFP7" s="14"/>
      <c r="FFQ7" s="14"/>
      <c r="FFR7" s="14"/>
      <c r="FFS7" s="14"/>
      <c r="FFT7" s="14"/>
      <c r="FFU7" s="14"/>
      <c r="FFV7" s="14"/>
      <c r="FFW7" s="14"/>
      <c r="FFX7" s="14"/>
      <c r="FFY7" s="14"/>
      <c r="FFZ7" s="14"/>
      <c r="FGA7" s="14"/>
      <c r="FGB7" s="14"/>
      <c r="FGC7" s="14"/>
      <c r="FGD7" s="14"/>
      <c r="FGE7" s="14"/>
      <c r="FGF7" s="14"/>
      <c r="FGG7" s="14"/>
      <c r="FGH7" s="14"/>
      <c r="FGI7" s="14"/>
      <c r="FGJ7" s="14"/>
      <c r="FGK7" s="14"/>
      <c r="FGL7" s="14"/>
      <c r="FGM7" s="14"/>
      <c r="FGN7" s="14"/>
      <c r="FGO7" s="14"/>
      <c r="FGP7" s="14"/>
      <c r="FGQ7" s="14"/>
      <c r="FGR7" s="14"/>
      <c r="FGS7" s="14"/>
      <c r="FGT7" s="14"/>
      <c r="FGU7" s="14"/>
      <c r="FGV7" s="14"/>
      <c r="FGW7" s="14"/>
      <c r="FGX7" s="14"/>
      <c r="FGY7" s="14"/>
      <c r="FGZ7" s="14"/>
      <c r="FHA7" s="14"/>
      <c r="FHB7" s="14"/>
      <c r="FHC7" s="14"/>
      <c r="FHD7" s="14"/>
      <c r="FHE7" s="14"/>
      <c r="FHF7" s="14"/>
      <c r="FHG7" s="14"/>
      <c r="FHH7" s="14"/>
      <c r="FHI7" s="14"/>
      <c r="FHJ7" s="14"/>
      <c r="FHK7" s="14"/>
      <c r="FHL7" s="14"/>
      <c r="FHM7" s="14"/>
      <c r="FHN7" s="14"/>
      <c r="FHO7" s="14"/>
      <c r="FHP7" s="14"/>
      <c r="FHQ7" s="14"/>
      <c r="FHR7" s="14"/>
      <c r="FHS7" s="14"/>
      <c r="FHT7" s="14"/>
      <c r="FHU7" s="14"/>
      <c r="FHV7" s="14"/>
      <c r="FHW7" s="14"/>
      <c r="FHX7" s="14"/>
      <c r="FHY7" s="14"/>
      <c r="FHZ7" s="14"/>
      <c r="FIA7" s="14"/>
      <c r="FIB7" s="14"/>
      <c r="FIC7" s="14"/>
      <c r="FID7" s="14"/>
      <c r="FIE7" s="14"/>
      <c r="FIF7" s="14"/>
      <c r="FIG7" s="14"/>
      <c r="FIH7" s="14"/>
      <c r="FII7" s="14"/>
      <c r="FIJ7" s="14"/>
      <c r="FIK7" s="14"/>
      <c r="FIL7" s="14"/>
      <c r="FIM7" s="14"/>
      <c r="FIN7" s="14"/>
      <c r="FIO7" s="14"/>
      <c r="FIP7" s="14"/>
      <c r="FIQ7" s="14"/>
      <c r="FIR7" s="14"/>
      <c r="FIS7" s="14"/>
      <c r="FIT7" s="14"/>
      <c r="FIU7" s="14"/>
      <c r="FIV7" s="14"/>
      <c r="FIW7" s="14"/>
      <c r="FIX7" s="14"/>
      <c r="FIY7" s="14"/>
      <c r="FIZ7" s="14"/>
      <c r="FJA7" s="14"/>
      <c r="FJB7" s="14"/>
      <c r="FJC7" s="14"/>
      <c r="FJD7" s="14"/>
      <c r="FJE7" s="14"/>
      <c r="FJF7" s="14"/>
      <c r="FJG7" s="14"/>
      <c r="FJH7" s="14"/>
      <c r="FJI7" s="14"/>
      <c r="FJJ7" s="14"/>
      <c r="FJK7" s="14"/>
      <c r="FJL7" s="14"/>
      <c r="FJM7" s="14"/>
      <c r="FJN7" s="14"/>
      <c r="FJO7" s="14"/>
      <c r="FJP7" s="14"/>
      <c r="FJQ7" s="14"/>
      <c r="FJR7" s="14"/>
      <c r="FJS7" s="14"/>
      <c r="FJT7" s="14"/>
      <c r="FJU7" s="14"/>
      <c r="FJV7" s="14"/>
      <c r="FJW7" s="14"/>
      <c r="FJX7" s="14"/>
      <c r="FJY7" s="14"/>
      <c r="FJZ7" s="14"/>
      <c r="FKA7" s="14"/>
      <c r="FKB7" s="14"/>
      <c r="FKC7" s="14"/>
      <c r="FKD7" s="14"/>
      <c r="FKE7" s="14"/>
      <c r="FKF7" s="14"/>
      <c r="FKG7" s="14"/>
      <c r="FKH7" s="14"/>
      <c r="FKI7" s="14"/>
      <c r="FKJ7" s="14"/>
      <c r="FKK7" s="14"/>
      <c r="FKL7" s="14"/>
      <c r="FKM7" s="14"/>
      <c r="FKN7" s="14"/>
      <c r="FKO7" s="14"/>
      <c r="FKP7" s="14"/>
      <c r="FKQ7" s="14"/>
      <c r="FKR7" s="14"/>
      <c r="FKS7" s="14"/>
      <c r="FKT7" s="14"/>
      <c r="FKU7" s="14"/>
      <c r="FKV7" s="14"/>
      <c r="FKW7" s="14"/>
      <c r="FKX7" s="14"/>
      <c r="FKY7" s="14"/>
      <c r="FKZ7" s="14"/>
      <c r="FLA7" s="14"/>
      <c r="FLB7" s="14"/>
      <c r="FLC7" s="14"/>
      <c r="FLD7" s="14"/>
      <c r="FLE7" s="14"/>
      <c r="FLF7" s="14"/>
      <c r="FLG7" s="14"/>
      <c r="FLH7" s="14"/>
      <c r="FLI7" s="14"/>
      <c r="FLJ7" s="14"/>
      <c r="FLK7" s="14"/>
      <c r="FLL7" s="14"/>
      <c r="FLM7" s="14"/>
      <c r="FLN7" s="14"/>
      <c r="FLO7" s="14"/>
      <c r="FLP7" s="14"/>
      <c r="FLQ7" s="14"/>
      <c r="FLR7" s="14"/>
      <c r="FLS7" s="14"/>
      <c r="FLT7" s="14"/>
      <c r="FLU7" s="14"/>
      <c r="FLV7" s="14"/>
      <c r="FLW7" s="14"/>
      <c r="FLX7" s="14"/>
      <c r="FLY7" s="14"/>
      <c r="FLZ7" s="14"/>
      <c r="FMA7" s="14"/>
      <c r="FMB7" s="14"/>
      <c r="FMC7" s="14"/>
      <c r="FMD7" s="14"/>
      <c r="FME7" s="14"/>
      <c r="FMF7" s="14"/>
      <c r="FMG7" s="14"/>
      <c r="FMH7" s="14"/>
      <c r="FMI7" s="14"/>
      <c r="FMJ7" s="14"/>
      <c r="FMK7" s="14"/>
      <c r="FML7" s="14"/>
      <c r="FMM7" s="14"/>
      <c r="FMN7" s="14"/>
      <c r="FMO7" s="14"/>
      <c r="FMP7" s="14"/>
      <c r="FMQ7" s="14"/>
      <c r="FMR7" s="14"/>
      <c r="FMS7" s="14"/>
      <c r="FMT7" s="14"/>
      <c r="FMU7" s="14"/>
      <c r="FMV7" s="14"/>
      <c r="FMW7" s="14"/>
      <c r="FMX7" s="14"/>
      <c r="FMY7" s="14"/>
      <c r="FMZ7" s="14"/>
      <c r="FNA7" s="14"/>
      <c r="FNB7" s="14"/>
      <c r="FNC7" s="14"/>
      <c r="FND7" s="14"/>
      <c r="FNE7" s="14"/>
      <c r="FNF7" s="14"/>
      <c r="FNG7" s="14"/>
      <c r="FNH7" s="14"/>
      <c r="FNI7" s="14"/>
      <c r="FNJ7" s="14"/>
      <c r="FNK7" s="14"/>
      <c r="FNL7" s="14"/>
      <c r="FNM7" s="14"/>
      <c r="FNN7" s="14"/>
      <c r="FNO7" s="14"/>
      <c r="FNP7" s="14"/>
      <c r="FNQ7" s="14"/>
      <c r="FNR7" s="14"/>
      <c r="FNS7" s="14"/>
      <c r="FNT7" s="14"/>
      <c r="FNU7" s="14"/>
      <c r="FNV7" s="14"/>
      <c r="FNW7" s="14"/>
      <c r="FNX7" s="14"/>
      <c r="FNY7" s="14"/>
      <c r="FNZ7" s="14"/>
      <c r="FOA7" s="14"/>
      <c r="FOB7" s="14"/>
      <c r="FOC7" s="14"/>
      <c r="FOD7" s="14"/>
      <c r="FOE7" s="14"/>
      <c r="FOF7" s="14"/>
      <c r="FOG7" s="14"/>
      <c r="FOH7" s="14"/>
      <c r="FOI7" s="14"/>
      <c r="FOJ7" s="14"/>
      <c r="FOK7" s="14"/>
      <c r="FOL7" s="14"/>
      <c r="FOM7" s="14"/>
      <c r="FON7" s="14"/>
      <c r="FOO7" s="14"/>
      <c r="FOP7" s="14"/>
      <c r="FOQ7" s="14"/>
      <c r="FOR7" s="14"/>
      <c r="FOS7" s="14"/>
      <c r="FOT7" s="14"/>
      <c r="FOU7" s="14"/>
      <c r="FOV7" s="14"/>
      <c r="FOW7" s="14"/>
      <c r="FOX7" s="14"/>
      <c r="FOY7" s="14"/>
      <c r="FOZ7" s="14"/>
      <c r="FPA7" s="14"/>
      <c r="FPB7" s="14"/>
      <c r="FPC7" s="14"/>
      <c r="FPD7" s="14"/>
      <c r="FPE7" s="14"/>
      <c r="FPF7" s="14"/>
      <c r="FPG7" s="14"/>
      <c r="FPH7" s="14"/>
      <c r="FPI7" s="14"/>
      <c r="FPJ7" s="14"/>
      <c r="FPK7" s="14"/>
      <c r="FPL7" s="14"/>
      <c r="FPM7" s="14"/>
      <c r="FPN7" s="14"/>
      <c r="FPO7" s="14"/>
      <c r="FPP7" s="14"/>
      <c r="FPQ7" s="14"/>
      <c r="FPR7" s="14"/>
      <c r="FPS7" s="14"/>
      <c r="FPT7" s="14"/>
      <c r="FPU7" s="14"/>
      <c r="FPV7" s="14"/>
      <c r="FPW7" s="14"/>
      <c r="FPX7" s="14"/>
      <c r="FPY7" s="14"/>
      <c r="FPZ7" s="14"/>
      <c r="FQA7" s="14"/>
      <c r="FQB7" s="14"/>
      <c r="FQC7" s="14"/>
      <c r="FQD7" s="14"/>
      <c r="FQE7" s="14"/>
      <c r="FQF7" s="14"/>
      <c r="FQG7" s="14"/>
      <c r="FQH7" s="14"/>
      <c r="FQI7" s="14"/>
      <c r="FQJ7" s="14"/>
      <c r="FQK7" s="14"/>
      <c r="FQL7" s="14"/>
      <c r="FQM7" s="14"/>
      <c r="FQN7" s="14"/>
      <c r="FQO7" s="14"/>
      <c r="FQP7" s="14"/>
      <c r="FQQ7" s="14"/>
      <c r="FQR7" s="14"/>
      <c r="FQS7" s="14"/>
      <c r="FQT7" s="14"/>
      <c r="FQU7" s="14"/>
      <c r="FQV7" s="14"/>
      <c r="FQW7" s="14"/>
      <c r="FQX7" s="14"/>
      <c r="FQY7" s="14"/>
      <c r="FQZ7" s="14"/>
      <c r="FRA7" s="14"/>
      <c r="FRB7" s="14"/>
      <c r="FRC7" s="14"/>
      <c r="FRD7" s="14"/>
      <c r="FRE7" s="14"/>
      <c r="FRF7" s="14"/>
      <c r="FRG7" s="14"/>
      <c r="FRH7" s="14"/>
      <c r="FRI7" s="14"/>
      <c r="FRJ7" s="14"/>
      <c r="FRK7" s="14"/>
      <c r="FRL7" s="14"/>
      <c r="FRM7" s="14"/>
      <c r="FRN7" s="14"/>
      <c r="FRO7" s="14"/>
      <c r="FRP7" s="14"/>
      <c r="FRQ7" s="14"/>
      <c r="FRR7" s="14"/>
      <c r="FRS7" s="14"/>
      <c r="FRT7" s="14"/>
      <c r="FRU7" s="14"/>
      <c r="FRV7" s="14"/>
      <c r="FRW7" s="14"/>
      <c r="FRX7" s="14"/>
      <c r="FRY7" s="14"/>
      <c r="FRZ7" s="14"/>
      <c r="FSA7" s="14"/>
      <c r="FSB7" s="14"/>
      <c r="FSC7" s="14"/>
      <c r="FSD7" s="14"/>
      <c r="FSE7" s="14"/>
      <c r="FSF7" s="14"/>
      <c r="FSG7" s="14"/>
      <c r="FSH7" s="14"/>
      <c r="FSI7" s="14"/>
      <c r="FSJ7" s="14"/>
      <c r="FSK7" s="14"/>
      <c r="FSL7" s="14"/>
      <c r="FSM7" s="14"/>
      <c r="FSN7" s="14"/>
      <c r="FSO7" s="14"/>
      <c r="FSP7" s="14"/>
      <c r="FSQ7" s="14"/>
      <c r="FSR7" s="14"/>
      <c r="FSS7" s="14"/>
      <c r="FST7" s="14"/>
      <c r="FSU7" s="14"/>
      <c r="FSV7" s="14"/>
      <c r="FSW7" s="14"/>
      <c r="FSX7" s="14"/>
      <c r="FSY7" s="14"/>
      <c r="FSZ7" s="14"/>
      <c r="FTA7" s="14"/>
      <c r="FTB7" s="14"/>
      <c r="FTC7" s="14"/>
      <c r="FTD7" s="14"/>
      <c r="FTE7" s="14"/>
      <c r="FTF7" s="14"/>
      <c r="FTG7" s="14"/>
      <c r="FTH7" s="14"/>
      <c r="FTI7" s="14"/>
      <c r="FTJ7" s="14"/>
      <c r="FTK7" s="14"/>
      <c r="FTL7" s="14"/>
      <c r="FTM7" s="14"/>
      <c r="FTN7" s="14"/>
      <c r="FTO7" s="14"/>
      <c r="FTP7" s="14"/>
      <c r="FTQ7" s="14"/>
      <c r="FTR7" s="14"/>
      <c r="FTS7" s="14"/>
      <c r="FTT7" s="14"/>
      <c r="FTU7" s="14"/>
      <c r="FTV7" s="14"/>
      <c r="FTW7" s="14"/>
      <c r="FTX7" s="14"/>
      <c r="FTY7" s="14"/>
      <c r="FTZ7" s="14"/>
      <c r="FUA7" s="14"/>
      <c r="FUB7" s="14"/>
      <c r="FUC7" s="14"/>
      <c r="FUD7" s="14"/>
      <c r="FUE7" s="14"/>
      <c r="FUF7" s="14"/>
      <c r="FUG7" s="14"/>
      <c r="FUH7" s="14"/>
      <c r="FUI7" s="14"/>
      <c r="FUJ7" s="14"/>
      <c r="FUK7" s="14"/>
      <c r="FUL7" s="14"/>
      <c r="FUM7" s="14"/>
      <c r="FUN7" s="14"/>
      <c r="FUO7" s="14"/>
      <c r="FUP7" s="14"/>
      <c r="FUQ7" s="14"/>
      <c r="FUR7" s="14"/>
      <c r="FUS7" s="14"/>
      <c r="FUT7" s="14"/>
      <c r="FUU7" s="14"/>
      <c r="FUV7" s="14"/>
      <c r="FUW7" s="14"/>
      <c r="FUX7" s="14"/>
      <c r="FUY7" s="14"/>
      <c r="FUZ7" s="14"/>
      <c r="FVA7" s="14"/>
      <c r="FVB7" s="14"/>
      <c r="FVC7" s="14"/>
      <c r="FVD7" s="14"/>
      <c r="FVE7" s="14"/>
      <c r="FVF7" s="14"/>
      <c r="FVG7" s="14"/>
      <c r="FVH7" s="14"/>
      <c r="FVI7" s="14"/>
      <c r="FVJ7" s="14"/>
      <c r="FVK7" s="14"/>
      <c r="FVL7" s="14"/>
      <c r="FVM7" s="14"/>
      <c r="FVN7" s="14"/>
      <c r="FVO7" s="14"/>
      <c r="FVP7" s="14"/>
      <c r="FVQ7" s="14"/>
      <c r="FVR7" s="14"/>
      <c r="FVS7" s="14"/>
      <c r="FVT7" s="14"/>
      <c r="FVU7" s="14"/>
      <c r="FVV7" s="14"/>
      <c r="FVW7" s="14"/>
      <c r="FVX7" s="14"/>
      <c r="FVY7" s="14"/>
      <c r="FVZ7" s="14"/>
      <c r="FWA7" s="14"/>
      <c r="FWB7" s="14"/>
      <c r="FWC7" s="14"/>
      <c r="FWD7" s="14"/>
      <c r="FWE7" s="14"/>
      <c r="FWF7" s="14"/>
      <c r="FWG7" s="14"/>
      <c r="FWH7" s="14"/>
      <c r="FWI7" s="14"/>
      <c r="FWJ7" s="14"/>
      <c r="FWK7" s="14"/>
      <c r="FWL7" s="14"/>
      <c r="FWM7" s="14"/>
      <c r="FWN7" s="14"/>
      <c r="FWO7" s="14"/>
      <c r="FWP7" s="14"/>
      <c r="FWQ7" s="14"/>
      <c r="FWR7" s="14"/>
      <c r="FWS7" s="14"/>
      <c r="FWT7" s="14"/>
      <c r="FWU7" s="14"/>
      <c r="FWV7" s="14"/>
      <c r="FWW7" s="14"/>
      <c r="FWX7" s="14"/>
      <c r="FWY7" s="14"/>
      <c r="FWZ7" s="14"/>
      <c r="FXA7" s="14"/>
      <c r="FXB7" s="14"/>
      <c r="FXC7" s="14"/>
      <c r="FXD7" s="14"/>
      <c r="FXE7" s="14"/>
      <c r="FXF7" s="14"/>
      <c r="FXG7" s="14"/>
      <c r="FXH7" s="14"/>
      <c r="FXI7" s="14"/>
      <c r="FXJ7" s="14"/>
      <c r="FXK7" s="14"/>
      <c r="FXL7" s="14"/>
      <c r="FXM7" s="14"/>
      <c r="FXN7" s="14"/>
      <c r="FXO7" s="14"/>
      <c r="FXP7" s="14"/>
      <c r="FXQ7" s="14"/>
      <c r="FXR7" s="14"/>
      <c r="FXS7" s="14"/>
      <c r="FXT7" s="14"/>
      <c r="FXU7" s="14"/>
      <c r="FXV7" s="14"/>
      <c r="FXW7" s="14"/>
      <c r="FXX7" s="14"/>
      <c r="FXY7" s="14"/>
      <c r="FXZ7" s="14"/>
      <c r="FYA7" s="14"/>
      <c r="FYB7" s="14"/>
      <c r="FYC7" s="14"/>
      <c r="FYD7" s="14"/>
      <c r="FYE7" s="14"/>
      <c r="FYF7" s="14"/>
      <c r="FYG7" s="14"/>
      <c r="FYH7" s="14"/>
      <c r="FYI7" s="14"/>
      <c r="FYJ7" s="14"/>
      <c r="FYK7" s="14"/>
      <c r="FYL7" s="14"/>
      <c r="FYM7" s="14"/>
      <c r="FYN7" s="14"/>
      <c r="FYO7" s="14"/>
      <c r="FYP7" s="14"/>
      <c r="FYQ7" s="14"/>
      <c r="FYR7" s="14"/>
      <c r="FYS7" s="14"/>
      <c r="FYT7" s="14"/>
      <c r="FYU7" s="14"/>
      <c r="FYV7" s="14"/>
      <c r="FYW7" s="14"/>
      <c r="FYX7" s="14"/>
      <c r="FYY7" s="14"/>
      <c r="FYZ7" s="14"/>
      <c r="FZA7" s="14"/>
      <c r="FZB7" s="14"/>
      <c r="FZC7" s="14"/>
      <c r="FZD7" s="14"/>
      <c r="FZE7" s="14"/>
      <c r="FZF7" s="14"/>
      <c r="FZG7" s="14"/>
      <c r="FZH7" s="14"/>
      <c r="FZI7" s="14"/>
      <c r="FZJ7" s="14"/>
      <c r="FZK7" s="14"/>
      <c r="FZL7" s="14"/>
      <c r="FZM7" s="14"/>
      <c r="FZN7" s="14"/>
      <c r="FZO7" s="14"/>
      <c r="FZP7" s="14"/>
      <c r="FZQ7" s="14"/>
      <c r="FZR7" s="14"/>
      <c r="FZS7" s="14"/>
      <c r="FZT7" s="14"/>
      <c r="FZU7" s="14"/>
      <c r="FZV7" s="14"/>
      <c r="FZW7" s="14"/>
      <c r="FZX7" s="14"/>
      <c r="FZY7" s="14"/>
      <c r="FZZ7" s="14"/>
      <c r="GAA7" s="14"/>
      <c r="GAB7" s="14"/>
      <c r="GAC7" s="14"/>
      <c r="GAD7" s="14"/>
      <c r="GAE7" s="14"/>
      <c r="GAF7" s="14"/>
      <c r="GAG7" s="14"/>
      <c r="GAH7" s="14"/>
      <c r="GAI7" s="14"/>
      <c r="GAJ7" s="14"/>
      <c r="GAK7" s="14"/>
      <c r="GAL7" s="14"/>
      <c r="GAM7" s="14"/>
      <c r="GAN7" s="14"/>
      <c r="GAO7" s="14"/>
      <c r="GAP7" s="14"/>
      <c r="GAQ7" s="14"/>
      <c r="GAR7" s="14"/>
      <c r="GAS7" s="14"/>
      <c r="GAT7" s="14"/>
      <c r="GAU7" s="14"/>
      <c r="GAV7" s="14"/>
      <c r="GAW7" s="14"/>
      <c r="GAX7" s="14"/>
      <c r="GAY7" s="14"/>
      <c r="GAZ7" s="14"/>
      <c r="GBA7" s="14"/>
      <c r="GBB7" s="14"/>
      <c r="GBC7" s="14"/>
      <c r="GBD7" s="14"/>
      <c r="GBE7" s="14"/>
      <c r="GBF7" s="14"/>
      <c r="GBG7" s="14"/>
      <c r="GBH7" s="14"/>
      <c r="GBI7" s="14"/>
      <c r="GBJ7" s="14"/>
      <c r="GBK7" s="14"/>
      <c r="GBL7" s="14"/>
      <c r="GBM7" s="14"/>
      <c r="GBN7" s="14"/>
      <c r="GBO7" s="14"/>
      <c r="GBP7" s="14"/>
      <c r="GBQ7" s="14"/>
      <c r="GBR7" s="14"/>
      <c r="GBS7" s="14"/>
      <c r="GBT7" s="14"/>
      <c r="GBU7" s="14"/>
      <c r="GBV7" s="14"/>
      <c r="GBW7" s="14"/>
      <c r="GBX7" s="14"/>
      <c r="GBY7" s="14"/>
      <c r="GBZ7" s="14"/>
      <c r="GCA7" s="14"/>
      <c r="GCB7" s="14"/>
      <c r="GCC7" s="14"/>
      <c r="GCD7" s="14"/>
      <c r="GCE7" s="14"/>
      <c r="GCF7" s="14"/>
      <c r="GCG7" s="14"/>
      <c r="GCH7" s="14"/>
      <c r="GCI7" s="14"/>
      <c r="GCJ7" s="14"/>
      <c r="GCK7" s="14"/>
      <c r="GCL7" s="14"/>
      <c r="GCM7" s="14"/>
      <c r="GCN7" s="14"/>
      <c r="GCO7" s="14"/>
      <c r="GCP7" s="14"/>
      <c r="GCQ7" s="14"/>
      <c r="GCR7" s="14"/>
      <c r="GCS7" s="14"/>
      <c r="GCT7" s="14"/>
      <c r="GCU7" s="14"/>
      <c r="GCV7" s="14"/>
      <c r="GCW7" s="14"/>
      <c r="GCX7" s="14"/>
      <c r="GCY7" s="14"/>
      <c r="GCZ7" s="14"/>
      <c r="GDA7" s="14"/>
      <c r="GDB7" s="14"/>
      <c r="GDC7" s="14"/>
      <c r="GDD7" s="14"/>
      <c r="GDE7" s="14"/>
      <c r="GDF7" s="14"/>
      <c r="GDG7" s="14"/>
      <c r="GDH7" s="14"/>
      <c r="GDI7" s="14"/>
      <c r="GDJ7" s="14"/>
      <c r="GDK7" s="14"/>
      <c r="GDL7" s="14"/>
      <c r="GDM7" s="14"/>
      <c r="GDN7" s="14"/>
      <c r="GDO7" s="14"/>
      <c r="GDP7" s="14"/>
      <c r="GDQ7" s="14"/>
      <c r="GDR7" s="14"/>
      <c r="GDS7" s="14"/>
      <c r="GDT7" s="14"/>
      <c r="GDU7" s="14"/>
      <c r="GDV7" s="14"/>
      <c r="GDW7" s="14"/>
      <c r="GDX7" s="14"/>
      <c r="GDY7" s="14"/>
      <c r="GDZ7" s="14"/>
      <c r="GEA7" s="14"/>
      <c r="GEB7" s="14"/>
      <c r="GEC7" s="14"/>
      <c r="GED7" s="14"/>
      <c r="GEE7" s="14"/>
      <c r="GEF7" s="14"/>
      <c r="GEG7" s="14"/>
      <c r="GEH7" s="14"/>
      <c r="GEI7" s="14"/>
      <c r="GEJ7" s="14"/>
      <c r="GEK7" s="14"/>
      <c r="GEL7" s="14"/>
      <c r="GEM7" s="14"/>
      <c r="GEN7" s="14"/>
      <c r="GEO7" s="14"/>
      <c r="GEP7" s="14"/>
      <c r="GEQ7" s="14"/>
      <c r="GER7" s="14"/>
      <c r="GES7" s="14"/>
      <c r="GET7" s="14"/>
      <c r="GEU7" s="14"/>
      <c r="GEV7" s="14"/>
      <c r="GEW7" s="14"/>
      <c r="GEX7" s="14"/>
      <c r="GEY7" s="14"/>
      <c r="GEZ7" s="14"/>
      <c r="GFA7" s="14"/>
      <c r="GFB7" s="14"/>
      <c r="GFC7" s="14"/>
      <c r="GFD7" s="14"/>
      <c r="GFE7" s="14"/>
      <c r="GFF7" s="14"/>
      <c r="GFG7" s="14"/>
      <c r="GFH7" s="14"/>
      <c r="GFI7" s="14"/>
      <c r="GFJ7" s="14"/>
      <c r="GFK7" s="14"/>
      <c r="GFL7" s="14"/>
      <c r="GFM7" s="14"/>
      <c r="GFN7" s="14"/>
      <c r="GFO7" s="14"/>
      <c r="GFP7" s="14"/>
      <c r="GFQ7" s="14"/>
      <c r="GFR7" s="14"/>
      <c r="GFS7" s="14"/>
      <c r="GFT7" s="14"/>
      <c r="GFU7" s="14"/>
      <c r="GFV7" s="14"/>
      <c r="GFW7" s="14"/>
      <c r="GFX7" s="14"/>
      <c r="GFY7" s="14"/>
      <c r="GFZ7" s="14"/>
      <c r="GGA7" s="14"/>
      <c r="GGB7" s="14"/>
      <c r="GGC7" s="14"/>
      <c r="GGD7" s="14"/>
      <c r="GGE7" s="14"/>
      <c r="GGF7" s="14"/>
      <c r="GGG7" s="14"/>
      <c r="GGH7" s="14"/>
      <c r="GGI7" s="14"/>
      <c r="GGJ7" s="14"/>
      <c r="GGK7" s="14"/>
      <c r="GGL7" s="14"/>
      <c r="GGM7" s="14"/>
      <c r="GGN7" s="14"/>
      <c r="GGO7" s="14"/>
      <c r="GGP7" s="14"/>
      <c r="GGQ7" s="14"/>
      <c r="GGR7" s="14"/>
      <c r="GGS7" s="14"/>
      <c r="GGT7" s="14"/>
      <c r="GGU7" s="14"/>
      <c r="GGV7" s="14"/>
      <c r="GGW7" s="14"/>
      <c r="GGX7" s="14"/>
      <c r="GGY7" s="14"/>
      <c r="GGZ7" s="14"/>
      <c r="GHA7" s="14"/>
      <c r="GHB7" s="14"/>
      <c r="GHC7" s="14"/>
      <c r="GHD7" s="14"/>
      <c r="GHE7" s="14"/>
      <c r="GHF7" s="14"/>
      <c r="GHG7" s="14"/>
      <c r="GHH7" s="14"/>
      <c r="GHI7" s="14"/>
      <c r="GHJ7" s="14"/>
      <c r="GHK7" s="14"/>
      <c r="GHL7" s="14"/>
      <c r="GHM7" s="14"/>
      <c r="GHN7" s="14"/>
      <c r="GHO7" s="14"/>
      <c r="GHP7" s="14"/>
      <c r="GHQ7" s="14"/>
      <c r="GHR7" s="14"/>
      <c r="GHS7" s="14"/>
      <c r="GHT7" s="14"/>
      <c r="GHU7" s="14"/>
      <c r="GHV7" s="14"/>
      <c r="GHW7" s="14"/>
      <c r="GHX7" s="14"/>
      <c r="GHY7" s="14"/>
      <c r="GHZ7" s="14"/>
      <c r="GIA7" s="14"/>
      <c r="GIB7" s="14"/>
      <c r="GIC7" s="14"/>
      <c r="GID7" s="14"/>
      <c r="GIE7" s="14"/>
      <c r="GIF7" s="14"/>
      <c r="GIG7" s="14"/>
      <c r="GIH7" s="14"/>
      <c r="GII7" s="14"/>
      <c r="GIJ7" s="14"/>
      <c r="GIK7" s="14"/>
      <c r="GIL7" s="14"/>
      <c r="GIM7" s="14"/>
      <c r="GIN7" s="14"/>
      <c r="GIO7" s="14"/>
      <c r="GIP7" s="14"/>
      <c r="GIQ7" s="14"/>
      <c r="GIR7" s="14"/>
      <c r="GIS7" s="14"/>
      <c r="GIT7" s="14"/>
      <c r="GIU7" s="14"/>
      <c r="GIV7" s="14"/>
      <c r="GIW7" s="14"/>
      <c r="GIX7" s="14"/>
      <c r="GIY7" s="14"/>
      <c r="GIZ7" s="14"/>
      <c r="GJA7" s="14"/>
      <c r="GJB7" s="14"/>
      <c r="GJC7" s="14"/>
      <c r="GJD7" s="14"/>
      <c r="GJE7" s="14"/>
      <c r="GJF7" s="14"/>
      <c r="GJG7" s="14"/>
      <c r="GJH7" s="14"/>
      <c r="GJI7" s="14"/>
      <c r="GJJ7" s="14"/>
      <c r="GJK7" s="14"/>
      <c r="GJL7" s="14"/>
      <c r="GJM7" s="14"/>
      <c r="GJN7" s="14"/>
      <c r="GJO7" s="14"/>
      <c r="GJP7" s="14"/>
      <c r="GJQ7" s="14"/>
      <c r="GJR7" s="14"/>
      <c r="GJS7" s="14"/>
      <c r="GJT7" s="14"/>
      <c r="GJU7" s="14"/>
      <c r="GJV7" s="14"/>
      <c r="GJW7" s="14"/>
      <c r="GJX7" s="14"/>
      <c r="GJY7" s="14"/>
      <c r="GJZ7" s="14"/>
      <c r="GKA7" s="14"/>
      <c r="GKB7" s="14"/>
      <c r="GKC7" s="14"/>
      <c r="GKD7" s="14"/>
      <c r="GKE7" s="14"/>
      <c r="GKF7" s="14"/>
      <c r="GKG7" s="14"/>
      <c r="GKH7" s="14"/>
      <c r="GKI7" s="14"/>
      <c r="GKJ7" s="14"/>
      <c r="GKK7" s="14"/>
      <c r="GKL7" s="14"/>
      <c r="GKM7" s="14"/>
      <c r="GKN7" s="14"/>
      <c r="GKO7" s="14"/>
      <c r="GKP7" s="14"/>
      <c r="GKQ7" s="14"/>
      <c r="GKR7" s="14"/>
      <c r="GKS7" s="14"/>
      <c r="GKT7" s="14"/>
      <c r="GKU7" s="14"/>
      <c r="GKV7" s="14"/>
      <c r="GKW7" s="14"/>
      <c r="GKX7" s="14"/>
      <c r="GKY7" s="14"/>
      <c r="GKZ7" s="14"/>
      <c r="GLA7" s="14"/>
      <c r="GLB7" s="14"/>
      <c r="GLC7" s="14"/>
      <c r="GLD7" s="14"/>
      <c r="GLE7" s="14"/>
      <c r="GLF7" s="14"/>
      <c r="GLG7" s="14"/>
      <c r="GLH7" s="14"/>
      <c r="GLI7" s="14"/>
      <c r="GLJ7" s="14"/>
      <c r="GLK7" s="14"/>
      <c r="GLL7" s="14"/>
      <c r="GLM7" s="14"/>
      <c r="GLN7" s="14"/>
      <c r="GLO7" s="14"/>
      <c r="GLP7" s="14"/>
      <c r="GLQ7" s="14"/>
      <c r="GLR7" s="14"/>
      <c r="GLS7" s="14"/>
      <c r="GLT7" s="14"/>
      <c r="GLU7" s="14"/>
      <c r="GLV7" s="14"/>
      <c r="GLW7" s="14"/>
      <c r="GLX7" s="14"/>
      <c r="GLY7" s="14"/>
      <c r="GLZ7" s="14"/>
      <c r="GMA7" s="14"/>
      <c r="GMB7" s="14"/>
      <c r="GMC7" s="14"/>
      <c r="GMD7" s="14"/>
      <c r="GME7" s="14"/>
      <c r="GMF7" s="14"/>
      <c r="GMG7" s="14"/>
      <c r="GMH7" s="14"/>
      <c r="GMI7" s="14"/>
      <c r="GMJ7" s="14"/>
      <c r="GMK7" s="14"/>
      <c r="GML7" s="14"/>
      <c r="GMM7" s="14"/>
      <c r="GMN7" s="14"/>
      <c r="GMO7" s="14"/>
      <c r="GMP7" s="14"/>
      <c r="GMQ7" s="14"/>
      <c r="GMR7" s="14"/>
      <c r="GMS7" s="14"/>
      <c r="GMT7" s="14"/>
      <c r="GMU7" s="14"/>
      <c r="GMV7" s="14"/>
      <c r="GMW7" s="14"/>
      <c r="GMX7" s="14"/>
      <c r="GMY7" s="14"/>
      <c r="GMZ7" s="14"/>
      <c r="GNA7" s="14"/>
      <c r="GNB7" s="14"/>
      <c r="GNC7" s="14"/>
      <c r="GND7" s="14"/>
      <c r="GNE7" s="14"/>
      <c r="GNF7" s="14"/>
      <c r="GNG7" s="14"/>
      <c r="GNH7" s="14"/>
      <c r="GNI7" s="14"/>
      <c r="GNJ7" s="14"/>
      <c r="GNK7" s="14"/>
      <c r="GNL7" s="14"/>
      <c r="GNM7" s="14"/>
      <c r="GNN7" s="14"/>
      <c r="GNO7" s="14"/>
      <c r="GNP7" s="14"/>
      <c r="GNQ7" s="14"/>
      <c r="GNR7" s="14"/>
      <c r="GNS7" s="14"/>
      <c r="GNT7" s="14"/>
      <c r="GNU7" s="14"/>
      <c r="GNV7" s="14"/>
      <c r="GNW7" s="14"/>
      <c r="GNX7" s="14"/>
      <c r="GNY7" s="14"/>
      <c r="GNZ7" s="14"/>
      <c r="GOA7" s="14"/>
      <c r="GOB7" s="14"/>
      <c r="GOC7" s="14"/>
      <c r="GOD7" s="14"/>
      <c r="GOE7" s="14"/>
      <c r="GOF7" s="14"/>
      <c r="GOG7" s="14"/>
      <c r="GOH7" s="14"/>
      <c r="GOI7" s="14"/>
      <c r="GOJ7" s="14"/>
      <c r="GOK7" s="14"/>
      <c r="GOL7" s="14"/>
      <c r="GOM7" s="14"/>
      <c r="GON7" s="14"/>
      <c r="GOO7" s="14"/>
      <c r="GOP7" s="14"/>
      <c r="GOQ7" s="14"/>
      <c r="GOR7" s="14"/>
      <c r="GOS7" s="14"/>
      <c r="GOT7" s="14"/>
      <c r="GOU7" s="14"/>
      <c r="GOV7" s="14"/>
      <c r="GOW7" s="14"/>
      <c r="GOX7" s="14"/>
      <c r="GOY7" s="14"/>
      <c r="GOZ7" s="14"/>
      <c r="GPA7" s="14"/>
      <c r="GPB7" s="14"/>
      <c r="GPC7" s="14"/>
      <c r="GPD7" s="14"/>
      <c r="GPE7" s="14"/>
      <c r="GPF7" s="14"/>
      <c r="GPG7" s="14"/>
      <c r="GPH7" s="14"/>
      <c r="GPI7" s="14"/>
      <c r="GPJ7" s="14"/>
      <c r="GPK7" s="14"/>
      <c r="GPL7" s="14"/>
      <c r="GPM7" s="14"/>
      <c r="GPN7" s="14"/>
      <c r="GPO7" s="14"/>
      <c r="GPP7" s="14"/>
      <c r="GPQ7" s="14"/>
      <c r="GPR7" s="14"/>
      <c r="GPS7" s="14"/>
      <c r="GPT7" s="14"/>
      <c r="GPU7" s="14"/>
      <c r="GPV7" s="14"/>
      <c r="GPW7" s="14"/>
      <c r="GPX7" s="14"/>
      <c r="GPY7" s="14"/>
      <c r="GPZ7" s="14"/>
      <c r="GQA7" s="14"/>
      <c r="GQB7" s="14"/>
      <c r="GQC7" s="14"/>
      <c r="GQD7" s="14"/>
      <c r="GQE7" s="14"/>
      <c r="GQF7" s="14"/>
      <c r="GQG7" s="14"/>
      <c r="GQH7" s="14"/>
      <c r="GQI7" s="14"/>
      <c r="GQJ7" s="14"/>
      <c r="GQK7" s="14"/>
      <c r="GQL7" s="14"/>
      <c r="GQM7" s="14"/>
      <c r="GQN7" s="14"/>
      <c r="GQO7" s="14"/>
      <c r="GQP7" s="14"/>
      <c r="GQQ7" s="14"/>
      <c r="GQR7" s="14"/>
      <c r="GQS7" s="14"/>
      <c r="GQT7" s="14"/>
      <c r="GQU7" s="14"/>
      <c r="GQV7" s="14"/>
      <c r="GQW7" s="14"/>
      <c r="GQX7" s="14"/>
      <c r="GQY7" s="14"/>
      <c r="GQZ7" s="14"/>
      <c r="GRA7" s="14"/>
      <c r="GRB7" s="14"/>
      <c r="GRC7" s="14"/>
      <c r="GRD7" s="14"/>
      <c r="GRE7" s="14"/>
      <c r="GRF7" s="14"/>
      <c r="GRG7" s="14"/>
      <c r="GRH7" s="14"/>
      <c r="GRI7" s="14"/>
      <c r="GRJ7" s="14"/>
      <c r="GRK7" s="14"/>
      <c r="GRL7" s="14"/>
      <c r="GRM7" s="14"/>
      <c r="GRN7" s="14"/>
      <c r="GRO7" s="14"/>
      <c r="GRP7" s="14"/>
      <c r="GRQ7" s="14"/>
      <c r="GRR7" s="14"/>
      <c r="GRS7" s="14"/>
      <c r="GRT7" s="14"/>
      <c r="GRU7" s="14"/>
      <c r="GRV7" s="14"/>
      <c r="GRW7" s="14"/>
      <c r="GRX7" s="14"/>
      <c r="GRY7" s="14"/>
      <c r="GRZ7" s="14"/>
      <c r="GSA7" s="14"/>
      <c r="GSB7" s="14"/>
      <c r="GSC7" s="14"/>
      <c r="GSD7" s="14"/>
      <c r="GSE7" s="14"/>
      <c r="GSF7" s="14"/>
      <c r="GSG7" s="14"/>
      <c r="GSH7" s="14"/>
      <c r="GSI7" s="14"/>
      <c r="GSJ7" s="14"/>
      <c r="GSK7" s="14"/>
      <c r="GSL7" s="14"/>
      <c r="GSM7" s="14"/>
      <c r="GSN7" s="14"/>
      <c r="GSO7" s="14"/>
      <c r="GSP7" s="14"/>
      <c r="GSQ7" s="14"/>
      <c r="GSR7" s="14"/>
      <c r="GSS7" s="14"/>
      <c r="GST7" s="14"/>
      <c r="GSU7" s="14"/>
      <c r="GSV7" s="14"/>
      <c r="GSW7" s="14"/>
      <c r="GSX7" s="14"/>
      <c r="GSY7" s="14"/>
      <c r="GSZ7" s="14"/>
      <c r="GTA7" s="14"/>
      <c r="GTB7" s="14"/>
      <c r="GTC7" s="14"/>
      <c r="GTD7" s="14"/>
      <c r="GTE7" s="14"/>
      <c r="GTF7" s="14"/>
      <c r="GTG7" s="14"/>
      <c r="GTH7" s="14"/>
      <c r="GTI7" s="14"/>
      <c r="GTJ7" s="14"/>
      <c r="GTK7" s="14"/>
      <c r="GTL7" s="14"/>
      <c r="GTM7" s="14"/>
      <c r="GTN7" s="14"/>
      <c r="GTO7" s="14"/>
      <c r="GTP7" s="14"/>
      <c r="GTQ7" s="14"/>
      <c r="GTR7" s="14"/>
      <c r="GTS7" s="14"/>
      <c r="GTT7" s="14"/>
      <c r="GTU7" s="14"/>
      <c r="GTV7" s="14"/>
      <c r="GTW7" s="14"/>
      <c r="GTX7" s="14"/>
      <c r="GTY7" s="14"/>
      <c r="GTZ7" s="14"/>
      <c r="GUA7" s="14"/>
      <c r="GUB7" s="14"/>
      <c r="GUC7" s="14"/>
      <c r="GUD7" s="14"/>
      <c r="GUE7" s="14"/>
      <c r="GUF7" s="14"/>
      <c r="GUG7" s="14"/>
      <c r="GUH7" s="14"/>
      <c r="GUI7" s="14"/>
      <c r="GUJ7" s="14"/>
      <c r="GUK7" s="14"/>
      <c r="GUL7" s="14"/>
      <c r="GUM7" s="14"/>
      <c r="GUN7" s="14"/>
      <c r="GUO7" s="14"/>
      <c r="GUP7" s="14"/>
      <c r="GUQ7" s="14"/>
      <c r="GUR7" s="14"/>
      <c r="GUS7" s="14"/>
      <c r="GUT7" s="14"/>
      <c r="GUU7" s="14"/>
      <c r="GUV7" s="14"/>
      <c r="GUW7" s="14"/>
      <c r="GUX7" s="14"/>
      <c r="GUY7" s="14"/>
      <c r="GUZ7" s="14"/>
      <c r="GVA7" s="14"/>
      <c r="GVB7" s="14"/>
      <c r="GVC7" s="14"/>
      <c r="GVD7" s="14"/>
      <c r="GVE7" s="14"/>
      <c r="GVF7" s="14"/>
      <c r="GVG7" s="14"/>
      <c r="GVH7" s="14"/>
      <c r="GVI7" s="14"/>
      <c r="GVJ7" s="14"/>
      <c r="GVK7" s="14"/>
      <c r="GVL7" s="14"/>
      <c r="GVM7" s="14"/>
      <c r="GVN7" s="14"/>
      <c r="GVO7" s="14"/>
      <c r="GVP7" s="14"/>
      <c r="GVQ7" s="14"/>
      <c r="GVR7" s="14"/>
      <c r="GVS7" s="14"/>
      <c r="GVT7" s="14"/>
      <c r="GVU7" s="14"/>
      <c r="GVV7" s="14"/>
      <c r="GVW7" s="14"/>
      <c r="GVX7" s="14"/>
      <c r="GVY7" s="14"/>
      <c r="GVZ7" s="14"/>
      <c r="GWA7" s="14"/>
      <c r="GWB7" s="14"/>
      <c r="GWC7" s="14"/>
      <c r="GWD7" s="14"/>
      <c r="GWE7" s="14"/>
      <c r="GWF7" s="14"/>
      <c r="GWG7" s="14"/>
      <c r="GWH7" s="14"/>
      <c r="GWI7" s="14"/>
      <c r="GWJ7" s="14"/>
      <c r="GWK7" s="14"/>
      <c r="GWL7" s="14"/>
      <c r="GWM7" s="14"/>
      <c r="GWN7" s="14"/>
      <c r="GWO7" s="14"/>
      <c r="GWP7" s="14"/>
      <c r="GWQ7" s="14"/>
      <c r="GWR7" s="14"/>
      <c r="GWS7" s="14"/>
      <c r="GWT7" s="14"/>
      <c r="GWU7" s="14"/>
      <c r="GWV7" s="14"/>
      <c r="GWW7" s="14"/>
      <c r="GWX7" s="14"/>
      <c r="GWY7" s="14"/>
      <c r="GWZ7" s="14"/>
      <c r="GXA7" s="14"/>
      <c r="GXB7" s="14"/>
      <c r="GXC7" s="14"/>
      <c r="GXD7" s="14"/>
      <c r="GXE7" s="14"/>
      <c r="GXF7" s="14"/>
      <c r="GXG7" s="14"/>
      <c r="GXH7" s="14"/>
      <c r="GXI7" s="14"/>
      <c r="GXJ7" s="14"/>
      <c r="GXK7" s="14"/>
      <c r="GXL7" s="14"/>
      <c r="GXM7" s="14"/>
      <c r="GXN7" s="14"/>
      <c r="GXO7" s="14"/>
      <c r="GXP7" s="14"/>
      <c r="GXQ7" s="14"/>
      <c r="GXR7" s="14"/>
      <c r="GXS7" s="14"/>
      <c r="GXT7" s="14"/>
      <c r="GXU7" s="14"/>
      <c r="GXV7" s="14"/>
      <c r="GXW7" s="14"/>
      <c r="GXX7" s="14"/>
      <c r="GXY7" s="14"/>
      <c r="GXZ7" s="14"/>
      <c r="GYA7" s="14"/>
      <c r="GYB7" s="14"/>
      <c r="GYC7" s="14"/>
      <c r="GYD7" s="14"/>
      <c r="GYE7" s="14"/>
      <c r="GYF7" s="14"/>
      <c r="GYG7" s="14"/>
      <c r="GYH7" s="14"/>
      <c r="GYI7" s="14"/>
      <c r="GYJ7" s="14"/>
      <c r="GYK7" s="14"/>
      <c r="GYL7" s="14"/>
      <c r="GYM7" s="14"/>
      <c r="GYN7" s="14"/>
      <c r="GYO7" s="14"/>
      <c r="GYP7" s="14"/>
      <c r="GYQ7" s="14"/>
      <c r="GYR7" s="14"/>
      <c r="GYS7" s="14"/>
      <c r="GYT7" s="14"/>
      <c r="GYU7" s="14"/>
      <c r="GYV7" s="14"/>
      <c r="GYW7" s="14"/>
      <c r="GYX7" s="14"/>
      <c r="GYY7" s="14"/>
      <c r="GYZ7" s="14"/>
      <c r="GZA7" s="14"/>
      <c r="GZB7" s="14"/>
      <c r="GZC7" s="14"/>
      <c r="GZD7" s="14"/>
      <c r="GZE7" s="14"/>
      <c r="GZF7" s="14"/>
      <c r="GZG7" s="14"/>
      <c r="GZH7" s="14"/>
      <c r="GZI7" s="14"/>
      <c r="GZJ7" s="14"/>
      <c r="GZK7" s="14"/>
      <c r="GZL7" s="14"/>
      <c r="GZM7" s="14"/>
      <c r="GZN7" s="14"/>
      <c r="GZO7" s="14"/>
      <c r="GZP7" s="14"/>
      <c r="GZQ7" s="14"/>
      <c r="GZR7" s="14"/>
      <c r="GZS7" s="14"/>
      <c r="GZT7" s="14"/>
      <c r="GZU7" s="14"/>
      <c r="GZV7" s="14"/>
      <c r="GZW7" s="14"/>
      <c r="GZX7" s="14"/>
      <c r="GZY7" s="14"/>
      <c r="GZZ7" s="14"/>
      <c r="HAA7" s="14"/>
      <c r="HAB7" s="14"/>
      <c r="HAC7" s="14"/>
      <c r="HAD7" s="14"/>
      <c r="HAE7" s="14"/>
      <c r="HAF7" s="14"/>
      <c r="HAG7" s="14"/>
      <c r="HAH7" s="14"/>
      <c r="HAI7" s="14"/>
      <c r="HAJ7" s="14"/>
      <c r="HAK7" s="14"/>
      <c r="HAL7" s="14"/>
      <c r="HAM7" s="14"/>
      <c r="HAN7" s="14"/>
      <c r="HAO7" s="14"/>
      <c r="HAP7" s="14"/>
      <c r="HAQ7" s="14"/>
      <c r="HAR7" s="14"/>
      <c r="HAS7" s="14"/>
      <c r="HAT7" s="14"/>
      <c r="HAU7" s="14"/>
      <c r="HAV7" s="14"/>
      <c r="HAW7" s="14"/>
      <c r="HAX7" s="14"/>
      <c r="HAY7" s="14"/>
      <c r="HAZ7" s="14"/>
      <c r="HBA7" s="14"/>
      <c r="HBB7" s="14"/>
      <c r="HBC7" s="14"/>
      <c r="HBD7" s="14"/>
      <c r="HBE7" s="14"/>
      <c r="HBF7" s="14"/>
      <c r="HBG7" s="14"/>
      <c r="HBH7" s="14"/>
      <c r="HBI7" s="14"/>
      <c r="HBJ7" s="14"/>
      <c r="HBK7" s="14"/>
      <c r="HBL7" s="14"/>
      <c r="HBM7" s="14"/>
      <c r="HBN7" s="14"/>
      <c r="HBO7" s="14"/>
      <c r="HBP7" s="14"/>
      <c r="HBQ7" s="14"/>
      <c r="HBR7" s="14"/>
      <c r="HBS7" s="14"/>
      <c r="HBT7" s="14"/>
      <c r="HBU7" s="14"/>
      <c r="HBV7" s="14"/>
      <c r="HBW7" s="14"/>
      <c r="HBX7" s="14"/>
      <c r="HBY7" s="14"/>
      <c r="HBZ7" s="14"/>
      <c r="HCA7" s="14"/>
      <c r="HCB7" s="14"/>
      <c r="HCC7" s="14"/>
      <c r="HCD7" s="14"/>
      <c r="HCE7" s="14"/>
      <c r="HCF7" s="14"/>
      <c r="HCG7" s="14"/>
      <c r="HCH7" s="14"/>
      <c r="HCI7" s="14"/>
      <c r="HCJ7" s="14"/>
      <c r="HCK7" s="14"/>
      <c r="HCL7" s="14"/>
      <c r="HCM7" s="14"/>
      <c r="HCN7" s="14"/>
      <c r="HCO7" s="14"/>
      <c r="HCP7" s="14"/>
      <c r="HCQ7" s="14"/>
      <c r="HCR7" s="14"/>
      <c r="HCS7" s="14"/>
      <c r="HCT7" s="14"/>
      <c r="HCU7" s="14"/>
      <c r="HCV7" s="14"/>
      <c r="HCW7" s="14"/>
      <c r="HCX7" s="14"/>
      <c r="HCY7" s="14"/>
      <c r="HCZ7" s="14"/>
      <c r="HDA7" s="14"/>
      <c r="HDB7" s="14"/>
      <c r="HDC7" s="14"/>
      <c r="HDD7" s="14"/>
      <c r="HDE7" s="14"/>
      <c r="HDF7" s="14"/>
      <c r="HDG7" s="14"/>
      <c r="HDH7" s="14"/>
      <c r="HDI7" s="14"/>
      <c r="HDJ7" s="14"/>
      <c r="HDK7" s="14"/>
      <c r="HDL7" s="14"/>
      <c r="HDM7" s="14"/>
      <c r="HDN7" s="14"/>
      <c r="HDO7" s="14"/>
      <c r="HDP7" s="14"/>
      <c r="HDQ7" s="14"/>
      <c r="HDR7" s="14"/>
      <c r="HDS7" s="14"/>
      <c r="HDT7" s="14"/>
      <c r="HDU7" s="14"/>
      <c r="HDV7" s="14"/>
      <c r="HDW7" s="14"/>
      <c r="HDX7" s="14"/>
      <c r="HDY7" s="14"/>
      <c r="HDZ7" s="14"/>
      <c r="HEA7" s="14"/>
      <c r="HEB7" s="14"/>
      <c r="HEC7" s="14"/>
      <c r="HED7" s="14"/>
      <c r="HEE7" s="14"/>
      <c r="HEF7" s="14"/>
      <c r="HEG7" s="14"/>
      <c r="HEH7" s="14"/>
      <c r="HEI7" s="14"/>
      <c r="HEJ7" s="14"/>
      <c r="HEK7" s="14"/>
      <c r="HEL7" s="14"/>
      <c r="HEM7" s="14"/>
      <c r="HEN7" s="14"/>
      <c r="HEO7" s="14"/>
      <c r="HEP7" s="14"/>
      <c r="HEQ7" s="14"/>
      <c r="HER7" s="14"/>
      <c r="HES7" s="14"/>
      <c r="HET7" s="14"/>
      <c r="HEU7" s="14"/>
      <c r="HEV7" s="14"/>
      <c r="HEW7" s="14"/>
      <c r="HEX7" s="14"/>
      <c r="HEY7" s="14"/>
      <c r="HEZ7" s="14"/>
      <c r="HFA7" s="14"/>
      <c r="HFB7" s="14"/>
      <c r="HFC7" s="14"/>
      <c r="HFD7" s="14"/>
      <c r="HFE7" s="14"/>
      <c r="HFF7" s="14"/>
      <c r="HFG7" s="14"/>
      <c r="HFH7" s="14"/>
      <c r="HFI7" s="14"/>
      <c r="HFJ7" s="14"/>
      <c r="HFK7" s="14"/>
      <c r="HFL7" s="14"/>
      <c r="HFM7" s="14"/>
      <c r="HFN7" s="14"/>
      <c r="HFO7" s="14"/>
      <c r="HFP7" s="14"/>
      <c r="HFQ7" s="14"/>
      <c r="HFR7" s="14"/>
      <c r="HFS7" s="14"/>
      <c r="HFT7" s="14"/>
      <c r="HFU7" s="14"/>
      <c r="HFV7" s="14"/>
      <c r="HFW7" s="14"/>
      <c r="HFX7" s="14"/>
      <c r="HFY7" s="14"/>
      <c r="HFZ7" s="14"/>
      <c r="HGA7" s="14"/>
      <c r="HGB7" s="14"/>
      <c r="HGC7" s="14"/>
      <c r="HGD7" s="14"/>
      <c r="HGE7" s="14"/>
      <c r="HGF7" s="14"/>
      <c r="HGG7" s="14"/>
      <c r="HGH7" s="14"/>
      <c r="HGI7" s="14"/>
      <c r="HGJ7" s="14"/>
      <c r="HGK7" s="14"/>
      <c r="HGL7" s="14"/>
      <c r="HGM7" s="14"/>
      <c r="HGN7" s="14"/>
      <c r="HGO7" s="14"/>
      <c r="HGP7" s="14"/>
      <c r="HGQ7" s="14"/>
      <c r="HGR7" s="14"/>
      <c r="HGS7" s="14"/>
      <c r="HGT7" s="14"/>
      <c r="HGU7" s="14"/>
      <c r="HGV7" s="14"/>
      <c r="HGW7" s="14"/>
      <c r="HGX7" s="14"/>
      <c r="HGY7" s="14"/>
      <c r="HGZ7" s="14"/>
      <c r="HHA7" s="14"/>
      <c r="HHB7" s="14"/>
      <c r="HHC7" s="14"/>
      <c r="HHD7" s="14"/>
      <c r="HHE7" s="14"/>
      <c r="HHF7" s="14"/>
      <c r="HHG7" s="14"/>
      <c r="HHH7" s="14"/>
      <c r="HHI7" s="14"/>
      <c r="HHJ7" s="14"/>
      <c r="HHK7" s="14"/>
      <c r="HHL7" s="14"/>
      <c r="HHM7" s="14"/>
      <c r="HHN7" s="14"/>
      <c r="HHO7" s="14"/>
      <c r="HHP7" s="14"/>
      <c r="HHQ7" s="14"/>
      <c r="HHR7" s="14"/>
      <c r="HHS7" s="14"/>
      <c r="HHT7" s="14"/>
      <c r="HHU7" s="14"/>
      <c r="HHV7" s="14"/>
      <c r="HHW7" s="14"/>
      <c r="HHX7" s="14"/>
      <c r="HHY7" s="14"/>
      <c r="HHZ7" s="14"/>
      <c r="HIA7" s="14"/>
      <c r="HIB7" s="14"/>
      <c r="HIC7" s="14"/>
      <c r="HID7" s="14"/>
      <c r="HIE7" s="14"/>
      <c r="HIF7" s="14"/>
      <c r="HIG7" s="14"/>
      <c r="HIH7" s="14"/>
      <c r="HII7" s="14"/>
      <c r="HIJ7" s="14"/>
      <c r="HIK7" s="14"/>
      <c r="HIL7" s="14"/>
      <c r="HIM7" s="14"/>
      <c r="HIN7" s="14"/>
      <c r="HIO7" s="14"/>
      <c r="HIP7" s="14"/>
      <c r="HIQ7" s="14"/>
      <c r="HIR7" s="14"/>
      <c r="HIS7" s="14"/>
      <c r="HIT7" s="14"/>
      <c r="HIU7" s="14"/>
      <c r="HIV7" s="14"/>
      <c r="HIW7" s="14"/>
      <c r="HIX7" s="14"/>
      <c r="HIY7" s="14"/>
      <c r="HIZ7" s="14"/>
      <c r="HJA7" s="14"/>
      <c r="HJB7" s="14"/>
      <c r="HJC7" s="14"/>
      <c r="HJD7" s="14"/>
      <c r="HJE7" s="14"/>
      <c r="HJF7" s="14"/>
      <c r="HJG7" s="14"/>
      <c r="HJH7" s="14"/>
      <c r="HJI7" s="14"/>
      <c r="HJJ7" s="14"/>
      <c r="HJK7" s="14"/>
      <c r="HJL7" s="14"/>
      <c r="HJM7" s="14"/>
      <c r="HJN7" s="14"/>
      <c r="HJO7" s="14"/>
      <c r="HJP7" s="14"/>
      <c r="HJQ7" s="14"/>
      <c r="HJR7" s="14"/>
      <c r="HJS7" s="14"/>
      <c r="HJT7" s="14"/>
      <c r="HJU7" s="14"/>
      <c r="HJV7" s="14"/>
      <c r="HJW7" s="14"/>
      <c r="HJX7" s="14"/>
      <c r="HJY7" s="14"/>
      <c r="HJZ7" s="14"/>
      <c r="HKA7" s="14"/>
      <c r="HKB7" s="14"/>
      <c r="HKC7" s="14"/>
      <c r="HKD7" s="14"/>
      <c r="HKE7" s="14"/>
      <c r="HKF7" s="14"/>
      <c r="HKG7" s="14"/>
      <c r="HKH7" s="14"/>
      <c r="HKI7" s="14"/>
      <c r="HKJ7" s="14"/>
      <c r="HKK7" s="14"/>
      <c r="HKL7" s="14"/>
      <c r="HKM7" s="14"/>
      <c r="HKN7" s="14"/>
      <c r="HKO7" s="14"/>
      <c r="HKP7" s="14"/>
      <c r="HKQ7" s="14"/>
      <c r="HKR7" s="14"/>
      <c r="HKS7" s="14"/>
      <c r="HKT7" s="14"/>
      <c r="HKU7" s="14"/>
      <c r="HKV7" s="14"/>
      <c r="HKW7" s="14"/>
      <c r="HKX7" s="14"/>
      <c r="HKY7" s="14"/>
      <c r="HKZ7" s="14"/>
      <c r="HLA7" s="14"/>
      <c r="HLB7" s="14"/>
      <c r="HLC7" s="14"/>
      <c r="HLD7" s="14"/>
      <c r="HLE7" s="14"/>
      <c r="HLF7" s="14"/>
      <c r="HLG7" s="14"/>
      <c r="HLH7" s="14"/>
      <c r="HLI7" s="14"/>
      <c r="HLJ7" s="14"/>
      <c r="HLK7" s="14"/>
      <c r="HLL7" s="14"/>
      <c r="HLM7" s="14"/>
      <c r="HLN7" s="14"/>
      <c r="HLO7" s="14"/>
      <c r="HLP7" s="14"/>
      <c r="HLQ7" s="14"/>
      <c r="HLR7" s="14"/>
      <c r="HLS7" s="14"/>
      <c r="HLT7" s="14"/>
      <c r="HLU7" s="14"/>
      <c r="HLV7" s="14"/>
      <c r="HLW7" s="14"/>
      <c r="HLX7" s="14"/>
      <c r="HLY7" s="14"/>
      <c r="HLZ7" s="14"/>
      <c r="HMA7" s="14"/>
      <c r="HMB7" s="14"/>
      <c r="HMC7" s="14"/>
      <c r="HMD7" s="14"/>
      <c r="HME7" s="14"/>
      <c r="HMF7" s="14"/>
      <c r="HMG7" s="14"/>
      <c r="HMH7" s="14"/>
      <c r="HMI7" s="14"/>
      <c r="HMJ7" s="14"/>
      <c r="HMK7" s="14"/>
      <c r="HML7" s="14"/>
      <c r="HMM7" s="14"/>
      <c r="HMN7" s="14"/>
      <c r="HMO7" s="14"/>
      <c r="HMP7" s="14"/>
      <c r="HMQ7" s="14"/>
      <c r="HMR7" s="14"/>
      <c r="HMS7" s="14"/>
      <c r="HMT7" s="14"/>
      <c r="HMU7" s="14"/>
      <c r="HMV7" s="14"/>
      <c r="HMW7" s="14"/>
      <c r="HMX7" s="14"/>
      <c r="HMY7" s="14"/>
      <c r="HMZ7" s="14"/>
      <c r="HNA7" s="14"/>
      <c r="HNB7" s="14"/>
      <c r="HNC7" s="14"/>
      <c r="HND7" s="14"/>
      <c r="HNE7" s="14"/>
      <c r="HNF7" s="14"/>
      <c r="HNG7" s="14"/>
      <c r="HNH7" s="14"/>
      <c r="HNI7" s="14"/>
      <c r="HNJ7" s="14"/>
      <c r="HNK7" s="14"/>
      <c r="HNL7" s="14"/>
      <c r="HNM7" s="14"/>
      <c r="HNN7" s="14"/>
      <c r="HNO7" s="14"/>
      <c r="HNP7" s="14"/>
      <c r="HNQ7" s="14"/>
      <c r="HNR7" s="14"/>
      <c r="HNS7" s="14"/>
      <c r="HNT7" s="14"/>
      <c r="HNU7" s="14"/>
      <c r="HNV7" s="14"/>
      <c r="HNW7" s="14"/>
      <c r="HNX7" s="14"/>
      <c r="HNY7" s="14"/>
      <c r="HNZ7" s="14"/>
      <c r="HOA7" s="14"/>
      <c r="HOB7" s="14"/>
      <c r="HOC7" s="14"/>
      <c r="HOD7" s="14"/>
      <c r="HOE7" s="14"/>
      <c r="HOF7" s="14"/>
      <c r="HOG7" s="14"/>
      <c r="HOH7" s="14"/>
      <c r="HOI7" s="14"/>
      <c r="HOJ7" s="14"/>
      <c r="HOK7" s="14"/>
      <c r="HOL7" s="14"/>
      <c r="HOM7" s="14"/>
      <c r="HON7" s="14"/>
      <c r="HOO7" s="14"/>
      <c r="HOP7" s="14"/>
      <c r="HOQ7" s="14"/>
      <c r="HOR7" s="14"/>
      <c r="HOS7" s="14"/>
      <c r="HOT7" s="14"/>
      <c r="HOU7" s="14"/>
      <c r="HOV7" s="14"/>
      <c r="HOW7" s="14"/>
      <c r="HOX7" s="14"/>
      <c r="HOY7" s="14"/>
      <c r="HOZ7" s="14"/>
      <c r="HPA7" s="14"/>
      <c r="HPB7" s="14"/>
      <c r="HPC7" s="14"/>
      <c r="HPD7" s="14"/>
      <c r="HPE7" s="14"/>
      <c r="HPF7" s="14"/>
      <c r="HPG7" s="14"/>
      <c r="HPH7" s="14"/>
      <c r="HPI7" s="14"/>
      <c r="HPJ7" s="14"/>
      <c r="HPK7" s="14"/>
      <c r="HPL7" s="14"/>
      <c r="HPM7" s="14"/>
      <c r="HPN7" s="14"/>
      <c r="HPO7" s="14"/>
      <c r="HPP7" s="14"/>
      <c r="HPQ7" s="14"/>
      <c r="HPR7" s="14"/>
      <c r="HPS7" s="14"/>
      <c r="HPT7" s="14"/>
      <c r="HPU7" s="14"/>
      <c r="HPV7" s="14"/>
      <c r="HPW7" s="14"/>
      <c r="HPX7" s="14"/>
      <c r="HPY7" s="14"/>
      <c r="HPZ7" s="14"/>
      <c r="HQA7" s="14"/>
      <c r="HQB7" s="14"/>
      <c r="HQC7" s="14"/>
      <c r="HQD7" s="14"/>
      <c r="HQE7" s="14"/>
      <c r="HQF7" s="14"/>
      <c r="HQG7" s="14"/>
      <c r="HQH7" s="14"/>
      <c r="HQI7" s="14"/>
      <c r="HQJ7" s="14"/>
      <c r="HQK7" s="14"/>
      <c r="HQL7" s="14"/>
      <c r="HQM7" s="14"/>
      <c r="HQN7" s="14"/>
      <c r="HQO7" s="14"/>
      <c r="HQP7" s="14"/>
      <c r="HQQ7" s="14"/>
      <c r="HQR7" s="14"/>
      <c r="HQS7" s="14"/>
      <c r="HQT7" s="14"/>
      <c r="HQU7" s="14"/>
      <c r="HQV7" s="14"/>
      <c r="HQW7" s="14"/>
      <c r="HQX7" s="14"/>
      <c r="HQY7" s="14"/>
      <c r="HQZ7" s="14"/>
      <c r="HRA7" s="14"/>
      <c r="HRB7" s="14"/>
      <c r="HRC7" s="14"/>
      <c r="HRD7" s="14"/>
      <c r="HRE7" s="14"/>
      <c r="HRF7" s="14"/>
      <c r="HRG7" s="14"/>
      <c r="HRH7" s="14"/>
      <c r="HRI7" s="14"/>
      <c r="HRJ7" s="14"/>
      <c r="HRK7" s="14"/>
      <c r="HRL7" s="14"/>
      <c r="HRM7" s="14"/>
      <c r="HRN7" s="14"/>
      <c r="HRO7" s="14"/>
      <c r="HRP7" s="14"/>
      <c r="HRQ7" s="14"/>
      <c r="HRR7" s="14"/>
      <c r="HRS7" s="14"/>
      <c r="HRT7" s="14"/>
      <c r="HRU7" s="14"/>
      <c r="HRV7" s="14"/>
      <c r="HRW7" s="14"/>
      <c r="HRX7" s="14"/>
      <c r="HRY7" s="14"/>
      <c r="HRZ7" s="14"/>
      <c r="HSA7" s="14"/>
      <c r="HSB7" s="14"/>
      <c r="HSC7" s="14"/>
      <c r="HSD7" s="14"/>
      <c r="HSE7" s="14"/>
      <c r="HSF7" s="14"/>
      <c r="HSG7" s="14"/>
      <c r="HSH7" s="14"/>
      <c r="HSI7" s="14"/>
      <c r="HSJ7" s="14"/>
      <c r="HSK7" s="14"/>
      <c r="HSL7" s="14"/>
      <c r="HSM7" s="14"/>
      <c r="HSN7" s="14"/>
      <c r="HSO7" s="14"/>
      <c r="HSP7" s="14"/>
      <c r="HSQ7" s="14"/>
      <c r="HSR7" s="14"/>
      <c r="HSS7" s="14"/>
      <c r="HST7" s="14"/>
      <c r="HSU7" s="14"/>
      <c r="HSV7" s="14"/>
      <c r="HSW7" s="14"/>
      <c r="HSX7" s="14"/>
      <c r="HSY7" s="14"/>
      <c r="HSZ7" s="14"/>
      <c r="HTA7" s="14"/>
      <c r="HTB7" s="14"/>
      <c r="HTC7" s="14"/>
      <c r="HTD7" s="14"/>
      <c r="HTE7" s="14"/>
      <c r="HTF7" s="14"/>
      <c r="HTG7" s="14"/>
      <c r="HTH7" s="14"/>
      <c r="HTI7" s="14"/>
      <c r="HTJ7" s="14"/>
      <c r="HTK7" s="14"/>
      <c r="HTL7" s="14"/>
      <c r="HTM7" s="14"/>
      <c r="HTN7" s="14"/>
      <c r="HTO7" s="14"/>
      <c r="HTP7" s="14"/>
      <c r="HTQ7" s="14"/>
      <c r="HTR7" s="14"/>
      <c r="HTS7" s="14"/>
      <c r="HTT7" s="14"/>
      <c r="HTU7" s="14"/>
      <c r="HTV7" s="14"/>
      <c r="HTW7" s="14"/>
      <c r="HTX7" s="14"/>
      <c r="HTY7" s="14"/>
      <c r="HTZ7" s="14"/>
      <c r="HUA7" s="14"/>
      <c r="HUB7" s="14"/>
      <c r="HUC7" s="14"/>
      <c r="HUD7" s="14"/>
      <c r="HUE7" s="14"/>
      <c r="HUF7" s="14"/>
      <c r="HUG7" s="14"/>
      <c r="HUH7" s="14"/>
      <c r="HUI7" s="14"/>
      <c r="HUJ7" s="14"/>
      <c r="HUK7" s="14"/>
      <c r="HUL7" s="14"/>
      <c r="HUM7" s="14"/>
      <c r="HUN7" s="14"/>
      <c r="HUO7" s="14"/>
      <c r="HUP7" s="14"/>
      <c r="HUQ7" s="14"/>
      <c r="HUR7" s="14"/>
      <c r="HUS7" s="14"/>
      <c r="HUT7" s="14"/>
      <c r="HUU7" s="14"/>
      <c r="HUV7" s="14"/>
      <c r="HUW7" s="14"/>
      <c r="HUX7" s="14"/>
      <c r="HUY7" s="14"/>
      <c r="HUZ7" s="14"/>
      <c r="HVA7" s="14"/>
      <c r="HVB7" s="14"/>
      <c r="HVC7" s="14"/>
      <c r="HVD7" s="14"/>
      <c r="HVE7" s="14"/>
      <c r="HVF7" s="14"/>
      <c r="HVG7" s="14"/>
      <c r="HVH7" s="14"/>
      <c r="HVI7" s="14"/>
      <c r="HVJ7" s="14"/>
      <c r="HVK7" s="14"/>
      <c r="HVL7" s="14"/>
      <c r="HVM7" s="14"/>
      <c r="HVN7" s="14"/>
      <c r="HVO7" s="14"/>
      <c r="HVP7" s="14"/>
      <c r="HVQ7" s="14"/>
      <c r="HVR7" s="14"/>
      <c r="HVS7" s="14"/>
      <c r="HVT7" s="14"/>
      <c r="HVU7" s="14"/>
      <c r="HVV7" s="14"/>
      <c r="HVW7" s="14"/>
      <c r="HVX7" s="14"/>
      <c r="HVY7" s="14"/>
      <c r="HVZ7" s="14"/>
      <c r="HWA7" s="14"/>
      <c r="HWB7" s="14"/>
      <c r="HWC7" s="14"/>
      <c r="HWD7" s="14"/>
      <c r="HWE7" s="14"/>
      <c r="HWF7" s="14"/>
      <c r="HWG7" s="14"/>
      <c r="HWH7" s="14"/>
      <c r="HWI7" s="14"/>
      <c r="HWJ7" s="14"/>
      <c r="HWK7" s="14"/>
      <c r="HWL7" s="14"/>
      <c r="HWM7" s="14"/>
      <c r="HWN7" s="14"/>
      <c r="HWO7" s="14"/>
      <c r="HWP7" s="14"/>
      <c r="HWQ7" s="14"/>
      <c r="HWR7" s="14"/>
      <c r="HWS7" s="14"/>
      <c r="HWT7" s="14"/>
      <c r="HWU7" s="14"/>
      <c r="HWV7" s="14"/>
      <c r="HWW7" s="14"/>
      <c r="HWX7" s="14"/>
      <c r="HWY7" s="14"/>
      <c r="HWZ7" s="14"/>
      <c r="HXA7" s="14"/>
      <c r="HXB7" s="14"/>
      <c r="HXC7" s="14"/>
      <c r="HXD7" s="14"/>
      <c r="HXE7" s="14"/>
      <c r="HXF7" s="14"/>
      <c r="HXG7" s="14"/>
      <c r="HXH7" s="14"/>
      <c r="HXI7" s="14"/>
      <c r="HXJ7" s="14"/>
      <c r="HXK7" s="14"/>
      <c r="HXL7" s="14"/>
      <c r="HXM7" s="14"/>
      <c r="HXN7" s="14"/>
      <c r="HXO7" s="14"/>
      <c r="HXP7" s="14"/>
      <c r="HXQ7" s="14"/>
      <c r="HXR7" s="14"/>
      <c r="HXS7" s="14"/>
      <c r="HXT7" s="14"/>
      <c r="HXU7" s="14"/>
      <c r="HXV7" s="14"/>
      <c r="HXW7" s="14"/>
      <c r="HXX7" s="14"/>
      <c r="HXY7" s="14"/>
      <c r="HXZ7" s="14"/>
      <c r="HYA7" s="14"/>
      <c r="HYB7" s="14"/>
      <c r="HYC7" s="14"/>
      <c r="HYD7" s="14"/>
      <c r="HYE7" s="14"/>
      <c r="HYF7" s="14"/>
      <c r="HYG7" s="14"/>
      <c r="HYH7" s="14"/>
      <c r="HYI7" s="14"/>
      <c r="HYJ7" s="14"/>
      <c r="HYK7" s="14"/>
      <c r="HYL7" s="14"/>
      <c r="HYM7" s="14"/>
      <c r="HYN7" s="14"/>
      <c r="HYO7" s="14"/>
      <c r="HYP7" s="14"/>
      <c r="HYQ7" s="14"/>
      <c r="HYR7" s="14"/>
      <c r="HYS7" s="14"/>
      <c r="HYT7" s="14"/>
      <c r="HYU7" s="14"/>
      <c r="HYV7" s="14"/>
      <c r="HYW7" s="14"/>
      <c r="HYX7" s="14"/>
      <c r="HYY7" s="14"/>
      <c r="HYZ7" s="14"/>
      <c r="HZA7" s="14"/>
      <c r="HZB7" s="14"/>
      <c r="HZC7" s="14"/>
      <c r="HZD7" s="14"/>
      <c r="HZE7" s="14"/>
      <c r="HZF7" s="14"/>
      <c r="HZG7" s="14"/>
      <c r="HZH7" s="14"/>
      <c r="HZI7" s="14"/>
      <c r="HZJ7" s="14"/>
      <c r="HZK7" s="14"/>
      <c r="HZL7" s="14"/>
      <c r="HZM7" s="14"/>
      <c r="HZN7" s="14"/>
      <c r="HZO7" s="14"/>
      <c r="HZP7" s="14"/>
      <c r="HZQ7" s="14"/>
      <c r="HZR7" s="14"/>
      <c r="HZS7" s="14"/>
      <c r="HZT7" s="14"/>
      <c r="HZU7" s="14"/>
      <c r="HZV7" s="14"/>
      <c r="HZW7" s="14"/>
      <c r="HZX7" s="14"/>
      <c r="HZY7" s="14"/>
      <c r="HZZ7" s="14"/>
      <c r="IAA7" s="14"/>
      <c r="IAB7" s="14"/>
      <c r="IAC7" s="14"/>
      <c r="IAD7" s="14"/>
      <c r="IAE7" s="14"/>
      <c r="IAF7" s="14"/>
      <c r="IAG7" s="14"/>
      <c r="IAH7" s="14"/>
      <c r="IAI7" s="14"/>
      <c r="IAJ7" s="14"/>
      <c r="IAK7" s="14"/>
      <c r="IAL7" s="14"/>
      <c r="IAM7" s="14"/>
      <c r="IAN7" s="14"/>
      <c r="IAO7" s="14"/>
      <c r="IAP7" s="14"/>
      <c r="IAQ7" s="14"/>
      <c r="IAR7" s="14"/>
      <c r="IAS7" s="14"/>
      <c r="IAT7" s="14"/>
      <c r="IAU7" s="14"/>
      <c r="IAV7" s="14"/>
      <c r="IAW7" s="14"/>
      <c r="IAX7" s="14"/>
      <c r="IAY7" s="14"/>
      <c r="IAZ7" s="14"/>
      <c r="IBA7" s="14"/>
      <c r="IBB7" s="14"/>
      <c r="IBC7" s="14"/>
      <c r="IBD7" s="14"/>
      <c r="IBE7" s="14"/>
      <c r="IBF7" s="14"/>
      <c r="IBG7" s="14"/>
      <c r="IBH7" s="14"/>
      <c r="IBI7" s="14"/>
      <c r="IBJ7" s="14"/>
      <c r="IBK7" s="14"/>
      <c r="IBL7" s="14"/>
      <c r="IBM7" s="14"/>
      <c r="IBN7" s="14"/>
      <c r="IBO7" s="14"/>
      <c r="IBP7" s="14"/>
      <c r="IBQ7" s="14"/>
      <c r="IBR7" s="14"/>
      <c r="IBS7" s="14"/>
      <c r="IBT7" s="14"/>
      <c r="IBU7" s="14"/>
      <c r="IBV7" s="14"/>
      <c r="IBW7" s="14"/>
      <c r="IBX7" s="14"/>
      <c r="IBY7" s="14"/>
      <c r="IBZ7" s="14"/>
      <c r="ICA7" s="14"/>
      <c r="ICB7" s="14"/>
      <c r="ICC7" s="14"/>
      <c r="ICD7" s="14"/>
      <c r="ICE7" s="14"/>
      <c r="ICF7" s="14"/>
      <c r="ICG7" s="14"/>
      <c r="ICH7" s="14"/>
      <c r="ICI7" s="14"/>
      <c r="ICJ7" s="14"/>
      <c r="ICK7" s="14"/>
      <c r="ICL7" s="14"/>
      <c r="ICM7" s="14"/>
      <c r="ICN7" s="14"/>
      <c r="ICO7" s="14"/>
      <c r="ICP7" s="14"/>
      <c r="ICQ7" s="14"/>
      <c r="ICR7" s="14"/>
      <c r="ICS7" s="14"/>
      <c r="ICT7" s="14"/>
      <c r="ICU7" s="14"/>
      <c r="ICV7" s="14"/>
      <c r="ICW7" s="14"/>
      <c r="ICX7" s="14"/>
      <c r="ICY7" s="14"/>
      <c r="ICZ7" s="14"/>
      <c r="IDA7" s="14"/>
      <c r="IDB7" s="14"/>
      <c r="IDC7" s="14"/>
      <c r="IDD7" s="14"/>
      <c r="IDE7" s="14"/>
      <c r="IDF7" s="14"/>
      <c r="IDG7" s="14"/>
      <c r="IDH7" s="14"/>
      <c r="IDI7" s="14"/>
      <c r="IDJ7" s="14"/>
      <c r="IDK7" s="14"/>
      <c r="IDL7" s="14"/>
      <c r="IDM7" s="14"/>
      <c r="IDN7" s="14"/>
      <c r="IDO7" s="14"/>
      <c r="IDP7" s="14"/>
      <c r="IDQ7" s="14"/>
      <c r="IDR7" s="14"/>
      <c r="IDS7" s="14"/>
      <c r="IDT7" s="14"/>
      <c r="IDU7" s="14"/>
      <c r="IDV7" s="14"/>
      <c r="IDW7" s="14"/>
      <c r="IDX7" s="14"/>
      <c r="IDY7" s="14"/>
      <c r="IDZ7" s="14"/>
      <c r="IEA7" s="14"/>
      <c r="IEB7" s="14"/>
      <c r="IEC7" s="14"/>
      <c r="IED7" s="14"/>
      <c r="IEE7" s="14"/>
      <c r="IEF7" s="14"/>
      <c r="IEG7" s="14"/>
      <c r="IEH7" s="14"/>
      <c r="IEI7" s="14"/>
      <c r="IEJ7" s="14"/>
      <c r="IEK7" s="14"/>
      <c r="IEL7" s="14"/>
      <c r="IEM7" s="14"/>
      <c r="IEN7" s="14"/>
      <c r="IEO7" s="14"/>
      <c r="IEP7" s="14"/>
      <c r="IEQ7" s="14"/>
      <c r="IER7" s="14"/>
      <c r="IES7" s="14"/>
      <c r="IET7" s="14"/>
      <c r="IEU7" s="14"/>
      <c r="IEV7" s="14"/>
      <c r="IEW7" s="14"/>
      <c r="IEX7" s="14"/>
      <c r="IEY7" s="14"/>
      <c r="IEZ7" s="14"/>
      <c r="IFA7" s="14"/>
      <c r="IFB7" s="14"/>
      <c r="IFC7" s="14"/>
      <c r="IFD7" s="14"/>
      <c r="IFE7" s="14"/>
      <c r="IFF7" s="14"/>
      <c r="IFG7" s="14"/>
      <c r="IFH7" s="14"/>
      <c r="IFI7" s="14"/>
      <c r="IFJ7" s="14"/>
      <c r="IFK7" s="14"/>
      <c r="IFL7" s="14"/>
      <c r="IFM7" s="14"/>
      <c r="IFN7" s="14"/>
      <c r="IFO7" s="14"/>
      <c r="IFP7" s="14"/>
      <c r="IFQ7" s="14"/>
      <c r="IFR7" s="14"/>
      <c r="IFS7" s="14"/>
      <c r="IFT7" s="14"/>
      <c r="IFU7" s="14"/>
      <c r="IFV7" s="14"/>
      <c r="IFW7" s="14"/>
      <c r="IFX7" s="14"/>
      <c r="IFY7" s="14"/>
      <c r="IFZ7" s="14"/>
      <c r="IGA7" s="14"/>
      <c r="IGB7" s="14"/>
      <c r="IGC7" s="14"/>
      <c r="IGD7" s="14"/>
      <c r="IGE7" s="14"/>
      <c r="IGF7" s="14"/>
      <c r="IGG7" s="14"/>
      <c r="IGH7" s="14"/>
      <c r="IGI7" s="14"/>
      <c r="IGJ7" s="14"/>
      <c r="IGK7" s="14"/>
      <c r="IGL7" s="14"/>
      <c r="IGM7" s="14"/>
      <c r="IGN7" s="14"/>
      <c r="IGO7" s="14"/>
      <c r="IGP7" s="14"/>
      <c r="IGQ7" s="14"/>
      <c r="IGR7" s="14"/>
      <c r="IGS7" s="14"/>
      <c r="IGT7" s="14"/>
      <c r="IGU7" s="14"/>
      <c r="IGV7" s="14"/>
      <c r="IGW7" s="14"/>
      <c r="IGX7" s="14"/>
      <c r="IGY7" s="14"/>
      <c r="IGZ7" s="14"/>
      <c r="IHA7" s="14"/>
      <c r="IHB7" s="14"/>
      <c r="IHC7" s="14"/>
      <c r="IHD7" s="14"/>
      <c r="IHE7" s="14"/>
      <c r="IHF7" s="14"/>
      <c r="IHG7" s="14"/>
      <c r="IHH7" s="14"/>
      <c r="IHI7" s="14"/>
      <c r="IHJ7" s="14"/>
      <c r="IHK7" s="14"/>
      <c r="IHL7" s="14"/>
      <c r="IHM7" s="14"/>
      <c r="IHN7" s="14"/>
      <c r="IHO7" s="14"/>
      <c r="IHP7" s="14"/>
      <c r="IHQ7" s="14"/>
      <c r="IHR7" s="14"/>
      <c r="IHS7" s="14"/>
      <c r="IHT7" s="14"/>
      <c r="IHU7" s="14"/>
      <c r="IHV7" s="14"/>
      <c r="IHW7" s="14"/>
      <c r="IHX7" s="14"/>
      <c r="IHY7" s="14"/>
      <c r="IHZ7" s="14"/>
      <c r="IIA7" s="14"/>
      <c r="IIB7" s="14"/>
      <c r="IIC7" s="14"/>
      <c r="IID7" s="14"/>
      <c r="IIE7" s="14"/>
      <c r="IIF7" s="14"/>
      <c r="IIG7" s="14"/>
      <c r="IIH7" s="14"/>
      <c r="III7" s="14"/>
      <c r="IIJ7" s="14"/>
      <c r="IIK7" s="14"/>
      <c r="IIL7" s="14"/>
      <c r="IIM7" s="14"/>
      <c r="IIN7" s="14"/>
      <c r="IIO7" s="14"/>
      <c r="IIP7" s="14"/>
      <c r="IIQ7" s="14"/>
      <c r="IIR7" s="14"/>
      <c r="IIS7" s="14"/>
      <c r="IIT7" s="14"/>
      <c r="IIU7" s="14"/>
      <c r="IIV7" s="14"/>
      <c r="IIW7" s="14"/>
      <c r="IIX7" s="14"/>
      <c r="IIY7" s="14"/>
      <c r="IIZ7" s="14"/>
      <c r="IJA7" s="14"/>
      <c r="IJB7" s="14"/>
      <c r="IJC7" s="14"/>
      <c r="IJD7" s="14"/>
      <c r="IJE7" s="14"/>
      <c r="IJF7" s="14"/>
      <c r="IJG7" s="14"/>
      <c r="IJH7" s="14"/>
      <c r="IJI7" s="14"/>
      <c r="IJJ7" s="14"/>
      <c r="IJK7" s="14"/>
      <c r="IJL7" s="14"/>
      <c r="IJM7" s="14"/>
      <c r="IJN7" s="14"/>
      <c r="IJO7" s="14"/>
      <c r="IJP7" s="14"/>
      <c r="IJQ7" s="14"/>
      <c r="IJR7" s="14"/>
      <c r="IJS7" s="14"/>
      <c r="IJT7" s="14"/>
      <c r="IJU7" s="14"/>
      <c r="IJV7" s="14"/>
      <c r="IJW7" s="14"/>
      <c r="IJX7" s="14"/>
      <c r="IJY7" s="14"/>
      <c r="IJZ7" s="14"/>
      <c r="IKA7" s="14"/>
      <c r="IKB7" s="14"/>
      <c r="IKC7" s="14"/>
      <c r="IKD7" s="14"/>
      <c r="IKE7" s="14"/>
      <c r="IKF7" s="14"/>
      <c r="IKG7" s="14"/>
      <c r="IKH7" s="14"/>
      <c r="IKI7" s="14"/>
      <c r="IKJ7" s="14"/>
      <c r="IKK7" s="14"/>
      <c r="IKL7" s="14"/>
      <c r="IKM7" s="14"/>
      <c r="IKN7" s="14"/>
      <c r="IKO7" s="14"/>
      <c r="IKP7" s="14"/>
      <c r="IKQ7" s="14"/>
      <c r="IKR7" s="14"/>
      <c r="IKS7" s="14"/>
      <c r="IKT7" s="14"/>
      <c r="IKU7" s="14"/>
      <c r="IKV7" s="14"/>
      <c r="IKW7" s="14"/>
      <c r="IKX7" s="14"/>
      <c r="IKY7" s="14"/>
      <c r="IKZ7" s="14"/>
      <c r="ILA7" s="14"/>
      <c r="ILB7" s="14"/>
      <c r="ILC7" s="14"/>
      <c r="ILD7" s="14"/>
      <c r="ILE7" s="14"/>
      <c r="ILF7" s="14"/>
      <c r="ILG7" s="14"/>
      <c r="ILH7" s="14"/>
      <c r="ILI7" s="14"/>
      <c r="ILJ7" s="14"/>
      <c r="ILK7" s="14"/>
      <c r="ILL7" s="14"/>
      <c r="ILM7" s="14"/>
      <c r="ILN7" s="14"/>
      <c r="ILO7" s="14"/>
      <c r="ILP7" s="14"/>
      <c r="ILQ7" s="14"/>
      <c r="ILR7" s="14"/>
      <c r="ILS7" s="14"/>
      <c r="ILT7" s="14"/>
      <c r="ILU7" s="14"/>
      <c r="ILV7" s="14"/>
      <c r="ILW7" s="14"/>
      <c r="ILX7" s="14"/>
      <c r="ILY7" s="14"/>
      <c r="ILZ7" s="14"/>
      <c r="IMA7" s="14"/>
      <c r="IMB7" s="14"/>
      <c r="IMC7" s="14"/>
      <c r="IMD7" s="14"/>
      <c r="IME7" s="14"/>
      <c r="IMF7" s="14"/>
      <c r="IMG7" s="14"/>
      <c r="IMH7" s="14"/>
      <c r="IMI7" s="14"/>
      <c r="IMJ7" s="14"/>
      <c r="IMK7" s="14"/>
      <c r="IML7" s="14"/>
      <c r="IMM7" s="14"/>
      <c r="IMN7" s="14"/>
      <c r="IMO7" s="14"/>
      <c r="IMP7" s="14"/>
      <c r="IMQ7" s="14"/>
      <c r="IMR7" s="14"/>
      <c r="IMS7" s="14"/>
      <c r="IMT7" s="14"/>
      <c r="IMU7" s="14"/>
      <c r="IMV7" s="14"/>
      <c r="IMW7" s="14"/>
      <c r="IMX7" s="14"/>
      <c r="IMY7" s="14"/>
      <c r="IMZ7" s="14"/>
      <c r="INA7" s="14"/>
      <c r="INB7" s="14"/>
      <c r="INC7" s="14"/>
      <c r="IND7" s="14"/>
      <c r="INE7" s="14"/>
      <c r="INF7" s="14"/>
      <c r="ING7" s="14"/>
      <c r="INH7" s="14"/>
      <c r="INI7" s="14"/>
      <c r="INJ7" s="14"/>
      <c r="INK7" s="14"/>
      <c r="INL7" s="14"/>
      <c r="INM7" s="14"/>
      <c r="INN7" s="14"/>
      <c r="INO7" s="14"/>
      <c r="INP7" s="14"/>
      <c r="INQ7" s="14"/>
      <c r="INR7" s="14"/>
      <c r="INS7" s="14"/>
      <c r="INT7" s="14"/>
      <c r="INU7" s="14"/>
      <c r="INV7" s="14"/>
      <c r="INW7" s="14"/>
      <c r="INX7" s="14"/>
      <c r="INY7" s="14"/>
      <c r="INZ7" s="14"/>
      <c r="IOA7" s="14"/>
      <c r="IOB7" s="14"/>
      <c r="IOC7" s="14"/>
      <c r="IOD7" s="14"/>
      <c r="IOE7" s="14"/>
      <c r="IOF7" s="14"/>
      <c r="IOG7" s="14"/>
      <c r="IOH7" s="14"/>
      <c r="IOI7" s="14"/>
      <c r="IOJ7" s="14"/>
      <c r="IOK7" s="14"/>
      <c r="IOL7" s="14"/>
      <c r="IOM7" s="14"/>
      <c r="ION7" s="14"/>
      <c r="IOO7" s="14"/>
      <c r="IOP7" s="14"/>
      <c r="IOQ7" s="14"/>
      <c r="IOR7" s="14"/>
      <c r="IOS7" s="14"/>
      <c r="IOT7" s="14"/>
      <c r="IOU7" s="14"/>
      <c r="IOV7" s="14"/>
      <c r="IOW7" s="14"/>
      <c r="IOX7" s="14"/>
      <c r="IOY7" s="14"/>
      <c r="IOZ7" s="14"/>
      <c r="IPA7" s="14"/>
      <c r="IPB7" s="14"/>
      <c r="IPC7" s="14"/>
      <c r="IPD7" s="14"/>
      <c r="IPE7" s="14"/>
      <c r="IPF7" s="14"/>
      <c r="IPG7" s="14"/>
      <c r="IPH7" s="14"/>
      <c r="IPI7" s="14"/>
      <c r="IPJ7" s="14"/>
      <c r="IPK7" s="14"/>
      <c r="IPL7" s="14"/>
      <c r="IPM7" s="14"/>
      <c r="IPN7" s="14"/>
      <c r="IPO7" s="14"/>
      <c r="IPP7" s="14"/>
      <c r="IPQ7" s="14"/>
      <c r="IPR7" s="14"/>
      <c r="IPS7" s="14"/>
      <c r="IPT7" s="14"/>
      <c r="IPU7" s="14"/>
      <c r="IPV7" s="14"/>
      <c r="IPW7" s="14"/>
      <c r="IPX7" s="14"/>
      <c r="IPY7" s="14"/>
      <c r="IPZ7" s="14"/>
      <c r="IQA7" s="14"/>
      <c r="IQB7" s="14"/>
      <c r="IQC7" s="14"/>
      <c r="IQD7" s="14"/>
      <c r="IQE7" s="14"/>
      <c r="IQF7" s="14"/>
      <c r="IQG7" s="14"/>
      <c r="IQH7" s="14"/>
      <c r="IQI7" s="14"/>
      <c r="IQJ7" s="14"/>
      <c r="IQK7" s="14"/>
      <c r="IQL7" s="14"/>
      <c r="IQM7" s="14"/>
      <c r="IQN7" s="14"/>
      <c r="IQO7" s="14"/>
      <c r="IQP7" s="14"/>
      <c r="IQQ7" s="14"/>
      <c r="IQR7" s="14"/>
      <c r="IQS7" s="14"/>
      <c r="IQT7" s="14"/>
      <c r="IQU7" s="14"/>
      <c r="IQV7" s="14"/>
      <c r="IQW7" s="14"/>
      <c r="IQX7" s="14"/>
      <c r="IQY7" s="14"/>
      <c r="IQZ7" s="14"/>
      <c r="IRA7" s="14"/>
      <c r="IRB7" s="14"/>
      <c r="IRC7" s="14"/>
      <c r="IRD7" s="14"/>
      <c r="IRE7" s="14"/>
      <c r="IRF7" s="14"/>
      <c r="IRG7" s="14"/>
      <c r="IRH7" s="14"/>
      <c r="IRI7" s="14"/>
      <c r="IRJ7" s="14"/>
      <c r="IRK7" s="14"/>
      <c r="IRL7" s="14"/>
      <c r="IRM7" s="14"/>
      <c r="IRN7" s="14"/>
      <c r="IRO7" s="14"/>
      <c r="IRP7" s="14"/>
      <c r="IRQ7" s="14"/>
      <c r="IRR7" s="14"/>
      <c r="IRS7" s="14"/>
      <c r="IRT7" s="14"/>
      <c r="IRU7" s="14"/>
      <c r="IRV7" s="14"/>
      <c r="IRW7" s="14"/>
      <c r="IRX7" s="14"/>
      <c r="IRY7" s="14"/>
      <c r="IRZ7" s="14"/>
      <c r="ISA7" s="14"/>
      <c r="ISB7" s="14"/>
      <c r="ISC7" s="14"/>
      <c r="ISD7" s="14"/>
      <c r="ISE7" s="14"/>
      <c r="ISF7" s="14"/>
      <c r="ISG7" s="14"/>
      <c r="ISH7" s="14"/>
      <c r="ISI7" s="14"/>
      <c r="ISJ7" s="14"/>
      <c r="ISK7" s="14"/>
      <c r="ISL7" s="14"/>
      <c r="ISM7" s="14"/>
      <c r="ISN7" s="14"/>
      <c r="ISO7" s="14"/>
      <c r="ISP7" s="14"/>
      <c r="ISQ7" s="14"/>
      <c r="ISR7" s="14"/>
      <c r="ISS7" s="14"/>
      <c r="IST7" s="14"/>
      <c r="ISU7" s="14"/>
      <c r="ISV7" s="14"/>
      <c r="ISW7" s="14"/>
      <c r="ISX7" s="14"/>
      <c r="ISY7" s="14"/>
      <c r="ISZ7" s="14"/>
      <c r="ITA7" s="14"/>
      <c r="ITB7" s="14"/>
      <c r="ITC7" s="14"/>
      <c r="ITD7" s="14"/>
      <c r="ITE7" s="14"/>
      <c r="ITF7" s="14"/>
      <c r="ITG7" s="14"/>
      <c r="ITH7" s="14"/>
      <c r="ITI7" s="14"/>
      <c r="ITJ7" s="14"/>
      <c r="ITK7" s="14"/>
      <c r="ITL7" s="14"/>
      <c r="ITM7" s="14"/>
      <c r="ITN7" s="14"/>
      <c r="ITO7" s="14"/>
      <c r="ITP7" s="14"/>
      <c r="ITQ7" s="14"/>
      <c r="ITR7" s="14"/>
      <c r="ITS7" s="14"/>
      <c r="ITT7" s="14"/>
      <c r="ITU7" s="14"/>
      <c r="ITV7" s="14"/>
      <c r="ITW7" s="14"/>
      <c r="ITX7" s="14"/>
      <c r="ITY7" s="14"/>
      <c r="ITZ7" s="14"/>
      <c r="IUA7" s="14"/>
      <c r="IUB7" s="14"/>
      <c r="IUC7" s="14"/>
      <c r="IUD7" s="14"/>
      <c r="IUE7" s="14"/>
      <c r="IUF7" s="14"/>
      <c r="IUG7" s="14"/>
      <c r="IUH7" s="14"/>
      <c r="IUI7" s="14"/>
      <c r="IUJ7" s="14"/>
      <c r="IUK7" s="14"/>
      <c r="IUL7" s="14"/>
      <c r="IUM7" s="14"/>
      <c r="IUN7" s="14"/>
      <c r="IUO7" s="14"/>
      <c r="IUP7" s="14"/>
      <c r="IUQ7" s="14"/>
      <c r="IUR7" s="14"/>
      <c r="IUS7" s="14"/>
      <c r="IUT7" s="14"/>
      <c r="IUU7" s="14"/>
      <c r="IUV7" s="14"/>
      <c r="IUW7" s="14"/>
      <c r="IUX7" s="14"/>
      <c r="IUY7" s="14"/>
      <c r="IUZ7" s="14"/>
      <c r="IVA7" s="14"/>
      <c r="IVB7" s="14"/>
      <c r="IVC7" s="14"/>
      <c r="IVD7" s="14"/>
      <c r="IVE7" s="14"/>
      <c r="IVF7" s="14"/>
      <c r="IVG7" s="14"/>
      <c r="IVH7" s="14"/>
      <c r="IVI7" s="14"/>
      <c r="IVJ7" s="14"/>
      <c r="IVK7" s="14"/>
      <c r="IVL7" s="14"/>
      <c r="IVM7" s="14"/>
      <c r="IVN7" s="14"/>
      <c r="IVO7" s="14"/>
      <c r="IVP7" s="14"/>
      <c r="IVQ7" s="14"/>
      <c r="IVR7" s="14"/>
      <c r="IVS7" s="14"/>
      <c r="IVT7" s="14"/>
      <c r="IVU7" s="14"/>
      <c r="IVV7" s="14"/>
      <c r="IVW7" s="14"/>
      <c r="IVX7" s="14"/>
      <c r="IVY7" s="14"/>
      <c r="IVZ7" s="14"/>
      <c r="IWA7" s="14"/>
      <c r="IWB7" s="14"/>
      <c r="IWC7" s="14"/>
      <c r="IWD7" s="14"/>
      <c r="IWE7" s="14"/>
      <c r="IWF7" s="14"/>
      <c r="IWG7" s="14"/>
      <c r="IWH7" s="14"/>
      <c r="IWI7" s="14"/>
      <c r="IWJ7" s="14"/>
      <c r="IWK7" s="14"/>
      <c r="IWL7" s="14"/>
      <c r="IWM7" s="14"/>
      <c r="IWN7" s="14"/>
      <c r="IWO7" s="14"/>
      <c r="IWP7" s="14"/>
      <c r="IWQ7" s="14"/>
      <c r="IWR7" s="14"/>
      <c r="IWS7" s="14"/>
      <c r="IWT7" s="14"/>
      <c r="IWU7" s="14"/>
      <c r="IWV7" s="14"/>
      <c r="IWW7" s="14"/>
      <c r="IWX7" s="14"/>
      <c r="IWY7" s="14"/>
      <c r="IWZ7" s="14"/>
      <c r="IXA7" s="14"/>
      <c r="IXB7" s="14"/>
      <c r="IXC7" s="14"/>
      <c r="IXD7" s="14"/>
      <c r="IXE7" s="14"/>
      <c r="IXF7" s="14"/>
      <c r="IXG7" s="14"/>
      <c r="IXH7" s="14"/>
      <c r="IXI7" s="14"/>
      <c r="IXJ7" s="14"/>
      <c r="IXK7" s="14"/>
      <c r="IXL7" s="14"/>
      <c r="IXM7" s="14"/>
      <c r="IXN7" s="14"/>
      <c r="IXO7" s="14"/>
      <c r="IXP7" s="14"/>
      <c r="IXQ7" s="14"/>
      <c r="IXR7" s="14"/>
      <c r="IXS7" s="14"/>
      <c r="IXT7" s="14"/>
      <c r="IXU7" s="14"/>
      <c r="IXV7" s="14"/>
      <c r="IXW7" s="14"/>
      <c r="IXX7" s="14"/>
      <c r="IXY7" s="14"/>
      <c r="IXZ7" s="14"/>
      <c r="IYA7" s="14"/>
      <c r="IYB7" s="14"/>
      <c r="IYC7" s="14"/>
      <c r="IYD7" s="14"/>
      <c r="IYE7" s="14"/>
      <c r="IYF7" s="14"/>
      <c r="IYG7" s="14"/>
      <c r="IYH7" s="14"/>
      <c r="IYI7" s="14"/>
      <c r="IYJ7" s="14"/>
      <c r="IYK7" s="14"/>
      <c r="IYL7" s="14"/>
      <c r="IYM7" s="14"/>
      <c r="IYN7" s="14"/>
      <c r="IYO7" s="14"/>
      <c r="IYP7" s="14"/>
      <c r="IYQ7" s="14"/>
      <c r="IYR7" s="14"/>
      <c r="IYS7" s="14"/>
      <c r="IYT7" s="14"/>
      <c r="IYU7" s="14"/>
      <c r="IYV7" s="14"/>
      <c r="IYW7" s="14"/>
      <c r="IYX7" s="14"/>
      <c r="IYY7" s="14"/>
      <c r="IYZ7" s="14"/>
      <c r="IZA7" s="14"/>
      <c r="IZB7" s="14"/>
      <c r="IZC7" s="14"/>
      <c r="IZD7" s="14"/>
      <c r="IZE7" s="14"/>
      <c r="IZF7" s="14"/>
      <c r="IZG7" s="14"/>
      <c r="IZH7" s="14"/>
      <c r="IZI7" s="14"/>
      <c r="IZJ7" s="14"/>
      <c r="IZK7" s="14"/>
      <c r="IZL7" s="14"/>
      <c r="IZM7" s="14"/>
      <c r="IZN7" s="14"/>
      <c r="IZO7" s="14"/>
      <c r="IZP7" s="14"/>
      <c r="IZQ7" s="14"/>
      <c r="IZR7" s="14"/>
      <c r="IZS7" s="14"/>
      <c r="IZT7" s="14"/>
      <c r="IZU7" s="14"/>
      <c r="IZV7" s="14"/>
      <c r="IZW7" s="14"/>
      <c r="IZX7" s="14"/>
      <c r="IZY7" s="14"/>
      <c r="IZZ7" s="14"/>
      <c r="JAA7" s="14"/>
      <c r="JAB7" s="14"/>
      <c r="JAC7" s="14"/>
      <c r="JAD7" s="14"/>
      <c r="JAE7" s="14"/>
      <c r="JAF7" s="14"/>
      <c r="JAG7" s="14"/>
      <c r="JAH7" s="14"/>
      <c r="JAI7" s="14"/>
      <c r="JAJ7" s="14"/>
      <c r="JAK7" s="14"/>
      <c r="JAL7" s="14"/>
      <c r="JAM7" s="14"/>
      <c r="JAN7" s="14"/>
      <c r="JAO7" s="14"/>
      <c r="JAP7" s="14"/>
      <c r="JAQ7" s="14"/>
      <c r="JAR7" s="14"/>
      <c r="JAS7" s="14"/>
      <c r="JAT7" s="14"/>
      <c r="JAU7" s="14"/>
      <c r="JAV7" s="14"/>
      <c r="JAW7" s="14"/>
      <c r="JAX7" s="14"/>
      <c r="JAY7" s="14"/>
      <c r="JAZ7" s="14"/>
      <c r="JBA7" s="14"/>
      <c r="JBB7" s="14"/>
      <c r="JBC7" s="14"/>
      <c r="JBD7" s="14"/>
      <c r="JBE7" s="14"/>
      <c r="JBF7" s="14"/>
      <c r="JBG7" s="14"/>
      <c r="JBH7" s="14"/>
      <c r="JBI7" s="14"/>
      <c r="JBJ7" s="14"/>
      <c r="JBK7" s="14"/>
      <c r="JBL7" s="14"/>
      <c r="JBM7" s="14"/>
      <c r="JBN7" s="14"/>
      <c r="JBO7" s="14"/>
      <c r="JBP7" s="14"/>
      <c r="JBQ7" s="14"/>
      <c r="JBR7" s="14"/>
      <c r="JBS7" s="14"/>
      <c r="JBT7" s="14"/>
      <c r="JBU7" s="14"/>
      <c r="JBV7" s="14"/>
      <c r="JBW7" s="14"/>
      <c r="JBX7" s="14"/>
      <c r="JBY7" s="14"/>
      <c r="JBZ7" s="14"/>
      <c r="JCA7" s="14"/>
      <c r="JCB7" s="14"/>
      <c r="JCC7" s="14"/>
      <c r="JCD7" s="14"/>
      <c r="JCE7" s="14"/>
      <c r="JCF7" s="14"/>
      <c r="JCG7" s="14"/>
      <c r="JCH7" s="14"/>
      <c r="JCI7" s="14"/>
      <c r="JCJ7" s="14"/>
      <c r="JCK7" s="14"/>
      <c r="JCL7" s="14"/>
      <c r="JCM7" s="14"/>
      <c r="JCN7" s="14"/>
      <c r="JCO7" s="14"/>
      <c r="JCP7" s="14"/>
      <c r="JCQ7" s="14"/>
      <c r="JCR7" s="14"/>
      <c r="JCS7" s="14"/>
      <c r="JCT7" s="14"/>
      <c r="JCU7" s="14"/>
      <c r="JCV7" s="14"/>
      <c r="JCW7" s="14"/>
      <c r="JCX7" s="14"/>
      <c r="JCY7" s="14"/>
      <c r="JCZ7" s="14"/>
      <c r="JDA7" s="14"/>
      <c r="JDB7" s="14"/>
      <c r="JDC7" s="14"/>
      <c r="JDD7" s="14"/>
      <c r="JDE7" s="14"/>
      <c r="JDF7" s="14"/>
      <c r="JDG7" s="14"/>
      <c r="JDH7" s="14"/>
      <c r="JDI7" s="14"/>
      <c r="JDJ7" s="14"/>
      <c r="JDK7" s="14"/>
      <c r="JDL7" s="14"/>
      <c r="JDM7" s="14"/>
      <c r="JDN7" s="14"/>
      <c r="JDO7" s="14"/>
      <c r="JDP7" s="14"/>
      <c r="JDQ7" s="14"/>
      <c r="JDR7" s="14"/>
      <c r="JDS7" s="14"/>
      <c r="JDT7" s="14"/>
      <c r="JDU7" s="14"/>
      <c r="JDV7" s="14"/>
      <c r="JDW7" s="14"/>
      <c r="JDX7" s="14"/>
      <c r="JDY7" s="14"/>
      <c r="JDZ7" s="14"/>
      <c r="JEA7" s="14"/>
      <c r="JEB7" s="14"/>
      <c r="JEC7" s="14"/>
      <c r="JED7" s="14"/>
      <c r="JEE7" s="14"/>
      <c r="JEF7" s="14"/>
      <c r="JEG7" s="14"/>
      <c r="JEH7" s="14"/>
      <c r="JEI7" s="14"/>
      <c r="JEJ7" s="14"/>
      <c r="JEK7" s="14"/>
      <c r="JEL7" s="14"/>
      <c r="JEM7" s="14"/>
      <c r="JEN7" s="14"/>
      <c r="JEO7" s="14"/>
      <c r="JEP7" s="14"/>
      <c r="JEQ7" s="14"/>
      <c r="JER7" s="14"/>
      <c r="JES7" s="14"/>
      <c r="JET7" s="14"/>
      <c r="JEU7" s="14"/>
      <c r="JEV7" s="14"/>
      <c r="JEW7" s="14"/>
      <c r="JEX7" s="14"/>
      <c r="JEY7" s="14"/>
      <c r="JEZ7" s="14"/>
      <c r="JFA7" s="14"/>
      <c r="JFB7" s="14"/>
      <c r="JFC7" s="14"/>
      <c r="JFD7" s="14"/>
      <c r="JFE7" s="14"/>
      <c r="JFF7" s="14"/>
      <c r="JFG7" s="14"/>
      <c r="JFH7" s="14"/>
      <c r="JFI7" s="14"/>
      <c r="JFJ7" s="14"/>
      <c r="JFK7" s="14"/>
      <c r="JFL7" s="14"/>
      <c r="JFM7" s="14"/>
      <c r="JFN7" s="14"/>
      <c r="JFO7" s="14"/>
      <c r="JFP7" s="14"/>
      <c r="JFQ7" s="14"/>
      <c r="JFR7" s="14"/>
      <c r="JFS7" s="14"/>
      <c r="JFT7" s="14"/>
      <c r="JFU7" s="14"/>
      <c r="JFV7" s="14"/>
      <c r="JFW7" s="14"/>
      <c r="JFX7" s="14"/>
      <c r="JFY7" s="14"/>
      <c r="JFZ7" s="14"/>
      <c r="JGA7" s="14"/>
      <c r="JGB7" s="14"/>
      <c r="JGC7" s="14"/>
      <c r="JGD7" s="14"/>
      <c r="JGE7" s="14"/>
      <c r="JGF7" s="14"/>
      <c r="JGG7" s="14"/>
      <c r="JGH7" s="14"/>
      <c r="JGI7" s="14"/>
      <c r="JGJ7" s="14"/>
      <c r="JGK7" s="14"/>
      <c r="JGL7" s="14"/>
      <c r="JGM7" s="14"/>
      <c r="JGN7" s="14"/>
      <c r="JGO7" s="14"/>
      <c r="JGP7" s="14"/>
      <c r="JGQ7" s="14"/>
      <c r="JGR7" s="14"/>
      <c r="JGS7" s="14"/>
      <c r="JGT7" s="14"/>
      <c r="JGU7" s="14"/>
      <c r="JGV7" s="14"/>
      <c r="JGW7" s="14"/>
      <c r="JGX7" s="14"/>
      <c r="JGY7" s="14"/>
      <c r="JGZ7" s="14"/>
      <c r="JHA7" s="14"/>
      <c r="JHB7" s="14"/>
      <c r="JHC7" s="14"/>
      <c r="JHD7" s="14"/>
      <c r="JHE7" s="14"/>
      <c r="JHF7" s="14"/>
      <c r="JHG7" s="14"/>
      <c r="JHH7" s="14"/>
      <c r="JHI7" s="14"/>
      <c r="JHJ7" s="14"/>
      <c r="JHK7" s="14"/>
      <c r="JHL7" s="14"/>
      <c r="JHM7" s="14"/>
      <c r="JHN7" s="14"/>
      <c r="JHO7" s="14"/>
      <c r="JHP7" s="14"/>
      <c r="JHQ7" s="14"/>
      <c r="JHR7" s="14"/>
      <c r="JHS7" s="14"/>
      <c r="JHT7" s="14"/>
      <c r="JHU7" s="14"/>
      <c r="JHV7" s="14"/>
      <c r="JHW7" s="14"/>
      <c r="JHX7" s="14"/>
      <c r="JHY7" s="14"/>
      <c r="JHZ7" s="14"/>
      <c r="JIA7" s="14"/>
      <c r="JIB7" s="14"/>
      <c r="JIC7" s="14"/>
      <c r="JID7" s="14"/>
      <c r="JIE7" s="14"/>
      <c r="JIF7" s="14"/>
      <c r="JIG7" s="14"/>
      <c r="JIH7" s="14"/>
      <c r="JII7" s="14"/>
      <c r="JIJ7" s="14"/>
      <c r="JIK7" s="14"/>
      <c r="JIL7" s="14"/>
      <c r="JIM7" s="14"/>
      <c r="JIN7" s="14"/>
      <c r="JIO7" s="14"/>
      <c r="JIP7" s="14"/>
      <c r="JIQ7" s="14"/>
      <c r="JIR7" s="14"/>
      <c r="JIS7" s="14"/>
      <c r="JIT7" s="14"/>
      <c r="JIU7" s="14"/>
      <c r="JIV7" s="14"/>
      <c r="JIW7" s="14"/>
      <c r="JIX7" s="14"/>
      <c r="JIY7" s="14"/>
      <c r="JIZ7" s="14"/>
      <c r="JJA7" s="14"/>
      <c r="JJB7" s="14"/>
      <c r="JJC7" s="14"/>
      <c r="JJD7" s="14"/>
      <c r="JJE7" s="14"/>
      <c r="JJF7" s="14"/>
      <c r="JJG7" s="14"/>
      <c r="JJH7" s="14"/>
      <c r="JJI7" s="14"/>
      <c r="JJJ7" s="14"/>
      <c r="JJK7" s="14"/>
      <c r="JJL7" s="14"/>
      <c r="JJM7" s="14"/>
      <c r="JJN7" s="14"/>
      <c r="JJO7" s="14"/>
      <c r="JJP7" s="14"/>
      <c r="JJQ7" s="14"/>
      <c r="JJR7" s="14"/>
      <c r="JJS7" s="14"/>
      <c r="JJT7" s="14"/>
      <c r="JJU7" s="14"/>
      <c r="JJV7" s="14"/>
      <c r="JJW7" s="14"/>
      <c r="JJX7" s="14"/>
      <c r="JJY7" s="14"/>
      <c r="JJZ7" s="14"/>
      <c r="JKA7" s="14"/>
      <c r="JKB7" s="14"/>
      <c r="JKC7" s="14"/>
      <c r="JKD7" s="14"/>
      <c r="JKE7" s="14"/>
      <c r="JKF7" s="14"/>
      <c r="JKG7" s="14"/>
      <c r="JKH7" s="14"/>
      <c r="JKI7" s="14"/>
      <c r="JKJ7" s="14"/>
      <c r="JKK7" s="14"/>
      <c r="JKL7" s="14"/>
      <c r="JKM7" s="14"/>
      <c r="JKN7" s="14"/>
      <c r="JKO7" s="14"/>
      <c r="JKP7" s="14"/>
      <c r="JKQ7" s="14"/>
      <c r="JKR7" s="14"/>
      <c r="JKS7" s="14"/>
      <c r="JKT7" s="14"/>
      <c r="JKU7" s="14"/>
      <c r="JKV7" s="14"/>
      <c r="JKW7" s="14"/>
      <c r="JKX7" s="14"/>
      <c r="JKY7" s="14"/>
      <c r="JKZ7" s="14"/>
      <c r="JLA7" s="14"/>
      <c r="JLB7" s="14"/>
      <c r="JLC7" s="14"/>
      <c r="JLD7" s="14"/>
      <c r="JLE7" s="14"/>
      <c r="JLF7" s="14"/>
      <c r="JLG7" s="14"/>
      <c r="JLH7" s="14"/>
      <c r="JLI7" s="14"/>
      <c r="JLJ7" s="14"/>
      <c r="JLK7" s="14"/>
      <c r="JLL7" s="14"/>
      <c r="JLM7" s="14"/>
      <c r="JLN7" s="14"/>
      <c r="JLO7" s="14"/>
      <c r="JLP7" s="14"/>
      <c r="JLQ7" s="14"/>
      <c r="JLR7" s="14"/>
      <c r="JLS7" s="14"/>
      <c r="JLT7" s="14"/>
      <c r="JLU7" s="14"/>
      <c r="JLV7" s="14"/>
      <c r="JLW7" s="14"/>
      <c r="JLX7" s="14"/>
      <c r="JLY7" s="14"/>
      <c r="JLZ7" s="14"/>
      <c r="JMA7" s="14"/>
      <c r="JMB7" s="14"/>
      <c r="JMC7" s="14"/>
      <c r="JMD7" s="14"/>
      <c r="JME7" s="14"/>
      <c r="JMF7" s="14"/>
      <c r="JMG7" s="14"/>
      <c r="JMH7" s="14"/>
      <c r="JMI7" s="14"/>
      <c r="JMJ7" s="14"/>
      <c r="JMK7" s="14"/>
      <c r="JML7" s="14"/>
      <c r="JMM7" s="14"/>
      <c r="JMN7" s="14"/>
      <c r="JMO7" s="14"/>
      <c r="JMP7" s="14"/>
      <c r="JMQ7" s="14"/>
      <c r="JMR7" s="14"/>
      <c r="JMS7" s="14"/>
      <c r="JMT7" s="14"/>
      <c r="JMU7" s="14"/>
      <c r="JMV7" s="14"/>
      <c r="JMW7" s="14"/>
      <c r="JMX7" s="14"/>
      <c r="JMY7" s="14"/>
      <c r="JMZ7" s="14"/>
      <c r="JNA7" s="14"/>
      <c r="JNB7" s="14"/>
      <c r="JNC7" s="14"/>
      <c r="JND7" s="14"/>
      <c r="JNE7" s="14"/>
      <c r="JNF7" s="14"/>
      <c r="JNG7" s="14"/>
      <c r="JNH7" s="14"/>
      <c r="JNI7" s="14"/>
      <c r="JNJ7" s="14"/>
      <c r="JNK7" s="14"/>
      <c r="JNL7" s="14"/>
      <c r="JNM7" s="14"/>
      <c r="JNN7" s="14"/>
      <c r="JNO7" s="14"/>
      <c r="JNP7" s="14"/>
      <c r="JNQ7" s="14"/>
      <c r="JNR7" s="14"/>
      <c r="JNS7" s="14"/>
      <c r="JNT7" s="14"/>
      <c r="JNU7" s="14"/>
      <c r="JNV7" s="14"/>
      <c r="JNW7" s="14"/>
      <c r="JNX7" s="14"/>
      <c r="JNY7" s="14"/>
      <c r="JNZ7" s="14"/>
      <c r="JOA7" s="14"/>
      <c r="JOB7" s="14"/>
      <c r="JOC7" s="14"/>
      <c r="JOD7" s="14"/>
      <c r="JOE7" s="14"/>
      <c r="JOF7" s="14"/>
      <c r="JOG7" s="14"/>
      <c r="JOH7" s="14"/>
      <c r="JOI7" s="14"/>
      <c r="JOJ7" s="14"/>
      <c r="JOK7" s="14"/>
      <c r="JOL7" s="14"/>
      <c r="JOM7" s="14"/>
      <c r="JON7" s="14"/>
      <c r="JOO7" s="14"/>
      <c r="JOP7" s="14"/>
      <c r="JOQ7" s="14"/>
      <c r="JOR7" s="14"/>
      <c r="JOS7" s="14"/>
      <c r="JOT7" s="14"/>
      <c r="JOU7" s="14"/>
      <c r="JOV7" s="14"/>
      <c r="JOW7" s="14"/>
      <c r="JOX7" s="14"/>
      <c r="JOY7" s="14"/>
      <c r="JOZ7" s="14"/>
      <c r="JPA7" s="14"/>
      <c r="JPB7" s="14"/>
      <c r="JPC7" s="14"/>
      <c r="JPD7" s="14"/>
      <c r="JPE7" s="14"/>
      <c r="JPF7" s="14"/>
      <c r="JPG7" s="14"/>
      <c r="JPH7" s="14"/>
      <c r="JPI7" s="14"/>
      <c r="JPJ7" s="14"/>
      <c r="JPK7" s="14"/>
      <c r="JPL7" s="14"/>
      <c r="JPM7" s="14"/>
      <c r="JPN7" s="14"/>
      <c r="JPO7" s="14"/>
      <c r="JPP7" s="14"/>
      <c r="JPQ7" s="14"/>
      <c r="JPR7" s="14"/>
      <c r="JPS7" s="14"/>
      <c r="JPT7" s="14"/>
      <c r="JPU7" s="14"/>
      <c r="JPV7" s="14"/>
      <c r="JPW7" s="14"/>
      <c r="JPX7" s="14"/>
      <c r="JPY7" s="14"/>
      <c r="JPZ7" s="14"/>
      <c r="JQA7" s="14"/>
      <c r="JQB7" s="14"/>
      <c r="JQC7" s="14"/>
      <c r="JQD7" s="14"/>
      <c r="JQE7" s="14"/>
      <c r="JQF7" s="14"/>
      <c r="JQG7" s="14"/>
      <c r="JQH7" s="14"/>
      <c r="JQI7" s="14"/>
      <c r="JQJ7" s="14"/>
      <c r="JQK7" s="14"/>
      <c r="JQL7" s="14"/>
      <c r="JQM7" s="14"/>
      <c r="JQN7" s="14"/>
      <c r="JQO7" s="14"/>
      <c r="JQP7" s="14"/>
      <c r="JQQ7" s="14"/>
      <c r="JQR7" s="14"/>
      <c r="JQS7" s="14"/>
      <c r="JQT7" s="14"/>
      <c r="JQU7" s="14"/>
      <c r="JQV7" s="14"/>
      <c r="JQW7" s="14"/>
      <c r="JQX7" s="14"/>
      <c r="JQY7" s="14"/>
      <c r="JQZ7" s="14"/>
      <c r="JRA7" s="14"/>
      <c r="JRB7" s="14"/>
      <c r="JRC7" s="14"/>
      <c r="JRD7" s="14"/>
      <c r="JRE7" s="14"/>
      <c r="JRF7" s="14"/>
      <c r="JRG7" s="14"/>
      <c r="JRH7" s="14"/>
      <c r="JRI7" s="14"/>
      <c r="JRJ7" s="14"/>
      <c r="JRK7" s="14"/>
      <c r="JRL7" s="14"/>
      <c r="JRM7" s="14"/>
      <c r="JRN7" s="14"/>
      <c r="JRO7" s="14"/>
      <c r="JRP7" s="14"/>
      <c r="JRQ7" s="14"/>
      <c r="JRR7" s="14"/>
      <c r="JRS7" s="14"/>
      <c r="JRT7" s="14"/>
      <c r="JRU7" s="14"/>
      <c r="JRV7" s="14"/>
      <c r="JRW7" s="14"/>
      <c r="JRX7" s="14"/>
      <c r="JRY7" s="14"/>
      <c r="JRZ7" s="14"/>
      <c r="JSA7" s="14"/>
      <c r="JSB7" s="14"/>
      <c r="JSC7" s="14"/>
      <c r="JSD7" s="14"/>
      <c r="JSE7" s="14"/>
      <c r="JSF7" s="14"/>
      <c r="JSG7" s="14"/>
      <c r="JSH7" s="14"/>
      <c r="JSI7" s="14"/>
      <c r="JSJ7" s="14"/>
      <c r="JSK7" s="14"/>
      <c r="JSL7" s="14"/>
      <c r="JSM7" s="14"/>
      <c r="JSN7" s="14"/>
      <c r="JSO7" s="14"/>
      <c r="JSP7" s="14"/>
      <c r="JSQ7" s="14"/>
      <c r="JSR7" s="14"/>
      <c r="JSS7" s="14"/>
      <c r="JST7" s="14"/>
      <c r="JSU7" s="14"/>
      <c r="JSV7" s="14"/>
      <c r="JSW7" s="14"/>
      <c r="JSX7" s="14"/>
      <c r="JSY7" s="14"/>
      <c r="JSZ7" s="14"/>
      <c r="JTA7" s="14"/>
      <c r="JTB7" s="14"/>
      <c r="JTC7" s="14"/>
      <c r="JTD7" s="14"/>
      <c r="JTE7" s="14"/>
      <c r="JTF7" s="14"/>
      <c r="JTG7" s="14"/>
      <c r="JTH7" s="14"/>
      <c r="JTI7" s="14"/>
      <c r="JTJ7" s="14"/>
      <c r="JTK7" s="14"/>
      <c r="JTL7" s="14"/>
      <c r="JTM7" s="14"/>
      <c r="JTN7" s="14"/>
      <c r="JTO7" s="14"/>
      <c r="JTP7" s="14"/>
      <c r="JTQ7" s="14"/>
      <c r="JTR7" s="14"/>
      <c r="JTS7" s="14"/>
      <c r="JTT7" s="14"/>
      <c r="JTU7" s="14"/>
      <c r="JTV7" s="14"/>
      <c r="JTW7" s="14"/>
      <c r="JTX7" s="14"/>
      <c r="JTY7" s="14"/>
      <c r="JTZ7" s="14"/>
      <c r="JUA7" s="14"/>
      <c r="JUB7" s="14"/>
      <c r="JUC7" s="14"/>
      <c r="JUD7" s="14"/>
      <c r="JUE7" s="14"/>
      <c r="JUF7" s="14"/>
      <c r="JUG7" s="14"/>
      <c r="JUH7" s="14"/>
      <c r="JUI7" s="14"/>
      <c r="JUJ7" s="14"/>
      <c r="JUK7" s="14"/>
      <c r="JUL7" s="14"/>
      <c r="JUM7" s="14"/>
      <c r="JUN7" s="14"/>
      <c r="JUO7" s="14"/>
      <c r="JUP7" s="14"/>
      <c r="JUQ7" s="14"/>
      <c r="JUR7" s="14"/>
      <c r="JUS7" s="14"/>
      <c r="JUT7" s="14"/>
      <c r="JUU7" s="14"/>
      <c r="JUV7" s="14"/>
      <c r="JUW7" s="14"/>
      <c r="JUX7" s="14"/>
      <c r="JUY7" s="14"/>
      <c r="JUZ7" s="14"/>
      <c r="JVA7" s="14"/>
      <c r="JVB7" s="14"/>
      <c r="JVC7" s="14"/>
      <c r="JVD7" s="14"/>
      <c r="JVE7" s="14"/>
      <c r="JVF7" s="14"/>
      <c r="JVG7" s="14"/>
      <c r="JVH7" s="14"/>
      <c r="JVI7" s="14"/>
      <c r="JVJ7" s="14"/>
      <c r="JVK7" s="14"/>
      <c r="JVL7" s="14"/>
      <c r="JVM7" s="14"/>
      <c r="JVN7" s="14"/>
      <c r="JVO7" s="14"/>
      <c r="JVP7" s="14"/>
      <c r="JVQ7" s="14"/>
      <c r="JVR7" s="14"/>
      <c r="JVS7" s="14"/>
      <c r="JVT7" s="14"/>
      <c r="JVU7" s="14"/>
      <c r="JVV7" s="14"/>
      <c r="JVW7" s="14"/>
      <c r="JVX7" s="14"/>
      <c r="JVY7" s="14"/>
      <c r="JVZ7" s="14"/>
      <c r="JWA7" s="14"/>
      <c r="JWB7" s="14"/>
      <c r="JWC7" s="14"/>
      <c r="JWD7" s="14"/>
      <c r="JWE7" s="14"/>
      <c r="JWF7" s="14"/>
      <c r="JWG7" s="14"/>
      <c r="JWH7" s="14"/>
      <c r="JWI7" s="14"/>
      <c r="JWJ7" s="14"/>
      <c r="JWK7" s="14"/>
      <c r="JWL7" s="14"/>
      <c r="JWM7" s="14"/>
      <c r="JWN7" s="14"/>
      <c r="JWO7" s="14"/>
      <c r="JWP7" s="14"/>
      <c r="JWQ7" s="14"/>
      <c r="JWR7" s="14"/>
      <c r="JWS7" s="14"/>
      <c r="JWT7" s="14"/>
      <c r="JWU7" s="14"/>
      <c r="JWV7" s="14"/>
      <c r="JWW7" s="14"/>
      <c r="JWX7" s="14"/>
      <c r="JWY7" s="14"/>
      <c r="JWZ7" s="14"/>
      <c r="JXA7" s="14"/>
      <c r="JXB7" s="14"/>
      <c r="JXC7" s="14"/>
      <c r="JXD7" s="14"/>
      <c r="JXE7" s="14"/>
      <c r="JXF7" s="14"/>
      <c r="JXG7" s="14"/>
      <c r="JXH7" s="14"/>
      <c r="JXI7" s="14"/>
      <c r="JXJ7" s="14"/>
      <c r="JXK7" s="14"/>
      <c r="JXL7" s="14"/>
      <c r="JXM7" s="14"/>
      <c r="JXN7" s="14"/>
      <c r="JXO7" s="14"/>
      <c r="JXP7" s="14"/>
      <c r="JXQ7" s="14"/>
      <c r="JXR7" s="14"/>
      <c r="JXS7" s="14"/>
      <c r="JXT7" s="14"/>
      <c r="JXU7" s="14"/>
      <c r="JXV7" s="14"/>
      <c r="JXW7" s="14"/>
      <c r="JXX7" s="14"/>
      <c r="JXY7" s="14"/>
      <c r="JXZ7" s="14"/>
      <c r="JYA7" s="14"/>
      <c r="JYB7" s="14"/>
      <c r="JYC7" s="14"/>
      <c r="JYD7" s="14"/>
      <c r="JYE7" s="14"/>
      <c r="JYF7" s="14"/>
      <c r="JYG7" s="14"/>
      <c r="JYH7" s="14"/>
      <c r="JYI7" s="14"/>
      <c r="JYJ7" s="14"/>
      <c r="JYK7" s="14"/>
      <c r="JYL7" s="14"/>
      <c r="JYM7" s="14"/>
      <c r="JYN7" s="14"/>
      <c r="JYO7" s="14"/>
      <c r="JYP7" s="14"/>
      <c r="JYQ7" s="14"/>
      <c r="JYR7" s="14"/>
      <c r="JYS7" s="14"/>
      <c r="JYT7" s="14"/>
      <c r="JYU7" s="14"/>
      <c r="JYV7" s="14"/>
      <c r="JYW7" s="14"/>
      <c r="JYX7" s="14"/>
      <c r="JYY7" s="14"/>
      <c r="JYZ7" s="14"/>
      <c r="JZA7" s="14"/>
      <c r="JZB7" s="14"/>
      <c r="JZC7" s="14"/>
      <c r="JZD7" s="14"/>
      <c r="JZE7" s="14"/>
      <c r="JZF7" s="14"/>
      <c r="JZG7" s="14"/>
      <c r="JZH7" s="14"/>
      <c r="JZI7" s="14"/>
      <c r="JZJ7" s="14"/>
      <c r="JZK7" s="14"/>
      <c r="JZL7" s="14"/>
      <c r="JZM7" s="14"/>
      <c r="JZN7" s="14"/>
      <c r="JZO7" s="14"/>
      <c r="JZP7" s="14"/>
      <c r="JZQ7" s="14"/>
      <c r="JZR7" s="14"/>
      <c r="JZS7" s="14"/>
      <c r="JZT7" s="14"/>
      <c r="JZU7" s="14"/>
      <c r="JZV7" s="14"/>
      <c r="JZW7" s="14"/>
      <c r="JZX7" s="14"/>
      <c r="JZY7" s="14"/>
      <c r="JZZ7" s="14"/>
      <c r="KAA7" s="14"/>
      <c r="KAB7" s="14"/>
      <c r="KAC7" s="14"/>
      <c r="KAD7" s="14"/>
      <c r="KAE7" s="14"/>
      <c r="KAF7" s="14"/>
      <c r="KAG7" s="14"/>
      <c r="KAH7" s="14"/>
      <c r="KAI7" s="14"/>
      <c r="KAJ7" s="14"/>
      <c r="KAK7" s="14"/>
      <c r="KAL7" s="14"/>
      <c r="KAM7" s="14"/>
      <c r="KAN7" s="14"/>
      <c r="KAO7" s="14"/>
      <c r="KAP7" s="14"/>
      <c r="KAQ7" s="14"/>
      <c r="KAR7" s="14"/>
      <c r="KAS7" s="14"/>
      <c r="KAT7" s="14"/>
      <c r="KAU7" s="14"/>
      <c r="KAV7" s="14"/>
      <c r="KAW7" s="14"/>
      <c r="KAX7" s="14"/>
      <c r="KAY7" s="14"/>
      <c r="KAZ7" s="14"/>
      <c r="KBA7" s="14"/>
      <c r="KBB7" s="14"/>
      <c r="KBC7" s="14"/>
      <c r="KBD7" s="14"/>
      <c r="KBE7" s="14"/>
      <c r="KBF7" s="14"/>
      <c r="KBG7" s="14"/>
      <c r="KBH7" s="14"/>
      <c r="KBI7" s="14"/>
      <c r="KBJ7" s="14"/>
      <c r="KBK7" s="14"/>
      <c r="KBL7" s="14"/>
      <c r="KBM7" s="14"/>
      <c r="KBN7" s="14"/>
      <c r="KBO7" s="14"/>
      <c r="KBP7" s="14"/>
      <c r="KBQ7" s="14"/>
      <c r="KBR7" s="14"/>
      <c r="KBS7" s="14"/>
      <c r="KBT7" s="14"/>
      <c r="KBU7" s="14"/>
      <c r="KBV7" s="14"/>
      <c r="KBW7" s="14"/>
      <c r="KBX7" s="14"/>
      <c r="KBY7" s="14"/>
      <c r="KBZ7" s="14"/>
      <c r="KCA7" s="14"/>
      <c r="KCB7" s="14"/>
      <c r="KCC7" s="14"/>
      <c r="KCD7" s="14"/>
      <c r="KCE7" s="14"/>
      <c r="KCF7" s="14"/>
      <c r="KCG7" s="14"/>
      <c r="KCH7" s="14"/>
      <c r="KCI7" s="14"/>
      <c r="KCJ7" s="14"/>
      <c r="KCK7" s="14"/>
      <c r="KCL7" s="14"/>
      <c r="KCM7" s="14"/>
      <c r="KCN7" s="14"/>
      <c r="KCO7" s="14"/>
      <c r="KCP7" s="14"/>
      <c r="KCQ7" s="14"/>
      <c r="KCR7" s="14"/>
      <c r="KCS7" s="14"/>
      <c r="KCT7" s="14"/>
      <c r="KCU7" s="14"/>
      <c r="KCV7" s="14"/>
      <c r="KCW7" s="14"/>
      <c r="KCX7" s="14"/>
      <c r="KCY7" s="14"/>
      <c r="KCZ7" s="14"/>
      <c r="KDA7" s="14"/>
      <c r="KDB7" s="14"/>
      <c r="KDC7" s="14"/>
      <c r="KDD7" s="14"/>
      <c r="KDE7" s="14"/>
      <c r="KDF7" s="14"/>
      <c r="KDG7" s="14"/>
      <c r="KDH7" s="14"/>
      <c r="KDI7" s="14"/>
      <c r="KDJ7" s="14"/>
      <c r="KDK7" s="14"/>
      <c r="KDL7" s="14"/>
      <c r="KDM7" s="14"/>
      <c r="KDN7" s="14"/>
      <c r="KDO7" s="14"/>
      <c r="KDP7" s="14"/>
      <c r="KDQ7" s="14"/>
      <c r="KDR7" s="14"/>
      <c r="KDS7" s="14"/>
      <c r="KDT7" s="14"/>
      <c r="KDU7" s="14"/>
      <c r="KDV7" s="14"/>
      <c r="KDW7" s="14"/>
      <c r="KDX7" s="14"/>
      <c r="KDY7" s="14"/>
      <c r="KDZ7" s="14"/>
      <c r="KEA7" s="14"/>
      <c r="KEB7" s="14"/>
      <c r="KEC7" s="14"/>
      <c r="KED7" s="14"/>
      <c r="KEE7" s="14"/>
      <c r="KEF7" s="14"/>
      <c r="KEG7" s="14"/>
      <c r="KEH7" s="14"/>
      <c r="KEI7" s="14"/>
      <c r="KEJ7" s="14"/>
      <c r="KEK7" s="14"/>
      <c r="KEL7" s="14"/>
      <c r="KEM7" s="14"/>
      <c r="KEN7" s="14"/>
      <c r="KEO7" s="14"/>
      <c r="KEP7" s="14"/>
      <c r="KEQ7" s="14"/>
      <c r="KER7" s="14"/>
      <c r="KES7" s="14"/>
      <c r="KET7" s="14"/>
      <c r="KEU7" s="14"/>
      <c r="KEV7" s="14"/>
      <c r="KEW7" s="14"/>
      <c r="KEX7" s="14"/>
      <c r="KEY7" s="14"/>
      <c r="KEZ7" s="14"/>
      <c r="KFA7" s="14"/>
      <c r="KFB7" s="14"/>
      <c r="KFC7" s="14"/>
      <c r="KFD7" s="14"/>
      <c r="KFE7" s="14"/>
      <c r="KFF7" s="14"/>
      <c r="KFG7" s="14"/>
      <c r="KFH7" s="14"/>
      <c r="KFI7" s="14"/>
      <c r="KFJ7" s="14"/>
      <c r="KFK7" s="14"/>
      <c r="KFL7" s="14"/>
      <c r="KFM7" s="14"/>
      <c r="KFN7" s="14"/>
      <c r="KFO7" s="14"/>
      <c r="KFP7" s="14"/>
      <c r="KFQ7" s="14"/>
      <c r="KFR7" s="14"/>
      <c r="KFS7" s="14"/>
      <c r="KFT7" s="14"/>
      <c r="KFU7" s="14"/>
      <c r="KFV7" s="14"/>
      <c r="KFW7" s="14"/>
      <c r="KFX7" s="14"/>
      <c r="KFY7" s="14"/>
      <c r="KFZ7" s="14"/>
      <c r="KGA7" s="14"/>
      <c r="KGB7" s="14"/>
      <c r="KGC7" s="14"/>
      <c r="KGD7" s="14"/>
      <c r="KGE7" s="14"/>
      <c r="KGF7" s="14"/>
      <c r="KGG7" s="14"/>
      <c r="KGH7" s="14"/>
      <c r="KGI7" s="14"/>
      <c r="KGJ7" s="14"/>
      <c r="KGK7" s="14"/>
      <c r="KGL7" s="14"/>
      <c r="KGM7" s="14"/>
      <c r="KGN7" s="14"/>
      <c r="KGO7" s="14"/>
      <c r="KGP7" s="14"/>
      <c r="KGQ7" s="14"/>
      <c r="KGR7" s="14"/>
      <c r="KGS7" s="14"/>
      <c r="KGT7" s="14"/>
      <c r="KGU7" s="14"/>
      <c r="KGV7" s="14"/>
      <c r="KGW7" s="14"/>
      <c r="KGX7" s="14"/>
      <c r="KGY7" s="14"/>
      <c r="KGZ7" s="14"/>
      <c r="KHA7" s="14"/>
      <c r="KHB7" s="14"/>
      <c r="KHC7" s="14"/>
      <c r="KHD7" s="14"/>
      <c r="KHE7" s="14"/>
      <c r="KHF7" s="14"/>
      <c r="KHG7" s="14"/>
      <c r="KHH7" s="14"/>
      <c r="KHI7" s="14"/>
      <c r="KHJ7" s="14"/>
      <c r="KHK7" s="14"/>
      <c r="KHL7" s="14"/>
      <c r="KHM7" s="14"/>
      <c r="KHN7" s="14"/>
      <c r="KHO7" s="14"/>
      <c r="KHP7" s="14"/>
      <c r="KHQ7" s="14"/>
      <c r="KHR7" s="14"/>
      <c r="KHS7" s="14"/>
      <c r="KHT7" s="14"/>
      <c r="KHU7" s="14"/>
      <c r="KHV7" s="14"/>
      <c r="KHW7" s="14"/>
      <c r="KHX7" s="14"/>
      <c r="KHY7" s="14"/>
      <c r="KHZ7" s="14"/>
      <c r="KIA7" s="14"/>
      <c r="KIB7" s="14"/>
      <c r="KIC7" s="14"/>
      <c r="KID7" s="14"/>
      <c r="KIE7" s="14"/>
      <c r="KIF7" s="14"/>
      <c r="KIG7" s="14"/>
      <c r="KIH7" s="14"/>
      <c r="KII7" s="14"/>
      <c r="KIJ7" s="14"/>
      <c r="KIK7" s="14"/>
      <c r="KIL7" s="14"/>
      <c r="KIM7" s="14"/>
      <c r="KIN7" s="14"/>
      <c r="KIO7" s="14"/>
      <c r="KIP7" s="14"/>
      <c r="KIQ7" s="14"/>
      <c r="KIR7" s="14"/>
      <c r="KIS7" s="14"/>
      <c r="KIT7" s="14"/>
      <c r="KIU7" s="14"/>
      <c r="KIV7" s="14"/>
      <c r="KIW7" s="14"/>
      <c r="KIX7" s="14"/>
      <c r="KIY7" s="14"/>
      <c r="KIZ7" s="14"/>
      <c r="KJA7" s="14"/>
      <c r="KJB7" s="14"/>
      <c r="KJC7" s="14"/>
      <c r="KJD7" s="14"/>
      <c r="KJE7" s="14"/>
      <c r="KJF7" s="14"/>
      <c r="KJG7" s="14"/>
      <c r="KJH7" s="14"/>
      <c r="KJI7" s="14"/>
      <c r="KJJ7" s="14"/>
      <c r="KJK7" s="14"/>
      <c r="KJL7" s="14"/>
      <c r="KJM7" s="14"/>
      <c r="KJN7" s="14"/>
      <c r="KJO7" s="14"/>
      <c r="KJP7" s="14"/>
      <c r="KJQ7" s="14"/>
      <c r="KJR7" s="14"/>
      <c r="KJS7" s="14"/>
      <c r="KJT7" s="14"/>
      <c r="KJU7" s="14"/>
      <c r="KJV7" s="14"/>
      <c r="KJW7" s="14"/>
      <c r="KJX7" s="14"/>
      <c r="KJY7" s="14"/>
      <c r="KJZ7" s="14"/>
      <c r="KKA7" s="14"/>
      <c r="KKB7" s="14"/>
      <c r="KKC7" s="14"/>
      <c r="KKD7" s="14"/>
      <c r="KKE7" s="14"/>
      <c r="KKF7" s="14"/>
      <c r="KKG7" s="14"/>
      <c r="KKH7" s="14"/>
      <c r="KKI7" s="14"/>
      <c r="KKJ7" s="14"/>
      <c r="KKK7" s="14"/>
      <c r="KKL7" s="14"/>
      <c r="KKM7" s="14"/>
      <c r="KKN7" s="14"/>
      <c r="KKO7" s="14"/>
      <c r="KKP7" s="14"/>
      <c r="KKQ7" s="14"/>
      <c r="KKR7" s="14"/>
      <c r="KKS7" s="14"/>
      <c r="KKT7" s="14"/>
      <c r="KKU7" s="14"/>
      <c r="KKV7" s="14"/>
      <c r="KKW7" s="14"/>
      <c r="KKX7" s="14"/>
      <c r="KKY7" s="14"/>
      <c r="KKZ7" s="14"/>
      <c r="KLA7" s="14"/>
      <c r="KLB7" s="14"/>
      <c r="KLC7" s="14"/>
      <c r="KLD7" s="14"/>
      <c r="KLE7" s="14"/>
      <c r="KLF7" s="14"/>
      <c r="KLG7" s="14"/>
      <c r="KLH7" s="14"/>
      <c r="KLI7" s="14"/>
      <c r="KLJ7" s="14"/>
      <c r="KLK7" s="14"/>
      <c r="KLL7" s="14"/>
      <c r="KLM7" s="14"/>
      <c r="KLN7" s="14"/>
      <c r="KLO7" s="14"/>
      <c r="KLP7" s="14"/>
      <c r="KLQ7" s="14"/>
      <c r="KLR7" s="14"/>
      <c r="KLS7" s="14"/>
      <c r="KLT7" s="14"/>
      <c r="KLU7" s="14"/>
      <c r="KLV7" s="14"/>
      <c r="KLW7" s="14"/>
      <c r="KLX7" s="14"/>
      <c r="KLY7" s="14"/>
      <c r="KLZ7" s="14"/>
      <c r="KMA7" s="14"/>
      <c r="KMB7" s="14"/>
      <c r="KMC7" s="14"/>
      <c r="KMD7" s="14"/>
      <c r="KME7" s="14"/>
      <c r="KMF7" s="14"/>
      <c r="KMG7" s="14"/>
      <c r="KMH7" s="14"/>
      <c r="KMI7" s="14"/>
      <c r="KMJ7" s="14"/>
      <c r="KMK7" s="14"/>
      <c r="KML7" s="14"/>
      <c r="KMM7" s="14"/>
      <c r="KMN7" s="14"/>
      <c r="KMO7" s="14"/>
      <c r="KMP7" s="14"/>
      <c r="KMQ7" s="14"/>
      <c r="KMR7" s="14"/>
      <c r="KMS7" s="14"/>
      <c r="KMT7" s="14"/>
      <c r="KMU7" s="14"/>
      <c r="KMV7" s="14"/>
      <c r="KMW7" s="14"/>
      <c r="KMX7" s="14"/>
      <c r="KMY7" s="14"/>
      <c r="KMZ7" s="14"/>
      <c r="KNA7" s="14"/>
      <c r="KNB7" s="14"/>
      <c r="KNC7" s="14"/>
      <c r="KND7" s="14"/>
      <c r="KNE7" s="14"/>
      <c r="KNF7" s="14"/>
      <c r="KNG7" s="14"/>
      <c r="KNH7" s="14"/>
      <c r="KNI7" s="14"/>
      <c r="KNJ7" s="14"/>
      <c r="KNK7" s="14"/>
      <c r="KNL7" s="14"/>
      <c r="KNM7" s="14"/>
      <c r="KNN7" s="14"/>
      <c r="KNO7" s="14"/>
      <c r="KNP7" s="14"/>
      <c r="KNQ7" s="14"/>
      <c r="KNR7" s="14"/>
      <c r="KNS7" s="14"/>
      <c r="KNT7" s="14"/>
      <c r="KNU7" s="14"/>
      <c r="KNV7" s="14"/>
      <c r="KNW7" s="14"/>
      <c r="KNX7" s="14"/>
      <c r="KNY7" s="14"/>
      <c r="KNZ7" s="14"/>
      <c r="KOA7" s="14"/>
      <c r="KOB7" s="14"/>
      <c r="KOC7" s="14"/>
      <c r="KOD7" s="14"/>
      <c r="KOE7" s="14"/>
      <c r="KOF7" s="14"/>
      <c r="KOG7" s="14"/>
      <c r="KOH7" s="14"/>
      <c r="KOI7" s="14"/>
      <c r="KOJ7" s="14"/>
      <c r="KOK7" s="14"/>
      <c r="KOL7" s="14"/>
      <c r="KOM7" s="14"/>
      <c r="KON7" s="14"/>
      <c r="KOO7" s="14"/>
      <c r="KOP7" s="14"/>
      <c r="KOQ7" s="14"/>
      <c r="KOR7" s="14"/>
      <c r="KOS7" s="14"/>
      <c r="KOT7" s="14"/>
      <c r="KOU7" s="14"/>
      <c r="KOV7" s="14"/>
      <c r="KOW7" s="14"/>
      <c r="KOX7" s="14"/>
      <c r="KOY7" s="14"/>
      <c r="KOZ7" s="14"/>
      <c r="KPA7" s="14"/>
      <c r="KPB7" s="14"/>
      <c r="KPC7" s="14"/>
      <c r="KPD7" s="14"/>
      <c r="KPE7" s="14"/>
      <c r="KPF7" s="14"/>
      <c r="KPG7" s="14"/>
      <c r="KPH7" s="14"/>
      <c r="KPI7" s="14"/>
      <c r="KPJ7" s="14"/>
      <c r="KPK7" s="14"/>
      <c r="KPL7" s="14"/>
      <c r="KPM7" s="14"/>
      <c r="KPN7" s="14"/>
      <c r="KPO7" s="14"/>
      <c r="KPP7" s="14"/>
      <c r="KPQ7" s="14"/>
      <c r="KPR7" s="14"/>
      <c r="KPS7" s="14"/>
      <c r="KPT7" s="14"/>
      <c r="KPU7" s="14"/>
      <c r="KPV7" s="14"/>
      <c r="KPW7" s="14"/>
      <c r="KPX7" s="14"/>
      <c r="KPY7" s="14"/>
      <c r="KPZ7" s="14"/>
      <c r="KQA7" s="14"/>
      <c r="KQB7" s="14"/>
      <c r="KQC7" s="14"/>
      <c r="KQD7" s="14"/>
      <c r="KQE7" s="14"/>
      <c r="KQF7" s="14"/>
      <c r="KQG7" s="14"/>
      <c r="KQH7" s="14"/>
      <c r="KQI7" s="14"/>
      <c r="KQJ7" s="14"/>
      <c r="KQK7" s="14"/>
      <c r="KQL7" s="14"/>
      <c r="KQM7" s="14"/>
      <c r="KQN7" s="14"/>
      <c r="KQO7" s="14"/>
      <c r="KQP7" s="14"/>
      <c r="KQQ7" s="14"/>
      <c r="KQR7" s="14"/>
      <c r="KQS7" s="14"/>
      <c r="KQT7" s="14"/>
      <c r="KQU7" s="14"/>
      <c r="KQV7" s="14"/>
      <c r="KQW7" s="14"/>
      <c r="KQX7" s="14"/>
      <c r="KQY7" s="14"/>
      <c r="KQZ7" s="14"/>
      <c r="KRA7" s="14"/>
      <c r="KRB7" s="14"/>
      <c r="KRC7" s="14"/>
      <c r="KRD7" s="14"/>
      <c r="KRE7" s="14"/>
      <c r="KRF7" s="14"/>
      <c r="KRG7" s="14"/>
      <c r="KRH7" s="14"/>
      <c r="KRI7" s="14"/>
      <c r="KRJ7" s="14"/>
      <c r="KRK7" s="14"/>
      <c r="KRL7" s="14"/>
      <c r="KRM7" s="14"/>
      <c r="KRN7" s="14"/>
      <c r="KRO7" s="14"/>
      <c r="KRP7" s="14"/>
      <c r="KRQ7" s="14"/>
      <c r="KRR7" s="14"/>
      <c r="KRS7" s="14"/>
      <c r="KRT7" s="14"/>
      <c r="KRU7" s="14"/>
      <c r="KRV7" s="14"/>
      <c r="KRW7" s="14"/>
      <c r="KRX7" s="14"/>
      <c r="KRY7" s="14"/>
      <c r="KRZ7" s="14"/>
      <c r="KSA7" s="14"/>
      <c r="KSB7" s="14"/>
      <c r="KSC7" s="14"/>
      <c r="KSD7" s="14"/>
      <c r="KSE7" s="14"/>
      <c r="KSF7" s="14"/>
      <c r="KSG7" s="14"/>
      <c r="KSH7" s="14"/>
      <c r="KSI7" s="14"/>
      <c r="KSJ7" s="14"/>
      <c r="KSK7" s="14"/>
      <c r="KSL7" s="14"/>
      <c r="KSM7" s="14"/>
      <c r="KSN7" s="14"/>
      <c r="KSO7" s="14"/>
      <c r="KSP7" s="14"/>
      <c r="KSQ7" s="14"/>
      <c r="KSR7" s="14"/>
      <c r="KSS7" s="14"/>
      <c r="KST7" s="14"/>
      <c r="KSU7" s="14"/>
      <c r="KSV7" s="14"/>
      <c r="KSW7" s="14"/>
      <c r="KSX7" s="14"/>
      <c r="KSY7" s="14"/>
      <c r="KSZ7" s="14"/>
      <c r="KTA7" s="14"/>
      <c r="KTB7" s="14"/>
      <c r="KTC7" s="14"/>
      <c r="KTD7" s="14"/>
      <c r="KTE7" s="14"/>
      <c r="KTF7" s="14"/>
      <c r="KTG7" s="14"/>
      <c r="KTH7" s="14"/>
      <c r="KTI7" s="14"/>
      <c r="KTJ7" s="14"/>
      <c r="KTK7" s="14"/>
      <c r="KTL7" s="14"/>
      <c r="KTM7" s="14"/>
      <c r="KTN7" s="14"/>
      <c r="KTO7" s="14"/>
      <c r="KTP7" s="14"/>
      <c r="KTQ7" s="14"/>
      <c r="KTR7" s="14"/>
      <c r="KTS7" s="14"/>
      <c r="KTT7" s="14"/>
      <c r="KTU7" s="14"/>
      <c r="KTV7" s="14"/>
      <c r="KTW7" s="14"/>
      <c r="KTX7" s="14"/>
      <c r="KTY7" s="14"/>
      <c r="KTZ7" s="14"/>
      <c r="KUA7" s="14"/>
      <c r="KUB7" s="14"/>
      <c r="KUC7" s="14"/>
      <c r="KUD7" s="14"/>
      <c r="KUE7" s="14"/>
      <c r="KUF7" s="14"/>
      <c r="KUG7" s="14"/>
      <c r="KUH7" s="14"/>
      <c r="KUI7" s="14"/>
      <c r="KUJ7" s="14"/>
      <c r="KUK7" s="14"/>
      <c r="KUL7" s="14"/>
      <c r="KUM7" s="14"/>
      <c r="KUN7" s="14"/>
      <c r="KUO7" s="14"/>
      <c r="KUP7" s="14"/>
      <c r="KUQ7" s="14"/>
      <c r="KUR7" s="14"/>
      <c r="KUS7" s="14"/>
      <c r="KUT7" s="14"/>
      <c r="KUU7" s="14"/>
      <c r="KUV7" s="14"/>
      <c r="KUW7" s="14"/>
      <c r="KUX7" s="14"/>
      <c r="KUY7" s="14"/>
      <c r="KUZ7" s="14"/>
      <c r="KVA7" s="14"/>
      <c r="KVB7" s="14"/>
      <c r="KVC7" s="14"/>
      <c r="KVD7" s="14"/>
      <c r="KVE7" s="14"/>
      <c r="KVF7" s="14"/>
      <c r="KVG7" s="14"/>
      <c r="KVH7" s="14"/>
      <c r="KVI7" s="14"/>
      <c r="KVJ7" s="14"/>
      <c r="KVK7" s="14"/>
      <c r="KVL7" s="14"/>
      <c r="KVM7" s="14"/>
      <c r="KVN7" s="14"/>
      <c r="KVO7" s="14"/>
      <c r="KVP7" s="14"/>
      <c r="KVQ7" s="14"/>
      <c r="KVR7" s="14"/>
      <c r="KVS7" s="14"/>
      <c r="KVT7" s="14"/>
      <c r="KVU7" s="14"/>
      <c r="KVV7" s="14"/>
      <c r="KVW7" s="14"/>
      <c r="KVX7" s="14"/>
      <c r="KVY7" s="14"/>
      <c r="KVZ7" s="14"/>
      <c r="KWA7" s="14"/>
      <c r="KWB7" s="14"/>
      <c r="KWC7" s="14"/>
      <c r="KWD7" s="14"/>
      <c r="KWE7" s="14"/>
      <c r="KWF7" s="14"/>
      <c r="KWG7" s="14"/>
      <c r="KWH7" s="14"/>
      <c r="KWI7" s="14"/>
      <c r="KWJ7" s="14"/>
      <c r="KWK7" s="14"/>
      <c r="KWL7" s="14"/>
      <c r="KWM7" s="14"/>
      <c r="KWN7" s="14"/>
      <c r="KWO7" s="14"/>
      <c r="KWP7" s="14"/>
      <c r="KWQ7" s="14"/>
      <c r="KWR7" s="14"/>
      <c r="KWS7" s="14"/>
      <c r="KWT7" s="14"/>
      <c r="KWU7" s="14"/>
      <c r="KWV7" s="14"/>
      <c r="KWW7" s="14"/>
      <c r="KWX7" s="14"/>
      <c r="KWY7" s="14"/>
      <c r="KWZ7" s="14"/>
      <c r="KXA7" s="14"/>
      <c r="KXB7" s="14"/>
      <c r="KXC7" s="14"/>
      <c r="KXD7" s="14"/>
      <c r="KXE7" s="14"/>
      <c r="KXF7" s="14"/>
      <c r="KXG7" s="14"/>
      <c r="KXH7" s="14"/>
      <c r="KXI7" s="14"/>
      <c r="KXJ7" s="14"/>
      <c r="KXK7" s="14"/>
      <c r="KXL7" s="14"/>
      <c r="KXM7" s="14"/>
      <c r="KXN7" s="14"/>
      <c r="KXO7" s="14"/>
      <c r="KXP7" s="14"/>
      <c r="KXQ7" s="14"/>
      <c r="KXR7" s="14"/>
      <c r="KXS7" s="14"/>
      <c r="KXT7" s="14"/>
      <c r="KXU7" s="14"/>
      <c r="KXV7" s="14"/>
      <c r="KXW7" s="14"/>
      <c r="KXX7" s="14"/>
      <c r="KXY7" s="14"/>
      <c r="KXZ7" s="14"/>
      <c r="KYA7" s="14"/>
      <c r="KYB7" s="14"/>
      <c r="KYC7" s="14"/>
      <c r="KYD7" s="14"/>
      <c r="KYE7" s="14"/>
      <c r="KYF7" s="14"/>
      <c r="KYG7" s="14"/>
      <c r="KYH7" s="14"/>
      <c r="KYI7" s="14"/>
      <c r="KYJ7" s="14"/>
      <c r="KYK7" s="14"/>
      <c r="KYL7" s="14"/>
      <c r="KYM7" s="14"/>
      <c r="KYN7" s="14"/>
      <c r="KYO7" s="14"/>
      <c r="KYP7" s="14"/>
      <c r="KYQ7" s="14"/>
      <c r="KYR7" s="14"/>
      <c r="KYS7" s="14"/>
      <c r="KYT7" s="14"/>
      <c r="KYU7" s="14"/>
      <c r="KYV7" s="14"/>
      <c r="KYW7" s="14"/>
      <c r="KYX7" s="14"/>
      <c r="KYY7" s="14"/>
      <c r="KYZ7" s="14"/>
      <c r="KZA7" s="14"/>
      <c r="KZB7" s="14"/>
      <c r="KZC7" s="14"/>
      <c r="KZD7" s="14"/>
      <c r="KZE7" s="14"/>
      <c r="KZF7" s="14"/>
      <c r="KZG7" s="14"/>
      <c r="KZH7" s="14"/>
      <c r="KZI7" s="14"/>
      <c r="KZJ7" s="14"/>
      <c r="KZK7" s="14"/>
      <c r="KZL7" s="14"/>
      <c r="KZM7" s="14"/>
      <c r="KZN7" s="14"/>
      <c r="KZO7" s="14"/>
      <c r="KZP7" s="14"/>
      <c r="KZQ7" s="14"/>
      <c r="KZR7" s="14"/>
      <c r="KZS7" s="14"/>
      <c r="KZT7" s="14"/>
      <c r="KZU7" s="14"/>
      <c r="KZV7" s="14"/>
      <c r="KZW7" s="14"/>
      <c r="KZX7" s="14"/>
      <c r="KZY7" s="14"/>
      <c r="KZZ7" s="14"/>
      <c r="LAA7" s="14"/>
      <c r="LAB7" s="14"/>
      <c r="LAC7" s="14"/>
      <c r="LAD7" s="14"/>
      <c r="LAE7" s="14"/>
      <c r="LAF7" s="14"/>
      <c r="LAG7" s="14"/>
      <c r="LAH7" s="14"/>
      <c r="LAI7" s="14"/>
      <c r="LAJ7" s="14"/>
      <c r="LAK7" s="14"/>
      <c r="LAL7" s="14"/>
      <c r="LAM7" s="14"/>
      <c r="LAN7" s="14"/>
      <c r="LAO7" s="14"/>
      <c r="LAP7" s="14"/>
      <c r="LAQ7" s="14"/>
      <c r="LAR7" s="14"/>
      <c r="LAS7" s="14"/>
      <c r="LAT7" s="14"/>
      <c r="LAU7" s="14"/>
      <c r="LAV7" s="14"/>
      <c r="LAW7" s="14"/>
      <c r="LAX7" s="14"/>
      <c r="LAY7" s="14"/>
      <c r="LAZ7" s="14"/>
      <c r="LBA7" s="14"/>
      <c r="LBB7" s="14"/>
      <c r="LBC7" s="14"/>
      <c r="LBD7" s="14"/>
      <c r="LBE7" s="14"/>
      <c r="LBF7" s="14"/>
      <c r="LBG7" s="14"/>
      <c r="LBH7" s="14"/>
      <c r="LBI7" s="14"/>
      <c r="LBJ7" s="14"/>
      <c r="LBK7" s="14"/>
      <c r="LBL7" s="14"/>
      <c r="LBM7" s="14"/>
      <c r="LBN7" s="14"/>
      <c r="LBO7" s="14"/>
      <c r="LBP7" s="14"/>
      <c r="LBQ7" s="14"/>
      <c r="LBR7" s="14"/>
      <c r="LBS7" s="14"/>
      <c r="LBT7" s="14"/>
      <c r="LBU7" s="14"/>
      <c r="LBV7" s="14"/>
      <c r="LBW7" s="14"/>
      <c r="LBX7" s="14"/>
      <c r="LBY7" s="14"/>
      <c r="LBZ7" s="14"/>
      <c r="LCA7" s="14"/>
      <c r="LCB7" s="14"/>
      <c r="LCC7" s="14"/>
      <c r="LCD7" s="14"/>
      <c r="LCE7" s="14"/>
      <c r="LCF7" s="14"/>
      <c r="LCG7" s="14"/>
      <c r="LCH7" s="14"/>
      <c r="LCI7" s="14"/>
      <c r="LCJ7" s="14"/>
      <c r="LCK7" s="14"/>
      <c r="LCL7" s="14"/>
      <c r="LCM7" s="14"/>
      <c r="LCN7" s="14"/>
      <c r="LCO7" s="14"/>
      <c r="LCP7" s="14"/>
      <c r="LCQ7" s="14"/>
      <c r="LCR7" s="14"/>
      <c r="LCS7" s="14"/>
      <c r="LCT7" s="14"/>
      <c r="LCU7" s="14"/>
      <c r="LCV7" s="14"/>
      <c r="LCW7" s="14"/>
      <c r="LCX7" s="14"/>
      <c r="LCY7" s="14"/>
      <c r="LCZ7" s="14"/>
      <c r="LDA7" s="14"/>
      <c r="LDB7" s="14"/>
      <c r="LDC7" s="14"/>
      <c r="LDD7" s="14"/>
      <c r="LDE7" s="14"/>
      <c r="LDF7" s="14"/>
      <c r="LDG7" s="14"/>
      <c r="LDH7" s="14"/>
      <c r="LDI7" s="14"/>
      <c r="LDJ7" s="14"/>
      <c r="LDK7" s="14"/>
      <c r="LDL7" s="14"/>
      <c r="LDM7" s="14"/>
      <c r="LDN7" s="14"/>
      <c r="LDO7" s="14"/>
      <c r="LDP7" s="14"/>
      <c r="LDQ7" s="14"/>
      <c r="LDR7" s="14"/>
      <c r="LDS7" s="14"/>
      <c r="LDT7" s="14"/>
      <c r="LDU7" s="14"/>
      <c r="LDV7" s="14"/>
      <c r="LDW7" s="14"/>
      <c r="LDX7" s="14"/>
      <c r="LDY7" s="14"/>
      <c r="LDZ7" s="14"/>
      <c r="LEA7" s="14"/>
      <c r="LEB7" s="14"/>
      <c r="LEC7" s="14"/>
      <c r="LED7" s="14"/>
      <c r="LEE7" s="14"/>
      <c r="LEF7" s="14"/>
      <c r="LEG7" s="14"/>
      <c r="LEH7" s="14"/>
      <c r="LEI7" s="14"/>
      <c r="LEJ7" s="14"/>
      <c r="LEK7" s="14"/>
      <c r="LEL7" s="14"/>
      <c r="LEM7" s="14"/>
      <c r="LEN7" s="14"/>
      <c r="LEO7" s="14"/>
      <c r="LEP7" s="14"/>
      <c r="LEQ7" s="14"/>
      <c r="LER7" s="14"/>
      <c r="LES7" s="14"/>
      <c r="LET7" s="14"/>
      <c r="LEU7" s="14"/>
      <c r="LEV7" s="14"/>
      <c r="LEW7" s="14"/>
      <c r="LEX7" s="14"/>
      <c r="LEY7" s="14"/>
      <c r="LEZ7" s="14"/>
      <c r="LFA7" s="14"/>
      <c r="LFB7" s="14"/>
      <c r="LFC7" s="14"/>
      <c r="LFD7" s="14"/>
      <c r="LFE7" s="14"/>
      <c r="LFF7" s="14"/>
      <c r="LFG7" s="14"/>
      <c r="LFH7" s="14"/>
      <c r="LFI7" s="14"/>
      <c r="LFJ7" s="14"/>
      <c r="LFK7" s="14"/>
      <c r="LFL7" s="14"/>
      <c r="LFM7" s="14"/>
      <c r="LFN7" s="14"/>
      <c r="LFO7" s="14"/>
      <c r="LFP7" s="14"/>
      <c r="LFQ7" s="14"/>
      <c r="LFR7" s="14"/>
      <c r="LFS7" s="14"/>
      <c r="LFT7" s="14"/>
      <c r="LFU7" s="14"/>
      <c r="LFV7" s="14"/>
      <c r="LFW7" s="14"/>
      <c r="LFX7" s="14"/>
      <c r="LFY7" s="14"/>
      <c r="LFZ7" s="14"/>
      <c r="LGA7" s="14"/>
      <c r="LGB7" s="14"/>
      <c r="LGC7" s="14"/>
      <c r="LGD7" s="14"/>
      <c r="LGE7" s="14"/>
      <c r="LGF7" s="14"/>
      <c r="LGG7" s="14"/>
      <c r="LGH7" s="14"/>
      <c r="LGI7" s="14"/>
      <c r="LGJ7" s="14"/>
      <c r="LGK7" s="14"/>
      <c r="LGL7" s="14"/>
      <c r="LGM7" s="14"/>
      <c r="LGN7" s="14"/>
      <c r="LGO7" s="14"/>
      <c r="LGP7" s="14"/>
      <c r="LGQ7" s="14"/>
      <c r="LGR7" s="14"/>
      <c r="LGS7" s="14"/>
      <c r="LGT7" s="14"/>
      <c r="LGU7" s="14"/>
      <c r="LGV7" s="14"/>
      <c r="LGW7" s="14"/>
      <c r="LGX7" s="14"/>
      <c r="LGY7" s="14"/>
      <c r="LGZ7" s="14"/>
      <c r="LHA7" s="14"/>
      <c r="LHB7" s="14"/>
      <c r="LHC7" s="14"/>
      <c r="LHD7" s="14"/>
      <c r="LHE7" s="14"/>
      <c r="LHF7" s="14"/>
      <c r="LHG7" s="14"/>
      <c r="LHH7" s="14"/>
      <c r="LHI7" s="14"/>
      <c r="LHJ7" s="14"/>
      <c r="LHK7" s="14"/>
      <c r="LHL7" s="14"/>
      <c r="LHM7" s="14"/>
      <c r="LHN7" s="14"/>
      <c r="LHO7" s="14"/>
      <c r="LHP7" s="14"/>
      <c r="LHQ7" s="14"/>
      <c r="LHR7" s="14"/>
      <c r="LHS7" s="14"/>
      <c r="LHT7" s="14"/>
      <c r="LHU7" s="14"/>
      <c r="LHV7" s="14"/>
      <c r="LHW7" s="14"/>
      <c r="LHX7" s="14"/>
      <c r="LHY7" s="14"/>
      <c r="LHZ7" s="14"/>
      <c r="LIA7" s="14"/>
      <c r="LIB7" s="14"/>
      <c r="LIC7" s="14"/>
      <c r="LID7" s="14"/>
      <c r="LIE7" s="14"/>
      <c r="LIF7" s="14"/>
      <c r="LIG7" s="14"/>
      <c r="LIH7" s="14"/>
      <c r="LII7" s="14"/>
      <c r="LIJ7" s="14"/>
      <c r="LIK7" s="14"/>
      <c r="LIL7" s="14"/>
      <c r="LIM7" s="14"/>
      <c r="LIN7" s="14"/>
      <c r="LIO7" s="14"/>
      <c r="LIP7" s="14"/>
      <c r="LIQ7" s="14"/>
      <c r="LIR7" s="14"/>
      <c r="LIS7" s="14"/>
      <c r="LIT7" s="14"/>
      <c r="LIU7" s="14"/>
      <c r="LIV7" s="14"/>
      <c r="LIW7" s="14"/>
      <c r="LIX7" s="14"/>
      <c r="LIY7" s="14"/>
      <c r="LIZ7" s="14"/>
      <c r="LJA7" s="14"/>
      <c r="LJB7" s="14"/>
      <c r="LJC7" s="14"/>
      <c r="LJD7" s="14"/>
      <c r="LJE7" s="14"/>
      <c r="LJF7" s="14"/>
      <c r="LJG7" s="14"/>
      <c r="LJH7" s="14"/>
      <c r="LJI7" s="14"/>
      <c r="LJJ7" s="14"/>
      <c r="LJK7" s="14"/>
      <c r="LJL7" s="14"/>
      <c r="LJM7" s="14"/>
      <c r="LJN7" s="14"/>
      <c r="LJO7" s="14"/>
      <c r="LJP7" s="14"/>
      <c r="LJQ7" s="14"/>
      <c r="LJR7" s="14"/>
      <c r="LJS7" s="14"/>
      <c r="LJT7" s="14"/>
      <c r="LJU7" s="14"/>
      <c r="LJV7" s="14"/>
      <c r="LJW7" s="14"/>
      <c r="LJX7" s="14"/>
      <c r="LJY7" s="14"/>
      <c r="LJZ7" s="14"/>
      <c r="LKA7" s="14"/>
      <c r="LKB7" s="14"/>
      <c r="LKC7" s="14"/>
      <c r="LKD7" s="14"/>
      <c r="LKE7" s="14"/>
      <c r="LKF7" s="14"/>
      <c r="LKG7" s="14"/>
      <c r="LKH7" s="14"/>
      <c r="LKI7" s="14"/>
      <c r="LKJ7" s="14"/>
      <c r="LKK7" s="14"/>
      <c r="LKL7" s="14"/>
      <c r="LKM7" s="14"/>
      <c r="LKN7" s="14"/>
      <c r="LKO7" s="14"/>
      <c r="LKP7" s="14"/>
      <c r="LKQ7" s="14"/>
      <c r="LKR7" s="14"/>
      <c r="LKS7" s="14"/>
      <c r="LKT7" s="14"/>
      <c r="LKU7" s="14"/>
      <c r="LKV7" s="14"/>
      <c r="LKW7" s="14"/>
      <c r="LKX7" s="14"/>
      <c r="LKY7" s="14"/>
      <c r="LKZ7" s="14"/>
      <c r="LLA7" s="14"/>
      <c r="LLB7" s="14"/>
      <c r="LLC7" s="14"/>
      <c r="LLD7" s="14"/>
      <c r="LLE7" s="14"/>
      <c r="LLF7" s="14"/>
      <c r="LLG7" s="14"/>
      <c r="LLH7" s="14"/>
      <c r="LLI7" s="14"/>
      <c r="LLJ7" s="14"/>
      <c r="LLK7" s="14"/>
      <c r="LLL7" s="14"/>
      <c r="LLM7" s="14"/>
      <c r="LLN7" s="14"/>
      <c r="LLO7" s="14"/>
      <c r="LLP7" s="14"/>
      <c r="LLQ7" s="14"/>
      <c r="LLR7" s="14"/>
      <c r="LLS7" s="14"/>
      <c r="LLT7" s="14"/>
      <c r="LLU7" s="14"/>
      <c r="LLV7" s="14"/>
      <c r="LLW7" s="14"/>
      <c r="LLX7" s="14"/>
      <c r="LLY7" s="14"/>
      <c r="LLZ7" s="14"/>
      <c r="LMA7" s="14"/>
      <c r="LMB7" s="14"/>
      <c r="LMC7" s="14"/>
      <c r="LMD7" s="14"/>
      <c r="LME7" s="14"/>
      <c r="LMF7" s="14"/>
      <c r="LMG7" s="14"/>
      <c r="LMH7" s="14"/>
      <c r="LMI7" s="14"/>
      <c r="LMJ7" s="14"/>
      <c r="LMK7" s="14"/>
      <c r="LML7" s="14"/>
      <c r="LMM7" s="14"/>
      <c r="LMN7" s="14"/>
      <c r="LMO7" s="14"/>
      <c r="LMP7" s="14"/>
      <c r="LMQ7" s="14"/>
      <c r="LMR7" s="14"/>
      <c r="LMS7" s="14"/>
      <c r="LMT7" s="14"/>
      <c r="LMU7" s="14"/>
      <c r="LMV7" s="14"/>
      <c r="LMW7" s="14"/>
      <c r="LMX7" s="14"/>
      <c r="LMY7" s="14"/>
      <c r="LMZ7" s="14"/>
      <c r="LNA7" s="14"/>
      <c r="LNB7" s="14"/>
      <c r="LNC7" s="14"/>
      <c r="LND7" s="14"/>
      <c r="LNE7" s="14"/>
      <c r="LNF7" s="14"/>
      <c r="LNG7" s="14"/>
      <c r="LNH7" s="14"/>
      <c r="LNI7" s="14"/>
      <c r="LNJ7" s="14"/>
      <c r="LNK7" s="14"/>
      <c r="LNL7" s="14"/>
      <c r="LNM7" s="14"/>
      <c r="LNN7" s="14"/>
      <c r="LNO7" s="14"/>
      <c r="LNP7" s="14"/>
      <c r="LNQ7" s="14"/>
      <c r="LNR7" s="14"/>
      <c r="LNS7" s="14"/>
      <c r="LNT7" s="14"/>
      <c r="LNU7" s="14"/>
      <c r="LNV7" s="14"/>
      <c r="LNW7" s="14"/>
      <c r="LNX7" s="14"/>
      <c r="LNY7" s="14"/>
      <c r="LNZ7" s="14"/>
      <c r="LOA7" s="14"/>
      <c r="LOB7" s="14"/>
      <c r="LOC7" s="14"/>
      <c r="LOD7" s="14"/>
      <c r="LOE7" s="14"/>
      <c r="LOF7" s="14"/>
      <c r="LOG7" s="14"/>
      <c r="LOH7" s="14"/>
      <c r="LOI7" s="14"/>
      <c r="LOJ7" s="14"/>
      <c r="LOK7" s="14"/>
      <c r="LOL7" s="14"/>
      <c r="LOM7" s="14"/>
      <c r="LON7" s="14"/>
      <c r="LOO7" s="14"/>
      <c r="LOP7" s="14"/>
      <c r="LOQ7" s="14"/>
      <c r="LOR7" s="14"/>
      <c r="LOS7" s="14"/>
      <c r="LOT7" s="14"/>
      <c r="LOU7" s="14"/>
      <c r="LOV7" s="14"/>
      <c r="LOW7" s="14"/>
      <c r="LOX7" s="14"/>
      <c r="LOY7" s="14"/>
      <c r="LOZ7" s="14"/>
      <c r="LPA7" s="14"/>
      <c r="LPB7" s="14"/>
      <c r="LPC7" s="14"/>
      <c r="LPD7" s="14"/>
      <c r="LPE7" s="14"/>
      <c r="LPF7" s="14"/>
      <c r="LPG7" s="14"/>
      <c r="LPH7" s="14"/>
      <c r="LPI7" s="14"/>
      <c r="LPJ7" s="14"/>
      <c r="LPK7" s="14"/>
      <c r="LPL7" s="14"/>
      <c r="LPM7" s="14"/>
      <c r="LPN7" s="14"/>
      <c r="LPO7" s="14"/>
      <c r="LPP7" s="14"/>
      <c r="LPQ7" s="14"/>
      <c r="LPR7" s="14"/>
      <c r="LPS7" s="14"/>
      <c r="LPT7" s="14"/>
      <c r="LPU7" s="14"/>
      <c r="LPV7" s="14"/>
      <c r="LPW7" s="14"/>
      <c r="LPX7" s="14"/>
      <c r="LPY7" s="14"/>
      <c r="LPZ7" s="14"/>
      <c r="LQA7" s="14"/>
      <c r="LQB7" s="14"/>
      <c r="LQC7" s="14"/>
      <c r="LQD7" s="14"/>
      <c r="LQE7" s="14"/>
      <c r="LQF7" s="14"/>
      <c r="LQG7" s="14"/>
      <c r="LQH7" s="14"/>
      <c r="LQI7" s="14"/>
      <c r="LQJ7" s="14"/>
      <c r="LQK7" s="14"/>
      <c r="LQL7" s="14"/>
      <c r="LQM7" s="14"/>
      <c r="LQN7" s="14"/>
      <c r="LQO7" s="14"/>
      <c r="LQP7" s="14"/>
      <c r="LQQ7" s="14"/>
      <c r="LQR7" s="14"/>
      <c r="LQS7" s="14"/>
      <c r="LQT7" s="14"/>
      <c r="LQU7" s="14"/>
      <c r="LQV7" s="14"/>
      <c r="LQW7" s="14"/>
      <c r="LQX7" s="14"/>
      <c r="LQY7" s="14"/>
      <c r="LQZ7" s="14"/>
      <c r="LRA7" s="14"/>
      <c r="LRB7" s="14"/>
      <c r="LRC7" s="14"/>
      <c r="LRD7" s="14"/>
      <c r="LRE7" s="14"/>
      <c r="LRF7" s="14"/>
      <c r="LRG7" s="14"/>
      <c r="LRH7" s="14"/>
      <c r="LRI7" s="14"/>
      <c r="LRJ7" s="14"/>
      <c r="LRK7" s="14"/>
      <c r="LRL7" s="14"/>
      <c r="LRM7" s="14"/>
      <c r="LRN7" s="14"/>
      <c r="LRO7" s="14"/>
      <c r="LRP7" s="14"/>
      <c r="LRQ7" s="14"/>
      <c r="LRR7" s="14"/>
      <c r="LRS7" s="14"/>
      <c r="LRT7" s="14"/>
      <c r="LRU7" s="14"/>
      <c r="LRV7" s="14"/>
      <c r="LRW7" s="14"/>
      <c r="LRX7" s="14"/>
      <c r="LRY7" s="14"/>
      <c r="LRZ7" s="14"/>
      <c r="LSA7" s="14"/>
      <c r="LSB7" s="14"/>
      <c r="LSC7" s="14"/>
      <c r="LSD7" s="14"/>
      <c r="LSE7" s="14"/>
      <c r="LSF7" s="14"/>
      <c r="LSG7" s="14"/>
      <c r="LSH7" s="14"/>
      <c r="LSI7" s="14"/>
      <c r="LSJ7" s="14"/>
      <c r="LSK7" s="14"/>
      <c r="LSL7" s="14"/>
      <c r="LSM7" s="14"/>
      <c r="LSN7" s="14"/>
      <c r="LSO7" s="14"/>
      <c r="LSP7" s="14"/>
      <c r="LSQ7" s="14"/>
      <c r="LSR7" s="14"/>
      <c r="LSS7" s="14"/>
      <c r="LST7" s="14"/>
      <c r="LSU7" s="14"/>
      <c r="LSV7" s="14"/>
      <c r="LSW7" s="14"/>
      <c r="LSX7" s="14"/>
      <c r="LSY7" s="14"/>
      <c r="LSZ7" s="14"/>
      <c r="LTA7" s="14"/>
      <c r="LTB7" s="14"/>
      <c r="LTC7" s="14"/>
      <c r="LTD7" s="14"/>
      <c r="LTE7" s="14"/>
      <c r="LTF7" s="14"/>
      <c r="LTG7" s="14"/>
      <c r="LTH7" s="14"/>
      <c r="LTI7" s="14"/>
      <c r="LTJ7" s="14"/>
      <c r="LTK7" s="14"/>
      <c r="LTL7" s="14"/>
      <c r="LTM7" s="14"/>
      <c r="LTN7" s="14"/>
      <c r="LTO7" s="14"/>
      <c r="LTP7" s="14"/>
      <c r="LTQ7" s="14"/>
      <c r="LTR7" s="14"/>
      <c r="LTS7" s="14"/>
      <c r="LTT7" s="14"/>
      <c r="LTU7" s="14"/>
      <c r="LTV7" s="14"/>
      <c r="LTW7" s="14"/>
      <c r="LTX7" s="14"/>
      <c r="LTY7" s="14"/>
      <c r="LTZ7" s="14"/>
      <c r="LUA7" s="14"/>
      <c r="LUB7" s="14"/>
      <c r="LUC7" s="14"/>
      <c r="LUD7" s="14"/>
      <c r="LUE7" s="14"/>
      <c r="LUF7" s="14"/>
      <c r="LUG7" s="14"/>
      <c r="LUH7" s="14"/>
      <c r="LUI7" s="14"/>
      <c r="LUJ7" s="14"/>
      <c r="LUK7" s="14"/>
      <c r="LUL7" s="14"/>
      <c r="LUM7" s="14"/>
      <c r="LUN7" s="14"/>
      <c r="LUO7" s="14"/>
      <c r="LUP7" s="14"/>
      <c r="LUQ7" s="14"/>
      <c r="LUR7" s="14"/>
      <c r="LUS7" s="14"/>
      <c r="LUT7" s="14"/>
      <c r="LUU7" s="14"/>
      <c r="LUV7" s="14"/>
      <c r="LUW7" s="14"/>
      <c r="LUX7" s="14"/>
      <c r="LUY7" s="14"/>
      <c r="LUZ7" s="14"/>
      <c r="LVA7" s="14"/>
      <c r="LVB7" s="14"/>
      <c r="LVC7" s="14"/>
      <c r="LVD7" s="14"/>
      <c r="LVE7" s="14"/>
      <c r="LVF7" s="14"/>
      <c r="LVG7" s="14"/>
      <c r="LVH7" s="14"/>
      <c r="LVI7" s="14"/>
      <c r="LVJ7" s="14"/>
      <c r="LVK7" s="14"/>
      <c r="LVL7" s="14"/>
      <c r="LVM7" s="14"/>
      <c r="LVN7" s="14"/>
      <c r="LVO7" s="14"/>
      <c r="LVP7" s="14"/>
      <c r="LVQ7" s="14"/>
      <c r="LVR7" s="14"/>
      <c r="LVS7" s="14"/>
      <c r="LVT7" s="14"/>
      <c r="LVU7" s="14"/>
      <c r="LVV7" s="14"/>
      <c r="LVW7" s="14"/>
      <c r="LVX7" s="14"/>
      <c r="LVY7" s="14"/>
      <c r="LVZ7" s="14"/>
      <c r="LWA7" s="14"/>
      <c r="LWB7" s="14"/>
      <c r="LWC7" s="14"/>
      <c r="LWD7" s="14"/>
      <c r="LWE7" s="14"/>
      <c r="LWF7" s="14"/>
      <c r="LWG7" s="14"/>
      <c r="LWH7" s="14"/>
      <c r="LWI7" s="14"/>
      <c r="LWJ7" s="14"/>
      <c r="LWK7" s="14"/>
      <c r="LWL7" s="14"/>
      <c r="LWM7" s="14"/>
      <c r="LWN7" s="14"/>
      <c r="LWO7" s="14"/>
      <c r="LWP7" s="14"/>
      <c r="LWQ7" s="14"/>
      <c r="LWR7" s="14"/>
      <c r="LWS7" s="14"/>
      <c r="LWT7" s="14"/>
      <c r="LWU7" s="14"/>
      <c r="LWV7" s="14"/>
      <c r="LWW7" s="14"/>
      <c r="LWX7" s="14"/>
      <c r="LWY7" s="14"/>
      <c r="LWZ7" s="14"/>
      <c r="LXA7" s="14"/>
      <c r="LXB7" s="14"/>
      <c r="LXC7" s="14"/>
      <c r="LXD7" s="14"/>
      <c r="LXE7" s="14"/>
      <c r="LXF7" s="14"/>
      <c r="LXG7" s="14"/>
      <c r="LXH7" s="14"/>
      <c r="LXI7" s="14"/>
      <c r="LXJ7" s="14"/>
      <c r="LXK7" s="14"/>
      <c r="LXL7" s="14"/>
      <c r="LXM7" s="14"/>
      <c r="LXN7" s="14"/>
      <c r="LXO7" s="14"/>
      <c r="LXP7" s="14"/>
      <c r="LXQ7" s="14"/>
      <c r="LXR7" s="14"/>
      <c r="LXS7" s="14"/>
      <c r="LXT7" s="14"/>
      <c r="LXU7" s="14"/>
      <c r="LXV7" s="14"/>
      <c r="LXW7" s="14"/>
      <c r="LXX7" s="14"/>
      <c r="LXY7" s="14"/>
      <c r="LXZ7" s="14"/>
      <c r="LYA7" s="14"/>
      <c r="LYB7" s="14"/>
      <c r="LYC7" s="14"/>
      <c r="LYD7" s="14"/>
      <c r="LYE7" s="14"/>
      <c r="LYF7" s="14"/>
      <c r="LYG7" s="14"/>
      <c r="LYH7" s="14"/>
      <c r="LYI7" s="14"/>
      <c r="LYJ7" s="14"/>
      <c r="LYK7" s="14"/>
      <c r="LYL7" s="14"/>
      <c r="LYM7" s="14"/>
      <c r="LYN7" s="14"/>
      <c r="LYO7" s="14"/>
      <c r="LYP7" s="14"/>
      <c r="LYQ7" s="14"/>
      <c r="LYR7" s="14"/>
      <c r="LYS7" s="14"/>
      <c r="LYT7" s="14"/>
      <c r="LYU7" s="14"/>
      <c r="LYV7" s="14"/>
      <c r="LYW7" s="14"/>
      <c r="LYX7" s="14"/>
      <c r="LYY7" s="14"/>
      <c r="LYZ7" s="14"/>
      <c r="LZA7" s="14"/>
      <c r="LZB7" s="14"/>
      <c r="LZC7" s="14"/>
      <c r="LZD7" s="14"/>
      <c r="LZE7" s="14"/>
      <c r="LZF7" s="14"/>
      <c r="LZG7" s="14"/>
      <c r="LZH7" s="14"/>
      <c r="LZI7" s="14"/>
      <c r="LZJ7" s="14"/>
      <c r="LZK7" s="14"/>
      <c r="LZL7" s="14"/>
      <c r="LZM7" s="14"/>
      <c r="LZN7" s="14"/>
      <c r="LZO7" s="14"/>
      <c r="LZP7" s="14"/>
      <c r="LZQ7" s="14"/>
      <c r="LZR7" s="14"/>
      <c r="LZS7" s="14"/>
      <c r="LZT7" s="14"/>
      <c r="LZU7" s="14"/>
      <c r="LZV7" s="14"/>
      <c r="LZW7" s="14"/>
      <c r="LZX7" s="14"/>
      <c r="LZY7" s="14"/>
      <c r="LZZ7" s="14"/>
      <c r="MAA7" s="14"/>
      <c r="MAB7" s="14"/>
      <c r="MAC7" s="14"/>
      <c r="MAD7" s="14"/>
      <c r="MAE7" s="14"/>
      <c r="MAF7" s="14"/>
      <c r="MAG7" s="14"/>
      <c r="MAH7" s="14"/>
      <c r="MAI7" s="14"/>
      <c r="MAJ7" s="14"/>
      <c r="MAK7" s="14"/>
      <c r="MAL7" s="14"/>
      <c r="MAM7" s="14"/>
      <c r="MAN7" s="14"/>
      <c r="MAO7" s="14"/>
      <c r="MAP7" s="14"/>
      <c r="MAQ7" s="14"/>
      <c r="MAR7" s="14"/>
      <c r="MAS7" s="14"/>
      <c r="MAT7" s="14"/>
      <c r="MAU7" s="14"/>
      <c r="MAV7" s="14"/>
      <c r="MAW7" s="14"/>
      <c r="MAX7" s="14"/>
      <c r="MAY7" s="14"/>
      <c r="MAZ7" s="14"/>
      <c r="MBA7" s="14"/>
      <c r="MBB7" s="14"/>
      <c r="MBC7" s="14"/>
      <c r="MBD7" s="14"/>
      <c r="MBE7" s="14"/>
      <c r="MBF7" s="14"/>
      <c r="MBG7" s="14"/>
      <c r="MBH7" s="14"/>
      <c r="MBI7" s="14"/>
      <c r="MBJ7" s="14"/>
      <c r="MBK7" s="14"/>
      <c r="MBL7" s="14"/>
      <c r="MBM7" s="14"/>
      <c r="MBN7" s="14"/>
      <c r="MBO7" s="14"/>
      <c r="MBP7" s="14"/>
      <c r="MBQ7" s="14"/>
      <c r="MBR7" s="14"/>
      <c r="MBS7" s="14"/>
      <c r="MBT7" s="14"/>
      <c r="MBU7" s="14"/>
      <c r="MBV7" s="14"/>
      <c r="MBW7" s="14"/>
      <c r="MBX7" s="14"/>
      <c r="MBY7" s="14"/>
      <c r="MBZ7" s="14"/>
      <c r="MCA7" s="14"/>
      <c r="MCB7" s="14"/>
      <c r="MCC7" s="14"/>
      <c r="MCD7" s="14"/>
      <c r="MCE7" s="14"/>
      <c r="MCF7" s="14"/>
      <c r="MCG7" s="14"/>
      <c r="MCH7" s="14"/>
      <c r="MCI7" s="14"/>
      <c r="MCJ7" s="14"/>
      <c r="MCK7" s="14"/>
      <c r="MCL7" s="14"/>
      <c r="MCM7" s="14"/>
      <c r="MCN7" s="14"/>
      <c r="MCO7" s="14"/>
      <c r="MCP7" s="14"/>
      <c r="MCQ7" s="14"/>
      <c r="MCR7" s="14"/>
      <c r="MCS7" s="14"/>
      <c r="MCT7" s="14"/>
      <c r="MCU7" s="14"/>
      <c r="MCV7" s="14"/>
      <c r="MCW7" s="14"/>
      <c r="MCX7" s="14"/>
      <c r="MCY7" s="14"/>
      <c r="MCZ7" s="14"/>
      <c r="MDA7" s="14"/>
      <c r="MDB7" s="14"/>
      <c r="MDC7" s="14"/>
      <c r="MDD7" s="14"/>
      <c r="MDE7" s="14"/>
      <c r="MDF7" s="14"/>
      <c r="MDG7" s="14"/>
      <c r="MDH7" s="14"/>
      <c r="MDI7" s="14"/>
      <c r="MDJ7" s="14"/>
      <c r="MDK7" s="14"/>
      <c r="MDL7" s="14"/>
      <c r="MDM7" s="14"/>
      <c r="MDN7" s="14"/>
      <c r="MDO7" s="14"/>
      <c r="MDP7" s="14"/>
      <c r="MDQ7" s="14"/>
      <c r="MDR7" s="14"/>
      <c r="MDS7" s="14"/>
      <c r="MDT7" s="14"/>
      <c r="MDU7" s="14"/>
      <c r="MDV7" s="14"/>
      <c r="MDW7" s="14"/>
      <c r="MDX7" s="14"/>
      <c r="MDY7" s="14"/>
      <c r="MDZ7" s="14"/>
      <c r="MEA7" s="14"/>
      <c r="MEB7" s="14"/>
      <c r="MEC7" s="14"/>
      <c r="MED7" s="14"/>
      <c r="MEE7" s="14"/>
      <c r="MEF7" s="14"/>
      <c r="MEG7" s="14"/>
      <c r="MEH7" s="14"/>
      <c r="MEI7" s="14"/>
      <c r="MEJ7" s="14"/>
      <c r="MEK7" s="14"/>
      <c r="MEL7" s="14"/>
      <c r="MEM7" s="14"/>
      <c r="MEN7" s="14"/>
      <c r="MEO7" s="14"/>
      <c r="MEP7" s="14"/>
      <c r="MEQ7" s="14"/>
      <c r="MER7" s="14"/>
      <c r="MES7" s="14"/>
      <c r="MET7" s="14"/>
      <c r="MEU7" s="14"/>
      <c r="MEV7" s="14"/>
      <c r="MEW7" s="14"/>
      <c r="MEX7" s="14"/>
      <c r="MEY7" s="14"/>
      <c r="MEZ7" s="14"/>
      <c r="MFA7" s="14"/>
      <c r="MFB7" s="14"/>
      <c r="MFC7" s="14"/>
      <c r="MFD7" s="14"/>
      <c r="MFE7" s="14"/>
      <c r="MFF7" s="14"/>
      <c r="MFG7" s="14"/>
      <c r="MFH7" s="14"/>
      <c r="MFI7" s="14"/>
      <c r="MFJ7" s="14"/>
      <c r="MFK7" s="14"/>
      <c r="MFL7" s="14"/>
      <c r="MFM7" s="14"/>
      <c r="MFN7" s="14"/>
      <c r="MFO7" s="14"/>
      <c r="MFP7" s="14"/>
      <c r="MFQ7" s="14"/>
      <c r="MFR7" s="14"/>
      <c r="MFS7" s="14"/>
      <c r="MFT7" s="14"/>
      <c r="MFU7" s="14"/>
      <c r="MFV7" s="14"/>
      <c r="MFW7" s="14"/>
      <c r="MFX7" s="14"/>
      <c r="MFY7" s="14"/>
      <c r="MFZ7" s="14"/>
      <c r="MGA7" s="14"/>
      <c r="MGB7" s="14"/>
      <c r="MGC7" s="14"/>
      <c r="MGD7" s="14"/>
      <c r="MGE7" s="14"/>
      <c r="MGF7" s="14"/>
      <c r="MGG7" s="14"/>
      <c r="MGH7" s="14"/>
      <c r="MGI7" s="14"/>
      <c r="MGJ7" s="14"/>
      <c r="MGK7" s="14"/>
      <c r="MGL7" s="14"/>
      <c r="MGM7" s="14"/>
      <c r="MGN7" s="14"/>
      <c r="MGO7" s="14"/>
      <c r="MGP7" s="14"/>
      <c r="MGQ7" s="14"/>
      <c r="MGR7" s="14"/>
      <c r="MGS7" s="14"/>
      <c r="MGT7" s="14"/>
      <c r="MGU7" s="14"/>
      <c r="MGV7" s="14"/>
      <c r="MGW7" s="14"/>
      <c r="MGX7" s="14"/>
      <c r="MGY7" s="14"/>
      <c r="MGZ7" s="14"/>
      <c r="MHA7" s="14"/>
      <c r="MHB7" s="14"/>
      <c r="MHC7" s="14"/>
      <c r="MHD7" s="14"/>
      <c r="MHE7" s="14"/>
      <c r="MHF7" s="14"/>
      <c r="MHG7" s="14"/>
      <c r="MHH7" s="14"/>
      <c r="MHI7" s="14"/>
      <c r="MHJ7" s="14"/>
      <c r="MHK7" s="14"/>
      <c r="MHL7" s="14"/>
      <c r="MHM7" s="14"/>
      <c r="MHN7" s="14"/>
      <c r="MHO7" s="14"/>
      <c r="MHP7" s="14"/>
      <c r="MHQ7" s="14"/>
      <c r="MHR7" s="14"/>
      <c r="MHS7" s="14"/>
      <c r="MHT7" s="14"/>
      <c r="MHU7" s="14"/>
      <c r="MHV7" s="14"/>
      <c r="MHW7" s="14"/>
      <c r="MHX7" s="14"/>
      <c r="MHY7" s="14"/>
      <c r="MHZ7" s="14"/>
      <c r="MIA7" s="14"/>
      <c r="MIB7" s="14"/>
      <c r="MIC7" s="14"/>
      <c r="MID7" s="14"/>
      <c r="MIE7" s="14"/>
      <c r="MIF7" s="14"/>
      <c r="MIG7" s="14"/>
      <c r="MIH7" s="14"/>
      <c r="MII7" s="14"/>
      <c r="MIJ7" s="14"/>
      <c r="MIK7" s="14"/>
      <c r="MIL7" s="14"/>
      <c r="MIM7" s="14"/>
      <c r="MIN7" s="14"/>
      <c r="MIO7" s="14"/>
      <c r="MIP7" s="14"/>
      <c r="MIQ7" s="14"/>
      <c r="MIR7" s="14"/>
      <c r="MIS7" s="14"/>
      <c r="MIT7" s="14"/>
      <c r="MIU7" s="14"/>
      <c r="MIV7" s="14"/>
      <c r="MIW7" s="14"/>
      <c r="MIX7" s="14"/>
      <c r="MIY7" s="14"/>
      <c r="MIZ7" s="14"/>
      <c r="MJA7" s="14"/>
      <c r="MJB7" s="14"/>
      <c r="MJC7" s="14"/>
      <c r="MJD7" s="14"/>
      <c r="MJE7" s="14"/>
      <c r="MJF7" s="14"/>
      <c r="MJG7" s="14"/>
      <c r="MJH7" s="14"/>
      <c r="MJI7" s="14"/>
      <c r="MJJ7" s="14"/>
      <c r="MJK7" s="14"/>
      <c r="MJL7" s="14"/>
      <c r="MJM7" s="14"/>
      <c r="MJN7" s="14"/>
      <c r="MJO7" s="14"/>
      <c r="MJP7" s="14"/>
      <c r="MJQ7" s="14"/>
      <c r="MJR7" s="14"/>
      <c r="MJS7" s="14"/>
      <c r="MJT7" s="14"/>
      <c r="MJU7" s="14"/>
      <c r="MJV7" s="14"/>
      <c r="MJW7" s="14"/>
      <c r="MJX7" s="14"/>
      <c r="MJY7" s="14"/>
      <c r="MJZ7" s="14"/>
      <c r="MKA7" s="14"/>
      <c r="MKB7" s="14"/>
      <c r="MKC7" s="14"/>
      <c r="MKD7" s="14"/>
      <c r="MKE7" s="14"/>
      <c r="MKF7" s="14"/>
      <c r="MKG7" s="14"/>
      <c r="MKH7" s="14"/>
      <c r="MKI7" s="14"/>
      <c r="MKJ7" s="14"/>
      <c r="MKK7" s="14"/>
      <c r="MKL7" s="14"/>
      <c r="MKM7" s="14"/>
      <c r="MKN7" s="14"/>
      <c r="MKO7" s="14"/>
      <c r="MKP7" s="14"/>
      <c r="MKQ7" s="14"/>
      <c r="MKR7" s="14"/>
      <c r="MKS7" s="14"/>
      <c r="MKT7" s="14"/>
      <c r="MKU7" s="14"/>
      <c r="MKV7" s="14"/>
      <c r="MKW7" s="14"/>
      <c r="MKX7" s="14"/>
      <c r="MKY7" s="14"/>
      <c r="MKZ7" s="14"/>
      <c r="MLA7" s="14"/>
      <c r="MLB7" s="14"/>
      <c r="MLC7" s="14"/>
      <c r="MLD7" s="14"/>
      <c r="MLE7" s="14"/>
      <c r="MLF7" s="14"/>
      <c r="MLG7" s="14"/>
      <c r="MLH7" s="14"/>
      <c r="MLI7" s="14"/>
      <c r="MLJ7" s="14"/>
      <c r="MLK7" s="14"/>
      <c r="MLL7" s="14"/>
      <c r="MLM7" s="14"/>
      <c r="MLN7" s="14"/>
      <c r="MLO7" s="14"/>
      <c r="MLP7" s="14"/>
      <c r="MLQ7" s="14"/>
      <c r="MLR7" s="14"/>
      <c r="MLS7" s="14"/>
      <c r="MLT7" s="14"/>
      <c r="MLU7" s="14"/>
      <c r="MLV7" s="14"/>
      <c r="MLW7" s="14"/>
      <c r="MLX7" s="14"/>
      <c r="MLY7" s="14"/>
      <c r="MLZ7" s="14"/>
      <c r="MMA7" s="14"/>
      <c r="MMB7" s="14"/>
      <c r="MMC7" s="14"/>
      <c r="MMD7" s="14"/>
      <c r="MME7" s="14"/>
      <c r="MMF7" s="14"/>
      <c r="MMG7" s="14"/>
      <c r="MMH7" s="14"/>
      <c r="MMI7" s="14"/>
      <c r="MMJ7" s="14"/>
      <c r="MMK7" s="14"/>
      <c r="MML7" s="14"/>
      <c r="MMM7" s="14"/>
      <c r="MMN7" s="14"/>
      <c r="MMO7" s="14"/>
      <c r="MMP7" s="14"/>
      <c r="MMQ7" s="14"/>
      <c r="MMR7" s="14"/>
      <c r="MMS7" s="14"/>
      <c r="MMT7" s="14"/>
      <c r="MMU7" s="14"/>
      <c r="MMV7" s="14"/>
      <c r="MMW7" s="14"/>
      <c r="MMX7" s="14"/>
      <c r="MMY7" s="14"/>
      <c r="MMZ7" s="14"/>
      <c r="MNA7" s="14"/>
      <c r="MNB7" s="14"/>
      <c r="MNC7" s="14"/>
      <c r="MND7" s="14"/>
      <c r="MNE7" s="14"/>
      <c r="MNF7" s="14"/>
      <c r="MNG7" s="14"/>
      <c r="MNH7" s="14"/>
      <c r="MNI7" s="14"/>
      <c r="MNJ7" s="14"/>
      <c r="MNK7" s="14"/>
      <c r="MNL7" s="14"/>
      <c r="MNM7" s="14"/>
      <c r="MNN7" s="14"/>
      <c r="MNO7" s="14"/>
      <c r="MNP7" s="14"/>
      <c r="MNQ7" s="14"/>
      <c r="MNR7" s="14"/>
      <c r="MNS7" s="14"/>
      <c r="MNT7" s="14"/>
      <c r="MNU7" s="14"/>
      <c r="MNV7" s="14"/>
      <c r="MNW7" s="14"/>
      <c r="MNX7" s="14"/>
      <c r="MNY7" s="14"/>
      <c r="MNZ7" s="14"/>
      <c r="MOA7" s="14"/>
      <c r="MOB7" s="14"/>
      <c r="MOC7" s="14"/>
      <c r="MOD7" s="14"/>
      <c r="MOE7" s="14"/>
      <c r="MOF7" s="14"/>
      <c r="MOG7" s="14"/>
      <c r="MOH7" s="14"/>
      <c r="MOI7" s="14"/>
      <c r="MOJ7" s="14"/>
      <c r="MOK7" s="14"/>
      <c r="MOL7" s="14"/>
      <c r="MOM7" s="14"/>
      <c r="MON7" s="14"/>
      <c r="MOO7" s="14"/>
      <c r="MOP7" s="14"/>
      <c r="MOQ7" s="14"/>
      <c r="MOR7" s="14"/>
      <c r="MOS7" s="14"/>
      <c r="MOT7" s="14"/>
      <c r="MOU7" s="14"/>
      <c r="MOV7" s="14"/>
      <c r="MOW7" s="14"/>
      <c r="MOX7" s="14"/>
      <c r="MOY7" s="14"/>
      <c r="MOZ7" s="14"/>
      <c r="MPA7" s="14"/>
      <c r="MPB7" s="14"/>
      <c r="MPC7" s="14"/>
      <c r="MPD7" s="14"/>
      <c r="MPE7" s="14"/>
      <c r="MPF7" s="14"/>
      <c r="MPG7" s="14"/>
      <c r="MPH7" s="14"/>
      <c r="MPI7" s="14"/>
      <c r="MPJ7" s="14"/>
      <c r="MPK7" s="14"/>
      <c r="MPL7" s="14"/>
      <c r="MPM7" s="14"/>
      <c r="MPN7" s="14"/>
      <c r="MPO7" s="14"/>
      <c r="MPP7" s="14"/>
      <c r="MPQ7" s="14"/>
      <c r="MPR7" s="14"/>
      <c r="MPS7" s="14"/>
      <c r="MPT7" s="14"/>
      <c r="MPU7" s="14"/>
      <c r="MPV7" s="14"/>
      <c r="MPW7" s="14"/>
      <c r="MPX7" s="14"/>
      <c r="MPY7" s="14"/>
      <c r="MPZ7" s="14"/>
      <c r="MQA7" s="14"/>
      <c r="MQB7" s="14"/>
      <c r="MQC7" s="14"/>
      <c r="MQD7" s="14"/>
      <c r="MQE7" s="14"/>
      <c r="MQF7" s="14"/>
      <c r="MQG7" s="14"/>
      <c r="MQH7" s="14"/>
      <c r="MQI7" s="14"/>
      <c r="MQJ7" s="14"/>
      <c r="MQK7" s="14"/>
      <c r="MQL7" s="14"/>
      <c r="MQM7" s="14"/>
      <c r="MQN7" s="14"/>
      <c r="MQO7" s="14"/>
      <c r="MQP7" s="14"/>
      <c r="MQQ7" s="14"/>
      <c r="MQR7" s="14"/>
      <c r="MQS7" s="14"/>
      <c r="MQT7" s="14"/>
      <c r="MQU7" s="14"/>
      <c r="MQV7" s="14"/>
      <c r="MQW7" s="14"/>
      <c r="MQX7" s="14"/>
      <c r="MQY7" s="14"/>
      <c r="MQZ7" s="14"/>
      <c r="MRA7" s="14"/>
      <c r="MRB7" s="14"/>
      <c r="MRC7" s="14"/>
      <c r="MRD7" s="14"/>
      <c r="MRE7" s="14"/>
      <c r="MRF7" s="14"/>
      <c r="MRG7" s="14"/>
      <c r="MRH7" s="14"/>
      <c r="MRI7" s="14"/>
      <c r="MRJ7" s="14"/>
      <c r="MRK7" s="14"/>
      <c r="MRL7" s="14"/>
      <c r="MRM7" s="14"/>
      <c r="MRN7" s="14"/>
      <c r="MRO7" s="14"/>
      <c r="MRP7" s="14"/>
      <c r="MRQ7" s="14"/>
      <c r="MRR7" s="14"/>
      <c r="MRS7" s="14"/>
      <c r="MRT7" s="14"/>
      <c r="MRU7" s="14"/>
      <c r="MRV7" s="14"/>
      <c r="MRW7" s="14"/>
      <c r="MRX7" s="14"/>
      <c r="MRY7" s="14"/>
      <c r="MRZ7" s="14"/>
      <c r="MSA7" s="14"/>
      <c r="MSB7" s="14"/>
      <c r="MSC7" s="14"/>
      <c r="MSD7" s="14"/>
      <c r="MSE7" s="14"/>
      <c r="MSF7" s="14"/>
      <c r="MSG7" s="14"/>
      <c r="MSH7" s="14"/>
      <c r="MSI7" s="14"/>
      <c r="MSJ7" s="14"/>
      <c r="MSK7" s="14"/>
      <c r="MSL7" s="14"/>
      <c r="MSM7" s="14"/>
      <c r="MSN7" s="14"/>
      <c r="MSO7" s="14"/>
      <c r="MSP7" s="14"/>
      <c r="MSQ7" s="14"/>
      <c r="MSR7" s="14"/>
      <c r="MSS7" s="14"/>
      <c r="MST7" s="14"/>
      <c r="MSU7" s="14"/>
      <c r="MSV7" s="14"/>
      <c r="MSW7" s="14"/>
      <c r="MSX7" s="14"/>
      <c r="MSY7" s="14"/>
      <c r="MSZ7" s="14"/>
      <c r="MTA7" s="14"/>
      <c r="MTB7" s="14"/>
      <c r="MTC7" s="14"/>
      <c r="MTD7" s="14"/>
      <c r="MTE7" s="14"/>
      <c r="MTF7" s="14"/>
      <c r="MTG7" s="14"/>
      <c r="MTH7" s="14"/>
      <c r="MTI7" s="14"/>
      <c r="MTJ7" s="14"/>
      <c r="MTK7" s="14"/>
      <c r="MTL7" s="14"/>
      <c r="MTM7" s="14"/>
      <c r="MTN7" s="14"/>
      <c r="MTO7" s="14"/>
      <c r="MTP7" s="14"/>
      <c r="MTQ7" s="14"/>
      <c r="MTR7" s="14"/>
      <c r="MTS7" s="14"/>
      <c r="MTT7" s="14"/>
      <c r="MTU7" s="14"/>
      <c r="MTV7" s="14"/>
      <c r="MTW7" s="14"/>
      <c r="MTX7" s="14"/>
      <c r="MTY7" s="14"/>
      <c r="MTZ7" s="14"/>
      <c r="MUA7" s="14"/>
      <c r="MUB7" s="14"/>
      <c r="MUC7" s="14"/>
      <c r="MUD7" s="14"/>
      <c r="MUE7" s="14"/>
      <c r="MUF7" s="14"/>
      <c r="MUG7" s="14"/>
      <c r="MUH7" s="14"/>
      <c r="MUI7" s="14"/>
      <c r="MUJ7" s="14"/>
      <c r="MUK7" s="14"/>
      <c r="MUL7" s="14"/>
      <c r="MUM7" s="14"/>
      <c r="MUN7" s="14"/>
      <c r="MUO7" s="14"/>
      <c r="MUP7" s="14"/>
      <c r="MUQ7" s="14"/>
      <c r="MUR7" s="14"/>
      <c r="MUS7" s="14"/>
      <c r="MUT7" s="14"/>
      <c r="MUU7" s="14"/>
      <c r="MUV7" s="14"/>
      <c r="MUW7" s="14"/>
      <c r="MUX7" s="14"/>
      <c r="MUY7" s="14"/>
      <c r="MUZ7" s="14"/>
      <c r="MVA7" s="14"/>
      <c r="MVB7" s="14"/>
      <c r="MVC7" s="14"/>
      <c r="MVD7" s="14"/>
      <c r="MVE7" s="14"/>
      <c r="MVF7" s="14"/>
      <c r="MVG7" s="14"/>
      <c r="MVH7" s="14"/>
      <c r="MVI7" s="14"/>
      <c r="MVJ7" s="14"/>
      <c r="MVK7" s="14"/>
      <c r="MVL7" s="14"/>
      <c r="MVM7" s="14"/>
      <c r="MVN7" s="14"/>
      <c r="MVO7" s="14"/>
      <c r="MVP7" s="14"/>
      <c r="MVQ7" s="14"/>
      <c r="MVR7" s="14"/>
      <c r="MVS7" s="14"/>
      <c r="MVT7" s="14"/>
      <c r="MVU7" s="14"/>
      <c r="MVV7" s="14"/>
      <c r="MVW7" s="14"/>
      <c r="MVX7" s="14"/>
      <c r="MVY7" s="14"/>
      <c r="MVZ7" s="14"/>
      <c r="MWA7" s="14"/>
      <c r="MWB7" s="14"/>
      <c r="MWC7" s="14"/>
      <c r="MWD7" s="14"/>
      <c r="MWE7" s="14"/>
      <c r="MWF7" s="14"/>
      <c r="MWG7" s="14"/>
      <c r="MWH7" s="14"/>
      <c r="MWI7" s="14"/>
      <c r="MWJ7" s="14"/>
      <c r="MWK7" s="14"/>
      <c r="MWL7" s="14"/>
      <c r="MWM7" s="14"/>
      <c r="MWN7" s="14"/>
      <c r="MWO7" s="14"/>
      <c r="MWP7" s="14"/>
      <c r="MWQ7" s="14"/>
      <c r="MWR7" s="14"/>
      <c r="MWS7" s="14"/>
      <c r="MWT7" s="14"/>
      <c r="MWU7" s="14"/>
      <c r="MWV7" s="14"/>
      <c r="MWW7" s="14"/>
      <c r="MWX7" s="14"/>
      <c r="MWY7" s="14"/>
      <c r="MWZ7" s="14"/>
      <c r="MXA7" s="14"/>
      <c r="MXB7" s="14"/>
      <c r="MXC7" s="14"/>
      <c r="MXD7" s="14"/>
      <c r="MXE7" s="14"/>
      <c r="MXF7" s="14"/>
      <c r="MXG7" s="14"/>
      <c r="MXH7" s="14"/>
      <c r="MXI7" s="14"/>
      <c r="MXJ7" s="14"/>
      <c r="MXK7" s="14"/>
      <c r="MXL7" s="14"/>
      <c r="MXM7" s="14"/>
      <c r="MXN7" s="14"/>
      <c r="MXO7" s="14"/>
      <c r="MXP7" s="14"/>
      <c r="MXQ7" s="14"/>
      <c r="MXR7" s="14"/>
      <c r="MXS7" s="14"/>
      <c r="MXT7" s="14"/>
      <c r="MXU7" s="14"/>
      <c r="MXV7" s="14"/>
      <c r="MXW7" s="14"/>
      <c r="MXX7" s="14"/>
      <c r="MXY7" s="14"/>
      <c r="MXZ7" s="14"/>
      <c r="MYA7" s="14"/>
      <c r="MYB7" s="14"/>
      <c r="MYC7" s="14"/>
      <c r="MYD7" s="14"/>
      <c r="MYE7" s="14"/>
      <c r="MYF7" s="14"/>
      <c r="MYG7" s="14"/>
      <c r="MYH7" s="14"/>
      <c r="MYI7" s="14"/>
      <c r="MYJ7" s="14"/>
      <c r="MYK7" s="14"/>
      <c r="MYL7" s="14"/>
      <c r="MYM7" s="14"/>
      <c r="MYN7" s="14"/>
      <c r="MYO7" s="14"/>
      <c r="MYP7" s="14"/>
      <c r="MYQ7" s="14"/>
      <c r="MYR7" s="14"/>
      <c r="MYS7" s="14"/>
      <c r="MYT7" s="14"/>
      <c r="MYU7" s="14"/>
      <c r="MYV7" s="14"/>
      <c r="MYW7" s="14"/>
      <c r="MYX7" s="14"/>
      <c r="MYY7" s="14"/>
      <c r="MYZ7" s="14"/>
      <c r="MZA7" s="14"/>
      <c r="MZB7" s="14"/>
      <c r="MZC7" s="14"/>
      <c r="MZD7" s="14"/>
      <c r="MZE7" s="14"/>
      <c r="MZF7" s="14"/>
      <c r="MZG7" s="14"/>
      <c r="MZH7" s="14"/>
      <c r="MZI7" s="14"/>
      <c r="MZJ7" s="14"/>
      <c r="MZK7" s="14"/>
      <c r="MZL7" s="14"/>
      <c r="MZM7" s="14"/>
      <c r="MZN7" s="14"/>
      <c r="MZO7" s="14"/>
      <c r="MZP7" s="14"/>
      <c r="MZQ7" s="14"/>
      <c r="MZR7" s="14"/>
      <c r="MZS7" s="14"/>
      <c r="MZT7" s="14"/>
      <c r="MZU7" s="14"/>
      <c r="MZV7" s="14"/>
      <c r="MZW7" s="14"/>
      <c r="MZX7" s="14"/>
      <c r="MZY7" s="14"/>
      <c r="MZZ7" s="14"/>
      <c r="NAA7" s="14"/>
      <c r="NAB7" s="14"/>
      <c r="NAC7" s="14"/>
      <c r="NAD7" s="14"/>
      <c r="NAE7" s="14"/>
      <c r="NAF7" s="14"/>
      <c r="NAG7" s="14"/>
      <c r="NAH7" s="14"/>
      <c r="NAI7" s="14"/>
      <c r="NAJ7" s="14"/>
      <c r="NAK7" s="14"/>
      <c r="NAL7" s="14"/>
      <c r="NAM7" s="14"/>
      <c r="NAN7" s="14"/>
      <c r="NAO7" s="14"/>
      <c r="NAP7" s="14"/>
      <c r="NAQ7" s="14"/>
      <c r="NAR7" s="14"/>
      <c r="NAS7" s="14"/>
      <c r="NAT7" s="14"/>
      <c r="NAU7" s="14"/>
      <c r="NAV7" s="14"/>
      <c r="NAW7" s="14"/>
      <c r="NAX7" s="14"/>
      <c r="NAY7" s="14"/>
      <c r="NAZ7" s="14"/>
      <c r="NBA7" s="14"/>
      <c r="NBB7" s="14"/>
      <c r="NBC7" s="14"/>
      <c r="NBD7" s="14"/>
      <c r="NBE7" s="14"/>
      <c r="NBF7" s="14"/>
      <c r="NBG7" s="14"/>
      <c r="NBH7" s="14"/>
      <c r="NBI7" s="14"/>
      <c r="NBJ7" s="14"/>
      <c r="NBK7" s="14"/>
      <c r="NBL7" s="14"/>
      <c r="NBM7" s="14"/>
      <c r="NBN7" s="14"/>
      <c r="NBO7" s="14"/>
      <c r="NBP7" s="14"/>
      <c r="NBQ7" s="14"/>
      <c r="NBR7" s="14"/>
      <c r="NBS7" s="14"/>
      <c r="NBT7" s="14"/>
      <c r="NBU7" s="14"/>
      <c r="NBV7" s="14"/>
      <c r="NBW7" s="14"/>
      <c r="NBX7" s="14"/>
      <c r="NBY7" s="14"/>
      <c r="NBZ7" s="14"/>
      <c r="NCA7" s="14"/>
      <c r="NCB7" s="14"/>
      <c r="NCC7" s="14"/>
      <c r="NCD7" s="14"/>
      <c r="NCE7" s="14"/>
      <c r="NCF7" s="14"/>
      <c r="NCG7" s="14"/>
      <c r="NCH7" s="14"/>
      <c r="NCI7" s="14"/>
      <c r="NCJ7" s="14"/>
      <c r="NCK7" s="14"/>
      <c r="NCL7" s="14"/>
      <c r="NCM7" s="14"/>
      <c r="NCN7" s="14"/>
      <c r="NCO7" s="14"/>
      <c r="NCP7" s="14"/>
      <c r="NCQ7" s="14"/>
      <c r="NCR7" s="14"/>
      <c r="NCS7" s="14"/>
      <c r="NCT7" s="14"/>
      <c r="NCU7" s="14"/>
      <c r="NCV7" s="14"/>
      <c r="NCW7" s="14"/>
      <c r="NCX7" s="14"/>
      <c r="NCY7" s="14"/>
      <c r="NCZ7" s="14"/>
      <c r="NDA7" s="14"/>
      <c r="NDB7" s="14"/>
      <c r="NDC7" s="14"/>
      <c r="NDD7" s="14"/>
      <c r="NDE7" s="14"/>
      <c r="NDF7" s="14"/>
      <c r="NDG7" s="14"/>
      <c r="NDH7" s="14"/>
      <c r="NDI7" s="14"/>
      <c r="NDJ7" s="14"/>
      <c r="NDK7" s="14"/>
      <c r="NDL7" s="14"/>
      <c r="NDM7" s="14"/>
      <c r="NDN7" s="14"/>
      <c r="NDO7" s="14"/>
      <c r="NDP7" s="14"/>
      <c r="NDQ7" s="14"/>
      <c r="NDR7" s="14"/>
      <c r="NDS7" s="14"/>
      <c r="NDT7" s="14"/>
      <c r="NDU7" s="14"/>
      <c r="NDV7" s="14"/>
      <c r="NDW7" s="14"/>
      <c r="NDX7" s="14"/>
      <c r="NDY7" s="14"/>
      <c r="NDZ7" s="14"/>
      <c r="NEA7" s="14"/>
      <c r="NEB7" s="14"/>
      <c r="NEC7" s="14"/>
      <c r="NED7" s="14"/>
      <c r="NEE7" s="14"/>
      <c r="NEF7" s="14"/>
      <c r="NEG7" s="14"/>
      <c r="NEH7" s="14"/>
      <c r="NEI7" s="14"/>
      <c r="NEJ7" s="14"/>
      <c r="NEK7" s="14"/>
      <c r="NEL7" s="14"/>
      <c r="NEM7" s="14"/>
      <c r="NEN7" s="14"/>
      <c r="NEO7" s="14"/>
      <c r="NEP7" s="14"/>
      <c r="NEQ7" s="14"/>
      <c r="NER7" s="14"/>
      <c r="NES7" s="14"/>
      <c r="NET7" s="14"/>
      <c r="NEU7" s="14"/>
      <c r="NEV7" s="14"/>
      <c r="NEW7" s="14"/>
      <c r="NEX7" s="14"/>
      <c r="NEY7" s="14"/>
      <c r="NEZ7" s="14"/>
      <c r="NFA7" s="14"/>
      <c r="NFB7" s="14"/>
      <c r="NFC7" s="14"/>
      <c r="NFD7" s="14"/>
      <c r="NFE7" s="14"/>
      <c r="NFF7" s="14"/>
      <c r="NFG7" s="14"/>
      <c r="NFH7" s="14"/>
      <c r="NFI7" s="14"/>
      <c r="NFJ7" s="14"/>
      <c r="NFK7" s="14"/>
      <c r="NFL7" s="14"/>
      <c r="NFM7" s="14"/>
      <c r="NFN7" s="14"/>
      <c r="NFO7" s="14"/>
      <c r="NFP7" s="14"/>
      <c r="NFQ7" s="14"/>
      <c r="NFR7" s="14"/>
      <c r="NFS7" s="14"/>
      <c r="NFT7" s="14"/>
      <c r="NFU7" s="14"/>
      <c r="NFV7" s="14"/>
      <c r="NFW7" s="14"/>
      <c r="NFX7" s="14"/>
      <c r="NFY7" s="14"/>
      <c r="NFZ7" s="14"/>
      <c r="NGA7" s="14"/>
      <c r="NGB7" s="14"/>
      <c r="NGC7" s="14"/>
      <c r="NGD7" s="14"/>
      <c r="NGE7" s="14"/>
      <c r="NGF7" s="14"/>
      <c r="NGG7" s="14"/>
      <c r="NGH7" s="14"/>
      <c r="NGI7" s="14"/>
      <c r="NGJ7" s="14"/>
      <c r="NGK7" s="14"/>
      <c r="NGL7" s="14"/>
      <c r="NGM7" s="14"/>
      <c r="NGN7" s="14"/>
      <c r="NGO7" s="14"/>
      <c r="NGP7" s="14"/>
      <c r="NGQ7" s="14"/>
      <c r="NGR7" s="14"/>
      <c r="NGS7" s="14"/>
      <c r="NGT7" s="14"/>
      <c r="NGU7" s="14"/>
      <c r="NGV7" s="14"/>
      <c r="NGW7" s="14"/>
      <c r="NGX7" s="14"/>
      <c r="NGY7" s="14"/>
      <c r="NGZ7" s="14"/>
      <c r="NHA7" s="14"/>
      <c r="NHB7" s="14"/>
      <c r="NHC7" s="14"/>
      <c r="NHD7" s="14"/>
      <c r="NHE7" s="14"/>
      <c r="NHF7" s="14"/>
      <c r="NHG7" s="14"/>
      <c r="NHH7" s="14"/>
      <c r="NHI7" s="14"/>
      <c r="NHJ7" s="14"/>
      <c r="NHK7" s="14"/>
      <c r="NHL7" s="14"/>
      <c r="NHM7" s="14"/>
      <c r="NHN7" s="14"/>
      <c r="NHO7" s="14"/>
      <c r="NHP7" s="14"/>
      <c r="NHQ7" s="14"/>
      <c r="NHR7" s="14"/>
      <c r="NHS7" s="14"/>
      <c r="NHT7" s="14"/>
      <c r="NHU7" s="14"/>
      <c r="NHV7" s="14"/>
      <c r="NHW7" s="14"/>
      <c r="NHX7" s="14"/>
      <c r="NHY7" s="14"/>
      <c r="NHZ7" s="14"/>
      <c r="NIA7" s="14"/>
      <c r="NIB7" s="14"/>
      <c r="NIC7" s="14"/>
      <c r="NID7" s="14"/>
      <c r="NIE7" s="14"/>
      <c r="NIF7" s="14"/>
      <c r="NIG7" s="14"/>
      <c r="NIH7" s="14"/>
      <c r="NII7" s="14"/>
      <c r="NIJ7" s="14"/>
      <c r="NIK7" s="14"/>
      <c r="NIL7" s="14"/>
      <c r="NIM7" s="14"/>
      <c r="NIN7" s="14"/>
      <c r="NIO7" s="14"/>
      <c r="NIP7" s="14"/>
      <c r="NIQ7" s="14"/>
      <c r="NIR7" s="14"/>
      <c r="NIS7" s="14"/>
      <c r="NIT7" s="14"/>
      <c r="NIU7" s="14"/>
      <c r="NIV7" s="14"/>
      <c r="NIW7" s="14"/>
      <c r="NIX7" s="14"/>
      <c r="NIY7" s="14"/>
      <c r="NIZ7" s="14"/>
      <c r="NJA7" s="14"/>
      <c r="NJB7" s="14"/>
      <c r="NJC7" s="14"/>
      <c r="NJD7" s="14"/>
      <c r="NJE7" s="14"/>
      <c r="NJF7" s="14"/>
      <c r="NJG7" s="14"/>
      <c r="NJH7" s="14"/>
      <c r="NJI7" s="14"/>
      <c r="NJJ7" s="14"/>
      <c r="NJK7" s="14"/>
      <c r="NJL7" s="14"/>
      <c r="NJM7" s="14"/>
      <c r="NJN7" s="14"/>
      <c r="NJO7" s="14"/>
      <c r="NJP7" s="14"/>
      <c r="NJQ7" s="14"/>
      <c r="NJR7" s="14"/>
      <c r="NJS7" s="14"/>
      <c r="NJT7" s="14"/>
      <c r="NJU7" s="14"/>
      <c r="NJV7" s="14"/>
      <c r="NJW7" s="14"/>
      <c r="NJX7" s="14"/>
      <c r="NJY7" s="14"/>
      <c r="NJZ7" s="14"/>
      <c r="NKA7" s="14"/>
      <c r="NKB7" s="14"/>
      <c r="NKC7" s="14"/>
      <c r="NKD7" s="14"/>
      <c r="NKE7" s="14"/>
      <c r="NKF7" s="14"/>
      <c r="NKG7" s="14"/>
      <c r="NKH7" s="14"/>
      <c r="NKI7" s="14"/>
      <c r="NKJ7" s="14"/>
      <c r="NKK7" s="14"/>
      <c r="NKL7" s="14"/>
      <c r="NKM7" s="14"/>
      <c r="NKN7" s="14"/>
      <c r="NKO7" s="14"/>
      <c r="NKP7" s="14"/>
      <c r="NKQ7" s="14"/>
      <c r="NKR7" s="14"/>
      <c r="NKS7" s="14"/>
      <c r="NKT7" s="14"/>
      <c r="NKU7" s="14"/>
      <c r="NKV7" s="14"/>
      <c r="NKW7" s="14"/>
      <c r="NKX7" s="14"/>
      <c r="NKY7" s="14"/>
      <c r="NKZ7" s="14"/>
      <c r="NLA7" s="14"/>
      <c r="NLB7" s="14"/>
      <c r="NLC7" s="14"/>
      <c r="NLD7" s="14"/>
      <c r="NLE7" s="14"/>
      <c r="NLF7" s="14"/>
      <c r="NLG7" s="14"/>
      <c r="NLH7" s="14"/>
      <c r="NLI7" s="14"/>
      <c r="NLJ7" s="14"/>
      <c r="NLK7" s="14"/>
      <c r="NLL7" s="14"/>
      <c r="NLM7" s="14"/>
      <c r="NLN7" s="14"/>
      <c r="NLO7" s="14"/>
      <c r="NLP7" s="14"/>
      <c r="NLQ7" s="14"/>
      <c r="NLR7" s="14"/>
      <c r="NLS7" s="14"/>
      <c r="NLT7" s="14"/>
      <c r="NLU7" s="14"/>
      <c r="NLV7" s="14"/>
      <c r="NLW7" s="14"/>
      <c r="NLX7" s="14"/>
      <c r="NLY7" s="14"/>
      <c r="NLZ7" s="14"/>
      <c r="NMA7" s="14"/>
      <c r="NMB7" s="14"/>
      <c r="NMC7" s="14"/>
      <c r="NMD7" s="14"/>
      <c r="NME7" s="14"/>
      <c r="NMF7" s="14"/>
      <c r="NMG7" s="14"/>
      <c r="NMH7" s="14"/>
      <c r="NMI7" s="14"/>
      <c r="NMJ7" s="14"/>
      <c r="NMK7" s="14"/>
      <c r="NML7" s="14"/>
      <c r="NMM7" s="14"/>
      <c r="NMN7" s="14"/>
      <c r="NMO7" s="14"/>
      <c r="NMP7" s="14"/>
      <c r="NMQ7" s="14"/>
      <c r="NMR7" s="14"/>
      <c r="NMS7" s="14"/>
      <c r="NMT7" s="14"/>
      <c r="NMU7" s="14"/>
      <c r="NMV7" s="14"/>
      <c r="NMW7" s="14"/>
      <c r="NMX7" s="14"/>
      <c r="NMY7" s="14"/>
      <c r="NMZ7" s="14"/>
      <c r="NNA7" s="14"/>
      <c r="NNB7" s="14"/>
      <c r="NNC7" s="14"/>
      <c r="NND7" s="14"/>
      <c r="NNE7" s="14"/>
      <c r="NNF7" s="14"/>
      <c r="NNG7" s="14"/>
      <c r="NNH7" s="14"/>
      <c r="NNI7" s="14"/>
      <c r="NNJ7" s="14"/>
      <c r="NNK7" s="14"/>
      <c r="NNL7" s="14"/>
      <c r="NNM7" s="14"/>
      <c r="NNN7" s="14"/>
      <c r="NNO7" s="14"/>
      <c r="NNP7" s="14"/>
      <c r="NNQ7" s="14"/>
      <c r="NNR7" s="14"/>
      <c r="NNS7" s="14"/>
      <c r="NNT7" s="14"/>
      <c r="NNU7" s="14"/>
      <c r="NNV7" s="14"/>
      <c r="NNW7" s="14"/>
      <c r="NNX7" s="14"/>
      <c r="NNY7" s="14"/>
      <c r="NNZ7" s="14"/>
      <c r="NOA7" s="14"/>
      <c r="NOB7" s="14"/>
      <c r="NOC7" s="14"/>
      <c r="NOD7" s="14"/>
      <c r="NOE7" s="14"/>
      <c r="NOF7" s="14"/>
      <c r="NOG7" s="14"/>
      <c r="NOH7" s="14"/>
      <c r="NOI7" s="14"/>
      <c r="NOJ7" s="14"/>
      <c r="NOK7" s="14"/>
      <c r="NOL7" s="14"/>
      <c r="NOM7" s="14"/>
      <c r="NON7" s="14"/>
      <c r="NOO7" s="14"/>
      <c r="NOP7" s="14"/>
      <c r="NOQ7" s="14"/>
      <c r="NOR7" s="14"/>
      <c r="NOS7" s="14"/>
      <c r="NOT7" s="14"/>
      <c r="NOU7" s="14"/>
      <c r="NOV7" s="14"/>
      <c r="NOW7" s="14"/>
      <c r="NOX7" s="14"/>
      <c r="NOY7" s="14"/>
      <c r="NOZ7" s="14"/>
      <c r="NPA7" s="14"/>
      <c r="NPB7" s="14"/>
      <c r="NPC7" s="14"/>
      <c r="NPD7" s="14"/>
      <c r="NPE7" s="14"/>
      <c r="NPF7" s="14"/>
      <c r="NPG7" s="14"/>
      <c r="NPH7" s="14"/>
      <c r="NPI7" s="14"/>
      <c r="NPJ7" s="14"/>
      <c r="NPK7" s="14"/>
      <c r="NPL7" s="14"/>
      <c r="NPM7" s="14"/>
      <c r="NPN7" s="14"/>
      <c r="NPO7" s="14"/>
      <c r="NPP7" s="14"/>
      <c r="NPQ7" s="14"/>
      <c r="NPR7" s="14"/>
      <c r="NPS7" s="14"/>
      <c r="NPT7" s="14"/>
      <c r="NPU7" s="14"/>
      <c r="NPV7" s="14"/>
      <c r="NPW7" s="14"/>
      <c r="NPX7" s="14"/>
      <c r="NPY7" s="14"/>
      <c r="NPZ7" s="14"/>
      <c r="NQA7" s="14"/>
      <c r="NQB7" s="14"/>
      <c r="NQC7" s="14"/>
      <c r="NQD7" s="14"/>
      <c r="NQE7" s="14"/>
      <c r="NQF7" s="14"/>
      <c r="NQG7" s="14"/>
      <c r="NQH7" s="14"/>
      <c r="NQI7" s="14"/>
      <c r="NQJ7" s="14"/>
      <c r="NQK7" s="14"/>
      <c r="NQL7" s="14"/>
      <c r="NQM7" s="14"/>
      <c r="NQN7" s="14"/>
      <c r="NQO7" s="14"/>
      <c r="NQP7" s="14"/>
      <c r="NQQ7" s="14"/>
      <c r="NQR7" s="14"/>
      <c r="NQS7" s="14"/>
      <c r="NQT7" s="14"/>
      <c r="NQU7" s="14"/>
      <c r="NQV7" s="14"/>
      <c r="NQW7" s="14"/>
      <c r="NQX7" s="14"/>
      <c r="NQY7" s="14"/>
      <c r="NQZ7" s="14"/>
      <c r="NRA7" s="14"/>
      <c r="NRB7" s="14"/>
      <c r="NRC7" s="14"/>
      <c r="NRD7" s="14"/>
      <c r="NRE7" s="14"/>
      <c r="NRF7" s="14"/>
      <c r="NRG7" s="14"/>
      <c r="NRH7" s="14"/>
      <c r="NRI7" s="14"/>
      <c r="NRJ7" s="14"/>
      <c r="NRK7" s="14"/>
      <c r="NRL7" s="14"/>
      <c r="NRM7" s="14"/>
      <c r="NRN7" s="14"/>
      <c r="NRO7" s="14"/>
      <c r="NRP7" s="14"/>
      <c r="NRQ7" s="14"/>
      <c r="NRR7" s="14"/>
      <c r="NRS7" s="14"/>
      <c r="NRT7" s="14"/>
      <c r="NRU7" s="14"/>
      <c r="NRV7" s="14"/>
      <c r="NRW7" s="14"/>
      <c r="NRX7" s="14"/>
      <c r="NRY7" s="14"/>
      <c r="NRZ7" s="14"/>
      <c r="NSA7" s="14"/>
      <c r="NSB7" s="14"/>
      <c r="NSC7" s="14"/>
      <c r="NSD7" s="14"/>
      <c r="NSE7" s="14"/>
      <c r="NSF7" s="14"/>
      <c r="NSG7" s="14"/>
      <c r="NSH7" s="14"/>
      <c r="NSI7" s="14"/>
      <c r="NSJ7" s="14"/>
      <c r="NSK7" s="14"/>
      <c r="NSL7" s="14"/>
      <c r="NSM7" s="14"/>
      <c r="NSN7" s="14"/>
      <c r="NSO7" s="14"/>
      <c r="NSP7" s="14"/>
      <c r="NSQ7" s="14"/>
      <c r="NSR7" s="14"/>
      <c r="NSS7" s="14"/>
      <c r="NST7" s="14"/>
      <c r="NSU7" s="14"/>
      <c r="NSV7" s="14"/>
      <c r="NSW7" s="14"/>
      <c r="NSX7" s="14"/>
      <c r="NSY7" s="14"/>
      <c r="NSZ7" s="14"/>
      <c r="NTA7" s="14"/>
      <c r="NTB7" s="14"/>
      <c r="NTC7" s="14"/>
      <c r="NTD7" s="14"/>
      <c r="NTE7" s="14"/>
      <c r="NTF7" s="14"/>
      <c r="NTG7" s="14"/>
      <c r="NTH7" s="14"/>
      <c r="NTI7" s="14"/>
      <c r="NTJ7" s="14"/>
      <c r="NTK7" s="14"/>
      <c r="NTL7" s="14"/>
      <c r="NTM7" s="14"/>
      <c r="NTN7" s="14"/>
      <c r="NTO7" s="14"/>
      <c r="NTP7" s="14"/>
      <c r="NTQ7" s="14"/>
      <c r="NTR7" s="14"/>
      <c r="NTS7" s="14"/>
      <c r="NTT7" s="14"/>
      <c r="NTU7" s="14"/>
      <c r="NTV7" s="14"/>
      <c r="NTW7" s="14"/>
      <c r="NTX7" s="14"/>
      <c r="NTY7" s="14"/>
      <c r="NTZ7" s="14"/>
      <c r="NUA7" s="14"/>
      <c r="NUB7" s="14"/>
      <c r="NUC7" s="14"/>
      <c r="NUD7" s="14"/>
      <c r="NUE7" s="14"/>
      <c r="NUF7" s="14"/>
      <c r="NUG7" s="14"/>
      <c r="NUH7" s="14"/>
      <c r="NUI7" s="14"/>
      <c r="NUJ7" s="14"/>
      <c r="NUK7" s="14"/>
      <c r="NUL7" s="14"/>
      <c r="NUM7" s="14"/>
      <c r="NUN7" s="14"/>
      <c r="NUO7" s="14"/>
      <c r="NUP7" s="14"/>
      <c r="NUQ7" s="14"/>
      <c r="NUR7" s="14"/>
      <c r="NUS7" s="14"/>
      <c r="NUT7" s="14"/>
      <c r="NUU7" s="14"/>
      <c r="NUV7" s="14"/>
      <c r="NUW7" s="14"/>
      <c r="NUX7" s="14"/>
      <c r="NUY7" s="14"/>
      <c r="NUZ7" s="14"/>
      <c r="NVA7" s="14"/>
      <c r="NVB7" s="14"/>
      <c r="NVC7" s="14"/>
      <c r="NVD7" s="14"/>
      <c r="NVE7" s="14"/>
      <c r="NVF7" s="14"/>
      <c r="NVG7" s="14"/>
      <c r="NVH7" s="14"/>
      <c r="NVI7" s="14"/>
      <c r="NVJ7" s="14"/>
      <c r="NVK7" s="14"/>
      <c r="NVL7" s="14"/>
      <c r="NVM7" s="14"/>
      <c r="NVN7" s="14"/>
      <c r="NVO7" s="14"/>
      <c r="NVP7" s="14"/>
      <c r="NVQ7" s="14"/>
      <c r="NVR7" s="14"/>
      <c r="NVS7" s="14"/>
      <c r="NVT7" s="14"/>
      <c r="NVU7" s="14"/>
      <c r="NVV7" s="14"/>
      <c r="NVW7" s="14"/>
      <c r="NVX7" s="14"/>
      <c r="NVY7" s="14"/>
      <c r="NVZ7" s="14"/>
      <c r="NWA7" s="14"/>
      <c r="NWB7" s="14"/>
      <c r="NWC7" s="14"/>
      <c r="NWD7" s="14"/>
      <c r="NWE7" s="14"/>
      <c r="NWF7" s="14"/>
      <c r="NWG7" s="14"/>
      <c r="NWH7" s="14"/>
      <c r="NWI7" s="14"/>
      <c r="NWJ7" s="14"/>
      <c r="NWK7" s="14"/>
      <c r="NWL7" s="14"/>
      <c r="NWM7" s="14"/>
      <c r="NWN7" s="14"/>
      <c r="NWO7" s="14"/>
      <c r="NWP7" s="14"/>
      <c r="NWQ7" s="14"/>
      <c r="NWR7" s="14"/>
      <c r="NWS7" s="14"/>
      <c r="NWT7" s="14"/>
      <c r="NWU7" s="14"/>
      <c r="NWV7" s="14"/>
      <c r="NWW7" s="14"/>
      <c r="NWX7" s="14"/>
      <c r="NWY7" s="14"/>
      <c r="NWZ7" s="14"/>
      <c r="NXA7" s="14"/>
      <c r="NXB7" s="14"/>
      <c r="NXC7" s="14"/>
      <c r="NXD7" s="14"/>
      <c r="NXE7" s="14"/>
      <c r="NXF7" s="14"/>
      <c r="NXG7" s="14"/>
      <c r="NXH7" s="14"/>
      <c r="NXI7" s="14"/>
      <c r="NXJ7" s="14"/>
      <c r="NXK7" s="14"/>
      <c r="NXL7" s="14"/>
      <c r="NXM7" s="14"/>
      <c r="NXN7" s="14"/>
      <c r="NXO7" s="14"/>
      <c r="NXP7" s="14"/>
      <c r="NXQ7" s="14"/>
      <c r="NXR7" s="14"/>
      <c r="NXS7" s="14"/>
      <c r="NXT7" s="14"/>
      <c r="NXU7" s="14"/>
      <c r="NXV7" s="14"/>
      <c r="NXW7" s="14"/>
      <c r="NXX7" s="14"/>
      <c r="NXY7" s="14"/>
      <c r="NXZ7" s="14"/>
      <c r="NYA7" s="14"/>
      <c r="NYB7" s="14"/>
      <c r="NYC7" s="14"/>
      <c r="NYD7" s="14"/>
      <c r="NYE7" s="14"/>
      <c r="NYF7" s="14"/>
      <c r="NYG7" s="14"/>
      <c r="NYH7" s="14"/>
      <c r="NYI7" s="14"/>
      <c r="NYJ7" s="14"/>
      <c r="NYK7" s="14"/>
      <c r="NYL7" s="14"/>
      <c r="NYM7" s="14"/>
      <c r="NYN7" s="14"/>
      <c r="NYO7" s="14"/>
      <c r="NYP7" s="14"/>
      <c r="NYQ7" s="14"/>
      <c r="NYR7" s="14"/>
      <c r="NYS7" s="14"/>
      <c r="NYT7" s="14"/>
      <c r="NYU7" s="14"/>
      <c r="NYV7" s="14"/>
      <c r="NYW7" s="14"/>
      <c r="NYX7" s="14"/>
      <c r="NYY7" s="14"/>
      <c r="NYZ7" s="14"/>
      <c r="NZA7" s="14"/>
      <c r="NZB7" s="14"/>
      <c r="NZC7" s="14"/>
      <c r="NZD7" s="14"/>
      <c r="NZE7" s="14"/>
      <c r="NZF7" s="14"/>
      <c r="NZG7" s="14"/>
      <c r="NZH7" s="14"/>
      <c r="NZI7" s="14"/>
      <c r="NZJ7" s="14"/>
      <c r="NZK7" s="14"/>
      <c r="NZL7" s="14"/>
      <c r="NZM7" s="14"/>
      <c r="NZN7" s="14"/>
      <c r="NZO7" s="14"/>
      <c r="NZP7" s="14"/>
      <c r="NZQ7" s="14"/>
      <c r="NZR7" s="14"/>
      <c r="NZS7" s="14"/>
      <c r="NZT7" s="14"/>
      <c r="NZU7" s="14"/>
      <c r="NZV7" s="14"/>
      <c r="NZW7" s="14"/>
      <c r="NZX7" s="14"/>
      <c r="NZY7" s="14"/>
      <c r="NZZ7" s="14"/>
      <c r="OAA7" s="14"/>
      <c r="OAB7" s="14"/>
      <c r="OAC7" s="14"/>
      <c r="OAD7" s="14"/>
      <c r="OAE7" s="14"/>
      <c r="OAF7" s="14"/>
      <c r="OAG7" s="14"/>
      <c r="OAH7" s="14"/>
      <c r="OAI7" s="14"/>
      <c r="OAJ7" s="14"/>
      <c r="OAK7" s="14"/>
      <c r="OAL7" s="14"/>
      <c r="OAM7" s="14"/>
      <c r="OAN7" s="14"/>
      <c r="OAO7" s="14"/>
      <c r="OAP7" s="14"/>
      <c r="OAQ7" s="14"/>
      <c r="OAR7" s="14"/>
      <c r="OAS7" s="14"/>
      <c r="OAT7" s="14"/>
      <c r="OAU7" s="14"/>
      <c r="OAV7" s="14"/>
      <c r="OAW7" s="14"/>
      <c r="OAX7" s="14"/>
      <c r="OAY7" s="14"/>
      <c r="OAZ7" s="14"/>
      <c r="OBA7" s="14"/>
      <c r="OBB7" s="14"/>
      <c r="OBC7" s="14"/>
      <c r="OBD7" s="14"/>
      <c r="OBE7" s="14"/>
      <c r="OBF7" s="14"/>
      <c r="OBG7" s="14"/>
      <c r="OBH7" s="14"/>
      <c r="OBI7" s="14"/>
      <c r="OBJ7" s="14"/>
      <c r="OBK7" s="14"/>
      <c r="OBL7" s="14"/>
      <c r="OBM7" s="14"/>
      <c r="OBN7" s="14"/>
      <c r="OBO7" s="14"/>
      <c r="OBP7" s="14"/>
      <c r="OBQ7" s="14"/>
      <c r="OBR7" s="14"/>
      <c r="OBS7" s="14"/>
      <c r="OBT7" s="14"/>
      <c r="OBU7" s="14"/>
      <c r="OBV7" s="14"/>
      <c r="OBW7" s="14"/>
      <c r="OBX7" s="14"/>
      <c r="OBY7" s="14"/>
      <c r="OBZ7" s="14"/>
      <c r="OCA7" s="14"/>
      <c r="OCB7" s="14"/>
      <c r="OCC7" s="14"/>
      <c r="OCD7" s="14"/>
      <c r="OCE7" s="14"/>
      <c r="OCF7" s="14"/>
      <c r="OCG7" s="14"/>
      <c r="OCH7" s="14"/>
      <c r="OCI7" s="14"/>
      <c r="OCJ7" s="14"/>
      <c r="OCK7" s="14"/>
      <c r="OCL7" s="14"/>
      <c r="OCM7" s="14"/>
      <c r="OCN7" s="14"/>
      <c r="OCO7" s="14"/>
      <c r="OCP7" s="14"/>
      <c r="OCQ7" s="14"/>
      <c r="OCR7" s="14"/>
      <c r="OCS7" s="14"/>
      <c r="OCT7" s="14"/>
      <c r="OCU7" s="14"/>
      <c r="OCV7" s="14"/>
      <c r="OCW7" s="14"/>
      <c r="OCX7" s="14"/>
      <c r="OCY7" s="14"/>
      <c r="OCZ7" s="14"/>
      <c r="ODA7" s="14"/>
      <c r="ODB7" s="14"/>
      <c r="ODC7" s="14"/>
      <c r="ODD7" s="14"/>
      <c r="ODE7" s="14"/>
      <c r="ODF7" s="14"/>
      <c r="ODG7" s="14"/>
      <c r="ODH7" s="14"/>
      <c r="ODI7" s="14"/>
      <c r="ODJ7" s="14"/>
      <c r="ODK7" s="14"/>
      <c r="ODL7" s="14"/>
      <c r="ODM7" s="14"/>
      <c r="ODN7" s="14"/>
      <c r="ODO7" s="14"/>
      <c r="ODP7" s="14"/>
      <c r="ODQ7" s="14"/>
      <c r="ODR7" s="14"/>
      <c r="ODS7" s="14"/>
      <c r="ODT7" s="14"/>
      <c r="ODU7" s="14"/>
      <c r="ODV7" s="14"/>
      <c r="ODW7" s="14"/>
      <c r="ODX7" s="14"/>
      <c r="ODY7" s="14"/>
      <c r="ODZ7" s="14"/>
      <c r="OEA7" s="14"/>
      <c r="OEB7" s="14"/>
      <c r="OEC7" s="14"/>
      <c r="OED7" s="14"/>
      <c r="OEE7" s="14"/>
      <c r="OEF7" s="14"/>
      <c r="OEG7" s="14"/>
      <c r="OEH7" s="14"/>
      <c r="OEI7" s="14"/>
      <c r="OEJ7" s="14"/>
      <c r="OEK7" s="14"/>
      <c r="OEL7" s="14"/>
      <c r="OEM7" s="14"/>
      <c r="OEN7" s="14"/>
      <c r="OEO7" s="14"/>
      <c r="OEP7" s="14"/>
      <c r="OEQ7" s="14"/>
      <c r="OER7" s="14"/>
      <c r="OES7" s="14"/>
      <c r="OET7" s="14"/>
      <c r="OEU7" s="14"/>
      <c r="OEV7" s="14"/>
      <c r="OEW7" s="14"/>
      <c r="OEX7" s="14"/>
      <c r="OEY7" s="14"/>
      <c r="OEZ7" s="14"/>
      <c r="OFA7" s="14"/>
      <c r="OFB7" s="14"/>
      <c r="OFC7" s="14"/>
      <c r="OFD7" s="14"/>
      <c r="OFE7" s="14"/>
      <c r="OFF7" s="14"/>
      <c r="OFG7" s="14"/>
      <c r="OFH7" s="14"/>
      <c r="OFI7" s="14"/>
      <c r="OFJ7" s="14"/>
      <c r="OFK7" s="14"/>
      <c r="OFL7" s="14"/>
      <c r="OFM7" s="14"/>
      <c r="OFN7" s="14"/>
      <c r="OFO7" s="14"/>
      <c r="OFP7" s="14"/>
      <c r="OFQ7" s="14"/>
      <c r="OFR7" s="14"/>
      <c r="OFS7" s="14"/>
      <c r="OFT7" s="14"/>
      <c r="OFU7" s="14"/>
      <c r="OFV7" s="14"/>
      <c r="OFW7" s="14"/>
      <c r="OFX7" s="14"/>
      <c r="OFY7" s="14"/>
      <c r="OFZ7" s="14"/>
      <c r="OGA7" s="14"/>
      <c r="OGB7" s="14"/>
      <c r="OGC7" s="14"/>
      <c r="OGD7" s="14"/>
      <c r="OGE7" s="14"/>
      <c r="OGF7" s="14"/>
      <c r="OGG7" s="14"/>
      <c r="OGH7" s="14"/>
      <c r="OGI7" s="14"/>
      <c r="OGJ7" s="14"/>
      <c r="OGK7" s="14"/>
      <c r="OGL7" s="14"/>
      <c r="OGM7" s="14"/>
      <c r="OGN7" s="14"/>
      <c r="OGO7" s="14"/>
      <c r="OGP7" s="14"/>
      <c r="OGQ7" s="14"/>
      <c r="OGR7" s="14"/>
      <c r="OGS7" s="14"/>
      <c r="OGT7" s="14"/>
      <c r="OGU7" s="14"/>
      <c r="OGV7" s="14"/>
      <c r="OGW7" s="14"/>
      <c r="OGX7" s="14"/>
      <c r="OGY7" s="14"/>
      <c r="OGZ7" s="14"/>
      <c r="OHA7" s="14"/>
      <c r="OHB7" s="14"/>
      <c r="OHC7" s="14"/>
      <c r="OHD7" s="14"/>
      <c r="OHE7" s="14"/>
      <c r="OHF7" s="14"/>
      <c r="OHG7" s="14"/>
      <c r="OHH7" s="14"/>
      <c r="OHI7" s="14"/>
      <c r="OHJ7" s="14"/>
      <c r="OHK7" s="14"/>
      <c r="OHL7" s="14"/>
      <c r="OHM7" s="14"/>
      <c r="OHN7" s="14"/>
      <c r="OHO7" s="14"/>
      <c r="OHP7" s="14"/>
      <c r="OHQ7" s="14"/>
      <c r="OHR7" s="14"/>
      <c r="OHS7" s="14"/>
      <c r="OHT7" s="14"/>
      <c r="OHU7" s="14"/>
      <c r="OHV7" s="14"/>
      <c r="OHW7" s="14"/>
      <c r="OHX7" s="14"/>
      <c r="OHY7" s="14"/>
      <c r="OHZ7" s="14"/>
      <c r="OIA7" s="14"/>
      <c r="OIB7" s="14"/>
      <c r="OIC7" s="14"/>
      <c r="OID7" s="14"/>
      <c r="OIE7" s="14"/>
      <c r="OIF7" s="14"/>
      <c r="OIG7" s="14"/>
      <c r="OIH7" s="14"/>
      <c r="OII7" s="14"/>
      <c r="OIJ7" s="14"/>
      <c r="OIK7" s="14"/>
      <c r="OIL7" s="14"/>
      <c r="OIM7" s="14"/>
      <c r="OIN7" s="14"/>
      <c r="OIO7" s="14"/>
      <c r="OIP7" s="14"/>
      <c r="OIQ7" s="14"/>
      <c r="OIR7" s="14"/>
      <c r="OIS7" s="14"/>
      <c r="OIT7" s="14"/>
      <c r="OIU7" s="14"/>
      <c r="OIV7" s="14"/>
      <c r="OIW7" s="14"/>
      <c r="OIX7" s="14"/>
      <c r="OIY7" s="14"/>
      <c r="OIZ7" s="14"/>
      <c r="OJA7" s="14"/>
      <c r="OJB7" s="14"/>
      <c r="OJC7" s="14"/>
      <c r="OJD7" s="14"/>
      <c r="OJE7" s="14"/>
      <c r="OJF7" s="14"/>
      <c r="OJG7" s="14"/>
      <c r="OJH7" s="14"/>
      <c r="OJI7" s="14"/>
      <c r="OJJ7" s="14"/>
      <c r="OJK7" s="14"/>
      <c r="OJL7" s="14"/>
      <c r="OJM7" s="14"/>
      <c r="OJN7" s="14"/>
      <c r="OJO7" s="14"/>
      <c r="OJP7" s="14"/>
      <c r="OJQ7" s="14"/>
      <c r="OJR7" s="14"/>
      <c r="OJS7" s="14"/>
      <c r="OJT7" s="14"/>
      <c r="OJU7" s="14"/>
      <c r="OJV7" s="14"/>
      <c r="OJW7" s="14"/>
      <c r="OJX7" s="14"/>
      <c r="OJY7" s="14"/>
      <c r="OJZ7" s="14"/>
      <c r="OKA7" s="14"/>
      <c r="OKB7" s="14"/>
      <c r="OKC7" s="14"/>
      <c r="OKD7" s="14"/>
      <c r="OKE7" s="14"/>
      <c r="OKF7" s="14"/>
      <c r="OKG7" s="14"/>
      <c r="OKH7" s="14"/>
      <c r="OKI7" s="14"/>
      <c r="OKJ7" s="14"/>
      <c r="OKK7" s="14"/>
      <c r="OKL7" s="14"/>
      <c r="OKM7" s="14"/>
      <c r="OKN7" s="14"/>
      <c r="OKO7" s="14"/>
      <c r="OKP7" s="14"/>
      <c r="OKQ7" s="14"/>
      <c r="OKR7" s="14"/>
      <c r="OKS7" s="14"/>
      <c r="OKT7" s="14"/>
      <c r="OKU7" s="14"/>
      <c r="OKV7" s="14"/>
      <c r="OKW7" s="14"/>
      <c r="OKX7" s="14"/>
      <c r="OKY7" s="14"/>
      <c r="OKZ7" s="14"/>
      <c r="OLA7" s="14"/>
      <c r="OLB7" s="14"/>
      <c r="OLC7" s="14"/>
      <c r="OLD7" s="14"/>
      <c r="OLE7" s="14"/>
      <c r="OLF7" s="14"/>
      <c r="OLG7" s="14"/>
      <c r="OLH7" s="14"/>
      <c r="OLI7" s="14"/>
      <c r="OLJ7" s="14"/>
      <c r="OLK7" s="14"/>
      <c r="OLL7" s="14"/>
      <c r="OLM7" s="14"/>
      <c r="OLN7" s="14"/>
      <c r="OLO7" s="14"/>
      <c r="OLP7" s="14"/>
      <c r="OLQ7" s="14"/>
      <c r="OLR7" s="14"/>
      <c r="OLS7" s="14"/>
      <c r="OLT7" s="14"/>
      <c r="OLU7" s="14"/>
      <c r="OLV7" s="14"/>
      <c r="OLW7" s="14"/>
      <c r="OLX7" s="14"/>
      <c r="OLY7" s="14"/>
      <c r="OLZ7" s="14"/>
      <c r="OMA7" s="14"/>
      <c r="OMB7" s="14"/>
      <c r="OMC7" s="14"/>
      <c r="OMD7" s="14"/>
      <c r="OME7" s="14"/>
      <c r="OMF7" s="14"/>
      <c r="OMG7" s="14"/>
      <c r="OMH7" s="14"/>
      <c r="OMI7" s="14"/>
      <c r="OMJ7" s="14"/>
      <c r="OMK7" s="14"/>
      <c r="OML7" s="14"/>
      <c r="OMM7" s="14"/>
      <c r="OMN7" s="14"/>
      <c r="OMO7" s="14"/>
      <c r="OMP7" s="14"/>
      <c r="OMQ7" s="14"/>
      <c r="OMR7" s="14"/>
      <c r="OMS7" s="14"/>
      <c r="OMT7" s="14"/>
      <c r="OMU7" s="14"/>
      <c r="OMV7" s="14"/>
      <c r="OMW7" s="14"/>
      <c r="OMX7" s="14"/>
      <c r="OMY7" s="14"/>
      <c r="OMZ7" s="14"/>
      <c r="ONA7" s="14"/>
      <c r="ONB7" s="14"/>
      <c r="ONC7" s="14"/>
      <c r="OND7" s="14"/>
      <c r="ONE7" s="14"/>
      <c r="ONF7" s="14"/>
      <c r="ONG7" s="14"/>
      <c r="ONH7" s="14"/>
      <c r="ONI7" s="14"/>
      <c r="ONJ7" s="14"/>
      <c r="ONK7" s="14"/>
      <c r="ONL7" s="14"/>
      <c r="ONM7" s="14"/>
      <c r="ONN7" s="14"/>
      <c r="ONO7" s="14"/>
      <c r="ONP7" s="14"/>
      <c r="ONQ7" s="14"/>
      <c r="ONR7" s="14"/>
      <c r="ONS7" s="14"/>
      <c r="ONT7" s="14"/>
      <c r="ONU7" s="14"/>
      <c r="ONV7" s="14"/>
      <c r="ONW7" s="14"/>
      <c r="ONX7" s="14"/>
      <c r="ONY7" s="14"/>
      <c r="ONZ7" s="14"/>
      <c r="OOA7" s="14"/>
      <c r="OOB7" s="14"/>
      <c r="OOC7" s="14"/>
      <c r="OOD7" s="14"/>
      <c r="OOE7" s="14"/>
      <c r="OOF7" s="14"/>
      <c r="OOG7" s="14"/>
      <c r="OOH7" s="14"/>
      <c r="OOI7" s="14"/>
      <c r="OOJ7" s="14"/>
      <c r="OOK7" s="14"/>
      <c r="OOL7" s="14"/>
      <c r="OOM7" s="14"/>
      <c r="OON7" s="14"/>
      <c r="OOO7" s="14"/>
      <c r="OOP7" s="14"/>
      <c r="OOQ7" s="14"/>
      <c r="OOR7" s="14"/>
      <c r="OOS7" s="14"/>
      <c r="OOT7" s="14"/>
      <c r="OOU7" s="14"/>
      <c r="OOV7" s="14"/>
      <c r="OOW7" s="14"/>
      <c r="OOX7" s="14"/>
      <c r="OOY7" s="14"/>
      <c r="OOZ7" s="14"/>
      <c r="OPA7" s="14"/>
      <c r="OPB7" s="14"/>
      <c r="OPC7" s="14"/>
      <c r="OPD7" s="14"/>
      <c r="OPE7" s="14"/>
      <c r="OPF7" s="14"/>
      <c r="OPG7" s="14"/>
      <c r="OPH7" s="14"/>
      <c r="OPI7" s="14"/>
      <c r="OPJ7" s="14"/>
      <c r="OPK7" s="14"/>
      <c r="OPL7" s="14"/>
      <c r="OPM7" s="14"/>
      <c r="OPN7" s="14"/>
      <c r="OPO7" s="14"/>
      <c r="OPP7" s="14"/>
      <c r="OPQ7" s="14"/>
      <c r="OPR7" s="14"/>
      <c r="OPS7" s="14"/>
      <c r="OPT7" s="14"/>
      <c r="OPU7" s="14"/>
      <c r="OPV7" s="14"/>
      <c r="OPW7" s="14"/>
      <c r="OPX7" s="14"/>
      <c r="OPY7" s="14"/>
      <c r="OPZ7" s="14"/>
      <c r="OQA7" s="14"/>
      <c r="OQB7" s="14"/>
      <c r="OQC7" s="14"/>
      <c r="OQD7" s="14"/>
      <c r="OQE7" s="14"/>
      <c r="OQF7" s="14"/>
      <c r="OQG7" s="14"/>
      <c r="OQH7" s="14"/>
      <c r="OQI7" s="14"/>
      <c r="OQJ7" s="14"/>
      <c r="OQK7" s="14"/>
      <c r="OQL7" s="14"/>
      <c r="OQM7" s="14"/>
      <c r="OQN7" s="14"/>
      <c r="OQO7" s="14"/>
      <c r="OQP7" s="14"/>
      <c r="OQQ7" s="14"/>
      <c r="OQR7" s="14"/>
      <c r="OQS7" s="14"/>
      <c r="OQT7" s="14"/>
      <c r="OQU7" s="14"/>
      <c r="OQV7" s="14"/>
      <c r="OQW7" s="14"/>
      <c r="OQX7" s="14"/>
      <c r="OQY7" s="14"/>
      <c r="OQZ7" s="14"/>
      <c r="ORA7" s="14"/>
      <c r="ORB7" s="14"/>
      <c r="ORC7" s="14"/>
      <c r="ORD7" s="14"/>
      <c r="ORE7" s="14"/>
      <c r="ORF7" s="14"/>
      <c r="ORG7" s="14"/>
      <c r="ORH7" s="14"/>
      <c r="ORI7" s="14"/>
      <c r="ORJ7" s="14"/>
      <c r="ORK7" s="14"/>
      <c r="ORL7" s="14"/>
      <c r="ORM7" s="14"/>
      <c r="ORN7" s="14"/>
      <c r="ORO7" s="14"/>
      <c r="ORP7" s="14"/>
      <c r="ORQ7" s="14"/>
      <c r="ORR7" s="14"/>
      <c r="ORS7" s="14"/>
      <c r="ORT7" s="14"/>
      <c r="ORU7" s="14"/>
      <c r="ORV7" s="14"/>
      <c r="ORW7" s="14"/>
      <c r="ORX7" s="14"/>
      <c r="ORY7" s="14"/>
      <c r="ORZ7" s="14"/>
      <c r="OSA7" s="14"/>
      <c r="OSB7" s="14"/>
      <c r="OSC7" s="14"/>
      <c r="OSD7" s="14"/>
      <c r="OSE7" s="14"/>
      <c r="OSF7" s="14"/>
      <c r="OSG7" s="14"/>
      <c r="OSH7" s="14"/>
      <c r="OSI7" s="14"/>
      <c r="OSJ7" s="14"/>
      <c r="OSK7" s="14"/>
      <c r="OSL7" s="14"/>
      <c r="OSM7" s="14"/>
      <c r="OSN7" s="14"/>
      <c r="OSO7" s="14"/>
      <c r="OSP7" s="14"/>
      <c r="OSQ7" s="14"/>
      <c r="OSR7" s="14"/>
      <c r="OSS7" s="14"/>
      <c r="OST7" s="14"/>
      <c r="OSU7" s="14"/>
      <c r="OSV7" s="14"/>
      <c r="OSW7" s="14"/>
      <c r="OSX7" s="14"/>
      <c r="OSY7" s="14"/>
      <c r="OSZ7" s="14"/>
      <c r="OTA7" s="14"/>
      <c r="OTB7" s="14"/>
      <c r="OTC7" s="14"/>
      <c r="OTD7" s="14"/>
      <c r="OTE7" s="14"/>
      <c r="OTF7" s="14"/>
      <c r="OTG7" s="14"/>
      <c r="OTH7" s="14"/>
      <c r="OTI7" s="14"/>
      <c r="OTJ7" s="14"/>
      <c r="OTK7" s="14"/>
      <c r="OTL7" s="14"/>
      <c r="OTM7" s="14"/>
      <c r="OTN7" s="14"/>
      <c r="OTO7" s="14"/>
      <c r="OTP7" s="14"/>
      <c r="OTQ7" s="14"/>
      <c r="OTR7" s="14"/>
      <c r="OTS7" s="14"/>
      <c r="OTT7" s="14"/>
      <c r="OTU7" s="14"/>
      <c r="OTV7" s="14"/>
      <c r="OTW7" s="14"/>
      <c r="OTX7" s="14"/>
      <c r="OTY7" s="14"/>
      <c r="OTZ7" s="14"/>
      <c r="OUA7" s="14"/>
      <c r="OUB7" s="14"/>
      <c r="OUC7" s="14"/>
      <c r="OUD7" s="14"/>
      <c r="OUE7" s="14"/>
      <c r="OUF7" s="14"/>
      <c r="OUG7" s="14"/>
      <c r="OUH7" s="14"/>
      <c r="OUI7" s="14"/>
      <c r="OUJ7" s="14"/>
      <c r="OUK7" s="14"/>
      <c r="OUL7" s="14"/>
      <c r="OUM7" s="14"/>
      <c r="OUN7" s="14"/>
      <c r="OUO7" s="14"/>
      <c r="OUP7" s="14"/>
      <c r="OUQ7" s="14"/>
      <c r="OUR7" s="14"/>
      <c r="OUS7" s="14"/>
      <c r="OUT7" s="14"/>
      <c r="OUU7" s="14"/>
      <c r="OUV7" s="14"/>
      <c r="OUW7" s="14"/>
      <c r="OUX7" s="14"/>
      <c r="OUY7" s="14"/>
      <c r="OUZ7" s="14"/>
      <c r="OVA7" s="14"/>
      <c r="OVB7" s="14"/>
      <c r="OVC7" s="14"/>
      <c r="OVD7" s="14"/>
      <c r="OVE7" s="14"/>
      <c r="OVF7" s="14"/>
      <c r="OVG7" s="14"/>
      <c r="OVH7" s="14"/>
      <c r="OVI7" s="14"/>
      <c r="OVJ7" s="14"/>
      <c r="OVK7" s="14"/>
      <c r="OVL7" s="14"/>
      <c r="OVM7" s="14"/>
      <c r="OVN7" s="14"/>
      <c r="OVO7" s="14"/>
      <c r="OVP7" s="14"/>
      <c r="OVQ7" s="14"/>
      <c r="OVR7" s="14"/>
      <c r="OVS7" s="14"/>
      <c r="OVT7" s="14"/>
      <c r="OVU7" s="14"/>
      <c r="OVV7" s="14"/>
      <c r="OVW7" s="14"/>
      <c r="OVX7" s="14"/>
      <c r="OVY7" s="14"/>
      <c r="OVZ7" s="14"/>
      <c r="OWA7" s="14"/>
      <c r="OWB7" s="14"/>
      <c r="OWC7" s="14"/>
      <c r="OWD7" s="14"/>
      <c r="OWE7" s="14"/>
      <c r="OWF7" s="14"/>
      <c r="OWG7" s="14"/>
      <c r="OWH7" s="14"/>
      <c r="OWI7" s="14"/>
      <c r="OWJ7" s="14"/>
      <c r="OWK7" s="14"/>
      <c r="OWL7" s="14"/>
      <c r="OWM7" s="14"/>
      <c r="OWN7" s="14"/>
      <c r="OWO7" s="14"/>
      <c r="OWP7" s="14"/>
      <c r="OWQ7" s="14"/>
      <c r="OWR7" s="14"/>
      <c r="OWS7" s="14"/>
      <c r="OWT7" s="14"/>
      <c r="OWU7" s="14"/>
      <c r="OWV7" s="14"/>
      <c r="OWW7" s="14"/>
      <c r="OWX7" s="14"/>
      <c r="OWY7" s="14"/>
      <c r="OWZ7" s="14"/>
      <c r="OXA7" s="14"/>
      <c r="OXB7" s="14"/>
      <c r="OXC7" s="14"/>
      <c r="OXD7" s="14"/>
      <c r="OXE7" s="14"/>
      <c r="OXF7" s="14"/>
      <c r="OXG7" s="14"/>
      <c r="OXH7" s="14"/>
      <c r="OXI7" s="14"/>
      <c r="OXJ7" s="14"/>
      <c r="OXK7" s="14"/>
      <c r="OXL7" s="14"/>
      <c r="OXM7" s="14"/>
      <c r="OXN7" s="14"/>
      <c r="OXO7" s="14"/>
      <c r="OXP7" s="14"/>
      <c r="OXQ7" s="14"/>
      <c r="OXR7" s="14"/>
      <c r="OXS7" s="14"/>
      <c r="OXT7" s="14"/>
      <c r="OXU7" s="14"/>
      <c r="OXV7" s="14"/>
      <c r="OXW7" s="14"/>
      <c r="OXX7" s="14"/>
      <c r="OXY7" s="14"/>
      <c r="OXZ7" s="14"/>
      <c r="OYA7" s="14"/>
      <c r="OYB7" s="14"/>
      <c r="OYC7" s="14"/>
      <c r="OYD7" s="14"/>
      <c r="OYE7" s="14"/>
      <c r="OYF7" s="14"/>
      <c r="OYG7" s="14"/>
      <c r="OYH7" s="14"/>
      <c r="OYI7" s="14"/>
      <c r="OYJ7" s="14"/>
      <c r="OYK7" s="14"/>
      <c r="OYL7" s="14"/>
      <c r="OYM7" s="14"/>
      <c r="OYN7" s="14"/>
      <c r="OYO7" s="14"/>
      <c r="OYP7" s="14"/>
      <c r="OYQ7" s="14"/>
      <c r="OYR7" s="14"/>
      <c r="OYS7" s="14"/>
      <c r="OYT7" s="14"/>
      <c r="OYU7" s="14"/>
      <c r="OYV7" s="14"/>
      <c r="OYW7" s="14"/>
      <c r="OYX7" s="14"/>
      <c r="OYY7" s="14"/>
      <c r="OYZ7" s="14"/>
      <c r="OZA7" s="14"/>
      <c r="OZB7" s="14"/>
      <c r="OZC7" s="14"/>
      <c r="OZD7" s="14"/>
      <c r="OZE7" s="14"/>
      <c r="OZF7" s="14"/>
      <c r="OZG7" s="14"/>
      <c r="OZH7" s="14"/>
      <c r="OZI7" s="14"/>
      <c r="OZJ7" s="14"/>
      <c r="OZK7" s="14"/>
      <c r="OZL7" s="14"/>
      <c r="OZM7" s="14"/>
      <c r="OZN7" s="14"/>
      <c r="OZO7" s="14"/>
      <c r="OZP7" s="14"/>
      <c r="OZQ7" s="14"/>
      <c r="OZR7" s="14"/>
      <c r="OZS7" s="14"/>
      <c r="OZT7" s="14"/>
      <c r="OZU7" s="14"/>
      <c r="OZV7" s="14"/>
      <c r="OZW7" s="14"/>
      <c r="OZX7" s="14"/>
      <c r="OZY7" s="14"/>
      <c r="OZZ7" s="14"/>
      <c r="PAA7" s="14"/>
      <c r="PAB7" s="14"/>
      <c r="PAC7" s="14"/>
      <c r="PAD7" s="14"/>
      <c r="PAE7" s="14"/>
      <c r="PAF7" s="14"/>
      <c r="PAG7" s="14"/>
      <c r="PAH7" s="14"/>
      <c r="PAI7" s="14"/>
      <c r="PAJ7" s="14"/>
      <c r="PAK7" s="14"/>
      <c r="PAL7" s="14"/>
      <c r="PAM7" s="14"/>
      <c r="PAN7" s="14"/>
      <c r="PAO7" s="14"/>
      <c r="PAP7" s="14"/>
      <c r="PAQ7" s="14"/>
      <c r="PAR7" s="14"/>
      <c r="PAS7" s="14"/>
      <c r="PAT7" s="14"/>
      <c r="PAU7" s="14"/>
      <c r="PAV7" s="14"/>
      <c r="PAW7" s="14"/>
      <c r="PAX7" s="14"/>
      <c r="PAY7" s="14"/>
      <c r="PAZ7" s="14"/>
      <c r="PBA7" s="14"/>
      <c r="PBB7" s="14"/>
      <c r="PBC7" s="14"/>
      <c r="PBD7" s="14"/>
      <c r="PBE7" s="14"/>
      <c r="PBF7" s="14"/>
      <c r="PBG7" s="14"/>
      <c r="PBH7" s="14"/>
      <c r="PBI7" s="14"/>
      <c r="PBJ7" s="14"/>
      <c r="PBK7" s="14"/>
      <c r="PBL7" s="14"/>
      <c r="PBM7" s="14"/>
      <c r="PBN7" s="14"/>
      <c r="PBO7" s="14"/>
      <c r="PBP7" s="14"/>
      <c r="PBQ7" s="14"/>
      <c r="PBR7" s="14"/>
      <c r="PBS7" s="14"/>
      <c r="PBT7" s="14"/>
      <c r="PBU7" s="14"/>
      <c r="PBV7" s="14"/>
      <c r="PBW7" s="14"/>
      <c r="PBX7" s="14"/>
      <c r="PBY7" s="14"/>
      <c r="PBZ7" s="14"/>
      <c r="PCA7" s="14"/>
      <c r="PCB7" s="14"/>
      <c r="PCC7" s="14"/>
      <c r="PCD7" s="14"/>
      <c r="PCE7" s="14"/>
      <c r="PCF7" s="14"/>
      <c r="PCG7" s="14"/>
      <c r="PCH7" s="14"/>
      <c r="PCI7" s="14"/>
      <c r="PCJ7" s="14"/>
      <c r="PCK7" s="14"/>
      <c r="PCL7" s="14"/>
      <c r="PCM7" s="14"/>
      <c r="PCN7" s="14"/>
      <c r="PCO7" s="14"/>
      <c r="PCP7" s="14"/>
      <c r="PCQ7" s="14"/>
      <c r="PCR7" s="14"/>
      <c r="PCS7" s="14"/>
      <c r="PCT7" s="14"/>
      <c r="PCU7" s="14"/>
      <c r="PCV7" s="14"/>
      <c r="PCW7" s="14"/>
      <c r="PCX7" s="14"/>
      <c r="PCY7" s="14"/>
      <c r="PCZ7" s="14"/>
      <c r="PDA7" s="14"/>
      <c r="PDB7" s="14"/>
      <c r="PDC7" s="14"/>
      <c r="PDD7" s="14"/>
      <c r="PDE7" s="14"/>
      <c r="PDF7" s="14"/>
      <c r="PDG7" s="14"/>
      <c r="PDH7" s="14"/>
      <c r="PDI7" s="14"/>
      <c r="PDJ7" s="14"/>
      <c r="PDK7" s="14"/>
      <c r="PDL7" s="14"/>
      <c r="PDM7" s="14"/>
      <c r="PDN7" s="14"/>
      <c r="PDO7" s="14"/>
      <c r="PDP7" s="14"/>
      <c r="PDQ7" s="14"/>
      <c r="PDR7" s="14"/>
      <c r="PDS7" s="14"/>
      <c r="PDT7" s="14"/>
      <c r="PDU7" s="14"/>
      <c r="PDV7" s="14"/>
      <c r="PDW7" s="14"/>
      <c r="PDX7" s="14"/>
      <c r="PDY7" s="14"/>
      <c r="PDZ7" s="14"/>
      <c r="PEA7" s="14"/>
      <c r="PEB7" s="14"/>
      <c r="PEC7" s="14"/>
      <c r="PED7" s="14"/>
      <c r="PEE7" s="14"/>
      <c r="PEF7" s="14"/>
      <c r="PEG7" s="14"/>
      <c r="PEH7" s="14"/>
      <c r="PEI7" s="14"/>
      <c r="PEJ7" s="14"/>
      <c r="PEK7" s="14"/>
      <c r="PEL7" s="14"/>
      <c r="PEM7" s="14"/>
      <c r="PEN7" s="14"/>
      <c r="PEO7" s="14"/>
      <c r="PEP7" s="14"/>
      <c r="PEQ7" s="14"/>
      <c r="PER7" s="14"/>
      <c r="PES7" s="14"/>
      <c r="PET7" s="14"/>
      <c r="PEU7" s="14"/>
      <c r="PEV7" s="14"/>
      <c r="PEW7" s="14"/>
      <c r="PEX7" s="14"/>
      <c r="PEY7" s="14"/>
      <c r="PEZ7" s="14"/>
      <c r="PFA7" s="14"/>
      <c r="PFB7" s="14"/>
      <c r="PFC7" s="14"/>
      <c r="PFD7" s="14"/>
      <c r="PFE7" s="14"/>
      <c r="PFF7" s="14"/>
      <c r="PFG7" s="14"/>
      <c r="PFH7" s="14"/>
      <c r="PFI7" s="14"/>
      <c r="PFJ7" s="14"/>
      <c r="PFK7" s="14"/>
      <c r="PFL7" s="14"/>
      <c r="PFM7" s="14"/>
      <c r="PFN7" s="14"/>
      <c r="PFO7" s="14"/>
      <c r="PFP7" s="14"/>
      <c r="PFQ7" s="14"/>
      <c r="PFR7" s="14"/>
      <c r="PFS7" s="14"/>
      <c r="PFT7" s="14"/>
      <c r="PFU7" s="14"/>
      <c r="PFV7" s="14"/>
      <c r="PFW7" s="14"/>
      <c r="PFX7" s="14"/>
      <c r="PFY7" s="14"/>
      <c r="PFZ7" s="14"/>
      <c r="PGA7" s="14"/>
      <c r="PGB7" s="14"/>
      <c r="PGC7" s="14"/>
      <c r="PGD7" s="14"/>
      <c r="PGE7" s="14"/>
      <c r="PGF7" s="14"/>
      <c r="PGG7" s="14"/>
      <c r="PGH7" s="14"/>
      <c r="PGI7" s="14"/>
      <c r="PGJ7" s="14"/>
      <c r="PGK7" s="14"/>
      <c r="PGL7" s="14"/>
      <c r="PGM7" s="14"/>
      <c r="PGN7" s="14"/>
      <c r="PGO7" s="14"/>
      <c r="PGP7" s="14"/>
      <c r="PGQ7" s="14"/>
      <c r="PGR7" s="14"/>
      <c r="PGS7" s="14"/>
      <c r="PGT7" s="14"/>
      <c r="PGU7" s="14"/>
      <c r="PGV7" s="14"/>
      <c r="PGW7" s="14"/>
      <c r="PGX7" s="14"/>
      <c r="PGY7" s="14"/>
      <c r="PGZ7" s="14"/>
      <c r="PHA7" s="14"/>
      <c r="PHB7" s="14"/>
      <c r="PHC7" s="14"/>
      <c r="PHD7" s="14"/>
      <c r="PHE7" s="14"/>
      <c r="PHF7" s="14"/>
      <c r="PHG7" s="14"/>
      <c r="PHH7" s="14"/>
      <c r="PHI7" s="14"/>
      <c r="PHJ7" s="14"/>
      <c r="PHK7" s="14"/>
      <c r="PHL7" s="14"/>
      <c r="PHM7" s="14"/>
      <c r="PHN7" s="14"/>
      <c r="PHO7" s="14"/>
      <c r="PHP7" s="14"/>
      <c r="PHQ7" s="14"/>
      <c r="PHR7" s="14"/>
      <c r="PHS7" s="14"/>
      <c r="PHT7" s="14"/>
      <c r="PHU7" s="14"/>
      <c r="PHV7" s="14"/>
      <c r="PHW7" s="14"/>
      <c r="PHX7" s="14"/>
      <c r="PHY7" s="14"/>
      <c r="PHZ7" s="14"/>
      <c r="PIA7" s="14"/>
      <c r="PIB7" s="14"/>
      <c r="PIC7" s="14"/>
      <c r="PID7" s="14"/>
      <c r="PIE7" s="14"/>
      <c r="PIF7" s="14"/>
      <c r="PIG7" s="14"/>
      <c r="PIH7" s="14"/>
      <c r="PII7" s="14"/>
      <c r="PIJ7" s="14"/>
      <c r="PIK7" s="14"/>
      <c r="PIL7" s="14"/>
      <c r="PIM7" s="14"/>
      <c r="PIN7" s="14"/>
      <c r="PIO7" s="14"/>
      <c r="PIP7" s="14"/>
      <c r="PIQ7" s="14"/>
      <c r="PIR7" s="14"/>
      <c r="PIS7" s="14"/>
      <c r="PIT7" s="14"/>
      <c r="PIU7" s="14"/>
      <c r="PIV7" s="14"/>
      <c r="PIW7" s="14"/>
      <c r="PIX7" s="14"/>
      <c r="PIY7" s="14"/>
      <c r="PIZ7" s="14"/>
      <c r="PJA7" s="14"/>
      <c r="PJB7" s="14"/>
      <c r="PJC7" s="14"/>
      <c r="PJD7" s="14"/>
      <c r="PJE7" s="14"/>
      <c r="PJF7" s="14"/>
      <c r="PJG7" s="14"/>
      <c r="PJH7" s="14"/>
      <c r="PJI7" s="14"/>
      <c r="PJJ7" s="14"/>
      <c r="PJK7" s="14"/>
      <c r="PJL7" s="14"/>
      <c r="PJM7" s="14"/>
      <c r="PJN7" s="14"/>
      <c r="PJO7" s="14"/>
      <c r="PJP7" s="14"/>
      <c r="PJQ7" s="14"/>
      <c r="PJR7" s="14"/>
      <c r="PJS7" s="14"/>
      <c r="PJT7" s="14"/>
      <c r="PJU7" s="14"/>
      <c r="PJV7" s="14"/>
      <c r="PJW7" s="14"/>
      <c r="PJX7" s="14"/>
      <c r="PJY7" s="14"/>
      <c r="PJZ7" s="14"/>
      <c r="PKA7" s="14"/>
      <c r="PKB7" s="14"/>
      <c r="PKC7" s="14"/>
      <c r="PKD7" s="14"/>
      <c r="PKE7" s="14"/>
      <c r="PKF7" s="14"/>
      <c r="PKG7" s="14"/>
      <c r="PKH7" s="14"/>
      <c r="PKI7" s="14"/>
      <c r="PKJ7" s="14"/>
      <c r="PKK7" s="14"/>
      <c r="PKL7" s="14"/>
      <c r="PKM7" s="14"/>
      <c r="PKN7" s="14"/>
      <c r="PKO7" s="14"/>
      <c r="PKP7" s="14"/>
      <c r="PKQ7" s="14"/>
      <c r="PKR7" s="14"/>
      <c r="PKS7" s="14"/>
      <c r="PKT7" s="14"/>
      <c r="PKU7" s="14"/>
      <c r="PKV7" s="14"/>
      <c r="PKW7" s="14"/>
      <c r="PKX7" s="14"/>
      <c r="PKY7" s="14"/>
      <c r="PKZ7" s="14"/>
      <c r="PLA7" s="14"/>
      <c r="PLB7" s="14"/>
      <c r="PLC7" s="14"/>
      <c r="PLD7" s="14"/>
      <c r="PLE7" s="14"/>
      <c r="PLF7" s="14"/>
      <c r="PLG7" s="14"/>
      <c r="PLH7" s="14"/>
      <c r="PLI7" s="14"/>
      <c r="PLJ7" s="14"/>
      <c r="PLK7" s="14"/>
      <c r="PLL7" s="14"/>
      <c r="PLM7" s="14"/>
      <c r="PLN7" s="14"/>
      <c r="PLO7" s="14"/>
      <c r="PLP7" s="14"/>
      <c r="PLQ7" s="14"/>
      <c r="PLR7" s="14"/>
      <c r="PLS7" s="14"/>
      <c r="PLT7" s="14"/>
      <c r="PLU7" s="14"/>
      <c r="PLV7" s="14"/>
      <c r="PLW7" s="14"/>
      <c r="PLX7" s="14"/>
      <c r="PLY7" s="14"/>
      <c r="PLZ7" s="14"/>
      <c r="PMA7" s="14"/>
      <c r="PMB7" s="14"/>
      <c r="PMC7" s="14"/>
      <c r="PMD7" s="14"/>
      <c r="PME7" s="14"/>
      <c r="PMF7" s="14"/>
      <c r="PMG7" s="14"/>
      <c r="PMH7" s="14"/>
      <c r="PMI7" s="14"/>
      <c r="PMJ7" s="14"/>
      <c r="PMK7" s="14"/>
      <c r="PML7" s="14"/>
      <c r="PMM7" s="14"/>
      <c r="PMN7" s="14"/>
      <c r="PMO7" s="14"/>
      <c r="PMP7" s="14"/>
      <c r="PMQ7" s="14"/>
      <c r="PMR7" s="14"/>
      <c r="PMS7" s="14"/>
      <c r="PMT7" s="14"/>
      <c r="PMU7" s="14"/>
      <c r="PMV7" s="14"/>
      <c r="PMW7" s="14"/>
      <c r="PMX7" s="14"/>
      <c r="PMY7" s="14"/>
      <c r="PMZ7" s="14"/>
      <c r="PNA7" s="14"/>
      <c r="PNB7" s="14"/>
      <c r="PNC7" s="14"/>
      <c r="PND7" s="14"/>
      <c r="PNE7" s="14"/>
      <c r="PNF7" s="14"/>
      <c r="PNG7" s="14"/>
      <c r="PNH7" s="14"/>
      <c r="PNI7" s="14"/>
      <c r="PNJ7" s="14"/>
      <c r="PNK7" s="14"/>
      <c r="PNL7" s="14"/>
      <c r="PNM7" s="14"/>
      <c r="PNN7" s="14"/>
      <c r="PNO7" s="14"/>
      <c r="PNP7" s="14"/>
      <c r="PNQ7" s="14"/>
      <c r="PNR7" s="14"/>
      <c r="PNS7" s="14"/>
      <c r="PNT7" s="14"/>
      <c r="PNU7" s="14"/>
      <c r="PNV7" s="14"/>
      <c r="PNW7" s="14"/>
      <c r="PNX7" s="14"/>
      <c r="PNY7" s="14"/>
      <c r="PNZ7" s="14"/>
      <c r="POA7" s="14"/>
      <c r="POB7" s="14"/>
      <c r="POC7" s="14"/>
      <c r="POD7" s="14"/>
      <c r="POE7" s="14"/>
      <c r="POF7" s="14"/>
      <c r="POG7" s="14"/>
      <c r="POH7" s="14"/>
      <c r="POI7" s="14"/>
      <c r="POJ7" s="14"/>
      <c r="POK7" s="14"/>
      <c r="POL7" s="14"/>
      <c r="POM7" s="14"/>
      <c r="PON7" s="14"/>
      <c r="POO7" s="14"/>
      <c r="POP7" s="14"/>
      <c r="POQ7" s="14"/>
      <c r="POR7" s="14"/>
      <c r="POS7" s="14"/>
      <c r="POT7" s="14"/>
      <c r="POU7" s="14"/>
      <c r="POV7" s="14"/>
      <c r="POW7" s="14"/>
      <c r="POX7" s="14"/>
      <c r="POY7" s="14"/>
      <c r="POZ7" s="14"/>
      <c r="PPA7" s="14"/>
      <c r="PPB7" s="14"/>
      <c r="PPC7" s="14"/>
      <c r="PPD7" s="14"/>
      <c r="PPE7" s="14"/>
      <c r="PPF7" s="14"/>
      <c r="PPG7" s="14"/>
      <c r="PPH7" s="14"/>
      <c r="PPI7" s="14"/>
      <c r="PPJ7" s="14"/>
      <c r="PPK7" s="14"/>
      <c r="PPL7" s="14"/>
      <c r="PPM7" s="14"/>
      <c r="PPN7" s="14"/>
      <c r="PPO7" s="14"/>
      <c r="PPP7" s="14"/>
      <c r="PPQ7" s="14"/>
      <c r="PPR7" s="14"/>
      <c r="PPS7" s="14"/>
      <c r="PPT7" s="14"/>
      <c r="PPU7" s="14"/>
      <c r="PPV7" s="14"/>
      <c r="PPW7" s="14"/>
      <c r="PPX7" s="14"/>
      <c r="PPY7" s="14"/>
      <c r="PPZ7" s="14"/>
      <c r="PQA7" s="14"/>
      <c r="PQB7" s="14"/>
      <c r="PQC7" s="14"/>
      <c r="PQD7" s="14"/>
      <c r="PQE7" s="14"/>
      <c r="PQF7" s="14"/>
      <c r="PQG7" s="14"/>
      <c r="PQH7" s="14"/>
      <c r="PQI7" s="14"/>
      <c r="PQJ7" s="14"/>
      <c r="PQK7" s="14"/>
      <c r="PQL7" s="14"/>
      <c r="PQM7" s="14"/>
      <c r="PQN7" s="14"/>
      <c r="PQO7" s="14"/>
      <c r="PQP7" s="14"/>
      <c r="PQQ7" s="14"/>
      <c r="PQR7" s="14"/>
      <c r="PQS7" s="14"/>
      <c r="PQT7" s="14"/>
      <c r="PQU7" s="14"/>
      <c r="PQV7" s="14"/>
      <c r="PQW7" s="14"/>
      <c r="PQX7" s="14"/>
      <c r="PQY7" s="14"/>
      <c r="PQZ7" s="14"/>
      <c r="PRA7" s="14"/>
      <c r="PRB7" s="14"/>
      <c r="PRC7" s="14"/>
      <c r="PRD7" s="14"/>
      <c r="PRE7" s="14"/>
      <c r="PRF7" s="14"/>
      <c r="PRG7" s="14"/>
      <c r="PRH7" s="14"/>
      <c r="PRI7" s="14"/>
      <c r="PRJ7" s="14"/>
      <c r="PRK7" s="14"/>
      <c r="PRL7" s="14"/>
      <c r="PRM7" s="14"/>
      <c r="PRN7" s="14"/>
      <c r="PRO7" s="14"/>
      <c r="PRP7" s="14"/>
      <c r="PRQ7" s="14"/>
      <c r="PRR7" s="14"/>
      <c r="PRS7" s="14"/>
      <c r="PRT7" s="14"/>
      <c r="PRU7" s="14"/>
      <c r="PRV7" s="14"/>
      <c r="PRW7" s="14"/>
      <c r="PRX7" s="14"/>
      <c r="PRY7" s="14"/>
      <c r="PRZ7" s="14"/>
      <c r="PSA7" s="14"/>
      <c r="PSB7" s="14"/>
      <c r="PSC7" s="14"/>
      <c r="PSD7" s="14"/>
      <c r="PSE7" s="14"/>
      <c r="PSF7" s="14"/>
      <c r="PSG7" s="14"/>
      <c r="PSH7" s="14"/>
      <c r="PSI7" s="14"/>
      <c r="PSJ7" s="14"/>
      <c r="PSK7" s="14"/>
      <c r="PSL7" s="14"/>
      <c r="PSM7" s="14"/>
      <c r="PSN7" s="14"/>
      <c r="PSO7" s="14"/>
      <c r="PSP7" s="14"/>
      <c r="PSQ7" s="14"/>
      <c r="PSR7" s="14"/>
      <c r="PSS7" s="14"/>
      <c r="PST7" s="14"/>
      <c r="PSU7" s="14"/>
      <c r="PSV7" s="14"/>
      <c r="PSW7" s="14"/>
      <c r="PSX7" s="14"/>
      <c r="PSY7" s="14"/>
      <c r="PSZ7" s="14"/>
      <c r="PTA7" s="14"/>
      <c r="PTB7" s="14"/>
      <c r="PTC7" s="14"/>
      <c r="PTD7" s="14"/>
      <c r="PTE7" s="14"/>
      <c r="PTF7" s="14"/>
      <c r="PTG7" s="14"/>
      <c r="PTH7" s="14"/>
      <c r="PTI7" s="14"/>
      <c r="PTJ7" s="14"/>
      <c r="PTK7" s="14"/>
      <c r="PTL7" s="14"/>
      <c r="PTM7" s="14"/>
      <c r="PTN7" s="14"/>
      <c r="PTO7" s="14"/>
      <c r="PTP7" s="14"/>
      <c r="PTQ7" s="14"/>
      <c r="PTR7" s="14"/>
      <c r="PTS7" s="14"/>
      <c r="PTT7" s="14"/>
      <c r="PTU7" s="14"/>
      <c r="PTV7" s="14"/>
      <c r="PTW7" s="14"/>
      <c r="PTX7" s="14"/>
      <c r="PTY7" s="14"/>
      <c r="PTZ7" s="14"/>
      <c r="PUA7" s="14"/>
      <c r="PUB7" s="14"/>
      <c r="PUC7" s="14"/>
      <c r="PUD7" s="14"/>
      <c r="PUE7" s="14"/>
      <c r="PUF7" s="14"/>
      <c r="PUG7" s="14"/>
      <c r="PUH7" s="14"/>
      <c r="PUI7" s="14"/>
      <c r="PUJ7" s="14"/>
      <c r="PUK7" s="14"/>
      <c r="PUL7" s="14"/>
      <c r="PUM7" s="14"/>
      <c r="PUN7" s="14"/>
      <c r="PUO7" s="14"/>
      <c r="PUP7" s="14"/>
      <c r="PUQ7" s="14"/>
      <c r="PUR7" s="14"/>
      <c r="PUS7" s="14"/>
      <c r="PUT7" s="14"/>
      <c r="PUU7" s="14"/>
      <c r="PUV7" s="14"/>
      <c r="PUW7" s="14"/>
      <c r="PUX7" s="14"/>
      <c r="PUY7" s="14"/>
      <c r="PUZ7" s="14"/>
      <c r="PVA7" s="14"/>
      <c r="PVB7" s="14"/>
      <c r="PVC7" s="14"/>
      <c r="PVD7" s="14"/>
      <c r="PVE7" s="14"/>
      <c r="PVF7" s="14"/>
      <c r="PVG7" s="14"/>
      <c r="PVH7" s="14"/>
      <c r="PVI7" s="14"/>
      <c r="PVJ7" s="14"/>
      <c r="PVK7" s="14"/>
      <c r="PVL7" s="14"/>
      <c r="PVM7" s="14"/>
      <c r="PVN7" s="14"/>
      <c r="PVO7" s="14"/>
      <c r="PVP7" s="14"/>
      <c r="PVQ7" s="14"/>
      <c r="PVR7" s="14"/>
      <c r="PVS7" s="14"/>
      <c r="PVT7" s="14"/>
      <c r="PVU7" s="14"/>
      <c r="PVV7" s="14"/>
      <c r="PVW7" s="14"/>
      <c r="PVX7" s="14"/>
      <c r="PVY7" s="14"/>
      <c r="PVZ7" s="14"/>
      <c r="PWA7" s="14"/>
      <c r="PWB7" s="14"/>
      <c r="PWC7" s="14"/>
      <c r="PWD7" s="14"/>
      <c r="PWE7" s="14"/>
      <c r="PWF7" s="14"/>
      <c r="PWG7" s="14"/>
      <c r="PWH7" s="14"/>
      <c r="PWI7" s="14"/>
      <c r="PWJ7" s="14"/>
      <c r="PWK7" s="14"/>
      <c r="PWL7" s="14"/>
      <c r="PWM7" s="14"/>
      <c r="PWN7" s="14"/>
      <c r="PWO7" s="14"/>
      <c r="PWP7" s="14"/>
      <c r="PWQ7" s="14"/>
      <c r="PWR7" s="14"/>
      <c r="PWS7" s="14"/>
      <c r="PWT7" s="14"/>
      <c r="PWU7" s="14"/>
      <c r="PWV7" s="14"/>
      <c r="PWW7" s="14"/>
      <c r="PWX7" s="14"/>
      <c r="PWY7" s="14"/>
      <c r="PWZ7" s="14"/>
      <c r="PXA7" s="14"/>
      <c r="PXB7" s="14"/>
      <c r="PXC7" s="14"/>
      <c r="PXD7" s="14"/>
      <c r="PXE7" s="14"/>
      <c r="PXF7" s="14"/>
      <c r="PXG7" s="14"/>
      <c r="PXH7" s="14"/>
      <c r="PXI7" s="14"/>
      <c r="PXJ7" s="14"/>
      <c r="PXK7" s="14"/>
      <c r="PXL7" s="14"/>
      <c r="PXM7" s="14"/>
      <c r="PXN7" s="14"/>
      <c r="PXO7" s="14"/>
      <c r="PXP7" s="14"/>
      <c r="PXQ7" s="14"/>
      <c r="PXR7" s="14"/>
      <c r="PXS7" s="14"/>
      <c r="PXT7" s="14"/>
      <c r="PXU7" s="14"/>
      <c r="PXV7" s="14"/>
      <c r="PXW7" s="14"/>
      <c r="PXX7" s="14"/>
      <c r="PXY7" s="14"/>
      <c r="PXZ7" s="14"/>
      <c r="PYA7" s="14"/>
      <c r="PYB7" s="14"/>
      <c r="PYC7" s="14"/>
      <c r="PYD7" s="14"/>
      <c r="PYE7" s="14"/>
      <c r="PYF7" s="14"/>
      <c r="PYG7" s="14"/>
      <c r="PYH7" s="14"/>
      <c r="PYI7" s="14"/>
      <c r="PYJ7" s="14"/>
      <c r="PYK7" s="14"/>
      <c r="PYL7" s="14"/>
      <c r="PYM7" s="14"/>
      <c r="PYN7" s="14"/>
      <c r="PYO7" s="14"/>
      <c r="PYP7" s="14"/>
      <c r="PYQ7" s="14"/>
      <c r="PYR7" s="14"/>
      <c r="PYS7" s="14"/>
      <c r="PYT7" s="14"/>
      <c r="PYU7" s="14"/>
      <c r="PYV7" s="14"/>
      <c r="PYW7" s="14"/>
      <c r="PYX7" s="14"/>
      <c r="PYY7" s="14"/>
      <c r="PYZ7" s="14"/>
      <c r="PZA7" s="14"/>
      <c r="PZB7" s="14"/>
      <c r="PZC7" s="14"/>
      <c r="PZD7" s="14"/>
      <c r="PZE7" s="14"/>
      <c r="PZF7" s="14"/>
      <c r="PZG7" s="14"/>
      <c r="PZH7" s="14"/>
      <c r="PZI7" s="14"/>
      <c r="PZJ7" s="14"/>
      <c r="PZK7" s="14"/>
      <c r="PZL7" s="14"/>
      <c r="PZM7" s="14"/>
      <c r="PZN7" s="14"/>
      <c r="PZO7" s="14"/>
      <c r="PZP7" s="14"/>
      <c r="PZQ7" s="14"/>
      <c r="PZR7" s="14"/>
      <c r="PZS7" s="14"/>
      <c r="PZT7" s="14"/>
      <c r="PZU7" s="14"/>
      <c r="PZV7" s="14"/>
      <c r="PZW7" s="14"/>
      <c r="PZX7" s="14"/>
      <c r="PZY7" s="14"/>
      <c r="PZZ7" s="14"/>
      <c r="QAA7" s="14"/>
      <c r="QAB7" s="14"/>
      <c r="QAC7" s="14"/>
      <c r="QAD7" s="14"/>
      <c r="QAE7" s="14"/>
      <c r="QAF7" s="14"/>
      <c r="QAG7" s="14"/>
      <c r="QAH7" s="14"/>
      <c r="QAI7" s="14"/>
      <c r="QAJ7" s="14"/>
      <c r="QAK7" s="14"/>
      <c r="QAL7" s="14"/>
      <c r="QAM7" s="14"/>
      <c r="QAN7" s="14"/>
      <c r="QAO7" s="14"/>
      <c r="QAP7" s="14"/>
      <c r="QAQ7" s="14"/>
      <c r="QAR7" s="14"/>
      <c r="QAS7" s="14"/>
      <c r="QAT7" s="14"/>
      <c r="QAU7" s="14"/>
      <c r="QAV7" s="14"/>
      <c r="QAW7" s="14"/>
      <c r="QAX7" s="14"/>
      <c r="QAY7" s="14"/>
      <c r="QAZ7" s="14"/>
      <c r="QBA7" s="14"/>
      <c r="QBB7" s="14"/>
      <c r="QBC7" s="14"/>
      <c r="QBD7" s="14"/>
      <c r="QBE7" s="14"/>
      <c r="QBF7" s="14"/>
      <c r="QBG7" s="14"/>
      <c r="QBH7" s="14"/>
      <c r="QBI7" s="14"/>
      <c r="QBJ7" s="14"/>
      <c r="QBK7" s="14"/>
      <c r="QBL7" s="14"/>
      <c r="QBM7" s="14"/>
      <c r="QBN7" s="14"/>
      <c r="QBO7" s="14"/>
      <c r="QBP7" s="14"/>
      <c r="QBQ7" s="14"/>
      <c r="QBR7" s="14"/>
      <c r="QBS7" s="14"/>
      <c r="QBT7" s="14"/>
      <c r="QBU7" s="14"/>
      <c r="QBV7" s="14"/>
      <c r="QBW7" s="14"/>
      <c r="QBX7" s="14"/>
      <c r="QBY7" s="14"/>
      <c r="QBZ7" s="14"/>
      <c r="QCA7" s="14"/>
      <c r="QCB7" s="14"/>
      <c r="QCC7" s="14"/>
      <c r="QCD7" s="14"/>
      <c r="QCE7" s="14"/>
      <c r="QCF7" s="14"/>
      <c r="QCG7" s="14"/>
      <c r="QCH7" s="14"/>
      <c r="QCI7" s="14"/>
      <c r="QCJ7" s="14"/>
      <c r="QCK7" s="14"/>
      <c r="QCL7" s="14"/>
      <c r="QCM7" s="14"/>
      <c r="QCN7" s="14"/>
      <c r="QCO7" s="14"/>
      <c r="QCP7" s="14"/>
      <c r="QCQ7" s="14"/>
      <c r="QCR7" s="14"/>
      <c r="QCS7" s="14"/>
      <c r="QCT7" s="14"/>
      <c r="QCU7" s="14"/>
      <c r="QCV7" s="14"/>
      <c r="QCW7" s="14"/>
      <c r="QCX7" s="14"/>
      <c r="QCY7" s="14"/>
      <c r="QCZ7" s="14"/>
      <c r="QDA7" s="14"/>
      <c r="QDB7" s="14"/>
      <c r="QDC7" s="14"/>
      <c r="QDD7" s="14"/>
      <c r="QDE7" s="14"/>
      <c r="QDF7" s="14"/>
      <c r="QDG7" s="14"/>
      <c r="QDH7" s="14"/>
      <c r="QDI7" s="14"/>
      <c r="QDJ7" s="14"/>
      <c r="QDK7" s="14"/>
      <c r="QDL7" s="14"/>
      <c r="QDM7" s="14"/>
      <c r="QDN7" s="14"/>
      <c r="QDO7" s="14"/>
      <c r="QDP7" s="14"/>
      <c r="QDQ7" s="14"/>
      <c r="QDR7" s="14"/>
      <c r="QDS7" s="14"/>
      <c r="QDT7" s="14"/>
      <c r="QDU7" s="14"/>
      <c r="QDV7" s="14"/>
      <c r="QDW7" s="14"/>
      <c r="QDX7" s="14"/>
      <c r="QDY7" s="14"/>
      <c r="QDZ7" s="14"/>
      <c r="QEA7" s="14"/>
      <c r="QEB7" s="14"/>
      <c r="QEC7" s="14"/>
      <c r="QED7" s="14"/>
      <c r="QEE7" s="14"/>
      <c r="QEF7" s="14"/>
      <c r="QEG7" s="14"/>
      <c r="QEH7" s="14"/>
      <c r="QEI7" s="14"/>
      <c r="QEJ7" s="14"/>
      <c r="QEK7" s="14"/>
      <c r="QEL7" s="14"/>
      <c r="QEM7" s="14"/>
      <c r="QEN7" s="14"/>
      <c r="QEO7" s="14"/>
      <c r="QEP7" s="14"/>
      <c r="QEQ7" s="14"/>
      <c r="QER7" s="14"/>
      <c r="QES7" s="14"/>
      <c r="QET7" s="14"/>
      <c r="QEU7" s="14"/>
      <c r="QEV7" s="14"/>
      <c r="QEW7" s="14"/>
      <c r="QEX7" s="14"/>
      <c r="QEY7" s="14"/>
      <c r="QEZ7" s="14"/>
      <c r="QFA7" s="14"/>
      <c r="QFB7" s="14"/>
      <c r="QFC7" s="14"/>
      <c r="QFD7" s="14"/>
      <c r="QFE7" s="14"/>
      <c r="QFF7" s="14"/>
      <c r="QFG7" s="14"/>
      <c r="QFH7" s="14"/>
      <c r="QFI7" s="14"/>
      <c r="QFJ7" s="14"/>
      <c r="QFK7" s="14"/>
      <c r="QFL7" s="14"/>
      <c r="QFM7" s="14"/>
      <c r="QFN7" s="14"/>
      <c r="QFO7" s="14"/>
      <c r="QFP7" s="14"/>
      <c r="QFQ7" s="14"/>
      <c r="QFR7" s="14"/>
      <c r="QFS7" s="14"/>
      <c r="QFT7" s="14"/>
      <c r="QFU7" s="14"/>
      <c r="QFV7" s="14"/>
      <c r="QFW7" s="14"/>
      <c r="QFX7" s="14"/>
      <c r="QFY7" s="14"/>
      <c r="QFZ7" s="14"/>
      <c r="QGA7" s="14"/>
      <c r="QGB7" s="14"/>
      <c r="QGC7" s="14"/>
      <c r="QGD7" s="14"/>
      <c r="QGE7" s="14"/>
      <c r="QGF7" s="14"/>
      <c r="QGG7" s="14"/>
      <c r="QGH7" s="14"/>
      <c r="QGI7" s="14"/>
      <c r="QGJ7" s="14"/>
      <c r="QGK7" s="14"/>
      <c r="QGL7" s="14"/>
      <c r="QGM7" s="14"/>
      <c r="QGN7" s="14"/>
      <c r="QGO7" s="14"/>
      <c r="QGP7" s="14"/>
      <c r="QGQ7" s="14"/>
      <c r="QGR7" s="14"/>
      <c r="QGS7" s="14"/>
      <c r="QGT7" s="14"/>
      <c r="QGU7" s="14"/>
      <c r="QGV7" s="14"/>
      <c r="QGW7" s="14"/>
      <c r="QGX7" s="14"/>
      <c r="QGY7" s="14"/>
      <c r="QGZ7" s="14"/>
      <c r="QHA7" s="14"/>
      <c r="QHB7" s="14"/>
      <c r="QHC7" s="14"/>
      <c r="QHD7" s="14"/>
      <c r="QHE7" s="14"/>
      <c r="QHF7" s="14"/>
      <c r="QHG7" s="14"/>
      <c r="QHH7" s="14"/>
      <c r="QHI7" s="14"/>
      <c r="QHJ7" s="14"/>
      <c r="QHK7" s="14"/>
      <c r="QHL7" s="14"/>
      <c r="QHM7" s="14"/>
      <c r="QHN7" s="14"/>
      <c r="QHO7" s="14"/>
      <c r="QHP7" s="14"/>
      <c r="QHQ7" s="14"/>
      <c r="QHR7" s="14"/>
      <c r="QHS7" s="14"/>
      <c r="QHT7" s="14"/>
      <c r="QHU7" s="14"/>
      <c r="QHV7" s="14"/>
      <c r="QHW7" s="14"/>
      <c r="QHX7" s="14"/>
      <c r="QHY7" s="14"/>
      <c r="QHZ7" s="14"/>
      <c r="QIA7" s="14"/>
      <c r="QIB7" s="14"/>
      <c r="QIC7" s="14"/>
      <c r="QID7" s="14"/>
      <c r="QIE7" s="14"/>
      <c r="QIF7" s="14"/>
      <c r="QIG7" s="14"/>
      <c r="QIH7" s="14"/>
      <c r="QII7" s="14"/>
      <c r="QIJ7" s="14"/>
      <c r="QIK7" s="14"/>
      <c r="QIL7" s="14"/>
      <c r="QIM7" s="14"/>
      <c r="QIN7" s="14"/>
      <c r="QIO7" s="14"/>
      <c r="QIP7" s="14"/>
      <c r="QIQ7" s="14"/>
      <c r="QIR7" s="14"/>
      <c r="QIS7" s="14"/>
      <c r="QIT7" s="14"/>
      <c r="QIU7" s="14"/>
      <c r="QIV7" s="14"/>
      <c r="QIW7" s="14"/>
      <c r="QIX7" s="14"/>
      <c r="QIY7" s="14"/>
      <c r="QIZ7" s="14"/>
      <c r="QJA7" s="14"/>
      <c r="QJB7" s="14"/>
      <c r="QJC7" s="14"/>
      <c r="QJD7" s="14"/>
      <c r="QJE7" s="14"/>
      <c r="QJF7" s="14"/>
      <c r="QJG7" s="14"/>
      <c r="QJH7" s="14"/>
      <c r="QJI7" s="14"/>
      <c r="QJJ7" s="14"/>
      <c r="QJK7" s="14"/>
      <c r="QJL7" s="14"/>
      <c r="QJM7" s="14"/>
      <c r="QJN7" s="14"/>
      <c r="QJO7" s="14"/>
      <c r="QJP7" s="14"/>
      <c r="QJQ7" s="14"/>
      <c r="QJR7" s="14"/>
      <c r="QJS7" s="14"/>
      <c r="QJT7" s="14"/>
      <c r="QJU7" s="14"/>
      <c r="QJV7" s="14"/>
      <c r="QJW7" s="14"/>
      <c r="QJX7" s="14"/>
      <c r="QJY7" s="14"/>
      <c r="QJZ7" s="14"/>
      <c r="QKA7" s="14"/>
      <c r="QKB7" s="14"/>
      <c r="QKC7" s="14"/>
      <c r="QKD7" s="14"/>
      <c r="QKE7" s="14"/>
      <c r="QKF7" s="14"/>
      <c r="QKG7" s="14"/>
      <c r="QKH7" s="14"/>
      <c r="QKI7" s="14"/>
      <c r="QKJ7" s="14"/>
      <c r="QKK7" s="14"/>
      <c r="QKL7" s="14"/>
      <c r="QKM7" s="14"/>
      <c r="QKN7" s="14"/>
      <c r="QKO7" s="14"/>
      <c r="QKP7" s="14"/>
      <c r="QKQ7" s="14"/>
      <c r="QKR7" s="14"/>
      <c r="QKS7" s="14"/>
      <c r="QKT7" s="14"/>
      <c r="QKU7" s="14"/>
      <c r="QKV7" s="14"/>
      <c r="QKW7" s="14"/>
      <c r="QKX7" s="14"/>
      <c r="QKY7" s="14"/>
      <c r="QKZ7" s="14"/>
      <c r="QLA7" s="14"/>
      <c r="QLB7" s="14"/>
      <c r="QLC7" s="14"/>
      <c r="QLD7" s="14"/>
      <c r="QLE7" s="14"/>
      <c r="QLF7" s="14"/>
      <c r="QLG7" s="14"/>
      <c r="QLH7" s="14"/>
      <c r="QLI7" s="14"/>
      <c r="QLJ7" s="14"/>
      <c r="QLK7" s="14"/>
      <c r="QLL7" s="14"/>
      <c r="QLM7" s="14"/>
      <c r="QLN7" s="14"/>
      <c r="QLO7" s="14"/>
      <c r="QLP7" s="14"/>
      <c r="QLQ7" s="14"/>
      <c r="QLR7" s="14"/>
      <c r="QLS7" s="14"/>
      <c r="QLT7" s="14"/>
      <c r="QLU7" s="14"/>
      <c r="QLV7" s="14"/>
      <c r="QLW7" s="14"/>
      <c r="QLX7" s="14"/>
      <c r="QLY7" s="14"/>
      <c r="QLZ7" s="14"/>
      <c r="QMA7" s="14"/>
      <c r="QMB7" s="14"/>
      <c r="QMC7" s="14"/>
      <c r="QMD7" s="14"/>
      <c r="QME7" s="14"/>
      <c r="QMF7" s="14"/>
      <c r="QMG7" s="14"/>
      <c r="QMH7" s="14"/>
      <c r="QMI7" s="14"/>
      <c r="QMJ7" s="14"/>
      <c r="QMK7" s="14"/>
      <c r="QML7" s="14"/>
      <c r="QMM7" s="14"/>
      <c r="QMN7" s="14"/>
      <c r="QMO7" s="14"/>
      <c r="QMP7" s="14"/>
      <c r="QMQ7" s="14"/>
      <c r="QMR7" s="14"/>
      <c r="QMS7" s="14"/>
      <c r="QMT7" s="14"/>
      <c r="QMU7" s="14"/>
      <c r="QMV7" s="14"/>
      <c r="QMW7" s="14"/>
      <c r="QMX7" s="14"/>
      <c r="QMY7" s="14"/>
      <c r="QMZ7" s="14"/>
      <c r="QNA7" s="14"/>
      <c r="QNB7" s="14"/>
      <c r="QNC7" s="14"/>
      <c r="QND7" s="14"/>
      <c r="QNE7" s="14"/>
      <c r="QNF7" s="14"/>
      <c r="QNG7" s="14"/>
      <c r="QNH7" s="14"/>
      <c r="QNI7" s="14"/>
      <c r="QNJ7" s="14"/>
      <c r="QNK7" s="14"/>
      <c r="QNL7" s="14"/>
      <c r="QNM7" s="14"/>
      <c r="QNN7" s="14"/>
      <c r="QNO7" s="14"/>
      <c r="QNP7" s="14"/>
      <c r="QNQ7" s="14"/>
      <c r="QNR7" s="14"/>
      <c r="QNS7" s="14"/>
      <c r="QNT7" s="14"/>
      <c r="QNU7" s="14"/>
      <c r="QNV7" s="14"/>
      <c r="QNW7" s="14"/>
      <c r="QNX7" s="14"/>
      <c r="QNY7" s="14"/>
      <c r="QNZ7" s="14"/>
      <c r="QOA7" s="14"/>
      <c r="QOB7" s="14"/>
      <c r="QOC7" s="14"/>
      <c r="QOD7" s="14"/>
      <c r="QOE7" s="14"/>
      <c r="QOF7" s="14"/>
      <c r="QOG7" s="14"/>
      <c r="QOH7" s="14"/>
      <c r="QOI7" s="14"/>
      <c r="QOJ7" s="14"/>
      <c r="QOK7" s="14"/>
      <c r="QOL7" s="14"/>
      <c r="QOM7" s="14"/>
      <c r="QON7" s="14"/>
      <c r="QOO7" s="14"/>
      <c r="QOP7" s="14"/>
      <c r="QOQ7" s="14"/>
      <c r="QOR7" s="14"/>
      <c r="QOS7" s="14"/>
      <c r="QOT7" s="14"/>
      <c r="QOU7" s="14"/>
      <c r="QOV7" s="14"/>
      <c r="QOW7" s="14"/>
      <c r="QOX7" s="14"/>
      <c r="QOY7" s="14"/>
      <c r="QOZ7" s="14"/>
      <c r="QPA7" s="14"/>
      <c r="QPB7" s="14"/>
      <c r="QPC7" s="14"/>
      <c r="QPD7" s="14"/>
      <c r="QPE7" s="14"/>
      <c r="QPF7" s="14"/>
      <c r="QPG7" s="14"/>
      <c r="QPH7" s="14"/>
      <c r="QPI7" s="14"/>
      <c r="QPJ7" s="14"/>
      <c r="QPK7" s="14"/>
      <c r="QPL7" s="14"/>
      <c r="QPM7" s="14"/>
      <c r="QPN7" s="14"/>
      <c r="QPO7" s="14"/>
      <c r="QPP7" s="14"/>
      <c r="QPQ7" s="14"/>
      <c r="QPR7" s="14"/>
      <c r="QPS7" s="14"/>
      <c r="QPT7" s="14"/>
      <c r="QPU7" s="14"/>
      <c r="QPV7" s="14"/>
      <c r="QPW7" s="14"/>
      <c r="QPX7" s="14"/>
      <c r="QPY7" s="14"/>
      <c r="QPZ7" s="14"/>
      <c r="QQA7" s="14"/>
      <c r="QQB7" s="14"/>
      <c r="QQC7" s="14"/>
      <c r="QQD7" s="14"/>
      <c r="QQE7" s="14"/>
      <c r="QQF7" s="14"/>
      <c r="QQG7" s="14"/>
      <c r="QQH7" s="14"/>
      <c r="QQI7" s="14"/>
      <c r="QQJ7" s="14"/>
      <c r="QQK7" s="14"/>
      <c r="QQL7" s="14"/>
      <c r="QQM7" s="14"/>
      <c r="QQN7" s="14"/>
      <c r="QQO7" s="14"/>
      <c r="QQP7" s="14"/>
      <c r="QQQ7" s="14"/>
      <c r="QQR7" s="14"/>
      <c r="QQS7" s="14"/>
      <c r="QQT7" s="14"/>
      <c r="QQU7" s="14"/>
      <c r="QQV7" s="14"/>
      <c r="QQW7" s="14"/>
      <c r="QQX7" s="14"/>
      <c r="QQY7" s="14"/>
      <c r="QQZ7" s="14"/>
      <c r="QRA7" s="14"/>
      <c r="QRB7" s="14"/>
      <c r="QRC7" s="14"/>
      <c r="QRD7" s="14"/>
      <c r="QRE7" s="14"/>
      <c r="QRF7" s="14"/>
      <c r="QRG7" s="14"/>
      <c r="QRH7" s="14"/>
      <c r="QRI7" s="14"/>
      <c r="QRJ7" s="14"/>
      <c r="QRK7" s="14"/>
      <c r="QRL7" s="14"/>
      <c r="QRM7" s="14"/>
      <c r="QRN7" s="14"/>
      <c r="QRO7" s="14"/>
      <c r="QRP7" s="14"/>
      <c r="QRQ7" s="14"/>
      <c r="QRR7" s="14"/>
      <c r="QRS7" s="14"/>
      <c r="QRT7" s="14"/>
      <c r="QRU7" s="14"/>
      <c r="QRV7" s="14"/>
      <c r="QRW7" s="14"/>
      <c r="QRX7" s="14"/>
      <c r="QRY7" s="14"/>
      <c r="QRZ7" s="14"/>
      <c r="QSA7" s="14"/>
      <c r="QSB7" s="14"/>
      <c r="QSC7" s="14"/>
      <c r="QSD7" s="14"/>
      <c r="QSE7" s="14"/>
      <c r="QSF7" s="14"/>
      <c r="QSG7" s="14"/>
      <c r="QSH7" s="14"/>
      <c r="QSI7" s="14"/>
      <c r="QSJ7" s="14"/>
      <c r="QSK7" s="14"/>
      <c r="QSL7" s="14"/>
      <c r="QSM7" s="14"/>
      <c r="QSN7" s="14"/>
      <c r="QSO7" s="14"/>
      <c r="QSP7" s="14"/>
      <c r="QSQ7" s="14"/>
      <c r="QSR7" s="14"/>
      <c r="QSS7" s="14"/>
      <c r="QST7" s="14"/>
      <c r="QSU7" s="14"/>
      <c r="QSV7" s="14"/>
      <c r="QSW7" s="14"/>
      <c r="QSX7" s="14"/>
      <c r="QSY7" s="14"/>
      <c r="QSZ7" s="14"/>
      <c r="QTA7" s="14"/>
      <c r="QTB7" s="14"/>
      <c r="QTC7" s="14"/>
      <c r="QTD7" s="14"/>
      <c r="QTE7" s="14"/>
      <c r="QTF7" s="14"/>
      <c r="QTG7" s="14"/>
      <c r="QTH7" s="14"/>
      <c r="QTI7" s="14"/>
      <c r="QTJ7" s="14"/>
      <c r="QTK7" s="14"/>
      <c r="QTL7" s="14"/>
      <c r="QTM7" s="14"/>
      <c r="QTN7" s="14"/>
      <c r="QTO7" s="14"/>
      <c r="QTP7" s="14"/>
      <c r="QTQ7" s="14"/>
      <c r="QTR7" s="14"/>
      <c r="QTS7" s="14"/>
      <c r="QTT7" s="14"/>
      <c r="QTU7" s="14"/>
      <c r="QTV7" s="14"/>
      <c r="QTW7" s="14"/>
      <c r="QTX7" s="14"/>
      <c r="QTY7" s="14"/>
      <c r="QTZ7" s="14"/>
      <c r="QUA7" s="14"/>
      <c r="QUB7" s="14"/>
      <c r="QUC7" s="14"/>
      <c r="QUD7" s="14"/>
      <c r="QUE7" s="14"/>
      <c r="QUF7" s="14"/>
      <c r="QUG7" s="14"/>
      <c r="QUH7" s="14"/>
      <c r="QUI7" s="14"/>
      <c r="QUJ7" s="14"/>
      <c r="QUK7" s="14"/>
      <c r="QUL7" s="14"/>
      <c r="QUM7" s="14"/>
      <c r="QUN7" s="14"/>
      <c r="QUO7" s="14"/>
      <c r="QUP7" s="14"/>
      <c r="QUQ7" s="14"/>
      <c r="QUR7" s="14"/>
      <c r="QUS7" s="14"/>
      <c r="QUT7" s="14"/>
      <c r="QUU7" s="14"/>
      <c r="QUV7" s="14"/>
      <c r="QUW7" s="14"/>
      <c r="QUX7" s="14"/>
      <c r="QUY7" s="14"/>
      <c r="QUZ7" s="14"/>
      <c r="QVA7" s="14"/>
      <c r="QVB7" s="14"/>
      <c r="QVC7" s="14"/>
      <c r="QVD7" s="14"/>
      <c r="QVE7" s="14"/>
      <c r="QVF7" s="14"/>
      <c r="QVG7" s="14"/>
      <c r="QVH7" s="14"/>
      <c r="QVI7" s="14"/>
      <c r="QVJ7" s="14"/>
      <c r="QVK7" s="14"/>
      <c r="QVL7" s="14"/>
      <c r="QVM7" s="14"/>
      <c r="QVN7" s="14"/>
      <c r="QVO7" s="14"/>
      <c r="QVP7" s="14"/>
      <c r="QVQ7" s="14"/>
      <c r="QVR7" s="14"/>
      <c r="QVS7" s="14"/>
      <c r="QVT7" s="14"/>
      <c r="QVU7" s="14"/>
      <c r="QVV7" s="14"/>
      <c r="QVW7" s="14"/>
      <c r="QVX7" s="14"/>
      <c r="QVY7" s="14"/>
      <c r="QVZ7" s="14"/>
      <c r="QWA7" s="14"/>
      <c r="QWB7" s="14"/>
      <c r="QWC7" s="14"/>
      <c r="QWD7" s="14"/>
      <c r="QWE7" s="14"/>
      <c r="QWF7" s="14"/>
      <c r="QWG7" s="14"/>
      <c r="QWH7" s="14"/>
      <c r="QWI7" s="14"/>
      <c r="QWJ7" s="14"/>
      <c r="QWK7" s="14"/>
      <c r="QWL7" s="14"/>
      <c r="QWM7" s="14"/>
      <c r="QWN7" s="14"/>
      <c r="QWO7" s="14"/>
      <c r="QWP7" s="14"/>
      <c r="QWQ7" s="14"/>
      <c r="QWR7" s="14"/>
      <c r="QWS7" s="14"/>
      <c r="QWT7" s="14"/>
      <c r="QWU7" s="14"/>
      <c r="QWV7" s="14"/>
      <c r="QWW7" s="14"/>
      <c r="QWX7" s="14"/>
      <c r="QWY7" s="14"/>
      <c r="QWZ7" s="14"/>
      <c r="QXA7" s="14"/>
      <c r="QXB7" s="14"/>
      <c r="QXC7" s="14"/>
      <c r="QXD7" s="14"/>
      <c r="QXE7" s="14"/>
      <c r="QXF7" s="14"/>
      <c r="QXG7" s="14"/>
      <c r="QXH7" s="14"/>
      <c r="QXI7" s="14"/>
      <c r="QXJ7" s="14"/>
      <c r="QXK7" s="14"/>
      <c r="QXL7" s="14"/>
      <c r="QXM7" s="14"/>
      <c r="QXN7" s="14"/>
      <c r="QXO7" s="14"/>
      <c r="QXP7" s="14"/>
      <c r="QXQ7" s="14"/>
      <c r="QXR7" s="14"/>
      <c r="QXS7" s="14"/>
      <c r="QXT7" s="14"/>
      <c r="QXU7" s="14"/>
      <c r="QXV7" s="14"/>
      <c r="QXW7" s="14"/>
      <c r="QXX7" s="14"/>
      <c r="QXY7" s="14"/>
      <c r="QXZ7" s="14"/>
      <c r="QYA7" s="14"/>
      <c r="QYB7" s="14"/>
      <c r="QYC7" s="14"/>
      <c r="QYD7" s="14"/>
      <c r="QYE7" s="14"/>
      <c r="QYF7" s="14"/>
      <c r="QYG7" s="14"/>
      <c r="QYH7" s="14"/>
      <c r="QYI7" s="14"/>
      <c r="QYJ7" s="14"/>
      <c r="QYK7" s="14"/>
      <c r="QYL7" s="14"/>
      <c r="QYM7" s="14"/>
      <c r="QYN7" s="14"/>
      <c r="QYO7" s="14"/>
      <c r="QYP7" s="14"/>
      <c r="QYQ7" s="14"/>
      <c r="QYR7" s="14"/>
      <c r="QYS7" s="14"/>
      <c r="QYT7" s="14"/>
      <c r="QYU7" s="14"/>
      <c r="QYV7" s="14"/>
      <c r="QYW7" s="14"/>
      <c r="QYX7" s="14"/>
      <c r="QYY7" s="14"/>
      <c r="QYZ7" s="14"/>
      <c r="QZA7" s="14"/>
      <c r="QZB7" s="14"/>
      <c r="QZC7" s="14"/>
      <c r="QZD7" s="14"/>
      <c r="QZE7" s="14"/>
      <c r="QZF7" s="14"/>
      <c r="QZG7" s="14"/>
      <c r="QZH7" s="14"/>
      <c r="QZI7" s="14"/>
      <c r="QZJ7" s="14"/>
      <c r="QZK7" s="14"/>
      <c r="QZL7" s="14"/>
      <c r="QZM7" s="14"/>
      <c r="QZN7" s="14"/>
      <c r="QZO7" s="14"/>
      <c r="QZP7" s="14"/>
      <c r="QZQ7" s="14"/>
      <c r="QZR7" s="14"/>
      <c r="QZS7" s="14"/>
      <c r="QZT7" s="14"/>
      <c r="QZU7" s="14"/>
      <c r="QZV7" s="14"/>
      <c r="QZW7" s="14"/>
      <c r="QZX7" s="14"/>
      <c r="QZY7" s="14"/>
      <c r="QZZ7" s="14"/>
      <c r="RAA7" s="14"/>
      <c r="RAB7" s="14"/>
      <c r="RAC7" s="14"/>
      <c r="RAD7" s="14"/>
      <c r="RAE7" s="14"/>
      <c r="RAF7" s="14"/>
      <c r="RAG7" s="14"/>
      <c r="RAH7" s="14"/>
      <c r="RAI7" s="14"/>
      <c r="RAJ7" s="14"/>
      <c r="RAK7" s="14"/>
      <c r="RAL7" s="14"/>
      <c r="RAM7" s="14"/>
      <c r="RAN7" s="14"/>
      <c r="RAO7" s="14"/>
      <c r="RAP7" s="14"/>
      <c r="RAQ7" s="14"/>
      <c r="RAR7" s="14"/>
      <c r="RAS7" s="14"/>
      <c r="RAT7" s="14"/>
      <c r="RAU7" s="14"/>
      <c r="RAV7" s="14"/>
      <c r="RAW7" s="14"/>
      <c r="RAX7" s="14"/>
      <c r="RAY7" s="14"/>
      <c r="RAZ7" s="14"/>
      <c r="RBA7" s="14"/>
      <c r="RBB7" s="14"/>
      <c r="RBC7" s="14"/>
      <c r="RBD7" s="14"/>
      <c r="RBE7" s="14"/>
      <c r="RBF7" s="14"/>
      <c r="RBG7" s="14"/>
      <c r="RBH7" s="14"/>
      <c r="RBI7" s="14"/>
      <c r="RBJ7" s="14"/>
      <c r="RBK7" s="14"/>
      <c r="RBL7" s="14"/>
      <c r="RBM7" s="14"/>
      <c r="RBN7" s="14"/>
      <c r="RBO7" s="14"/>
      <c r="RBP7" s="14"/>
      <c r="RBQ7" s="14"/>
      <c r="RBR7" s="14"/>
      <c r="RBS7" s="14"/>
      <c r="RBT7" s="14"/>
      <c r="RBU7" s="14"/>
      <c r="RBV7" s="14"/>
      <c r="RBW7" s="14"/>
      <c r="RBX7" s="14"/>
      <c r="RBY7" s="14"/>
      <c r="RBZ7" s="14"/>
      <c r="RCA7" s="14"/>
      <c r="RCB7" s="14"/>
      <c r="RCC7" s="14"/>
      <c r="RCD7" s="14"/>
      <c r="RCE7" s="14"/>
      <c r="RCF7" s="14"/>
      <c r="RCG7" s="14"/>
      <c r="RCH7" s="14"/>
      <c r="RCI7" s="14"/>
      <c r="RCJ7" s="14"/>
      <c r="RCK7" s="14"/>
      <c r="RCL7" s="14"/>
      <c r="RCM7" s="14"/>
      <c r="RCN7" s="14"/>
      <c r="RCO7" s="14"/>
      <c r="RCP7" s="14"/>
      <c r="RCQ7" s="14"/>
      <c r="RCR7" s="14"/>
      <c r="RCS7" s="14"/>
      <c r="RCT7" s="14"/>
      <c r="RCU7" s="14"/>
      <c r="RCV7" s="14"/>
      <c r="RCW7" s="14"/>
      <c r="RCX7" s="14"/>
      <c r="RCY7" s="14"/>
      <c r="RCZ7" s="14"/>
      <c r="RDA7" s="14"/>
      <c r="RDB7" s="14"/>
      <c r="RDC7" s="14"/>
      <c r="RDD7" s="14"/>
      <c r="RDE7" s="14"/>
      <c r="RDF7" s="14"/>
      <c r="RDG7" s="14"/>
      <c r="RDH7" s="14"/>
      <c r="RDI7" s="14"/>
      <c r="RDJ7" s="14"/>
      <c r="RDK7" s="14"/>
      <c r="RDL7" s="14"/>
      <c r="RDM7" s="14"/>
      <c r="RDN7" s="14"/>
      <c r="RDO7" s="14"/>
      <c r="RDP7" s="14"/>
      <c r="RDQ7" s="14"/>
      <c r="RDR7" s="14"/>
      <c r="RDS7" s="14"/>
      <c r="RDT7" s="14"/>
      <c r="RDU7" s="14"/>
      <c r="RDV7" s="14"/>
      <c r="RDW7" s="14"/>
      <c r="RDX7" s="14"/>
      <c r="RDY7" s="14"/>
      <c r="RDZ7" s="14"/>
      <c r="REA7" s="14"/>
      <c r="REB7" s="14"/>
      <c r="REC7" s="14"/>
      <c r="RED7" s="14"/>
      <c r="REE7" s="14"/>
      <c r="REF7" s="14"/>
      <c r="REG7" s="14"/>
      <c r="REH7" s="14"/>
      <c r="REI7" s="14"/>
      <c r="REJ7" s="14"/>
      <c r="REK7" s="14"/>
      <c r="REL7" s="14"/>
      <c r="REM7" s="14"/>
      <c r="REN7" s="14"/>
      <c r="REO7" s="14"/>
      <c r="REP7" s="14"/>
      <c r="REQ7" s="14"/>
      <c r="RER7" s="14"/>
      <c r="RES7" s="14"/>
      <c r="RET7" s="14"/>
      <c r="REU7" s="14"/>
      <c r="REV7" s="14"/>
      <c r="REW7" s="14"/>
      <c r="REX7" s="14"/>
      <c r="REY7" s="14"/>
      <c r="REZ7" s="14"/>
      <c r="RFA7" s="14"/>
      <c r="RFB7" s="14"/>
      <c r="RFC7" s="14"/>
      <c r="RFD7" s="14"/>
      <c r="RFE7" s="14"/>
      <c r="RFF7" s="14"/>
      <c r="RFG7" s="14"/>
      <c r="RFH7" s="14"/>
      <c r="RFI7" s="14"/>
      <c r="RFJ7" s="14"/>
      <c r="RFK7" s="14"/>
      <c r="RFL7" s="14"/>
      <c r="RFM7" s="14"/>
      <c r="RFN7" s="14"/>
      <c r="RFO7" s="14"/>
      <c r="RFP7" s="14"/>
      <c r="RFQ7" s="14"/>
      <c r="RFR7" s="14"/>
      <c r="RFS7" s="14"/>
      <c r="RFT7" s="14"/>
      <c r="RFU7" s="14"/>
      <c r="RFV7" s="14"/>
      <c r="RFW7" s="14"/>
      <c r="RFX7" s="14"/>
      <c r="RFY7" s="14"/>
      <c r="RFZ7" s="14"/>
      <c r="RGA7" s="14"/>
      <c r="RGB7" s="14"/>
      <c r="RGC7" s="14"/>
      <c r="RGD7" s="14"/>
      <c r="RGE7" s="14"/>
      <c r="RGF7" s="14"/>
      <c r="RGG7" s="14"/>
      <c r="RGH7" s="14"/>
      <c r="RGI7" s="14"/>
      <c r="RGJ7" s="14"/>
      <c r="RGK7" s="14"/>
      <c r="RGL7" s="14"/>
      <c r="RGM7" s="14"/>
      <c r="RGN7" s="14"/>
      <c r="RGO7" s="14"/>
      <c r="RGP7" s="14"/>
      <c r="RGQ7" s="14"/>
      <c r="RGR7" s="14"/>
      <c r="RGS7" s="14"/>
      <c r="RGT7" s="14"/>
      <c r="RGU7" s="14"/>
      <c r="RGV7" s="14"/>
      <c r="RGW7" s="14"/>
      <c r="RGX7" s="14"/>
      <c r="RGY7" s="14"/>
      <c r="RGZ7" s="14"/>
      <c r="RHA7" s="14"/>
      <c r="RHB7" s="14"/>
      <c r="RHC7" s="14"/>
      <c r="RHD7" s="14"/>
      <c r="RHE7" s="14"/>
      <c r="RHF7" s="14"/>
      <c r="RHG7" s="14"/>
      <c r="RHH7" s="14"/>
      <c r="RHI7" s="14"/>
      <c r="RHJ7" s="14"/>
      <c r="RHK7" s="14"/>
      <c r="RHL7" s="14"/>
      <c r="RHM7" s="14"/>
      <c r="RHN7" s="14"/>
      <c r="RHO7" s="14"/>
      <c r="RHP7" s="14"/>
      <c r="RHQ7" s="14"/>
      <c r="RHR7" s="14"/>
      <c r="RHS7" s="14"/>
      <c r="RHT7" s="14"/>
      <c r="RHU7" s="14"/>
      <c r="RHV7" s="14"/>
      <c r="RHW7" s="14"/>
      <c r="RHX7" s="14"/>
      <c r="RHY7" s="14"/>
      <c r="RHZ7" s="14"/>
      <c r="RIA7" s="14"/>
      <c r="RIB7" s="14"/>
      <c r="RIC7" s="14"/>
      <c r="RID7" s="14"/>
      <c r="RIE7" s="14"/>
      <c r="RIF7" s="14"/>
      <c r="RIG7" s="14"/>
      <c r="RIH7" s="14"/>
      <c r="RII7" s="14"/>
      <c r="RIJ7" s="14"/>
      <c r="RIK7" s="14"/>
      <c r="RIL7" s="14"/>
      <c r="RIM7" s="14"/>
      <c r="RIN7" s="14"/>
      <c r="RIO7" s="14"/>
      <c r="RIP7" s="14"/>
      <c r="RIQ7" s="14"/>
      <c r="RIR7" s="14"/>
      <c r="RIS7" s="14"/>
      <c r="RIT7" s="14"/>
      <c r="RIU7" s="14"/>
      <c r="RIV7" s="14"/>
      <c r="RIW7" s="14"/>
      <c r="RIX7" s="14"/>
      <c r="RIY7" s="14"/>
      <c r="RIZ7" s="14"/>
      <c r="RJA7" s="14"/>
      <c r="RJB7" s="14"/>
      <c r="RJC7" s="14"/>
      <c r="RJD7" s="14"/>
      <c r="RJE7" s="14"/>
      <c r="RJF7" s="14"/>
      <c r="RJG7" s="14"/>
      <c r="RJH7" s="14"/>
      <c r="RJI7" s="14"/>
      <c r="RJJ7" s="14"/>
      <c r="RJK7" s="14"/>
      <c r="RJL7" s="14"/>
      <c r="RJM7" s="14"/>
      <c r="RJN7" s="14"/>
      <c r="RJO7" s="14"/>
      <c r="RJP7" s="14"/>
      <c r="RJQ7" s="14"/>
      <c r="RJR7" s="14"/>
      <c r="RJS7" s="14"/>
      <c r="RJT7" s="14"/>
      <c r="RJU7" s="14"/>
      <c r="RJV7" s="14"/>
      <c r="RJW7" s="14"/>
      <c r="RJX7" s="14"/>
      <c r="RJY7" s="14"/>
      <c r="RJZ7" s="14"/>
      <c r="RKA7" s="14"/>
      <c r="RKB7" s="14"/>
      <c r="RKC7" s="14"/>
      <c r="RKD7" s="14"/>
      <c r="RKE7" s="14"/>
      <c r="RKF7" s="14"/>
      <c r="RKG7" s="14"/>
      <c r="RKH7" s="14"/>
      <c r="RKI7" s="14"/>
      <c r="RKJ7" s="14"/>
      <c r="RKK7" s="14"/>
      <c r="RKL7" s="14"/>
      <c r="RKM7" s="14"/>
      <c r="RKN7" s="14"/>
      <c r="RKO7" s="14"/>
      <c r="RKP7" s="14"/>
      <c r="RKQ7" s="14"/>
      <c r="RKR7" s="14"/>
      <c r="RKS7" s="14"/>
      <c r="RKT7" s="14"/>
      <c r="RKU7" s="14"/>
      <c r="RKV7" s="14"/>
      <c r="RKW7" s="14"/>
      <c r="RKX7" s="14"/>
      <c r="RKY7" s="14"/>
      <c r="RKZ7" s="14"/>
      <c r="RLA7" s="14"/>
      <c r="RLB7" s="14"/>
      <c r="RLC7" s="14"/>
      <c r="RLD7" s="14"/>
      <c r="RLE7" s="14"/>
      <c r="RLF7" s="14"/>
      <c r="RLG7" s="14"/>
      <c r="RLH7" s="14"/>
      <c r="RLI7" s="14"/>
      <c r="RLJ7" s="14"/>
      <c r="RLK7" s="14"/>
      <c r="RLL7" s="14"/>
      <c r="RLM7" s="14"/>
      <c r="RLN7" s="14"/>
      <c r="RLO7" s="14"/>
      <c r="RLP7" s="14"/>
      <c r="RLQ7" s="14"/>
      <c r="RLR7" s="14"/>
      <c r="RLS7" s="14"/>
      <c r="RLT7" s="14"/>
      <c r="RLU7" s="14"/>
      <c r="RLV7" s="14"/>
      <c r="RLW7" s="14"/>
      <c r="RLX7" s="14"/>
      <c r="RLY7" s="14"/>
      <c r="RLZ7" s="14"/>
      <c r="RMA7" s="14"/>
      <c r="RMB7" s="14"/>
      <c r="RMC7" s="14"/>
      <c r="RMD7" s="14"/>
      <c r="RME7" s="14"/>
      <c r="RMF7" s="14"/>
      <c r="RMG7" s="14"/>
      <c r="RMH7" s="14"/>
      <c r="RMI7" s="14"/>
      <c r="RMJ7" s="14"/>
      <c r="RMK7" s="14"/>
      <c r="RML7" s="14"/>
      <c r="RMM7" s="14"/>
      <c r="RMN7" s="14"/>
      <c r="RMO7" s="14"/>
      <c r="RMP7" s="14"/>
      <c r="RMQ7" s="14"/>
      <c r="RMR7" s="14"/>
      <c r="RMS7" s="14"/>
      <c r="RMT7" s="14"/>
      <c r="RMU7" s="14"/>
      <c r="RMV7" s="14"/>
      <c r="RMW7" s="14"/>
      <c r="RMX7" s="14"/>
      <c r="RMY7" s="14"/>
      <c r="RMZ7" s="14"/>
      <c r="RNA7" s="14"/>
      <c r="RNB7" s="14"/>
      <c r="RNC7" s="14"/>
      <c r="RND7" s="14"/>
      <c r="RNE7" s="14"/>
      <c r="RNF7" s="14"/>
      <c r="RNG7" s="14"/>
      <c r="RNH7" s="14"/>
      <c r="RNI7" s="14"/>
      <c r="RNJ7" s="14"/>
      <c r="RNK7" s="14"/>
      <c r="RNL7" s="14"/>
      <c r="RNM7" s="14"/>
      <c r="RNN7" s="14"/>
      <c r="RNO7" s="14"/>
      <c r="RNP7" s="14"/>
      <c r="RNQ7" s="14"/>
      <c r="RNR7" s="14"/>
      <c r="RNS7" s="14"/>
      <c r="RNT7" s="14"/>
      <c r="RNU7" s="14"/>
      <c r="RNV7" s="14"/>
      <c r="RNW7" s="14"/>
      <c r="RNX7" s="14"/>
      <c r="RNY7" s="14"/>
      <c r="RNZ7" s="14"/>
      <c r="ROA7" s="14"/>
      <c r="ROB7" s="14"/>
      <c r="ROC7" s="14"/>
      <c r="ROD7" s="14"/>
      <c r="ROE7" s="14"/>
      <c r="ROF7" s="14"/>
      <c r="ROG7" s="14"/>
      <c r="ROH7" s="14"/>
      <c r="ROI7" s="14"/>
      <c r="ROJ7" s="14"/>
      <c r="ROK7" s="14"/>
      <c r="ROL7" s="14"/>
      <c r="ROM7" s="14"/>
      <c r="RON7" s="14"/>
      <c r="ROO7" s="14"/>
      <c r="ROP7" s="14"/>
      <c r="ROQ7" s="14"/>
      <c r="ROR7" s="14"/>
      <c r="ROS7" s="14"/>
      <c r="ROT7" s="14"/>
      <c r="ROU7" s="14"/>
      <c r="ROV7" s="14"/>
      <c r="ROW7" s="14"/>
      <c r="ROX7" s="14"/>
      <c r="ROY7" s="14"/>
      <c r="ROZ7" s="14"/>
      <c r="RPA7" s="14"/>
      <c r="RPB7" s="14"/>
      <c r="RPC7" s="14"/>
      <c r="RPD7" s="14"/>
      <c r="RPE7" s="14"/>
      <c r="RPF7" s="14"/>
      <c r="RPG7" s="14"/>
      <c r="RPH7" s="14"/>
      <c r="RPI7" s="14"/>
      <c r="RPJ7" s="14"/>
      <c r="RPK7" s="14"/>
      <c r="RPL7" s="14"/>
      <c r="RPM7" s="14"/>
      <c r="RPN7" s="14"/>
      <c r="RPO7" s="14"/>
      <c r="RPP7" s="14"/>
      <c r="RPQ7" s="14"/>
      <c r="RPR7" s="14"/>
      <c r="RPS7" s="14"/>
      <c r="RPT7" s="14"/>
      <c r="RPU7" s="14"/>
      <c r="RPV7" s="14"/>
      <c r="RPW7" s="14"/>
      <c r="RPX7" s="14"/>
      <c r="RPY7" s="14"/>
      <c r="RPZ7" s="14"/>
      <c r="RQA7" s="14"/>
      <c r="RQB7" s="14"/>
      <c r="RQC7" s="14"/>
      <c r="RQD7" s="14"/>
      <c r="RQE7" s="14"/>
      <c r="RQF7" s="14"/>
      <c r="RQG7" s="14"/>
      <c r="RQH7" s="14"/>
      <c r="RQI7" s="14"/>
      <c r="RQJ7" s="14"/>
      <c r="RQK7" s="14"/>
      <c r="RQL7" s="14"/>
      <c r="RQM7" s="14"/>
      <c r="RQN7" s="14"/>
      <c r="RQO7" s="14"/>
      <c r="RQP7" s="14"/>
      <c r="RQQ7" s="14"/>
      <c r="RQR7" s="14"/>
      <c r="RQS7" s="14"/>
      <c r="RQT7" s="14"/>
      <c r="RQU7" s="14"/>
      <c r="RQV7" s="14"/>
      <c r="RQW7" s="14"/>
      <c r="RQX7" s="14"/>
      <c r="RQY7" s="14"/>
      <c r="RQZ7" s="14"/>
      <c r="RRA7" s="14"/>
      <c r="RRB7" s="14"/>
      <c r="RRC7" s="14"/>
      <c r="RRD7" s="14"/>
      <c r="RRE7" s="14"/>
      <c r="RRF7" s="14"/>
      <c r="RRG7" s="14"/>
      <c r="RRH7" s="14"/>
      <c r="RRI7" s="14"/>
      <c r="RRJ7" s="14"/>
      <c r="RRK7" s="14"/>
      <c r="RRL7" s="14"/>
      <c r="RRM7" s="14"/>
      <c r="RRN7" s="14"/>
      <c r="RRO7" s="14"/>
      <c r="RRP7" s="14"/>
      <c r="RRQ7" s="14"/>
      <c r="RRR7" s="14"/>
      <c r="RRS7" s="14"/>
      <c r="RRT7" s="14"/>
      <c r="RRU7" s="14"/>
      <c r="RRV7" s="14"/>
      <c r="RRW7" s="14"/>
      <c r="RRX7" s="14"/>
      <c r="RRY7" s="14"/>
      <c r="RRZ7" s="14"/>
      <c r="RSA7" s="14"/>
      <c r="RSB7" s="14"/>
      <c r="RSC7" s="14"/>
      <c r="RSD7" s="14"/>
      <c r="RSE7" s="14"/>
      <c r="RSF7" s="14"/>
      <c r="RSG7" s="14"/>
      <c r="RSH7" s="14"/>
      <c r="RSI7" s="14"/>
      <c r="RSJ7" s="14"/>
      <c r="RSK7" s="14"/>
      <c r="RSL7" s="14"/>
      <c r="RSM7" s="14"/>
      <c r="RSN7" s="14"/>
      <c r="RSO7" s="14"/>
      <c r="RSP7" s="14"/>
      <c r="RSQ7" s="14"/>
      <c r="RSR7" s="14"/>
      <c r="RSS7" s="14"/>
      <c r="RST7" s="14"/>
      <c r="RSU7" s="14"/>
      <c r="RSV7" s="14"/>
      <c r="RSW7" s="14"/>
      <c r="RSX7" s="14"/>
      <c r="RSY7" s="14"/>
      <c r="RSZ7" s="14"/>
      <c r="RTA7" s="14"/>
      <c r="RTB7" s="14"/>
      <c r="RTC7" s="14"/>
      <c r="RTD7" s="14"/>
      <c r="RTE7" s="14"/>
      <c r="RTF7" s="14"/>
      <c r="RTG7" s="14"/>
      <c r="RTH7" s="14"/>
      <c r="RTI7" s="14"/>
      <c r="RTJ7" s="14"/>
      <c r="RTK7" s="14"/>
      <c r="RTL7" s="14"/>
      <c r="RTM7" s="14"/>
      <c r="RTN7" s="14"/>
      <c r="RTO7" s="14"/>
      <c r="RTP7" s="14"/>
      <c r="RTQ7" s="14"/>
      <c r="RTR7" s="14"/>
      <c r="RTS7" s="14"/>
      <c r="RTT7" s="14"/>
      <c r="RTU7" s="14"/>
      <c r="RTV7" s="14"/>
      <c r="RTW7" s="14"/>
      <c r="RTX7" s="14"/>
      <c r="RTY7" s="14"/>
      <c r="RTZ7" s="14"/>
      <c r="RUA7" s="14"/>
      <c r="RUB7" s="14"/>
      <c r="RUC7" s="14"/>
      <c r="RUD7" s="14"/>
      <c r="RUE7" s="14"/>
      <c r="RUF7" s="14"/>
      <c r="RUG7" s="14"/>
      <c r="RUH7" s="14"/>
      <c r="RUI7" s="14"/>
      <c r="RUJ7" s="14"/>
      <c r="RUK7" s="14"/>
      <c r="RUL7" s="14"/>
      <c r="RUM7" s="14"/>
      <c r="RUN7" s="14"/>
      <c r="RUO7" s="14"/>
      <c r="RUP7" s="14"/>
      <c r="RUQ7" s="14"/>
      <c r="RUR7" s="14"/>
      <c r="RUS7" s="14"/>
      <c r="RUT7" s="14"/>
      <c r="RUU7" s="14"/>
      <c r="RUV7" s="14"/>
      <c r="RUW7" s="14"/>
      <c r="RUX7" s="14"/>
      <c r="RUY7" s="14"/>
      <c r="RUZ7" s="14"/>
      <c r="RVA7" s="14"/>
      <c r="RVB7" s="14"/>
      <c r="RVC7" s="14"/>
      <c r="RVD7" s="14"/>
      <c r="RVE7" s="14"/>
      <c r="RVF7" s="14"/>
      <c r="RVG7" s="14"/>
      <c r="RVH7" s="14"/>
      <c r="RVI7" s="14"/>
      <c r="RVJ7" s="14"/>
      <c r="RVK7" s="14"/>
      <c r="RVL7" s="14"/>
      <c r="RVM7" s="14"/>
      <c r="RVN7" s="14"/>
      <c r="RVO7" s="14"/>
      <c r="RVP7" s="14"/>
      <c r="RVQ7" s="14"/>
      <c r="RVR7" s="14"/>
      <c r="RVS7" s="14"/>
      <c r="RVT7" s="14"/>
      <c r="RVU7" s="14"/>
      <c r="RVV7" s="14"/>
      <c r="RVW7" s="14"/>
      <c r="RVX7" s="14"/>
      <c r="RVY7" s="14"/>
      <c r="RVZ7" s="14"/>
      <c r="RWA7" s="14"/>
      <c r="RWB7" s="14"/>
      <c r="RWC7" s="14"/>
      <c r="RWD7" s="14"/>
      <c r="RWE7" s="14"/>
      <c r="RWF7" s="14"/>
      <c r="RWG7" s="14"/>
      <c r="RWH7" s="14"/>
      <c r="RWI7" s="14"/>
      <c r="RWJ7" s="14"/>
      <c r="RWK7" s="14"/>
      <c r="RWL7" s="14"/>
      <c r="RWM7" s="14"/>
      <c r="RWN7" s="14"/>
      <c r="RWO7" s="14"/>
      <c r="RWP7" s="14"/>
      <c r="RWQ7" s="14"/>
      <c r="RWR7" s="14"/>
      <c r="RWS7" s="14"/>
      <c r="RWT7" s="14"/>
      <c r="RWU7" s="14"/>
      <c r="RWV7" s="14"/>
      <c r="RWW7" s="14"/>
      <c r="RWX7" s="14"/>
      <c r="RWY7" s="14"/>
      <c r="RWZ7" s="14"/>
      <c r="RXA7" s="14"/>
      <c r="RXB7" s="14"/>
      <c r="RXC7" s="14"/>
      <c r="RXD7" s="14"/>
      <c r="RXE7" s="14"/>
      <c r="RXF7" s="14"/>
      <c r="RXG7" s="14"/>
      <c r="RXH7" s="14"/>
      <c r="RXI7" s="14"/>
      <c r="RXJ7" s="14"/>
      <c r="RXK7" s="14"/>
      <c r="RXL7" s="14"/>
      <c r="RXM7" s="14"/>
      <c r="RXN7" s="14"/>
      <c r="RXO7" s="14"/>
      <c r="RXP7" s="14"/>
      <c r="RXQ7" s="14"/>
      <c r="RXR7" s="14"/>
      <c r="RXS7" s="14"/>
      <c r="RXT7" s="14"/>
      <c r="RXU7" s="14"/>
      <c r="RXV7" s="14"/>
      <c r="RXW7" s="14"/>
      <c r="RXX7" s="14"/>
      <c r="RXY7" s="14"/>
      <c r="RXZ7" s="14"/>
      <c r="RYA7" s="14"/>
      <c r="RYB7" s="14"/>
      <c r="RYC7" s="14"/>
      <c r="RYD7" s="14"/>
      <c r="RYE7" s="14"/>
      <c r="RYF7" s="14"/>
      <c r="RYG7" s="14"/>
      <c r="RYH7" s="14"/>
      <c r="RYI7" s="14"/>
      <c r="RYJ7" s="14"/>
      <c r="RYK7" s="14"/>
      <c r="RYL7" s="14"/>
      <c r="RYM7" s="14"/>
      <c r="RYN7" s="14"/>
      <c r="RYO7" s="14"/>
      <c r="RYP7" s="14"/>
      <c r="RYQ7" s="14"/>
      <c r="RYR7" s="14"/>
      <c r="RYS7" s="14"/>
      <c r="RYT7" s="14"/>
      <c r="RYU7" s="14"/>
      <c r="RYV7" s="14"/>
      <c r="RYW7" s="14"/>
      <c r="RYX7" s="14"/>
      <c r="RYY7" s="14"/>
      <c r="RYZ7" s="14"/>
      <c r="RZA7" s="14"/>
      <c r="RZB7" s="14"/>
      <c r="RZC7" s="14"/>
      <c r="RZD7" s="14"/>
      <c r="RZE7" s="14"/>
      <c r="RZF7" s="14"/>
      <c r="RZG7" s="14"/>
      <c r="RZH7" s="14"/>
      <c r="RZI7" s="14"/>
      <c r="RZJ7" s="14"/>
      <c r="RZK7" s="14"/>
      <c r="RZL7" s="14"/>
      <c r="RZM7" s="14"/>
      <c r="RZN7" s="14"/>
      <c r="RZO7" s="14"/>
      <c r="RZP7" s="14"/>
      <c r="RZQ7" s="14"/>
      <c r="RZR7" s="14"/>
      <c r="RZS7" s="14"/>
      <c r="RZT7" s="14"/>
      <c r="RZU7" s="14"/>
      <c r="RZV7" s="14"/>
      <c r="RZW7" s="14"/>
      <c r="RZX7" s="14"/>
      <c r="RZY7" s="14"/>
      <c r="RZZ7" s="14"/>
      <c r="SAA7" s="14"/>
      <c r="SAB7" s="14"/>
      <c r="SAC7" s="14"/>
      <c r="SAD7" s="14"/>
      <c r="SAE7" s="14"/>
      <c r="SAF7" s="14"/>
      <c r="SAG7" s="14"/>
      <c r="SAH7" s="14"/>
      <c r="SAI7" s="14"/>
      <c r="SAJ7" s="14"/>
      <c r="SAK7" s="14"/>
      <c r="SAL7" s="14"/>
      <c r="SAM7" s="14"/>
      <c r="SAN7" s="14"/>
      <c r="SAO7" s="14"/>
      <c r="SAP7" s="14"/>
      <c r="SAQ7" s="14"/>
      <c r="SAR7" s="14"/>
      <c r="SAS7" s="14"/>
      <c r="SAT7" s="14"/>
      <c r="SAU7" s="14"/>
      <c r="SAV7" s="14"/>
      <c r="SAW7" s="14"/>
      <c r="SAX7" s="14"/>
      <c r="SAY7" s="14"/>
      <c r="SAZ7" s="14"/>
      <c r="SBA7" s="14"/>
      <c r="SBB7" s="14"/>
      <c r="SBC7" s="14"/>
      <c r="SBD7" s="14"/>
      <c r="SBE7" s="14"/>
      <c r="SBF7" s="14"/>
      <c r="SBG7" s="14"/>
      <c r="SBH7" s="14"/>
      <c r="SBI7" s="14"/>
      <c r="SBJ7" s="14"/>
      <c r="SBK7" s="14"/>
      <c r="SBL7" s="14"/>
      <c r="SBM7" s="14"/>
      <c r="SBN7" s="14"/>
      <c r="SBO7" s="14"/>
      <c r="SBP7" s="14"/>
      <c r="SBQ7" s="14"/>
      <c r="SBR7" s="14"/>
      <c r="SBS7" s="14"/>
      <c r="SBT7" s="14"/>
      <c r="SBU7" s="14"/>
      <c r="SBV7" s="14"/>
      <c r="SBW7" s="14"/>
      <c r="SBX7" s="14"/>
      <c r="SBY7" s="14"/>
      <c r="SBZ7" s="14"/>
      <c r="SCA7" s="14"/>
      <c r="SCB7" s="14"/>
      <c r="SCC7" s="14"/>
      <c r="SCD7" s="14"/>
      <c r="SCE7" s="14"/>
      <c r="SCF7" s="14"/>
      <c r="SCG7" s="14"/>
      <c r="SCH7" s="14"/>
      <c r="SCI7" s="14"/>
      <c r="SCJ7" s="14"/>
      <c r="SCK7" s="14"/>
      <c r="SCL7" s="14"/>
      <c r="SCM7" s="14"/>
      <c r="SCN7" s="14"/>
      <c r="SCO7" s="14"/>
      <c r="SCP7" s="14"/>
      <c r="SCQ7" s="14"/>
      <c r="SCR7" s="14"/>
      <c r="SCS7" s="14"/>
      <c r="SCT7" s="14"/>
      <c r="SCU7" s="14"/>
      <c r="SCV7" s="14"/>
      <c r="SCW7" s="14"/>
      <c r="SCX7" s="14"/>
      <c r="SCY7" s="14"/>
      <c r="SCZ7" s="14"/>
      <c r="SDA7" s="14"/>
      <c r="SDB7" s="14"/>
      <c r="SDC7" s="14"/>
      <c r="SDD7" s="14"/>
      <c r="SDE7" s="14"/>
      <c r="SDF7" s="14"/>
      <c r="SDG7" s="14"/>
      <c r="SDH7" s="14"/>
      <c r="SDI7" s="14"/>
      <c r="SDJ7" s="14"/>
      <c r="SDK7" s="14"/>
      <c r="SDL7" s="14"/>
      <c r="SDM7" s="14"/>
      <c r="SDN7" s="14"/>
      <c r="SDO7" s="14"/>
      <c r="SDP7" s="14"/>
      <c r="SDQ7" s="14"/>
      <c r="SDR7" s="14"/>
      <c r="SDS7" s="14"/>
      <c r="SDT7" s="14"/>
      <c r="SDU7" s="14"/>
      <c r="SDV7" s="14"/>
      <c r="SDW7" s="14"/>
      <c r="SDX7" s="14"/>
      <c r="SDY7" s="14"/>
      <c r="SDZ7" s="14"/>
      <c r="SEA7" s="14"/>
      <c r="SEB7" s="14"/>
      <c r="SEC7" s="14"/>
      <c r="SED7" s="14"/>
      <c r="SEE7" s="14"/>
      <c r="SEF7" s="14"/>
      <c r="SEG7" s="14"/>
      <c r="SEH7" s="14"/>
      <c r="SEI7" s="14"/>
      <c r="SEJ7" s="14"/>
      <c r="SEK7" s="14"/>
      <c r="SEL7" s="14"/>
      <c r="SEM7" s="14"/>
      <c r="SEN7" s="14"/>
      <c r="SEO7" s="14"/>
      <c r="SEP7" s="14"/>
      <c r="SEQ7" s="14"/>
      <c r="SER7" s="14"/>
      <c r="SES7" s="14"/>
      <c r="SET7" s="14"/>
      <c r="SEU7" s="14"/>
      <c r="SEV7" s="14"/>
      <c r="SEW7" s="14"/>
      <c r="SEX7" s="14"/>
      <c r="SEY7" s="14"/>
      <c r="SEZ7" s="14"/>
      <c r="SFA7" s="14"/>
      <c r="SFB7" s="14"/>
      <c r="SFC7" s="14"/>
      <c r="SFD7" s="14"/>
      <c r="SFE7" s="14"/>
      <c r="SFF7" s="14"/>
      <c r="SFG7" s="14"/>
      <c r="SFH7" s="14"/>
      <c r="SFI7" s="14"/>
      <c r="SFJ7" s="14"/>
      <c r="SFK7" s="14"/>
      <c r="SFL7" s="14"/>
      <c r="SFM7" s="14"/>
      <c r="SFN7" s="14"/>
      <c r="SFO7" s="14"/>
      <c r="SFP7" s="14"/>
      <c r="SFQ7" s="14"/>
      <c r="SFR7" s="14"/>
      <c r="SFS7" s="14"/>
      <c r="SFT7" s="14"/>
      <c r="SFU7" s="14"/>
      <c r="SFV7" s="14"/>
      <c r="SFW7" s="14"/>
      <c r="SFX7" s="14"/>
      <c r="SFY7" s="14"/>
      <c r="SFZ7" s="14"/>
      <c r="SGA7" s="14"/>
      <c r="SGB7" s="14"/>
      <c r="SGC7" s="14"/>
      <c r="SGD7" s="14"/>
      <c r="SGE7" s="14"/>
      <c r="SGF7" s="14"/>
      <c r="SGG7" s="14"/>
      <c r="SGH7" s="14"/>
      <c r="SGI7" s="14"/>
      <c r="SGJ7" s="14"/>
      <c r="SGK7" s="14"/>
      <c r="SGL7" s="14"/>
      <c r="SGM7" s="14"/>
      <c r="SGN7" s="14"/>
      <c r="SGO7" s="14"/>
      <c r="SGP7" s="14"/>
      <c r="SGQ7" s="14"/>
      <c r="SGR7" s="14"/>
      <c r="SGS7" s="14"/>
      <c r="SGT7" s="14"/>
      <c r="SGU7" s="14"/>
      <c r="SGV7" s="14"/>
      <c r="SGW7" s="14"/>
      <c r="SGX7" s="14"/>
      <c r="SGY7" s="14"/>
      <c r="SGZ7" s="14"/>
      <c r="SHA7" s="14"/>
      <c r="SHB7" s="14"/>
      <c r="SHC7" s="14"/>
      <c r="SHD7" s="14"/>
      <c r="SHE7" s="14"/>
      <c r="SHF7" s="14"/>
      <c r="SHG7" s="14"/>
      <c r="SHH7" s="14"/>
      <c r="SHI7" s="14"/>
      <c r="SHJ7" s="14"/>
      <c r="SHK7" s="14"/>
      <c r="SHL7" s="14"/>
      <c r="SHM7" s="14"/>
      <c r="SHN7" s="14"/>
      <c r="SHO7" s="14"/>
      <c r="SHP7" s="14"/>
      <c r="SHQ7" s="14"/>
      <c r="SHR7" s="14"/>
      <c r="SHS7" s="14"/>
      <c r="SHT7" s="14"/>
      <c r="SHU7" s="14"/>
      <c r="SHV7" s="14"/>
      <c r="SHW7" s="14"/>
      <c r="SHX7" s="14"/>
      <c r="SHY7" s="14"/>
      <c r="SHZ7" s="14"/>
      <c r="SIA7" s="14"/>
      <c r="SIB7" s="14"/>
      <c r="SIC7" s="14"/>
      <c r="SID7" s="14"/>
      <c r="SIE7" s="14"/>
      <c r="SIF7" s="14"/>
      <c r="SIG7" s="14"/>
      <c r="SIH7" s="14"/>
      <c r="SII7" s="14"/>
      <c r="SIJ7" s="14"/>
      <c r="SIK7" s="14"/>
      <c r="SIL7" s="14"/>
      <c r="SIM7" s="14"/>
      <c r="SIN7" s="14"/>
      <c r="SIO7" s="14"/>
      <c r="SIP7" s="14"/>
      <c r="SIQ7" s="14"/>
      <c r="SIR7" s="14"/>
      <c r="SIS7" s="14"/>
      <c r="SIT7" s="14"/>
      <c r="SIU7" s="14"/>
      <c r="SIV7" s="14"/>
      <c r="SIW7" s="14"/>
      <c r="SIX7" s="14"/>
      <c r="SIY7" s="14"/>
      <c r="SIZ7" s="14"/>
      <c r="SJA7" s="14"/>
      <c r="SJB7" s="14"/>
      <c r="SJC7" s="14"/>
      <c r="SJD7" s="14"/>
      <c r="SJE7" s="14"/>
      <c r="SJF7" s="14"/>
      <c r="SJG7" s="14"/>
      <c r="SJH7" s="14"/>
      <c r="SJI7" s="14"/>
      <c r="SJJ7" s="14"/>
      <c r="SJK7" s="14"/>
      <c r="SJL7" s="14"/>
      <c r="SJM7" s="14"/>
      <c r="SJN7" s="14"/>
      <c r="SJO7" s="14"/>
      <c r="SJP7" s="14"/>
      <c r="SJQ7" s="14"/>
      <c r="SJR7" s="14"/>
      <c r="SJS7" s="14"/>
      <c r="SJT7" s="14"/>
      <c r="SJU7" s="14"/>
      <c r="SJV7" s="14"/>
      <c r="SJW7" s="14"/>
      <c r="SJX7" s="14"/>
      <c r="SJY7" s="14"/>
      <c r="SJZ7" s="14"/>
      <c r="SKA7" s="14"/>
      <c r="SKB7" s="14"/>
      <c r="SKC7" s="14"/>
      <c r="SKD7" s="14"/>
      <c r="SKE7" s="14"/>
      <c r="SKF7" s="14"/>
      <c r="SKG7" s="14"/>
      <c r="SKH7" s="14"/>
      <c r="SKI7" s="14"/>
      <c r="SKJ7" s="14"/>
      <c r="SKK7" s="14"/>
      <c r="SKL7" s="14"/>
      <c r="SKM7" s="14"/>
      <c r="SKN7" s="14"/>
      <c r="SKO7" s="14"/>
      <c r="SKP7" s="14"/>
      <c r="SKQ7" s="14"/>
      <c r="SKR7" s="14"/>
      <c r="SKS7" s="14"/>
      <c r="SKT7" s="14"/>
      <c r="SKU7" s="14"/>
      <c r="SKV7" s="14"/>
      <c r="SKW7" s="14"/>
      <c r="SKX7" s="14"/>
      <c r="SKY7" s="14"/>
      <c r="SKZ7" s="14"/>
      <c r="SLA7" s="14"/>
      <c r="SLB7" s="14"/>
      <c r="SLC7" s="14"/>
      <c r="SLD7" s="14"/>
      <c r="SLE7" s="14"/>
      <c r="SLF7" s="14"/>
      <c r="SLG7" s="14"/>
      <c r="SLH7" s="14"/>
      <c r="SLI7" s="14"/>
      <c r="SLJ7" s="14"/>
      <c r="SLK7" s="14"/>
      <c r="SLL7" s="14"/>
      <c r="SLM7" s="14"/>
      <c r="SLN7" s="14"/>
      <c r="SLO7" s="14"/>
      <c r="SLP7" s="14"/>
      <c r="SLQ7" s="14"/>
      <c r="SLR7" s="14"/>
      <c r="SLS7" s="14"/>
      <c r="SLT7" s="14"/>
      <c r="SLU7" s="14"/>
      <c r="SLV7" s="14"/>
      <c r="SLW7" s="14"/>
      <c r="SLX7" s="14"/>
      <c r="SLY7" s="14"/>
      <c r="SLZ7" s="14"/>
      <c r="SMA7" s="14"/>
      <c r="SMB7" s="14"/>
      <c r="SMC7" s="14"/>
      <c r="SMD7" s="14"/>
      <c r="SME7" s="14"/>
      <c r="SMF7" s="14"/>
      <c r="SMG7" s="14"/>
      <c r="SMH7" s="14"/>
      <c r="SMI7" s="14"/>
      <c r="SMJ7" s="14"/>
      <c r="SMK7" s="14"/>
      <c r="SML7" s="14"/>
      <c r="SMM7" s="14"/>
      <c r="SMN7" s="14"/>
      <c r="SMO7" s="14"/>
      <c r="SMP7" s="14"/>
      <c r="SMQ7" s="14"/>
      <c r="SMR7" s="14"/>
      <c r="SMS7" s="14"/>
      <c r="SMT7" s="14"/>
      <c r="SMU7" s="14"/>
      <c r="SMV7" s="14"/>
      <c r="SMW7" s="14"/>
      <c r="SMX7" s="14"/>
      <c r="SMY7" s="14"/>
      <c r="SMZ7" s="14"/>
      <c r="SNA7" s="14"/>
      <c r="SNB7" s="14"/>
      <c r="SNC7" s="14"/>
      <c r="SND7" s="14"/>
      <c r="SNE7" s="14"/>
      <c r="SNF7" s="14"/>
      <c r="SNG7" s="14"/>
      <c r="SNH7" s="14"/>
      <c r="SNI7" s="14"/>
      <c r="SNJ7" s="14"/>
      <c r="SNK7" s="14"/>
      <c r="SNL7" s="14"/>
      <c r="SNM7" s="14"/>
      <c r="SNN7" s="14"/>
      <c r="SNO7" s="14"/>
      <c r="SNP7" s="14"/>
      <c r="SNQ7" s="14"/>
      <c r="SNR7" s="14"/>
      <c r="SNS7" s="14"/>
      <c r="SNT7" s="14"/>
      <c r="SNU7" s="14"/>
      <c r="SNV7" s="14"/>
      <c r="SNW7" s="14"/>
      <c r="SNX7" s="14"/>
      <c r="SNY7" s="14"/>
      <c r="SNZ7" s="14"/>
      <c r="SOA7" s="14"/>
      <c r="SOB7" s="14"/>
      <c r="SOC7" s="14"/>
      <c r="SOD7" s="14"/>
      <c r="SOE7" s="14"/>
      <c r="SOF7" s="14"/>
      <c r="SOG7" s="14"/>
      <c r="SOH7" s="14"/>
      <c r="SOI7" s="14"/>
      <c r="SOJ7" s="14"/>
      <c r="SOK7" s="14"/>
      <c r="SOL7" s="14"/>
      <c r="SOM7" s="14"/>
      <c r="SON7" s="14"/>
      <c r="SOO7" s="14"/>
      <c r="SOP7" s="14"/>
      <c r="SOQ7" s="14"/>
      <c r="SOR7" s="14"/>
      <c r="SOS7" s="14"/>
      <c r="SOT7" s="14"/>
      <c r="SOU7" s="14"/>
      <c r="SOV7" s="14"/>
      <c r="SOW7" s="14"/>
      <c r="SOX7" s="14"/>
      <c r="SOY7" s="14"/>
      <c r="SOZ7" s="14"/>
      <c r="SPA7" s="14"/>
      <c r="SPB7" s="14"/>
      <c r="SPC7" s="14"/>
      <c r="SPD7" s="14"/>
      <c r="SPE7" s="14"/>
      <c r="SPF7" s="14"/>
      <c r="SPG7" s="14"/>
      <c r="SPH7" s="14"/>
      <c r="SPI7" s="14"/>
      <c r="SPJ7" s="14"/>
      <c r="SPK7" s="14"/>
      <c r="SPL7" s="14"/>
      <c r="SPM7" s="14"/>
      <c r="SPN7" s="14"/>
      <c r="SPO7" s="14"/>
      <c r="SPP7" s="14"/>
      <c r="SPQ7" s="14"/>
      <c r="SPR7" s="14"/>
      <c r="SPS7" s="14"/>
      <c r="SPT7" s="14"/>
      <c r="SPU7" s="14"/>
      <c r="SPV7" s="14"/>
      <c r="SPW7" s="14"/>
      <c r="SPX7" s="14"/>
      <c r="SPY7" s="14"/>
      <c r="SPZ7" s="14"/>
      <c r="SQA7" s="14"/>
      <c r="SQB7" s="14"/>
      <c r="SQC7" s="14"/>
      <c r="SQD7" s="14"/>
      <c r="SQE7" s="14"/>
      <c r="SQF7" s="14"/>
      <c r="SQG7" s="14"/>
      <c r="SQH7" s="14"/>
      <c r="SQI7" s="14"/>
      <c r="SQJ7" s="14"/>
      <c r="SQK7" s="14"/>
      <c r="SQL7" s="14"/>
      <c r="SQM7" s="14"/>
      <c r="SQN7" s="14"/>
      <c r="SQO7" s="14"/>
      <c r="SQP7" s="14"/>
      <c r="SQQ7" s="14"/>
      <c r="SQR7" s="14"/>
      <c r="SQS7" s="14"/>
      <c r="SQT7" s="14"/>
      <c r="SQU7" s="14"/>
      <c r="SQV7" s="14"/>
      <c r="SQW7" s="14"/>
      <c r="SQX7" s="14"/>
      <c r="SQY7" s="14"/>
      <c r="SQZ7" s="14"/>
      <c r="SRA7" s="14"/>
      <c r="SRB7" s="14"/>
      <c r="SRC7" s="14"/>
      <c r="SRD7" s="14"/>
      <c r="SRE7" s="14"/>
      <c r="SRF7" s="14"/>
      <c r="SRG7" s="14"/>
      <c r="SRH7" s="14"/>
      <c r="SRI7" s="14"/>
      <c r="SRJ7" s="14"/>
      <c r="SRK7" s="14"/>
      <c r="SRL7" s="14"/>
      <c r="SRM7" s="14"/>
      <c r="SRN7" s="14"/>
      <c r="SRO7" s="14"/>
      <c r="SRP7" s="14"/>
      <c r="SRQ7" s="14"/>
      <c r="SRR7" s="14"/>
      <c r="SRS7" s="14"/>
      <c r="SRT7" s="14"/>
      <c r="SRU7" s="14"/>
      <c r="SRV7" s="14"/>
      <c r="SRW7" s="14"/>
      <c r="SRX7" s="14"/>
      <c r="SRY7" s="14"/>
      <c r="SRZ7" s="14"/>
      <c r="SSA7" s="14"/>
      <c r="SSB7" s="14"/>
      <c r="SSC7" s="14"/>
      <c r="SSD7" s="14"/>
      <c r="SSE7" s="14"/>
      <c r="SSF7" s="14"/>
      <c r="SSG7" s="14"/>
      <c r="SSH7" s="14"/>
      <c r="SSI7" s="14"/>
      <c r="SSJ7" s="14"/>
      <c r="SSK7" s="14"/>
      <c r="SSL7" s="14"/>
      <c r="SSM7" s="14"/>
      <c r="SSN7" s="14"/>
      <c r="SSO7" s="14"/>
      <c r="SSP7" s="14"/>
      <c r="SSQ7" s="14"/>
      <c r="SSR7" s="14"/>
      <c r="SSS7" s="14"/>
      <c r="SST7" s="14"/>
      <c r="SSU7" s="14"/>
      <c r="SSV7" s="14"/>
      <c r="SSW7" s="14"/>
      <c r="SSX7" s="14"/>
      <c r="SSY7" s="14"/>
      <c r="SSZ7" s="14"/>
      <c r="STA7" s="14"/>
      <c r="STB7" s="14"/>
      <c r="STC7" s="14"/>
      <c r="STD7" s="14"/>
      <c r="STE7" s="14"/>
      <c r="STF7" s="14"/>
      <c r="STG7" s="14"/>
      <c r="STH7" s="14"/>
      <c r="STI7" s="14"/>
      <c r="STJ7" s="14"/>
      <c r="STK7" s="14"/>
      <c r="STL7" s="14"/>
      <c r="STM7" s="14"/>
      <c r="STN7" s="14"/>
      <c r="STO7" s="14"/>
      <c r="STP7" s="14"/>
      <c r="STQ7" s="14"/>
      <c r="STR7" s="14"/>
      <c r="STS7" s="14"/>
      <c r="STT7" s="14"/>
      <c r="STU7" s="14"/>
      <c r="STV7" s="14"/>
      <c r="STW7" s="14"/>
      <c r="STX7" s="14"/>
      <c r="STY7" s="14"/>
      <c r="STZ7" s="14"/>
      <c r="SUA7" s="14"/>
      <c r="SUB7" s="14"/>
      <c r="SUC7" s="14"/>
      <c r="SUD7" s="14"/>
      <c r="SUE7" s="14"/>
      <c r="SUF7" s="14"/>
      <c r="SUG7" s="14"/>
      <c r="SUH7" s="14"/>
      <c r="SUI7" s="14"/>
      <c r="SUJ7" s="14"/>
      <c r="SUK7" s="14"/>
      <c r="SUL7" s="14"/>
      <c r="SUM7" s="14"/>
      <c r="SUN7" s="14"/>
      <c r="SUO7" s="14"/>
      <c r="SUP7" s="14"/>
      <c r="SUQ7" s="14"/>
      <c r="SUR7" s="14"/>
      <c r="SUS7" s="14"/>
      <c r="SUT7" s="14"/>
      <c r="SUU7" s="14"/>
      <c r="SUV7" s="14"/>
      <c r="SUW7" s="14"/>
      <c r="SUX7" s="14"/>
      <c r="SUY7" s="14"/>
      <c r="SUZ7" s="14"/>
      <c r="SVA7" s="14"/>
      <c r="SVB7" s="14"/>
      <c r="SVC7" s="14"/>
      <c r="SVD7" s="14"/>
      <c r="SVE7" s="14"/>
      <c r="SVF7" s="14"/>
      <c r="SVG7" s="14"/>
      <c r="SVH7" s="14"/>
      <c r="SVI7" s="14"/>
      <c r="SVJ7" s="14"/>
      <c r="SVK7" s="14"/>
      <c r="SVL7" s="14"/>
      <c r="SVM7" s="14"/>
      <c r="SVN7" s="14"/>
      <c r="SVO7" s="14"/>
      <c r="SVP7" s="14"/>
      <c r="SVQ7" s="14"/>
      <c r="SVR7" s="14"/>
      <c r="SVS7" s="14"/>
      <c r="SVT7" s="14"/>
      <c r="SVU7" s="14"/>
      <c r="SVV7" s="14"/>
      <c r="SVW7" s="14"/>
      <c r="SVX7" s="14"/>
      <c r="SVY7" s="14"/>
      <c r="SVZ7" s="14"/>
      <c r="SWA7" s="14"/>
      <c r="SWB7" s="14"/>
      <c r="SWC7" s="14"/>
      <c r="SWD7" s="14"/>
      <c r="SWE7" s="14"/>
      <c r="SWF7" s="14"/>
      <c r="SWG7" s="14"/>
      <c r="SWH7" s="14"/>
      <c r="SWI7" s="14"/>
      <c r="SWJ7" s="14"/>
      <c r="SWK7" s="14"/>
      <c r="SWL7" s="14"/>
      <c r="SWM7" s="14"/>
      <c r="SWN7" s="14"/>
      <c r="SWO7" s="14"/>
      <c r="SWP7" s="14"/>
      <c r="SWQ7" s="14"/>
      <c r="SWR7" s="14"/>
      <c r="SWS7" s="14"/>
      <c r="SWT7" s="14"/>
      <c r="SWU7" s="14"/>
      <c r="SWV7" s="14"/>
      <c r="SWW7" s="14"/>
      <c r="SWX7" s="14"/>
      <c r="SWY7" s="14"/>
      <c r="SWZ7" s="14"/>
      <c r="SXA7" s="14"/>
      <c r="SXB7" s="14"/>
      <c r="SXC7" s="14"/>
      <c r="SXD7" s="14"/>
      <c r="SXE7" s="14"/>
      <c r="SXF7" s="14"/>
      <c r="SXG7" s="14"/>
      <c r="SXH7" s="14"/>
      <c r="SXI7" s="14"/>
      <c r="SXJ7" s="14"/>
      <c r="SXK7" s="14"/>
      <c r="SXL7" s="14"/>
      <c r="SXM7" s="14"/>
      <c r="SXN7" s="14"/>
      <c r="SXO7" s="14"/>
      <c r="SXP7" s="14"/>
      <c r="SXQ7" s="14"/>
      <c r="SXR7" s="14"/>
      <c r="SXS7" s="14"/>
      <c r="SXT7" s="14"/>
      <c r="SXU7" s="14"/>
      <c r="SXV7" s="14"/>
      <c r="SXW7" s="14"/>
      <c r="SXX7" s="14"/>
      <c r="SXY7" s="14"/>
      <c r="SXZ7" s="14"/>
      <c r="SYA7" s="14"/>
      <c r="SYB7" s="14"/>
      <c r="SYC7" s="14"/>
      <c r="SYD7" s="14"/>
      <c r="SYE7" s="14"/>
      <c r="SYF7" s="14"/>
      <c r="SYG7" s="14"/>
      <c r="SYH7" s="14"/>
      <c r="SYI7" s="14"/>
      <c r="SYJ7" s="14"/>
      <c r="SYK7" s="14"/>
      <c r="SYL7" s="14"/>
      <c r="SYM7" s="14"/>
      <c r="SYN7" s="14"/>
      <c r="SYO7" s="14"/>
      <c r="SYP7" s="14"/>
      <c r="SYQ7" s="14"/>
      <c r="SYR7" s="14"/>
      <c r="SYS7" s="14"/>
      <c r="SYT7" s="14"/>
      <c r="SYU7" s="14"/>
      <c r="SYV7" s="14"/>
      <c r="SYW7" s="14"/>
      <c r="SYX7" s="14"/>
      <c r="SYY7" s="14"/>
      <c r="SYZ7" s="14"/>
      <c r="SZA7" s="14"/>
      <c r="SZB7" s="14"/>
      <c r="SZC7" s="14"/>
      <c r="SZD7" s="14"/>
      <c r="SZE7" s="14"/>
      <c r="SZF7" s="14"/>
      <c r="SZG7" s="14"/>
      <c r="SZH7" s="14"/>
      <c r="SZI7" s="14"/>
      <c r="SZJ7" s="14"/>
      <c r="SZK7" s="14"/>
      <c r="SZL7" s="14"/>
      <c r="SZM7" s="14"/>
      <c r="SZN7" s="14"/>
      <c r="SZO7" s="14"/>
      <c r="SZP7" s="14"/>
      <c r="SZQ7" s="14"/>
      <c r="SZR7" s="14"/>
      <c r="SZS7" s="14"/>
      <c r="SZT7" s="14"/>
      <c r="SZU7" s="14"/>
      <c r="SZV7" s="14"/>
      <c r="SZW7" s="14"/>
      <c r="SZX7" s="14"/>
      <c r="SZY7" s="14"/>
      <c r="SZZ7" s="14"/>
      <c r="TAA7" s="14"/>
      <c r="TAB7" s="14"/>
      <c r="TAC7" s="14"/>
      <c r="TAD7" s="14"/>
      <c r="TAE7" s="14"/>
      <c r="TAF7" s="14"/>
      <c r="TAG7" s="14"/>
      <c r="TAH7" s="14"/>
      <c r="TAI7" s="14"/>
      <c r="TAJ7" s="14"/>
      <c r="TAK7" s="14"/>
      <c r="TAL7" s="14"/>
      <c r="TAM7" s="14"/>
      <c r="TAN7" s="14"/>
      <c r="TAO7" s="14"/>
      <c r="TAP7" s="14"/>
      <c r="TAQ7" s="14"/>
      <c r="TAR7" s="14"/>
      <c r="TAS7" s="14"/>
      <c r="TAT7" s="14"/>
      <c r="TAU7" s="14"/>
      <c r="TAV7" s="14"/>
      <c r="TAW7" s="14"/>
      <c r="TAX7" s="14"/>
      <c r="TAY7" s="14"/>
      <c r="TAZ7" s="14"/>
      <c r="TBA7" s="14"/>
      <c r="TBB7" s="14"/>
      <c r="TBC7" s="14"/>
      <c r="TBD7" s="14"/>
      <c r="TBE7" s="14"/>
      <c r="TBF7" s="14"/>
      <c r="TBG7" s="14"/>
      <c r="TBH7" s="14"/>
      <c r="TBI7" s="14"/>
      <c r="TBJ7" s="14"/>
      <c r="TBK7" s="14"/>
      <c r="TBL7" s="14"/>
      <c r="TBM7" s="14"/>
      <c r="TBN7" s="14"/>
      <c r="TBO7" s="14"/>
      <c r="TBP7" s="14"/>
      <c r="TBQ7" s="14"/>
      <c r="TBR7" s="14"/>
      <c r="TBS7" s="14"/>
      <c r="TBT7" s="14"/>
      <c r="TBU7" s="14"/>
      <c r="TBV7" s="14"/>
      <c r="TBW7" s="14"/>
      <c r="TBX7" s="14"/>
      <c r="TBY7" s="14"/>
      <c r="TBZ7" s="14"/>
      <c r="TCA7" s="14"/>
      <c r="TCB7" s="14"/>
      <c r="TCC7" s="14"/>
      <c r="TCD7" s="14"/>
      <c r="TCE7" s="14"/>
      <c r="TCF7" s="14"/>
      <c r="TCG7" s="14"/>
      <c r="TCH7" s="14"/>
      <c r="TCI7" s="14"/>
      <c r="TCJ7" s="14"/>
      <c r="TCK7" s="14"/>
      <c r="TCL7" s="14"/>
      <c r="TCM7" s="14"/>
      <c r="TCN7" s="14"/>
      <c r="TCO7" s="14"/>
      <c r="TCP7" s="14"/>
      <c r="TCQ7" s="14"/>
      <c r="TCR7" s="14"/>
      <c r="TCS7" s="14"/>
      <c r="TCT7" s="14"/>
      <c r="TCU7" s="14"/>
      <c r="TCV7" s="14"/>
      <c r="TCW7" s="14"/>
      <c r="TCX7" s="14"/>
      <c r="TCY7" s="14"/>
      <c r="TCZ7" s="14"/>
      <c r="TDA7" s="14"/>
      <c r="TDB7" s="14"/>
      <c r="TDC7" s="14"/>
      <c r="TDD7" s="14"/>
      <c r="TDE7" s="14"/>
      <c r="TDF7" s="14"/>
      <c r="TDG7" s="14"/>
      <c r="TDH7" s="14"/>
      <c r="TDI7" s="14"/>
      <c r="TDJ7" s="14"/>
      <c r="TDK7" s="14"/>
      <c r="TDL7" s="14"/>
      <c r="TDM7" s="14"/>
      <c r="TDN7" s="14"/>
      <c r="TDO7" s="14"/>
      <c r="TDP7" s="14"/>
      <c r="TDQ7" s="14"/>
      <c r="TDR7" s="14"/>
      <c r="TDS7" s="14"/>
      <c r="TDT7" s="14"/>
      <c r="TDU7" s="14"/>
      <c r="TDV7" s="14"/>
      <c r="TDW7" s="14"/>
      <c r="TDX7" s="14"/>
      <c r="TDY7" s="14"/>
      <c r="TDZ7" s="14"/>
      <c r="TEA7" s="14"/>
      <c r="TEB7" s="14"/>
      <c r="TEC7" s="14"/>
      <c r="TED7" s="14"/>
      <c r="TEE7" s="14"/>
      <c r="TEF7" s="14"/>
      <c r="TEG7" s="14"/>
      <c r="TEH7" s="14"/>
      <c r="TEI7" s="14"/>
      <c r="TEJ7" s="14"/>
      <c r="TEK7" s="14"/>
      <c r="TEL7" s="14"/>
      <c r="TEM7" s="14"/>
      <c r="TEN7" s="14"/>
      <c r="TEO7" s="14"/>
      <c r="TEP7" s="14"/>
      <c r="TEQ7" s="14"/>
      <c r="TER7" s="14"/>
      <c r="TES7" s="14"/>
      <c r="TET7" s="14"/>
      <c r="TEU7" s="14"/>
      <c r="TEV7" s="14"/>
      <c r="TEW7" s="14"/>
      <c r="TEX7" s="14"/>
      <c r="TEY7" s="14"/>
      <c r="TEZ7" s="14"/>
      <c r="TFA7" s="14"/>
      <c r="TFB7" s="14"/>
      <c r="TFC7" s="14"/>
      <c r="TFD7" s="14"/>
      <c r="TFE7" s="14"/>
      <c r="TFF7" s="14"/>
      <c r="TFG7" s="14"/>
      <c r="TFH7" s="14"/>
      <c r="TFI7" s="14"/>
      <c r="TFJ7" s="14"/>
      <c r="TFK7" s="14"/>
      <c r="TFL7" s="14"/>
      <c r="TFM7" s="14"/>
      <c r="TFN7" s="14"/>
      <c r="TFO7" s="14"/>
      <c r="TFP7" s="14"/>
      <c r="TFQ7" s="14"/>
      <c r="TFR7" s="14"/>
      <c r="TFS7" s="14"/>
      <c r="TFT7" s="14"/>
      <c r="TFU7" s="14"/>
      <c r="TFV7" s="14"/>
      <c r="TFW7" s="14"/>
      <c r="TFX7" s="14"/>
      <c r="TFY7" s="14"/>
      <c r="TFZ7" s="14"/>
      <c r="TGA7" s="14"/>
      <c r="TGB7" s="14"/>
      <c r="TGC7" s="14"/>
      <c r="TGD7" s="14"/>
      <c r="TGE7" s="14"/>
      <c r="TGF7" s="14"/>
      <c r="TGG7" s="14"/>
      <c r="TGH7" s="14"/>
      <c r="TGI7" s="14"/>
      <c r="TGJ7" s="14"/>
      <c r="TGK7" s="14"/>
      <c r="TGL7" s="14"/>
      <c r="TGM7" s="14"/>
      <c r="TGN7" s="14"/>
      <c r="TGO7" s="14"/>
      <c r="TGP7" s="14"/>
      <c r="TGQ7" s="14"/>
      <c r="TGR7" s="14"/>
      <c r="TGS7" s="14"/>
      <c r="TGT7" s="14"/>
      <c r="TGU7" s="14"/>
      <c r="TGV7" s="14"/>
      <c r="TGW7" s="14"/>
      <c r="TGX7" s="14"/>
      <c r="TGY7" s="14"/>
      <c r="TGZ7" s="14"/>
      <c r="THA7" s="14"/>
      <c r="THB7" s="14"/>
      <c r="THC7" s="14"/>
      <c r="THD7" s="14"/>
      <c r="THE7" s="14"/>
      <c r="THF7" s="14"/>
      <c r="THG7" s="14"/>
      <c r="THH7" s="14"/>
      <c r="THI7" s="14"/>
      <c r="THJ7" s="14"/>
      <c r="THK7" s="14"/>
      <c r="THL7" s="14"/>
      <c r="THM7" s="14"/>
      <c r="THN7" s="14"/>
      <c r="THO7" s="14"/>
      <c r="THP7" s="14"/>
      <c r="THQ7" s="14"/>
      <c r="THR7" s="14"/>
      <c r="THS7" s="14"/>
      <c r="THT7" s="14"/>
      <c r="THU7" s="14"/>
      <c r="THV7" s="14"/>
      <c r="THW7" s="14"/>
      <c r="THX7" s="14"/>
      <c r="THY7" s="14"/>
      <c r="THZ7" s="14"/>
      <c r="TIA7" s="14"/>
      <c r="TIB7" s="14"/>
      <c r="TIC7" s="14"/>
      <c r="TID7" s="14"/>
      <c r="TIE7" s="14"/>
      <c r="TIF7" s="14"/>
      <c r="TIG7" s="14"/>
      <c r="TIH7" s="14"/>
      <c r="TII7" s="14"/>
      <c r="TIJ7" s="14"/>
      <c r="TIK7" s="14"/>
      <c r="TIL7" s="14"/>
      <c r="TIM7" s="14"/>
      <c r="TIN7" s="14"/>
      <c r="TIO7" s="14"/>
      <c r="TIP7" s="14"/>
      <c r="TIQ7" s="14"/>
      <c r="TIR7" s="14"/>
      <c r="TIS7" s="14"/>
      <c r="TIT7" s="14"/>
      <c r="TIU7" s="14"/>
      <c r="TIV7" s="14"/>
      <c r="TIW7" s="14"/>
      <c r="TIX7" s="14"/>
      <c r="TIY7" s="14"/>
      <c r="TIZ7" s="14"/>
      <c r="TJA7" s="14"/>
      <c r="TJB7" s="14"/>
      <c r="TJC7" s="14"/>
      <c r="TJD7" s="14"/>
      <c r="TJE7" s="14"/>
      <c r="TJF7" s="14"/>
      <c r="TJG7" s="14"/>
      <c r="TJH7" s="14"/>
      <c r="TJI7" s="14"/>
      <c r="TJJ7" s="14"/>
      <c r="TJK7" s="14"/>
      <c r="TJL7" s="14"/>
      <c r="TJM7" s="14"/>
      <c r="TJN7" s="14"/>
      <c r="TJO7" s="14"/>
      <c r="TJP7" s="14"/>
      <c r="TJQ7" s="14"/>
      <c r="TJR7" s="14"/>
      <c r="TJS7" s="14"/>
      <c r="TJT7" s="14"/>
      <c r="TJU7" s="14"/>
      <c r="TJV7" s="14"/>
      <c r="TJW7" s="14"/>
      <c r="TJX7" s="14"/>
      <c r="TJY7" s="14"/>
      <c r="TJZ7" s="14"/>
      <c r="TKA7" s="14"/>
      <c r="TKB7" s="14"/>
      <c r="TKC7" s="14"/>
      <c r="TKD7" s="14"/>
      <c r="TKE7" s="14"/>
      <c r="TKF7" s="14"/>
      <c r="TKG7" s="14"/>
      <c r="TKH7" s="14"/>
      <c r="TKI7" s="14"/>
      <c r="TKJ7" s="14"/>
      <c r="TKK7" s="14"/>
      <c r="TKL7" s="14"/>
      <c r="TKM7" s="14"/>
      <c r="TKN7" s="14"/>
      <c r="TKO7" s="14"/>
      <c r="TKP7" s="14"/>
      <c r="TKQ7" s="14"/>
      <c r="TKR7" s="14"/>
      <c r="TKS7" s="14"/>
      <c r="TKT7" s="14"/>
      <c r="TKU7" s="14"/>
      <c r="TKV7" s="14"/>
      <c r="TKW7" s="14"/>
      <c r="TKX7" s="14"/>
      <c r="TKY7" s="14"/>
      <c r="TKZ7" s="14"/>
      <c r="TLA7" s="14"/>
      <c r="TLB7" s="14"/>
      <c r="TLC7" s="14"/>
      <c r="TLD7" s="14"/>
      <c r="TLE7" s="14"/>
      <c r="TLF7" s="14"/>
      <c r="TLG7" s="14"/>
      <c r="TLH7" s="14"/>
      <c r="TLI7" s="14"/>
      <c r="TLJ7" s="14"/>
      <c r="TLK7" s="14"/>
      <c r="TLL7" s="14"/>
      <c r="TLM7" s="14"/>
      <c r="TLN7" s="14"/>
      <c r="TLO7" s="14"/>
      <c r="TLP7" s="14"/>
      <c r="TLQ7" s="14"/>
      <c r="TLR7" s="14"/>
      <c r="TLS7" s="14"/>
      <c r="TLT7" s="14"/>
      <c r="TLU7" s="14"/>
      <c r="TLV7" s="14"/>
      <c r="TLW7" s="14"/>
      <c r="TLX7" s="14"/>
      <c r="TLY7" s="14"/>
      <c r="TLZ7" s="14"/>
      <c r="TMA7" s="14"/>
      <c r="TMB7" s="14"/>
      <c r="TMC7" s="14"/>
      <c r="TMD7" s="14"/>
      <c r="TME7" s="14"/>
      <c r="TMF7" s="14"/>
      <c r="TMG7" s="14"/>
      <c r="TMH7" s="14"/>
      <c r="TMI7" s="14"/>
      <c r="TMJ7" s="14"/>
      <c r="TMK7" s="14"/>
      <c r="TML7" s="14"/>
      <c r="TMM7" s="14"/>
      <c r="TMN7" s="14"/>
      <c r="TMO7" s="14"/>
      <c r="TMP7" s="14"/>
      <c r="TMQ7" s="14"/>
      <c r="TMR7" s="14"/>
      <c r="TMS7" s="14"/>
      <c r="TMT7" s="14"/>
      <c r="TMU7" s="14"/>
      <c r="TMV7" s="14"/>
      <c r="TMW7" s="14"/>
      <c r="TMX7" s="14"/>
      <c r="TMY7" s="14"/>
      <c r="TMZ7" s="14"/>
      <c r="TNA7" s="14"/>
      <c r="TNB7" s="14"/>
      <c r="TNC7" s="14"/>
      <c r="TND7" s="14"/>
      <c r="TNE7" s="14"/>
      <c r="TNF7" s="14"/>
      <c r="TNG7" s="14"/>
      <c r="TNH7" s="14"/>
      <c r="TNI7" s="14"/>
      <c r="TNJ7" s="14"/>
      <c r="TNK7" s="14"/>
      <c r="TNL7" s="14"/>
      <c r="TNM7" s="14"/>
      <c r="TNN7" s="14"/>
      <c r="TNO7" s="14"/>
      <c r="TNP7" s="14"/>
      <c r="TNQ7" s="14"/>
      <c r="TNR7" s="14"/>
      <c r="TNS7" s="14"/>
      <c r="TNT7" s="14"/>
      <c r="TNU7" s="14"/>
      <c r="TNV7" s="14"/>
      <c r="TNW7" s="14"/>
      <c r="TNX7" s="14"/>
      <c r="TNY7" s="14"/>
      <c r="TNZ7" s="14"/>
      <c r="TOA7" s="14"/>
      <c r="TOB7" s="14"/>
      <c r="TOC7" s="14"/>
      <c r="TOD7" s="14"/>
      <c r="TOE7" s="14"/>
      <c r="TOF7" s="14"/>
      <c r="TOG7" s="14"/>
      <c r="TOH7" s="14"/>
      <c r="TOI7" s="14"/>
      <c r="TOJ7" s="14"/>
      <c r="TOK7" s="14"/>
      <c r="TOL7" s="14"/>
      <c r="TOM7" s="14"/>
      <c r="TON7" s="14"/>
      <c r="TOO7" s="14"/>
      <c r="TOP7" s="14"/>
      <c r="TOQ7" s="14"/>
      <c r="TOR7" s="14"/>
      <c r="TOS7" s="14"/>
      <c r="TOT7" s="14"/>
      <c r="TOU7" s="14"/>
      <c r="TOV7" s="14"/>
      <c r="TOW7" s="14"/>
      <c r="TOX7" s="14"/>
      <c r="TOY7" s="14"/>
      <c r="TOZ7" s="14"/>
      <c r="TPA7" s="14"/>
      <c r="TPB7" s="14"/>
      <c r="TPC7" s="14"/>
      <c r="TPD7" s="14"/>
      <c r="TPE7" s="14"/>
      <c r="TPF7" s="14"/>
      <c r="TPG7" s="14"/>
      <c r="TPH7" s="14"/>
      <c r="TPI7" s="14"/>
      <c r="TPJ7" s="14"/>
      <c r="TPK7" s="14"/>
      <c r="TPL7" s="14"/>
      <c r="TPM7" s="14"/>
      <c r="TPN7" s="14"/>
      <c r="TPO7" s="14"/>
      <c r="TPP7" s="14"/>
      <c r="TPQ7" s="14"/>
      <c r="TPR7" s="14"/>
      <c r="TPS7" s="14"/>
      <c r="TPT7" s="14"/>
      <c r="TPU7" s="14"/>
      <c r="TPV7" s="14"/>
      <c r="TPW7" s="14"/>
      <c r="TPX7" s="14"/>
      <c r="TPY7" s="14"/>
      <c r="TPZ7" s="14"/>
      <c r="TQA7" s="14"/>
      <c r="TQB7" s="14"/>
      <c r="TQC7" s="14"/>
      <c r="TQD7" s="14"/>
      <c r="TQE7" s="14"/>
      <c r="TQF7" s="14"/>
      <c r="TQG7" s="14"/>
      <c r="TQH7" s="14"/>
      <c r="TQI7" s="14"/>
      <c r="TQJ7" s="14"/>
      <c r="TQK7" s="14"/>
      <c r="TQL7" s="14"/>
      <c r="TQM7" s="14"/>
      <c r="TQN7" s="14"/>
      <c r="TQO7" s="14"/>
      <c r="TQP7" s="14"/>
      <c r="TQQ7" s="14"/>
      <c r="TQR7" s="14"/>
      <c r="TQS7" s="14"/>
      <c r="TQT7" s="14"/>
      <c r="TQU7" s="14"/>
      <c r="TQV7" s="14"/>
      <c r="TQW7" s="14"/>
      <c r="TQX7" s="14"/>
      <c r="TQY7" s="14"/>
      <c r="TQZ7" s="14"/>
      <c r="TRA7" s="14"/>
      <c r="TRB7" s="14"/>
      <c r="TRC7" s="14"/>
      <c r="TRD7" s="14"/>
      <c r="TRE7" s="14"/>
      <c r="TRF7" s="14"/>
      <c r="TRG7" s="14"/>
      <c r="TRH7" s="14"/>
      <c r="TRI7" s="14"/>
      <c r="TRJ7" s="14"/>
      <c r="TRK7" s="14"/>
      <c r="TRL7" s="14"/>
      <c r="TRM7" s="14"/>
      <c r="TRN7" s="14"/>
      <c r="TRO7" s="14"/>
      <c r="TRP7" s="14"/>
      <c r="TRQ7" s="14"/>
      <c r="TRR7" s="14"/>
      <c r="TRS7" s="14"/>
      <c r="TRT7" s="14"/>
      <c r="TRU7" s="14"/>
      <c r="TRV7" s="14"/>
      <c r="TRW7" s="14"/>
      <c r="TRX7" s="14"/>
      <c r="TRY7" s="14"/>
      <c r="TRZ7" s="14"/>
      <c r="TSA7" s="14"/>
      <c r="TSB7" s="14"/>
      <c r="TSC7" s="14"/>
      <c r="TSD7" s="14"/>
      <c r="TSE7" s="14"/>
      <c r="TSF7" s="14"/>
      <c r="TSG7" s="14"/>
      <c r="TSH7" s="14"/>
      <c r="TSI7" s="14"/>
      <c r="TSJ7" s="14"/>
      <c r="TSK7" s="14"/>
      <c r="TSL7" s="14"/>
      <c r="TSM7" s="14"/>
      <c r="TSN7" s="14"/>
      <c r="TSO7" s="14"/>
      <c r="TSP7" s="14"/>
      <c r="TSQ7" s="14"/>
      <c r="TSR7" s="14"/>
      <c r="TSS7" s="14"/>
      <c r="TST7" s="14"/>
      <c r="TSU7" s="14"/>
      <c r="TSV7" s="14"/>
      <c r="TSW7" s="14"/>
      <c r="TSX7" s="14"/>
      <c r="TSY7" s="14"/>
      <c r="TSZ7" s="14"/>
      <c r="TTA7" s="14"/>
      <c r="TTB7" s="14"/>
      <c r="TTC7" s="14"/>
      <c r="TTD7" s="14"/>
      <c r="TTE7" s="14"/>
      <c r="TTF7" s="14"/>
      <c r="TTG7" s="14"/>
      <c r="TTH7" s="14"/>
      <c r="TTI7" s="14"/>
      <c r="TTJ7" s="14"/>
      <c r="TTK7" s="14"/>
      <c r="TTL7" s="14"/>
      <c r="TTM7" s="14"/>
      <c r="TTN7" s="14"/>
      <c r="TTO7" s="14"/>
      <c r="TTP7" s="14"/>
      <c r="TTQ7" s="14"/>
      <c r="TTR7" s="14"/>
      <c r="TTS7" s="14"/>
      <c r="TTT7" s="14"/>
      <c r="TTU7" s="14"/>
      <c r="TTV7" s="14"/>
      <c r="TTW7" s="14"/>
      <c r="TTX7" s="14"/>
      <c r="TTY7" s="14"/>
      <c r="TTZ7" s="14"/>
      <c r="TUA7" s="14"/>
      <c r="TUB7" s="14"/>
      <c r="TUC7" s="14"/>
      <c r="TUD7" s="14"/>
      <c r="TUE7" s="14"/>
      <c r="TUF7" s="14"/>
      <c r="TUG7" s="14"/>
      <c r="TUH7" s="14"/>
      <c r="TUI7" s="14"/>
      <c r="TUJ7" s="14"/>
      <c r="TUK7" s="14"/>
      <c r="TUL7" s="14"/>
      <c r="TUM7" s="14"/>
      <c r="TUN7" s="14"/>
      <c r="TUO7" s="14"/>
      <c r="TUP7" s="14"/>
      <c r="TUQ7" s="14"/>
      <c r="TUR7" s="14"/>
      <c r="TUS7" s="14"/>
      <c r="TUT7" s="14"/>
      <c r="TUU7" s="14"/>
      <c r="TUV7" s="14"/>
      <c r="TUW7" s="14"/>
      <c r="TUX7" s="14"/>
      <c r="TUY7" s="14"/>
      <c r="TUZ7" s="14"/>
      <c r="TVA7" s="14"/>
      <c r="TVB7" s="14"/>
      <c r="TVC7" s="14"/>
      <c r="TVD7" s="14"/>
      <c r="TVE7" s="14"/>
      <c r="TVF7" s="14"/>
      <c r="TVG7" s="14"/>
      <c r="TVH7" s="14"/>
      <c r="TVI7" s="14"/>
      <c r="TVJ7" s="14"/>
      <c r="TVK7" s="14"/>
      <c r="TVL7" s="14"/>
      <c r="TVM7" s="14"/>
      <c r="TVN7" s="14"/>
      <c r="TVO7" s="14"/>
      <c r="TVP7" s="14"/>
      <c r="TVQ7" s="14"/>
      <c r="TVR7" s="14"/>
      <c r="TVS7" s="14"/>
      <c r="TVT7" s="14"/>
      <c r="TVU7" s="14"/>
      <c r="TVV7" s="14"/>
      <c r="TVW7" s="14"/>
      <c r="TVX7" s="14"/>
      <c r="TVY7" s="14"/>
      <c r="TVZ7" s="14"/>
      <c r="TWA7" s="14"/>
      <c r="TWB7" s="14"/>
      <c r="TWC7" s="14"/>
      <c r="TWD7" s="14"/>
      <c r="TWE7" s="14"/>
      <c r="TWF7" s="14"/>
      <c r="TWG7" s="14"/>
      <c r="TWH7" s="14"/>
      <c r="TWI7" s="14"/>
      <c r="TWJ7" s="14"/>
      <c r="TWK7" s="14"/>
      <c r="TWL7" s="14"/>
      <c r="TWM7" s="14"/>
      <c r="TWN7" s="14"/>
      <c r="TWO7" s="14"/>
      <c r="TWP7" s="14"/>
      <c r="TWQ7" s="14"/>
      <c r="TWR7" s="14"/>
      <c r="TWS7" s="14"/>
      <c r="TWT7" s="14"/>
      <c r="TWU7" s="14"/>
      <c r="TWV7" s="14"/>
      <c r="TWW7" s="14"/>
      <c r="TWX7" s="14"/>
      <c r="TWY7" s="14"/>
      <c r="TWZ7" s="14"/>
      <c r="TXA7" s="14"/>
      <c r="TXB7" s="14"/>
      <c r="TXC7" s="14"/>
      <c r="TXD7" s="14"/>
      <c r="TXE7" s="14"/>
      <c r="TXF7" s="14"/>
      <c r="TXG7" s="14"/>
      <c r="TXH7" s="14"/>
      <c r="TXI7" s="14"/>
      <c r="TXJ7" s="14"/>
      <c r="TXK7" s="14"/>
      <c r="TXL7" s="14"/>
      <c r="TXM7" s="14"/>
      <c r="TXN7" s="14"/>
      <c r="TXO7" s="14"/>
      <c r="TXP7" s="14"/>
      <c r="TXQ7" s="14"/>
      <c r="TXR7" s="14"/>
      <c r="TXS7" s="14"/>
      <c r="TXT7" s="14"/>
      <c r="TXU7" s="14"/>
      <c r="TXV7" s="14"/>
      <c r="TXW7" s="14"/>
      <c r="TXX7" s="14"/>
      <c r="TXY7" s="14"/>
      <c r="TXZ7" s="14"/>
      <c r="TYA7" s="14"/>
      <c r="TYB7" s="14"/>
      <c r="TYC7" s="14"/>
      <c r="TYD7" s="14"/>
      <c r="TYE7" s="14"/>
      <c r="TYF7" s="14"/>
      <c r="TYG7" s="14"/>
      <c r="TYH7" s="14"/>
      <c r="TYI7" s="14"/>
      <c r="TYJ7" s="14"/>
      <c r="TYK7" s="14"/>
      <c r="TYL7" s="14"/>
      <c r="TYM7" s="14"/>
      <c r="TYN7" s="14"/>
      <c r="TYO7" s="14"/>
      <c r="TYP7" s="14"/>
      <c r="TYQ7" s="14"/>
      <c r="TYR7" s="14"/>
      <c r="TYS7" s="14"/>
      <c r="TYT7" s="14"/>
      <c r="TYU7" s="14"/>
      <c r="TYV7" s="14"/>
      <c r="TYW7" s="14"/>
      <c r="TYX7" s="14"/>
      <c r="TYY7" s="14"/>
      <c r="TYZ7" s="14"/>
      <c r="TZA7" s="14"/>
      <c r="TZB7" s="14"/>
      <c r="TZC7" s="14"/>
      <c r="TZD7" s="14"/>
      <c r="TZE7" s="14"/>
      <c r="TZF7" s="14"/>
      <c r="TZG7" s="14"/>
      <c r="TZH7" s="14"/>
      <c r="TZI7" s="14"/>
      <c r="TZJ7" s="14"/>
      <c r="TZK7" s="14"/>
      <c r="TZL7" s="14"/>
      <c r="TZM7" s="14"/>
      <c r="TZN7" s="14"/>
      <c r="TZO7" s="14"/>
      <c r="TZP7" s="14"/>
      <c r="TZQ7" s="14"/>
      <c r="TZR7" s="14"/>
      <c r="TZS7" s="14"/>
      <c r="TZT7" s="14"/>
      <c r="TZU7" s="14"/>
      <c r="TZV7" s="14"/>
      <c r="TZW7" s="14"/>
      <c r="TZX7" s="14"/>
      <c r="TZY7" s="14"/>
      <c r="TZZ7" s="14"/>
      <c r="UAA7" s="14"/>
      <c r="UAB7" s="14"/>
      <c r="UAC7" s="14"/>
      <c r="UAD7" s="14"/>
      <c r="UAE7" s="14"/>
      <c r="UAF7" s="14"/>
      <c r="UAG7" s="14"/>
      <c r="UAH7" s="14"/>
      <c r="UAI7" s="14"/>
      <c r="UAJ7" s="14"/>
      <c r="UAK7" s="14"/>
      <c r="UAL7" s="14"/>
      <c r="UAM7" s="14"/>
      <c r="UAN7" s="14"/>
      <c r="UAO7" s="14"/>
      <c r="UAP7" s="14"/>
      <c r="UAQ7" s="14"/>
      <c r="UAR7" s="14"/>
      <c r="UAS7" s="14"/>
      <c r="UAT7" s="14"/>
      <c r="UAU7" s="14"/>
      <c r="UAV7" s="14"/>
      <c r="UAW7" s="14"/>
      <c r="UAX7" s="14"/>
      <c r="UAY7" s="14"/>
      <c r="UAZ7" s="14"/>
      <c r="UBA7" s="14"/>
      <c r="UBB7" s="14"/>
      <c r="UBC7" s="14"/>
      <c r="UBD7" s="14"/>
      <c r="UBE7" s="14"/>
      <c r="UBF7" s="14"/>
      <c r="UBG7" s="14"/>
      <c r="UBH7" s="14"/>
      <c r="UBI7" s="14"/>
      <c r="UBJ7" s="14"/>
      <c r="UBK7" s="14"/>
      <c r="UBL7" s="14"/>
      <c r="UBM7" s="14"/>
      <c r="UBN7" s="14"/>
      <c r="UBO7" s="14"/>
      <c r="UBP7" s="14"/>
      <c r="UBQ7" s="14"/>
      <c r="UBR7" s="14"/>
      <c r="UBS7" s="14"/>
      <c r="UBT7" s="14"/>
      <c r="UBU7" s="14"/>
      <c r="UBV7" s="14"/>
      <c r="UBW7" s="14"/>
      <c r="UBX7" s="14"/>
      <c r="UBY7" s="14"/>
      <c r="UBZ7" s="14"/>
      <c r="UCA7" s="14"/>
      <c r="UCB7" s="14"/>
      <c r="UCC7" s="14"/>
      <c r="UCD7" s="14"/>
      <c r="UCE7" s="14"/>
      <c r="UCF7" s="14"/>
      <c r="UCG7" s="14"/>
      <c r="UCH7" s="14"/>
      <c r="UCI7" s="14"/>
      <c r="UCJ7" s="14"/>
      <c r="UCK7" s="14"/>
      <c r="UCL7" s="14"/>
      <c r="UCM7" s="14"/>
      <c r="UCN7" s="14"/>
      <c r="UCO7" s="14"/>
      <c r="UCP7" s="14"/>
      <c r="UCQ7" s="14"/>
      <c r="UCR7" s="14"/>
      <c r="UCS7" s="14"/>
      <c r="UCT7" s="14"/>
      <c r="UCU7" s="14"/>
      <c r="UCV7" s="14"/>
      <c r="UCW7" s="14"/>
      <c r="UCX7" s="14"/>
      <c r="UCY7" s="14"/>
      <c r="UCZ7" s="14"/>
      <c r="UDA7" s="14"/>
      <c r="UDB7" s="14"/>
      <c r="UDC7" s="14"/>
      <c r="UDD7" s="14"/>
      <c r="UDE7" s="14"/>
      <c r="UDF7" s="14"/>
      <c r="UDG7" s="14"/>
      <c r="UDH7" s="14"/>
      <c r="UDI7" s="14"/>
      <c r="UDJ7" s="14"/>
      <c r="UDK7" s="14"/>
      <c r="UDL7" s="14"/>
      <c r="UDM7" s="14"/>
      <c r="UDN7" s="14"/>
      <c r="UDO7" s="14"/>
      <c r="UDP7" s="14"/>
      <c r="UDQ7" s="14"/>
      <c r="UDR7" s="14"/>
      <c r="UDS7" s="14"/>
      <c r="UDT7" s="14"/>
      <c r="UDU7" s="14"/>
      <c r="UDV7" s="14"/>
      <c r="UDW7" s="14"/>
      <c r="UDX7" s="14"/>
      <c r="UDY7" s="14"/>
      <c r="UDZ7" s="14"/>
      <c r="UEA7" s="14"/>
      <c r="UEB7" s="14"/>
      <c r="UEC7" s="14"/>
      <c r="UED7" s="14"/>
      <c r="UEE7" s="14"/>
      <c r="UEF7" s="14"/>
      <c r="UEG7" s="14"/>
      <c r="UEH7" s="14"/>
      <c r="UEI7" s="14"/>
      <c r="UEJ7" s="14"/>
      <c r="UEK7" s="14"/>
      <c r="UEL7" s="14"/>
      <c r="UEM7" s="14"/>
      <c r="UEN7" s="14"/>
      <c r="UEO7" s="14"/>
      <c r="UEP7" s="14"/>
      <c r="UEQ7" s="14"/>
      <c r="UER7" s="14"/>
      <c r="UES7" s="14"/>
      <c r="UET7" s="14"/>
      <c r="UEU7" s="14"/>
      <c r="UEV7" s="14"/>
      <c r="UEW7" s="14"/>
      <c r="UEX7" s="14"/>
      <c r="UEY7" s="14"/>
      <c r="UEZ7" s="14"/>
      <c r="UFA7" s="14"/>
      <c r="UFB7" s="14"/>
      <c r="UFC7" s="14"/>
      <c r="UFD7" s="14"/>
      <c r="UFE7" s="14"/>
      <c r="UFF7" s="14"/>
      <c r="UFG7" s="14"/>
      <c r="UFH7" s="14"/>
      <c r="UFI7" s="14"/>
      <c r="UFJ7" s="14"/>
      <c r="UFK7" s="14"/>
      <c r="UFL7" s="14"/>
      <c r="UFM7" s="14"/>
      <c r="UFN7" s="14"/>
      <c r="UFO7" s="14"/>
      <c r="UFP7" s="14"/>
      <c r="UFQ7" s="14"/>
      <c r="UFR7" s="14"/>
      <c r="UFS7" s="14"/>
      <c r="UFT7" s="14"/>
      <c r="UFU7" s="14"/>
      <c r="UFV7" s="14"/>
      <c r="UFW7" s="14"/>
      <c r="UFX7" s="14"/>
      <c r="UFY7" s="14"/>
      <c r="UFZ7" s="14"/>
      <c r="UGA7" s="14"/>
      <c r="UGB7" s="14"/>
      <c r="UGC7" s="14"/>
      <c r="UGD7" s="14"/>
      <c r="UGE7" s="14"/>
      <c r="UGF7" s="14"/>
      <c r="UGG7" s="14"/>
      <c r="UGH7" s="14"/>
      <c r="UGI7" s="14"/>
      <c r="UGJ7" s="14"/>
      <c r="UGK7" s="14"/>
      <c r="UGL7" s="14"/>
      <c r="UGM7" s="14"/>
      <c r="UGN7" s="14"/>
      <c r="UGO7" s="14"/>
      <c r="UGP7" s="14"/>
      <c r="UGQ7" s="14"/>
      <c r="UGR7" s="14"/>
      <c r="UGS7" s="14"/>
      <c r="UGT7" s="14"/>
      <c r="UGU7" s="14"/>
      <c r="UGV7" s="14"/>
      <c r="UGW7" s="14"/>
      <c r="UGX7" s="14"/>
      <c r="UGY7" s="14"/>
      <c r="UGZ7" s="14"/>
      <c r="UHA7" s="14"/>
      <c r="UHB7" s="14"/>
      <c r="UHC7" s="14"/>
      <c r="UHD7" s="14"/>
      <c r="UHE7" s="14"/>
      <c r="UHF7" s="14"/>
      <c r="UHG7" s="14"/>
      <c r="UHH7" s="14"/>
      <c r="UHI7" s="14"/>
      <c r="UHJ7" s="14"/>
      <c r="UHK7" s="14"/>
      <c r="UHL7" s="14"/>
      <c r="UHM7" s="14"/>
      <c r="UHN7" s="14"/>
      <c r="UHO7" s="14"/>
      <c r="UHP7" s="14"/>
      <c r="UHQ7" s="14"/>
      <c r="UHR7" s="14"/>
      <c r="UHS7" s="14"/>
      <c r="UHT7" s="14"/>
      <c r="UHU7" s="14"/>
      <c r="UHV7" s="14"/>
      <c r="UHW7" s="14"/>
      <c r="UHX7" s="14"/>
      <c r="UHY7" s="14"/>
      <c r="UHZ7" s="14"/>
      <c r="UIA7" s="14"/>
      <c r="UIB7" s="14"/>
      <c r="UIC7" s="14"/>
      <c r="UID7" s="14"/>
      <c r="UIE7" s="14"/>
      <c r="UIF7" s="14"/>
      <c r="UIG7" s="14"/>
      <c r="UIH7" s="14"/>
      <c r="UII7" s="14"/>
      <c r="UIJ7" s="14"/>
      <c r="UIK7" s="14"/>
      <c r="UIL7" s="14"/>
      <c r="UIM7" s="14"/>
      <c r="UIN7" s="14"/>
      <c r="UIO7" s="14"/>
      <c r="UIP7" s="14"/>
      <c r="UIQ7" s="14"/>
      <c r="UIR7" s="14"/>
      <c r="UIS7" s="14"/>
      <c r="UIT7" s="14"/>
      <c r="UIU7" s="14"/>
      <c r="UIV7" s="14"/>
      <c r="UIW7" s="14"/>
      <c r="UIX7" s="14"/>
      <c r="UIY7" s="14"/>
      <c r="UIZ7" s="14"/>
      <c r="UJA7" s="14"/>
      <c r="UJB7" s="14"/>
      <c r="UJC7" s="14"/>
      <c r="UJD7" s="14"/>
      <c r="UJE7" s="14"/>
      <c r="UJF7" s="14"/>
      <c r="UJG7" s="14"/>
      <c r="UJH7" s="14"/>
      <c r="UJI7" s="14"/>
      <c r="UJJ7" s="14"/>
      <c r="UJK7" s="14"/>
      <c r="UJL7" s="14"/>
      <c r="UJM7" s="14"/>
      <c r="UJN7" s="14"/>
      <c r="UJO7" s="14"/>
      <c r="UJP7" s="14"/>
      <c r="UJQ7" s="14"/>
      <c r="UJR7" s="14"/>
      <c r="UJS7" s="14"/>
      <c r="UJT7" s="14"/>
      <c r="UJU7" s="14"/>
      <c r="UJV7" s="14"/>
      <c r="UJW7" s="14"/>
      <c r="UJX7" s="14"/>
      <c r="UJY7" s="14"/>
      <c r="UJZ7" s="14"/>
      <c r="UKA7" s="14"/>
      <c r="UKB7" s="14"/>
      <c r="UKC7" s="14"/>
      <c r="UKD7" s="14"/>
      <c r="UKE7" s="14"/>
      <c r="UKF7" s="14"/>
      <c r="UKG7" s="14"/>
      <c r="UKH7" s="14"/>
      <c r="UKI7" s="14"/>
      <c r="UKJ7" s="14"/>
      <c r="UKK7" s="14"/>
      <c r="UKL7" s="14"/>
      <c r="UKM7" s="14"/>
      <c r="UKN7" s="14"/>
      <c r="UKO7" s="14"/>
      <c r="UKP7" s="14"/>
      <c r="UKQ7" s="14"/>
      <c r="UKR7" s="14"/>
      <c r="UKS7" s="14"/>
      <c r="UKT7" s="14"/>
      <c r="UKU7" s="14"/>
      <c r="UKV7" s="14"/>
      <c r="UKW7" s="14"/>
      <c r="UKX7" s="14"/>
      <c r="UKY7" s="14"/>
      <c r="UKZ7" s="14"/>
      <c r="ULA7" s="14"/>
      <c r="ULB7" s="14"/>
      <c r="ULC7" s="14"/>
      <c r="ULD7" s="14"/>
      <c r="ULE7" s="14"/>
      <c r="ULF7" s="14"/>
      <c r="ULG7" s="14"/>
      <c r="ULH7" s="14"/>
      <c r="ULI7" s="14"/>
      <c r="ULJ7" s="14"/>
      <c r="ULK7" s="14"/>
      <c r="ULL7" s="14"/>
      <c r="ULM7" s="14"/>
      <c r="ULN7" s="14"/>
      <c r="ULO7" s="14"/>
      <c r="ULP7" s="14"/>
      <c r="ULQ7" s="14"/>
      <c r="ULR7" s="14"/>
      <c r="ULS7" s="14"/>
      <c r="ULT7" s="14"/>
      <c r="ULU7" s="14"/>
      <c r="ULV7" s="14"/>
      <c r="ULW7" s="14"/>
      <c r="ULX7" s="14"/>
      <c r="ULY7" s="14"/>
      <c r="ULZ7" s="14"/>
      <c r="UMA7" s="14"/>
      <c r="UMB7" s="14"/>
      <c r="UMC7" s="14"/>
      <c r="UMD7" s="14"/>
      <c r="UME7" s="14"/>
      <c r="UMF7" s="14"/>
      <c r="UMG7" s="14"/>
      <c r="UMH7" s="14"/>
      <c r="UMI7" s="14"/>
      <c r="UMJ7" s="14"/>
      <c r="UMK7" s="14"/>
      <c r="UML7" s="14"/>
      <c r="UMM7" s="14"/>
      <c r="UMN7" s="14"/>
      <c r="UMO7" s="14"/>
      <c r="UMP7" s="14"/>
      <c r="UMQ7" s="14"/>
      <c r="UMR7" s="14"/>
      <c r="UMS7" s="14"/>
      <c r="UMT7" s="14"/>
      <c r="UMU7" s="14"/>
      <c r="UMV7" s="14"/>
      <c r="UMW7" s="14"/>
      <c r="UMX7" s="14"/>
      <c r="UMY7" s="14"/>
      <c r="UMZ7" s="14"/>
      <c r="UNA7" s="14"/>
      <c r="UNB7" s="14"/>
      <c r="UNC7" s="14"/>
      <c r="UND7" s="14"/>
      <c r="UNE7" s="14"/>
      <c r="UNF7" s="14"/>
      <c r="UNG7" s="14"/>
      <c r="UNH7" s="14"/>
      <c r="UNI7" s="14"/>
      <c r="UNJ7" s="14"/>
      <c r="UNK7" s="14"/>
      <c r="UNL7" s="14"/>
      <c r="UNM7" s="14"/>
      <c r="UNN7" s="14"/>
      <c r="UNO7" s="14"/>
      <c r="UNP7" s="14"/>
      <c r="UNQ7" s="14"/>
      <c r="UNR7" s="14"/>
      <c r="UNS7" s="14"/>
      <c r="UNT7" s="14"/>
      <c r="UNU7" s="14"/>
      <c r="UNV7" s="14"/>
      <c r="UNW7" s="14"/>
      <c r="UNX7" s="14"/>
      <c r="UNY7" s="14"/>
      <c r="UNZ7" s="14"/>
      <c r="UOA7" s="14"/>
      <c r="UOB7" s="14"/>
      <c r="UOC7" s="14"/>
      <c r="UOD7" s="14"/>
      <c r="UOE7" s="14"/>
      <c r="UOF7" s="14"/>
      <c r="UOG7" s="14"/>
      <c r="UOH7" s="14"/>
      <c r="UOI7" s="14"/>
      <c r="UOJ7" s="14"/>
      <c r="UOK7" s="14"/>
      <c r="UOL7" s="14"/>
      <c r="UOM7" s="14"/>
      <c r="UON7" s="14"/>
      <c r="UOO7" s="14"/>
      <c r="UOP7" s="14"/>
      <c r="UOQ7" s="14"/>
      <c r="UOR7" s="14"/>
      <c r="UOS7" s="14"/>
      <c r="UOT7" s="14"/>
      <c r="UOU7" s="14"/>
      <c r="UOV7" s="14"/>
      <c r="UOW7" s="14"/>
      <c r="UOX7" s="14"/>
      <c r="UOY7" s="14"/>
      <c r="UOZ7" s="14"/>
      <c r="UPA7" s="14"/>
      <c r="UPB7" s="14"/>
      <c r="UPC7" s="14"/>
      <c r="UPD7" s="14"/>
      <c r="UPE7" s="14"/>
      <c r="UPF7" s="14"/>
      <c r="UPG7" s="14"/>
      <c r="UPH7" s="14"/>
      <c r="UPI7" s="14"/>
      <c r="UPJ7" s="14"/>
      <c r="UPK7" s="14"/>
      <c r="UPL7" s="14"/>
      <c r="UPM7" s="14"/>
      <c r="UPN7" s="14"/>
      <c r="UPO7" s="14"/>
      <c r="UPP7" s="14"/>
      <c r="UPQ7" s="14"/>
      <c r="UPR7" s="14"/>
      <c r="UPS7" s="14"/>
      <c r="UPT7" s="14"/>
      <c r="UPU7" s="14"/>
      <c r="UPV7" s="14"/>
      <c r="UPW7" s="14"/>
      <c r="UPX7" s="14"/>
      <c r="UPY7" s="14"/>
      <c r="UPZ7" s="14"/>
      <c r="UQA7" s="14"/>
      <c r="UQB7" s="14"/>
      <c r="UQC7" s="14"/>
      <c r="UQD7" s="14"/>
      <c r="UQE7" s="14"/>
      <c r="UQF7" s="14"/>
      <c r="UQG7" s="14"/>
      <c r="UQH7" s="14"/>
      <c r="UQI7" s="14"/>
      <c r="UQJ7" s="14"/>
      <c r="UQK7" s="14"/>
      <c r="UQL7" s="14"/>
      <c r="UQM7" s="14"/>
      <c r="UQN7" s="14"/>
      <c r="UQO7" s="14"/>
      <c r="UQP7" s="14"/>
      <c r="UQQ7" s="14"/>
      <c r="UQR7" s="14"/>
      <c r="UQS7" s="14"/>
      <c r="UQT7" s="14"/>
      <c r="UQU7" s="14"/>
      <c r="UQV7" s="14"/>
      <c r="UQW7" s="14"/>
      <c r="UQX7" s="14"/>
      <c r="UQY7" s="14"/>
      <c r="UQZ7" s="14"/>
      <c r="URA7" s="14"/>
      <c r="URB7" s="14"/>
      <c r="URC7" s="14"/>
      <c r="URD7" s="14"/>
      <c r="URE7" s="14"/>
      <c r="URF7" s="14"/>
      <c r="URG7" s="14"/>
      <c r="URH7" s="14"/>
      <c r="URI7" s="14"/>
      <c r="URJ7" s="14"/>
      <c r="URK7" s="14"/>
      <c r="URL7" s="14"/>
      <c r="URM7" s="14"/>
      <c r="URN7" s="14"/>
      <c r="URO7" s="14"/>
      <c r="URP7" s="14"/>
      <c r="URQ7" s="14"/>
      <c r="URR7" s="14"/>
      <c r="URS7" s="14"/>
      <c r="URT7" s="14"/>
      <c r="URU7" s="14"/>
      <c r="URV7" s="14"/>
      <c r="URW7" s="14"/>
      <c r="URX7" s="14"/>
      <c r="URY7" s="14"/>
      <c r="URZ7" s="14"/>
      <c r="USA7" s="14"/>
      <c r="USB7" s="14"/>
      <c r="USC7" s="14"/>
      <c r="USD7" s="14"/>
      <c r="USE7" s="14"/>
      <c r="USF7" s="14"/>
      <c r="USG7" s="14"/>
      <c r="USH7" s="14"/>
      <c r="USI7" s="14"/>
      <c r="USJ7" s="14"/>
      <c r="USK7" s="14"/>
      <c r="USL7" s="14"/>
      <c r="USM7" s="14"/>
      <c r="USN7" s="14"/>
      <c r="USO7" s="14"/>
      <c r="USP7" s="14"/>
      <c r="USQ7" s="14"/>
      <c r="USR7" s="14"/>
      <c r="USS7" s="14"/>
      <c r="UST7" s="14"/>
      <c r="USU7" s="14"/>
      <c r="USV7" s="14"/>
      <c r="USW7" s="14"/>
      <c r="USX7" s="14"/>
      <c r="USY7" s="14"/>
      <c r="USZ7" s="14"/>
      <c r="UTA7" s="14"/>
      <c r="UTB7" s="14"/>
      <c r="UTC7" s="14"/>
      <c r="UTD7" s="14"/>
      <c r="UTE7" s="14"/>
      <c r="UTF7" s="14"/>
      <c r="UTG7" s="14"/>
      <c r="UTH7" s="14"/>
      <c r="UTI7" s="14"/>
      <c r="UTJ7" s="14"/>
      <c r="UTK7" s="14"/>
      <c r="UTL7" s="14"/>
      <c r="UTM7" s="14"/>
      <c r="UTN7" s="14"/>
      <c r="UTO7" s="14"/>
      <c r="UTP7" s="14"/>
      <c r="UTQ7" s="14"/>
      <c r="UTR7" s="14"/>
      <c r="UTS7" s="14"/>
      <c r="UTT7" s="14"/>
      <c r="UTU7" s="14"/>
      <c r="UTV7" s="14"/>
      <c r="UTW7" s="14"/>
      <c r="UTX7" s="14"/>
      <c r="UTY7" s="14"/>
      <c r="UTZ7" s="14"/>
      <c r="UUA7" s="14"/>
      <c r="UUB7" s="14"/>
      <c r="UUC7" s="14"/>
      <c r="UUD7" s="14"/>
      <c r="UUE7" s="14"/>
      <c r="UUF7" s="14"/>
      <c r="UUG7" s="14"/>
      <c r="UUH7" s="14"/>
      <c r="UUI7" s="14"/>
      <c r="UUJ7" s="14"/>
      <c r="UUK7" s="14"/>
      <c r="UUL7" s="14"/>
      <c r="UUM7" s="14"/>
      <c r="UUN7" s="14"/>
      <c r="UUO7" s="14"/>
      <c r="UUP7" s="14"/>
      <c r="UUQ7" s="14"/>
      <c r="UUR7" s="14"/>
      <c r="UUS7" s="14"/>
      <c r="UUT7" s="14"/>
      <c r="UUU7" s="14"/>
      <c r="UUV7" s="14"/>
      <c r="UUW7" s="14"/>
      <c r="UUX7" s="14"/>
      <c r="UUY7" s="14"/>
      <c r="UUZ7" s="14"/>
      <c r="UVA7" s="14"/>
      <c r="UVB7" s="14"/>
      <c r="UVC7" s="14"/>
      <c r="UVD7" s="14"/>
      <c r="UVE7" s="14"/>
      <c r="UVF7" s="14"/>
      <c r="UVG7" s="14"/>
      <c r="UVH7" s="14"/>
      <c r="UVI7" s="14"/>
      <c r="UVJ7" s="14"/>
      <c r="UVK7" s="14"/>
      <c r="UVL7" s="14"/>
      <c r="UVM7" s="14"/>
      <c r="UVN7" s="14"/>
      <c r="UVO7" s="14"/>
      <c r="UVP7" s="14"/>
      <c r="UVQ7" s="14"/>
      <c r="UVR7" s="14"/>
      <c r="UVS7" s="14"/>
      <c r="UVT7" s="14"/>
      <c r="UVU7" s="14"/>
      <c r="UVV7" s="14"/>
      <c r="UVW7" s="14"/>
      <c r="UVX7" s="14"/>
      <c r="UVY7" s="14"/>
      <c r="UVZ7" s="14"/>
      <c r="UWA7" s="14"/>
      <c r="UWB7" s="14"/>
      <c r="UWC7" s="14"/>
      <c r="UWD7" s="14"/>
      <c r="UWE7" s="14"/>
      <c r="UWF7" s="14"/>
      <c r="UWG7" s="14"/>
      <c r="UWH7" s="14"/>
      <c r="UWI7" s="14"/>
      <c r="UWJ7" s="14"/>
      <c r="UWK7" s="14"/>
      <c r="UWL7" s="14"/>
      <c r="UWM7" s="14"/>
      <c r="UWN7" s="14"/>
      <c r="UWO7" s="14"/>
      <c r="UWP7" s="14"/>
      <c r="UWQ7" s="14"/>
      <c r="UWR7" s="14"/>
      <c r="UWS7" s="14"/>
      <c r="UWT7" s="14"/>
      <c r="UWU7" s="14"/>
      <c r="UWV7" s="14"/>
      <c r="UWW7" s="14"/>
      <c r="UWX7" s="14"/>
      <c r="UWY7" s="14"/>
      <c r="UWZ7" s="14"/>
      <c r="UXA7" s="14"/>
      <c r="UXB7" s="14"/>
      <c r="UXC7" s="14"/>
      <c r="UXD7" s="14"/>
      <c r="UXE7" s="14"/>
      <c r="UXF7" s="14"/>
      <c r="UXG7" s="14"/>
      <c r="UXH7" s="14"/>
      <c r="UXI7" s="14"/>
      <c r="UXJ7" s="14"/>
      <c r="UXK7" s="14"/>
      <c r="UXL7" s="14"/>
      <c r="UXM7" s="14"/>
      <c r="UXN7" s="14"/>
      <c r="UXO7" s="14"/>
      <c r="UXP7" s="14"/>
      <c r="UXQ7" s="14"/>
      <c r="UXR7" s="14"/>
      <c r="UXS7" s="14"/>
      <c r="UXT7" s="14"/>
      <c r="UXU7" s="14"/>
      <c r="UXV7" s="14"/>
      <c r="UXW7" s="14"/>
      <c r="UXX7" s="14"/>
      <c r="UXY7" s="14"/>
      <c r="UXZ7" s="14"/>
      <c r="UYA7" s="14"/>
      <c r="UYB7" s="14"/>
      <c r="UYC7" s="14"/>
      <c r="UYD7" s="14"/>
      <c r="UYE7" s="14"/>
      <c r="UYF7" s="14"/>
      <c r="UYG7" s="14"/>
      <c r="UYH7" s="14"/>
      <c r="UYI7" s="14"/>
      <c r="UYJ7" s="14"/>
      <c r="UYK7" s="14"/>
      <c r="UYL7" s="14"/>
      <c r="UYM7" s="14"/>
      <c r="UYN7" s="14"/>
      <c r="UYO7" s="14"/>
      <c r="UYP7" s="14"/>
      <c r="UYQ7" s="14"/>
      <c r="UYR7" s="14"/>
      <c r="UYS7" s="14"/>
      <c r="UYT7" s="14"/>
      <c r="UYU7" s="14"/>
      <c r="UYV7" s="14"/>
      <c r="UYW7" s="14"/>
      <c r="UYX7" s="14"/>
      <c r="UYY7" s="14"/>
      <c r="UYZ7" s="14"/>
      <c r="UZA7" s="14"/>
      <c r="UZB7" s="14"/>
      <c r="UZC7" s="14"/>
      <c r="UZD7" s="14"/>
      <c r="UZE7" s="14"/>
      <c r="UZF7" s="14"/>
      <c r="UZG7" s="14"/>
      <c r="UZH7" s="14"/>
      <c r="UZI7" s="14"/>
      <c r="UZJ7" s="14"/>
      <c r="UZK7" s="14"/>
      <c r="UZL7" s="14"/>
      <c r="UZM7" s="14"/>
      <c r="UZN7" s="14"/>
      <c r="UZO7" s="14"/>
      <c r="UZP7" s="14"/>
      <c r="UZQ7" s="14"/>
      <c r="UZR7" s="14"/>
      <c r="UZS7" s="14"/>
      <c r="UZT7" s="14"/>
      <c r="UZU7" s="14"/>
      <c r="UZV7" s="14"/>
      <c r="UZW7" s="14"/>
      <c r="UZX7" s="14"/>
      <c r="UZY7" s="14"/>
      <c r="UZZ7" s="14"/>
      <c r="VAA7" s="14"/>
      <c r="VAB7" s="14"/>
      <c r="VAC7" s="14"/>
      <c r="VAD7" s="14"/>
      <c r="VAE7" s="14"/>
      <c r="VAF7" s="14"/>
      <c r="VAG7" s="14"/>
      <c r="VAH7" s="14"/>
      <c r="VAI7" s="14"/>
      <c r="VAJ7" s="14"/>
      <c r="VAK7" s="14"/>
      <c r="VAL7" s="14"/>
      <c r="VAM7" s="14"/>
      <c r="VAN7" s="14"/>
      <c r="VAO7" s="14"/>
      <c r="VAP7" s="14"/>
      <c r="VAQ7" s="14"/>
      <c r="VAR7" s="14"/>
      <c r="VAS7" s="14"/>
      <c r="VAT7" s="14"/>
      <c r="VAU7" s="14"/>
      <c r="VAV7" s="14"/>
      <c r="VAW7" s="14"/>
      <c r="VAX7" s="14"/>
      <c r="VAY7" s="14"/>
      <c r="VAZ7" s="14"/>
      <c r="VBA7" s="14"/>
      <c r="VBB7" s="14"/>
      <c r="VBC7" s="14"/>
      <c r="VBD7" s="14"/>
      <c r="VBE7" s="14"/>
      <c r="VBF7" s="14"/>
      <c r="VBG7" s="14"/>
      <c r="VBH7" s="14"/>
      <c r="VBI7" s="14"/>
      <c r="VBJ7" s="14"/>
      <c r="VBK7" s="14"/>
      <c r="VBL7" s="14"/>
      <c r="VBM7" s="14"/>
      <c r="VBN7" s="14"/>
      <c r="VBO7" s="14"/>
      <c r="VBP7" s="14"/>
      <c r="VBQ7" s="14"/>
      <c r="VBR7" s="14"/>
      <c r="VBS7" s="14"/>
      <c r="VBT7" s="14"/>
      <c r="VBU7" s="14"/>
      <c r="VBV7" s="14"/>
      <c r="VBW7" s="14"/>
      <c r="VBX7" s="14"/>
      <c r="VBY7" s="14"/>
      <c r="VBZ7" s="14"/>
      <c r="VCA7" s="14"/>
      <c r="VCB7" s="14"/>
      <c r="VCC7" s="14"/>
      <c r="VCD7" s="14"/>
      <c r="VCE7" s="14"/>
      <c r="VCF7" s="14"/>
      <c r="VCG7" s="14"/>
      <c r="VCH7" s="14"/>
      <c r="VCI7" s="14"/>
      <c r="VCJ7" s="14"/>
      <c r="VCK7" s="14"/>
      <c r="VCL7" s="14"/>
      <c r="VCM7" s="14"/>
      <c r="VCN7" s="14"/>
      <c r="VCO7" s="14"/>
      <c r="VCP7" s="14"/>
      <c r="VCQ7" s="14"/>
      <c r="VCR7" s="14"/>
      <c r="VCS7" s="14"/>
      <c r="VCT7" s="14"/>
      <c r="VCU7" s="14"/>
      <c r="VCV7" s="14"/>
      <c r="VCW7" s="14"/>
      <c r="VCX7" s="14"/>
      <c r="VCY7" s="14"/>
      <c r="VCZ7" s="14"/>
      <c r="VDA7" s="14"/>
      <c r="VDB7" s="14"/>
      <c r="VDC7" s="14"/>
      <c r="VDD7" s="14"/>
      <c r="VDE7" s="14"/>
      <c r="VDF7" s="14"/>
      <c r="VDG7" s="14"/>
      <c r="VDH7" s="14"/>
      <c r="VDI7" s="14"/>
      <c r="VDJ7" s="14"/>
      <c r="VDK7" s="14"/>
      <c r="VDL7" s="14"/>
      <c r="VDM7" s="14"/>
      <c r="VDN7" s="14"/>
      <c r="VDO7" s="14"/>
      <c r="VDP7" s="14"/>
      <c r="VDQ7" s="14"/>
      <c r="VDR7" s="14"/>
      <c r="VDS7" s="14"/>
      <c r="VDT7" s="14"/>
      <c r="VDU7" s="14"/>
      <c r="VDV7" s="14"/>
      <c r="VDW7" s="14"/>
      <c r="VDX7" s="14"/>
      <c r="VDY7" s="14"/>
      <c r="VDZ7" s="14"/>
      <c r="VEA7" s="14"/>
      <c r="VEB7" s="14"/>
      <c r="VEC7" s="14"/>
      <c r="VED7" s="14"/>
      <c r="VEE7" s="14"/>
      <c r="VEF7" s="14"/>
      <c r="VEG7" s="14"/>
      <c r="VEH7" s="14"/>
      <c r="VEI7" s="14"/>
      <c r="VEJ7" s="14"/>
      <c r="VEK7" s="14"/>
      <c r="VEL7" s="14"/>
      <c r="VEM7" s="14"/>
      <c r="VEN7" s="14"/>
      <c r="VEO7" s="14"/>
      <c r="VEP7" s="14"/>
      <c r="VEQ7" s="14"/>
      <c r="VER7" s="14"/>
      <c r="VES7" s="14"/>
      <c r="VET7" s="14"/>
      <c r="VEU7" s="14"/>
      <c r="VEV7" s="14"/>
      <c r="VEW7" s="14"/>
      <c r="VEX7" s="14"/>
      <c r="VEY7" s="14"/>
      <c r="VEZ7" s="14"/>
      <c r="VFA7" s="14"/>
      <c r="VFB7" s="14"/>
      <c r="VFC7" s="14"/>
      <c r="VFD7" s="14"/>
      <c r="VFE7" s="14"/>
      <c r="VFF7" s="14"/>
      <c r="VFG7" s="14"/>
      <c r="VFH7" s="14"/>
      <c r="VFI7" s="14"/>
      <c r="VFJ7" s="14"/>
      <c r="VFK7" s="14"/>
      <c r="VFL7" s="14"/>
      <c r="VFM7" s="14"/>
      <c r="VFN7" s="14"/>
      <c r="VFO7" s="14"/>
      <c r="VFP7" s="14"/>
      <c r="VFQ7" s="14"/>
      <c r="VFR7" s="14"/>
      <c r="VFS7" s="14"/>
      <c r="VFT7" s="14"/>
      <c r="VFU7" s="14"/>
      <c r="VFV7" s="14"/>
      <c r="VFW7" s="14"/>
      <c r="VFX7" s="14"/>
      <c r="VFY7" s="14"/>
      <c r="VFZ7" s="14"/>
      <c r="VGA7" s="14"/>
      <c r="VGB7" s="14"/>
      <c r="VGC7" s="14"/>
      <c r="VGD7" s="14"/>
      <c r="VGE7" s="14"/>
      <c r="VGF7" s="14"/>
      <c r="VGG7" s="14"/>
      <c r="VGH7" s="14"/>
      <c r="VGI7" s="14"/>
      <c r="VGJ7" s="14"/>
      <c r="VGK7" s="14"/>
      <c r="VGL7" s="14"/>
      <c r="VGM7" s="14"/>
      <c r="VGN7" s="14"/>
      <c r="VGO7" s="14"/>
      <c r="VGP7" s="14"/>
      <c r="VGQ7" s="14"/>
      <c r="VGR7" s="14"/>
      <c r="VGS7" s="14"/>
      <c r="VGT7" s="14"/>
      <c r="VGU7" s="14"/>
      <c r="VGV7" s="14"/>
      <c r="VGW7" s="14"/>
      <c r="VGX7" s="14"/>
      <c r="VGY7" s="14"/>
      <c r="VGZ7" s="14"/>
      <c r="VHA7" s="14"/>
      <c r="VHB7" s="14"/>
      <c r="VHC7" s="14"/>
      <c r="VHD7" s="14"/>
      <c r="VHE7" s="14"/>
      <c r="VHF7" s="14"/>
      <c r="VHG7" s="14"/>
      <c r="VHH7" s="14"/>
      <c r="VHI7" s="14"/>
      <c r="VHJ7" s="14"/>
      <c r="VHK7" s="14"/>
      <c r="VHL7" s="14"/>
      <c r="VHM7" s="14"/>
      <c r="VHN7" s="14"/>
      <c r="VHO7" s="14"/>
      <c r="VHP7" s="14"/>
      <c r="VHQ7" s="14"/>
      <c r="VHR7" s="14"/>
      <c r="VHS7" s="14"/>
      <c r="VHT7" s="14"/>
      <c r="VHU7" s="14"/>
      <c r="VHV7" s="14"/>
      <c r="VHW7" s="14"/>
      <c r="VHX7" s="14"/>
      <c r="VHY7" s="14"/>
      <c r="VHZ7" s="14"/>
      <c r="VIA7" s="14"/>
      <c r="VIB7" s="14"/>
      <c r="VIC7" s="14"/>
      <c r="VID7" s="14"/>
      <c r="VIE7" s="14"/>
      <c r="VIF7" s="14"/>
      <c r="VIG7" s="14"/>
      <c r="VIH7" s="14"/>
      <c r="VII7" s="14"/>
      <c r="VIJ7" s="14"/>
      <c r="VIK7" s="14"/>
      <c r="VIL7" s="14"/>
      <c r="VIM7" s="14"/>
      <c r="VIN7" s="14"/>
      <c r="VIO7" s="14"/>
      <c r="VIP7" s="14"/>
      <c r="VIQ7" s="14"/>
      <c r="VIR7" s="14"/>
      <c r="VIS7" s="14"/>
      <c r="VIT7" s="14"/>
      <c r="VIU7" s="14"/>
      <c r="VIV7" s="14"/>
      <c r="VIW7" s="14"/>
      <c r="VIX7" s="14"/>
      <c r="VIY7" s="14"/>
      <c r="VIZ7" s="14"/>
      <c r="VJA7" s="14"/>
      <c r="VJB7" s="14"/>
      <c r="VJC7" s="14"/>
      <c r="VJD7" s="14"/>
      <c r="VJE7" s="14"/>
      <c r="VJF7" s="14"/>
      <c r="VJG7" s="14"/>
      <c r="VJH7" s="14"/>
      <c r="VJI7" s="14"/>
      <c r="VJJ7" s="14"/>
      <c r="VJK7" s="14"/>
      <c r="VJL7" s="14"/>
      <c r="VJM7" s="14"/>
      <c r="VJN7" s="14"/>
      <c r="VJO7" s="14"/>
      <c r="VJP7" s="14"/>
      <c r="VJQ7" s="14"/>
      <c r="VJR7" s="14"/>
      <c r="VJS7" s="14"/>
      <c r="VJT7" s="14"/>
      <c r="VJU7" s="14"/>
      <c r="VJV7" s="14"/>
      <c r="VJW7" s="14"/>
      <c r="VJX7" s="14"/>
      <c r="VJY7" s="14"/>
      <c r="VJZ7" s="14"/>
      <c r="VKA7" s="14"/>
      <c r="VKB7" s="14"/>
      <c r="VKC7" s="14"/>
      <c r="VKD7" s="14"/>
      <c r="VKE7" s="14"/>
      <c r="VKF7" s="14"/>
      <c r="VKG7" s="14"/>
      <c r="VKH7" s="14"/>
      <c r="VKI7" s="14"/>
      <c r="VKJ7" s="14"/>
      <c r="VKK7" s="14"/>
      <c r="VKL7" s="14"/>
      <c r="VKM7" s="14"/>
      <c r="VKN7" s="14"/>
      <c r="VKO7" s="14"/>
      <c r="VKP7" s="14"/>
      <c r="VKQ7" s="14"/>
      <c r="VKR7" s="14"/>
      <c r="VKS7" s="14"/>
      <c r="VKT7" s="14"/>
      <c r="VKU7" s="14"/>
      <c r="VKV7" s="14"/>
      <c r="VKW7" s="14"/>
      <c r="VKX7" s="14"/>
      <c r="VKY7" s="14"/>
      <c r="VKZ7" s="14"/>
      <c r="VLA7" s="14"/>
      <c r="VLB7" s="14"/>
      <c r="VLC7" s="14"/>
      <c r="VLD7" s="14"/>
      <c r="VLE7" s="14"/>
      <c r="VLF7" s="14"/>
      <c r="VLG7" s="14"/>
      <c r="VLH7" s="14"/>
      <c r="VLI7" s="14"/>
      <c r="VLJ7" s="14"/>
      <c r="VLK7" s="14"/>
      <c r="VLL7" s="14"/>
      <c r="VLM7" s="14"/>
      <c r="VLN7" s="14"/>
      <c r="VLO7" s="14"/>
      <c r="VLP7" s="14"/>
      <c r="VLQ7" s="14"/>
      <c r="VLR7" s="14"/>
      <c r="VLS7" s="14"/>
      <c r="VLT7" s="14"/>
      <c r="VLU7" s="14"/>
      <c r="VLV7" s="14"/>
      <c r="VLW7" s="14"/>
      <c r="VLX7" s="14"/>
      <c r="VLY7" s="14"/>
      <c r="VLZ7" s="14"/>
      <c r="VMA7" s="14"/>
      <c r="VMB7" s="14"/>
      <c r="VMC7" s="14"/>
      <c r="VMD7" s="14"/>
      <c r="VME7" s="14"/>
      <c r="VMF7" s="14"/>
      <c r="VMG7" s="14"/>
      <c r="VMH7" s="14"/>
      <c r="VMI7" s="14"/>
      <c r="VMJ7" s="14"/>
      <c r="VMK7" s="14"/>
      <c r="VML7" s="14"/>
      <c r="VMM7" s="14"/>
      <c r="VMN7" s="14"/>
      <c r="VMO7" s="14"/>
      <c r="VMP7" s="14"/>
      <c r="VMQ7" s="14"/>
      <c r="VMR7" s="14"/>
      <c r="VMS7" s="14"/>
      <c r="VMT7" s="14"/>
      <c r="VMU7" s="14"/>
      <c r="VMV7" s="14"/>
      <c r="VMW7" s="14"/>
      <c r="VMX7" s="14"/>
      <c r="VMY7" s="14"/>
      <c r="VMZ7" s="14"/>
      <c r="VNA7" s="14"/>
      <c r="VNB7" s="14"/>
      <c r="VNC7" s="14"/>
      <c r="VND7" s="14"/>
      <c r="VNE7" s="14"/>
      <c r="VNF7" s="14"/>
      <c r="VNG7" s="14"/>
      <c r="VNH7" s="14"/>
      <c r="VNI7" s="14"/>
      <c r="VNJ7" s="14"/>
      <c r="VNK7" s="14"/>
      <c r="VNL7" s="14"/>
      <c r="VNM7" s="14"/>
      <c r="VNN7" s="14"/>
      <c r="VNO7" s="14"/>
      <c r="VNP7" s="14"/>
      <c r="VNQ7" s="14"/>
      <c r="VNR7" s="14"/>
      <c r="VNS7" s="14"/>
      <c r="VNT7" s="14"/>
      <c r="VNU7" s="14"/>
      <c r="VNV7" s="14"/>
      <c r="VNW7" s="14"/>
      <c r="VNX7" s="14"/>
      <c r="VNY7" s="14"/>
      <c r="VNZ7" s="14"/>
      <c r="VOA7" s="14"/>
      <c r="VOB7" s="14"/>
      <c r="VOC7" s="14"/>
      <c r="VOD7" s="14"/>
      <c r="VOE7" s="14"/>
      <c r="VOF7" s="14"/>
      <c r="VOG7" s="14"/>
      <c r="VOH7" s="14"/>
      <c r="VOI7" s="14"/>
      <c r="VOJ7" s="14"/>
      <c r="VOK7" s="14"/>
      <c r="VOL7" s="14"/>
      <c r="VOM7" s="14"/>
      <c r="VON7" s="14"/>
      <c r="VOO7" s="14"/>
      <c r="VOP7" s="14"/>
      <c r="VOQ7" s="14"/>
      <c r="VOR7" s="14"/>
      <c r="VOS7" s="14"/>
      <c r="VOT7" s="14"/>
      <c r="VOU7" s="14"/>
      <c r="VOV7" s="14"/>
      <c r="VOW7" s="14"/>
      <c r="VOX7" s="14"/>
      <c r="VOY7" s="14"/>
      <c r="VOZ7" s="14"/>
      <c r="VPA7" s="14"/>
      <c r="VPB7" s="14"/>
      <c r="VPC7" s="14"/>
      <c r="VPD7" s="14"/>
      <c r="VPE7" s="14"/>
      <c r="VPF7" s="14"/>
      <c r="VPG7" s="14"/>
      <c r="VPH7" s="14"/>
      <c r="VPI7" s="14"/>
      <c r="VPJ7" s="14"/>
      <c r="VPK7" s="14"/>
      <c r="VPL7" s="14"/>
      <c r="VPM7" s="14"/>
      <c r="VPN7" s="14"/>
      <c r="VPO7" s="14"/>
      <c r="VPP7" s="14"/>
      <c r="VPQ7" s="14"/>
      <c r="VPR7" s="14"/>
      <c r="VPS7" s="14"/>
      <c r="VPT7" s="14"/>
      <c r="VPU7" s="14"/>
      <c r="VPV7" s="14"/>
      <c r="VPW7" s="14"/>
      <c r="VPX7" s="14"/>
      <c r="VPY7" s="14"/>
      <c r="VPZ7" s="14"/>
      <c r="VQA7" s="14"/>
      <c r="VQB7" s="14"/>
      <c r="VQC7" s="14"/>
      <c r="VQD7" s="14"/>
      <c r="VQE7" s="14"/>
      <c r="VQF7" s="14"/>
      <c r="VQG7" s="14"/>
      <c r="VQH7" s="14"/>
      <c r="VQI7" s="14"/>
      <c r="VQJ7" s="14"/>
      <c r="VQK7" s="14"/>
      <c r="VQL7" s="14"/>
      <c r="VQM7" s="14"/>
      <c r="VQN7" s="14"/>
      <c r="VQO7" s="14"/>
      <c r="VQP7" s="14"/>
      <c r="VQQ7" s="14"/>
      <c r="VQR7" s="14"/>
      <c r="VQS7" s="14"/>
      <c r="VQT7" s="14"/>
      <c r="VQU7" s="14"/>
      <c r="VQV7" s="14"/>
      <c r="VQW7" s="14"/>
      <c r="VQX7" s="14"/>
      <c r="VQY7" s="14"/>
      <c r="VQZ7" s="14"/>
      <c r="VRA7" s="14"/>
      <c r="VRB7" s="14"/>
      <c r="VRC7" s="14"/>
      <c r="VRD7" s="14"/>
      <c r="VRE7" s="14"/>
      <c r="VRF7" s="14"/>
      <c r="VRG7" s="14"/>
      <c r="VRH7" s="14"/>
      <c r="VRI7" s="14"/>
      <c r="VRJ7" s="14"/>
      <c r="VRK7" s="14"/>
      <c r="VRL7" s="14"/>
      <c r="VRM7" s="14"/>
      <c r="VRN7" s="14"/>
      <c r="VRO7" s="14"/>
      <c r="VRP7" s="14"/>
      <c r="VRQ7" s="14"/>
      <c r="VRR7" s="14"/>
      <c r="VRS7" s="14"/>
      <c r="VRT7" s="14"/>
      <c r="VRU7" s="14"/>
      <c r="VRV7" s="14"/>
      <c r="VRW7" s="14"/>
      <c r="VRX7" s="14"/>
      <c r="VRY7" s="14"/>
      <c r="VRZ7" s="14"/>
      <c r="VSA7" s="14"/>
      <c r="VSB7" s="14"/>
      <c r="VSC7" s="14"/>
      <c r="VSD7" s="14"/>
      <c r="VSE7" s="14"/>
      <c r="VSF7" s="14"/>
      <c r="VSG7" s="14"/>
      <c r="VSH7" s="14"/>
      <c r="VSI7" s="14"/>
      <c r="VSJ7" s="14"/>
      <c r="VSK7" s="14"/>
      <c r="VSL7" s="14"/>
      <c r="VSM7" s="14"/>
      <c r="VSN7" s="14"/>
      <c r="VSO7" s="14"/>
      <c r="VSP7" s="14"/>
      <c r="VSQ7" s="14"/>
      <c r="VSR7" s="14"/>
      <c r="VSS7" s="14"/>
      <c r="VST7" s="14"/>
      <c r="VSU7" s="14"/>
      <c r="VSV7" s="14"/>
      <c r="VSW7" s="14"/>
      <c r="VSX7" s="14"/>
      <c r="VSY7" s="14"/>
      <c r="VSZ7" s="14"/>
      <c r="VTA7" s="14"/>
      <c r="VTB7" s="14"/>
      <c r="VTC7" s="14"/>
      <c r="VTD7" s="14"/>
      <c r="VTE7" s="14"/>
      <c r="VTF7" s="14"/>
      <c r="VTG7" s="14"/>
      <c r="VTH7" s="14"/>
      <c r="VTI7" s="14"/>
      <c r="VTJ7" s="14"/>
      <c r="VTK7" s="14"/>
      <c r="VTL7" s="14"/>
      <c r="VTM7" s="14"/>
      <c r="VTN7" s="14"/>
      <c r="VTO7" s="14"/>
      <c r="VTP7" s="14"/>
      <c r="VTQ7" s="14"/>
      <c r="VTR7" s="14"/>
      <c r="VTS7" s="14"/>
      <c r="VTT7" s="14"/>
      <c r="VTU7" s="14"/>
      <c r="VTV7" s="14"/>
      <c r="VTW7" s="14"/>
      <c r="VTX7" s="14"/>
      <c r="VTY7" s="14"/>
      <c r="VTZ7" s="14"/>
      <c r="VUA7" s="14"/>
      <c r="VUB7" s="14"/>
      <c r="VUC7" s="14"/>
      <c r="VUD7" s="14"/>
      <c r="VUE7" s="14"/>
      <c r="VUF7" s="14"/>
      <c r="VUG7" s="14"/>
      <c r="VUH7" s="14"/>
      <c r="VUI7" s="14"/>
      <c r="VUJ7" s="14"/>
      <c r="VUK7" s="14"/>
      <c r="VUL7" s="14"/>
      <c r="VUM7" s="14"/>
      <c r="VUN7" s="14"/>
      <c r="VUO7" s="14"/>
      <c r="VUP7" s="14"/>
      <c r="VUQ7" s="14"/>
      <c r="VUR7" s="14"/>
      <c r="VUS7" s="14"/>
      <c r="VUT7" s="14"/>
      <c r="VUU7" s="14"/>
      <c r="VUV7" s="14"/>
      <c r="VUW7" s="14"/>
      <c r="VUX7" s="14"/>
      <c r="VUY7" s="14"/>
      <c r="VUZ7" s="14"/>
      <c r="VVA7" s="14"/>
      <c r="VVB7" s="14"/>
      <c r="VVC7" s="14"/>
      <c r="VVD7" s="14"/>
      <c r="VVE7" s="14"/>
      <c r="VVF7" s="14"/>
      <c r="VVG7" s="14"/>
      <c r="VVH7" s="14"/>
      <c r="VVI7" s="14"/>
      <c r="VVJ7" s="14"/>
      <c r="VVK7" s="14"/>
      <c r="VVL7" s="14"/>
      <c r="VVM7" s="14"/>
      <c r="VVN7" s="14"/>
      <c r="VVO7" s="14"/>
      <c r="VVP7" s="14"/>
      <c r="VVQ7" s="14"/>
      <c r="VVR7" s="14"/>
      <c r="VVS7" s="14"/>
      <c r="VVT7" s="14"/>
      <c r="VVU7" s="14"/>
      <c r="VVV7" s="14"/>
      <c r="VVW7" s="14"/>
      <c r="VVX7" s="14"/>
      <c r="VVY7" s="14"/>
      <c r="VVZ7" s="14"/>
      <c r="VWA7" s="14"/>
      <c r="VWB7" s="14"/>
      <c r="VWC7" s="14"/>
      <c r="VWD7" s="14"/>
      <c r="VWE7" s="14"/>
      <c r="VWF7" s="14"/>
      <c r="VWG7" s="14"/>
      <c r="VWH7" s="14"/>
      <c r="VWI7" s="14"/>
      <c r="VWJ7" s="14"/>
      <c r="VWK7" s="14"/>
      <c r="VWL7" s="14"/>
      <c r="VWM7" s="14"/>
      <c r="VWN7" s="14"/>
      <c r="VWO7" s="14"/>
      <c r="VWP7" s="14"/>
      <c r="VWQ7" s="14"/>
      <c r="VWR7" s="14"/>
      <c r="VWS7" s="14"/>
      <c r="VWT7" s="14"/>
      <c r="VWU7" s="14"/>
      <c r="VWV7" s="14"/>
      <c r="VWW7" s="14"/>
      <c r="VWX7" s="14"/>
      <c r="VWY7" s="14"/>
      <c r="VWZ7" s="14"/>
      <c r="VXA7" s="14"/>
      <c r="VXB7" s="14"/>
      <c r="VXC7" s="14"/>
      <c r="VXD7" s="14"/>
      <c r="VXE7" s="14"/>
      <c r="VXF7" s="14"/>
      <c r="VXG7" s="14"/>
      <c r="VXH7" s="14"/>
      <c r="VXI7" s="14"/>
      <c r="VXJ7" s="14"/>
      <c r="VXK7" s="14"/>
      <c r="VXL7" s="14"/>
      <c r="VXM7" s="14"/>
      <c r="VXN7" s="14"/>
      <c r="VXO7" s="14"/>
      <c r="VXP7" s="14"/>
      <c r="VXQ7" s="14"/>
      <c r="VXR7" s="14"/>
      <c r="VXS7" s="14"/>
      <c r="VXT7" s="14"/>
      <c r="VXU7" s="14"/>
      <c r="VXV7" s="14"/>
      <c r="VXW7" s="14"/>
      <c r="VXX7" s="14"/>
      <c r="VXY7" s="14"/>
      <c r="VXZ7" s="14"/>
      <c r="VYA7" s="14"/>
      <c r="VYB7" s="14"/>
      <c r="VYC7" s="14"/>
      <c r="VYD7" s="14"/>
      <c r="VYE7" s="14"/>
      <c r="VYF7" s="14"/>
      <c r="VYG7" s="14"/>
      <c r="VYH7" s="14"/>
      <c r="VYI7" s="14"/>
      <c r="VYJ7" s="14"/>
      <c r="VYK7" s="14"/>
      <c r="VYL7" s="14"/>
      <c r="VYM7" s="14"/>
      <c r="VYN7" s="14"/>
      <c r="VYO7" s="14"/>
      <c r="VYP7" s="14"/>
      <c r="VYQ7" s="14"/>
      <c r="VYR7" s="14"/>
      <c r="VYS7" s="14"/>
      <c r="VYT7" s="14"/>
      <c r="VYU7" s="14"/>
      <c r="VYV7" s="14"/>
      <c r="VYW7" s="14"/>
      <c r="VYX7" s="14"/>
      <c r="VYY7" s="14"/>
      <c r="VYZ7" s="14"/>
      <c r="VZA7" s="14"/>
      <c r="VZB7" s="14"/>
      <c r="VZC7" s="14"/>
      <c r="VZD7" s="14"/>
      <c r="VZE7" s="14"/>
      <c r="VZF7" s="14"/>
      <c r="VZG7" s="14"/>
      <c r="VZH7" s="14"/>
      <c r="VZI7" s="14"/>
      <c r="VZJ7" s="14"/>
      <c r="VZK7" s="14"/>
      <c r="VZL7" s="14"/>
      <c r="VZM7" s="14"/>
      <c r="VZN7" s="14"/>
      <c r="VZO7" s="14"/>
      <c r="VZP7" s="14"/>
      <c r="VZQ7" s="14"/>
      <c r="VZR7" s="14"/>
      <c r="VZS7" s="14"/>
      <c r="VZT7" s="14"/>
      <c r="VZU7" s="14"/>
      <c r="VZV7" s="14"/>
      <c r="VZW7" s="14"/>
      <c r="VZX7" s="14"/>
      <c r="VZY7" s="14"/>
      <c r="VZZ7" s="14"/>
      <c r="WAA7" s="14"/>
      <c r="WAB7" s="14"/>
      <c r="WAC7" s="14"/>
      <c r="WAD7" s="14"/>
      <c r="WAE7" s="14"/>
      <c r="WAF7" s="14"/>
      <c r="WAG7" s="14"/>
      <c r="WAH7" s="14"/>
      <c r="WAI7" s="14"/>
      <c r="WAJ7" s="14"/>
      <c r="WAK7" s="14"/>
      <c r="WAL7" s="14"/>
      <c r="WAM7" s="14"/>
      <c r="WAN7" s="14"/>
      <c r="WAO7" s="14"/>
      <c r="WAP7" s="14"/>
      <c r="WAQ7" s="14"/>
      <c r="WAR7" s="14"/>
      <c r="WAS7" s="14"/>
      <c r="WAT7" s="14"/>
      <c r="WAU7" s="14"/>
      <c r="WAV7" s="14"/>
      <c r="WAW7" s="14"/>
      <c r="WAX7" s="14"/>
      <c r="WAY7" s="14"/>
      <c r="WAZ7" s="14"/>
      <c r="WBA7" s="14"/>
      <c r="WBB7" s="14"/>
      <c r="WBC7" s="14"/>
      <c r="WBD7" s="14"/>
      <c r="WBE7" s="14"/>
      <c r="WBF7" s="14"/>
      <c r="WBG7" s="14"/>
      <c r="WBH7" s="14"/>
      <c r="WBI7" s="14"/>
      <c r="WBJ7" s="14"/>
      <c r="WBK7" s="14"/>
      <c r="WBL7" s="14"/>
      <c r="WBM7" s="14"/>
      <c r="WBN7" s="14"/>
      <c r="WBO7" s="14"/>
      <c r="WBP7" s="14"/>
      <c r="WBQ7" s="14"/>
      <c r="WBR7" s="14"/>
      <c r="WBS7" s="14"/>
      <c r="WBT7" s="14"/>
      <c r="WBU7" s="14"/>
      <c r="WBV7" s="14"/>
      <c r="WBW7" s="14"/>
      <c r="WBX7" s="14"/>
      <c r="WBY7" s="14"/>
      <c r="WBZ7" s="14"/>
      <c r="WCA7" s="14"/>
      <c r="WCB7" s="14"/>
      <c r="WCC7" s="14"/>
      <c r="WCD7" s="14"/>
      <c r="WCE7" s="14"/>
      <c r="WCF7" s="14"/>
      <c r="WCG7" s="14"/>
      <c r="WCH7" s="14"/>
      <c r="WCI7" s="14"/>
      <c r="WCJ7" s="14"/>
      <c r="WCK7" s="14"/>
      <c r="WCL7" s="14"/>
      <c r="WCM7" s="14"/>
      <c r="WCN7" s="14"/>
      <c r="WCO7" s="14"/>
      <c r="WCP7" s="14"/>
      <c r="WCQ7" s="14"/>
      <c r="WCR7" s="14"/>
      <c r="WCS7" s="14"/>
      <c r="WCT7" s="14"/>
      <c r="WCU7" s="14"/>
      <c r="WCV7" s="14"/>
      <c r="WCW7" s="14"/>
      <c r="WCX7" s="14"/>
      <c r="WCY7" s="14"/>
      <c r="WCZ7" s="14"/>
      <c r="WDA7" s="14"/>
      <c r="WDB7" s="14"/>
      <c r="WDC7" s="14"/>
      <c r="WDD7" s="14"/>
      <c r="WDE7" s="14"/>
      <c r="WDF7" s="14"/>
      <c r="WDG7" s="14"/>
      <c r="WDH7" s="14"/>
      <c r="WDI7" s="14"/>
      <c r="WDJ7" s="14"/>
      <c r="WDK7" s="14"/>
      <c r="WDL7" s="14"/>
      <c r="WDM7" s="14"/>
      <c r="WDN7" s="14"/>
      <c r="WDO7" s="14"/>
      <c r="WDP7" s="14"/>
      <c r="WDQ7" s="14"/>
      <c r="WDR7" s="14"/>
      <c r="WDS7" s="14"/>
      <c r="WDT7" s="14"/>
      <c r="WDU7" s="14"/>
      <c r="WDV7" s="14"/>
      <c r="WDW7" s="14"/>
      <c r="WDX7" s="14"/>
      <c r="WDY7" s="14"/>
      <c r="WDZ7" s="14"/>
      <c r="WEA7" s="14"/>
      <c r="WEB7" s="14"/>
      <c r="WEC7" s="14"/>
      <c r="WED7" s="14"/>
      <c r="WEE7" s="14"/>
      <c r="WEF7" s="14"/>
      <c r="WEG7" s="14"/>
      <c r="WEH7" s="14"/>
      <c r="WEI7" s="14"/>
      <c r="WEJ7" s="14"/>
      <c r="WEK7" s="14"/>
      <c r="WEL7" s="14"/>
      <c r="WEM7" s="14"/>
      <c r="WEN7" s="14"/>
      <c r="WEO7" s="14"/>
      <c r="WEP7" s="14"/>
      <c r="WEQ7" s="14"/>
      <c r="WER7" s="14"/>
      <c r="WES7" s="14"/>
      <c r="WET7" s="14"/>
      <c r="WEU7" s="14"/>
      <c r="WEV7" s="14"/>
      <c r="WEW7" s="14"/>
      <c r="WEX7" s="14"/>
      <c r="WEY7" s="14"/>
      <c r="WEZ7" s="14"/>
      <c r="WFA7" s="14"/>
      <c r="WFB7" s="14"/>
      <c r="WFC7" s="14"/>
      <c r="WFD7" s="14"/>
      <c r="WFE7" s="14"/>
      <c r="WFF7" s="14"/>
      <c r="WFG7" s="14"/>
      <c r="WFH7" s="14"/>
      <c r="WFI7" s="14"/>
      <c r="WFJ7" s="14"/>
      <c r="WFK7" s="14"/>
      <c r="WFL7" s="14"/>
      <c r="WFM7" s="14"/>
      <c r="WFN7" s="14"/>
      <c r="WFO7" s="14"/>
      <c r="WFP7" s="14"/>
      <c r="WFQ7" s="14"/>
      <c r="WFR7" s="14"/>
      <c r="WFS7" s="14"/>
      <c r="WFT7" s="14"/>
      <c r="WFU7" s="14"/>
      <c r="WFV7" s="14"/>
      <c r="WFW7" s="14"/>
      <c r="WFX7" s="14"/>
      <c r="WFY7" s="14"/>
      <c r="WFZ7" s="14"/>
      <c r="WGA7" s="14"/>
      <c r="WGB7" s="14"/>
      <c r="WGC7" s="14"/>
      <c r="WGD7" s="14"/>
      <c r="WGE7" s="14"/>
      <c r="WGF7" s="14"/>
      <c r="WGG7" s="14"/>
      <c r="WGH7" s="14"/>
      <c r="WGI7" s="14"/>
      <c r="WGJ7" s="14"/>
      <c r="WGK7" s="14"/>
      <c r="WGL7" s="14"/>
      <c r="WGM7" s="14"/>
      <c r="WGN7" s="14"/>
      <c r="WGO7" s="14"/>
      <c r="WGP7" s="14"/>
      <c r="WGQ7" s="14"/>
      <c r="WGR7" s="14"/>
      <c r="WGS7" s="14"/>
      <c r="WGT7" s="14"/>
      <c r="WGU7" s="14"/>
      <c r="WGV7" s="14"/>
      <c r="WGW7" s="14"/>
      <c r="WGX7" s="14"/>
      <c r="WGY7" s="14"/>
      <c r="WGZ7" s="14"/>
      <c r="WHA7" s="14"/>
      <c r="WHB7" s="14"/>
      <c r="WHC7" s="14"/>
      <c r="WHD7" s="14"/>
      <c r="WHE7" s="14"/>
      <c r="WHF7" s="14"/>
      <c r="WHG7" s="14"/>
      <c r="WHH7" s="14"/>
      <c r="WHI7" s="14"/>
      <c r="WHJ7" s="14"/>
      <c r="WHK7" s="14"/>
      <c r="WHL7" s="14"/>
      <c r="WHM7" s="14"/>
      <c r="WHN7" s="14"/>
      <c r="WHO7" s="14"/>
      <c r="WHP7" s="14"/>
      <c r="WHQ7" s="14"/>
      <c r="WHR7" s="14"/>
      <c r="WHS7" s="14"/>
      <c r="WHT7" s="14"/>
      <c r="WHU7" s="14"/>
      <c r="WHV7" s="14"/>
      <c r="WHW7" s="14"/>
      <c r="WHX7" s="14"/>
      <c r="WHY7" s="14"/>
      <c r="WHZ7" s="14"/>
      <c r="WIA7" s="14"/>
      <c r="WIB7" s="14"/>
      <c r="WIC7" s="14"/>
      <c r="WID7" s="14"/>
      <c r="WIE7" s="14"/>
      <c r="WIF7" s="14"/>
      <c r="WIG7" s="14"/>
      <c r="WIH7" s="14"/>
      <c r="WII7" s="14"/>
      <c r="WIJ7" s="14"/>
      <c r="WIK7" s="14"/>
      <c r="WIL7" s="14"/>
      <c r="WIM7" s="14"/>
      <c r="WIN7" s="14"/>
      <c r="WIO7" s="14"/>
      <c r="WIP7" s="14"/>
      <c r="WIQ7" s="14"/>
      <c r="WIR7" s="14"/>
      <c r="WIS7" s="14"/>
      <c r="WIT7" s="14"/>
      <c r="WIU7" s="14"/>
      <c r="WIV7" s="14"/>
      <c r="WIW7" s="14"/>
      <c r="WIX7" s="14"/>
      <c r="WIY7" s="14"/>
      <c r="WIZ7" s="14"/>
      <c r="WJA7" s="14"/>
      <c r="WJB7" s="14"/>
      <c r="WJC7" s="14"/>
      <c r="WJD7" s="14"/>
      <c r="WJE7" s="14"/>
      <c r="WJF7" s="14"/>
      <c r="WJG7" s="14"/>
      <c r="WJH7" s="14"/>
      <c r="WJI7" s="14"/>
      <c r="WJJ7" s="14"/>
      <c r="WJK7" s="14"/>
      <c r="WJL7" s="14"/>
      <c r="WJM7" s="14"/>
      <c r="WJN7" s="14"/>
      <c r="WJO7" s="14"/>
      <c r="WJP7" s="14"/>
      <c r="WJQ7" s="14"/>
      <c r="WJR7" s="14"/>
      <c r="WJS7" s="14"/>
      <c r="WJT7" s="14"/>
      <c r="WJU7" s="14"/>
      <c r="WJV7" s="14"/>
      <c r="WJW7" s="14"/>
      <c r="WJX7" s="14"/>
      <c r="WJY7" s="14"/>
      <c r="WJZ7" s="14"/>
      <c r="WKA7" s="14"/>
      <c r="WKB7" s="14"/>
      <c r="WKC7" s="14"/>
      <c r="WKD7" s="14"/>
      <c r="WKE7" s="14"/>
      <c r="WKF7" s="14"/>
      <c r="WKG7" s="14"/>
      <c r="WKH7" s="14"/>
      <c r="WKI7" s="14"/>
      <c r="WKJ7" s="14"/>
      <c r="WKK7" s="14"/>
      <c r="WKL7" s="14"/>
      <c r="WKM7" s="14"/>
      <c r="WKN7" s="14"/>
      <c r="WKO7" s="14"/>
      <c r="WKP7" s="14"/>
      <c r="WKQ7" s="14"/>
      <c r="WKR7" s="14"/>
      <c r="WKS7" s="14"/>
      <c r="WKT7" s="14"/>
      <c r="WKU7" s="14"/>
      <c r="WKV7" s="14"/>
      <c r="WKW7" s="14"/>
      <c r="WKX7" s="14"/>
      <c r="WKY7" s="14"/>
      <c r="WKZ7" s="14"/>
      <c r="WLA7" s="14"/>
      <c r="WLB7" s="14"/>
      <c r="WLC7" s="14"/>
      <c r="WLD7" s="14"/>
      <c r="WLE7" s="14"/>
      <c r="WLF7" s="14"/>
      <c r="WLG7" s="14"/>
      <c r="WLH7" s="14"/>
      <c r="WLI7" s="14"/>
      <c r="WLJ7" s="14"/>
      <c r="WLK7" s="14"/>
      <c r="WLL7" s="14"/>
      <c r="WLM7" s="14"/>
      <c r="WLN7" s="14"/>
      <c r="WLO7" s="14"/>
      <c r="WLP7" s="14"/>
      <c r="WLQ7" s="14"/>
      <c r="WLR7" s="14"/>
      <c r="WLS7" s="14"/>
      <c r="WLT7" s="14"/>
      <c r="WLU7" s="14"/>
      <c r="WLV7" s="14"/>
      <c r="WLW7" s="14"/>
      <c r="WLX7" s="14"/>
      <c r="WLY7" s="14"/>
      <c r="WLZ7" s="14"/>
      <c r="WMA7" s="14"/>
      <c r="WMB7" s="14"/>
      <c r="WMC7" s="14"/>
      <c r="WMD7" s="14"/>
      <c r="WME7" s="14"/>
      <c r="WMF7" s="14"/>
      <c r="WMG7" s="14"/>
      <c r="WMH7" s="14"/>
      <c r="WMI7" s="14"/>
      <c r="WMJ7" s="14"/>
      <c r="WMK7" s="14"/>
      <c r="WML7" s="14"/>
      <c r="WMM7" s="14"/>
      <c r="WMN7" s="14"/>
      <c r="WMO7" s="14"/>
      <c r="WMP7" s="14"/>
      <c r="WMQ7" s="14"/>
      <c r="WMR7" s="14"/>
      <c r="WMS7" s="14"/>
      <c r="WMT7" s="14"/>
      <c r="WMU7" s="14"/>
      <c r="WMV7" s="14"/>
      <c r="WMW7" s="14"/>
      <c r="WMX7" s="14"/>
      <c r="WMY7" s="14"/>
      <c r="WMZ7" s="14"/>
      <c r="WNA7" s="14"/>
      <c r="WNB7" s="14"/>
      <c r="WNC7" s="14"/>
      <c r="WND7" s="14"/>
      <c r="WNE7" s="14"/>
      <c r="WNF7" s="14"/>
      <c r="WNG7" s="14"/>
      <c r="WNH7" s="14"/>
      <c r="WNI7" s="14"/>
      <c r="WNJ7" s="14"/>
      <c r="WNK7" s="14"/>
      <c r="WNL7" s="14"/>
      <c r="WNM7" s="14"/>
      <c r="WNN7" s="14"/>
      <c r="WNO7" s="14"/>
      <c r="WNP7" s="14"/>
      <c r="WNQ7" s="14"/>
      <c r="WNR7" s="14"/>
      <c r="WNS7" s="14"/>
      <c r="WNT7" s="14"/>
      <c r="WNU7" s="14"/>
      <c r="WNV7" s="14"/>
      <c r="WNW7" s="14"/>
      <c r="WNX7" s="14"/>
      <c r="WNY7" s="14"/>
      <c r="WNZ7" s="14"/>
      <c r="WOA7" s="14"/>
      <c r="WOB7" s="14"/>
      <c r="WOC7" s="14"/>
      <c r="WOD7" s="14"/>
      <c r="WOE7" s="14"/>
      <c r="WOF7" s="14"/>
      <c r="WOG7" s="14"/>
      <c r="WOH7" s="14"/>
      <c r="WOI7" s="14"/>
      <c r="WOJ7" s="14"/>
      <c r="WOK7" s="14"/>
      <c r="WOL7" s="14"/>
      <c r="WOM7" s="14"/>
      <c r="WON7" s="14"/>
      <c r="WOO7" s="14"/>
      <c r="WOP7" s="14"/>
      <c r="WOQ7" s="14"/>
      <c r="WOR7" s="14"/>
      <c r="WOS7" s="14"/>
      <c r="WOT7" s="14"/>
      <c r="WOU7" s="14"/>
      <c r="WOV7" s="14"/>
      <c r="WOW7" s="14"/>
      <c r="WOX7" s="14"/>
      <c r="WOY7" s="14"/>
      <c r="WOZ7" s="14"/>
      <c r="WPA7" s="14"/>
      <c r="WPB7" s="14"/>
      <c r="WPC7" s="14"/>
      <c r="WPD7" s="14"/>
      <c r="WPE7" s="14"/>
      <c r="WPF7" s="14"/>
      <c r="WPG7" s="14"/>
      <c r="WPH7" s="14"/>
      <c r="WPI7" s="14"/>
      <c r="WPJ7" s="14"/>
      <c r="WPK7" s="14"/>
      <c r="WPL7" s="14"/>
      <c r="WPM7" s="14"/>
      <c r="WPN7" s="14"/>
      <c r="WPO7" s="14"/>
      <c r="WPP7" s="14"/>
      <c r="WPQ7" s="14"/>
      <c r="WPR7" s="14"/>
      <c r="WPS7" s="14"/>
      <c r="WPT7" s="14"/>
      <c r="WPU7" s="14"/>
      <c r="WPV7" s="14"/>
      <c r="WPW7" s="14"/>
      <c r="WPX7" s="14"/>
      <c r="WPY7" s="14"/>
      <c r="WPZ7" s="14"/>
      <c r="WQA7" s="14"/>
      <c r="WQB7" s="14"/>
      <c r="WQC7" s="14"/>
      <c r="WQD7" s="14"/>
      <c r="WQE7" s="14"/>
      <c r="WQF7" s="14"/>
      <c r="WQG7" s="14"/>
      <c r="WQH7" s="14"/>
      <c r="WQI7" s="14"/>
      <c r="WQJ7" s="14"/>
      <c r="WQK7" s="14"/>
      <c r="WQL7" s="14"/>
      <c r="WQM7" s="14"/>
      <c r="WQN7" s="14"/>
      <c r="WQO7" s="14"/>
      <c r="WQP7" s="14"/>
      <c r="WQQ7" s="14"/>
      <c r="WQR7" s="14"/>
      <c r="WQS7" s="14"/>
      <c r="WQT7" s="14"/>
      <c r="WQU7" s="14"/>
      <c r="WQV7" s="14"/>
      <c r="WQW7" s="14"/>
      <c r="WQX7" s="14"/>
      <c r="WQY7" s="14"/>
      <c r="WQZ7" s="14"/>
      <c r="WRA7" s="14"/>
      <c r="WRB7" s="14"/>
      <c r="WRC7" s="14"/>
      <c r="WRD7" s="14"/>
      <c r="WRE7" s="14"/>
      <c r="WRF7" s="14"/>
      <c r="WRG7" s="14"/>
      <c r="WRH7" s="14"/>
      <c r="WRI7" s="14"/>
      <c r="WRJ7" s="14"/>
      <c r="WRK7" s="14"/>
      <c r="WRL7" s="14"/>
      <c r="WRM7" s="14"/>
      <c r="WRN7" s="14"/>
      <c r="WRO7" s="14"/>
      <c r="WRP7" s="14"/>
      <c r="WRQ7" s="14"/>
      <c r="WRR7" s="14"/>
      <c r="WRS7" s="14"/>
      <c r="WRT7" s="14"/>
      <c r="WRU7" s="14"/>
      <c r="WRV7" s="14"/>
      <c r="WRW7" s="14"/>
      <c r="WRX7" s="14"/>
      <c r="WRY7" s="14"/>
      <c r="WRZ7" s="14"/>
      <c r="WSA7" s="14"/>
      <c r="WSB7" s="14"/>
      <c r="WSC7" s="14"/>
      <c r="WSD7" s="14"/>
      <c r="WSE7" s="14"/>
      <c r="WSF7" s="14"/>
      <c r="WSG7" s="14"/>
      <c r="WSH7" s="14"/>
      <c r="WSI7" s="14"/>
      <c r="WSJ7" s="14"/>
      <c r="WSK7" s="14"/>
      <c r="WSL7" s="14"/>
      <c r="WSM7" s="14"/>
      <c r="WSN7" s="14"/>
      <c r="WSO7" s="14"/>
      <c r="WSP7" s="14"/>
      <c r="WSQ7" s="14"/>
      <c r="WSR7" s="14"/>
      <c r="WSS7" s="14"/>
      <c r="WST7" s="14"/>
      <c r="WSU7" s="14"/>
      <c r="WSV7" s="14"/>
      <c r="WSW7" s="14"/>
      <c r="WSX7" s="14"/>
      <c r="WSY7" s="14"/>
      <c r="WSZ7" s="14"/>
      <c r="WTA7" s="14"/>
      <c r="WTB7" s="14"/>
      <c r="WTC7" s="14"/>
      <c r="WTD7" s="14"/>
      <c r="WTE7" s="14"/>
      <c r="WTF7" s="14"/>
      <c r="WTG7" s="14"/>
      <c r="WTH7" s="14"/>
      <c r="WTI7" s="14"/>
      <c r="WTJ7" s="14"/>
      <c r="WTK7" s="14"/>
      <c r="WTL7" s="14"/>
      <c r="WTM7" s="14"/>
      <c r="WTN7" s="14"/>
      <c r="WTO7" s="14"/>
      <c r="WTP7" s="14"/>
      <c r="WTQ7" s="14"/>
      <c r="WTR7" s="14"/>
      <c r="WTS7" s="14"/>
      <c r="WTT7" s="14"/>
      <c r="WTU7" s="14"/>
      <c r="WTV7" s="14"/>
      <c r="WTW7" s="14"/>
      <c r="WTX7" s="14"/>
      <c r="WTY7" s="14"/>
      <c r="WTZ7" s="14"/>
      <c r="WUA7" s="14"/>
      <c r="WUB7" s="14"/>
      <c r="WUC7" s="14"/>
      <c r="WUD7" s="14"/>
      <c r="WUE7" s="14"/>
      <c r="WUF7" s="14"/>
      <c r="WUG7" s="14"/>
      <c r="WUH7" s="14"/>
      <c r="WUI7" s="14"/>
      <c r="WUJ7" s="14"/>
      <c r="WUK7" s="14"/>
      <c r="WUL7" s="14"/>
      <c r="WUM7" s="14"/>
      <c r="WUN7" s="14"/>
      <c r="WUO7" s="14"/>
      <c r="WUP7" s="14"/>
      <c r="WUQ7" s="14"/>
      <c r="WUR7" s="14"/>
      <c r="WUS7" s="14"/>
      <c r="WUT7" s="14"/>
      <c r="WUU7" s="14"/>
      <c r="WUV7" s="14"/>
      <c r="WUW7" s="14"/>
      <c r="WUX7" s="14"/>
      <c r="WUY7" s="14"/>
      <c r="WUZ7" s="14"/>
      <c r="WVA7" s="14"/>
      <c r="WVB7" s="14"/>
      <c r="WVC7" s="14"/>
      <c r="WVD7" s="14"/>
      <c r="WVE7" s="14"/>
      <c r="WVF7" s="14"/>
      <c r="WVG7" s="14"/>
      <c r="WVH7" s="14"/>
      <c r="WVI7" s="14"/>
      <c r="WVJ7" s="14"/>
      <c r="WVK7" s="14"/>
      <c r="WVL7" s="14"/>
      <c r="WVM7" s="14"/>
      <c r="WVN7" s="14"/>
      <c r="WVO7" s="14"/>
      <c r="WVP7" s="14"/>
      <c r="WVQ7" s="14"/>
      <c r="WVR7" s="14"/>
      <c r="WVS7" s="14"/>
      <c r="WVT7" s="14"/>
      <c r="WVU7" s="14"/>
      <c r="WVV7" s="14"/>
      <c r="WVW7" s="14"/>
      <c r="WVX7" s="14"/>
      <c r="WVY7" s="14"/>
      <c r="WVZ7" s="14"/>
      <c r="WWA7" s="14"/>
      <c r="WWB7" s="14"/>
      <c r="WWC7" s="14"/>
      <c r="WWD7" s="14"/>
      <c r="WWE7" s="14"/>
      <c r="WWF7" s="14"/>
      <c r="WWG7" s="14"/>
      <c r="WWH7" s="14"/>
      <c r="WWI7" s="14"/>
      <c r="WWJ7" s="14"/>
      <c r="WWK7" s="14"/>
      <c r="WWL7" s="14"/>
      <c r="WWM7" s="14"/>
      <c r="WWN7" s="14"/>
      <c r="WWO7" s="14"/>
      <c r="WWP7" s="14"/>
      <c r="WWQ7" s="14"/>
      <c r="WWR7" s="14"/>
      <c r="WWS7" s="14"/>
      <c r="WWT7" s="14"/>
      <c r="WWU7" s="14"/>
      <c r="WWV7" s="14"/>
      <c r="WWW7" s="14"/>
      <c r="WWX7" s="14"/>
      <c r="WWY7" s="14"/>
      <c r="WWZ7" s="14"/>
      <c r="WXA7" s="14"/>
      <c r="WXB7" s="14"/>
      <c r="WXC7" s="14"/>
      <c r="WXD7" s="14"/>
      <c r="WXE7" s="14"/>
      <c r="WXF7" s="14"/>
      <c r="WXG7" s="14"/>
      <c r="WXH7" s="14"/>
      <c r="WXI7" s="14"/>
      <c r="WXJ7" s="14"/>
      <c r="WXK7" s="14"/>
      <c r="WXL7" s="14"/>
      <c r="WXM7" s="14"/>
      <c r="WXN7" s="14"/>
      <c r="WXO7" s="14"/>
      <c r="WXP7" s="14"/>
      <c r="WXQ7" s="14"/>
      <c r="WXR7" s="14"/>
      <c r="WXS7" s="14"/>
      <c r="WXT7" s="14"/>
      <c r="WXU7" s="14"/>
      <c r="WXV7" s="14"/>
      <c r="WXW7" s="14"/>
      <c r="WXX7" s="14"/>
      <c r="WXY7" s="14"/>
      <c r="WXZ7" s="14"/>
      <c r="WYA7" s="14"/>
      <c r="WYB7" s="14"/>
      <c r="WYC7" s="14"/>
      <c r="WYD7" s="14"/>
      <c r="WYE7" s="14"/>
      <c r="WYF7" s="14"/>
      <c r="WYG7" s="14"/>
      <c r="WYH7" s="14"/>
      <c r="WYI7" s="14"/>
      <c r="WYJ7" s="14"/>
      <c r="WYK7" s="14"/>
      <c r="WYL7" s="14"/>
      <c r="WYM7" s="14"/>
      <c r="WYN7" s="14"/>
      <c r="WYO7" s="14"/>
      <c r="WYP7" s="14"/>
      <c r="WYQ7" s="14"/>
      <c r="WYR7" s="14"/>
      <c r="WYS7" s="14"/>
      <c r="WYT7" s="14"/>
      <c r="WYU7" s="14"/>
      <c r="WYV7" s="14"/>
      <c r="WYW7" s="14"/>
      <c r="WYX7" s="14"/>
      <c r="WYY7" s="14"/>
      <c r="WYZ7" s="14"/>
      <c r="WZA7" s="14"/>
      <c r="WZB7" s="14"/>
      <c r="WZC7" s="14"/>
      <c r="WZD7" s="14"/>
      <c r="WZE7" s="14"/>
      <c r="WZF7" s="14"/>
      <c r="WZG7" s="14"/>
      <c r="WZH7" s="14"/>
      <c r="WZI7" s="14"/>
      <c r="WZJ7" s="14"/>
      <c r="WZK7" s="14"/>
      <c r="WZL7" s="14"/>
      <c r="WZM7" s="14"/>
      <c r="WZN7" s="14"/>
      <c r="WZO7" s="14"/>
      <c r="WZP7" s="14"/>
      <c r="WZQ7" s="14"/>
      <c r="WZR7" s="14"/>
      <c r="WZS7" s="14"/>
      <c r="WZT7" s="14"/>
      <c r="WZU7" s="14"/>
      <c r="WZV7" s="14"/>
      <c r="WZW7" s="14"/>
      <c r="WZX7" s="14"/>
      <c r="WZY7" s="14"/>
      <c r="WZZ7" s="14"/>
      <c r="XAA7" s="14"/>
      <c r="XAB7" s="14"/>
      <c r="XAC7" s="14"/>
      <c r="XAD7" s="14"/>
      <c r="XAE7" s="14"/>
      <c r="XAF7" s="14"/>
      <c r="XAG7" s="14"/>
      <c r="XAH7" s="14"/>
      <c r="XAI7" s="14"/>
      <c r="XAJ7" s="14"/>
      <c r="XAK7" s="14"/>
      <c r="XAL7" s="14"/>
      <c r="XAM7" s="14"/>
      <c r="XAN7" s="14"/>
      <c r="XAO7" s="14"/>
      <c r="XAP7" s="14"/>
      <c r="XAQ7" s="14"/>
      <c r="XAR7" s="14"/>
      <c r="XAS7" s="14"/>
      <c r="XAT7" s="14"/>
      <c r="XAU7" s="14"/>
      <c r="XAV7" s="14"/>
      <c r="XAW7" s="14"/>
      <c r="XAX7" s="14"/>
      <c r="XAY7" s="14"/>
      <c r="XAZ7" s="14"/>
      <c r="XBA7" s="14"/>
      <c r="XBB7" s="14"/>
      <c r="XBC7" s="14"/>
      <c r="XBD7" s="14"/>
      <c r="XBE7" s="14"/>
      <c r="XBF7" s="14"/>
      <c r="XBG7" s="14"/>
      <c r="XBH7" s="14"/>
      <c r="XBI7" s="14"/>
      <c r="XBJ7" s="14"/>
      <c r="XBK7" s="14"/>
      <c r="XBL7" s="14"/>
      <c r="XBM7" s="14"/>
      <c r="XBN7" s="14"/>
      <c r="XBO7" s="14"/>
      <c r="XBP7" s="14"/>
      <c r="XBQ7" s="14"/>
      <c r="XBR7" s="14"/>
      <c r="XBS7" s="14"/>
      <c r="XBT7" s="14"/>
      <c r="XBU7" s="14"/>
      <c r="XBV7" s="14"/>
      <c r="XBW7" s="14"/>
      <c r="XBX7" s="14"/>
      <c r="XBY7" s="14"/>
      <c r="XBZ7" s="14"/>
      <c r="XCA7" s="14"/>
      <c r="XCB7" s="14"/>
      <c r="XCC7" s="14"/>
      <c r="XCD7" s="14"/>
      <c r="XCE7" s="14"/>
      <c r="XCF7" s="14"/>
      <c r="XCG7" s="14"/>
      <c r="XCH7" s="14"/>
      <c r="XCI7" s="14"/>
      <c r="XCJ7" s="14"/>
      <c r="XCK7" s="14"/>
      <c r="XCL7" s="14"/>
      <c r="XCM7" s="14"/>
      <c r="XCN7" s="14"/>
      <c r="XCO7" s="14"/>
      <c r="XCP7" s="14"/>
      <c r="XCQ7" s="14"/>
      <c r="XCR7" s="14"/>
      <c r="XCS7" s="14"/>
      <c r="XCT7" s="14"/>
      <c r="XCU7" s="14"/>
      <c r="XCV7" s="14"/>
      <c r="XCW7" s="14"/>
      <c r="XCX7" s="14"/>
      <c r="XCY7" s="14"/>
      <c r="XCZ7" s="14"/>
      <c r="XDA7" s="14"/>
      <c r="XDB7" s="14"/>
      <c r="XDC7" s="14"/>
      <c r="XDD7" s="14"/>
      <c r="XDE7" s="14"/>
      <c r="XDF7" s="14"/>
      <c r="XDG7" s="14"/>
      <c r="XDH7" s="14"/>
      <c r="XDI7" s="14"/>
      <c r="XDJ7" s="14"/>
      <c r="XDK7" s="14"/>
      <c r="XDL7" s="14"/>
      <c r="XDM7" s="14"/>
      <c r="XDN7" s="14"/>
      <c r="XDO7" s="14"/>
      <c r="XDP7" s="14"/>
      <c r="XDQ7" s="14"/>
      <c r="XDR7" s="14"/>
      <c r="XDS7" s="14"/>
      <c r="XDT7" s="14"/>
      <c r="XDU7" s="14"/>
      <c r="XDV7" s="14"/>
      <c r="XDW7" s="14"/>
      <c r="XDX7" s="14"/>
      <c r="XDY7" s="14"/>
      <c r="XDZ7" s="14"/>
      <c r="XEA7" s="14"/>
      <c r="XEB7" s="14"/>
      <c r="XEC7" s="14"/>
      <c r="XED7" s="14"/>
      <c r="XEE7" s="14"/>
      <c r="XEF7" s="14"/>
      <c r="XEG7" s="14"/>
      <c r="XEH7" s="14"/>
      <c r="XEI7" s="14"/>
      <c r="XEJ7" s="14"/>
      <c r="XEK7" s="14"/>
      <c r="XEL7" s="14"/>
    </row>
    <row r="8" spans="1:16366" x14ac:dyDescent="0.25">
      <c r="C8" s="3" t="s">
        <v>96</v>
      </c>
      <c r="D8" s="14">
        <f>SUM(D6:D7)</f>
        <v>697.73299999999995</v>
      </c>
      <c r="E8" s="14">
        <f t="shared" ref="E8:X8" si="6">SUM(E6:E7)</f>
        <v>780.23299999999995</v>
      </c>
      <c r="F8" s="14">
        <f t="shared" si="6"/>
        <v>834.71499999999992</v>
      </c>
      <c r="G8" s="14">
        <f t="shared" si="6"/>
        <v>893.83500000000004</v>
      </c>
      <c r="H8" s="14">
        <f t="shared" si="6"/>
        <v>1418.5139999999999</v>
      </c>
      <c r="I8" s="14">
        <f t="shared" si="6"/>
        <v>1883.2449999999997</v>
      </c>
      <c r="J8" s="14">
        <f t="shared" si="6"/>
        <v>1947.59</v>
      </c>
      <c r="K8" s="14">
        <f t="shared" si="6"/>
        <v>1852</v>
      </c>
      <c r="L8" s="14">
        <f t="shared" si="6"/>
        <v>2103</v>
      </c>
      <c r="M8" s="14">
        <f t="shared" si="6"/>
        <v>2347</v>
      </c>
      <c r="N8" s="14">
        <f t="shared" si="6"/>
        <v>2428</v>
      </c>
      <c r="O8" s="15">
        <f t="shared" si="6"/>
        <v>2445.2799999999997</v>
      </c>
      <c r="P8" s="14">
        <f t="shared" si="6"/>
        <v>2445.2799999999997</v>
      </c>
      <c r="Q8" s="14">
        <f t="shared" si="6"/>
        <v>2445.2799999999997</v>
      </c>
      <c r="R8" s="14">
        <f t="shared" si="6"/>
        <v>2445.2799999999997</v>
      </c>
      <c r="S8" s="14">
        <f t="shared" si="6"/>
        <v>2445.2799999999997</v>
      </c>
      <c r="T8" s="14">
        <f t="shared" si="6"/>
        <v>2445.2799999999997</v>
      </c>
      <c r="U8" s="14">
        <f t="shared" si="6"/>
        <v>2445.2799999999997</v>
      </c>
      <c r="V8" s="14">
        <f t="shared" si="6"/>
        <v>2445.2799999999997</v>
      </c>
      <c r="W8" s="14">
        <f t="shared" si="6"/>
        <v>2445.2799999999997</v>
      </c>
      <c r="X8" s="14">
        <f t="shared" si="6"/>
        <v>2445.2799999999997</v>
      </c>
    </row>
    <row r="9" spans="1:16366" x14ac:dyDescent="0.25">
      <c r="C9" s="3" t="s">
        <v>24</v>
      </c>
      <c r="D9" s="14">
        <v>-271.34199999999998</v>
      </c>
      <c r="E9" s="14">
        <v>-289.54700000000003</v>
      </c>
      <c r="F9" s="14">
        <v>-306.471</v>
      </c>
      <c r="G9" s="14">
        <v>-310.89800000000002</v>
      </c>
      <c r="H9" s="14">
        <v>-503.49400000000003</v>
      </c>
      <c r="I9" s="14">
        <v>-607.11900000000003</v>
      </c>
      <c r="J9" s="14">
        <v>-617.29999999999995</v>
      </c>
      <c r="K9" s="14">
        <v>-630</v>
      </c>
      <c r="L9" s="14">
        <v>-705</v>
      </c>
      <c r="M9" s="14">
        <v>-783</v>
      </c>
      <c r="N9" s="14">
        <v>-792</v>
      </c>
      <c r="O9" s="15">
        <f>N9*0.98</f>
        <v>-776.16</v>
      </c>
      <c r="P9" s="14">
        <f t="shared" ref="P9:X9" si="7">O9*1</f>
        <v>-776.16</v>
      </c>
      <c r="Q9" s="14">
        <f t="shared" si="7"/>
        <v>-776.16</v>
      </c>
      <c r="R9" s="14">
        <f t="shared" si="7"/>
        <v>-776.16</v>
      </c>
      <c r="S9" s="14">
        <f t="shared" si="7"/>
        <v>-776.16</v>
      </c>
      <c r="T9" s="14">
        <f t="shared" si="7"/>
        <v>-776.16</v>
      </c>
      <c r="U9" s="14">
        <f t="shared" si="7"/>
        <v>-776.16</v>
      </c>
      <c r="V9" s="14">
        <f t="shared" si="7"/>
        <v>-776.16</v>
      </c>
      <c r="W9" s="14">
        <f t="shared" si="7"/>
        <v>-776.16</v>
      </c>
      <c r="X9" s="14">
        <f t="shared" si="7"/>
        <v>-776.16</v>
      </c>
    </row>
    <row r="10" spans="1:16366" x14ac:dyDescent="0.25">
      <c r="C10" s="3" t="s">
        <v>25</v>
      </c>
      <c r="D10" s="14">
        <v>-24.446999999999999</v>
      </c>
      <c r="E10" s="14">
        <v>-28.952999999999999</v>
      </c>
      <c r="F10" s="14">
        <v>-34.838999999999999</v>
      </c>
      <c r="G10" s="14">
        <v>-37</v>
      </c>
      <c r="H10" s="14">
        <v>-264.97399999999999</v>
      </c>
      <c r="I10" s="14">
        <v>-340.84</v>
      </c>
      <c r="J10" s="14">
        <v>-336.37599999999998</v>
      </c>
      <c r="K10" s="14">
        <v>-348</v>
      </c>
      <c r="L10" s="14">
        <v>-404</v>
      </c>
      <c r="M10" s="14">
        <v>-472</v>
      </c>
      <c r="N10" s="14">
        <v>-555</v>
      </c>
      <c r="O10" s="15">
        <f t="shared" ref="O10:O11" si="8">N10*0.98</f>
        <v>-543.9</v>
      </c>
      <c r="P10" s="14">
        <f t="shared" ref="P10:X11" si="9">O10*1</f>
        <v>-543.9</v>
      </c>
      <c r="Q10" s="14">
        <f t="shared" si="9"/>
        <v>-543.9</v>
      </c>
      <c r="R10" s="14">
        <f t="shared" si="9"/>
        <v>-543.9</v>
      </c>
      <c r="S10" s="14">
        <f t="shared" si="9"/>
        <v>-543.9</v>
      </c>
      <c r="T10" s="14">
        <f t="shared" si="9"/>
        <v>-543.9</v>
      </c>
      <c r="U10" s="14">
        <f t="shared" si="9"/>
        <v>-543.9</v>
      </c>
      <c r="V10" s="14">
        <f t="shared" si="9"/>
        <v>-543.9</v>
      </c>
      <c r="W10" s="14">
        <f t="shared" si="9"/>
        <v>-543.9</v>
      </c>
      <c r="X10" s="14">
        <f t="shared" si="9"/>
        <v>-543.9</v>
      </c>
    </row>
    <row r="11" spans="1:16366" x14ac:dyDescent="0.25">
      <c r="C11" s="3" t="s">
        <v>26</v>
      </c>
      <c r="D11" s="14">
        <v>-282.69</v>
      </c>
      <c r="E11" s="14">
        <v>-289.62700000000001</v>
      </c>
      <c r="F11" s="14">
        <v>-313.71600000000001</v>
      </c>
      <c r="G11" s="14">
        <v>-332.73</v>
      </c>
      <c r="H11" s="14">
        <v>-348.15300000000002</v>
      </c>
      <c r="I11" s="14">
        <v>-452.65</v>
      </c>
      <c r="J11" s="14">
        <v>-452.73</v>
      </c>
      <c r="K11" s="14">
        <v>-504</v>
      </c>
      <c r="L11" s="14">
        <v>-514</v>
      </c>
      <c r="M11" s="14">
        <v>-537</v>
      </c>
      <c r="N11" s="14">
        <v>-689</v>
      </c>
      <c r="O11" s="15">
        <f t="shared" si="8"/>
        <v>-675.22</v>
      </c>
      <c r="P11" s="14">
        <f t="shared" si="9"/>
        <v>-675.22</v>
      </c>
      <c r="Q11" s="14">
        <f t="shared" si="9"/>
        <v>-675.22</v>
      </c>
      <c r="R11" s="14">
        <f t="shared" si="9"/>
        <v>-675.22</v>
      </c>
      <c r="S11" s="14">
        <f t="shared" si="9"/>
        <v>-675.22</v>
      </c>
      <c r="T11" s="14">
        <f t="shared" si="9"/>
        <v>-675.22</v>
      </c>
      <c r="U11" s="14">
        <f t="shared" si="9"/>
        <v>-675.22</v>
      </c>
      <c r="V11" s="14">
        <f t="shared" si="9"/>
        <v>-675.22</v>
      </c>
      <c r="W11" s="14">
        <f t="shared" si="9"/>
        <v>-675.22</v>
      </c>
      <c r="X11" s="14">
        <f t="shared" si="9"/>
        <v>-675.22</v>
      </c>
    </row>
    <row r="12" spans="1:16366" x14ac:dyDescent="0.25">
      <c r="C12" s="1" t="s">
        <v>27</v>
      </c>
      <c r="D12" s="18">
        <f>SUM(D8:D11)</f>
        <v>119.25399999999996</v>
      </c>
      <c r="E12" s="18">
        <f t="shared" ref="E12:X12" si="10">SUM(E8:E11)</f>
        <v>172.10599999999994</v>
      </c>
      <c r="F12" s="18">
        <f t="shared" si="10"/>
        <v>179.68899999999991</v>
      </c>
      <c r="G12" s="18">
        <f t="shared" si="10"/>
        <v>213.20699999999999</v>
      </c>
      <c r="H12" s="18">
        <f t="shared" si="10"/>
        <v>301.8929999999998</v>
      </c>
      <c r="I12" s="18">
        <f t="shared" si="10"/>
        <v>482.63599999999985</v>
      </c>
      <c r="J12" s="18">
        <f t="shared" si="10"/>
        <v>541.18399999999997</v>
      </c>
      <c r="K12" s="18">
        <f t="shared" si="10"/>
        <v>370</v>
      </c>
      <c r="L12" s="18">
        <f t="shared" si="10"/>
        <v>480</v>
      </c>
      <c r="M12" s="18">
        <f t="shared" si="10"/>
        <v>555</v>
      </c>
      <c r="N12" s="18">
        <f t="shared" si="10"/>
        <v>392</v>
      </c>
      <c r="O12" s="16">
        <f t="shared" si="10"/>
        <v>449.99999999999977</v>
      </c>
      <c r="P12" s="18">
        <f t="shared" si="10"/>
        <v>449.99999999999977</v>
      </c>
      <c r="Q12" s="18">
        <f t="shared" si="10"/>
        <v>449.99999999999977</v>
      </c>
      <c r="R12" s="18">
        <f t="shared" si="10"/>
        <v>449.99999999999977</v>
      </c>
      <c r="S12" s="18">
        <f t="shared" si="10"/>
        <v>449.99999999999977</v>
      </c>
      <c r="T12" s="18">
        <f t="shared" si="10"/>
        <v>449.99999999999977</v>
      </c>
      <c r="U12" s="18">
        <f t="shared" si="10"/>
        <v>449.99999999999977</v>
      </c>
      <c r="V12" s="18">
        <f t="shared" si="10"/>
        <v>449.99999999999977</v>
      </c>
      <c r="W12" s="18">
        <f t="shared" si="10"/>
        <v>449.99999999999977</v>
      </c>
      <c r="X12" s="18">
        <f t="shared" si="10"/>
        <v>449.99999999999977</v>
      </c>
    </row>
    <row r="13" spans="1:16366" x14ac:dyDescent="0.25">
      <c r="C13" s="3" t="s">
        <v>28</v>
      </c>
      <c r="D13" s="14">
        <v>-20.2</v>
      </c>
      <c r="E13" s="14">
        <v>-12.6</v>
      </c>
      <c r="F13" s="14">
        <v>-12.6</v>
      </c>
      <c r="G13" s="14">
        <v>-12.7</v>
      </c>
      <c r="H13" s="14">
        <v>-40.942999999999998</v>
      </c>
      <c r="I13" s="14">
        <v>-28.434999999999999</v>
      </c>
      <c r="J13" s="14">
        <v>-56</v>
      </c>
      <c r="K13" s="14">
        <v>-48</v>
      </c>
      <c r="L13" s="14">
        <v>-77</v>
      </c>
      <c r="M13" s="14">
        <v>-90</v>
      </c>
      <c r="N13" s="14">
        <v>-81</v>
      </c>
      <c r="O13" s="15">
        <f>N13*1.05</f>
        <v>-85.05</v>
      </c>
      <c r="P13" s="14">
        <f t="shared" ref="P13:X13" si="11">O13*1.05</f>
        <v>-89.302499999999995</v>
      </c>
      <c r="Q13" s="14">
        <f t="shared" si="11"/>
        <v>-93.767624999999995</v>
      </c>
      <c r="R13" s="14">
        <f t="shared" si="11"/>
        <v>-98.456006250000002</v>
      </c>
      <c r="S13" s="14">
        <f t="shared" si="11"/>
        <v>-103.3788065625</v>
      </c>
      <c r="T13" s="14">
        <f t="shared" si="11"/>
        <v>-108.54774689062501</v>
      </c>
      <c r="U13" s="14">
        <f t="shared" si="11"/>
        <v>-113.97513423515626</v>
      </c>
      <c r="V13" s="14">
        <f t="shared" si="11"/>
        <v>-119.67389094691409</v>
      </c>
      <c r="W13" s="14">
        <f t="shared" si="11"/>
        <v>-125.65758549425979</v>
      </c>
      <c r="X13" s="14">
        <f t="shared" si="11"/>
        <v>-131.94046476897279</v>
      </c>
      <c r="Y13" s="14"/>
      <c r="Z13" s="14"/>
    </row>
    <row r="14" spans="1:16366" x14ac:dyDescent="0.25">
      <c r="C14" s="3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-3</v>
      </c>
      <c r="L14" s="14">
        <v>-1</v>
      </c>
      <c r="M14" s="14">
        <v>33</v>
      </c>
      <c r="N14" s="14">
        <v>-25</v>
      </c>
      <c r="O14" s="15">
        <v>-2.5</v>
      </c>
      <c r="P14" s="14">
        <v>-2.5</v>
      </c>
      <c r="Q14" s="14">
        <v>-2.5</v>
      </c>
      <c r="R14" s="14">
        <v>-2.5</v>
      </c>
      <c r="S14" s="14">
        <v>-2.5</v>
      </c>
      <c r="T14" s="14">
        <v>-2.5</v>
      </c>
      <c r="U14" s="14">
        <v>-2.5</v>
      </c>
      <c r="V14" s="14">
        <v>-2.5</v>
      </c>
      <c r="W14" s="14">
        <v>-2.5</v>
      </c>
      <c r="X14" s="14">
        <v>-2.5</v>
      </c>
      <c r="Y14" s="14"/>
      <c r="Z14" s="14"/>
    </row>
    <row r="15" spans="1:16366" x14ac:dyDescent="0.25">
      <c r="C15" s="3" t="s">
        <v>30</v>
      </c>
      <c r="D15" s="14">
        <f t="shared" ref="D15:X15" si="12">SUM(D12:D14)</f>
        <v>99.053999999999959</v>
      </c>
      <c r="E15" s="14">
        <f t="shared" si="12"/>
        <v>159.50599999999994</v>
      </c>
      <c r="F15" s="14">
        <f t="shared" si="12"/>
        <v>167.08899999999991</v>
      </c>
      <c r="G15" s="14">
        <f t="shared" si="12"/>
        <v>200.50700000000001</v>
      </c>
      <c r="H15" s="14">
        <f t="shared" si="12"/>
        <v>260.94999999999982</v>
      </c>
      <c r="I15" s="14">
        <f t="shared" si="12"/>
        <v>454.20099999999985</v>
      </c>
      <c r="J15" s="14">
        <f t="shared" si="12"/>
        <v>485.18399999999997</v>
      </c>
      <c r="K15" s="14">
        <f t="shared" si="12"/>
        <v>319</v>
      </c>
      <c r="L15" s="14">
        <f t="shared" si="12"/>
        <v>402</v>
      </c>
      <c r="M15" s="14">
        <f t="shared" si="12"/>
        <v>498</v>
      </c>
      <c r="N15" s="14">
        <f t="shared" si="12"/>
        <v>286</v>
      </c>
      <c r="O15" s="15">
        <f t="shared" si="12"/>
        <v>362.44999999999976</v>
      </c>
      <c r="P15" s="14">
        <f t="shared" si="12"/>
        <v>358.19749999999976</v>
      </c>
      <c r="Q15" s="14">
        <f t="shared" si="12"/>
        <v>353.73237499999976</v>
      </c>
      <c r="R15" s="14">
        <f t="shared" si="12"/>
        <v>349.0439937499998</v>
      </c>
      <c r="S15" s="14">
        <f t="shared" si="12"/>
        <v>344.12119343749976</v>
      </c>
      <c r="T15" s="14">
        <f t="shared" si="12"/>
        <v>338.95225310937474</v>
      </c>
      <c r="U15" s="14">
        <f t="shared" si="12"/>
        <v>333.52486576484353</v>
      </c>
      <c r="V15" s="14">
        <f t="shared" si="12"/>
        <v>327.8261090530857</v>
      </c>
      <c r="W15" s="14">
        <f t="shared" si="12"/>
        <v>321.84241450573995</v>
      </c>
      <c r="X15" s="14">
        <f t="shared" si="12"/>
        <v>315.55953523102698</v>
      </c>
      <c r="Y15" s="14"/>
      <c r="Z15" s="14"/>
    </row>
    <row r="16" spans="1:16366" x14ac:dyDescent="0.25">
      <c r="C16" s="3" t="s">
        <v>31</v>
      </c>
      <c r="D16" s="14">
        <v>2.2999999999999998</v>
      </c>
      <c r="E16" s="14">
        <v>-25.4</v>
      </c>
      <c r="F16" s="14">
        <v>-25.7</v>
      </c>
      <c r="G16" s="14">
        <v>-31.6</v>
      </c>
      <c r="H16" s="14">
        <v>-53</v>
      </c>
      <c r="I16" s="14">
        <v>-98.195999999999998</v>
      </c>
      <c r="J16" s="14">
        <v>-100.741</v>
      </c>
      <c r="K16" s="14">
        <v>-70</v>
      </c>
      <c r="L16" s="14">
        <v>-89</v>
      </c>
      <c r="M16" s="14">
        <v>-100</v>
      </c>
      <c r="N16" s="14">
        <v>-59</v>
      </c>
      <c r="O16" s="15">
        <f t="shared" ref="O16:X16" si="13">O15*-0.22</f>
        <v>-79.738999999999947</v>
      </c>
      <c r="P16" s="14">
        <f t="shared" si="13"/>
        <v>-78.803449999999955</v>
      </c>
      <c r="Q16" s="14">
        <f t="shared" si="13"/>
        <v>-77.821122499999944</v>
      </c>
      <c r="R16" s="14">
        <f t="shared" si="13"/>
        <v>-76.789678624999951</v>
      </c>
      <c r="S16" s="14">
        <f t="shared" si="13"/>
        <v>-75.706662556249952</v>
      </c>
      <c r="T16" s="14">
        <f t="shared" si="13"/>
        <v>-74.569495684062446</v>
      </c>
      <c r="U16" s="14">
        <f t="shared" si="13"/>
        <v>-73.375470468265576</v>
      </c>
      <c r="V16" s="14">
        <f t="shared" si="13"/>
        <v>-72.121743991678855</v>
      </c>
      <c r="W16" s="14">
        <f t="shared" si="13"/>
        <v>-70.805331191262795</v>
      </c>
      <c r="X16" s="14">
        <f t="shared" si="13"/>
        <v>-69.423097750825931</v>
      </c>
    </row>
    <row r="17" spans="2:16366" x14ac:dyDescent="0.25">
      <c r="C17" s="1" t="s">
        <v>32</v>
      </c>
      <c r="D17" s="18">
        <f t="shared" ref="D17:X17" si="14">SUM(D15:D16)</f>
        <v>101.35399999999996</v>
      </c>
      <c r="E17" s="18">
        <f t="shared" si="14"/>
        <v>134.10599999999994</v>
      </c>
      <c r="F17" s="18">
        <f t="shared" si="14"/>
        <v>141.38899999999992</v>
      </c>
      <c r="G17" s="18">
        <f t="shared" si="14"/>
        <v>168.90700000000001</v>
      </c>
      <c r="H17" s="18">
        <f t="shared" si="14"/>
        <v>207.94999999999982</v>
      </c>
      <c r="I17" s="18">
        <f t="shared" si="14"/>
        <v>356.00499999999988</v>
      </c>
      <c r="J17" s="18">
        <f t="shared" si="14"/>
        <v>384.44299999999998</v>
      </c>
      <c r="K17" s="18">
        <f t="shared" si="14"/>
        <v>249</v>
      </c>
      <c r="L17" s="18">
        <f t="shared" si="14"/>
        <v>313</v>
      </c>
      <c r="M17" s="18">
        <f t="shared" si="14"/>
        <v>398</v>
      </c>
      <c r="N17" s="18">
        <f t="shared" si="14"/>
        <v>227</v>
      </c>
      <c r="O17" s="16">
        <f t="shared" si="14"/>
        <v>282.71099999999979</v>
      </c>
      <c r="P17" s="18">
        <f t="shared" si="14"/>
        <v>279.39404999999982</v>
      </c>
      <c r="Q17" s="18">
        <f t="shared" si="14"/>
        <v>275.91125249999982</v>
      </c>
      <c r="R17" s="18">
        <f t="shared" si="14"/>
        <v>272.25431512499983</v>
      </c>
      <c r="S17" s="18">
        <f t="shared" si="14"/>
        <v>268.41453088124979</v>
      </c>
      <c r="T17" s="18">
        <f t="shared" si="14"/>
        <v>264.38275742531232</v>
      </c>
      <c r="U17" s="18">
        <f t="shared" si="14"/>
        <v>260.14939529657795</v>
      </c>
      <c r="V17" s="18">
        <f t="shared" si="14"/>
        <v>255.70436506140686</v>
      </c>
      <c r="W17" s="18">
        <f t="shared" si="14"/>
        <v>251.03708331447717</v>
      </c>
      <c r="X17" s="18">
        <f t="shared" si="14"/>
        <v>246.13643748020104</v>
      </c>
      <c r="Y17" s="18">
        <f>X17*(1+$AA$21)</f>
        <v>248.59780185500304</v>
      </c>
      <c r="Z17" s="18">
        <f t="shared" ref="Z17:CK17" si="15">Y17*(1+$AA$21)</f>
        <v>251.08377987355308</v>
      </c>
      <c r="AA17" s="18">
        <f t="shared" si="15"/>
        <v>253.59461767228862</v>
      </c>
      <c r="AB17" s="18">
        <f t="shared" si="15"/>
        <v>256.13056384901154</v>
      </c>
      <c r="AC17" s="18">
        <f t="shared" si="15"/>
        <v>258.69186948750166</v>
      </c>
      <c r="AD17" s="18">
        <f t="shared" si="15"/>
        <v>261.27878818237667</v>
      </c>
      <c r="AE17" s="18">
        <f t="shared" si="15"/>
        <v>263.89157606420042</v>
      </c>
      <c r="AF17" s="18">
        <f t="shared" si="15"/>
        <v>266.53049182484244</v>
      </c>
      <c r="AG17" s="18">
        <f t="shared" si="15"/>
        <v>269.19579674309085</v>
      </c>
      <c r="AH17" s="18">
        <f t="shared" si="15"/>
        <v>271.88775471052179</v>
      </c>
      <c r="AI17" s="18">
        <f t="shared" si="15"/>
        <v>274.60663225762698</v>
      </c>
      <c r="AJ17" s="18">
        <f t="shared" si="15"/>
        <v>277.35269858020325</v>
      </c>
      <c r="AK17" s="18">
        <f t="shared" si="15"/>
        <v>280.1262255660053</v>
      </c>
      <c r="AL17" s="18">
        <f t="shared" si="15"/>
        <v>282.92748782166535</v>
      </c>
      <c r="AM17" s="18">
        <f t="shared" si="15"/>
        <v>285.75676269988202</v>
      </c>
      <c r="AN17" s="18">
        <f t="shared" si="15"/>
        <v>288.61433032688086</v>
      </c>
      <c r="AO17" s="18">
        <f t="shared" si="15"/>
        <v>291.50047363014966</v>
      </c>
      <c r="AP17" s="18">
        <f t="shared" si="15"/>
        <v>294.41547836645117</v>
      </c>
      <c r="AQ17" s="18">
        <f t="shared" si="15"/>
        <v>297.35963315011566</v>
      </c>
      <c r="AR17" s="18">
        <f t="shared" si="15"/>
        <v>300.3332294816168</v>
      </c>
      <c r="AS17" s="18">
        <f t="shared" si="15"/>
        <v>303.33656177643297</v>
      </c>
      <c r="AT17" s="18">
        <f t="shared" si="15"/>
        <v>306.3699273941973</v>
      </c>
      <c r="AU17" s="18">
        <f t="shared" si="15"/>
        <v>309.43362666813925</v>
      </c>
      <c r="AV17" s="18">
        <f t="shared" si="15"/>
        <v>312.52796293482066</v>
      </c>
      <c r="AW17" s="18">
        <f t="shared" si="15"/>
        <v>315.65324256416886</v>
      </c>
      <c r="AX17" s="18">
        <f t="shared" si="15"/>
        <v>318.80977498981053</v>
      </c>
      <c r="AY17" s="18">
        <f t="shared" si="15"/>
        <v>321.99787273970867</v>
      </c>
      <c r="AZ17" s="18">
        <f t="shared" si="15"/>
        <v>325.21785146710573</v>
      </c>
      <c r="BA17" s="18">
        <f t="shared" si="15"/>
        <v>328.4700299817768</v>
      </c>
      <c r="BB17" s="18">
        <f t="shared" si="15"/>
        <v>331.75473028159456</v>
      </c>
      <c r="BC17" s="18">
        <f t="shared" si="15"/>
        <v>335.07227758441053</v>
      </c>
      <c r="BD17" s="18">
        <f t="shared" si="15"/>
        <v>338.42300036025466</v>
      </c>
      <c r="BE17" s="18">
        <f t="shared" si="15"/>
        <v>341.80723036385723</v>
      </c>
      <c r="BF17" s="18">
        <f t="shared" si="15"/>
        <v>345.22530266749578</v>
      </c>
      <c r="BG17" s="18">
        <f t="shared" si="15"/>
        <v>348.67755569417074</v>
      </c>
      <c r="BH17" s="18">
        <f t="shared" si="15"/>
        <v>352.16433125111246</v>
      </c>
      <c r="BI17" s="18">
        <f t="shared" si="15"/>
        <v>355.68597456362357</v>
      </c>
      <c r="BJ17" s="18">
        <f t="shared" si="15"/>
        <v>359.24283430925982</v>
      </c>
      <c r="BK17" s="18">
        <f t="shared" si="15"/>
        <v>362.83526265235241</v>
      </c>
      <c r="BL17" s="18">
        <f t="shared" si="15"/>
        <v>366.46361527887592</v>
      </c>
      <c r="BM17" s="18">
        <f t="shared" si="15"/>
        <v>370.12825143166469</v>
      </c>
      <c r="BN17" s="18">
        <f t="shared" si="15"/>
        <v>373.82953394598132</v>
      </c>
      <c r="BO17" s="18">
        <f t="shared" si="15"/>
        <v>377.56782928544112</v>
      </c>
      <c r="BP17" s="18">
        <f t="shared" si="15"/>
        <v>381.34350757829554</v>
      </c>
      <c r="BQ17" s="18">
        <f t="shared" si="15"/>
        <v>385.15694265407848</v>
      </c>
      <c r="BR17" s="18">
        <f t="shared" si="15"/>
        <v>389.00851208061925</v>
      </c>
      <c r="BS17" s="18">
        <f t="shared" si="15"/>
        <v>392.89859720142545</v>
      </c>
      <c r="BT17" s="18">
        <f t="shared" si="15"/>
        <v>396.82758317343968</v>
      </c>
      <c r="BU17" s="18">
        <f t="shared" si="15"/>
        <v>400.79585900517407</v>
      </c>
      <c r="BV17" s="18">
        <f t="shared" si="15"/>
        <v>404.80381759522584</v>
      </c>
      <c r="BW17" s="18">
        <f t="shared" si="15"/>
        <v>408.85185577117812</v>
      </c>
      <c r="BX17" s="18">
        <f t="shared" si="15"/>
        <v>412.9403743288899</v>
      </c>
      <c r="BY17" s="18">
        <f t="shared" si="15"/>
        <v>417.06977807217879</v>
      </c>
      <c r="BZ17" s="18">
        <f t="shared" si="15"/>
        <v>421.2404758529006</v>
      </c>
      <c r="CA17" s="18">
        <f t="shared" si="15"/>
        <v>425.45288061142963</v>
      </c>
      <c r="CB17" s="18">
        <f t="shared" si="15"/>
        <v>429.70740941754394</v>
      </c>
      <c r="CC17" s="18">
        <f t="shared" si="15"/>
        <v>434.0044835117194</v>
      </c>
      <c r="CD17" s="18">
        <f t="shared" si="15"/>
        <v>438.34452834683663</v>
      </c>
      <c r="CE17" s="18">
        <f t="shared" si="15"/>
        <v>442.72797363030497</v>
      </c>
      <c r="CF17" s="18">
        <f t="shared" si="15"/>
        <v>447.15525336660801</v>
      </c>
      <c r="CG17" s="18">
        <f t="shared" si="15"/>
        <v>451.62680590027406</v>
      </c>
      <c r="CH17" s="18">
        <f t="shared" si="15"/>
        <v>456.14307395927682</v>
      </c>
      <c r="CI17" s="18">
        <f t="shared" si="15"/>
        <v>460.70450469886958</v>
      </c>
      <c r="CJ17" s="18">
        <f t="shared" si="15"/>
        <v>465.31154974585826</v>
      </c>
      <c r="CK17" s="18">
        <f t="shared" si="15"/>
        <v>469.96466524331686</v>
      </c>
      <c r="CL17" s="18">
        <f t="shared" ref="CL17:EU17" si="16">CK17*(1+$AA$21)</f>
        <v>474.66431189575002</v>
      </c>
      <c r="CM17" s="18">
        <f t="shared" si="16"/>
        <v>479.4109550147075</v>
      </c>
      <c r="CN17" s="18">
        <f t="shared" si="16"/>
        <v>484.20506456485458</v>
      </c>
      <c r="CO17" s="18">
        <f t="shared" si="16"/>
        <v>489.04711521050314</v>
      </c>
      <c r="CP17" s="18">
        <f t="shared" si="16"/>
        <v>493.93758636260816</v>
      </c>
      <c r="CQ17" s="18">
        <f t="shared" si="16"/>
        <v>498.87696222623424</v>
      </c>
      <c r="CR17" s="18">
        <f t="shared" si="16"/>
        <v>503.86573184849658</v>
      </c>
      <c r="CS17" s="18">
        <f t="shared" si="16"/>
        <v>508.90438916698156</v>
      </c>
      <c r="CT17" s="18">
        <f t="shared" si="16"/>
        <v>513.99343305865136</v>
      </c>
      <c r="CU17" s="18">
        <f t="shared" si="16"/>
        <v>519.13336738923783</v>
      </c>
      <c r="CV17" s="18">
        <f t="shared" si="16"/>
        <v>524.32470106313019</v>
      </c>
      <c r="CW17" s="18">
        <f t="shared" si="16"/>
        <v>529.5679480737615</v>
      </c>
      <c r="CX17" s="18">
        <f t="shared" si="16"/>
        <v>534.86362755449909</v>
      </c>
      <c r="CY17" s="18">
        <f t="shared" si="16"/>
        <v>540.21226383004409</v>
      </c>
      <c r="CZ17" s="18">
        <f t="shared" si="16"/>
        <v>545.61438646834449</v>
      </c>
      <c r="DA17" s="18">
        <f t="shared" si="16"/>
        <v>551.07053033302793</v>
      </c>
      <c r="DB17" s="18">
        <f t="shared" si="16"/>
        <v>556.5812356363582</v>
      </c>
      <c r="DC17" s="18">
        <f t="shared" si="16"/>
        <v>562.14704799272181</v>
      </c>
      <c r="DD17" s="18">
        <f t="shared" si="16"/>
        <v>567.76851847264902</v>
      </c>
      <c r="DE17" s="18">
        <f t="shared" si="16"/>
        <v>573.44620365737546</v>
      </c>
      <c r="DF17" s="18">
        <f t="shared" si="16"/>
        <v>579.18066569394921</v>
      </c>
      <c r="DG17" s="18">
        <f t="shared" si="16"/>
        <v>584.97247235088867</v>
      </c>
      <c r="DH17" s="18">
        <f t="shared" si="16"/>
        <v>590.82219707439754</v>
      </c>
      <c r="DI17" s="18">
        <f t="shared" si="16"/>
        <v>596.7304190451415</v>
      </c>
      <c r="DJ17" s="18">
        <f t="shared" si="16"/>
        <v>602.69772323559289</v>
      </c>
      <c r="DK17" s="18">
        <f t="shared" si="16"/>
        <v>608.72470046794888</v>
      </c>
      <c r="DL17" s="18">
        <f t="shared" si="16"/>
        <v>614.81194747262839</v>
      </c>
      <c r="DM17" s="18">
        <f t="shared" si="16"/>
        <v>620.96006694735468</v>
      </c>
      <c r="DN17" s="18">
        <f t="shared" si="16"/>
        <v>627.16966761682818</v>
      </c>
      <c r="DO17" s="18">
        <f t="shared" si="16"/>
        <v>633.44136429299647</v>
      </c>
      <c r="DP17" s="18">
        <f t="shared" si="16"/>
        <v>639.77577793592638</v>
      </c>
      <c r="DQ17" s="18">
        <f t="shared" si="16"/>
        <v>646.17353571528565</v>
      </c>
      <c r="DR17" s="18">
        <f t="shared" si="16"/>
        <v>652.63527107243851</v>
      </c>
      <c r="DS17" s="18">
        <f t="shared" si="16"/>
        <v>659.1616237831629</v>
      </c>
      <c r="DT17" s="18">
        <f t="shared" si="16"/>
        <v>665.75324002099455</v>
      </c>
      <c r="DU17" s="18">
        <f t="shared" si="16"/>
        <v>672.41077242120446</v>
      </c>
      <c r="DV17" s="18">
        <f t="shared" si="16"/>
        <v>679.13488014541656</v>
      </c>
      <c r="DW17" s="18">
        <f t="shared" si="16"/>
        <v>685.92622894687076</v>
      </c>
      <c r="DX17" s="18">
        <f t="shared" si="16"/>
        <v>692.78549123633945</v>
      </c>
      <c r="DY17" s="18">
        <f t="shared" si="16"/>
        <v>699.71334614870284</v>
      </c>
      <c r="DZ17" s="18">
        <f t="shared" si="16"/>
        <v>706.71047961018985</v>
      </c>
      <c r="EA17" s="18">
        <f t="shared" si="16"/>
        <v>713.77758440629179</v>
      </c>
      <c r="EB17" s="18">
        <f t="shared" si="16"/>
        <v>720.91536025035475</v>
      </c>
      <c r="EC17" s="18">
        <f t="shared" si="16"/>
        <v>728.12451385285829</v>
      </c>
      <c r="ED17" s="18">
        <f t="shared" si="16"/>
        <v>735.40575899138685</v>
      </c>
      <c r="EE17" s="18">
        <f t="shared" si="16"/>
        <v>742.7598165813007</v>
      </c>
      <c r="EF17" s="18">
        <f t="shared" si="16"/>
        <v>750.18741474711373</v>
      </c>
      <c r="EG17" s="18">
        <f t="shared" si="16"/>
        <v>757.68928889458493</v>
      </c>
      <c r="EH17" s="18">
        <f t="shared" si="16"/>
        <v>765.26618178353078</v>
      </c>
      <c r="EI17" s="18">
        <f t="shared" si="16"/>
        <v>772.91884360136612</v>
      </c>
      <c r="EJ17" s="18">
        <f t="shared" si="16"/>
        <v>780.64803203737983</v>
      </c>
      <c r="EK17" s="18">
        <f t="shared" si="16"/>
        <v>788.45451235775363</v>
      </c>
      <c r="EL17" s="18">
        <f t="shared" si="16"/>
        <v>796.33905748133122</v>
      </c>
      <c r="EM17" s="18">
        <f t="shared" si="16"/>
        <v>804.3024480561445</v>
      </c>
      <c r="EN17" s="18">
        <f t="shared" si="16"/>
        <v>812.34547253670598</v>
      </c>
      <c r="EO17" s="18">
        <f t="shared" si="16"/>
        <v>820.46892726207307</v>
      </c>
      <c r="EP17" s="18">
        <f t="shared" si="16"/>
        <v>828.67361653469379</v>
      </c>
      <c r="EQ17" s="18">
        <f t="shared" si="16"/>
        <v>836.96035270004074</v>
      </c>
      <c r="ER17" s="18">
        <f t="shared" si="16"/>
        <v>845.32995622704118</v>
      </c>
      <c r="ES17" s="18">
        <f t="shared" si="16"/>
        <v>853.78325578931162</v>
      </c>
      <c r="ET17" s="18">
        <f t="shared" si="16"/>
        <v>862.32108834720475</v>
      </c>
      <c r="EU17" s="18">
        <f t="shared" si="16"/>
        <v>870.94429923067685</v>
      </c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  <c r="AML17" s="1"/>
      <c r="AMM17" s="1"/>
      <c r="AMN17" s="1"/>
      <c r="AMO17" s="1"/>
      <c r="AMP17" s="1"/>
      <c r="AMQ17" s="1"/>
      <c r="AMR17" s="1"/>
      <c r="AMS17" s="1"/>
      <c r="AMT17" s="1"/>
      <c r="AMU17" s="1"/>
      <c r="AMV17" s="1"/>
      <c r="AMW17" s="1"/>
      <c r="AMX17" s="1"/>
      <c r="AMY17" s="1"/>
      <c r="AMZ17" s="1"/>
      <c r="ANA17" s="1"/>
      <c r="ANB17" s="1"/>
      <c r="ANC17" s="1"/>
      <c r="AND17" s="1"/>
      <c r="ANE17" s="1"/>
      <c r="ANF17" s="1"/>
      <c r="ANG17" s="1"/>
      <c r="ANH17" s="1"/>
      <c r="ANI17" s="1"/>
      <c r="ANJ17" s="1"/>
      <c r="ANK17" s="1"/>
      <c r="ANL17" s="1"/>
      <c r="ANM17" s="1"/>
      <c r="ANN17" s="1"/>
      <c r="ANO17" s="1"/>
      <c r="ANP17" s="1"/>
      <c r="ANQ17" s="1"/>
      <c r="ANR17" s="1"/>
      <c r="ANS17" s="1"/>
      <c r="ANT17" s="1"/>
      <c r="ANU17" s="1"/>
      <c r="ANV17" s="1"/>
      <c r="ANW17" s="1"/>
      <c r="ANX17" s="1"/>
      <c r="ANY17" s="1"/>
      <c r="ANZ17" s="1"/>
      <c r="AOA17" s="1"/>
      <c r="AOB17" s="1"/>
      <c r="AOC17" s="1"/>
      <c r="AOD17" s="1"/>
      <c r="AOE17" s="1"/>
      <c r="AOF17" s="1"/>
      <c r="AOG17" s="1"/>
      <c r="AOH17" s="1"/>
      <c r="AOI17" s="1"/>
      <c r="AOJ17" s="1"/>
      <c r="AOK17" s="1"/>
      <c r="AOL17" s="1"/>
      <c r="AOM17" s="1"/>
      <c r="AON17" s="1"/>
      <c r="AOO17" s="1"/>
      <c r="AOP17" s="1"/>
      <c r="AOQ17" s="1"/>
      <c r="AOR17" s="1"/>
      <c r="AOS17" s="1"/>
      <c r="AOT17" s="1"/>
      <c r="AOU17" s="1"/>
      <c r="AOV17" s="1"/>
      <c r="AOW17" s="1"/>
      <c r="AOX17" s="1"/>
      <c r="AOY17" s="1"/>
      <c r="AOZ17" s="1"/>
      <c r="APA17" s="1"/>
      <c r="APB17" s="1"/>
      <c r="APC17" s="1"/>
      <c r="APD17" s="1"/>
      <c r="APE17" s="1"/>
      <c r="APF17" s="1"/>
      <c r="APG17" s="1"/>
      <c r="APH17" s="1"/>
      <c r="API17" s="1"/>
      <c r="APJ17" s="1"/>
      <c r="APK17" s="1"/>
      <c r="APL17" s="1"/>
      <c r="APM17" s="1"/>
      <c r="APN17" s="1"/>
      <c r="APO17" s="1"/>
      <c r="APP17" s="1"/>
      <c r="APQ17" s="1"/>
      <c r="APR17" s="1"/>
      <c r="APS17" s="1"/>
      <c r="APT17" s="1"/>
      <c r="APU17" s="1"/>
      <c r="APV17" s="1"/>
      <c r="APW17" s="1"/>
      <c r="APX17" s="1"/>
      <c r="APY17" s="1"/>
      <c r="APZ17" s="1"/>
      <c r="AQA17" s="1"/>
      <c r="AQB17" s="1"/>
      <c r="AQC17" s="1"/>
      <c r="AQD17" s="1"/>
      <c r="AQE17" s="1"/>
      <c r="AQF17" s="1"/>
      <c r="AQG17" s="1"/>
      <c r="AQH17" s="1"/>
      <c r="AQI17" s="1"/>
      <c r="AQJ17" s="1"/>
      <c r="AQK17" s="1"/>
      <c r="AQL17" s="1"/>
      <c r="AQM17" s="1"/>
      <c r="AQN17" s="1"/>
      <c r="AQO17" s="1"/>
      <c r="AQP17" s="1"/>
      <c r="AQQ17" s="1"/>
      <c r="AQR17" s="1"/>
      <c r="AQS17" s="1"/>
      <c r="AQT17" s="1"/>
      <c r="AQU17" s="1"/>
      <c r="AQV17" s="1"/>
      <c r="AQW17" s="1"/>
      <c r="AQX17" s="1"/>
      <c r="AQY17" s="1"/>
      <c r="AQZ17" s="1"/>
      <c r="ARA17" s="1"/>
      <c r="ARB17" s="1"/>
      <c r="ARC17" s="1"/>
      <c r="ARD17" s="1"/>
      <c r="ARE17" s="1"/>
      <c r="ARF17" s="1"/>
      <c r="ARG17" s="1"/>
      <c r="ARH17" s="1"/>
      <c r="ARI17" s="1"/>
      <c r="ARJ17" s="1"/>
      <c r="ARK17" s="1"/>
      <c r="ARL17" s="1"/>
      <c r="ARM17" s="1"/>
      <c r="ARN17" s="1"/>
      <c r="ARO17" s="1"/>
      <c r="ARP17" s="1"/>
      <c r="ARQ17" s="1"/>
      <c r="ARR17" s="1"/>
      <c r="ARS17" s="1"/>
      <c r="ART17" s="1"/>
      <c r="ARU17" s="1"/>
      <c r="ARV17" s="1"/>
      <c r="ARW17" s="1"/>
      <c r="ARX17" s="1"/>
      <c r="ARY17" s="1"/>
      <c r="ARZ17" s="1"/>
      <c r="ASA17" s="1"/>
      <c r="ASB17" s="1"/>
      <c r="ASC17" s="1"/>
      <c r="ASD17" s="1"/>
      <c r="ASE17" s="1"/>
      <c r="ASF17" s="1"/>
      <c r="ASG17" s="1"/>
      <c r="ASH17" s="1"/>
      <c r="ASI17" s="1"/>
      <c r="ASJ17" s="1"/>
      <c r="ASK17" s="1"/>
      <c r="ASL17" s="1"/>
      <c r="ASM17" s="1"/>
      <c r="ASN17" s="1"/>
      <c r="ASO17" s="1"/>
      <c r="ASP17" s="1"/>
      <c r="ASQ17" s="1"/>
      <c r="ASR17" s="1"/>
      <c r="ASS17" s="1"/>
      <c r="AST17" s="1"/>
      <c r="ASU17" s="1"/>
      <c r="ASV17" s="1"/>
      <c r="ASW17" s="1"/>
      <c r="ASX17" s="1"/>
      <c r="ASY17" s="1"/>
      <c r="ASZ17" s="1"/>
      <c r="ATA17" s="1"/>
      <c r="ATB17" s="1"/>
      <c r="ATC17" s="1"/>
      <c r="ATD17" s="1"/>
      <c r="ATE17" s="1"/>
      <c r="ATF17" s="1"/>
      <c r="ATG17" s="1"/>
      <c r="ATH17" s="1"/>
      <c r="ATI17" s="1"/>
      <c r="ATJ17" s="1"/>
      <c r="ATK17" s="1"/>
      <c r="ATL17" s="1"/>
      <c r="ATM17" s="1"/>
      <c r="ATN17" s="1"/>
      <c r="ATO17" s="1"/>
      <c r="ATP17" s="1"/>
      <c r="ATQ17" s="1"/>
      <c r="ATR17" s="1"/>
      <c r="ATS17" s="1"/>
      <c r="ATT17" s="1"/>
      <c r="ATU17" s="1"/>
      <c r="ATV17" s="1"/>
      <c r="ATW17" s="1"/>
      <c r="ATX17" s="1"/>
      <c r="ATY17" s="1"/>
      <c r="ATZ17" s="1"/>
      <c r="AUA17" s="1"/>
      <c r="AUB17" s="1"/>
      <c r="AUC17" s="1"/>
      <c r="AUD17" s="1"/>
      <c r="AUE17" s="1"/>
      <c r="AUF17" s="1"/>
      <c r="AUG17" s="1"/>
      <c r="AUH17" s="1"/>
      <c r="AUI17" s="1"/>
      <c r="AUJ17" s="1"/>
      <c r="AUK17" s="1"/>
      <c r="AUL17" s="1"/>
      <c r="AUM17" s="1"/>
      <c r="AUN17" s="1"/>
      <c r="AUO17" s="1"/>
      <c r="AUP17" s="1"/>
      <c r="AUQ17" s="1"/>
      <c r="AUR17" s="1"/>
      <c r="AUS17" s="1"/>
      <c r="AUT17" s="1"/>
      <c r="AUU17" s="1"/>
      <c r="AUV17" s="1"/>
      <c r="AUW17" s="1"/>
      <c r="AUX17" s="1"/>
      <c r="AUY17" s="1"/>
      <c r="AUZ17" s="1"/>
      <c r="AVA17" s="1"/>
      <c r="AVB17" s="1"/>
      <c r="AVC17" s="1"/>
      <c r="AVD17" s="1"/>
      <c r="AVE17" s="1"/>
      <c r="AVF17" s="1"/>
      <c r="AVG17" s="1"/>
      <c r="AVH17" s="1"/>
      <c r="AVI17" s="1"/>
      <c r="AVJ17" s="1"/>
      <c r="AVK17" s="1"/>
      <c r="AVL17" s="1"/>
      <c r="AVM17" s="1"/>
      <c r="AVN17" s="1"/>
      <c r="AVO17" s="1"/>
      <c r="AVP17" s="1"/>
      <c r="AVQ17" s="1"/>
      <c r="AVR17" s="1"/>
      <c r="AVS17" s="1"/>
      <c r="AVT17" s="1"/>
      <c r="AVU17" s="1"/>
      <c r="AVV17" s="1"/>
      <c r="AVW17" s="1"/>
      <c r="AVX17" s="1"/>
      <c r="AVY17" s="1"/>
      <c r="AVZ17" s="1"/>
      <c r="AWA17" s="1"/>
      <c r="AWB17" s="1"/>
      <c r="AWC17" s="1"/>
      <c r="AWD17" s="1"/>
      <c r="AWE17" s="1"/>
      <c r="AWF17" s="1"/>
      <c r="AWG17" s="1"/>
      <c r="AWH17" s="1"/>
      <c r="AWI17" s="1"/>
      <c r="AWJ17" s="1"/>
      <c r="AWK17" s="1"/>
      <c r="AWL17" s="1"/>
      <c r="AWM17" s="1"/>
      <c r="AWN17" s="1"/>
      <c r="AWO17" s="1"/>
      <c r="AWP17" s="1"/>
      <c r="AWQ17" s="1"/>
      <c r="AWR17" s="1"/>
      <c r="AWS17" s="1"/>
      <c r="AWT17" s="1"/>
      <c r="AWU17" s="1"/>
      <c r="AWV17" s="1"/>
      <c r="AWW17" s="1"/>
      <c r="AWX17" s="1"/>
      <c r="AWY17" s="1"/>
      <c r="AWZ17" s="1"/>
      <c r="AXA17" s="1"/>
      <c r="AXB17" s="1"/>
      <c r="AXC17" s="1"/>
      <c r="AXD17" s="1"/>
      <c r="AXE17" s="1"/>
      <c r="AXF17" s="1"/>
      <c r="AXG17" s="1"/>
      <c r="AXH17" s="1"/>
      <c r="AXI17" s="1"/>
      <c r="AXJ17" s="1"/>
      <c r="AXK17" s="1"/>
      <c r="AXL17" s="1"/>
      <c r="AXM17" s="1"/>
      <c r="AXN17" s="1"/>
      <c r="AXO17" s="1"/>
      <c r="AXP17" s="1"/>
      <c r="AXQ17" s="1"/>
      <c r="AXR17" s="1"/>
      <c r="AXS17" s="1"/>
      <c r="AXT17" s="1"/>
      <c r="AXU17" s="1"/>
      <c r="AXV17" s="1"/>
      <c r="AXW17" s="1"/>
      <c r="AXX17" s="1"/>
      <c r="AXY17" s="1"/>
      <c r="AXZ17" s="1"/>
      <c r="AYA17" s="1"/>
      <c r="AYB17" s="1"/>
      <c r="AYC17" s="1"/>
      <c r="AYD17" s="1"/>
      <c r="AYE17" s="1"/>
      <c r="AYF17" s="1"/>
      <c r="AYG17" s="1"/>
      <c r="AYH17" s="1"/>
      <c r="AYI17" s="1"/>
      <c r="AYJ17" s="1"/>
      <c r="AYK17" s="1"/>
      <c r="AYL17" s="1"/>
      <c r="AYM17" s="1"/>
      <c r="AYN17" s="1"/>
      <c r="AYO17" s="1"/>
      <c r="AYP17" s="1"/>
      <c r="AYQ17" s="1"/>
      <c r="AYR17" s="1"/>
      <c r="AYS17" s="1"/>
      <c r="AYT17" s="1"/>
      <c r="AYU17" s="1"/>
      <c r="AYV17" s="1"/>
      <c r="AYW17" s="1"/>
      <c r="AYX17" s="1"/>
      <c r="AYY17" s="1"/>
      <c r="AYZ17" s="1"/>
      <c r="AZA17" s="1"/>
      <c r="AZB17" s="1"/>
      <c r="AZC17" s="1"/>
      <c r="AZD17" s="1"/>
      <c r="AZE17" s="1"/>
      <c r="AZF17" s="1"/>
      <c r="AZG17" s="1"/>
      <c r="AZH17" s="1"/>
      <c r="AZI17" s="1"/>
      <c r="AZJ17" s="1"/>
      <c r="AZK17" s="1"/>
      <c r="AZL17" s="1"/>
      <c r="AZM17" s="1"/>
      <c r="AZN17" s="1"/>
      <c r="AZO17" s="1"/>
      <c r="AZP17" s="1"/>
      <c r="AZQ17" s="1"/>
      <c r="AZR17" s="1"/>
      <c r="AZS17" s="1"/>
      <c r="AZT17" s="1"/>
      <c r="AZU17" s="1"/>
      <c r="AZV17" s="1"/>
      <c r="AZW17" s="1"/>
      <c r="AZX17" s="1"/>
      <c r="AZY17" s="1"/>
      <c r="AZZ17" s="1"/>
      <c r="BAA17" s="1"/>
      <c r="BAB17" s="1"/>
      <c r="BAC17" s="1"/>
      <c r="BAD17" s="1"/>
      <c r="BAE17" s="1"/>
      <c r="BAF17" s="1"/>
      <c r="BAG17" s="1"/>
      <c r="BAH17" s="1"/>
      <c r="BAI17" s="1"/>
      <c r="BAJ17" s="1"/>
      <c r="BAK17" s="1"/>
      <c r="BAL17" s="1"/>
      <c r="BAM17" s="1"/>
      <c r="BAN17" s="1"/>
      <c r="BAO17" s="1"/>
      <c r="BAP17" s="1"/>
      <c r="BAQ17" s="1"/>
      <c r="BAR17" s="1"/>
      <c r="BAS17" s="1"/>
      <c r="BAT17" s="1"/>
      <c r="BAU17" s="1"/>
      <c r="BAV17" s="1"/>
      <c r="BAW17" s="1"/>
      <c r="BAX17" s="1"/>
      <c r="BAY17" s="1"/>
      <c r="BAZ17" s="1"/>
      <c r="BBA17" s="1"/>
      <c r="BBB17" s="1"/>
      <c r="BBC17" s="1"/>
      <c r="BBD17" s="1"/>
      <c r="BBE17" s="1"/>
      <c r="BBF17" s="1"/>
      <c r="BBG17" s="1"/>
      <c r="BBH17" s="1"/>
      <c r="BBI17" s="1"/>
      <c r="BBJ17" s="1"/>
      <c r="BBK17" s="1"/>
      <c r="BBL17" s="1"/>
      <c r="BBM17" s="1"/>
      <c r="BBN17" s="1"/>
      <c r="BBO17" s="1"/>
      <c r="BBP17" s="1"/>
      <c r="BBQ17" s="1"/>
      <c r="BBR17" s="1"/>
      <c r="BBS17" s="1"/>
      <c r="BBT17" s="1"/>
      <c r="BBU17" s="1"/>
      <c r="BBV17" s="1"/>
      <c r="BBW17" s="1"/>
      <c r="BBX17" s="1"/>
      <c r="BBY17" s="1"/>
      <c r="BBZ17" s="1"/>
      <c r="BCA17" s="1"/>
      <c r="BCB17" s="1"/>
      <c r="BCC17" s="1"/>
      <c r="BCD17" s="1"/>
      <c r="BCE17" s="1"/>
      <c r="BCF17" s="1"/>
      <c r="BCG17" s="1"/>
      <c r="BCH17" s="1"/>
      <c r="BCI17" s="1"/>
      <c r="BCJ17" s="1"/>
      <c r="BCK17" s="1"/>
      <c r="BCL17" s="1"/>
      <c r="BCM17" s="1"/>
      <c r="BCN17" s="1"/>
      <c r="BCO17" s="1"/>
      <c r="BCP17" s="1"/>
      <c r="BCQ17" s="1"/>
      <c r="BCR17" s="1"/>
      <c r="BCS17" s="1"/>
      <c r="BCT17" s="1"/>
      <c r="BCU17" s="1"/>
      <c r="BCV17" s="1"/>
      <c r="BCW17" s="1"/>
      <c r="BCX17" s="1"/>
      <c r="BCY17" s="1"/>
      <c r="BCZ17" s="1"/>
      <c r="BDA17" s="1"/>
      <c r="BDB17" s="1"/>
      <c r="BDC17" s="1"/>
      <c r="BDD17" s="1"/>
      <c r="BDE17" s="1"/>
      <c r="BDF17" s="1"/>
      <c r="BDG17" s="1"/>
      <c r="BDH17" s="1"/>
      <c r="BDI17" s="1"/>
      <c r="BDJ17" s="1"/>
      <c r="BDK17" s="1"/>
      <c r="BDL17" s="1"/>
      <c r="BDM17" s="1"/>
      <c r="BDN17" s="1"/>
      <c r="BDO17" s="1"/>
      <c r="BDP17" s="1"/>
      <c r="BDQ17" s="1"/>
      <c r="BDR17" s="1"/>
      <c r="BDS17" s="1"/>
      <c r="BDT17" s="1"/>
      <c r="BDU17" s="1"/>
      <c r="BDV17" s="1"/>
      <c r="BDW17" s="1"/>
      <c r="BDX17" s="1"/>
      <c r="BDY17" s="1"/>
      <c r="BDZ17" s="1"/>
      <c r="BEA17" s="1"/>
      <c r="BEB17" s="1"/>
      <c r="BEC17" s="1"/>
      <c r="BED17" s="1"/>
      <c r="BEE17" s="1"/>
      <c r="BEF17" s="1"/>
      <c r="BEG17" s="1"/>
      <c r="BEH17" s="1"/>
      <c r="BEI17" s="1"/>
      <c r="BEJ17" s="1"/>
      <c r="BEK17" s="1"/>
      <c r="BEL17" s="1"/>
      <c r="BEM17" s="1"/>
      <c r="BEN17" s="1"/>
      <c r="BEO17" s="1"/>
      <c r="BEP17" s="1"/>
      <c r="BEQ17" s="1"/>
      <c r="BER17" s="1"/>
      <c r="BES17" s="1"/>
      <c r="BET17" s="1"/>
      <c r="BEU17" s="1"/>
      <c r="BEV17" s="1"/>
      <c r="BEW17" s="1"/>
      <c r="BEX17" s="1"/>
      <c r="BEY17" s="1"/>
      <c r="BEZ17" s="1"/>
      <c r="BFA17" s="1"/>
      <c r="BFB17" s="1"/>
      <c r="BFC17" s="1"/>
      <c r="BFD17" s="1"/>
      <c r="BFE17" s="1"/>
      <c r="BFF17" s="1"/>
      <c r="BFG17" s="1"/>
      <c r="BFH17" s="1"/>
      <c r="BFI17" s="1"/>
      <c r="BFJ17" s="1"/>
      <c r="BFK17" s="1"/>
      <c r="BFL17" s="1"/>
      <c r="BFM17" s="1"/>
      <c r="BFN17" s="1"/>
      <c r="BFO17" s="1"/>
      <c r="BFP17" s="1"/>
      <c r="BFQ17" s="1"/>
      <c r="BFR17" s="1"/>
      <c r="BFS17" s="1"/>
      <c r="BFT17" s="1"/>
      <c r="BFU17" s="1"/>
      <c r="BFV17" s="1"/>
      <c r="BFW17" s="1"/>
      <c r="BFX17" s="1"/>
      <c r="BFY17" s="1"/>
      <c r="BFZ17" s="1"/>
      <c r="BGA17" s="1"/>
      <c r="BGB17" s="1"/>
      <c r="BGC17" s="1"/>
      <c r="BGD17" s="1"/>
      <c r="BGE17" s="1"/>
      <c r="BGF17" s="1"/>
      <c r="BGG17" s="1"/>
      <c r="BGH17" s="1"/>
      <c r="BGI17" s="1"/>
      <c r="BGJ17" s="1"/>
      <c r="BGK17" s="1"/>
      <c r="BGL17" s="1"/>
      <c r="BGM17" s="1"/>
      <c r="BGN17" s="1"/>
      <c r="BGO17" s="1"/>
      <c r="BGP17" s="1"/>
      <c r="BGQ17" s="1"/>
      <c r="BGR17" s="1"/>
      <c r="BGS17" s="1"/>
      <c r="BGT17" s="1"/>
      <c r="BGU17" s="1"/>
      <c r="BGV17" s="1"/>
      <c r="BGW17" s="1"/>
      <c r="BGX17" s="1"/>
      <c r="BGY17" s="1"/>
      <c r="BGZ17" s="1"/>
      <c r="BHA17" s="1"/>
      <c r="BHB17" s="1"/>
      <c r="BHC17" s="1"/>
      <c r="BHD17" s="1"/>
      <c r="BHE17" s="1"/>
      <c r="BHF17" s="1"/>
      <c r="BHG17" s="1"/>
      <c r="BHH17" s="1"/>
      <c r="BHI17" s="1"/>
      <c r="BHJ17" s="1"/>
      <c r="BHK17" s="1"/>
      <c r="BHL17" s="1"/>
      <c r="BHM17" s="1"/>
      <c r="BHN17" s="1"/>
      <c r="BHO17" s="1"/>
      <c r="BHP17" s="1"/>
      <c r="BHQ17" s="1"/>
      <c r="BHR17" s="1"/>
      <c r="BHS17" s="1"/>
      <c r="BHT17" s="1"/>
      <c r="BHU17" s="1"/>
      <c r="BHV17" s="1"/>
      <c r="BHW17" s="1"/>
      <c r="BHX17" s="1"/>
      <c r="BHY17" s="1"/>
      <c r="BHZ17" s="1"/>
      <c r="BIA17" s="1"/>
      <c r="BIB17" s="1"/>
      <c r="BIC17" s="1"/>
      <c r="BID17" s="1"/>
      <c r="BIE17" s="1"/>
      <c r="BIF17" s="1"/>
      <c r="BIG17" s="1"/>
      <c r="BIH17" s="1"/>
      <c r="BII17" s="1"/>
      <c r="BIJ17" s="1"/>
      <c r="BIK17" s="1"/>
      <c r="BIL17" s="1"/>
      <c r="BIM17" s="1"/>
      <c r="BIN17" s="1"/>
      <c r="BIO17" s="1"/>
      <c r="BIP17" s="1"/>
      <c r="BIQ17" s="1"/>
      <c r="BIR17" s="1"/>
      <c r="BIS17" s="1"/>
      <c r="BIT17" s="1"/>
      <c r="BIU17" s="1"/>
      <c r="BIV17" s="1"/>
      <c r="BIW17" s="1"/>
      <c r="BIX17" s="1"/>
      <c r="BIY17" s="1"/>
      <c r="BIZ17" s="1"/>
      <c r="BJA17" s="1"/>
      <c r="BJB17" s="1"/>
      <c r="BJC17" s="1"/>
      <c r="BJD17" s="1"/>
      <c r="BJE17" s="1"/>
      <c r="BJF17" s="1"/>
      <c r="BJG17" s="1"/>
      <c r="BJH17" s="1"/>
      <c r="BJI17" s="1"/>
      <c r="BJJ17" s="1"/>
      <c r="BJK17" s="1"/>
      <c r="BJL17" s="1"/>
      <c r="BJM17" s="1"/>
      <c r="BJN17" s="1"/>
      <c r="BJO17" s="1"/>
      <c r="BJP17" s="1"/>
      <c r="BJQ17" s="1"/>
      <c r="BJR17" s="1"/>
      <c r="BJS17" s="1"/>
      <c r="BJT17" s="1"/>
      <c r="BJU17" s="1"/>
      <c r="BJV17" s="1"/>
      <c r="BJW17" s="1"/>
      <c r="BJX17" s="1"/>
      <c r="BJY17" s="1"/>
      <c r="BJZ17" s="1"/>
      <c r="BKA17" s="1"/>
      <c r="BKB17" s="1"/>
      <c r="BKC17" s="1"/>
      <c r="BKD17" s="1"/>
      <c r="BKE17" s="1"/>
      <c r="BKF17" s="1"/>
      <c r="BKG17" s="1"/>
      <c r="BKH17" s="1"/>
      <c r="BKI17" s="1"/>
      <c r="BKJ17" s="1"/>
      <c r="BKK17" s="1"/>
      <c r="BKL17" s="1"/>
      <c r="BKM17" s="1"/>
      <c r="BKN17" s="1"/>
      <c r="BKO17" s="1"/>
      <c r="BKP17" s="1"/>
      <c r="BKQ17" s="1"/>
      <c r="BKR17" s="1"/>
      <c r="BKS17" s="1"/>
      <c r="BKT17" s="1"/>
      <c r="BKU17" s="1"/>
      <c r="BKV17" s="1"/>
      <c r="BKW17" s="1"/>
      <c r="BKX17" s="1"/>
      <c r="BKY17" s="1"/>
      <c r="BKZ17" s="1"/>
      <c r="BLA17" s="1"/>
      <c r="BLB17" s="1"/>
      <c r="BLC17" s="1"/>
      <c r="BLD17" s="1"/>
      <c r="BLE17" s="1"/>
      <c r="BLF17" s="1"/>
      <c r="BLG17" s="1"/>
      <c r="BLH17" s="1"/>
      <c r="BLI17" s="1"/>
      <c r="BLJ17" s="1"/>
      <c r="BLK17" s="1"/>
      <c r="BLL17" s="1"/>
      <c r="BLM17" s="1"/>
      <c r="BLN17" s="1"/>
      <c r="BLO17" s="1"/>
      <c r="BLP17" s="1"/>
      <c r="BLQ17" s="1"/>
      <c r="BLR17" s="1"/>
      <c r="BLS17" s="1"/>
      <c r="BLT17" s="1"/>
      <c r="BLU17" s="1"/>
      <c r="BLV17" s="1"/>
      <c r="BLW17" s="1"/>
      <c r="BLX17" s="1"/>
      <c r="BLY17" s="1"/>
      <c r="BLZ17" s="1"/>
      <c r="BMA17" s="1"/>
      <c r="BMB17" s="1"/>
      <c r="BMC17" s="1"/>
      <c r="BMD17" s="1"/>
      <c r="BME17" s="1"/>
      <c r="BMF17" s="1"/>
      <c r="BMG17" s="1"/>
      <c r="BMH17" s="1"/>
      <c r="BMI17" s="1"/>
      <c r="BMJ17" s="1"/>
      <c r="BMK17" s="1"/>
      <c r="BML17" s="1"/>
      <c r="BMM17" s="1"/>
      <c r="BMN17" s="1"/>
      <c r="BMO17" s="1"/>
      <c r="BMP17" s="1"/>
      <c r="BMQ17" s="1"/>
      <c r="BMR17" s="1"/>
      <c r="BMS17" s="1"/>
      <c r="BMT17" s="1"/>
      <c r="BMU17" s="1"/>
      <c r="BMV17" s="1"/>
      <c r="BMW17" s="1"/>
      <c r="BMX17" s="1"/>
      <c r="BMY17" s="1"/>
      <c r="BMZ17" s="1"/>
      <c r="BNA17" s="1"/>
      <c r="BNB17" s="1"/>
      <c r="BNC17" s="1"/>
      <c r="BND17" s="1"/>
      <c r="BNE17" s="1"/>
      <c r="BNF17" s="1"/>
      <c r="BNG17" s="1"/>
      <c r="BNH17" s="1"/>
      <c r="BNI17" s="1"/>
      <c r="BNJ17" s="1"/>
      <c r="BNK17" s="1"/>
      <c r="BNL17" s="1"/>
      <c r="BNM17" s="1"/>
      <c r="BNN17" s="1"/>
      <c r="BNO17" s="1"/>
      <c r="BNP17" s="1"/>
      <c r="BNQ17" s="1"/>
      <c r="BNR17" s="1"/>
      <c r="BNS17" s="1"/>
      <c r="BNT17" s="1"/>
      <c r="BNU17" s="1"/>
      <c r="BNV17" s="1"/>
      <c r="BNW17" s="1"/>
      <c r="BNX17" s="1"/>
      <c r="BNY17" s="1"/>
      <c r="BNZ17" s="1"/>
      <c r="BOA17" s="1"/>
      <c r="BOB17" s="1"/>
      <c r="BOC17" s="1"/>
      <c r="BOD17" s="1"/>
      <c r="BOE17" s="1"/>
      <c r="BOF17" s="1"/>
      <c r="BOG17" s="1"/>
      <c r="BOH17" s="1"/>
      <c r="BOI17" s="1"/>
      <c r="BOJ17" s="1"/>
      <c r="BOK17" s="1"/>
      <c r="BOL17" s="1"/>
      <c r="BOM17" s="1"/>
      <c r="BON17" s="1"/>
      <c r="BOO17" s="1"/>
      <c r="BOP17" s="1"/>
      <c r="BOQ17" s="1"/>
      <c r="BOR17" s="1"/>
      <c r="BOS17" s="1"/>
      <c r="BOT17" s="1"/>
      <c r="BOU17" s="1"/>
      <c r="BOV17" s="1"/>
      <c r="BOW17" s="1"/>
      <c r="BOX17" s="1"/>
      <c r="BOY17" s="1"/>
      <c r="BOZ17" s="1"/>
      <c r="BPA17" s="1"/>
      <c r="BPB17" s="1"/>
      <c r="BPC17" s="1"/>
      <c r="BPD17" s="1"/>
      <c r="BPE17" s="1"/>
      <c r="BPF17" s="1"/>
      <c r="BPG17" s="1"/>
      <c r="BPH17" s="1"/>
      <c r="BPI17" s="1"/>
      <c r="BPJ17" s="1"/>
      <c r="BPK17" s="1"/>
      <c r="BPL17" s="1"/>
      <c r="BPM17" s="1"/>
      <c r="BPN17" s="1"/>
      <c r="BPO17" s="1"/>
      <c r="BPP17" s="1"/>
      <c r="BPQ17" s="1"/>
      <c r="BPR17" s="1"/>
      <c r="BPS17" s="1"/>
      <c r="BPT17" s="1"/>
      <c r="BPU17" s="1"/>
      <c r="BPV17" s="1"/>
      <c r="BPW17" s="1"/>
      <c r="BPX17" s="1"/>
      <c r="BPY17" s="1"/>
      <c r="BPZ17" s="1"/>
      <c r="BQA17" s="1"/>
      <c r="BQB17" s="1"/>
      <c r="BQC17" s="1"/>
      <c r="BQD17" s="1"/>
      <c r="BQE17" s="1"/>
      <c r="BQF17" s="1"/>
      <c r="BQG17" s="1"/>
      <c r="BQH17" s="1"/>
      <c r="BQI17" s="1"/>
      <c r="BQJ17" s="1"/>
      <c r="BQK17" s="1"/>
      <c r="BQL17" s="1"/>
      <c r="BQM17" s="1"/>
      <c r="BQN17" s="1"/>
      <c r="BQO17" s="1"/>
      <c r="BQP17" s="1"/>
      <c r="BQQ17" s="1"/>
      <c r="BQR17" s="1"/>
      <c r="BQS17" s="1"/>
      <c r="BQT17" s="1"/>
      <c r="BQU17" s="1"/>
      <c r="BQV17" s="1"/>
      <c r="BQW17" s="1"/>
      <c r="BQX17" s="1"/>
      <c r="BQY17" s="1"/>
      <c r="BQZ17" s="1"/>
      <c r="BRA17" s="1"/>
      <c r="BRB17" s="1"/>
      <c r="BRC17" s="1"/>
      <c r="BRD17" s="1"/>
      <c r="BRE17" s="1"/>
      <c r="BRF17" s="1"/>
      <c r="BRG17" s="1"/>
      <c r="BRH17" s="1"/>
      <c r="BRI17" s="1"/>
      <c r="BRJ17" s="1"/>
      <c r="BRK17" s="1"/>
      <c r="BRL17" s="1"/>
      <c r="BRM17" s="1"/>
      <c r="BRN17" s="1"/>
      <c r="BRO17" s="1"/>
      <c r="BRP17" s="1"/>
      <c r="BRQ17" s="1"/>
      <c r="BRR17" s="1"/>
      <c r="BRS17" s="1"/>
      <c r="BRT17" s="1"/>
      <c r="BRU17" s="1"/>
      <c r="BRV17" s="1"/>
      <c r="BRW17" s="1"/>
      <c r="BRX17" s="1"/>
      <c r="BRY17" s="1"/>
      <c r="BRZ17" s="1"/>
      <c r="BSA17" s="1"/>
      <c r="BSB17" s="1"/>
      <c r="BSC17" s="1"/>
      <c r="BSD17" s="1"/>
      <c r="BSE17" s="1"/>
      <c r="BSF17" s="1"/>
      <c r="BSG17" s="1"/>
      <c r="BSH17" s="1"/>
      <c r="BSI17" s="1"/>
      <c r="BSJ17" s="1"/>
      <c r="BSK17" s="1"/>
      <c r="BSL17" s="1"/>
      <c r="BSM17" s="1"/>
      <c r="BSN17" s="1"/>
      <c r="BSO17" s="1"/>
      <c r="BSP17" s="1"/>
      <c r="BSQ17" s="1"/>
      <c r="BSR17" s="1"/>
      <c r="BSS17" s="1"/>
      <c r="BST17" s="1"/>
      <c r="BSU17" s="1"/>
      <c r="BSV17" s="1"/>
      <c r="BSW17" s="1"/>
      <c r="BSX17" s="1"/>
      <c r="BSY17" s="1"/>
      <c r="BSZ17" s="1"/>
      <c r="BTA17" s="1"/>
      <c r="BTB17" s="1"/>
      <c r="BTC17" s="1"/>
      <c r="BTD17" s="1"/>
      <c r="BTE17" s="1"/>
      <c r="BTF17" s="1"/>
      <c r="BTG17" s="1"/>
      <c r="BTH17" s="1"/>
      <c r="BTI17" s="1"/>
      <c r="BTJ17" s="1"/>
      <c r="BTK17" s="1"/>
      <c r="BTL17" s="1"/>
      <c r="BTM17" s="1"/>
      <c r="BTN17" s="1"/>
      <c r="BTO17" s="1"/>
      <c r="BTP17" s="1"/>
      <c r="BTQ17" s="1"/>
      <c r="BTR17" s="1"/>
      <c r="BTS17" s="1"/>
      <c r="BTT17" s="1"/>
      <c r="BTU17" s="1"/>
      <c r="BTV17" s="1"/>
      <c r="BTW17" s="1"/>
      <c r="BTX17" s="1"/>
      <c r="BTY17" s="1"/>
      <c r="BTZ17" s="1"/>
      <c r="BUA17" s="1"/>
      <c r="BUB17" s="1"/>
      <c r="BUC17" s="1"/>
      <c r="BUD17" s="1"/>
      <c r="BUE17" s="1"/>
      <c r="BUF17" s="1"/>
      <c r="BUG17" s="1"/>
      <c r="BUH17" s="1"/>
      <c r="BUI17" s="1"/>
      <c r="BUJ17" s="1"/>
      <c r="BUK17" s="1"/>
      <c r="BUL17" s="1"/>
      <c r="BUM17" s="1"/>
      <c r="BUN17" s="1"/>
      <c r="BUO17" s="1"/>
      <c r="BUP17" s="1"/>
      <c r="BUQ17" s="1"/>
      <c r="BUR17" s="1"/>
      <c r="BUS17" s="1"/>
      <c r="BUT17" s="1"/>
      <c r="BUU17" s="1"/>
      <c r="BUV17" s="1"/>
      <c r="BUW17" s="1"/>
      <c r="BUX17" s="1"/>
      <c r="BUY17" s="1"/>
      <c r="BUZ17" s="1"/>
      <c r="BVA17" s="1"/>
      <c r="BVB17" s="1"/>
      <c r="BVC17" s="1"/>
      <c r="BVD17" s="1"/>
      <c r="BVE17" s="1"/>
      <c r="BVF17" s="1"/>
      <c r="BVG17" s="1"/>
      <c r="BVH17" s="1"/>
      <c r="BVI17" s="1"/>
      <c r="BVJ17" s="1"/>
      <c r="BVK17" s="1"/>
      <c r="BVL17" s="1"/>
      <c r="BVM17" s="1"/>
      <c r="BVN17" s="1"/>
      <c r="BVO17" s="1"/>
      <c r="BVP17" s="1"/>
      <c r="BVQ17" s="1"/>
      <c r="BVR17" s="1"/>
      <c r="BVS17" s="1"/>
      <c r="BVT17" s="1"/>
      <c r="BVU17" s="1"/>
      <c r="BVV17" s="1"/>
      <c r="BVW17" s="1"/>
      <c r="BVX17" s="1"/>
      <c r="BVY17" s="1"/>
      <c r="BVZ17" s="1"/>
      <c r="BWA17" s="1"/>
      <c r="BWB17" s="1"/>
      <c r="BWC17" s="1"/>
      <c r="BWD17" s="1"/>
      <c r="BWE17" s="1"/>
      <c r="BWF17" s="1"/>
      <c r="BWG17" s="1"/>
      <c r="BWH17" s="1"/>
      <c r="BWI17" s="1"/>
      <c r="BWJ17" s="1"/>
      <c r="BWK17" s="1"/>
      <c r="BWL17" s="1"/>
      <c r="BWM17" s="1"/>
      <c r="BWN17" s="1"/>
      <c r="BWO17" s="1"/>
      <c r="BWP17" s="1"/>
      <c r="BWQ17" s="1"/>
      <c r="BWR17" s="1"/>
      <c r="BWS17" s="1"/>
      <c r="BWT17" s="1"/>
      <c r="BWU17" s="1"/>
      <c r="BWV17" s="1"/>
      <c r="BWW17" s="1"/>
      <c r="BWX17" s="1"/>
      <c r="BWY17" s="1"/>
      <c r="BWZ17" s="1"/>
      <c r="BXA17" s="1"/>
      <c r="BXB17" s="1"/>
      <c r="BXC17" s="1"/>
      <c r="BXD17" s="1"/>
      <c r="BXE17" s="1"/>
      <c r="BXF17" s="1"/>
      <c r="BXG17" s="1"/>
      <c r="BXH17" s="1"/>
      <c r="BXI17" s="1"/>
      <c r="BXJ17" s="1"/>
      <c r="BXK17" s="1"/>
      <c r="BXL17" s="1"/>
      <c r="BXM17" s="1"/>
      <c r="BXN17" s="1"/>
      <c r="BXO17" s="1"/>
      <c r="BXP17" s="1"/>
      <c r="BXQ17" s="1"/>
      <c r="BXR17" s="1"/>
      <c r="BXS17" s="1"/>
      <c r="BXT17" s="1"/>
      <c r="BXU17" s="1"/>
      <c r="BXV17" s="1"/>
      <c r="BXW17" s="1"/>
      <c r="BXX17" s="1"/>
      <c r="BXY17" s="1"/>
      <c r="BXZ17" s="1"/>
      <c r="BYA17" s="1"/>
      <c r="BYB17" s="1"/>
      <c r="BYC17" s="1"/>
      <c r="BYD17" s="1"/>
      <c r="BYE17" s="1"/>
      <c r="BYF17" s="1"/>
      <c r="BYG17" s="1"/>
      <c r="BYH17" s="1"/>
      <c r="BYI17" s="1"/>
      <c r="BYJ17" s="1"/>
      <c r="BYK17" s="1"/>
      <c r="BYL17" s="1"/>
      <c r="BYM17" s="1"/>
      <c r="BYN17" s="1"/>
      <c r="BYO17" s="1"/>
      <c r="BYP17" s="1"/>
      <c r="BYQ17" s="1"/>
      <c r="BYR17" s="1"/>
      <c r="BYS17" s="1"/>
      <c r="BYT17" s="1"/>
      <c r="BYU17" s="1"/>
      <c r="BYV17" s="1"/>
      <c r="BYW17" s="1"/>
      <c r="BYX17" s="1"/>
      <c r="BYY17" s="1"/>
      <c r="BYZ17" s="1"/>
      <c r="BZA17" s="1"/>
      <c r="BZB17" s="1"/>
      <c r="BZC17" s="1"/>
      <c r="BZD17" s="1"/>
      <c r="BZE17" s="1"/>
      <c r="BZF17" s="1"/>
      <c r="BZG17" s="1"/>
      <c r="BZH17" s="1"/>
      <c r="BZI17" s="1"/>
      <c r="BZJ17" s="1"/>
      <c r="BZK17" s="1"/>
      <c r="BZL17" s="1"/>
      <c r="BZM17" s="1"/>
      <c r="BZN17" s="1"/>
      <c r="BZO17" s="1"/>
      <c r="BZP17" s="1"/>
      <c r="BZQ17" s="1"/>
      <c r="BZR17" s="1"/>
      <c r="BZS17" s="1"/>
      <c r="BZT17" s="1"/>
      <c r="BZU17" s="1"/>
      <c r="BZV17" s="1"/>
      <c r="BZW17" s="1"/>
      <c r="BZX17" s="1"/>
      <c r="BZY17" s="1"/>
      <c r="BZZ17" s="1"/>
      <c r="CAA17" s="1"/>
      <c r="CAB17" s="1"/>
      <c r="CAC17" s="1"/>
      <c r="CAD17" s="1"/>
      <c r="CAE17" s="1"/>
      <c r="CAF17" s="1"/>
      <c r="CAG17" s="1"/>
      <c r="CAH17" s="1"/>
      <c r="CAI17" s="1"/>
      <c r="CAJ17" s="1"/>
      <c r="CAK17" s="1"/>
      <c r="CAL17" s="1"/>
      <c r="CAM17" s="1"/>
      <c r="CAN17" s="1"/>
      <c r="CAO17" s="1"/>
      <c r="CAP17" s="1"/>
      <c r="CAQ17" s="1"/>
      <c r="CAR17" s="1"/>
      <c r="CAS17" s="1"/>
      <c r="CAT17" s="1"/>
      <c r="CAU17" s="1"/>
      <c r="CAV17" s="1"/>
      <c r="CAW17" s="1"/>
      <c r="CAX17" s="1"/>
      <c r="CAY17" s="1"/>
      <c r="CAZ17" s="1"/>
      <c r="CBA17" s="1"/>
      <c r="CBB17" s="1"/>
      <c r="CBC17" s="1"/>
      <c r="CBD17" s="1"/>
      <c r="CBE17" s="1"/>
      <c r="CBF17" s="1"/>
      <c r="CBG17" s="1"/>
      <c r="CBH17" s="1"/>
      <c r="CBI17" s="1"/>
      <c r="CBJ17" s="1"/>
      <c r="CBK17" s="1"/>
      <c r="CBL17" s="1"/>
      <c r="CBM17" s="1"/>
      <c r="CBN17" s="1"/>
      <c r="CBO17" s="1"/>
      <c r="CBP17" s="1"/>
      <c r="CBQ17" s="1"/>
      <c r="CBR17" s="1"/>
      <c r="CBS17" s="1"/>
      <c r="CBT17" s="1"/>
      <c r="CBU17" s="1"/>
      <c r="CBV17" s="1"/>
      <c r="CBW17" s="1"/>
      <c r="CBX17" s="1"/>
      <c r="CBY17" s="1"/>
      <c r="CBZ17" s="1"/>
      <c r="CCA17" s="1"/>
      <c r="CCB17" s="1"/>
      <c r="CCC17" s="1"/>
      <c r="CCD17" s="1"/>
      <c r="CCE17" s="1"/>
      <c r="CCF17" s="1"/>
      <c r="CCG17" s="1"/>
      <c r="CCH17" s="1"/>
      <c r="CCI17" s="1"/>
      <c r="CCJ17" s="1"/>
      <c r="CCK17" s="1"/>
      <c r="CCL17" s="1"/>
      <c r="CCM17" s="1"/>
      <c r="CCN17" s="1"/>
      <c r="CCO17" s="1"/>
      <c r="CCP17" s="1"/>
      <c r="CCQ17" s="1"/>
      <c r="CCR17" s="1"/>
      <c r="CCS17" s="1"/>
      <c r="CCT17" s="1"/>
      <c r="CCU17" s="1"/>
      <c r="CCV17" s="1"/>
      <c r="CCW17" s="1"/>
      <c r="CCX17" s="1"/>
      <c r="CCY17" s="1"/>
      <c r="CCZ17" s="1"/>
      <c r="CDA17" s="1"/>
      <c r="CDB17" s="1"/>
      <c r="CDC17" s="1"/>
      <c r="CDD17" s="1"/>
      <c r="CDE17" s="1"/>
      <c r="CDF17" s="1"/>
      <c r="CDG17" s="1"/>
      <c r="CDH17" s="1"/>
      <c r="CDI17" s="1"/>
      <c r="CDJ17" s="1"/>
      <c r="CDK17" s="1"/>
      <c r="CDL17" s="1"/>
      <c r="CDM17" s="1"/>
      <c r="CDN17" s="1"/>
      <c r="CDO17" s="1"/>
      <c r="CDP17" s="1"/>
      <c r="CDQ17" s="1"/>
      <c r="CDR17" s="1"/>
      <c r="CDS17" s="1"/>
      <c r="CDT17" s="1"/>
      <c r="CDU17" s="1"/>
      <c r="CDV17" s="1"/>
      <c r="CDW17" s="1"/>
      <c r="CDX17" s="1"/>
      <c r="CDY17" s="1"/>
      <c r="CDZ17" s="1"/>
      <c r="CEA17" s="1"/>
      <c r="CEB17" s="1"/>
      <c r="CEC17" s="1"/>
      <c r="CED17" s="1"/>
      <c r="CEE17" s="1"/>
      <c r="CEF17" s="1"/>
      <c r="CEG17" s="1"/>
      <c r="CEH17" s="1"/>
      <c r="CEI17" s="1"/>
      <c r="CEJ17" s="1"/>
      <c r="CEK17" s="1"/>
      <c r="CEL17" s="1"/>
      <c r="CEM17" s="1"/>
      <c r="CEN17" s="1"/>
      <c r="CEO17" s="1"/>
      <c r="CEP17" s="1"/>
      <c r="CEQ17" s="1"/>
      <c r="CER17" s="1"/>
      <c r="CES17" s="1"/>
      <c r="CET17" s="1"/>
      <c r="CEU17" s="1"/>
      <c r="CEV17" s="1"/>
      <c r="CEW17" s="1"/>
      <c r="CEX17" s="1"/>
      <c r="CEY17" s="1"/>
      <c r="CEZ17" s="1"/>
      <c r="CFA17" s="1"/>
      <c r="CFB17" s="1"/>
      <c r="CFC17" s="1"/>
      <c r="CFD17" s="1"/>
      <c r="CFE17" s="1"/>
      <c r="CFF17" s="1"/>
      <c r="CFG17" s="1"/>
      <c r="CFH17" s="1"/>
      <c r="CFI17" s="1"/>
      <c r="CFJ17" s="1"/>
      <c r="CFK17" s="1"/>
      <c r="CFL17" s="1"/>
      <c r="CFM17" s="1"/>
      <c r="CFN17" s="1"/>
      <c r="CFO17" s="1"/>
      <c r="CFP17" s="1"/>
      <c r="CFQ17" s="1"/>
      <c r="CFR17" s="1"/>
      <c r="CFS17" s="1"/>
      <c r="CFT17" s="1"/>
      <c r="CFU17" s="1"/>
      <c r="CFV17" s="1"/>
      <c r="CFW17" s="1"/>
      <c r="CFX17" s="1"/>
      <c r="CFY17" s="1"/>
      <c r="CFZ17" s="1"/>
      <c r="CGA17" s="1"/>
      <c r="CGB17" s="1"/>
      <c r="CGC17" s="1"/>
      <c r="CGD17" s="1"/>
      <c r="CGE17" s="1"/>
      <c r="CGF17" s="1"/>
      <c r="CGG17" s="1"/>
      <c r="CGH17" s="1"/>
      <c r="CGI17" s="1"/>
      <c r="CGJ17" s="1"/>
      <c r="CGK17" s="1"/>
      <c r="CGL17" s="1"/>
      <c r="CGM17" s="1"/>
      <c r="CGN17" s="1"/>
      <c r="CGO17" s="1"/>
      <c r="CGP17" s="1"/>
      <c r="CGQ17" s="1"/>
      <c r="CGR17" s="1"/>
      <c r="CGS17" s="1"/>
      <c r="CGT17" s="1"/>
      <c r="CGU17" s="1"/>
      <c r="CGV17" s="1"/>
      <c r="CGW17" s="1"/>
      <c r="CGX17" s="1"/>
      <c r="CGY17" s="1"/>
      <c r="CGZ17" s="1"/>
      <c r="CHA17" s="1"/>
      <c r="CHB17" s="1"/>
      <c r="CHC17" s="1"/>
      <c r="CHD17" s="1"/>
      <c r="CHE17" s="1"/>
      <c r="CHF17" s="1"/>
      <c r="CHG17" s="1"/>
      <c r="CHH17" s="1"/>
      <c r="CHI17" s="1"/>
      <c r="CHJ17" s="1"/>
      <c r="CHK17" s="1"/>
      <c r="CHL17" s="1"/>
      <c r="CHM17" s="1"/>
      <c r="CHN17" s="1"/>
      <c r="CHO17" s="1"/>
      <c r="CHP17" s="1"/>
      <c r="CHQ17" s="1"/>
      <c r="CHR17" s="1"/>
      <c r="CHS17" s="1"/>
      <c r="CHT17" s="1"/>
      <c r="CHU17" s="1"/>
      <c r="CHV17" s="1"/>
      <c r="CHW17" s="1"/>
      <c r="CHX17" s="1"/>
      <c r="CHY17" s="1"/>
      <c r="CHZ17" s="1"/>
      <c r="CIA17" s="1"/>
      <c r="CIB17" s="1"/>
      <c r="CIC17" s="1"/>
      <c r="CID17" s="1"/>
      <c r="CIE17" s="1"/>
      <c r="CIF17" s="1"/>
      <c r="CIG17" s="1"/>
      <c r="CIH17" s="1"/>
      <c r="CII17" s="1"/>
      <c r="CIJ17" s="1"/>
      <c r="CIK17" s="1"/>
      <c r="CIL17" s="1"/>
      <c r="CIM17" s="1"/>
      <c r="CIN17" s="1"/>
      <c r="CIO17" s="1"/>
      <c r="CIP17" s="1"/>
      <c r="CIQ17" s="1"/>
      <c r="CIR17" s="1"/>
      <c r="CIS17" s="1"/>
      <c r="CIT17" s="1"/>
      <c r="CIU17" s="1"/>
      <c r="CIV17" s="1"/>
      <c r="CIW17" s="1"/>
      <c r="CIX17" s="1"/>
      <c r="CIY17" s="1"/>
      <c r="CIZ17" s="1"/>
      <c r="CJA17" s="1"/>
      <c r="CJB17" s="1"/>
      <c r="CJC17" s="1"/>
      <c r="CJD17" s="1"/>
      <c r="CJE17" s="1"/>
      <c r="CJF17" s="1"/>
      <c r="CJG17" s="1"/>
      <c r="CJH17" s="1"/>
      <c r="CJI17" s="1"/>
      <c r="CJJ17" s="1"/>
      <c r="CJK17" s="1"/>
      <c r="CJL17" s="1"/>
      <c r="CJM17" s="1"/>
      <c r="CJN17" s="1"/>
      <c r="CJO17" s="1"/>
      <c r="CJP17" s="1"/>
      <c r="CJQ17" s="1"/>
      <c r="CJR17" s="1"/>
      <c r="CJS17" s="1"/>
      <c r="CJT17" s="1"/>
      <c r="CJU17" s="1"/>
      <c r="CJV17" s="1"/>
      <c r="CJW17" s="1"/>
      <c r="CJX17" s="1"/>
      <c r="CJY17" s="1"/>
      <c r="CJZ17" s="1"/>
      <c r="CKA17" s="1"/>
      <c r="CKB17" s="1"/>
      <c r="CKC17" s="1"/>
      <c r="CKD17" s="1"/>
      <c r="CKE17" s="1"/>
      <c r="CKF17" s="1"/>
      <c r="CKG17" s="1"/>
      <c r="CKH17" s="1"/>
      <c r="CKI17" s="1"/>
      <c r="CKJ17" s="1"/>
      <c r="CKK17" s="1"/>
      <c r="CKL17" s="1"/>
      <c r="CKM17" s="1"/>
      <c r="CKN17" s="1"/>
      <c r="CKO17" s="1"/>
      <c r="CKP17" s="1"/>
      <c r="CKQ17" s="1"/>
      <c r="CKR17" s="1"/>
      <c r="CKS17" s="1"/>
      <c r="CKT17" s="1"/>
      <c r="CKU17" s="1"/>
      <c r="CKV17" s="1"/>
      <c r="CKW17" s="1"/>
      <c r="CKX17" s="1"/>
      <c r="CKY17" s="1"/>
      <c r="CKZ17" s="1"/>
      <c r="CLA17" s="1"/>
      <c r="CLB17" s="1"/>
      <c r="CLC17" s="1"/>
      <c r="CLD17" s="1"/>
      <c r="CLE17" s="1"/>
      <c r="CLF17" s="1"/>
      <c r="CLG17" s="1"/>
      <c r="CLH17" s="1"/>
      <c r="CLI17" s="1"/>
      <c r="CLJ17" s="1"/>
      <c r="CLK17" s="1"/>
      <c r="CLL17" s="1"/>
      <c r="CLM17" s="1"/>
      <c r="CLN17" s="1"/>
      <c r="CLO17" s="1"/>
      <c r="CLP17" s="1"/>
      <c r="CLQ17" s="1"/>
      <c r="CLR17" s="1"/>
      <c r="CLS17" s="1"/>
      <c r="CLT17" s="1"/>
      <c r="CLU17" s="1"/>
      <c r="CLV17" s="1"/>
      <c r="CLW17" s="1"/>
      <c r="CLX17" s="1"/>
      <c r="CLY17" s="1"/>
      <c r="CLZ17" s="1"/>
      <c r="CMA17" s="1"/>
      <c r="CMB17" s="1"/>
      <c r="CMC17" s="1"/>
      <c r="CMD17" s="1"/>
      <c r="CME17" s="1"/>
      <c r="CMF17" s="1"/>
      <c r="CMG17" s="1"/>
      <c r="CMH17" s="1"/>
      <c r="CMI17" s="1"/>
      <c r="CMJ17" s="1"/>
      <c r="CMK17" s="1"/>
      <c r="CML17" s="1"/>
      <c r="CMM17" s="1"/>
      <c r="CMN17" s="1"/>
      <c r="CMO17" s="1"/>
      <c r="CMP17" s="1"/>
      <c r="CMQ17" s="1"/>
      <c r="CMR17" s="1"/>
      <c r="CMS17" s="1"/>
      <c r="CMT17" s="1"/>
      <c r="CMU17" s="1"/>
      <c r="CMV17" s="1"/>
      <c r="CMW17" s="1"/>
      <c r="CMX17" s="1"/>
      <c r="CMY17" s="1"/>
      <c r="CMZ17" s="1"/>
      <c r="CNA17" s="1"/>
      <c r="CNB17" s="1"/>
      <c r="CNC17" s="1"/>
      <c r="CND17" s="1"/>
      <c r="CNE17" s="1"/>
      <c r="CNF17" s="1"/>
      <c r="CNG17" s="1"/>
      <c r="CNH17" s="1"/>
      <c r="CNI17" s="1"/>
      <c r="CNJ17" s="1"/>
      <c r="CNK17" s="1"/>
      <c r="CNL17" s="1"/>
      <c r="CNM17" s="1"/>
      <c r="CNN17" s="1"/>
      <c r="CNO17" s="1"/>
      <c r="CNP17" s="1"/>
      <c r="CNQ17" s="1"/>
      <c r="CNR17" s="1"/>
      <c r="CNS17" s="1"/>
      <c r="CNT17" s="1"/>
      <c r="CNU17" s="1"/>
      <c r="CNV17" s="1"/>
      <c r="CNW17" s="1"/>
      <c r="CNX17" s="1"/>
      <c r="CNY17" s="1"/>
      <c r="CNZ17" s="1"/>
      <c r="COA17" s="1"/>
      <c r="COB17" s="1"/>
      <c r="COC17" s="1"/>
      <c r="COD17" s="1"/>
      <c r="COE17" s="1"/>
      <c r="COF17" s="1"/>
      <c r="COG17" s="1"/>
      <c r="COH17" s="1"/>
      <c r="COI17" s="1"/>
      <c r="COJ17" s="1"/>
      <c r="COK17" s="1"/>
      <c r="COL17" s="1"/>
      <c r="COM17" s="1"/>
      <c r="CON17" s="1"/>
      <c r="COO17" s="1"/>
      <c r="COP17" s="1"/>
      <c r="COQ17" s="1"/>
      <c r="COR17" s="1"/>
      <c r="COS17" s="1"/>
      <c r="COT17" s="1"/>
      <c r="COU17" s="1"/>
      <c r="COV17" s="1"/>
      <c r="COW17" s="1"/>
      <c r="COX17" s="1"/>
      <c r="COY17" s="1"/>
      <c r="COZ17" s="1"/>
      <c r="CPA17" s="1"/>
      <c r="CPB17" s="1"/>
      <c r="CPC17" s="1"/>
      <c r="CPD17" s="1"/>
      <c r="CPE17" s="1"/>
      <c r="CPF17" s="1"/>
      <c r="CPG17" s="1"/>
      <c r="CPH17" s="1"/>
      <c r="CPI17" s="1"/>
      <c r="CPJ17" s="1"/>
      <c r="CPK17" s="1"/>
      <c r="CPL17" s="1"/>
      <c r="CPM17" s="1"/>
      <c r="CPN17" s="1"/>
      <c r="CPO17" s="1"/>
      <c r="CPP17" s="1"/>
      <c r="CPQ17" s="1"/>
      <c r="CPR17" s="1"/>
      <c r="CPS17" s="1"/>
      <c r="CPT17" s="1"/>
      <c r="CPU17" s="1"/>
      <c r="CPV17" s="1"/>
      <c r="CPW17" s="1"/>
      <c r="CPX17" s="1"/>
      <c r="CPY17" s="1"/>
      <c r="CPZ17" s="1"/>
      <c r="CQA17" s="1"/>
      <c r="CQB17" s="1"/>
      <c r="CQC17" s="1"/>
      <c r="CQD17" s="1"/>
      <c r="CQE17" s="1"/>
      <c r="CQF17" s="1"/>
      <c r="CQG17" s="1"/>
      <c r="CQH17" s="1"/>
      <c r="CQI17" s="1"/>
      <c r="CQJ17" s="1"/>
      <c r="CQK17" s="1"/>
      <c r="CQL17" s="1"/>
      <c r="CQM17" s="1"/>
      <c r="CQN17" s="1"/>
      <c r="CQO17" s="1"/>
      <c r="CQP17" s="1"/>
      <c r="CQQ17" s="1"/>
      <c r="CQR17" s="1"/>
      <c r="CQS17" s="1"/>
      <c r="CQT17" s="1"/>
      <c r="CQU17" s="1"/>
      <c r="CQV17" s="1"/>
      <c r="CQW17" s="1"/>
      <c r="CQX17" s="1"/>
      <c r="CQY17" s="1"/>
      <c r="CQZ17" s="1"/>
      <c r="CRA17" s="1"/>
      <c r="CRB17" s="1"/>
      <c r="CRC17" s="1"/>
      <c r="CRD17" s="1"/>
      <c r="CRE17" s="1"/>
      <c r="CRF17" s="1"/>
      <c r="CRG17" s="1"/>
      <c r="CRH17" s="1"/>
      <c r="CRI17" s="1"/>
      <c r="CRJ17" s="1"/>
      <c r="CRK17" s="1"/>
      <c r="CRL17" s="1"/>
      <c r="CRM17" s="1"/>
      <c r="CRN17" s="1"/>
      <c r="CRO17" s="1"/>
      <c r="CRP17" s="1"/>
      <c r="CRQ17" s="1"/>
      <c r="CRR17" s="1"/>
      <c r="CRS17" s="1"/>
      <c r="CRT17" s="1"/>
      <c r="CRU17" s="1"/>
      <c r="CRV17" s="1"/>
      <c r="CRW17" s="1"/>
      <c r="CRX17" s="1"/>
      <c r="CRY17" s="1"/>
      <c r="CRZ17" s="1"/>
      <c r="CSA17" s="1"/>
      <c r="CSB17" s="1"/>
      <c r="CSC17" s="1"/>
      <c r="CSD17" s="1"/>
      <c r="CSE17" s="1"/>
      <c r="CSF17" s="1"/>
      <c r="CSG17" s="1"/>
      <c r="CSH17" s="1"/>
      <c r="CSI17" s="1"/>
      <c r="CSJ17" s="1"/>
      <c r="CSK17" s="1"/>
      <c r="CSL17" s="1"/>
      <c r="CSM17" s="1"/>
      <c r="CSN17" s="1"/>
      <c r="CSO17" s="1"/>
      <c r="CSP17" s="1"/>
      <c r="CSQ17" s="1"/>
      <c r="CSR17" s="1"/>
      <c r="CSS17" s="1"/>
      <c r="CST17" s="1"/>
      <c r="CSU17" s="1"/>
      <c r="CSV17" s="1"/>
      <c r="CSW17" s="1"/>
      <c r="CSX17" s="1"/>
      <c r="CSY17" s="1"/>
      <c r="CSZ17" s="1"/>
      <c r="CTA17" s="1"/>
      <c r="CTB17" s="1"/>
      <c r="CTC17" s="1"/>
      <c r="CTD17" s="1"/>
      <c r="CTE17" s="1"/>
      <c r="CTF17" s="1"/>
      <c r="CTG17" s="1"/>
      <c r="CTH17" s="1"/>
      <c r="CTI17" s="1"/>
      <c r="CTJ17" s="1"/>
      <c r="CTK17" s="1"/>
      <c r="CTL17" s="1"/>
      <c r="CTM17" s="1"/>
      <c r="CTN17" s="1"/>
      <c r="CTO17" s="1"/>
      <c r="CTP17" s="1"/>
      <c r="CTQ17" s="1"/>
      <c r="CTR17" s="1"/>
      <c r="CTS17" s="1"/>
      <c r="CTT17" s="1"/>
      <c r="CTU17" s="1"/>
      <c r="CTV17" s="1"/>
      <c r="CTW17" s="1"/>
      <c r="CTX17" s="1"/>
      <c r="CTY17" s="1"/>
      <c r="CTZ17" s="1"/>
      <c r="CUA17" s="1"/>
      <c r="CUB17" s="1"/>
      <c r="CUC17" s="1"/>
      <c r="CUD17" s="1"/>
      <c r="CUE17" s="1"/>
      <c r="CUF17" s="1"/>
      <c r="CUG17" s="1"/>
      <c r="CUH17" s="1"/>
      <c r="CUI17" s="1"/>
      <c r="CUJ17" s="1"/>
      <c r="CUK17" s="1"/>
      <c r="CUL17" s="1"/>
      <c r="CUM17" s="1"/>
      <c r="CUN17" s="1"/>
      <c r="CUO17" s="1"/>
      <c r="CUP17" s="1"/>
      <c r="CUQ17" s="1"/>
      <c r="CUR17" s="1"/>
      <c r="CUS17" s="1"/>
      <c r="CUT17" s="1"/>
      <c r="CUU17" s="1"/>
      <c r="CUV17" s="1"/>
      <c r="CUW17" s="1"/>
      <c r="CUX17" s="1"/>
      <c r="CUY17" s="1"/>
      <c r="CUZ17" s="1"/>
      <c r="CVA17" s="1"/>
      <c r="CVB17" s="1"/>
      <c r="CVC17" s="1"/>
      <c r="CVD17" s="1"/>
      <c r="CVE17" s="1"/>
      <c r="CVF17" s="1"/>
      <c r="CVG17" s="1"/>
      <c r="CVH17" s="1"/>
      <c r="CVI17" s="1"/>
      <c r="CVJ17" s="1"/>
      <c r="CVK17" s="1"/>
      <c r="CVL17" s="1"/>
      <c r="CVM17" s="1"/>
      <c r="CVN17" s="1"/>
      <c r="CVO17" s="1"/>
      <c r="CVP17" s="1"/>
      <c r="CVQ17" s="1"/>
      <c r="CVR17" s="1"/>
      <c r="CVS17" s="1"/>
      <c r="CVT17" s="1"/>
      <c r="CVU17" s="1"/>
      <c r="CVV17" s="1"/>
      <c r="CVW17" s="1"/>
      <c r="CVX17" s="1"/>
      <c r="CVY17" s="1"/>
      <c r="CVZ17" s="1"/>
      <c r="CWA17" s="1"/>
      <c r="CWB17" s="1"/>
      <c r="CWC17" s="1"/>
      <c r="CWD17" s="1"/>
      <c r="CWE17" s="1"/>
      <c r="CWF17" s="1"/>
      <c r="CWG17" s="1"/>
      <c r="CWH17" s="1"/>
      <c r="CWI17" s="1"/>
      <c r="CWJ17" s="1"/>
      <c r="CWK17" s="1"/>
      <c r="CWL17" s="1"/>
      <c r="CWM17" s="1"/>
      <c r="CWN17" s="1"/>
      <c r="CWO17" s="1"/>
      <c r="CWP17" s="1"/>
      <c r="CWQ17" s="1"/>
      <c r="CWR17" s="1"/>
      <c r="CWS17" s="1"/>
      <c r="CWT17" s="1"/>
      <c r="CWU17" s="1"/>
      <c r="CWV17" s="1"/>
      <c r="CWW17" s="1"/>
      <c r="CWX17" s="1"/>
      <c r="CWY17" s="1"/>
      <c r="CWZ17" s="1"/>
      <c r="CXA17" s="1"/>
      <c r="CXB17" s="1"/>
      <c r="CXC17" s="1"/>
      <c r="CXD17" s="1"/>
      <c r="CXE17" s="1"/>
      <c r="CXF17" s="1"/>
      <c r="CXG17" s="1"/>
      <c r="CXH17" s="1"/>
      <c r="CXI17" s="1"/>
      <c r="CXJ17" s="1"/>
      <c r="CXK17" s="1"/>
      <c r="CXL17" s="1"/>
      <c r="CXM17" s="1"/>
      <c r="CXN17" s="1"/>
      <c r="CXO17" s="1"/>
      <c r="CXP17" s="1"/>
      <c r="CXQ17" s="1"/>
      <c r="CXR17" s="1"/>
      <c r="CXS17" s="1"/>
      <c r="CXT17" s="1"/>
      <c r="CXU17" s="1"/>
      <c r="CXV17" s="1"/>
      <c r="CXW17" s="1"/>
      <c r="CXX17" s="1"/>
      <c r="CXY17" s="1"/>
      <c r="CXZ17" s="1"/>
      <c r="CYA17" s="1"/>
      <c r="CYB17" s="1"/>
      <c r="CYC17" s="1"/>
      <c r="CYD17" s="1"/>
      <c r="CYE17" s="1"/>
      <c r="CYF17" s="1"/>
      <c r="CYG17" s="1"/>
      <c r="CYH17" s="1"/>
      <c r="CYI17" s="1"/>
      <c r="CYJ17" s="1"/>
      <c r="CYK17" s="1"/>
      <c r="CYL17" s="1"/>
      <c r="CYM17" s="1"/>
      <c r="CYN17" s="1"/>
      <c r="CYO17" s="1"/>
      <c r="CYP17" s="1"/>
      <c r="CYQ17" s="1"/>
      <c r="CYR17" s="1"/>
      <c r="CYS17" s="1"/>
      <c r="CYT17" s="1"/>
      <c r="CYU17" s="1"/>
      <c r="CYV17" s="1"/>
      <c r="CYW17" s="1"/>
      <c r="CYX17" s="1"/>
      <c r="CYY17" s="1"/>
      <c r="CYZ17" s="1"/>
      <c r="CZA17" s="1"/>
      <c r="CZB17" s="1"/>
      <c r="CZC17" s="1"/>
      <c r="CZD17" s="1"/>
      <c r="CZE17" s="1"/>
      <c r="CZF17" s="1"/>
      <c r="CZG17" s="1"/>
      <c r="CZH17" s="1"/>
      <c r="CZI17" s="1"/>
      <c r="CZJ17" s="1"/>
      <c r="CZK17" s="1"/>
      <c r="CZL17" s="1"/>
      <c r="CZM17" s="1"/>
      <c r="CZN17" s="1"/>
      <c r="CZO17" s="1"/>
      <c r="CZP17" s="1"/>
      <c r="CZQ17" s="1"/>
      <c r="CZR17" s="1"/>
      <c r="CZS17" s="1"/>
      <c r="CZT17" s="1"/>
      <c r="CZU17" s="1"/>
      <c r="CZV17" s="1"/>
      <c r="CZW17" s="1"/>
      <c r="CZX17" s="1"/>
      <c r="CZY17" s="1"/>
      <c r="CZZ17" s="1"/>
      <c r="DAA17" s="1"/>
      <c r="DAB17" s="1"/>
      <c r="DAC17" s="1"/>
      <c r="DAD17" s="1"/>
      <c r="DAE17" s="1"/>
      <c r="DAF17" s="1"/>
      <c r="DAG17" s="1"/>
      <c r="DAH17" s="1"/>
      <c r="DAI17" s="1"/>
      <c r="DAJ17" s="1"/>
      <c r="DAK17" s="1"/>
      <c r="DAL17" s="1"/>
      <c r="DAM17" s="1"/>
      <c r="DAN17" s="1"/>
      <c r="DAO17" s="1"/>
      <c r="DAP17" s="1"/>
      <c r="DAQ17" s="1"/>
      <c r="DAR17" s="1"/>
      <c r="DAS17" s="1"/>
      <c r="DAT17" s="1"/>
      <c r="DAU17" s="1"/>
      <c r="DAV17" s="1"/>
      <c r="DAW17" s="1"/>
      <c r="DAX17" s="1"/>
      <c r="DAY17" s="1"/>
      <c r="DAZ17" s="1"/>
      <c r="DBA17" s="1"/>
      <c r="DBB17" s="1"/>
      <c r="DBC17" s="1"/>
      <c r="DBD17" s="1"/>
      <c r="DBE17" s="1"/>
      <c r="DBF17" s="1"/>
      <c r="DBG17" s="1"/>
      <c r="DBH17" s="1"/>
      <c r="DBI17" s="1"/>
      <c r="DBJ17" s="1"/>
      <c r="DBK17" s="1"/>
      <c r="DBL17" s="1"/>
      <c r="DBM17" s="1"/>
      <c r="DBN17" s="1"/>
      <c r="DBO17" s="1"/>
      <c r="DBP17" s="1"/>
      <c r="DBQ17" s="1"/>
      <c r="DBR17" s="1"/>
      <c r="DBS17" s="1"/>
      <c r="DBT17" s="1"/>
      <c r="DBU17" s="1"/>
      <c r="DBV17" s="1"/>
      <c r="DBW17" s="1"/>
      <c r="DBX17" s="1"/>
      <c r="DBY17" s="1"/>
      <c r="DBZ17" s="1"/>
      <c r="DCA17" s="1"/>
      <c r="DCB17" s="1"/>
      <c r="DCC17" s="1"/>
      <c r="DCD17" s="1"/>
      <c r="DCE17" s="1"/>
      <c r="DCF17" s="1"/>
      <c r="DCG17" s="1"/>
      <c r="DCH17" s="1"/>
      <c r="DCI17" s="1"/>
      <c r="DCJ17" s="1"/>
      <c r="DCK17" s="1"/>
      <c r="DCL17" s="1"/>
      <c r="DCM17" s="1"/>
      <c r="DCN17" s="1"/>
      <c r="DCO17" s="1"/>
      <c r="DCP17" s="1"/>
      <c r="DCQ17" s="1"/>
      <c r="DCR17" s="1"/>
      <c r="DCS17" s="1"/>
      <c r="DCT17" s="1"/>
      <c r="DCU17" s="1"/>
      <c r="DCV17" s="1"/>
      <c r="DCW17" s="1"/>
      <c r="DCX17" s="1"/>
      <c r="DCY17" s="1"/>
      <c r="DCZ17" s="1"/>
      <c r="DDA17" s="1"/>
      <c r="DDB17" s="1"/>
      <c r="DDC17" s="1"/>
      <c r="DDD17" s="1"/>
      <c r="DDE17" s="1"/>
      <c r="DDF17" s="1"/>
      <c r="DDG17" s="1"/>
      <c r="DDH17" s="1"/>
      <c r="DDI17" s="1"/>
      <c r="DDJ17" s="1"/>
      <c r="DDK17" s="1"/>
      <c r="DDL17" s="1"/>
      <c r="DDM17" s="1"/>
      <c r="DDN17" s="1"/>
      <c r="DDO17" s="1"/>
      <c r="DDP17" s="1"/>
      <c r="DDQ17" s="1"/>
      <c r="DDR17" s="1"/>
      <c r="DDS17" s="1"/>
      <c r="DDT17" s="1"/>
      <c r="DDU17" s="1"/>
      <c r="DDV17" s="1"/>
      <c r="DDW17" s="1"/>
      <c r="DDX17" s="1"/>
      <c r="DDY17" s="1"/>
      <c r="DDZ17" s="1"/>
      <c r="DEA17" s="1"/>
      <c r="DEB17" s="1"/>
      <c r="DEC17" s="1"/>
      <c r="DED17" s="1"/>
      <c r="DEE17" s="1"/>
      <c r="DEF17" s="1"/>
      <c r="DEG17" s="1"/>
      <c r="DEH17" s="1"/>
      <c r="DEI17" s="1"/>
      <c r="DEJ17" s="1"/>
      <c r="DEK17" s="1"/>
      <c r="DEL17" s="1"/>
      <c r="DEM17" s="1"/>
      <c r="DEN17" s="1"/>
      <c r="DEO17" s="1"/>
      <c r="DEP17" s="1"/>
      <c r="DEQ17" s="1"/>
      <c r="DER17" s="1"/>
      <c r="DES17" s="1"/>
      <c r="DET17" s="1"/>
      <c r="DEU17" s="1"/>
      <c r="DEV17" s="1"/>
      <c r="DEW17" s="1"/>
      <c r="DEX17" s="1"/>
      <c r="DEY17" s="1"/>
      <c r="DEZ17" s="1"/>
      <c r="DFA17" s="1"/>
      <c r="DFB17" s="1"/>
      <c r="DFC17" s="1"/>
      <c r="DFD17" s="1"/>
      <c r="DFE17" s="1"/>
      <c r="DFF17" s="1"/>
      <c r="DFG17" s="1"/>
      <c r="DFH17" s="1"/>
      <c r="DFI17" s="1"/>
      <c r="DFJ17" s="1"/>
      <c r="DFK17" s="1"/>
      <c r="DFL17" s="1"/>
      <c r="DFM17" s="1"/>
      <c r="DFN17" s="1"/>
      <c r="DFO17" s="1"/>
      <c r="DFP17" s="1"/>
      <c r="DFQ17" s="1"/>
      <c r="DFR17" s="1"/>
      <c r="DFS17" s="1"/>
      <c r="DFT17" s="1"/>
      <c r="DFU17" s="1"/>
      <c r="DFV17" s="1"/>
      <c r="DFW17" s="1"/>
      <c r="DFX17" s="1"/>
      <c r="DFY17" s="1"/>
      <c r="DFZ17" s="1"/>
      <c r="DGA17" s="1"/>
      <c r="DGB17" s="1"/>
      <c r="DGC17" s="1"/>
      <c r="DGD17" s="1"/>
      <c r="DGE17" s="1"/>
      <c r="DGF17" s="1"/>
      <c r="DGG17" s="1"/>
      <c r="DGH17" s="1"/>
      <c r="DGI17" s="1"/>
      <c r="DGJ17" s="1"/>
      <c r="DGK17" s="1"/>
      <c r="DGL17" s="1"/>
      <c r="DGM17" s="1"/>
      <c r="DGN17" s="1"/>
      <c r="DGO17" s="1"/>
      <c r="DGP17" s="1"/>
      <c r="DGQ17" s="1"/>
      <c r="DGR17" s="1"/>
      <c r="DGS17" s="1"/>
      <c r="DGT17" s="1"/>
      <c r="DGU17" s="1"/>
      <c r="DGV17" s="1"/>
      <c r="DGW17" s="1"/>
      <c r="DGX17" s="1"/>
      <c r="DGY17" s="1"/>
      <c r="DGZ17" s="1"/>
      <c r="DHA17" s="1"/>
      <c r="DHB17" s="1"/>
      <c r="DHC17" s="1"/>
      <c r="DHD17" s="1"/>
      <c r="DHE17" s="1"/>
      <c r="DHF17" s="1"/>
      <c r="DHG17" s="1"/>
      <c r="DHH17" s="1"/>
      <c r="DHI17" s="1"/>
      <c r="DHJ17" s="1"/>
      <c r="DHK17" s="1"/>
      <c r="DHL17" s="1"/>
      <c r="DHM17" s="1"/>
      <c r="DHN17" s="1"/>
      <c r="DHO17" s="1"/>
      <c r="DHP17" s="1"/>
      <c r="DHQ17" s="1"/>
      <c r="DHR17" s="1"/>
      <c r="DHS17" s="1"/>
      <c r="DHT17" s="1"/>
      <c r="DHU17" s="1"/>
      <c r="DHV17" s="1"/>
      <c r="DHW17" s="1"/>
      <c r="DHX17" s="1"/>
      <c r="DHY17" s="1"/>
      <c r="DHZ17" s="1"/>
      <c r="DIA17" s="1"/>
      <c r="DIB17" s="1"/>
      <c r="DIC17" s="1"/>
      <c r="DID17" s="1"/>
      <c r="DIE17" s="1"/>
      <c r="DIF17" s="1"/>
      <c r="DIG17" s="1"/>
      <c r="DIH17" s="1"/>
      <c r="DII17" s="1"/>
      <c r="DIJ17" s="1"/>
      <c r="DIK17" s="1"/>
      <c r="DIL17" s="1"/>
      <c r="DIM17" s="1"/>
      <c r="DIN17" s="1"/>
      <c r="DIO17" s="1"/>
      <c r="DIP17" s="1"/>
      <c r="DIQ17" s="1"/>
      <c r="DIR17" s="1"/>
      <c r="DIS17" s="1"/>
      <c r="DIT17" s="1"/>
      <c r="DIU17" s="1"/>
      <c r="DIV17" s="1"/>
      <c r="DIW17" s="1"/>
      <c r="DIX17" s="1"/>
      <c r="DIY17" s="1"/>
      <c r="DIZ17" s="1"/>
      <c r="DJA17" s="1"/>
      <c r="DJB17" s="1"/>
      <c r="DJC17" s="1"/>
      <c r="DJD17" s="1"/>
      <c r="DJE17" s="1"/>
      <c r="DJF17" s="1"/>
      <c r="DJG17" s="1"/>
      <c r="DJH17" s="1"/>
      <c r="DJI17" s="1"/>
      <c r="DJJ17" s="1"/>
      <c r="DJK17" s="1"/>
      <c r="DJL17" s="1"/>
      <c r="DJM17" s="1"/>
      <c r="DJN17" s="1"/>
      <c r="DJO17" s="1"/>
      <c r="DJP17" s="1"/>
      <c r="DJQ17" s="1"/>
      <c r="DJR17" s="1"/>
      <c r="DJS17" s="1"/>
      <c r="DJT17" s="1"/>
      <c r="DJU17" s="1"/>
      <c r="DJV17" s="1"/>
      <c r="DJW17" s="1"/>
      <c r="DJX17" s="1"/>
      <c r="DJY17" s="1"/>
      <c r="DJZ17" s="1"/>
      <c r="DKA17" s="1"/>
      <c r="DKB17" s="1"/>
      <c r="DKC17" s="1"/>
      <c r="DKD17" s="1"/>
      <c r="DKE17" s="1"/>
      <c r="DKF17" s="1"/>
      <c r="DKG17" s="1"/>
      <c r="DKH17" s="1"/>
      <c r="DKI17" s="1"/>
      <c r="DKJ17" s="1"/>
      <c r="DKK17" s="1"/>
      <c r="DKL17" s="1"/>
      <c r="DKM17" s="1"/>
      <c r="DKN17" s="1"/>
      <c r="DKO17" s="1"/>
      <c r="DKP17" s="1"/>
      <c r="DKQ17" s="1"/>
      <c r="DKR17" s="1"/>
      <c r="DKS17" s="1"/>
      <c r="DKT17" s="1"/>
      <c r="DKU17" s="1"/>
      <c r="DKV17" s="1"/>
      <c r="DKW17" s="1"/>
      <c r="DKX17" s="1"/>
      <c r="DKY17" s="1"/>
      <c r="DKZ17" s="1"/>
      <c r="DLA17" s="1"/>
      <c r="DLB17" s="1"/>
      <c r="DLC17" s="1"/>
      <c r="DLD17" s="1"/>
      <c r="DLE17" s="1"/>
      <c r="DLF17" s="1"/>
      <c r="DLG17" s="1"/>
      <c r="DLH17" s="1"/>
      <c r="DLI17" s="1"/>
      <c r="DLJ17" s="1"/>
      <c r="DLK17" s="1"/>
      <c r="DLL17" s="1"/>
      <c r="DLM17" s="1"/>
      <c r="DLN17" s="1"/>
      <c r="DLO17" s="1"/>
      <c r="DLP17" s="1"/>
      <c r="DLQ17" s="1"/>
      <c r="DLR17" s="1"/>
      <c r="DLS17" s="1"/>
      <c r="DLT17" s="1"/>
      <c r="DLU17" s="1"/>
      <c r="DLV17" s="1"/>
      <c r="DLW17" s="1"/>
      <c r="DLX17" s="1"/>
      <c r="DLY17" s="1"/>
      <c r="DLZ17" s="1"/>
      <c r="DMA17" s="1"/>
      <c r="DMB17" s="1"/>
      <c r="DMC17" s="1"/>
      <c r="DMD17" s="1"/>
      <c r="DME17" s="1"/>
      <c r="DMF17" s="1"/>
      <c r="DMG17" s="1"/>
      <c r="DMH17" s="1"/>
      <c r="DMI17" s="1"/>
      <c r="DMJ17" s="1"/>
      <c r="DMK17" s="1"/>
      <c r="DML17" s="1"/>
      <c r="DMM17" s="1"/>
      <c r="DMN17" s="1"/>
      <c r="DMO17" s="1"/>
      <c r="DMP17" s="1"/>
      <c r="DMQ17" s="1"/>
      <c r="DMR17" s="1"/>
      <c r="DMS17" s="1"/>
      <c r="DMT17" s="1"/>
      <c r="DMU17" s="1"/>
      <c r="DMV17" s="1"/>
      <c r="DMW17" s="1"/>
      <c r="DMX17" s="1"/>
      <c r="DMY17" s="1"/>
      <c r="DMZ17" s="1"/>
      <c r="DNA17" s="1"/>
      <c r="DNB17" s="1"/>
      <c r="DNC17" s="1"/>
      <c r="DND17" s="1"/>
      <c r="DNE17" s="1"/>
      <c r="DNF17" s="1"/>
      <c r="DNG17" s="1"/>
      <c r="DNH17" s="1"/>
      <c r="DNI17" s="1"/>
      <c r="DNJ17" s="1"/>
      <c r="DNK17" s="1"/>
      <c r="DNL17" s="1"/>
      <c r="DNM17" s="1"/>
      <c r="DNN17" s="1"/>
      <c r="DNO17" s="1"/>
      <c r="DNP17" s="1"/>
      <c r="DNQ17" s="1"/>
      <c r="DNR17" s="1"/>
      <c r="DNS17" s="1"/>
      <c r="DNT17" s="1"/>
      <c r="DNU17" s="1"/>
      <c r="DNV17" s="1"/>
      <c r="DNW17" s="1"/>
      <c r="DNX17" s="1"/>
      <c r="DNY17" s="1"/>
      <c r="DNZ17" s="1"/>
      <c r="DOA17" s="1"/>
      <c r="DOB17" s="1"/>
      <c r="DOC17" s="1"/>
      <c r="DOD17" s="1"/>
      <c r="DOE17" s="1"/>
      <c r="DOF17" s="1"/>
      <c r="DOG17" s="1"/>
      <c r="DOH17" s="1"/>
      <c r="DOI17" s="1"/>
      <c r="DOJ17" s="1"/>
      <c r="DOK17" s="1"/>
      <c r="DOL17" s="1"/>
      <c r="DOM17" s="1"/>
      <c r="DON17" s="1"/>
      <c r="DOO17" s="1"/>
      <c r="DOP17" s="1"/>
      <c r="DOQ17" s="1"/>
      <c r="DOR17" s="1"/>
      <c r="DOS17" s="1"/>
      <c r="DOT17" s="1"/>
      <c r="DOU17" s="1"/>
      <c r="DOV17" s="1"/>
      <c r="DOW17" s="1"/>
      <c r="DOX17" s="1"/>
      <c r="DOY17" s="1"/>
      <c r="DOZ17" s="1"/>
      <c r="DPA17" s="1"/>
      <c r="DPB17" s="1"/>
      <c r="DPC17" s="1"/>
      <c r="DPD17" s="1"/>
      <c r="DPE17" s="1"/>
      <c r="DPF17" s="1"/>
      <c r="DPG17" s="1"/>
      <c r="DPH17" s="1"/>
      <c r="DPI17" s="1"/>
      <c r="DPJ17" s="1"/>
      <c r="DPK17" s="1"/>
      <c r="DPL17" s="1"/>
      <c r="DPM17" s="1"/>
      <c r="DPN17" s="1"/>
      <c r="DPO17" s="1"/>
      <c r="DPP17" s="1"/>
      <c r="DPQ17" s="1"/>
      <c r="DPR17" s="1"/>
      <c r="DPS17" s="1"/>
      <c r="DPT17" s="1"/>
      <c r="DPU17" s="1"/>
      <c r="DPV17" s="1"/>
      <c r="DPW17" s="1"/>
      <c r="DPX17" s="1"/>
      <c r="DPY17" s="1"/>
      <c r="DPZ17" s="1"/>
      <c r="DQA17" s="1"/>
      <c r="DQB17" s="1"/>
      <c r="DQC17" s="1"/>
      <c r="DQD17" s="1"/>
      <c r="DQE17" s="1"/>
      <c r="DQF17" s="1"/>
      <c r="DQG17" s="1"/>
      <c r="DQH17" s="1"/>
      <c r="DQI17" s="1"/>
      <c r="DQJ17" s="1"/>
      <c r="DQK17" s="1"/>
      <c r="DQL17" s="1"/>
      <c r="DQM17" s="1"/>
      <c r="DQN17" s="1"/>
      <c r="DQO17" s="1"/>
      <c r="DQP17" s="1"/>
      <c r="DQQ17" s="1"/>
      <c r="DQR17" s="1"/>
      <c r="DQS17" s="1"/>
      <c r="DQT17" s="1"/>
      <c r="DQU17" s="1"/>
      <c r="DQV17" s="1"/>
      <c r="DQW17" s="1"/>
      <c r="DQX17" s="1"/>
      <c r="DQY17" s="1"/>
      <c r="DQZ17" s="1"/>
      <c r="DRA17" s="1"/>
      <c r="DRB17" s="1"/>
      <c r="DRC17" s="1"/>
      <c r="DRD17" s="1"/>
      <c r="DRE17" s="1"/>
      <c r="DRF17" s="1"/>
      <c r="DRG17" s="1"/>
      <c r="DRH17" s="1"/>
      <c r="DRI17" s="1"/>
      <c r="DRJ17" s="1"/>
      <c r="DRK17" s="1"/>
      <c r="DRL17" s="1"/>
      <c r="DRM17" s="1"/>
      <c r="DRN17" s="1"/>
      <c r="DRO17" s="1"/>
      <c r="DRP17" s="1"/>
      <c r="DRQ17" s="1"/>
      <c r="DRR17" s="1"/>
      <c r="DRS17" s="1"/>
      <c r="DRT17" s="1"/>
      <c r="DRU17" s="1"/>
      <c r="DRV17" s="1"/>
      <c r="DRW17" s="1"/>
      <c r="DRX17" s="1"/>
      <c r="DRY17" s="1"/>
      <c r="DRZ17" s="1"/>
      <c r="DSA17" s="1"/>
      <c r="DSB17" s="1"/>
      <c r="DSC17" s="1"/>
      <c r="DSD17" s="1"/>
      <c r="DSE17" s="1"/>
      <c r="DSF17" s="1"/>
      <c r="DSG17" s="1"/>
      <c r="DSH17" s="1"/>
      <c r="DSI17" s="1"/>
      <c r="DSJ17" s="1"/>
      <c r="DSK17" s="1"/>
      <c r="DSL17" s="1"/>
      <c r="DSM17" s="1"/>
      <c r="DSN17" s="1"/>
      <c r="DSO17" s="1"/>
      <c r="DSP17" s="1"/>
      <c r="DSQ17" s="1"/>
      <c r="DSR17" s="1"/>
      <c r="DSS17" s="1"/>
      <c r="DST17" s="1"/>
      <c r="DSU17" s="1"/>
      <c r="DSV17" s="1"/>
      <c r="DSW17" s="1"/>
      <c r="DSX17" s="1"/>
      <c r="DSY17" s="1"/>
      <c r="DSZ17" s="1"/>
      <c r="DTA17" s="1"/>
      <c r="DTB17" s="1"/>
      <c r="DTC17" s="1"/>
      <c r="DTD17" s="1"/>
      <c r="DTE17" s="1"/>
      <c r="DTF17" s="1"/>
      <c r="DTG17" s="1"/>
      <c r="DTH17" s="1"/>
      <c r="DTI17" s="1"/>
      <c r="DTJ17" s="1"/>
      <c r="DTK17" s="1"/>
      <c r="DTL17" s="1"/>
      <c r="DTM17" s="1"/>
      <c r="DTN17" s="1"/>
      <c r="DTO17" s="1"/>
      <c r="DTP17" s="1"/>
      <c r="DTQ17" s="1"/>
      <c r="DTR17" s="1"/>
      <c r="DTS17" s="1"/>
      <c r="DTT17" s="1"/>
      <c r="DTU17" s="1"/>
      <c r="DTV17" s="1"/>
      <c r="DTW17" s="1"/>
      <c r="DTX17" s="1"/>
      <c r="DTY17" s="1"/>
      <c r="DTZ17" s="1"/>
      <c r="DUA17" s="1"/>
      <c r="DUB17" s="1"/>
      <c r="DUC17" s="1"/>
      <c r="DUD17" s="1"/>
      <c r="DUE17" s="1"/>
      <c r="DUF17" s="1"/>
      <c r="DUG17" s="1"/>
      <c r="DUH17" s="1"/>
      <c r="DUI17" s="1"/>
      <c r="DUJ17" s="1"/>
      <c r="DUK17" s="1"/>
      <c r="DUL17" s="1"/>
      <c r="DUM17" s="1"/>
      <c r="DUN17" s="1"/>
      <c r="DUO17" s="1"/>
      <c r="DUP17" s="1"/>
      <c r="DUQ17" s="1"/>
      <c r="DUR17" s="1"/>
      <c r="DUS17" s="1"/>
      <c r="DUT17" s="1"/>
      <c r="DUU17" s="1"/>
      <c r="DUV17" s="1"/>
      <c r="DUW17" s="1"/>
      <c r="DUX17" s="1"/>
      <c r="DUY17" s="1"/>
      <c r="DUZ17" s="1"/>
      <c r="DVA17" s="1"/>
      <c r="DVB17" s="1"/>
      <c r="DVC17" s="1"/>
      <c r="DVD17" s="1"/>
      <c r="DVE17" s="1"/>
      <c r="DVF17" s="1"/>
      <c r="DVG17" s="1"/>
      <c r="DVH17" s="1"/>
      <c r="DVI17" s="1"/>
      <c r="DVJ17" s="1"/>
      <c r="DVK17" s="1"/>
      <c r="DVL17" s="1"/>
      <c r="DVM17" s="1"/>
      <c r="DVN17" s="1"/>
      <c r="DVO17" s="1"/>
      <c r="DVP17" s="1"/>
      <c r="DVQ17" s="1"/>
      <c r="DVR17" s="1"/>
      <c r="DVS17" s="1"/>
      <c r="DVT17" s="1"/>
      <c r="DVU17" s="1"/>
      <c r="DVV17" s="1"/>
      <c r="DVW17" s="1"/>
      <c r="DVX17" s="1"/>
      <c r="DVY17" s="1"/>
      <c r="DVZ17" s="1"/>
      <c r="DWA17" s="1"/>
      <c r="DWB17" s="1"/>
      <c r="DWC17" s="1"/>
      <c r="DWD17" s="1"/>
      <c r="DWE17" s="1"/>
      <c r="DWF17" s="1"/>
      <c r="DWG17" s="1"/>
      <c r="DWH17" s="1"/>
      <c r="DWI17" s="1"/>
      <c r="DWJ17" s="1"/>
      <c r="DWK17" s="1"/>
      <c r="DWL17" s="1"/>
      <c r="DWM17" s="1"/>
      <c r="DWN17" s="1"/>
      <c r="DWO17" s="1"/>
      <c r="DWP17" s="1"/>
      <c r="DWQ17" s="1"/>
      <c r="DWR17" s="1"/>
      <c r="DWS17" s="1"/>
      <c r="DWT17" s="1"/>
      <c r="DWU17" s="1"/>
      <c r="DWV17" s="1"/>
      <c r="DWW17" s="1"/>
      <c r="DWX17" s="1"/>
      <c r="DWY17" s="1"/>
      <c r="DWZ17" s="1"/>
      <c r="DXA17" s="1"/>
      <c r="DXB17" s="1"/>
      <c r="DXC17" s="1"/>
      <c r="DXD17" s="1"/>
      <c r="DXE17" s="1"/>
      <c r="DXF17" s="1"/>
      <c r="DXG17" s="1"/>
      <c r="DXH17" s="1"/>
      <c r="DXI17" s="1"/>
      <c r="DXJ17" s="1"/>
      <c r="DXK17" s="1"/>
      <c r="DXL17" s="1"/>
      <c r="DXM17" s="1"/>
      <c r="DXN17" s="1"/>
      <c r="DXO17" s="1"/>
      <c r="DXP17" s="1"/>
      <c r="DXQ17" s="1"/>
      <c r="DXR17" s="1"/>
      <c r="DXS17" s="1"/>
      <c r="DXT17" s="1"/>
      <c r="DXU17" s="1"/>
      <c r="DXV17" s="1"/>
      <c r="DXW17" s="1"/>
      <c r="DXX17" s="1"/>
      <c r="DXY17" s="1"/>
      <c r="DXZ17" s="1"/>
      <c r="DYA17" s="1"/>
      <c r="DYB17" s="1"/>
      <c r="DYC17" s="1"/>
      <c r="DYD17" s="1"/>
      <c r="DYE17" s="1"/>
      <c r="DYF17" s="1"/>
      <c r="DYG17" s="1"/>
      <c r="DYH17" s="1"/>
      <c r="DYI17" s="1"/>
      <c r="DYJ17" s="1"/>
      <c r="DYK17" s="1"/>
      <c r="DYL17" s="1"/>
      <c r="DYM17" s="1"/>
      <c r="DYN17" s="1"/>
      <c r="DYO17" s="1"/>
      <c r="DYP17" s="1"/>
      <c r="DYQ17" s="1"/>
      <c r="DYR17" s="1"/>
      <c r="DYS17" s="1"/>
      <c r="DYT17" s="1"/>
      <c r="DYU17" s="1"/>
      <c r="DYV17" s="1"/>
      <c r="DYW17" s="1"/>
      <c r="DYX17" s="1"/>
      <c r="DYY17" s="1"/>
      <c r="DYZ17" s="1"/>
      <c r="DZA17" s="1"/>
      <c r="DZB17" s="1"/>
      <c r="DZC17" s="1"/>
      <c r="DZD17" s="1"/>
      <c r="DZE17" s="1"/>
      <c r="DZF17" s="1"/>
      <c r="DZG17" s="1"/>
      <c r="DZH17" s="1"/>
      <c r="DZI17" s="1"/>
      <c r="DZJ17" s="1"/>
      <c r="DZK17" s="1"/>
      <c r="DZL17" s="1"/>
      <c r="DZM17" s="1"/>
      <c r="DZN17" s="1"/>
      <c r="DZO17" s="1"/>
      <c r="DZP17" s="1"/>
      <c r="DZQ17" s="1"/>
      <c r="DZR17" s="1"/>
      <c r="DZS17" s="1"/>
      <c r="DZT17" s="1"/>
      <c r="DZU17" s="1"/>
      <c r="DZV17" s="1"/>
      <c r="DZW17" s="1"/>
      <c r="DZX17" s="1"/>
      <c r="DZY17" s="1"/>
      <c r="DZZ17" s="1"/>
      <c r="EAA17" s="1"/>
      <c r="EAB17" s="1"/>
      <c r="EAC17" s="1"/>
      <c r="EAD17" s="1"/>
      <c r="EAE17" s="1"/>
      <c r="EAF17" s="1"/>
      <c r="EAG17" s="1"/>
      <c r="EAH17" s="1"/>
      <c r="EAI17" s="1"/>
      <c r="EAJ17" s="1"/>
      <c r="EAK17" s="1"/>
      <c r="EAL17" s="1"/>
      <c r="EAM17" s="1"/>
      <c r="EAN17" s="1"/>
      <c r="EAO17" s="1"/>
      <c r="EAP17" s="1"/>
      <c r="EAQ17" s="1"/>
      <c r="EAR17" s="1"/>
      <c r="EAS17" s="1"/>
      <c r="EAT17" s="1"/>
      <c r="EAU17" s="1"/>
      <c r="EAV17" s="1"/>
      <c r="EAW17" s="1"/>
      <c r="EAX17" s="1"/>
      <c r="EAY17" s="1"/>
      <c r="EAZ17" s="1"/>
      <c r="EBA17" s="1"/>
      <c r="EBB17" s="1"/>
      <c r="EBC17" s="1"/>
      <c r="EBD17" s="1"/>
      <c r="EBE17" s="1"/>
      <c r="EBF17" s="1"/>
      <c r="EBG17" s="1"/>
      <c r="EBH17" s="1"/>
      <c r="EBI17" s="1"/>
      <c r="EBJ17" s="1"/>
      <c r="EBK17" s="1"/>
      <c r="EBL17" s="1"/>
      <c r="EBM17" s="1"/>
      <c r="EBN17" s="1"/>
      <c r="EBO17" s="1"/>
      <c r="EBP17" s="1"/>
      <c r="EBQ17" s="1"/>
      <c r="EBR17" s="1"/>
      <c r="EBS17" s="1"/>
      <c r="EBT17" s="1"/>
      <c r="EBU17" s="1"/>
      <c r="EBV17" s="1"/>
      <c r="EBW17" s="1"/>
      <c r="EBX17" s="1"/>
      <c r="EBY17" s="1"/>
      <c r="EBZ17" s="1"/>
      <c r="ECA17" s="1"/>
      <c r="ECB17" s="1"/>
      <c r="ECC17" s="1"/>
      <c r="ECD17" s="1"/>
      <c r="ECE17" s="1"/>
      <c r="ECF17" s="1"/>
      <c r="ECG17" s="1"/>
      <c r="ECH17" s="1"/>
      <c r="ECI17" s="1"/>
      <c r="ECJ17" s="1"/>
      <c r="ECK17" s="1"/>
      <c r="ECL17" s="1"/>
      <c r="ECM17" s="1"/>
      <c r="ECN17" s="1"/>
      <c r="ECO17" s="1"/>
      <c r="ECP17" s="1"/>
      <c r="ECQ17" s="1"/>
      <c r="ECR17" s="1"/>
      <c r="ECS17" s="1"/>
      <c r="ECT17" s="1"/>
      <c r="ECU17" s="1"/>
      <c r="ECV17" s="1"/>
      <c r="ECW17" s="1"/>
      <c r="ECX17" s="1"/>
      <c r="ECY17" s="1"/>
      <c r="ECZ17" s="1"/>
      <c r="EDA17" s="1"/>
      <c r="EDB17" s="1"/>
      <c r="EDC17" s="1"/>
      <c r="EDD17" s="1"/>
      <c r="EDE17" s="1"/>
      <c r="EDF17" s="1"/>
      <c r="EDG17" s="1"/>
      <c r="EDH17" s="1"/>
      <c r="EDI17" s="1"/>
      <c r="EDJ17" s="1"/>
      <c r="EDK17" s="1"/>
      <c r="EDL17" s="1"/>
      <c r="EDM17" s="1"/>
      <c r="EDN17" s="1"/>
      <c r="EDO17" s="1"/>
      <c r="EDP17" s="1"/>
      <c r="EDQ17" s="1"/>
      <c r="EDR17" s="1"/>
      <c r="EDS17" s="1"/>
      <c r="EDT17" s="1"/>
      <c r="EDU17" s="1"/>
      <c r="EDV17" s="1"/>
      <c r="EDW17" s="1"/>
      <c r="EDX17" s="1"/>
      <c r="EDY17" s="1"/>
      <c r="EDZ17" s="1"/>
      <c r="EEA17" s="1"/>
      <c r="EEB17" s="1"/>
      <c r="EEC17" s="1"/>
      <c r="EED17" s="1"/>
      <c r="EEE17" s="1"/>
      <c r="EEF17" s="1"/>
      <c r="EEG17" s="1"/>
      <c r="EEH17" s="1"/>
      <c r="EEI17" s="1"/>
      <c r="EEJ17" s="1"/>
      <c r="EEK17" s="1"/>
      <c r="EEL17" s="1"/>
      <c r="EEM17" s="1"/>
      <c r="EEN17" s="1"/>
      <c r="EEO17" s="1"/>
      <c r="EEP17" s="1"/>
      <c r="EEQ17" s="1"/>
      <c r="EER17" s="1"/>
      <c r="EES17" s="1"/>
      <c r="EET17" s="1"/>
      <c r="EEU17" s="1"/>
      <c r="EEV17" s="1"/>
      <c r="EEW17" s="1"/>
      <c r="EEX17" s="1"/>
      <c r="EEY17" s="1"/>
      <c r="EEZ17" s="1"/>
      <c r="EFA17" s="1"/>
      <c r="EFB17" s="1"/>
      <c r="EFC17" s="1"/>
      <c r="EFD17" s="1"/>
      <c r="EFE17" s="1"/>
      <c r="EFF17" s="1"/>
      <c r="EFG17" s="1"/>
      <c r="EFH17" s="1"/>
      <c r="EFI17" s="1"/>
      <c r="EFJ17" s="1"/>
      <c r="EFK17" s="1"/>
      <c r="EFL17" s="1"/>
      <c r="EFM17" s="1"/>
      <c r="EFN17" s="1"/>
      <c r="EFO17" s="1"/>
      <c r="EFP17" s="1"/>
      <c r="EFQ17" s="1"/>
      <c r="EFR17" s="1"/>
      <c r="EFS17" s="1"/>
      <c r="EFT17" s="1"/>
      <c r="EFU17" s="1"/>
      <c r="EFV17" s="1"/>
      <c r="EFW17" s="1"/>
      <c r="EFX17" s="1"/>
      <c r="EFY17" s="1"/>
      <c r="EFZ17" s="1"/>
      <c r="EGA17" s="1"/>
      <c r="EGB17" s="1"/>
      <c r="EGC17" s="1"/>
      <c r="EGD17" s="1"/>
      <c r="EGE17" s="1"/>
      <c r="EGF17" s="1"/>
      <c r="EGG17" s="1"/>
      <c r="EGH17" s="1"/>
      <c r="EGI17" s="1"/>
      <c r="EGJ17" s="1"/>
      <c r="EGK17" s="1"/>
      <c r="EGL17" s="1"/>
      <c r="EGM17" s="1"/>
      <c r="EGN17" s="1"/>
      <c r="EGO17" s="1"/>
      <c r="EGP17" s="1"/>
      <c r="EGQ17" s="1"/>
      <c r="EGR17" s="1"/>
      <c r="EGS17" s="1"/>
      <c r="EGT17" s="1"/>
      <c r="EGU17" s="1"/>
      <c r="EGV17" s="1"/>
      <c r="EGW17" s="1"/>
      <c r="EGX17" s="1"/>
      <c r="EGY17" s="1"/>
      <c r="EGZ17" s="1"/>
      <c r="EHA17" s="1"/>
      <c r="EHB17" s="1"/>
      <c r="EHC17" s="1"/>
      <c r="EHD17" s="1"/>
      <c r="EHE17" s="1"/>
      <c r="EHF17" s="1"/>
      <c r="EHG17" s="1"/>
      <c r="EHH17" s="1"/>
      <c r="EHI17" s="1"/>
      <c r="EHJ17" s="1"/>
      <c r="EHK17" s="1"/>
      <c r="EHL17" s="1"/>
      <c r="EHM17" s="1"/>
      <c r="EHN17" s="1"/>
      <c r="EHO17" s="1"/>
      <c r="EHP17" s="1"/>
      <c r="EHQ17" s="1"/>
      <c r="EHR17" s="1"/>
      <c r="EHS17" s="1"/>
      <c r="EHT17" s="1"/>
      <c r="EHU17" s="1"/>
      <c r="EHV17" s="1"/>
      <c r="EHW17" s="1"/>
      <c r="EHX17" s="1"/>
      <c r="EHY17" s="1"/>
      <c r="EHZ17" s="1"/>
      <c r="EIA17" s="1"/>
      <c r="EIB17" s="1"/>
      <c r="EIC17" s="1"/>
      <c r="EID17" s="1"/>
      <c r="EIE17" s="1"/>
      <c r="EIF17" s="1"/>
      <c r="EIG17" s="1"/>
      <c r="EIH17" s="1"/>
      <c r="EII17" s="1"/>
      <c r="EIJ17" s="1"/>
      <c r="EIK17" s="1"/>
      <c r="EIL17" s="1"/>
      <c r="EIM17" s="1"/>
      <c r="EIN17" s="1"/>
      <c r="EIO17" s="1"/>
      <c r="EIP17" s="1"/>
      <c r="EIQ17" s="1"/>
      <c r="EIR17" s="1"/>
      <c r="EIS17" s="1"/>
      <c r="EIT17" s="1"/>
      <c r="EIU17" s="1"/>
      <c r="EIV17" s="1"/>
      <c r="EIW17" s="1"/>
      <c r="EIX17" s="1"/>
      <c r="EIY17" s="1"/>
      <c r="EIZ17" s="1"/>
      <c r="EJA17" s="1"/>
      <c r="EJB17" s="1"/>
      <c r="EJC17" s="1"/>
      <c r="EJD17" s="1"/>
      <c r="EJE17" s="1"/>
      <c r="EJF17" s="1"/>
      <c r="EJG17" s="1"/>
      <c r="EJH17" s="1"/>
      <c r="EJI17" s="1"/>
      <c r="EJJ17" s="1"/>
      <c r="EJK17" s="1"/>
      <c r="EJL17" s="1"/>
      <c r="EJM17" s="1"/>
      <c r="EJN17" s="1"/>
      <c r="EJO17" s="1"/>
      <c r="EJP17" s="1"/>
      <c r="EJQ17" s="1"/>
      <c r="EJR17" s="1"/>
      <c r="EJS17" s="1"/>
      <c r="EJT17" s="1"/>
      <c r="EJU17" s="1"/>
      <c r="EJV17" s="1"/>
      <c r="EJW17" s="1"/>
      <c r="EJX17" s="1"/>
      <c r="EJY17" s="1"/>
      <c r="EJZ17" s="1"/>
      <c r="EKA17" s="1"/>
      <c r="EKB17" s="1"/>
      <c r="EKC17" s="1"/>
      <c r="EKD17" s="1"/>
      <c r="EKE17" s="1"/>
      <c r="EKF17" s="1"/>
      <c r="EKG17" s="1"/>
      <c r="EKH17" s="1"/>
      <c r="EKI17" s="1"/>
      <c r="EKJ17" s="1"/>
      <c r="EKK17" s="1"/>
      <c r="EKL17" s="1"/>
      <c r="EKM17" s="1"/>
      <c r="EKN17" s="1"/>
      <c r="EKO17" s="1"/>
      <c r="EKP17" s="1"/>
      <c r="EKQ17" s="1"/>
      <c r="EKR17" s="1"/>
      <c r="EKS17" s="1"/>
      <c r="EKT17" s="1"/>
      <c r="EKU17" s="1"/>
      <c r="EKV17" s="1"/>
      <c r="EKW17" s="1"/>
      <c r="EKX17" s="1"/>
      <c r="EKY17" s="1"/>
      <c r="EKZ17" s="1"/>
      <c r="ELA17" s="1"/>
      <c r="ELB17" s="1"/>
      <c r="ELC17" s="1"/>
      <c r="ELD17" s="1"/>
      <c r="ELE17" s="1"/>
      <c r="ELF17" s="1"/>
      <c r="ELG17" s="1"/>
      <c r="ELH17" s="1"/>
      <c r="ELI17" s="1"/>
      <c r="ELJ17" s="1"/>
      <c r="ELK17" s="1"/>
      <c r="ELL17" s="1"/>
      <c r="ELM17" s="1"/>
      <c r="ELN17" s="1"/>
      <c r="ELO17" s="1"/>
      <c r="ELP17" s="1"/>
      <c r="ELQ17" s="1"/>
      <c r="ELR17" s="1"/>
      <c r="ELS17" s="1"/>
      <c r="ELT17" s="1"/>
      <c r="ELU17" s="1"/>
      <c r="ELV17" s="1"/>
      <c r="ELW17" s="1"/>
      <c r="ELX17" s="1"/>
      <c r="ELY17" s="1"/>
      <c r="ELZ17" s="1"/>
      <c r="EMA17" s="1"/>
      <c r="EMB17" s="1"/>
      <c r="EMC17" s="1"/>
      <c r="EMD17" s="1"/>
      <c r="EME17" s="1"/>
      <c r="EMF17" s="1"/>
      <c r="EMG17" s="1"/>
      <c r="EMH17" s="1"/>
      <c r="EMI17" s="1"/>
      <c r="EMJ17" s="1"/>
      <c r="EMK17" s="1"/>
      <c r="EML17" s="1"/>
      <c r="EMM17" s="1"/>
      <c r="EMN17" s="1"/>
      <c r="EMO17" s="1"/>
      <c r="EMP17" s="1"/>
      <c r="EMQ17" s="1"/>
      <c r="EMR17" s="1"/>
      <c r="EMS17" s="1"/>
      <c r="EMT17" s="1"/>
      <c r="EMU17" s="1"/>
      <c r="EMV17" s="1"/>
      <c r="EMW17" s="1"/>
      <c r="EMX17" s="1"/>
      <c r="EMY17" s="1"/>
      <c r="EMZ17" s="1"/>
      <c r="ENA17" s="1"/>
      <c r="ENB17" s="1"/>
      <c r="ENC17" s="1"/>
      <c r="END17" s="1"/>
      <c r="ENE17" s="1"/>
      <c r="ENF17" s="1"/>
      <c r="ENG17" s="1"/>
      <c r="ENH17" s="1"/>
      <c r="ENI17" s="1"/>
      <c r="ENJ17" s="1"/>
      <c r="ENK17" s="1"/>
      <c r="ENL17" s="1"/>
      <c r="ENM17" s="1"/>
      <c r="ENN17" s="1"/>
      <c r="ENO17" s="1"/>
      <c r="ENP17" s="1"/>
      <c r="ENQ17" s="1"/>
      <c r="ENR17" s="1"/>
      <c r="ENS17" s="1"/>
      <c r="ENT17" s="1"/>
      <c r="ENU17" s="1"/>
      <c r="ENV17" s="1"/>
      <c r="ENW17" s="1"/>
      <c r="ENX17" s="1"/>
      <c r="ENY17" s="1"/>
      <c r="ENZ17" s="1"/>
      <c r="EOA17" s="1"/>
      <c r="EOB17" s="1"/>
      <c r="EOC17" s="1"/>
      <c r="EOD17" s="1"/>
      <c r="EOE17" s="1"/>
      <c r="EOF17" s="1"/>
      <c r="EOG17" s="1"/>
      <c r="EOH17" s="1"/>
      <c r="EOI17" s="1"/>
      <c r="EOJ17" s="1"/>
      <c r="EOK17" s="1"/>
      <c r="EOL17" s="1"/>
      <c r="EOM17" s="1"/>
      <c r="EON17" s="1"/>
      <c r="EOO17" s="1"/>
      <c r="EOP17" s="1"/>
      <c r="EOQ17" s="1"/>
      <c r="EOR17" s="1"/>
      <c r="EOS17" s="1"/>
      <c r="EOT17" s="1"/>
      <c r="EOU17" s="1"/>
      <c r="EOV17" s="1"/>
      <c r="EOW17" s="1"/>
      <c r="EOX17" s="1"/>
      <c r="EOY17" s="1"/>
      <c r="EOZ17" s="1"/>
      <c r="EPA17" s="1"/>
      <c r="EPB17" s="1"/>
      <c r="EPC17" s="1"/>
      <c r="EPD17" s="1"/>
      <c r="EPE17" s="1"/>
      <c r="EPF17" s="1"/>
      <c r="EPG17" s="1"/>
      <c r="EPH17" s="1"/>
      <c r="EPI17" s="1"/>
      <c r="EPJ17" s="1"/>
      <c r="EPK17" s="1"/>
      <c r="EPL17" s="1"/>
      <c r="EPM17" s="1"/>
      <c r="EPN17" s="1"/>
      <c r="EPO17" s="1"/>
      <c r="EPP17" s="1"/>
      <c r="EPQ17" s="1"/>
      <c r="EPR17" s="1"/>
      <c r="EPS17" s="1"/>
      <c r="EPT17" s="1"/>
      <c r="EPU17" s="1"/>
      <c r="EPV17" s="1"/>
      <c r="EPW17" s="1"/>
      <c r="EPX17" s="1"/>
      <c r="EPY17" s="1"/>
      <c r="EPZ17" s="1"/>
      <c r="EQA17" s="1"/>
      <c r="EQB17" s="1"/>
      <c r="EQC17" s="1"/>
      <c r="EQD17" s="1"/>
      <c r="EQE17" s="1"/>
      <c r="EQF17" s="1"/>
      <c r="EQG17" s="1"/>
      <c r="EQH17" s="1"/>
      <c r="EQI17" s="1"/>
      <c r="EQJ17" s="1"/>
      <c r="EQK17" s="1"/>
      <c r="EQL17" s="1"/>
      <c r="EQM17" s="1"/>
      <c r="EQN17" s="1"/>
      <c r="EQO17" s="1"/>
      <c r="EQP17" s="1"/>
      <c r="EQQ17" s="1"/>
      <c r="EQR17" s="1"/>
      <c r="EQS17" s="1"/>
      <c r="EQT17" s="1"/>
      <c r="EQU17" s="1"/>
      <c r="EQV17" s="1"/>
      <c r="EQW17" s="1"/>
      <c r="EQX17" s="1"/>
      <c r="EQY17" s="1"/>
      <c r="EQZ17" s="1"/>
      <c r="ERA17" s="1"/>
      <c r="ERB17" s="1"/>
      <c r="ERC17" s="1"/>
      <c r="ERD17" s="1"/>
      <c r="ERE17" s="1"/>
      <c r="ERF17" s="1"/>
      <c r="ERG17" s="1"/>
      <c r="ERH17" s="1"/>
      <c r="ERI17" s="1"/>
      <c r="ERJ17" s="1"/>
      <c r="ERK17" s="1"/>
      <c r="ERL17" s="1"/>
      <c r="ERM17" s="1"/>
      <c r="ERN17" s="1"/>
      <c r="ERO17" s="1"/>
      <c r="ERP17" s="1"/>
      <c r="ERQ17" s="1"/>
      <c r="ERR17" s="1"/>
      <c r="ERS17" s="1"/>
      <c r="ERT17" s="1"/>
      <c r="ERU17" s="1"/>
      <c r="ERV17" s="1"/>
      <c r="ERW17" s="1"/>
      <c r="ERX17" s="1"/>
      <c r="ERY17" s="1"/>
      <c r="ERZ17" s="1"/>
      <c r="ESA17" s="1"/>
      <c r="ESB17" s="1"/>
      <c r="ESC17" s="1"/>
      <c r="ESD17" s="1"/>
      <c r="ESE17" s="1"/>
      <c r="ESF17" s="1"/>
      <c r="ESG17" s="1"/>
      <c r="ESH17" s="1"/>
      <c r="ESI17" s="1"/>
      <c r="ESJ17" s="1"/>
      <c r="ESK17" s="1"/>
      <c r="ESL17" s="1"/>
      <c r="ESM17" s="1"/>
      <c r="ESN17" s="1"/>
      <c r="ESO17" s="1"/>
      <c r="ESP17" s="1"/>
      <c r="ESQ17" s="1"/>
      <c r="ESR17" s="1"/>
      <c r="ESS17" s="1"/>
      <c r="EST17" s="1"/>
      <c r="ESU17" s="1"/>
      <c r="ESV17" s="1"/>
      <c r="ESW17" s="1"/>
      <c r="ESX17" s="1"/>
      <c r="ESY17" s="1"/>
      <c r="ESZ17" s="1"/>
      <c r="ETA17" s="1"/>
      <c r="ETB17" s="1"/>
      <c r="ETC17" s="1"/>
      <c r="ETD17" s="1"/>
      <c r="ETE17" s="1"/>
      <c r="ETF17" s="1"/>
      <c r="ETG17" s="1"/>
      <c r="ETH17" s="1"/>
      <c r="ETI17" s="1"/>
      <c r="ETJ17" s="1"/>
      <c r="ETK17" s="1"/>
      <c r="ETL17" s="1"/>
      <c r="ETM17" s="1"/>
      <c r="ETN17" s="1"/>
      <c r="ETO17" s="1"/>
      <c r="ETP17" s="1"/>
      <c r="ETQ17" s="1"/>
      <c r="ETR17" s="1"/>
      <c r="ETS17" s="1"/>
      <c r="ETT17" s="1"/>
      <c r="ETU17" s="1"/>
      <c r="ETV17" s="1"/>
      <c r="ETW17" s="1"/>
      <c r="ETX17" s="1"/>
      <c r="ETY17" s="1"/>
      <c r="ETZ17" s="1"/>
      <c r="EUA17" s="1"/>
      <c r="EUB17" s="1"/>
      <c r="EUC17" s="1"/>
      <c r="EUD17" s="1"/>
      <c r="EUE17" s="1"/>
      <c r="EUF17" s="1"/>
      <c r="EUG17" s="1"/>
      <c r="EUH17" s="1"/>
      <c r="EUI17" s="1"/>
      <c r="EUJ17" s="1"/>
      <c r="EUK17" s="1"/>
      <c r="EUL17" s="1"/>
      <c r="EUM17" s="1"/>
      <c r="EUN17" s="1"/>
      <c r="EUO17" s="1"/>
      <c r="EUP17" s="1"/>
      <c r="EUQ17" s="1"/>
      <c r="EUR17" s="1"/>
      <c r="EUS17" s="1"/>
      <c r="EUT17" s="1"/>
      <c r="EUU17" s="1"/>
      <c r="EUV17" s="1"/>
      <c r="EUW17" s="1"/>
      <c r="EUX17" s="1"/>
      <c r="EUY17" s="1"/>
      <c r="EUZ17" s="1"/>
      <c r="EVA17" s="1"/>
      <c r="EVB17" s="1"/>
      <c r="EVC17" s="1"/>
      <c r="EVD17" s="1"/>
      <c r="EVE17" s="1"/>
      <c r="EVF17" s="1"/>
      <c r="EVG17" s="1"/>
      <c r="EVH17" s="1"/>
      <c r="EVI17" s="1"/>
      <c r="EVJ17" s="1"/>
      <c r="EVK17" s="1"/>
      <c r="EVL17" s="1"/>
      <c r="EVM17" s="1"/>
      <c r="EVN17" s="1"/>
      <c r="EVO17" s="1"/>
      <c r="EVP17" s="1"/>
      <c r="EVQ17" s="1"/>
      <c r="EVR17" s="1"/>
      <c r="EVS17" s="1"/>
      <c r="EVT17" s="1"/>
      <c r="EVU17" s="1"/>
      <c r="EVV17" s="1"/>
      <c r="EVW17" s="1"/>
      <c r="EVX17" s="1"/>
      <c r="EVY17" s="1"/>
      <c r="EVZ17" s="1"/>
      <c r="EWA17" s="1"/>
      <c r="EWB17" s="1"/>
      <c r="EWC17" s="1"/>
      <c r="EWD17" s="1"/>
      <c r="EWE17" s="1"/>
      <c r="EWF17" s="1"/>
      <c r="EWG17" s="1"/>
      <c r="EWH17" s="1"/>
      <c r="EWI17" s="1"/>
      <c r="EWJ17" s="1"/>
      <c r="EWK17" s="1"/>
      <c r="EWL17" s="1"/>
      <c r="EWM17" s="1"/>
      <c r="EWN17" s="1"/>
      <c r="EWO17" s="1"/>
      <c r="EWP17" s="1"/>
      <c r="EWQ17" s="1"/>
      <c r="EWR17" s="1"/>
      <c r="EWS17" s="1"/>
      <c r="EWT17" s="1"/>
      <c r="EWU17" s="1"/>
      <c r="EWV17" s="1"/>
      <c r="EWW17" s="1"/>
      <c r="EWX17" s="1"/>
      <c r="EWY17" s="1"/>
      <c r="EWZ17" s="1"/>
      <c r="EXA17" s="1"/>
      <c r="EXB17" s="1"/>
      <c r="EXC17" s="1"/>
      <c r="EXD17" s="1"/>
      <c r="EXE17" s="1"/>
      <c r="EXF17" s="1"/>
      <c r="EXG17" s="1"/>
      <c r="EXH17" s="1"/>
      <c r="EXI17" s="1"/>
      <c r="EXJ17" s="1"/>
      <c r="EXK17" s="1"/>
      <c r="EXL17" s="1"/>
      <c r="EXM17" s="1"/>
      <c r="EXN17" s="1"/>
      <c r="EXO17" s="1"/>
      <c r="EXP17" s="1"/>
      <c r="EXQ17" s="1"/>
      <c r="EXR17" s="1"/>
      <c r="EXS17" s="1"/>
      <c r="EXT17" s="1"/>
      <c r="EXU17" s="1"/>
      <c r="EXV17" s="1"/>
      <c r="EXW17" s="1"/>
      <c r="EXX17" s="1"/>
      <c r="EXY17" s="1"/>
      <c r="EXZ17" s="1"/>
      <c r="EYA17" s="1"/>
      <c r="EYB17" s="1"/>
      <c r="EYC17" s="1"/>
      <c r="EYD17" s="1"/>
      <c r="EYE17" s="1"/>
      <c r="EYF17" s="1"/>
      <c r="EYG17" s="1"/>
      <c r="EYH17" s="1"/>
      <c r="EYI17" s="1"/>
      <c r="EYJ17" s="1"/>
      <c r="EYK17" s="1"/>
      <c r="EYL17" s="1"/>
      <c r="EYM17" s="1"/>
      <c r="EYN17" s="1"/>
      <c r="EYO17" s="1"/>
      <c r="EYP17" s="1"/>
      <c r="EYQ17" s="1"/>
      <c r="EYR17" s="1"/>
      <c r="EYS17" s="1"/>
      <c r="EYT17" s="1"/>
      <c r="EYU17" s="1"/>
      <c r="EYV17" s="1"/>
      <c r="EYW17" s="1"/>
      <c r="EYX17" s="1"/>
      <c r="EYY17" s="1"/>
      <c r="EYZ17" s="1"/>
      <c r="EZA17" s="1"/>
      <c r="EZB17" s="1"/>
      <c r="EZC17" s="1"/>
      <c r="EZD17" s="1"/>
      <c r="EZE17" s="1"/>
      <c r="EZF17" s="1"/>
      <c r="EZG17" s="1"/>
      <c r="EZH17" s="1"/>
      <c r="EZI17" s="1"/>
      <c r="EZJ17" s="1"/>
      <c r="EZK17" s="1"/>
      <c r="EZL17" s="1"/>
      <c r="EZM17" s="1"/>
      <c r="EZN17" s="1"/>
      <c r="EZO17" s="1"/>
      <c r="EZP17" s="1"/>
      <c r="EZQ17" s="1"/>
      <c r="EZR17" s="1"/>
      <c r="EZS17" s="1"/>
      <c r="EZT17" s="1"/>
      <c r="EZU17" s="1"/>
      <c r="EZV17" s="1"/>
      <c r="EZW17" s="1"/>
      <c r="EZX17" s="1"/>
      <c r="EZY17" s="1"/>
      <c r="EZZ17" s="1"/>
      <c r="FAA17" s="1"/>
      <c r="FAB17" s="1"/>
      <c r="FAC17" s="1"/>
      <c r="FAD17" s="1"/>
      <c r="FAE17" s="1"/>
      <c r="FAF17" s="1"/>
      <c r="FAG17" s="1"/>
      <c r="FAH17" s="1"/>
      <c r="FAI17" s="1"/>
      <c r="FAJ17" s="1"/>
      <c r="FAK17" s="1"/>
      <c r="FAL17" s="1"/>
      <c r="FAM17" s="1"/>
      <c r="FAN17" s="1"/>
      <c r="FAO17" s="1"/>
      <c r="FAP17" s="1"/>
      <c r="FAQ17" s="1"/>
      <c r="FAR17" s="1"/>
      <c r="FAS17" s="1"/>
      <c r="FAT17" s="1"/>
      <c r="FAU17" s="1"/>
      <c r="FAV17" s="1"/>
      <c r="FAW17" s="1"/>
      <c r="FAX17" s="1"/>
      <c r="FAY17" s="1"/>
      <c r="FAZ17" s="1"/>
      <c r="FBA17" s="1"/>
      <c r="FBB17" s="1"/>
      <c r="FBC17" s="1"/>
      <c r="FBD17" s="1"/>
      <c r="FBE17" s="1"/>
      <c r="FBF17" s="1"/>
      <c r="FBG17" s="1"/>
      <c r="FBH17" s="1"/>
      <c r="FBI17" s="1"/>
      <c r="FBJ17" s="1"/>
      <c r="FBK17" s="1"/>
      <c r="FBL17" s="1"/>
      <c r="FBM17" s="1"/>
      <c r="FBN17" s="1"/>
      <c r="FBO17" s="1"/>
      <c r="FBP17" s="1"/>
      <c r="FBQ17" s="1"/>
      <c r="FBR17" s="1"/>
      <c r="FBS17" s="1"/>
      <c r="FBT17" s="1"/>
      <c r="FBU17" s="1"/>
      <c r="FBV17" s="1"/>
      <c r="FBW17" s="1"/>
      <c r="FBX17" s="1"/>
      <c r="FBY17" s="1"/>
      <c r="FBZ17" s="1"/>
      <c r="FCA17" s="1"/>
      <c r="FCB17" s="1"/>
      <c r="FCC17" s="1"/>
      <c r="FCD17" s="1"/>
      <c r="FCE17" s="1"/>
      <c r="FCF17" s="1"/>
      <c r="FCG17" s="1"/>
      <c r="FCH17" s="1"/>
      <c r="FCI17" s="1"/>
      <c r="FCJ17" s="1"/>
      <c r="FCK17" s="1"/>
      <c r="FCL17" s="1"/>
      <c r="FCM17" s="1"/>
      <c r="FCN17" s="1"/>
      <c r="FCO17" s="1"/>
      <c r="FCP17" s="1"/>
      <c r="FCQ17" s="1"/>
      <c r="FCR17" s="1"/>
      <c r="FCS17" s="1"/>
      <c r="FCT17" s="1"/>
      <c r="FCU17" s="1"/>
      <c r="FCV17" s="1"/>
      <c r="FCW17" s="1"/>
      <c r="FCX17" s="1"/>
      <c r="FCY17" s="1"/>
      <c r="FCZ17" s="1"/>
      <c r="FDA17" s="1"/>
      <c r="FDB17" s="1"/>
      <c r="FDC17" s="1"/>
      <c r="FDD17" s="1"/>
      <c r="FDE17" s="1"/>
      <c r="FDF17" s="1"/>
      <c r="FDG17" s="1"/>
      <c r="FDH17" s="1"/>
      <c r="FDI17" s="1"/>
      <c r="FDJ17" s="1"/>
      <c r="FDK17" s="1"/>
      <c r="FDL17" s="1"/>
      <c r="FDM17" s="1"/>
      <c r="FDN17" s="1"/>
      <c r="FDO17" s="1"/>
      <c r="FDP17" s="1"/>
      <c r="FDQ17" s="1"/>
      <c r="FDR17" s="1"/>
      <c r="FDS17" s="1"/>
      <c r="FDT17" s="1"/>
      <c r="FDU17" s="1"/>
      <c r="FDV17" s="1"/>
      <c r="FDW17" s="1"/>
      <c r="FDX17" s="1"/>
      <c r="FDY17" s="1"/>
      <c r="FDZ17" s="1"/>
      <c r="FEA17" s="1"/>
      <c r="FEB17" s="1"/>
      <c r="FEC17" s="1"/>
      <c r="FED17" s="1"/>
      <c r="FEE17" s="1"/>
      <c r="FEF17" s="1"/>
      <c r="FEG17" s="1"/>
      <c r="FEH17" s="1"/>
      <c r="FEI17" s="1"/>
      <c r="FEJ17" s="1"/>
      <c r="FEK17" s="1"/>
      <c r="FEL17" s="1"/>
      <c r="FEM17" s="1"/>
      <c r="FEN17" s="1"/>
      <c r="FEO17" s="1"/>
      <c r="FEP17" s="1"/>
      <c r="FEQ17" s="1"/>
      <c r="FER17" s="1"/>
      <c r="FES17" s="1"/>
      <c r="FET17" s="1"/>
      <c r="FEU17" s="1"/>
      <c r="FEV17" s="1"/>
      <c r="FEW17" s="1"/>
      <c r="FEX17" s="1"/>
      <c r="FEY17" s="1"/>
      <c r="FEZ17" s="1"/>
      <c r="FFA17" s="1"/>
      <c r="FFB17" s="1"/>
      <c r="FFC17" s="1"/>
      <c r="FFD17" s="1"/>
      <c r="FFE17" s="1"/>
      <c r="FFF17" s="1"/>
      <c r="FFG17" s="1"/>
      <c r="FFH17" s="1"/>
      <c r="FFI17" s="1"/>
      <c r="FFJ17" s="1"/>
      <c r="FFK17" s="1"/>
      <c r="FFL17" s="1"/>
      <c r="FFM17" s="1"/>
      <c r="FFN17" s="1"/>
      <c r="FFO17" s="1"/>
      <c r="FFP17" s="1"/>
      <c r="FFQ17" s="1"/>
      <c r="FFR17" s="1"/>
      <c r="FFS17" s="1"/>
      <c r="FFT17" s="1"/>
      <c r="FFU17" s="1"/>
      <c r="FFV17" s="1"/>
      <c r="FFW17" s="1"/>
      <c r="FFX17" s="1"/>
      <c r="FFY17" s="1"/>
      <c r="FFZ17" s="1"/>
      <c r="FGA17" s="1"/>
      <c r="FGB17" s="1"/>
      <c r="FGC17" s="1"/>
      <c r="FGD17" s="1"/>
      <c r="FGE17" s="1"/>
      <c r="FGF17" s="1"/>
      <c r="FGG17" s="1"/>
      <c r="FGH17" s="1"/>
      <c r="FGI17" s="1"/>
      <c r="FGJ17" s="1"/>
      <c r="FGK17" s="1"/>
      <c r="FGL17" s="1"/>
      <c r="FGM17" s="1"/>
      <c r="FGN17" s="1"/>
      <c r="FGO17" s="1"/>
      <c r="FGP17" s="1"/>
      <c r="FGQ17" s="1"/>
      <c r="FGR17" s="1"/>
      <c r="FGS17" s="1"/>
      <c r="FGT17" s="1"/>
      <c r="FGU17" s="1"/>
      <c r="FGV17" s="1"/>
      <c r="FGW17" s="1"/>
      <c r="FGX17" s="1"/>
      <c r="FGY17" s="1"/>
      <c r="FGZ17" s="1"/>
      <c r="FHA17" s="1"/>
      <c r="FHB17" s="1"/>
      <c r="FHC17" s="1"/>
      <c r="FHD17" s="1"/>
      <c r="FHE17" s="1"/>
      <c r="FHF17" s="1"/>
      <c r="FHG17" s="1"/>
      <c r="FHH17" s="1"/>
      <c r="FHI17" s="1"/>
      <c r="FHJ17" s="1"/>
      <c r="FHK17" s="1"/>
      <c r="FHL17" s="1"/>
      <c r="FHM17" s="1"/>
      <c r="FHN17" s="1"/>
      <c r="FHO17" s="1"/>
      <c r="FHP17" s="1"/>
      <c r="FHQ17" s="1"/>
      <c r="FHR17" s="1"/>
      <c r="FHS17" s="1"/>
      <c r="FHT17" s="1"/>
      <c r="FHU17" s="1"/>
      <c r="FHV17" s="1"/>
      <c r="FHW17" s="1"/>
      <c r="FHX17" s="1"/>
      <c r="FHY17" s="1"/>
      <c r="FHZ17" s="1"/>
      <c r="FIA17" s="1"/>
      <c r="FIB17" s="1"/>
      <c r="FIC17" s="1"/>
      <c r="FID17" s="1"/>
      <c r="FIE17" s="1"/>
      <c r="FIF17" s="1"/>
      <c r="FIG17" s="1"/>
      <c r="FIH17" s="1"/>
      <c r="FII17" s="1"/>
      <c r="FIJ17" s="1"/>
      <c r="FIK17" s="1"/>
      <c r="FIL17" s="1"/>
      <c r="FIM17" s="1"/>
      <c r="FIN17" s="1"/>
      <c r="FIO17" s="1"/>
      <c r="FIP17" s="1"/>
      <c r="FIQ17" s="1"/>
      <c r="FIR17" s="1"/>
      <c r="FIS17" s="1"/>
      <c r="FIT17" s="1"/>
      <c r="FIU17" s="1"/>
      <c r="FIV17" s="1"/>
      <c r="FIW17" s="1"/>
      <c r="FIX17" s="1"/>
      <c r="FIY17" s="1"/>
      <c r="FIZ17" s="1"/>
      <c r="FJA17" s="1"/>
      <c r="FJB17" s="1"/>
      <c r="FJC17" s="1"/>
      <c r="FJD17" s="1"/>
      <c r="FJE17" s="1"/>
      <c r="FJF17" s="1"/>
      <c r="FJG17" s="1"/>
      <c r="FJH17" s="1"/>
      <c r="FJI17" s="1"/>
      <c r="FJJ17" s="1"/>
      <c r="FJK17" s="1"/>
      <c r="FJL17" s="1"/>
      <c r="FJM17" s="1"/>
      <c r="FJN17" s="1"/>
      <c r="FJO17" s="1"/>
      <c r="FJP17" s="1"/>
      <c r="FJQ17" s="1"/>
      <c r="FJR17" s="1"/>
      <c r="FJS17" s="1"/>
      <c r="FJT17" s="1"/>
      <c r="FJU17" s="1"/>
      <c r="FJV17" s="1"/>
      <c r="FJW17" s="1"/>
      <c r="FJX17" s="1"/>
      <c r="FJY17" s="1"/>
      <c r="FJZ17" s="1"/>
      <c r="FKA17" s="1"/>
      <c r="FKB17" s="1"/>
      <c r="FKC17" s="1"/>
      <c r="FKD17" s="1"/>
      <c r="FKE17" s="1"/>
      <c r="FKF17" s="1"/>
      <c r="FKG17" s="1"/>
      <c r="FKH17" s="1"/>
      <c r="FKI17" s="1"/>
      <c r="FKJ17" s="1"/>
      <c r="FKK17" s="1"/>
      <c r="FKL17" s="1"/>
      <c r="FKM17" s="1"/>
      <c r="FKN17" s="1"/>
      <c r="FKO17" s="1"/>
      <c r="FKP17" s="1"/>
      <c r="FKQ17" s="1"/>
      <c r="FKR17" s="1"/>
      <c r="FKS17" s="1"/>
      <c r="FKT17" s="1"/>
      <c r="FKU17" s="1"/>
      <c r="FKV17" s="1"/>
      <c r="FKW17" s="1"/>
      <c r="FKX17" s="1"/>
      <c r="FKY17" s="1"/>
      <c r="FKZ17" s="1"/>
      <c r="FLA17" s="1"/>
      <c r="FLB17" s="1"/>
      <c r="FLC17" s="1"/>
      <c r="FLD17" s="1"/>
      <c r="FLE17" s="1"/>
      <c r="FLF17" s="1"/>
      <c r="FLG17" s="1"/>
      <c r="FLH17" s="1"/>
      <c r="FLI17" s="1"/>
      <c r="FLJ17" s="1"/>
      <c r="FLK17" s="1"/>
      <c r="FLL17" s="1"/>
      <c r="FLM17" s="1"/>
      <c r="FLN17" s="1"/>
      <c r="FLO17" s="1"/>
      <c r="FLP17" s="1"/>
      <c r="FLQ17" s="1"/>
      <c r="FLR17" s="1"/>
      <c r="FLS17" s="1"/>
      <c r="FLT17" s="1"/>
      <c r="FLU17" s="1"/>
      <c r="FLV17" s="1"/>
      <c r="FLW17" s="1"/>
      <c r="FLX17" s="1"/>
      <c r="FLY17" s="1"/>
      <c r="FLZ17" s="1"/>
      <c r="FMA17" s="1"/>
      <c r="FMB17" s="1"/>
      <c r="FMC17" s="1"/>
      <c r="FMD17" s="1"/>
      <c r="FME17" s="1"/>
      <c r="FMF17" s="1"/>
      <c r="FMG17" s="1"/>
      <c r="FMH17" s="1"/>
      <c r="FMI17" s="1"/>
      <c r="FMJ17" s="1"/>
      <c r="FMK17" s="1"/>
      <c r="FML17" s="1"/>
      <c r="FMM17" s="1"/>
      <c r="FMN17" s="1"/>
      <c r="FMO17" s="1"/>
      <c r="FMP17" s="1"/>
      <c r="FMQ17" s="1"/>
      <c r="FMR17" s="1"/>
      <c r="FMS17" s="1"/>
      <c r="FMT17" s="1"/>
      <c r="FMU17" s="1"/>
      <c r="FMV17" s="1"/>
      <c r="FMW17" s="1"/>
      <c r="FMX17" s="1"/>
      <c r="FMY17" s="1"/>
      <c r="FMZ17" s="1"/>
      <c r="FNA17" s="1"/>
      <c r="FNB17" s="1"/>
      <c r="FNC17" s="1"/>
      <c r="FND17" s="1"/>
      <c r="FNE17" s="1"/>
      <c r="FNF17" s="1"/>
      <c r="FNG17" s="1"/>
      <c r="FNH17" s="1"/>
      <c r="FNI17" s="1"/>
      <c r="FNJ17" s="1"/>
      <c r="FNK17" s="1"/>
      <c r="FNL17" s="1"/>
      <c r="FNM17" s="1"/>
      <c r="FNN17" s="1"/>
      <c r="FNO17" s="1"/>
      <c r="FNP17" s="1"/>
      <c r="FNQ17" s="1"/>
      <c r="FNR17" s="1"/>
      <c r="FNS17" s="1"/>
      <c r="FNT17" s="1"/>
      <c r="FNU17" s="1"/>
      <c r="FNV17" s="1"/>
      <c r="FNW17" s="1"/>
      <c r="FNX17" s="1"/>
      <c r="FNY17" s="1"/>
      <c r="FNZ17" s="1"/>
      <c r="FOA17" s="1"/>
      <c r="FOB17" s="1"/>
      <c r="FOC17" s="1"/>
      <c r="FOD17" s="1"/>
      <c r="FOE17" s="1"/>
      <c r="FOF17" s="1"/>
      <c r="FOG17" s="1"/>
      <c r="FOH17" s="1"/>
      <c r="FOI17" s="1"/>
      <c r="FOJ17" s="1"/>
      <c r="FOK17" s="1"/>
      <c r="FOL17" s="1"/>
      <c r="FOM17" s="1"/>
      <c r="FON17" s="1"/>
      <c r="FOO17" s="1"/>
      <c r="FOP17" s="1"/>
      <c r="FOQ17" s="1"/>
      <c r="FOR17" s="1"/>
      <c r="FOS17" s="1"/>
      <c r="FOT17" s="1"/>
      <c r="FOU17" s="1"/>
      <c r="FOV17" s="1"/>
      <c r="FOW17" s="1"/>
      <c r="FOX17" s="1"/>
      <c r="FOY17" s="1"/>
      <c r="FOZ17" s="1"/>
      <c r="FPA17" s="1"/>
      <c r="FPB17" s="1"/>
      <c r="FPC17" s="1"/>
      <c r="FPD17" s="1"/>
      <c r="FPE17" s="1"/>
      <c r="FPF17" s="1"/>
      <c r="FPG17" s="1"/>
      <c r="FPH17" s="1"/>
      <c r="FPI17" s="1"/>
      <c r="FPJ17" s="1"/>
      <c r="FPK17" s="1"/>
      <c r="FPL17" s="1"/>
      <c r="FPM17" s="1"/>
      <c r="FPN17" s="1"/>
      <c r="FPO17" s="1"/>
      <c r="FPP17" s="1"/>
      <c r="FPQ17" s="1"/>
      <c r="FPR17" s="1"/>
      <c r="FPS17" s="1"/>
      <c r="FPT17" s="1"/>
      <c r="FPU17" s="1"/>
      <c r="FPV17" s="1"/>
      <c r="FPW17" s="1"/>
      <c r="FPX17" s="1"/>
      <c r="FPY17" s="1"/>
      <c r="FPZ17" s="1"/>
      <c r="FQA17" s="1"/>
      <c r="FQB17" s="1"/>
      <c r="FQC17" s="1"/>
      <c r="FQD17" s="1"/>
      <c r="FQE17" s="1"/>
      <c r="FQF17" s="1"/>
      <c r="FQG17" s="1"/>
      <c r="FQH17" s="1"/>
      <c r="FQI17" s="1"/>
      <c r="FQJ17" s="1"/>
      <c r="FQK17" s="1"/>
      <c r="FQL17" s="1"/>
      <c r="FQM17" s="1"/>
      <c r="FQN17" s="1"/>
      <c r="FQO17" s="1"/>
      <c r="FQP17" s="1"/>
      <c r="FQQ17" s="1"/>
      <c r="FQR17" s="1"/>
      <c r="FQS17" s="1"/>
      <c r="FQT17" s="1"/>
      <c r="FQU17" s="1"/>
      <c r="FQV17" s="1"/>
      <c r="FQW17" s="1"/>
      <c r="FQX17" s="1"/>
      <c r="FQY17" s="1"/>
      <c r="FQZ17" s="1"/>
      <c r="FRA17" s="1"/>
      <c r="FRB17" s="1"/>
      <c r="FRC17" s="1"/>
      <c r="FRD17" s="1"/>
      <c r="FRE17" s="1"/>
      <c r="FRF17" s="1"/>
      <c r="FRG17" s="1"/>
      <c r="FRH17" s="1"/>
      <c r="FRI17" s="1"/>
      <c r="FRJ17" s="1"/>
      <c r="FRK17" s="1"/>
      <c r="FRL17" s="1"/>
      <c r="FRM17" s="1"/>
      <c r="FRN17" s="1"/>
      <c r="FRO17" s="1"/>
      <c r="FRP17" s="1"/>
      <c r="FRQ17" s="1"/>
      <c r="FRR17" s="1"/>
      <c r="FRS17" s="1"/>
      <c r="FRT17" s="1"/>
      <c r="FRU17" s="1"/>
      <c r="FRV17" s="1"/>
      <c r="FRW17" s="1"/>
      <c r="FRX17" s="1"/>
      <c r="FRY17" s="1"/>
      <c r="FRZ17" s="1"/>
      <c r="FSA17" s="1"/>
      <c r="FSB17" s="1"/>
      <c r="FSC17" s="1"/>
      <c r="FSD17" s="1"/>
      <c r="FSE17" s="1"/>
      <c r="FSF17" s="1"/>
      <c r="FSG17" s="1"/>
      <c r="FSH17" s="1"/>
      <c r="FSI17" s="1"/>
      <c r="FSJ17" s="1"/>
      <c r="FSK17" s="1"/>
      <c r="FSL17" s="1"/>
      <c r="FSM17" s="1"/>
      <c r="FSN17" s="1"/>
      <c r="FSO17" s="1"/>
      <c r="FSP17" s="1"/>
      <c r="FSQ17" s="1"/>
      <c r="FSR17" s="1"/>
      <c r="FSS17" s="1"/>
      <c r="FST17" s="1"/>
      <c r="FSU17" s="1"/>
      <c r="FSV17" s="1"/>
      <c r="FSW17" s="1"/>
      <c r="FSX17" s="1"/>
      <c r="FSY17" s="1"/>
      <c r="FSZ17" s="1"/>
      <c r="FTA17" s="1"/>
      <c r="FTB17" s="1"/>
      <c r="FTC17" s="1"/>
      <c r="FTD17" s="1"/>
      <c r="FTE17" s="1"/>
      <c r="FTF17" s="1"/>
      <c r="FTG17" s="1"/>
      <c r="FTH17" s="1"/>
      <c r="FTI17" s="1"/>
      <c r="FTJ17" s="1"/>
      <c r="FTK17" s="1"/>
      <c r="FTL17" s="1"/>
      <c r="FTM17" s="1"/>
      <c r="FTN17" s="1"/>
      <c r="FTO17" s="1"/>
      <c r="FTP17" s="1"/>
      <c r="FTQ17" s="1"/>
      <c r="FTR17" s="1"/>
      <c r="FTS17" s="1"/>
      <c r="FTT17" s="1"/>
      <c r="FTU17" s="1"/>
      <c r="FTV17" s="1"/>
      <c r="FTW17" s="1"/>
      <c r="FTX17" s="1"/>
      <c r="FTY17" s="1"/>
      <c r="FTZ17" s="1"/>
      <c r="FUA17" s="1"/>
      <c r="FUB17" s="1"/>
      <c r="FUC17" s="1"/>
      <c r="FUD17" s="1"/>
      <c r="FUE17" s="1"/>
      <c r="FUF17" s="1"/>
      <c r="FUG17" s="1"/>
      <c r="FUH17" s="1"/>
      <c r="FUI17" s="1"/>
      <c r="FUJ17" s="1"/>
      <c r="FUK17" s="1"/>
      <c r="FUL17" s="1"/>
      <c r="FUM17" s="1"/>
      <c r="FUN17" s="1"/>
      <c r="FUO17" s="1"/>
      <c r="FUP17" s="1"/>
      <c r="FUQ17" s="1"/>
      <c r="FUR17" s="1"/>
      <c r="FUS17" s="1"/>
      <c r="FUT17" s="1"/>
      <c r="FUU17" s="1"/>
      <c r="FUV17" s="1"/>
      <c r="FUW17" s="1"/>
      <c r="FUX17" s="1"/>
      <c r="FUY17" s="1"/>
      <c r="FUZ17" s="1"/>
      <c r="FVA17" s="1"/>
      <c r="FVB17" s="1"/>
      <c r="FVC17" s="1"/>
      <c r="FVD17" s="1"/>
      <c r="FVE17" s="1"/>
      <c r="FVF17" s="1"/>
      <c r="FVG17" s="1"/>
      <c r="FVH17" s="1"/>
      <c r="FVI17" s="1"/>
      <c r="FVJ17" s="1"/>
      <c r="FVK17" s="1"/>
      <c r="FVL17" s="1"/>
      <c r="FVM17" s="1"/>
      <c r="FVN17" s="1"/>
      <c r="FVO17" s="1"/>
      <c r="FVP17" s="1"/>
      <c r="FVQ17" s="1"/>
      <c r="FVR17" s="1"/>
      <c r="FVS17" s="1"/>
      <c r="FVT17" s="1"/>
      <c r="FVU17" s="1"/>
      <c r="FVV17" s="1"/>
      <c r="FVW17" s="1"/>
      <c r="FVX17" s="1"/>
      <c r="FVY17" s="1"/>
      <c r="FVZ17" s="1"/>
      <c r="FWA17" s="1"/>
      <c r="FWB17" s="1"/>
      <c r="FWC17" s="1"/>
      <c r="FWD17" s="1"/>
      <c r="FWE17" s="1"/>
      <c r="FWF17" s="1"/>
      <c r="FWG17" s="1"/>
      <c r="FWH17" s="1"/>
      <c r="FWI17" s="1"/>
      <c r="FWJ17" s="1"/>
      <c r="FWK17" s="1"/>
      <c r="FWL17" s="1"/>
      <c r="FWM17" s="1"/>
      <c r="FWN17" s="1"/>
      <c r="FWO17" s="1"/>
      <c r="FWP17" s="1"/>
      <c r="FWQ17" s="1"/>
      <c r="FWR17" s="1"/>
      <c r="FWS17" s="1"/>
      <c r="FWT17" s="1"/>
      <c r="FWU17" s="1"/>
      <c r="FWV17" s="1"/>
      <c r="FWW17" s="1"/>
      <c r="FWX17" s="1"/>
      <c r="FWY17" s="1"/>
      <c r="FWZ17" s="1"/>
      <c r="FXA17" s="1"/>
      <c r="FXB17" s="1"/>
      <c r="FXC17" s="1"/>
      <c r="FXD17" s="1"/>
      <c r="FXE17" s="1"/>
      <c r="FXF17" s="1"/>
      <c r="FXG17" s="1"/>
      <c r="FXH17" s="1"/>
      <c r="FXI17" s="1"/>
      <c r="FXJ17" s="1"/>
      <c r="FXK17" s="1"/>
      <c r="FXL17" s="1"/>
      <c r="FXM17" s="1"/>
      <c r="FXN17" s="1"/>
      <c r="FXO17" s="1"/>
      <c r="FXP17" s="1"/>
      <c r="FXQ17" s="1"/>
      <c r="FXR17" s="1"/>
      <c r="FXS17" s="1"/>
      <c r="FXT17" s="1"/>
      <c r="FXU17" s="1"/>
      <c r="FXV17" s="1"/>
      <c r="FXW17" s="1"/>
      <c r="FXX17" s="1"/>
      <c r="FXY17" s="1"/>
      <c r="FXZ17" s="1"/>
      <c r="FYA17" s="1"/>
      <c r="FYB17" s="1"/>
      <c r="FYC17" s="1"/>
      <c r="FYD17" s="1"/>
      <c r="FYE17" s="1"/>
      <c r="FYF17" s="1"/>
      <c r="FYG17" s="1"/>
      <c r="FYH17" s="1"/>
      <c r="FYI17" s="1"/>
      <c r="FYJ17" s="1"/>
      <c r="FYK17" s="1"/>
      <c r="FYL17" s="1"/>
      <c r="FYM17" s="1"/>
      <c r="FYN17" s="1"/>
      <c r="FYO17" s="1"/>
      <c r="FYP17" s="1"/>
      <c r="FYQ17" s="1"/>
      <c r="FYR17" s="1"/>
      <c r="FYS17" s="1"/>
      <c r="FYT17" s="1"/>
      <c r="FYU17" s="1"/>
      <c r="FYV17" s="1"/>
      <c r="FYW17" s="1"/>
      <c r="FYX17" s="1"/>
      <c r="FYY17" s="1"/>
      <c r="FYZ17" s="1"/>
      <c r="FZA17" s="1"/>
      <c r="FZB17" s="1"/>
      <c r="FZC17" s="1"/>
      <c r="FZD17" s="1"/>
      <c r="FZE17" s="1"/>
      <c r="FZF17" s="1"/>
      <c r="FZG17" s="1"/>
      <c r="FZH17" s="1"/>
      <c r="FZI17" s="1"/>
      <c r="FZJ17" s="1"/>
      <c r="FZK17" s="1"/>
      <c r="FZL17" s="1"/>
      <c r="FZM17" s="1"/>
      <c r="FZN17" s="1"/>
      <c r="FZO17" s="1"/>
      <c r="FZP17" s="1"/>
      <c r="FZQ17" s="1"/>
      <c r="FZR17" s="1"/>
      <c r="FZS17" s="1"/>
      <c r="FZT17" s="1"/>
      <c r="FZU17" s="1"/>
      <c r="FZV17" s="1"/>
      <c r="FZW17" s="1"/>
      <c r="FZX17" s="1"/>
      <c r="FZY17" s="1"/>
      <c r="FZZ17" s="1"/>
      <c r="GAA17" s="1"/>
      <c r="GAB17" s="1"/>
      <c r="GAC17" s="1"/>
      <c r="GAD17" s="1"/>
      <c r="GAE17" s="1"/>
      <c r="GAF17" s="1"/>
      <c r="GAG17" s="1"/>
      <c r="GAH17" s="1"/>
      <c r="GAI17" s="1"/>
      <c r="GAJ17" s="1"/>
      <c r="GAK17" s="1"/>
      <c r="GAL17" s="1"/>
      <c r="GAM17" s="1"/>
      <c r="GAN17" s="1"/>
      <c r="GAO17" s="1"/>
      <c r="GAP17" s="1"/>
      <c r="GAQ17" s="1"/>
      <c r="GAR17" s="1"/>
      <c r="GAS17" s="1"/>
      <c r="GAT17" s="1"/>
      <c r="GAU17" s="1"/>
      <c r="GAV17" s="1"/>
      <c r="GAW17" s="1"/>
      <c r="GAX17" s="1"/>
      <c r="GAY17" s="1"/>
      <c r="GAZ17" s="1"/>
      <c r="GBA17" s="1"/>
      <c r="GBB17" s="1"/>
      <c r="GBC17" s="1"/>
      <c r="GBD17" s="1"/>
      <c r="GBE17" s="1"/>
      <c r="GBF17" s="1"/>
      <c r="GBG17" s="1"/>
      <c r="GBH17" s="1"/>
      <c r="GBI17" s="1"/>
      <c r="GBJ17" s="1"/>
      <c r="GBK17" s="1"/>
      <c r="GBL17" s="1"/>
      <c r="GBM17" s="1"/>
      <c r="GBN17" s="1"/>
      <c r="GBO17" s="1"/>
      <c r="GBP17" s="1"/>
      <c r="GBQ17" s="1"/>
      <c r="GBR17" s="1"/>
      <c r="GBS17" s="1"/>
      <c r="GBT17" s="1"/>
      <c r="GBU17" s="1"/>
      <c r="GBV17" s="1"/>
      <c r="GBW17" s="1"/>
      <c r="GBX17" s="1"/>
      <c r="GBY17" s="1"/>
      <c r="GBZ17" s="1"/>
      <c r="GCA17" s="1"/>
      <c r="GCB17" s="1"/>
      <c r="GCC17" s="1"/>
      <c r="GCD17" s="1"/>
      <c r="GCE17" s="1"/>
      <c r="GCF17" s="1"/>
      <c r="GCG17" s="1"/>
      <c r="GCH17" s="1"/>
      <c r="GCI17" s="1"/>
      <c r="GCJ17" s="1"/>
      <c r="GCK17" s="1"/>
      <c r="GCL17" s="1"/>
      <c r="GCM17" s="1"/>
      <c r="GCN17" s="1"/>
      <c r="GCO17" s="1"/>
      <c r="GCP17" s="1"/>
      <c r="GCQ17" s="1"/>
      <c r="GCR17" s="1"/>
      <c r="GCS17" s="1"/>
      <c r="GCT17" s="1"/>
      <c r="GCU17" s="1"/>
      <c r="GCV17" s="1"/>
      <c r="GCW17" s="1"/>
      <c r="GCX17" s="1"/>
      <c r="GCY17" s="1"/>
      <c r="GCZ17" s="1"/>
      <c r="GDA17" s="1"/>
      <c r="GDB17" s="1"/>
      <c r="GDC17" s="1"/>
      <c r="GDD17" s="1"/>
      <c r="GDE17" s="1"/>
      <c r="GDF17" s="1"/>
      <c r="GDG17" s="1"/>
      <c r="GDH17" s="1"/>
      <c r="GDI17" s="1"/>
      <c r="GDJ17" s="1"/>
      <c r="GDK17" s="1"/>
      <c r="GDL17" s="1"/>
      <c r="GDM17" s="1"/>
      <c r="GDN17" s="1"/>
      <c r="GDO17" s="1"/>
      <c r="GDP17" s="1"/>
      <c r="GDQ17" s="1"/>
      <c r="GDR17" s="1"/>
      <c r="GDS17" s="1"/>
      <c r="GDT17" s="1"/>
      <c r="GDU17" s="1"/>
      <c r="GDV17" s="1"/>
      <c r="GDW17" s="1"/>
      <c r="GDX17" s="1"/>
      <c r="GDY17" s="1"/>
      <c r="GDZ17" s="1"/>
      <c r="GEA17" s="1"/>
      <c r="GEB17" s="1"/>
      <c r="GEC17" s="1"/>
      <c r="GED17" s="1"/>
      <c r="GEE17" s="1"/>
      <c r="GEF17" s="1"/>
      <c r="GEG17" s="1"/>
      <c r="GEH17" s="1"/>
      <c r="GEI17" s="1"/>
      <c r="GEJ17" s="1"/>
      <c r="GEK17" s="1"/>
      <c r="GEL17" s="1"/>
      <c r="GEM17" s="1"/>
      <c r="GEN17" s="1"/>
      <c r="GEO17" s="1"/>
      <c r="GEP17" s="1"/>
      <c r="GEQ17" s="1"/>
      <c r="GER17" s="1"/>
      <c r="GES17" s="1"/>
      <c r="GET17" s="1"/>
      <c r="GEU17" s="1"/>
      <c r="GEV17" s="1"/>
      <c r="GEW17" s="1"/>
      <c r="GEX17" s="1"/>
      <c r="GEY17" s="1"/>
      <c r="GEZ17" s="1"/>
      <c r="GFA17" s="1"/>
      <c r="GFB17" s="1"/>
      <c r="GFC17" s="1"/>
      <c r="GFD17" s="1"/>
      <c r="GFE17" s="1"/>
      <c r="GFF17" s="1"/>
      <c r="GFG17" s="1"/>
      <c r="GFH17" s="1"/>
      <c r="GFI17" s="1"/>
      <c r="GFJ17" s="1"/>
      <c r="GFK17" s="1"/>
      <c r="GFL17" s="1"/>
      <c r="GFM17" s="1"/>
      <c r="GFN17" s="1"/>
      <c r="GFO17" s="1"/>
      <c r="GFP17" s="1"/>
      <c r="GFQ17" s="1"/>
      <c r="GFR17" s="1"/>
      <c r="GFS17" s="1"/>
      <c r="GFT17" s="1"/>
      <c r="GFU17" s="1"/>
      <c r="GFV17" s="1"/>
      <c r="GFW17" s="1"/>
      <c r="GFX17" s="1"/>
      <c r="GFY17" s="1"/>
      <c r="GFZ17" s="1"/>
      <c r="GGA17" s="1"/>
      <c r="GGB17" s="1"/>
      <c r="GGC17" s="1"/>
      <c r="GGD17" s="1"/>
      <c r="GGE17" s="1"/>
      <c r="GGF17" s="1"/>
      <c r="GGG17" s="1"/>
      <c r="GGH17" s="1"/>
      <c r="GGI17" s="1"/>
      <c r="GGJ17" s="1"/>
      <c r="GGK17" s="1"/>
      <c r="GGL17" s="1"/>
      <c r="GGM17" s="1"/>
      <c r="GGN17" s="1"/>
      <c r="GGO17" s="1"/>
      <c r="GGP17" s="1"/>
      <c r="GGQ17" s="1"/>
      <c r="GGR17" s="1"/>
      <c r="GGS17" s="1"/>
      <c r="GGT17" s="1"/>
      <c r="GGU17" s="1"/>
      <c r="GGV17" s="1"/>
      <c r="GGW17" s="1"/>
      <c r="GGX17" s="1"/>
      <c r="GGY17" s="1"/>
      <c r="GGZ17" s="1"/>
      <c r="GHA17" s="1"/>
      <c r="GHB17" s="1"/>
      <c r="GHC17" s="1"/>
      <c r="GHD17" s="1"/>
      <c r="GHE17" s="1"/>
      <c r="GHF17" s="1"/>
      <c r="GHG17" s="1"/>
      <c r="GHH17" s="1"/>
      <c r="GHI17" s="1"/>
      <c r="GHJ17" s="1"/>
      <c r="GHK17" s="1"/>
      <c r="GHL17" s="1"/>
      <c r="GHM17" s="1"/>
      <c r="GHN17" s="1"/>
      <c r="GHO17" s="1"/>
      <c r="GHP17" s="1"/>
      <c r="GHQ17" s="1"/>
      <c r="GHR17" s="1"/>
      <c r="GHS17" s="1"/>
      <c r="GHT17" s="1"/>
      <c r="GHU17" s="1"/>
      <c r="GHV17" s="1"/>
      <c r="GHW17" s="1"/>
      <c r="GHX17" s="1"/>
      <c r="GHY17" s="1"/>
      <c r="GHZ17" s="1"/>
      <c r="GIA17" s="1"/>
      <c r="GIB17" s="1"/>
      <c r="GIC17" s="1"/>
      <c r="GID17" s="1"/>
      <c r="GIE17" s="1"/>
      <c r="GIF17" s="1"/>
      <c r="GIG17" s="1"/>
      <c r="GIH17" s="1"/>
      <c r="GII17" s="1"/>
      <c r="GIJ17" s="1"/>
      <c r="GIK17" s="1"/>
      <c r="GIL17" s="1"/>
      <c r="GIM17" s="1"/>
      <c r="GIN17" s="1"/>
      <c r="GIO17" s="1"/>
      <c r="GIP17" s="1"/>
      <c r="GIQ17" s="1"/>
      <c r="GIR17" s="1"/>
      <c r="GIS17" s="1"/>
      <c r="GIT17" s="1"/>
      <c r="GIU17" s="1"/>
      <c r="GIV17" s="1"/>
      <c r="GIW17" s="1"/>
      <c r="GIX17" s="1"/>
      <c r="GIY17" s="1"/>
      <c r="GIZ17" s="1"/>
      <c r="GJA17" s="1"/>
      <c r="GJB17" s="1"/>
      <c r="GJC17" s="1"/>
      <c r="GJD17" s="1"/>
      <c r="GJE17" s="1"/>
      <c r="GJF17" s="1"/>
      <c r="GJG17" s="1"/>
      <c r="GJH17" s="1"/>
      <c r="GJI17" s="1"/>
      <c r="GJJ17" s="1"/>
      <c r="GJK17" s="1"/>
      <c r="GJL17" s="1"/>
      <c r="GJM17" s="1"/>
      <c r="GJN17" s="1"/>
      <c r="GJO17" s="1"/>
      <c r="GJP17" s="1"/>
      <c r="GJQ17" s="1"/>
      <c r="GJR17" s="1"/>
      <c r="GJS17" s="1"/>
      <c r="GJT17" s="1"/>
      <c r="GJU17" s="1"/>
      <c r="GJV17" s="1"/>
      <c r="GJW17" s="1"/>
      <c r="GJX17" s="1"/>
      <c r="GJY17" s="1"/>
      <c r="GJZ17" s="1"/>
      <c r="GKA17" s="1"/>
      <c r="GKB17" s="1"/>
      <c r="GKC17" s="1"/>
      <c r="GKD17" s="1"/>
      <c r="GKE17" s="1"/>
      <c r="GKF17" s="1"/>
      <c r="GKG17" s="1"/>
      <c r="GKH17" s="1"/>
      <c r="GKI17" s="1"/>
      <c r="GKJ17" s="1"/>
      <c r="GKK17" s="1"/>
      <c r="GKL17" s="1"/>
      <c r="GKM17" s="1"/>
      <c r="GKN17" s="1"/>
      <c r="GKO17" s="1"/>
      <c r="GKP17" s="1"/>
      <c r="GKQ17" s="1"/>
      <c r="GKR17" s="1"/>
      <c r="GKS17" s="1"/>
      <c r="GKT17" s="1"/>
      <c r="GKU17" s="1"/>
      <c r="GKV17" s="1"/>
      <c r="GKW17" s="1"/>
      <c r="GKX17" s="1"/>
      <c r="GKY17" s="1"/>
      <c r="GKZ17" s="1"/>
      <c r="GLA17" s="1"/>
      <c r="GLB17" s="1"/>
      <c r="GLC17" s="1"/>
      <c r="GLD17" s="1"/>
      <c r="GLE17" s="1"/>
      <c r="GLF17" s="1"/>
      <c r="GLG17" s="1"/>
      <c r="GLH17" s="1"/>
      <c r="GLI17" s="1"/>
      <c r="GLJ17" s="1"/>
      <c r="GLK17" s="1"/>
      <c r="GLL17" s="1"/>
      <c r="GLM17" s="1"/>
      <c r="GLN17" s="1"/>
      <c r="GLO17" s="1"/>
      <c r="GLP17" s="1"/>
      <c r="GLQ17" s="1"/>
      <c r="GLR17" s="1"/>
      <c r="GLS17" s="1"/>
      <c r="GLT17" s="1"/>
      <c r="GLU17" s="1"/>
      <c r="GLV17" s="1"/>
      <c r="GLW17" s="1"/>
      <c r="GLX17" s="1"/>
      <c r="GLY17" s="1"/>
      <c r="GLZ17" s="1"/>
      <c r="GMA17" s="1"/>
      <c r="GMB17" s="1"/>
      <c r="GMC17" s="1"/>
      <c r="GMD17" s="1"/>
      <c r="GME17" s="1"/>
      <c r="GMF17" s="1"/>
      <c r="GMG17" s="1"/>
      <c r="GMH17" s="1"/>
      <c r="GMI17" s="1"/>
      <c r="GMJ17" s="1"/>
      <c r="GMK17" s="1"/>
      <c r="GML17" s="1"/>
      <c r="GMM17" s="1"/>
      <c r="GMN17" s="1"/>
      <c r="GMO17" s="1"/>
      <c r="GMP17" s="1"/>
      <c r="GMQ17" s="1"/>
      <c r="GMR17" s="1"/>
      <c r="GMS17" s="1"/>
      <c r="GMT17" s="1"/>
      <c r="GMU17" s="1"/>
      <c r="GMV17" s="1"/>
      <c r="GMW17" s="1"/>
      <c r="GMX17" s="1"/>
      <c r="GMY17" s="1"/>
      <c r="GMZ17" s="1"/>
      <c r="GNA17" s="1"/>
      <c r="GNB17" s="1"/>
      <c r="GNC17" s="1"/>
      <c r="GND17" s="1"/>
      <c r="GNE17" s="1"/>
      <c r="GNF17" s="1"/>
      <c r="GNG17" s="1"/>
      <c r="GNH17" s="1"/>
      <c r="GNI17" s="1"/>
      <c r="GNJ17" s="1"/>
      <c r="GNK17" s="1"/>
      <c r="GNL17" s="1"/>
      <c r="GNM17" s="1"/>
      <c r="GNN17" s="1"/>
      <c r="GNO17" s="1"/>
      <c r="GNP17" s="1"/>
      <c r="GNQ17" s="1"/>
      <c r="GNR17" s="1"/>
      <c r="GNS17" s="1"/>
      <c r="GNT17" s="1"/>
      <c r="GNU17" s="1"/>
      <c r="GNV17" s="1"/>
      <c r="GNW17" s="1"/>
      <c r="GNX17" s="1"/>
      <c r="GNY17" s="1"/>
      <c r="GNZ17" s="1"/>
      <c r="GOA17" s="1"/>
      <c r="GOB17" s="1"/>
      <c r="GOC17" s="1"/>
      <c r="GOD17" s="1"/>
      <c r="GOE17" s="1"/>
      <c r="GOF17" s="1"/>
      <c r="GOG17" s="1"/>
      <c r="GOH17" s="1"/>
      <c r="GOI17" s="1"/>
      <c r="GOJ17" s="1"/>
      <c r="GOK17" s="1"/>
      <c r="GOL17" s="1"/>
      <c r="GOM17" s="1"/>
      <c r="GON17" s="1"/>
      <c r="GOO17" s="1"/>
      <c r="GOP17" s="1"/>
      <c r="GOQ17" s="1"/>
      <c r="GOR17" s="1"/>
      <c r="GOS17" s="1"/>
      <c r="GOT17" s="1"/>
      <c r="GOU17" s="1"/>
      <c r="GOV17" s="1"/>
      <c r="GOW17" s="1"/>
      <c r="GOX17" s="1"/>
      <c r="GOY17" s="1"/>
      <c r="GOZ17" s="1"/>
      <c r="GPA17" s="1"/>
      <c r="GPB17" s="1"/>
      <c r="GPC17" s="1"/>
      <c r="GPD17" s="1"/>
      <c r="GPE17" s="1"/>
      <c r="GPF17" s="1"/>
      <c r="GPG17" s="1"/>
      <c r="GPH17" s="1"/>
      <c r="GPI17" s="1"/>
      <c r="GPJ17" s="1"/>
      <c r="GPK17" s="1"/>
      <c r="GPL17" s="1"/>
      <c r="GPM17" s="1"/>
      <c r="GPN17" s="1"/>
      <c r="GPO17" s="1"/>
      <c r="GPP17" s="1"/>
      <c r="GPQ17" s="1"/>
      <c r="GPR17" s="1"/>
      <c r="GPS17" s="1"/>
      <c r="GPT17" s="1"/>
      <c r="GPU17" s="1"/>
      <c r="GPV17" s="1"/>
      <c r="GPW17" s="1"/>
      <c r="GPX17" s="1"/>
      <c r="GPY17" s="1"/>
      <c r="GPZ17" s="1"/>
      <c r="GQA17" s="1"/>
      <c r="GQB17" s="1"/>
      <c r="GQC17" s="1"/>
      <c r="GQD17" s="1"/>
      <c r="GQE17" s="1"/>
      <c r="GQF17" s="1"/>
      <c r="GQG17" s="1"/>
      <c r="GQH17" s="1"/>
      <c r="GQI17" s="1"/>
      <c r="GQJ17" s="1"/>
      <c r="GQK17" s="1"/>
      <c r="GQL17" s="1"/>
      <c r="GQM17" s="1"/>
      <c r="GQN17" s="1"/>
      <c r="GQO17" s="1"/>
      <c r="GQP17" s="1"/>
      <c r="GQQ17" s="1"/>
      <c r="GQR17" s="1"/>
      <c r="GQS17" s="1"/>
      <c r="GQT17" s="1"/>
      <c r="GQU17" s="1"/>
      <c r="GQV17" s="1"/>
      <c r="GQW17" s="1"/>
      <c r="GQX17" s="1"/>
      <c r="GQY17" s="1"/>
      <c r="GQZ17" s="1"/>
      <c r="GRA17" s="1"/>
      <c r="GRB17" s="1"/>
      <c r="GRC17" s="1"/>
      <c r="GRD17" s="1"/>
      <c r="GRE17" s="1"/>
      <c r="GRF17" s="1"/>
      <c r="GRG17" s="1"/>
      <c r="GRH17" s="1"/>
      <c r="GRI17" s="1"/>
      <c r="GRJ17" s="1"/>
      <c r="GRK17" s="1"/>
      <c r="GRL17" s="1"/>
      <c r="GRM17" s="1"/>
      <c r="GRN17" s="1"/>
      <c r="GRO17" s="1"/>
      <c r="GRP17" s="1"/>
      <c r="GRQ17" s="1"/>
      <c r="GRR17" s="1"/>
      <c r="GRS17" s="1"/>
      <c r="GRT17" s="1"/>
      <c r="GRU17" s="1"/>
      <c r="GRV17" s="1"/>
      <c r="GRW17" s="1"/>
      <c r="GRX17" s="1"/>
      <c r="GRY17" s="1"/>
      <c r="GRZ17" s="1"/>
      <c r="GSA17" s="1"/>
      <c r="GSB17" s="1"/>
      <c r="GSC17" s="1"/>
      <c r="GSD17" s="1"/>
      <c r="GSE17" s="1"/>
      <c r="GSF17" s="1"/>
      <c r="GSG17" s="1"/>
      <c r="GSH17" s="1"/>
      <c r="GSI17" s="1"/>
      <c r="GSJ17" s="1"/>
      <c r="GSK17" s="1"/>
      <c r="GSL17" s="1"/>
      <c r="GSM17" s="1"/>
      <c r="GSN17" s="1"/>
      <c r="GSO17" s="1"/>
      <c r="GSP17" s="1"/>
      <c r="GSQ17" s="1"/>
      <c r="GSR17" s="1"/>
      <c r="GSS17" s="1"/>
      <c r="GST17" s="1"/>
      <c r="GSU17" s="1"/>
      <c r="GSV17" s="1"/>
      <c r="GSW17" s="1"/>
      <c r="GSX17" s="1"/>
      <c r="GSY17" s="1"/>
      <c r="GSZ17" s="1"/>
      <c r="GTA17" s="1"/>
      <c r="GTB17" s="1"/>
      <c r="GTC17" s="1"/>
      <c r="GTD17" s="1"/>
      <c r="GTE17" s="1"/>
      <c r="GTF17" s="1"/>
      <c r="GTG17" s="1"/>
      <c r="GTH17" s="1"/>
      <c r="GTI17" s="1"/>
      <c r="GTJ17" s="1"/>
      <c r="GTK17" s="1"/>
      <c r="GTL17" s="1"/>
      <c r="GTM17" s="1"/>
      <c r="GTN17" s="1"/>
      <c r="GTO17" s="1"/>
      <c r="GTP17" s="1"/>
      <c r="GTQ17" s="1"/>
      <c r="GTR17" s="1"/>
      <c r="GTS17" s="1"/>
      <c r="GTT17" s="1"/>
      <c r="GTU17" s="1"/>
      <c r="GTV17" s="1"/>
      <c r="GTW17" s="1"/>
      <c r="GTX17" s="1"/>
      <c r="GTY17" s="1"/>
      <c r="GTZ17" s="1"/>
      <c r="GUA17" s="1"/>
      <c r="GUB17" s="1"/>
      <c r="GUC17" s="1"/>
      <c r="GUD17" s="1"/>
      <c r="GUE17" s="1"/>
      <c r="GUF17" s="1"/>
      <c r="GUG17" s="1"/>
      <c r="GUH17" s="1"/>
      <c r="GUI17" s="1"/>
      <c r="GUJ17" s="1"/>
      <c r="GUK17" s="1"/>
      <c r="GUL17" s="1"/>
      <c r="GUM17" s="1"/>
      <c r="GUN17" s="1"/>
      <c r="GUO17" s="1"/>
      <c r="GUP17" s="1"/>
      <c r="GUQ17" s="1"/>
      <c r="GUR17" s="1"/>
      <c r="GUS17" s="1"/>
      <c r="GUT17" s="1"/>
      <c r="GUU17" s="1"/>
      <c r="GUV17" s="1"/>
      <c r="GUW17" s="1"/>
      <c r="GUX17" s="1"/>
      <c r="GUY17" s="1"/>
      <c r="GUZ17" s="1"/>
      <c r="GVA17" s="1"/>
      <c r="GVB17" s="1"/>
      <c r="GVC17" s="1"/>
      <c r="GVD17" s="1"/>
      <c r="GVE17" s="1"/>
      <c r="GVF17" s="1"/>
      <c r="GVG17" s="1"/>
      <c r="GVH17" s="1"/>
      <c r="GVI17" s="1"/>
      <c r="GVJ17" s="1"/>
      <c r="GVK17" s="1"/>
      <c r="GVL17" s="1"/>
      <c r="GVM17" s="1"/>
      <c r="GVN17" s="1"/>
      <c r="GVO17" s="1"/>
      <c r="GVP17" s="1"/>
      <c r="GVQ17" s="1"/>
      <c r="GVR17" s="1"/>
      <c r="GVS17" s="1"/>
      <c r="GVT17" s="1"/>
      <c r="GVU17" s="1"/>
      <c r="GVV17" s="1"/>
      <c r="GVW17" s="1"/>
      <c r="GVX17" s="1"/>
      <c r="GVY17" s="1"/>
      <c r="GVZ17" s="1"/>
      <c r="GWA17" s="1"/>
      <c r="GWB17" s="1"/>
      <c r="GWC17" s="1"/>
      <c r="GWD17" s="1"/>
      <c r="GWE17" s="1"/>
      <c r="GWF17" s="1"/>
      <c r="GWG17" s="1"/>
      <c r="GWH17" s="1"/>
      <c r="GWI17" s="1"/>
      <c r="GWJ17" s="1"/>
      <c r="GWK17" s="1"/>
      <c r="GWL17" s="1"/>
      <c r="GWM17" s="1"/>
      <c r="GWN17" s="1"/>
      <c r="GWO17" s="1"/>
      <c r="GWP17" s="1"/>
      <c r="GWQ17" s="1"/>
      <c r="GWR17" s="1"/>
      <c r="GWS17" s="1"/>
      <c r="GWT17" s="1"/>
      <c r="GWU17" s="1"/>
      <c r="GWV17" s="1"/>
      <c r="GWW17" s="1"/>
      <c r="GWX17" s="1"/>
      <c r="GWY17" s="1"/>
      <c r="GWZ17" s="1"/>
      <c r="GXA17" s="1"/>
      <c r="GXB17" s="1"/>
      <c r="GXC17" s="1"/>
      <c r="GXD17" s="1"/>
      <c r="GXE17" s="1"/>
      <c r="GXF17" s="1"/>
      <c r="GXG17" s="1"/>
      <c r="GXH17" s="1"/>
      <c r="GXI17" s="1"/>
      <c r="GXJ17" s="1"/>
      <c r="GXK17" s="1"/>
      <c r="GXL17" s="1"/>
      <c r="GXM17" s="1"/>
      <c r="GXN17" s="1"/>
      <c r="GXO17" s="1"/>
      <c r="GXP17" s="1"/>
      <c r="GXQ17" s="1"/>
      <c r="GXR17" s="1"/>
      <c r="GXS17" s="1"/>
      <c r="GXT17" s="1"/>
      <c r="GXU17" s="1"/>
      <c r="GXV17" s="1"/>
      <c r="GXW17" s="1"/>
      <c r="GXX17" s="1"/>
      <c r="GXY17" s="1"/>
      <c r="GXZ17" s="1"/>
      <c r="GYA17" s="1"/>
      <c r="GYB17" s="1"/>
      <c r="GYC17" s="1"/>
      <c r="GYD17" s="1"/>
      <c r="GYE17" s="1"/>
      <c r="GYF17" s="1"/>
      <c r="GYG17" s="1"/>
      <c r="GYH17" s="1"/>
      <c r="GYI17" s="1"/>
      <c r="GYJ17" s="1"/>
      <c r="GYK17" s="1"/>
      <c r="GYL17" s="1"/>
      <c r="GYM17" s="1"/>
      <c r="GYN17" s="1"/>
      <c r="GYO17" s="1"/>
      <c r="GYP17" s="1"/>
      <c r="GYQ17" s="1"/>
      <c r="GYR17" s="1"/>
      <c r="GYS17" s="1"/>
      <c r="GYT17" s="1"/>
      <c r="GYU17" s="1"/>
      <c r="GYV17" s="1"/>
      <c r="GYW17" s="1"/>
      <c r="GYX17" s="1"/>
      <c r="GYY17" s="1"/>
      <c r="GYZ17" s="1"/>
      <c r="GZA17" s="1"/>
      <c r="GZB17" s="1"/>
      <c r="GZC17" s="1"/>
      <c r="GZD17" s="1"/>
      <c r="GZE17" s="1"/>
      <c r="GZF17" s="1"/>
      <c r="GZG17" s="1"/>
      <c r="GZH17" s="1"/>
      <c r="GZI17" s="1"/>
      <c r="GZJ17" s="1"/>
      <c r="GZK17" s="1"/>
      <c r="GZL17" s="1"/>
      <c r="GZM17" s="1"/>
      <c r="GZN17" s="1"/>
      <c r="GZO17" s="1"/>
      <c r="GZP17" s="1"/>
      <c r="GZQ17" s="1"/>
      <c r="GZR17" s="1"/>
      <c r="GZS17" s="1"/>
      <c r="GZT17" s="1"/>
      <c r="GZU17" s="1"/>
      <c r="GZV17" s="1"/>
      <c r="GZW17" s="1"/>
      <c r="GZX17" s="1"/>
      <c r="GZY17" s="1"/>
      <c r="GZZ17" s="1"/>
      <c r="HAA17" s="1"/>
      <c r="HAB17" s="1"/>
      <c r="HAC17" s="1"/>
      <c r="HAD17" s="1"/>
      <c r="HAE17" s="1"/>
      <c r="HAF17" s="1"/>
      <c r="HAG17" s="1"/>
      <c r="HAH17" s="1"/>
      <c r="HAI17" s="1"/>
      <c r="HAJ17" s="1"/>
      <c r="HAK17" s="1"/>
      <c r="HAL17" s="1"/>
      <c r="HAM17" s="1"/>
      <c r="HAN17" s="1"/>
      <c r="HAO17" s="1"/>
      <c r="HAP17" s="1"/>
      <c r="HAQ17" s="1"/>
      <c r="HAR17" s="1"/>
      <c r="HAS17" s="1"/>
      <c r="HAT17" s="1"/>
      <c r="HAU17" s="1"/>
      <c r="HAV17" s="1"/>
      <c r="HAW17" s="1"/>
      <c r="HAX17" s="1"/>
      <c r="HAY17" s="1"/>
      <c r="HAZ17" s="1"/>
      <c r="HBA17" s="1"/>
      <c r="HBB17" s="1"/>
      <c r="HBC17" s="1"/>
      <c r="HBD17" s="1"/>
      <c r="HBE17" s="1"/>
      <c r="HBF17" s="1"/>
      <c r="HBG17" s="1"/>
      <c r="HBH17" s="1"/>
      <c r="HBI17" s="1"/>
      <c r="HBJ17" s="1"/>
      <c r="HBK17" s="1"/>
      <c r="HBL17" s="1"/>
      <c r="HBM17" s="1"/>
      <c r="HBN17" s="1"/>
      <c r="HBO17" s="1"/>
      <c r="HBP17" s="1"/>
      <c r="HBQ17" s="1"/>
      <c r="HBR17" s="1"/>
      <c r="HBS17" s="1"/>
      <c r="HBT17" s="1"/>
      <c r="HBU17" s="1"/>
      <c r="HBV17" s="1"/>
      <c r="HBW17" s="1"/>
      <c r="HBX17" s="1"/>
      <c r="HBY17" s="1"/>
      <c r="HBZ17" s="1"/>
      <c r="HCA17" s="1"/>
      <c r="HCB17" s="1"/>
      <c r="HCC17" s="1"/>
      <c r="HCD17" s="1"/>
      <c r="HCE17" s="1"/>
      <c r="HCF17" s="1"/>
      <c r="HCG17" s="1"/>
      <c r="HCH17" s="1"/>
      <c r="HCI17" s="1"/>
      <c r="HCJ17" s="1"/>
      <c r="HCK17" s="1"/>
      <c r="HCL17" s="1"/>
      <c r="HCM17" s="1"/>
      <c r="HCN17" s="1"/>
      <c r="HCO17" s="1"/>
      <c r="HCP17" s="1"/>
      <c r="HCQ17" s="1"/>
      <c r="HCR17" s="1"/>
      <c r="HCS17" s="1"/>
      <c r="HCT17" s="1"/>
      <c r="HCU17" s="1"/>
      <c r="HCV17" s="1"/>
      <c r="HCW17" s="1"/>
      <c r="HCX17" s="1"/>
      <c r="HCY17" s="1"/>
      <c r="HCZ17" s="1"/>
      <c r="HDA17" s="1"/>
      <c r="HDB17" s="1"/>
      <c r="HDC17" s="1"/>
      <c r="HDD17" s="1"/>
      <c r="HDE17" s="1"/>
      <c r="HDF17" s="1"/>
      <c r="HDG17" s="1"/>
      <c r="HDH17" s="1"/>
      <c r="HDI17" s="1"/>
      <c r="HDJ17" s="1"/>
      <c r="HDK17" s="1"/>
      <c r="HDL17" s="1"/>
      <c r="HDM17" s="1"/>
      <c r="HDN17" s="1"/>
      <c r="HDO17" s="1"/>
      <c r="HDP17" s="1"/>
      <c r="HDQ17" s="1"/>
      <c r="HDR17" s="1"/>
      <c r="HDS17" s="1"/>
      <c r="HDT17" s="1"/>
      <c r="HDU17" s="1"/>
      <c r="HDV17" s="1"/>
      <c r="HDW17" s="1"/>
      <c r="HDX17" s="1"/>
      <c r="HDY17" s="1"/>
      <c r="HDZ17" s="1"/>
      <c r="HEA17" s="1"/>
      <c r="HEB17" s="1"/>
      <c r="HEC17" s="1"/>
      <c r="HED17" s="1"/>
      <c r="HEE17" s="1"/>
      <c r="HEF17" s="1"/>
      <c r="HEG17" s="1"/>
      <c r="HEH17" s="1"/>
      <c r="HEI17" s="1"/>
      <c r="HEJ17" s="1"/>
      <c r="HEK17" s="1"/>
      <c r="HEL17" s="1"/>
      <c r="HEM17" s="1"/>
      <c r="HEN17" s="1"/>
      <c r="HEO17" s="1"/>
      <c r="HEP17" s="1"/>
      <c r="HEQ17" s="1"/>
      <c r="HER17" s="1"/>
      <c r="HES17" s="1"/>
      <c r="HET17" s="1"/>
      <c r="HEU17" s="1"/>
      <c r="HEV17" s="1"/>
      <c r="HEW17" s="1"/>
      <c r="HEX17" s="1"/>
      <c r="HEY17" s="1"/>
      <c r="HEZ17" s="1"/>
      <c r="HFA17" s="1"/>
      <c r="HFB17" s="1"/>
      <c r="HFC17" s="1"/>
      <c r="HFD17" s="1"/>
      <c r="HFE17" s="1"/>
      <c r="HFF17" s="1"/>
      <c r="HFG17" s="1"/>
      <c r="HFH17" s="1"/>
      <c r="HFI17" s="1"/>
      <c r="HFJ17" s="1"/>
      <c r="HFK17" s="1"/>
      <c r="HFL17" s="1"/>
      <c r="HFM17" s="1"/>
      <c r="HFN17" s="1"/>
      <c r="HFO17" s="1"/>
      <c r="HFP17" s="1"/>
      <c r="HFQ17" s="1"/>
      <c r="HFR17" s="1"/>
      <c r="HFS17" s="1"/>
      <c r="HFT17" s="1"/>
      <c r="HFU17" s="1"/>
      <c r="HFV17" s="1"/>
      <c r="HFW17" s="1"/>
      <c r="HFX17" s="1"/>
      <c r="HFY17" s="1"/>
      <c r="HFZ17" s="1"/>
      <c r="HGA17" s="1"/>
      <c r="HGB17" s="1"/>
      <c r="HGC17" s="1"/>
      <c r="HGD17" s="1"/>
      <c r="HGE17" s="1"/>
      <c r="HGF17" s="1"/>
      <c r="HGG17" s="1"/>
      <c r="HGH17" s="1"/>
      <c r="HGI17" s="1"/>
      <c r="HGJ17" s="1"/>
      <c r="HGK17" s="1"/>
      <c r="HGL17" s="1"/>
      <c r="HGM17" s="1"/>
      <c r="HGN17" s="1"/>
      <c r="HGO17" s="1"/>
      <c r="HGP17" s="1"/>
      <c r="HGQ17" s="1"/>
      <c r="HGR17" s="1"/>
      <c r="HGS17" s="1"/>
      <c r="HGT17" s="1"/>
      <c r="HGU17" s="1"/>
      <c r="HGV17" s="1"/>
      <c r="HGW17" s="1"/>
      <c r="HGX17" s="1"/>
      <c r="HGY17" s="1"/>
      <c r="HGZ17" s="1"/>
      <c r="HHA17" s="1"/>
      <c r="HHB17" s="1"/>
      <c r="HHC17" s="1"/>
      <c r="HHD17" s="1"/>
      <c r="HHE17" s="1"/>
      <c r="HHF17" s="1"/>
      <c r="HHG17" s="1"/>
      <c r="HHH17" s="1"/>
      <c r="HHI17" s="1"/>
      <c r="HHJ17" s="1"/>
      <c r="HHK17" s="1"/>
      <c r="HHL17" s="1"/>
      <c r="HHM17" s="1"/>
      <c r="HHN17" s="1"/>
      <c r="HHO17" s="1"/>
      <c r="HHP17" s="1"/>
      <c r="HHQ17" s="1"/>
      <c r="HHR17" s="1"/>
      <c r="HHS17" s="1"/>
      <c r="HHT17" s="1"/>
      <c r="HHU17" s="1"/>
      <c r="HHV17" s="1"/>
      <c r="HHW17" s="1"/>
      <c r="HHX17" s="1"/>
      <c r="HHY17" s="1"/>
      <c r="HHZ17" s="1"/>
      <c r="HIA17" s="1"/>
      <c r="HIB17" s="1"/>
      <c r="HIC17" s="1"/>
      <c r="HID17" s="1"/>
      <c r="HIE17" s="1"/>
      <c r="HIF17" s="1"/>
      <c r="HIG17" s="1"/>
      <c r="HIH17" s="1"/>
      <c r="HII17" s="1"/>
      <c r="HIJ17" s="1"/>
      <c r="HIK17" s="1"/>
      <c r="HIL17" s="1"/>
      <c r="HIM17" s="1"/>
      <c r="HIN17" s="1"/>
      <c r="HIO17" s="1"/>
      <c r="HIP17" s="1"/>
      <c r="HIQ17" s="1"/>
      <c r="HIR17" s="1"/>
      <c r="HIS17" s="1"/>
      <c r="HIT17" s="1"/>
      <c r="HIU17" s="1"/>
      <c r="HIV17" s="1"/>
      <c r="HIW17" s="1"/>
      <c r="HIX17" s="1"/>
      <c r="HIY17" s="1"/>
      <c r="HIZ17" s="1"/>
      <c r="HJA17" s="1"/>
      <c r="HJB17" s="1"/>
      <c r="HJC17" s="1"/>
      <c r="HJD17" s="1"/>
      <c r="HJE17" s="1"/>
      <c r="HJF17" s="1"/>
      <c r="HJG17" s="1"/>
      <c r="HJH17" s="1"/>
      <c r="HJI17" s="1"/>
      <c r="HJJ17" s="1"/>
      <c r="HJK17" s="1"/>
      <c r="HJL17" s="1"/>
      <c r="HJM17" s="1"/>
      <c r="HJN17" s="1"/>
      <c r="HJO17" s="1"/>
      <c r="HJP17" s="1"/>
      <c r="HJQ17" s="1"/>
      <c r="HJR17" s="1"/>
      <c r="HJS17" s="1"/>
      <c r="HJT17" s="1"/>
      <c r="HJU17" s="1"/>
      <c r="HJV17" s="1"/>
      <c r="HJW17" s="1"/>
      <c r="HJX17" s="1"/>
      <c r="HJY17" s="1"/>
      <c r="HJZ17" s="1"/>
      <c r="HKA17" s="1"/>
      <c r="HKB17" s="1"/>
      <c r="HKC17" s="1"/>
      <c r="HKD17" s="1"/>
      <c r="HKE17" s="1"/>
      <c r="HKF17" s="1"/>
      <c r="HKG17" s="1"/>
      <c r="HKH17" s="1"/>
      <c r="HKI17" s="1"/>
      <c r="HKJ17" s="1"/>
      <c r="HKK17" s="1"/>
      <c r="HKL17" s="1"/>
      <c r="HKM17" s="1"/>
      <c r="HKN17" s="1"/>
      <c r="HKO17" s="1"/>
      <c r="HKP17" s="1"/>
      <c r="HKQ17" s="1"/>
      <c r="HKR17" s="1"/>
      <c r="HKS17" s="1"/>
      <c r="HKT17" s="1"/>
      <c r="HKU17" s="1"/>
      <c r="HKV17" s="1"/>
      <c r="HKW17" s="1"/>
      <c r="HKX17" s="1"/>
      <c r="HKY17" s="1"/>
      <c r="HKZ17" s="1"/>
      <c r="HLA17" s="1"/>
      <c r="HLB17" s="1"/>
      <c r="HLC17" s="1"/>
      <c r="HLD17" s="1"/>
      <c r="HLE17" s="1"/>
      <c r="HLF17" s="1"/>
      <c r="HLG17" s="1"/>
      <c r="HLH17" s="1"/>
      <c r="HLI17" s="1"/>
      <c r="HLJ17" s="1"/>
      <c r="HLK17" s="1"/>
      <c r="HLL17" s="1"/>
      <c r="HLM17" s="1"/>
      <c r="HLN17" s="1"/>
      <c r="HLO17" s="1"/>
      <c r="HLP17" s="1"/>
      <c r="HLQ17" s="1"/>
      <c r="HLR17" s="1"/>
      <c r="HLS17" s="1"/>
      <c r="HLT17" s="1"/>
      <c r="HLU17" s="1"/>
      <c r="HLV17" s="1"/>
      <c r="HLW17" s="1"/>
      <c r="HLX17" s="1"/>
      <c r="HLY17" s="1"/>
      <c r="HLZ17" s="1"/>
      <c r="HMA17" s="1"/>
      <c r="HMB17" s="1"/>
      <c r="HMC17" s="1"/>
      <c r="HMD17" s="1"/>
      <c r="HME17" s="1"/>
      <c r="HMF17" s="1"/>
      <c r="HMG17" s="1"/>
      <c r="HMH17" s="1"/>
      <c r="HMI17" s="1"/>
      <c r="HMJ17" s="1"/>
      <c r="HMK17" s="1"/>
      <c r="HML17" s="1"/>
      <c r="HMM17" s="1"/>
      <c r="HMN17" s="1"/>
      <c r="HMO17" s="1"/>
      <c r="HMP17" s="1"/>
      <c r="HMQ17" s="1"/>
      <c r="HMR17" s="1"/>
      <c r="HMS17" s="1"/>
      <c r="HMT17" s="1"/>
      <c r="HMU17" s="1"/>
      <c r="HMV17" s="1"/>
      <c r="HMW17" s="1"/>
      <c r="HMX17" s="1"/>
      <c r="HMY17" s="1"/>
      <c r="HMZ17" s="1"/>
      <c r="HNA17" s="1"/>
      <c r="HNB17" s="1"/>
      <c r="HNC17" s="1"/>
      <c r="HND17" s="1"/>
      <c r="HNE17" s="1"/>
      <c r="HNF17" s="1"/>
      <c r="HNG17" s="1"/>
      <c r="HNH17" s="1"/>
      <c r="HNI17" s="1"/>
      <c r="HNJ17" s="1"/>
      <c r="HNK17" s="1"/>
      <c r="HNL17" s="1"/>
      <c r="HNM17" s="1"/>
      <c r="HNN17" s="1"/>
      <c r="HNO17" s="1"/>
      <c r="HNP17" s="1"/>
      <c r="HNQ17" s="1"/>
      <c r="HNR17" s="1"/>
      <c r="HNS17" s="1"/>
      <c r="HNT17" s="1"/>
      <c r="HNU17" s="1"/>
      <c r="HNV17" s="1"/>
      <c r="HNW17" s="1"/>
      <c r="HNX17" s="1"/>
      <c r="HNY17" s="1"/>
      <c r="HNZ17" s="1"/>
      <c r="HOA17" s="1"/>
      <c r="HOB17" s="1"/>
      <c r="HOC17" s="1"/>
      <c r="HOD17" s="1"/>
      <c r="HOE17" s="1"/>
      <c r="HOF17" s="1"/>
      <c r="HOG17" s="1"/>
      <c r="HOH17" s="1"/>
      <c r="HOI17" s="1"/>
      <c r="HOJ17" s="1"/>
      <c r="HOK17" s="1"/>
      <c r="HOL17" s="1"/>
      <c r="HOM17" s="1"/>
      <c r="HON17" s="1"/>
      <c r="HOO17" s="1"/>
      <c r="HOP17" s="1"/>
      <c r="HOQ17" s="1"/>
      <c r="HOR17" s="1"/>
      <c r="HOS17" s="1"/>
      <c r="HOT17" s="1"/>
      <c r="HOU17" s="1"/>
      <c r="HOV17" s="1"/>
      <c r="HOW17" s="1"/>
      <c r="HOX17" s="1"/>
      <c r="HOY17" s="1"/>
      <c r="HOZ17" s="1"/>
      <c r="HPA17" s="1"/>
      <c r="HPB17" s="1"/>
      <c r="HPC17" s="1"/>
      <c r="HPD17" s="1"/>
      <c r="HPE17" s="1"/>
      <c r="HPF17" s="1"/>
      <c r="HPG17" s="1"/>
      <c r="HPH17" s="1"/>
      <c r="HPI17" s="1"/>
      <c r="HPJ17" s="1"/>
      <c r="HPK17" s="1"/>
      <c r="HPL17" s="1"/>
      <c r="HPM17" s="1"/>
      <c r="HPN17" s="1"/>
      <c r="HPO17" s="1"/>
      <c r="HPP17" s="1"/>
      <c r="HPQ17" s="1"/>
      <c r="HPR17" s="1"/>
      <c r="HPS17" s="1"/>
      <c r="HPT17" s="1"/>
      <c r="HPU17" s="1"/>
      <c r="HPV17" s="1"/>
      <c r="HPW17" s="1"/>
      <c r="HPX17" s="1"/>
      <c r="HPY17" s="1"/>
      <c r="HPZ17" s="1"/>
      <c r="HQA17" s="1"/>
      <c r="HQB17" s="1"/>
      <c r="HQC17" s="1"/>
      <c r="HQD17" s="1"/>
      <c r="HQE17" s="1"/>
      <c r="HQF17" s="1"/>
      <c r="HQG17" s="1"/>
      <c r="HQH17" s="1"/>
      <c r="HQI17" s="1"/>
      <c r="HQJ17" s="1"/>
      <c r="HQK17" s="1"/>
      <c r="HQL17" s="1"/>
      <c r="HQM17" s="1"/>
      <c r="HQN17" s="1"/>
      <c r="HQO17" s="1"/>
      <c r="HQP17" s="1"/>
      <c r="HQQ17" s="1"/>
      <c r="HQR17" s="1"/>
      <c r="HQS17" s="1"/>
      <c r="HQT17" s="1"/>
      <c r="HQU17" s="1"/>
      <c r="HQV17" s="1"/>
      <c r="HQW17" s="1"/>
      <c r="HQX17" s="1"/>
      <c r="HQY17" s="1"/>
      <c r="HQZ17" s="1"/>
      <c r="HRA17" s="1"/>
      <c r="HRB17" s="1"/>
      <c r="HRC17" s="1"/>
      <c r="HRD17" s="1"/>
      <c r="HRE17" s="1"/>
      <c r="HRF17" s="1"/>
      <c r="HRG17" s="1"/>
      <c r="HRH17" s="1"/>
      <c r="HRI17" s="1"/>
      <c r="HRJ17" s="1"/>
      <c r="HRK17" s="1"/>
      <c r="HRL17" s="1"/>
      <c r="HRM17" s="1"/>
      <c r="HRN17" s="1"/>
      <c r="HRO17" s="1"/>
      <c r="HRP17" s="1"/>
      <c r="HRQ17" s="1"/>
      <c r="HRR17" s="1"/>
      <c r="HRS17" s="1"/>
      <c r="HRT17" s="1"/>
      <c r="HRU17" s="1"/>
      <c r="HRV17" s="1"/>
      <c r="HRW17" s="1"/>
      <c r="HRX17" s="1"/>
      <c r="HRY17" s="1"/>
      <c r="HRZ17" s="1"/>
      <c r="HSA17" s="1"/>
      <c r="HSB17" s="1"/>
      <c r="HSC17" s="1"/>
      <c r="HSD17" s="1"/>
      <c r="HSE17" s="1"/>
      <c r="HSF17" s="1"/>
      <c r="HSG17" s="1"/>
      <c r="HSH17" s="1"/>
      <c r="HSI17" s="1"/>
      <c r="HSJ17" s="1"/>
      <c r="HSK17" s="1"/>
      <c r="HSL17" s="1"/>
      <c r="HSM17" s="1"/>
      <c r="HSN17" s="1"/>
      <c r="HSO17" s="1"/>
      <c r="HSP17" s="1"/>
      <c r="HSQ17" s="1"/>
      <c r="HSR17" s="1"/>
      <c r="HSS17" s="1"/>
      <c r="HST17" s="1"/>
      <c r="HSU17" s="1"/>
      <c r="HSV17" s="1"/>
      <c r="HSW17" s="1"/>
      <c r="HSX17" s="1"/>
      <c r="HSY17" s="1"/>
      <c r="HSZ17" s="1"/>
      <c r="HTA17" s="1"/>
      <c r="HTB17" s="1"/>
      <c r="HTC17" s="1"/>
      <c r="HTD17" s="1"/>
      <c r="HTE17" s="1"/>
      <c r="HTF17" s="1"/>
      <c r="HTG17" s="1"/>
      <c r="HTH17" s="1"/>
      <c r="HTI17" s="1"/>
      <c r="HTJ17" s="1"/>
      <c r="HTK17" s="1"/>
      <c r="HTL17" s="1"/>
      <c r="HTM17" s="1"/>
      <c r="HTN17" s="1"/>
      <c r="HTO17" s="1"/>
      <c r="HTP17" s="1"/>
      <c r="HTQ17" s="1"/>
      <c r="HTR17" s="1"/>
      <c r="HTS17" s="1"/>
      <c r="HTT17" s="1"/>
      <c r="HTU17" s="1"/>
      <c r="HTV17" s="1"/>
      <c r="HTW17" s="1"/>
      <c r="HTX17" s="1"/>
      <c r="HTY17" s="1"/>
      <c r="HTZ17" s="1"/>
      <c r="HUA17" s="1"/>
      <c r="HUB17" s="1"/>
      <c r="HUC17" s="1"/>
      <c r="HUD17" s="1"/>
      <c r="HUE17" s="1"/>
      <c r="HUF17" s="1"/>
      <c r="HUG17" s="1"/>
      <c r="HUH17" s="1"/>
      <c r="HUI17" s="1"/>
      <c r="HUJ17" s="1"/>
      <c r="HUK17" s="1"/>
      <c r="HUL17" s="1"/>
      <c r="HUM17" s="1"/>
      <c r="HUN17" s="1"/>
      <c r="HUO17" s="1"/>
      <c r="HUP17" s="1"/>
      <c r="HUQ17" s="1"/>
      <c r="HUR17" s="1"/>
      <c r="HUS17" s="1"/>
      <c r="HUT17" s="1"/>
      <c r="HUU17" s="1"/>
      <c r="HUV17" s="1"/>
      <c r="HUW17" s="1"/>
      <c r="HUX17" s="1"/>
      <c r="HUY17" s="1"/>
      <c r="HUZ17" s="1"/>
      <c r="HVA17" s="1"/>
      <c r="HVB17" s="1"/>
      <c r="HVC17" s="1"/>
      <c r="HVD17" s="1"/>
      <c r="HVE17" s="1"/>
      <c r="HVF17" s="1"/>
      <c r="HVG17" s="1"/>
      <c r="HVH17" s="1"/>
      <c r="HVI17" s="1"/>
      <c r="HVJ17" s="1"/>
      <c r="HVK17" s="1"/>
      <c r="HVL17" s="1"/>
      <c r="HVM17" s="1"/>
      <c r="HVN17" s="1"/>
      <c r="HVO17" s="1"/>
      <c r="HVP17" s="1"/>
      <c r="HVQ17" s="1"/>
      <c r="HVR17" s="1"/>
      <c r="HVS17" s="1"/>
      <c r="HVT17" s="1"/>
      <c r="HVU17" s="1"/>
      <c r="HVV17" s="1"/>
      <c r="HVW17" s="1"/>
      <c r="HVX17" s="1"/>
      <c r="HVY17" s="1"/>
      <c r="HVZ17" s="1"/>
      <c r="HWA17" s="1"/>
      <c r="HWB17" s="1"/>
      <c r="HWC17" s="1"/>
      <c r="HWD17" s="1"/>
      <c r="HWE17" s="1"/>
      <c r="HWF17" s="1"/>
      <c r="HWG17" s="1"/>
      <c r="HWH17" s="1"/>
      <c r="HWI17" s="1"/>
      <c r="HWJ17" s="1"/>
      <c r="HWK17" s="1"/>
      <c r="HWL17" s="1"/>
      <c r="HWM17" s="1"/>
      <c r="HWN17" s="1"/>
      <c r="HWO17" s="1"/>
      <c r="HWP17" s="1"/>
      <c r="HWQ17" s="1"/>
      <c r="HWR17" s="1"/>
      <c r="HWS17" s="1"/>
      <c r="HWT17" s="1"/>
      <c r="HWU17" s="1"/>
      <c r="HWV17" s="1"/>
      <c r="HWW17" s="1"/>
      <c r="HWX17" s="1"/>
      <c r="HWY17" s="1"/>
      <c r="HWZ17" s="1"/>
      <c r="HXA17" s="1"/>
      <c r="HXB17" s="1"/>
      <c r="HXC17" s="1"/>
      <c r="HXD17" s="1"/>
      <c r="HXE17" s="1"/>
      <c r="HXF17" s="1"/>
      <c r="HXG17" s="1"/>
      <c r="HXH17" s="1"/>
      <c r="HXI17" s="1"/>
      <c r="HXJ17" s="1"/>
      <c r="HXK17" s="1"/>
      <c r="HXL17" s="1"/>
      <c r="HXM17" s="1"/>
      <c r="HXN17" s="1"/>
      <c r="HXO17" s="1"/>
      <c r="HXP17" s="1"/>
      <c r="HXQ17" s="1"/>
      <c r="HXR17" s="1"/>
      <c r="HXS17" s="1"/>
      <c r="HXT17" s="1"/>
      <c r="HXU17" s="1"/>
      <c r="HXV17" s="1"/>
      <c r="HXW17" s="1"/>
      <c r="HXX17" s="1"/>
      <c r="HXY17" s="1"/>
      <c r="HXZ17" s="1"/>
      <c r="HYA17" s="1"/>
      <c r="HYB17" s="1"/>
      <c r="HYC17" s="1"/>
      <c r="HYD17" s="1"/>
      <c r="HYE17" s="1"/>
      <c r="HYF17" s="1"/>
      <c r="HYG17" s="1"/>
      <c r="HYH17" s="1"/>
      <c r="HYI17" s="1"/>
      <c r="HYJ17" s="1"/>
      <c r="HYK17" s="1"/>
      <c r="HYL17" s="1"/>
      <c r="HYM17" s="1"/>
      <c r="HYN17" s="1"/>
      <c r="HYO17" s="1"/>
      <c r="HYP17" s="1"/>
      <c r="HYQ17" s="1"/>
      <c r="HYR17" s="1"/>
      <c r="HYS17" s="1"/>
      <c r="HYT17" s="1"/>
      <c r="HYU17" s="1"/>
      <c r="HYV17" s="1"/>
      <c r="HYW17" s="1"/>
      <c r="HYX17" s="1"/>
      <c r="HYY17" s="1"/>
      <c r="HYZ17" s="1"/>
      <c r="HZA17" s="1"/>
      <c r="HZB17" s="1"/>
      <c r="HZC17" s="1"/>
      <c r="HZD17" s="1"/>
      <c r="HZE17" s="1"/>
      <c r="HZF17" s="1"/>
      <c r="HZG17" s="1"/>
      <c r="HZH17" s="1"/>
      <c r="HZI17" s="1"/>
      <c r="HZJ17" s="1"/>
      <c r="HZK17" s="1"/>
      <c r="HZL17" s="1"/>
      <c r="HZM17" s="1"/>
      <c r="HZN17" s="1"/>
      <c r="HZO17" s="1"/>
      <c r="HZP17" s="1"/>
      <c r="HZQ17" s="1"/>
      <c r="HZR17" s="1"/>
      <c r="HZS17" s="1"/>
      <c r="HZT17" s="1"/>
      <c r="HZU17" s="1"/>
      <c r="HZV17" s="1"/>
      <c r="HZW17" s="1"/>
      <c r="HZX17" s="1"/>
      <c r="HZY17" s="1"/>
      <c r="HZZ17" s="1"/>
      <c r="IAA17" s="1"/>
      <c r="IAB17" s="1"/>
      <c r="IAC17" s="1"/>
      <c r="IAD17" s="1"/>
      <c r="IAE17" s="1"/>
      <c r="IAF17" s="1"/>
      <c r="IAG17" s="1"/>
      <c r="IAH17" s="1"/>
      <c r="IAI17" s="1"/>
      <c r="IAJ17" s="1"/>
      <c r="IAK17" s="1"/>
      <c r="IAL17" s="1"/>
      <c r="IAM17" s="1"/>
      <c r="IAN17" s="1"/>
      <c r="IAO17" s="1"/>
      <c r="IAP17" s="1"/>
      <c r="IAQ17" s="1"/>
      <c r="IAR17" s="1"/>
      <c r="IAS17" s="1"/>
      <c r="IAT17" s="1"/>
      <c r="IAU17" s="1"/>
      <c r="IAV17" s="1"/>
      <c r="IAW17" s="1"/>
      <c r="IAX17" s="1"/>
      <c r="IAY17" s="1"/>
      <c r="IAZ17" s="1"/>
      <c r="IBA17" s="1"/>
      <c r="IBB17" s="1"/>
      <c r="IBC17" s="1"/>
      <c r="IBD17" s="1"/>
      <c r="IBE17" s="1"/>
      <c r="IBF17" s="1"/>
      <c r="IBG17" s="1"/>
      <c r="IBH17" s="1"/>
      <c r="IBI17" s="1"/>
      <c r="IBJ17" s="1"/>
      <c r="IBK17" s="1"/>
      <c r="IBL17" s="1"/>
      <c r="IBM17" s="1"/>
      <c r="IBN17" s="1"/>
      <c r="IBO17" s="1"/>
      <c r="IBP17" s="1"/>
      <c r="IBQ17" s="1"/>
      <c r="IBR17" s="1"/>
      <c r="IBS17" s="1"/>
      <c r="IBT17" s="1"/>
      <c r="IBU17" s="1"/>
      <c r="IBV17" s="1"/>
      <c r="IBW17" s="1"/>
      <c r="IBX17" s="1"/>
      <c r="IBY17" s="1"/>
      <c r="IBZ17" s="1"/>
      <c r="ICA17" s="1"/>
      <c r="ICB17" s="1"/>
      <c r="ICC17" s="1"/>
      <c r="ICD17" s="1"/>
      <c r="ICE17" s="1"/>
      <c r="ICF17" s="1"/>
      <c r="ICG17" s="1"/>
      <c r="ICH17" s="1"/>
      <c r="ICI17" s="1"/>
      <c r="ICJ17" s="1"/>
      <c r="ICK17" s="1"/>
      <c r="ICL17" s="1"/>
      <c r="ICM17" s="1"/>
      <c r="ICN17" s="1"/>
      <c r="ICO17" s="1"/>
      <c r="ICP17" s="1"/>
      <c r="ICQ17" s="1"/>
      <c r="ICR17" s="1"/>
      <c r="ICS17" s="1"/>
      <c r="ICT17" s="1"/>
      <c r="ICU17" s="1"/>
      <c r="ICV17" s="1"/>
      <c r="ICW17" s="1"/>
      <c r="ICX17" s="1"/>
      <c r="ICY17" s="1"/>
      <c r="ICZ17" s="1"/>
      <c r="IDA17" s="1"/>
      <c r="IDB17" s="1"/>
      <c r="IDC17" s="1"/>
      <c r="IDD17" s="1"/>
      <c r="IDE17" s="1"/>
      <c r="IDF17" s="1"/>
      <c r="IDG17" s="1"/>
      <c r="IDH17" s="1"/>
      <c r="IDI17" s="1"/>
      <c r="IDJ17" s="1"/>
      <c r="IDK17" s="1"/>
      <c r="IDL17" s="1"/>
      <c r="IDM17" s="1"/>
      <c r="IDN17" s="1"/>
      <c r="IDO17" s="1"/>
      <c r="IDP17" s="1"/>
      <c r="IDQ17" s="1"/>
      <c r="IDR17" s="1"/>
      <c r="IDS17" s="1"/>
      <c r="IDT17" s="1"/>
      <c r="IDU17" s="1"/>
      <c r="IDV17" s="1"/>
      <c r="IDW17" s="1"/>
      <c r="IDX17" s="1"/>
      <c r="IDY17" s="1"/>
      <c r="IDZ17" s="1"/>
      <c r="IEA17" s="1"/>
      <c r="IEB17" s="1"/>
      <c r="IEC17" s="1"/>
      <c r="IED17" s="1"/>
      <c r="IEE17" s="1"/>
      <c r="IEF17" s="1"/>
      <c r="IEG17" s="1"/>
      <c r="IEH17" s="1"/>
      <c r="IEI17" s="1"/>
      <c r="IEJ17" s="1"/>
      <c r="IEK17" s="1"/>
      <c r="IEL17" s="1"/>
      <c r="IEM17" s="1"/>
      <c r="IEN17" s="1"/>
      <c r="IEO17" s="1"/>
      <c r="IEP17" s="1"/>
      <c r="IEQ17" s="1"/>
      <c r="IER17" s="1"/>
      <c r="IES17" s="1"/>
      <c r="IET17" s="1"/>
      <c r="IEU17" s="1"/>
      <c r="IEV17" s="1"/>
      <c r="IEW17" s="1"/>
      <c r="IEX17" s="1"/>
      <c r="IEY17" s="1"/>
      <c r="IEZ17" s="1"/>
      <c r="IFA17" s="1"/>
      <c r="IFB17" s="1"/>
      <c r="IFC17" s="1"/>
      <c r="IFD17" s="1"/>
      <c r="IFE17" s="1"/>
      <c r="IFF17" s="1"/>
      <c r="IFG17" s="1"/>
      <c r="IFH17" s="1"/>
      <c r="IFI17" s="1"/>
      <c r="IFJ17" s="1"/>
      <c r="IFK17" s="1"/>
      <c r="IFL17" s="1"/>
      <c r="IFM17" s="1"/>
      <c r="IFN17" s="1"/>
      <c r="IFO17" s="1"/>
      <c r="IFP17" s="1"/>
      <c r="IFQ17" s="1"/>
      <c r="IFR17" s="1"/>
      <c r="IFS17" s="1"/>
      <c r="IFT17" s="1"/>
      <c r="IFU17" s="1"/>
      <c r="IFV17" s="1"/>
      <c r="IFW17" s="1"/>
      <c r="IFX17" s="1"/>
      <c r="IFY17" s="1"/>
      <c r="IFZ17" s="1"/>
      <c r="IGA17" s="1"/>
      <c r="IGB17" s="1"/>
      <c r="IGC17" s="1"/>
      <c r="IGD17" s="1"/>
      <c r="IGE17" s="1"/>
      <c r="IGF17" s="1"/>
      <c r="IGG17" s="1"/>
      <c r="IGH17" s="1"/>
      <c r="IGI17" s="1"/>
      <c r="IGJ17" s="1"/>
      <c r="IGK17" s="1"/>
      <c r="IGL17" s="1"/>
      <c r="IGM17" s="1"/>
      <c r="IGN17" s="1"/>
      <c r="IGO17" s="1"/>
      <c r="IGP17" s="1"/>
      <c r="IGQ17" s="1"/>
      <c r="IGR17" s="1"/>
      <c r="IGS17" s="1"/>
      <c r="IGT17" s="1"/>
      <c r="IGU17" s="1"/>
      <c r="IGV17" s="1"/>
      <c r="IGW17" s="1"/>
      <c r="IGX17" s="1"/>
      <c r="IGY17" s="1"/>
      <c r="IGZ17" s="1"/>
      <c r="IHA17" s="1"/>
      <c r="IHB17" s="1"/>
      <c r="IHC17" s="1"/>
      <c r="IHD17" s="1"/>
      <c r="IHE17" s="1"/>
      <c r="IHF17" s="1"/>
      <c r="IHG17" s="1"/>
      <c r="IHH17" s="1"/>
      <c r="IHI17" s="1"/>
      <c r="IHJ17" s="1"/>
      <c r="IHK17" s="1"/>
      <c r="IHL17" s="1"/>
      <c r="IHM17" s="1"/>
      <c r="IHN17" s="1"/>
      <c r="IHO17" s="1"/>
      <c r="IHP17" s="1"/>
      <c r="IHQ17" s="1"/>
      <c r="IHR17" s="1"/>
      <c r="IHS17" s="1"/>
      <c r="IHT17" s="1"/>
      <c r="IHU17" s="1"/>
      <c r="IHV17" s="1"/>
      <c r="IHW17" s="1"/>
      <c r="IHX17" s="1"/>
      <c r="IHY17" s="1"/>
      <c r="IHZ17" s="1"/>
      <c r="IIA17" s="1"/>
      <c r="IIB17" s="1"/>
      <c r="IIC17" s="1"/>
      <c r="IID17" s="1"/>
      <c r="IIE17" s="1"/>
      <c r="IIF17" s="1"/>
      <c r="IIG17" s="1"/>
      <c r="IIH17" s="1"/>
      <c r="III17" s="1"/>
      <c r="IIJ17" s="1"/>
      <c r="IIK17" s="1"/>
      <c r="IIL17" s="1"/>
      <c r="IIM17" s="1"/>
      <c r="IIN17" s="1"/>
      <c r="IIO17" s="1"/>
      <c r="IIP17" s="1"/>
      <c r="IIQ17" s="1"/>
      <c r="IIR17" s="1"/>
      <c r="IIS17" s="1"/>
      <c r="IIT17" s="1"/>
      <c r="IIU17" s="1"/>
      <c r="IIV17" s="1"/>
      <c r="IIW17" s="1"/>
      <c r="IIX17" s="1"/>
      <c r="IIY17" s="1"/>
      <c r="IIZ17" s="1"/>
      <c r="IJA17" s="1"/>
      <c r="IJB17" s="1"/>
      <c r="IJC17" s="1"/>
      <c r="IJD17" s="1"/>
      <c r="IJE17" s="1"/>
      <c r="IJF17" s="1"/>
      <c r="IJG17" s="1"/>
      <c r="IJH17" s="1"/>
      <c r="IJI17" s="1"/>
      <c r="IJJ17" s="1"/>
      <c r="IJK17" s="1"/>
      <c r="IJL17" s="1"/>
      <c r="IJM17" s="1"/>
      <c r="IJN17" s="1"/>
      <c r="IJO17" s="1"/>
      <c r="IJP17" s="1"/>
      <c r="IJQ17" s="1"/>
      <c r="IJR17" s="1"/>
      <c r="IJS17" s="1"/>
      <c r="IJT17" s="1"/>
      <c r="IJU17" s="1"/>
      <c r="IJV17" s="1"/>
      <c r="IJW17" s="1"/>
      <c r="IJX17" s="1"/>
      <c r="IJY17" s="1"/>
      <c r="IJZ17" s="1"/>
      <c r="IKA17" s="1"/>
      <c r="IKB17" s="1"/>
      <c r="IKC17" s="1"/>
      <c r="IKD17" s="1"/>
      <c r="IKE17" s="1"/>
      <c r="IKF17" s="1"/>
      <c r="IKG17" s="1"/>
      <c r="IKH17" s="1"/>
      <c r="IKI17" s="1"/>
      <c r="IKJ17" s="1"/>
      <c r="IKK17" s="1"/>
      <c r="IKL17" s="1"/>
      <c r="IKM17" s="1"/>
      <c r="IKN17" s="1"/>
      <c r="IKO17" s="1"/>
      <c r="IKP17" s="1"/>
      <c r="IKQ17" s="1"/>
      <c r="IKR17" s="1"/>
      <c r="IKS17" s="1"/>
      <c r="IKT17" s="1"/>
      <c r="IKU17" s="1"/>
      <c r="IKV17" s="1"/>
      <c r="IKW17" s="1"/>
      <c r="IKX17" s="1"/>
      <c r="IKY17" s="1"/>
      <c r="IKZ17" s="1"/>
      <c r="ILA17" s="1"/>
      <c r="ILB17" s="1"/>
      <c r="ILC17" s="1"/>
      <c r="ILD17" s="1"/>
      <c r="ILE17" s="1"/>
      <c r="ILF17" s="1"/>
      <c r="ILG17" s="1"/>
      <c r="ILH17" s="1"/>
      <c r="ILI17" s="1"/>
      <c r="ILJ17" s="1"/>
      <c r="ILK17" s="1"/>
      <c r="ILL17" s="1"/>
      <c r="ILM17" s="1"/>
      <c r="ILN17" s="1"/>
      <c r="ILO17" s="1"/>
      <c r="ILP17" s="1"/>
      <c r="ILQ17" s="1"/>
      <c r="ILR17" s="1"/>
      <c r="ILS17" s="1"/>
      <c r="ILT17" s="1"/>
      <c r="ILU17" s="1"/>
      <c r="ILV17" s="1"/>
      <c r="ILW17" s="1"/>
      <c r="ILX17" s="1"/>
      <c r="ILY17" s="1"/>
      <c r="ILZ17" s="1"/>
      <c r="IMA17" s="1"/>
      <c r="IMB17" s="1"/>
      <c r="IMC17" s="1"/>
      <c r="IMD17" s="1"/>
      <c r="IME17" s="1"/>
      <c r="IMF17" s="1"/>
      <c r="IMG17" s="1"/>
      <c r="IMH17" s="1"/>
      <c r="IMI17" s="1"/>
      <c r="IMJ17" s="1"/>
      <c r="IMK17" s="1"/>
      <c r="IML17" s="1"/>
      <c r="IMM17" s="1"/>
      <c r="IMN17" s="1"/>
      <c r="IMO17" s="1"/>
      <c r="IMP17" s="1"/>
      <c r="IMQ17" s="1"/>
      <c r="IMR17" s="1"/>
      <c r="IMS17" s="1"/>
      <c r="IMT17" s="1"/>
      <c r="IMU17" s="1"/>
      <c r="IMV17" s="1"/>
      <c r="IMW17" s="1"/>
      <c r="IMX17" s="1"/>
      <c r="IMY17" s="1"/>
      <c r="IMZ17" s="1"/>
      <c r="INA17" s="1"/>
      <c r="INB17" s="1"/>
      <c r="INC17" s="1"/>
      <c r="IND17" s="1"/>
      <c r="INE17" s="1"/>
      <c r="INF17" s="1"/>
      <c r="ING17" s="1"/>
      <c r="INH17" s="1"/>
      <c r="INI17" s="1"/>
      <c r="INJ17" s="1"/>
      <c r="INK17" s="1"/>
      <c r="INL17" s="1"/>
      <c r="INM17" s="1"/>
      <c r="INN17" s="1"/>
      <c r="INO17" s="1"/>
      <c r="INP17" s="1"/>
      <c r="INQ17" s="1"/>
      <c r="INR17" s="1"/>
      <c r="INS17" s="1"/>
      <c r="INT17" s="1"/>
      <c r="INU17" s="1"/>
      <c r="INV17" s="1"/>
      <c r="INW17" s="1"/>
      <c r="INX17" s="1"/>
      <c r="INY17" s="1"/>
      <c r="INZ17" s="1"/>
      <c r="IOA17" s="1"/>
      <c r="IOB17" s="1"/>
      <c r="IOC17" s="1"/>
      <c r="IOD17" s="1"/>
      <c r="IOE17" s="1"/>
      <c r="IOF17" s="1"/>
      <c r="IOG17" s="1"/>
      <c r="IOH17" s="1"/>
      <c r="IOI17" s="1"/>
      <c r="IOJ17" s="1"/>
      <c r="IOK17" s="1"/>
      <c r="IOL17" s="1"/>
      <c r="IOM17" s="1"/>
      <c r="ION17" s="1"/>
      <c r="IOO17" s="1"/>
      <c r="IOP17" s="1"/>
      <c r="IOQ17" s="1"/>
      <c r="IOR17" s="1"/>
      <c r="IOS17" s="1"/>
      <c r="IOT17" s="1"/>
      <c r="IOU17" s="1"/>
      <c r="IOV17" s="1"/>
      <c r="IOW17" s="1"/>
      <c r="IOX17" s="1"/>
      <c r="IOY17" s="1"/>
      <c r="IOZ17" s="1"/>
      <c r="IPA17" s="1"/>
      <c r="IPB17" s="1"/>
      <c r="IPC17" s="1"/>
      <c r="IPD17" s="1"/>
      <c r="IPE17" s="1"/>
      <c r="IPF17" s="1"/>
      <c r="IPG17" s="1"/>
      <c r="IPH17" s="1"/>
      <c r="IPI17" s="1"/>
      <c r="IPJ17" s="1"/>
      <c r="IPK17" s="1"/>
      <c r="IPL17" s="1"/>
      <c r="IPM17" s="1"/>
      <c r="IPN17" s="1"/>
      <c r="IPO17" s="1"/>
      <c r="IPP17" s="1"/>
      <c r="IPQ17" s="1"/>
      <c r="IPR17" s="1"/>
      <c r="IPS17" s="1"/>
      <c r="IPT17" s="1"/>
      <c r="IPU17" s="1"/>
      <c r="IPV17" s="1"/>
      <c r="IPW17" s="1"/>
      <c r="IPX17" s="1"/>
      <c r="IPY17" s="1"/>
      <c r="IPZ17" s="1"/>
      <c r="IQA17" s="1"/>
      <c r="IQB17" s="1"/>
      <c r="IQC17" s="1"/>
      <c r="IQD17" s="1"/>
      <c r="IQE17" s="1"/>
      <c r="IQF17" s="1"/>
      <c r="IQG17" s="1"/>
      <c r="IQH17" s="1"/>
      <c r="IQI17" s="1"/>
      <c r="IQJ17" s="1"/>
      <c r="IQK17" s="1"/>
      <c r="IQL17" s="1"/>
      <c r="IQM17" s="1"/>
      <c r="IQN17" s="1"/>
      <c r="IQO17" s="1"/>
      <c r="IQP17" s="1"/>
      <c r="IQQ17" s="1"/>
      <c r="IQR17" s="1"/>
      <c r="IQS17" s="1"/>
      <c r="IQT17" s="1"/>
      <c r="IQU17" s="1"/>
      <c r="IQV17" s="1"/>
      <c r="IQW17" s="1"/>
      <c r="IQX17" s="1"/>
      <c r="IQY17" s="1"/>
      <c r="IQZ17" s="1"/>
      <c r="IRA17" s="1"/>
      <c r="IRB17" s="1"/>
      <c r="IRC17" s="1"/>
      <c r="IRD17" s="1"/>
      <c r="IRE17" s="1"/>
      <c r="IRF17" s="1"/>
      <c r="IRG17" s="1"/>
      <c r="IRH17" s="1"/>
      <c r="IRI17" s="1"/>
      <c r="IRJ17" s="1"/>
      <c r="IRK17" s="1"/>
      <c r="IRL17" s="1"/>
      <c r="IRM17" s="1"/>
      <c r="IRN17" s="1"/>
      <c r="IRO17" s="1"/>
      <c r="IRP17" s="1"/>
      <c r="IRQ17" s="1"/>
      <c r="IRR17" s="1"/>
      <c r="IRS17" s="1"/>
      <c r="IRT17" s="1"/>
      <c r="IRU17" s="1"/>
      <c r="IRV17" s="1"/>
      <c r="IRW17" s="1"/>
      <c r="IRX17" s="1"/>
      <c r="IRY17" s="1"/>
      <c r="IRZ17" s="1"/>
      <c r="ISA17" s="1"/>
      <c r="ISB17" s="1"/>
      <c r="ISC17" s="1"/>
      <c r="ISD17" s="1"/>
      <c r="ISE17" s="1"/>
      <c r="ISF17" s="1"/>
      <c r="ISG17" s="1"/>
      <c r="ISH17" s="1"/>
      <c r="ISI17" s="1"/>
      <c r="ISJ17" s="1"/>
      <c r="ISK17" s="1"/>
      <c r="ISL17" s="1"/>
      <c r="ISM17" s="1"/>
      <c r="ISN17" s="1"/>
      <c r="ISO17" s="1"/>
      <c r="ISP17" s="1"/>
      <c r="ISQ17" s="1"/>
      <c r="ISR17" s="1"/>
      <c r="ISS17" s="1"/>
      <c r="IST17" s="1"/>
      <c r="ISU17" s="1"/>
      <c r="ISV17" s="1"/>
      <c r="ISW17" s="1"/>
      <c r="ISX17" s="1"/>
      <c r="ISY17" s="1"/>
      <c r="ISZ17" s="1"/>
      <c r="ITA17" s="1"/>
      <c r="ITB17" s="1"/>
      <c r="ITC17" s="1"/>
      <c r="ITD17" s="1"/>
      <c r="ITE17" s="1"/>
      <c r="ITF17" s="1"/>
      <c r="ITG17" s="1"/>
      <c r="ITH17" s="1"/>
      <c r="ITI17" s="1"/>
      <c r="ITJ17" s="1"/>
      <c r="ITK17" s="1"/>
      <c r="ITL17" s="1"/>
      <c r="ITM17" s="1"/>
      <c r="ITN17" s="1"/>
      <c r="ITO17" s="1"/>
      <c r="ITP17" s="1"/>
      <c r="ITQ17" s="1"/>
      <c r="ITR17" s="1"/>
      <c r="ITS17" s="1"/>
      <c r="ITT17" s="1"/>
      <c r="ITU17" s="1"/>
      <c r="ITV17" s="1"/>
      <c r="ITW17" s="1"/>
      <c r="ITX17" s="1"/>
      <c r="ITY17" s="1"/>
      <c r="ITZ17" s="1"/>
      <c r="IUA17" s="1"/>
      <c r="IUB17" s="1"/>
      <c r="IUC17" s="1"/>
      <c r="IUD17" s="1"/>
      <c r="IUE17" s="1"/>
      <c r="IUF17" s="1"/>
      <c r="IUG17" s="1"/>
      <c r="IUH17" s="1"/>
      <c r="IUI17" s="1"/>
      <c r="IUJ17" s="1"/>
      <c r="IUK17" s="1"/>
      <c r="IUL17" s="1"/>
      <c r="IUM17" s="1"/>
      <c r="IUN17" s="1"/>
      <c r="IUO17" s="1"/>
      <c r="IUP17" s="1"/>
      <c r="IUQ17" s="1"/>
      <c r="IUR17" s="1"/>
      <c r="IUS17" s="1"/>
      <c r="IUT17" s="1"/>
      <c r="IUU17" s="1"/>
      <c r="IUV17" s="1"/>
      <c r="IUW17" s="1"/>
      <c r="IUX17" s="1"/>
      <c r="IUY17" s="1"/>
      <c r="IUZ17" s="1"/>
      <c r="IVA17" s="1"/>
      <c r="IVB17" s="1"/>
      <c r="IVC17" s="1"/>
      <c r="IVD17" s="1"/>
      <c r="IVE17" s="1"/>
      <c r="IVF17" s="1"/>
      <c r="IVG17" s="1"/>
      <c r="IVH17" s="1"/>
      <c r="IVI17" s="1"/>
      <c r="IVJ17" s="1"/>
      <c r="IVK17" s="1"/>
      <c r="IVL17" s="1"/>
      <c r="IVM17" s="1"/>
      <c r="IVN17" s="1"/>
      <c r="IVO17" s="1"/>
      <c r="IVP17" s="1"/>
      <c r="IVQ17" s="1"/>
      <c r="IVR17" s="1"/>
      <c r="IVS17" s="1"/>
      <c r="IVT17" s="1"/>
      <c r="IVU17" s="1"/>
      <c r="IVV17" s="1"/>
      <c r="IVW17" s="1"/>
      <c r="IVX17" s="1"/>
      <c r="IVY17" s="1"/>
      <c r="IVZ17" s="1"/>
      <c r="IWA17" s="1"/>
      <c r="IWB17" s="1"/>
      <c r="IWC17" s="1"/>
      <c r="IWD17" s="1"/>
      <c r="IWE17" s="1"/>
      <c r="IWF17" s="1"/>
      <c r="IWG17" s="1"/>
      <c r="IWH17" s="1"/>
      <c r="IWI17" s="1"/>
      <c r="IWJ17" s="1"/>
      <c r="IWK17" s="1"/>
      <c r="IWL17" s="1"/>
      <c r="IWM17" s="1"/>
      <c r="IWN17" s="1"/>
      <c r="IWO17" s="1"/>
      <c r="IWP17" s="1"/>
      <c r="IWQ17" s="1"/>
      <c r="IWR17" s="1"/>
      <c r="IWS17" s="1"/>
      <c r="IWT17" s="1"/>
      <c r="IWU17" s="1"/>
      <c r="IWV17" s="1"/>
      <c r="IWW17" s="1"/>
      <c r="IWX17" s="1"/>
      <c r="IWY17" s="1"/>
      <c r="IWZ17" s="1"/>
      <c r="IXA17" s="1"/>
      <c r="IXB17" s="1"/>
      <c r="IXC17" s="1"/>
      <c r="IXD17" s="1"/>
      <c r="IXE17" s="1"/>
      <c r="IXF17" s="1"/>
      <c r="IXG17" s="1"/>
      <c r="IXH17" s="1"/>
      <c r="IXI17" s="1"/>
      <c r="IXJ17" s="1"/>
      <c r="IXK17" s="1"/>
      <c r="IXL17" s="1"/>
      <c r="IXM17" s="1"/>
      <c r="IXN17" s="1"/>
      <c r="IXO17" s="1"/>
      <c r="IXP17" s="1"/>
      <c r="IXQ17" s="1"/>
      <c r="IXR17" s="1"/>
      <c r="IXS17" s="1"/>
      <c r="IXT17" s="1"/>
      <c r="IXU17" s="1"/>
      <c r="IXV17" s="1"/>
      <c r="IXW17" s="1"/>
      <c r="IXX17" s="1"/>
      <c r="IXY17" s="1"/>
      <c r="IXZ17" s="1"/>
      <c r="IYA17" s="1"/>
      <c r="IYB17" s="1"/>
      <c r="IYC17" s="1"/>
      <c r="IYD17" s="1"/>
      <c r="IYE17" s="1"/>
      <c r="IYF17" s="1"/>
      <c r="IYG17" s="1"/>
      <c r="IYH17" s="1"/>
      <c r="IYI17" s="1"/>
      <c r="IYJ17" s="1"/>
      <c r="IYK17" s="1"/>
      <c r="IYL17" s="1"/>
      <c r="IYM17" s="1"/>
      <c r="IYN17" s="1"/>
      <c r="IYO17" s="1"/>
      <c r="IYP17" s="1"/>
      <c r="IYQ17" s="1"/>
      <c r="IYR17" s="1"/>
      <c r="IYS17" s="1"/>
      <c r="IYT17" s="1"/>
      <c r="IYU17" s="1"/>
      <c r="IYV17" s="1"/>
      <c r="IYW17" s="1"/>
      <c r="IYX17" s="1"/>
      <c r="IYY17" s="1"/>
      <c r="IYZ17" s="1"/>
      <c r="IZA17" s="1"/>
      <c r="IZB17" s="1"/>
      <c r="IZC17" s="1"/>
      <c r="IZD17" s="1"/>
      <c r="IZE17" s="1"/>
      <c r="IZF17" s="1"/>
      <c r="IZG17" s="1"/>
      <c r="IZH17" s="1"/>
      <c r="IZI17" s="1"/>
      <c r="IZJ17" s="1"/>
      <c r="IZK17" s="1"/>
      <c r="IZL17" s="1"/>
      <c r="IZM17" s="1"/>
      <c r="IZN17" s="1"/>
      <c r="IZO17" s="1"/>
      <c r="IZP17" s="1"/>
      <c r="IZQ17" s="1"/>
      <c r="IZR17" s="1"/>
      <c r="IZS17" s="1"/>
      <c r="IZT17" s="1"/>
      <c r="IZU17" s="1"/>
      <c r="IZV17" s="1"/>
      <c r="IZW17" s="1"/>
      <c r="IZX17" s="1"/>
      <c r="IZY17" s="1"/>
      <c r="IZZ17" s="1"/>
      <c r="JAA17" s="1"/>
      <c r="JAB17" s="1"/>
      <c r="JAC17" s="1"/>
      <c r="JAD17" s="1"/>
      <c r="JAE17" s="1"/>
      <c r="JAF17" s="1"/>
      <c r="JAG17" s="1"/>
      <c r="JAH17" s="1"/>
      <c r="JAI17" s="1"/>
      <c r="JAJ17" s="1"/>
      <c r="JAK17" s="1"/>
      <c r="JAL17" s="1"/>
      <c r="JAM17" s="1"/>
      <c r="JAN17" s="1"/>
      <c r="JAO17" s="1"/>
      <c r="JAP17" s="1"/>
      <c r="JAQ17" s="1"/>
      <c r="JAR17" s="1"/>
      <c r="JAS17" s="1"/>
      <c r="JAT17" s="1"/>
      <c r="JAU17" s="1"/>
      <c r="JAV17" s="1"/>
      <c r="JAW17" s="1"/>
      <c r="JAX17" s="1"/>
      <c r="JAY17" s="1"/>
      <c r="JAZ17" s="1"/>
      <c r="JBA17" s="1"/>
      <c r="JBB17" s="1"/>
      <c r="JBC17" s="1"/>
      <c r="JBD17" s="1"/>
      <c r="JBE17" s="1"/>
      <c r="JBF17" s="1"/>
      <c r="JBG17" s="1"/>
      <c r="JBH17" s="1"/>
      <c r="JBI17" s="1"/>
      <c r="JBJ17" s="1"/>
      <c r="JBK17" s="1"/>
      <c r="JBL17" s="1"/>
      <c r="JBM17" s="1"/>
      <c r="JBN17" s="1"/>
      <c r="JBO17" s="1"/>
      <c r="JBP17" s="1"/>
      <c r="JBQ17" s="1"/>
      <c r="JBR17" s="1"/>
      <c r="JBS17" s="1"/>
      <c r="JBT17" s="1"/>
      <c r="JBU17" s="1"/>
      <c r="JBV17" s="1"/>
      <c r="JBW17" s="1"/>
      <c r="JBX17" s="1"/>
      <c r="JBY17" s="1"/>
      <c r="JBZ17" s="1"/>
      <c r="JCA17" s="1"/>
      <c r="JCB17" s="1"/>
      <c r="JCC17" s="1"/>
      <c r="JCD17" s="1"/>
      <c r="JCE17" s="1"/>
      <c r="JCF17" s="1"/>
      <c r="JCG17" s="1"/>
      <c r="JCH17" s="1"/>
      <c r="JCI17" s="1"/>
      <c r="JCJ17" s="1"/>
      <c r="JCK17" s="1"/>
      <c r="JCL17" s="1"/>
      <c r="JCM17" s="1"/>
      <c r="JCN17" s="1"/>
      <c r="JCO17" s="1"/>
      <c r="JCP17" s="1"/>
      <c r="JCQ17" s="1"/>
      <c r="JCR17" s="1"/>
      <c r="JCS17" s="1"/>
      <c r="JCT17" s="1"/>
      <c r="JCU17" s="1"/>
      <c r="JCV17" s="1"/>
      <c r="JCW17" s="1"/>
      <c r="JCX17" s="1"/>
      <c r="JCY17" s="1"/>
      <c r="JCZ17" s="1"/>
      <c r="JDA17" s="1"/>
      <c r="JDB17" s="1"/>
      <c r="JDC17" s="1"/>
      <c r="JDD17" s="1"/>
      <c r="JDE17" s="1"/>
      <c r="JDF17" s="1"/>
      <c r="JDG17" s="1"/>
      <c r="JDH17" s="1"/>
      <c r="JDI17" s="1"/>
      <c r="JDJ17" s="1"/>
      <c r="JDK17" s="1"/>
      <c r="JDL17" s="1"/>
      <c r="JDM17" s="1"/>
      <c r="JDN17" s="1"/>
      <c r="JDO17" s="1"/>
      <c r="JDP17" s="1"/>
      <c r="JDQ17" s="1"/>
      <c r="JDR17" s="1"/>
      <c r="JDS17" s="1"/>
      <c r="JDT17" s="1"/>
      <c r="JDU17" s="1"/>
      <c r="JDV17" s="1"/>
      <c r="JDW17" s="1"/>
      <c r="JDX17" s="1"/>
      <c r="JDY17" s="1"/>
      <c r="JDZ17" s="1"/>
      <c r="JEA17" s="1"/>
      <c r="JEB17" s="1"/>
      <c r="JEC17" s="1"/>
      <c r="JED17" s="1"/>
      <c r="JEE17" s="1"/>
      <c r="JEF17" s="1"/>
      <c r="JEG17" s="1"/>
      <c r="JEH17" s="1"/>
      <c r="JEI17" s="1"/>
      <c r="JEJ17" s="1"/>
      <c r="JEK17" s="1"/>
      <c r="JEL17" s="1"/>
      <c r="JEM17" s="1"/>
      <c r="JEN17" s="1"/>
      <c r="JEO17" s="1"/>
      <c r="JEP17" s="1"/>
      <c r="JEQ17" s="1"/>
      <c r="JER17" s="1"/>
      <c r="JES17" s="1"/>
      <c r="JET17" s="1"/>
      <c r="JEU17" s="1"/>
      <c r="JEV17" s="1"/>
      <c r="JEW17" s="1"/>
      <c r="JEX17" s="1"/>
      <c r="JEY17" s="1"/>
      <c r="JEZ17" s="1"/>
      <c r="JFA17" s="1"/>
      <c r="JFB17" s="1"/>
      <c r="JFC17" s="1"/>
      <c r="JFD17" s="1"/>
      <c r="JFE17" s="1"/>
      <c r="JFF17" s="1"/>
      <c r="JFG17" s="1"/>
      <c r="JFH17" s="1"/>
      <c r="JFI17" s="1"/>
      <c r="JFJ17" s="1"/>
      <c r="JFK17" s="1"/>
      <c r="JFL17" s="1"/>
      <c r="JFM17" s="1"/>
      <c r="JFN17" s="1"/>
      <c r="JFO17" s="1"/>
      <c r="JFP17" s="1"/>
      <c r="JFQ17" s="1"/>
      <c r="JFR17" s="1"/>
      <c r="JFS17" s="1"/>
      <c r="JFT17" s="1"/>
      <c r="JFU17" s="1"/>
      <c r="JFV17" s="1"/>
      <c r="JFW17" s="1"/>
      <c r="JFX17" s="1"/>
      <c r="JFY17" s="1"/>
      <c r="JFZ17" s="1"/>
      <c r="JGA17" s="1"/>
      <c r="JGB17" s="1"/>
      <c r="JGC17" s="1"/>
      <c r="JGD17" s="1"/>
      <c r="JGE17" s="1"/>
      <c r="JGF17" s="1"/>
      <c r="JGG17" s="1"/>
      <c r="JGH17" s="1"/>
      <c r="JGI17" s="1"/>
      <c r="JGJ17" s="1"/>
      <c r="JGK17" s="1"/>
      <c r="JGL17" s="1"/>
      <c r="JGM17" s="1"/>
      <c r="JGN17" s="1"/>
      <c r="JGO17" s="1"/>
      <c r="JGP17" s="1"/>
      <c r="JGQ17" s="1"/>
      <c r="JGR17" s="1"/>
      <c r="JGS17" s="1"/>
      <c r="JGT17" s="1"/>
      <c r="JGU17" s="1"/>
      <c r="JGV17" s="1"/>
      <c r="JGW17" s="1"/>
      <c r="JGX17" s="1"/>
      <c r="JGY17" s="1"/>
      <c r="JGZ17" s="1"/>
      <c r="JHA17" s="1"/>
      <c r="JHB17" s="1"/>
      <c r="JHC17" s="1"/>
      <c r="JHD17" s="1"/>
      <c r="JHE17" s="1"/>
      <c r="JHF17" s="1"/>
      <c r="JHG17" s="1"/>
      <c r="JHH17" s="1"/>
      <c r="JHI17" s="1"/>
      <c r="JHJ17" s="1"/>
      <c r="JHK17" s="1"/>
      <c r="JHL17" s="1"/>
      <c r="JHM17" s="1"/>
      <c r="JHN17" s="1"/>
      <c r="JHO17" s="1"/>
      <c r="JHP17" s="1"/>
      <c r="JHQ17" s="1"/>
      <c r="JHR17" s="1"/>
      <c r="JHS17" s="1"/>
      <c r="JHT17" s="1"/>
      <c r="JHU17" s="1"/>
      <c r="JHV17" s="1"/>
      <c r="JHW17" s="1"/>
      <c r="JHX17" s="1"/>
      <c r="JHY17" s="1"/>
      <c r="JHZ17" s="1"/>
      <c r="JIA17" s="1"/>
      <c r="JIB17" s="1"/>
      <c r="JIC17" s="1"/>
      <c r="JID17" s="1"/>
      <c r="JIE17" s="1"/>
      <c r="JIF17" s="1"/>
      <c r="JIG17" s="1"/>
      <c r="JIH17" s="1"/>
      <c r="JII17" s="1"/>
      <c r="JIJ17" s="1"/>
      <c r="JIK17" s="1"/>
      <c r="JIL17" s="1"/>
      <c r="JIM17" s="1"/>
      <c r="JIN17" s="1"/>
      <c r="JIO17" s="1"/>
      <c r="JIP17" s="1"/>
      <c r="JIQ17" s="1"/>
      <c r="JIR17" s="1"/>
      <c r="JIS17" s="1"/>
      <c r="JIT17" s="1"/>
      <c r="JIU17" s="1"/>
      <c r="JIV17" s="1"/>
      <c r="JIW17" s="1"/>
      <c r="JIX17" s="1"/>
      <c r="JIY17" s="1"/>
      <c r="JIZ17" s="1"/>
      <c r="JJA17" s="1"/>
      <c r="JJB17" s="1"/>
      <c r="JJC17" s="1"/>
      <c r="JJD17" s="1"/>
      <c r="JJE17" s="1"/>
      <c r="JJF17" s="1"/>
      <c r="JJG17" s="1"/>
      <c r="JJH17" s="1"/>
      <c r="JJI17" s="1"/>
      <c r="JJJ17" s="1"/>
      <c r="JJK17" s="1"/>
      <c r="JJL17" s="1"/>
      <c r="JJM17" s="1"/>
      <c r="JJN17" s="1"/>
      <c r="JJO17" s="1"/>
      <c r="JJP17" s="1"/>
      <c r="JJQ17" s="1"/>
      <c r="JJR17" s="1"/>
      <c r="JJS17" s="1"/>
      <c r="JJT17" s="1"/>
      <c r="JJU17" s="1"/>
      <c r="JJV17" s="1"/>
      <c r="JJW17" s="1"/>
      <c r="JJX17" s="1"/>
      <c r="JJY17" s="1"/>
      <c r="JJZ17" s="1"/>
      <c r="JKA17" s="1"/>
      <c r="JKB17" s="1"/>
      <c r="JKC17" s="1"/>
      <c r="JKD17" s="1"/>
      <c r="JKE17" s="1"/>
      <c r="JKF17" s="1"/>
      <c r="JKG17" s="1"/>
      <c r="JKH17" s="1"/>
      <c r="JKI17" s="1"/>
      <c r="JKJ17" s="1"/>
      <c r="JKK17" s="1"/>
      <c r="JKL17" s="1"/>
      <c r="JKM17" s="1"/>
      <c r="JKN17" s="1"/>
      <c r="JKO17" s="1"/>
      <c r="JKP17" s="1"/>
      <c r="JKQ17" s="1"/>
      <c r="JKR17" s="1"/>
      <c r="JKS17" s="1"/>
      <c r="JKT17" s="1"/>
      <c r="JKU17" s="1"/>
      <c r="JKV17" s="1"/>
      <c r="JKW17" s="1"/>
      <c r="JKX17" s="1"/>
      <c r="JKY17" s="1"/>
      <c r="JKZ17" s="1"/>
      <c r="JLA17" s="1"/>
      <c r="JLB17" s="1"/>
      <c r="JLC17" s="1"/>
      <c r="JLD17" s="1"/>
      <c r="JLE17" s="1"/>
      <c r="JLF17" s="1"/>
      <c r="JLG17" s="1"/>
      <c r="JLH17" s="1"/>
      <c r="JLI17" s="1"/>
      <c r="JLJ17" s="1"/>
      <c r="JLK17" s="1"/>
      <c r="JLL17" s="1"/>
      <c r="JLM17" s="1"/>
      <c r="JLN17" s="1"/>
      <c r="JLO17" s="1"/>
      <c r="JLP17" s="1"/>
      <c r="JLQ17" s="1"/>
      <c r="JLR17" s="1"/>
      <c r="JLS17" s="1"/>
      <c r="JLT17" s="1"/>
      <c r="JLU17" s="1"/>
      <c r="JLV17" s="1"/>
      <c r="JLW17" s="1"/>
      <c r="JLX17" s="1"/>
      <c r="JLY17" s="1"/>
      <c r="JLZ17" s="1"/>
      <c r="JMA17" s="1"/>
      <c r="JMB17" s="1"/>
      <c r="JMC17" s="1"/>
      <c r="JMD17" s="1"/>
      <c r="JME17" s="1"/>
      <c r="JMF17" s="1"/>
      <c r="JMG17" s="1"/>
      <c r="JMH17" s="1"/>
      <c r="JMI17" s="1"/>
      <c r="JMJ17" s="1"/>
      <c r="JMK17" s="1"/>
      <c r="JML17" s="1"/>
      <c r="JMM17" s="1"/>
      <c r="JMN17" s="1"/>
      <c r="JMO17" s="1"/>
      <c r="JMP17" s="1"/>
      <c r="JMQ17" s="1"/>
      <c r="JMR17" s="1"/>
      <c r="JMS17" s="1"/>
      <c r="JMT17" s="1"/>
      <c r="JMU17" s="1"/>
      <c r="JMV17" s="1"/>
      <c r="JMW17" s="1"/>
      <c r="JMX17" s="1"/>
      <c r="JMY17" s="1"/>
      <c r="JMZ17" s="1"/>
      <c r="JNA17" s="1"/>
      <c r="JNB17" s="1"/>
      <c r="JNC17" s="1"/>
      <c r="JND17" s="1"/>
      <c r="JNE17" s="1"/>
      <c r="JNF17" s="1"/>
      <c r="JNG17" s="1"/>
      <c r="JNH17" s="1"/>
      <c r="JNI17" s="1"/>
      <c r="JNJ17" s="1"/>
      <c r="JNK17" s="1"/>
      <c r="JNL17" s="1"/>
      <c r="JNM17" s="1"/>
      <c r="JNN17" s="1"/>
      <c r="JNO17" s="1"/>
      <c r="JNP17" s="1"/>
      <c r="JNQ17" s="1"/>
      <c r="JNR17" s="1"/>
      <c r="JNS17" s="1"/>
      <c r="JNT17" s="1"/>
      <c r="JNU17" s="1"/>
      <c r="JNV17" s="1"/>
      <c r="JNW17" s="1"/>
      <c r="JNX17" s="1"/>
      <c r="JNY17" s="1"/>
      <c r="JNZ17" s="1"/>
      <c r="JOA17" s="1"/>
      <c r="JOB17" s="1"/>
      <c r="JOC17" s="1"/>
      <c r="JOD17" s="1"/>
      <c r="JOE17" s="1"/>
      <c r="JOF17" s="1"/>
      <c r="JOG17" s="1"/>
      <c r="JOH17" s="1"/>
      <c r="JOI17" s="1"/>
      <c r="JOJ17" s="1"/>
      <c r="JOK17" s="1"/>
      <c r="JOL17" s="1"/>
      <c r="JOM17" s="1"/>
      <c r="JON17" s="1"/>
      <c r="JOO17" s="1"/>
      <c r="JOP17" s="1"/>
      <c r="JOQ17" s="1"/>
      <c r="JOR17" s="1"/>
      <c r="JOS17" s="1"/>
      <c r="JOT17" s="1"/>
      <c r="JOU17" s="1"/>
      <c r="JOV17" s="1"/>
      <c r="JOW17" s="1"/>
      <c r="JOX17" s="1"/>
      <c r="JOY17" s="1"/>
      <c r="JOZ17" s="1"/>
      <c r="JPA17" s="1"/>
      <c r="JPB17" s="1"/>
      <c r="JPC17" s="1"/>
      <c r="JPD17" s="1"/>
      <c r="JPE17" s="1"/>
      <c r="JPF17" s="1"/>
      <c r="JPG17" s="1"/>
      <c r="JPH17" s="1"/>
      <c r="JPI17" s="1"/>
      <c r="JPJ17" s="1"/>
      <c r="JPK17" s="1"/>
      <c r="JPL17" s="1"/>
      <c r="JPM17" s="1"/>
      <c r="JPN17" s="1"/>
      <c r="JPO17" s="1"/>
      <c r="JPP17" s="1"/>
      <c r="JPQ17" s="1"/>
      <c r="JPR17" s="1"/>
      <c r="JPS17" s="1"/>
      <c r="JPT17" s="1"/>
      <c r="JPU17" s="1"/>
      <c r="JPV17" s="1"/>
      <c r="JPW17" s="1"/>
      <c r="JPX17" s="1"/>
      <c r="JPY17" s="1"/>
      <c r="JPZ17" s="1"/>
      <c r="JQA17" s="1"/>
      <c r="JQB17" s="1"/>
      <c r="JQC17" s="1"/>
      <c r="JQD17" s="1"/>
      <c r="JQE17" s="1"/>
      <c r="JQF17" s="1"/>
      <c r="JQG17" s="1"/>
      <c r="JQH17" s="1"/>
      <c r="JQI17" s="1"/>
      <c r="JQJ17" s="1"/>
      <c r="JQK17" s="1"/>
      <c r="JQL17" s="1"/>
      <c r="JQM17" s="1"/>
      <c r="JQN17" s="1"/>
      <c r="JQO17" s="1"/>
      <c r="JQP17" s="1"/>
      <c r="JQQ17" s="1"/>
      <c r="JQR17" s="1"/>
      <c r="JQS17" s="1"/>
      <c r="JQT17" s="1"/>
      <c r="JQU17" s="1"/>
      <c r="JQV17" s="1"/>
      <c r="JQW17" s="1"/>
      <c r="JQX17" s="1"/>
      <c r="JQY17" s="1"/>
      <c r="JQZ17" s="1"/>
      <c r="JRA17" s="1"/>
      <c r="JRB17" s="1"/>
      <c r="JRC17" s="1"/>
      <c r="JRD17" s="1"/>
      <c r="JRE17" s="1"/>
      <c r="JRF17" s="1"/>
      <c r="JRG17" s="1"/>
      <c r="JRH17" s="1"/>
      <c r="JRI17" s="1"/>
      <c r="JRJ17" s="1"/>
      <c r="JRK17" s="1"/>
      <c r="JRL17" s="1"/>
      <c r="JRM17" s="1"/>
      <c r="JRN17" s="1"/>
      <c r="JRO17" s="1"/>
      <c r="JRP17" s="1"/>
      <c r="JRQ17" s="1"/>
      <c r="JRR17" s="1"/>
      <c r="JRS17" s="1"/>
      <c r="JRT17" s="1"/>
      <c r="JRU17" s="1"/>
      <c r="JRV17" s="1"/>
      <c r="JRW17" s="1"/>
      <c r="JRX17" s="1"/>
      <c r="JRY17" s="1"/>
      <c r="JRZ17" s="1"/>
      <c r="JSA17" s="1"/>
      <c r="JSB17" s="1"/>
      <c r="JSC17" s="1"/>
      <c r="JSD17" s="1"/>
      <c r="JSE17" s="1"/>
      <c r="JSF17" s="1"/>
      <c r="JSG17" s="1"/>
      <c r="JSH17" s="1"/>
      <c r="JSI17" s="1"/>
      <c r="JSJ17" s="1"/>
      <c r="JSK17" s="1"/>
      <c r="JSL17" s="1"/>
      <c r="JSM17" s="1"/>
      <c r="JSN17" s="1"/>
      <c r="JSO17" s="1"/>
      <c r="JSP17" s="1"/>
      <c r="JSQ17" s="1"/>
      <c r="JSR17" s="1"/>
      <c r="JSS17" s="1"/>
      <c r="JST17" s="1"/>
      <c r="JSU17" s="1"/>
      <c r="JSV17" s="1"/>
      <c r="JSW17" s="1"/>
      <c r="JSX17" s="1"/>
      <c r="JSY17" s="1"/>
      <c r="JSZ17" s="1"/>
      <c r="JTA17" s="1"/>
      <c r="JTB17" s="1"/>
      <c r="JTC17" s="1"/>
      <c r="JTD17" s="1"/>
      <c r="JTE17" s="1"/>
      <c r="JTF17" s="1"/>
      <c r="JTG17" s="1"/>
      <c r="JTH17" s="1"/>
      <c r="JTI17" s="1"/>
      <c r="JTJ17" s="1"/>
      <c r="JTK17" s="1"/>
      <c r="JTL17" s="1"/>
      <c r="JTM17" s="1"/>
      <c r="JTN17" s="1"/>
      <c r="JTO17" s="1"/>
      <c r="JTP17" s="1"/>
      <c r="JTQ17" s="1"/>
      <c r="JTR17" s="1"/>
      <c r="JTS17" s="1"/>
      <c r="JTT17" s="1"/>
      <c r="JTU17" s="1"/>
      <c r="JTV17" s="1"/>
      <c r="JTW17" s="1"/>
      <c r="JTX17" s="1"/>
      <c r="JTY17" s="1"/>
      <c r="JTZ17" s="1"/>
      <c r="JUA17" s="1"/>
      <c r="JUB17" s="1"/>
      <c r="JUC17" s="1"/>
      <c r="JUD17" s="1"/>
      <c r="JUE17" s="1"/>
      <c r="JUF17" s="1"/>
      <c r="JUG17" s="1"/>
      <c r="JUH17" s="1"/>
      <c r="JUI17" s="1"/>
      <c r="JUJ17" s="1"/>
      <c r="JUK17" s="1"/>
      <c r="JUL17" s="1"/>
      <c r="JUM17" s="1"/>
      <c r="JUN17" s="1"/>
      <c r="JUO17" s="1"/>
      <c r="JUP17" s="1"/>
      <c r="JUQ17" s="1"/>
      <c r="JUR17" s="1"/>
      <c r="JUS17" s="1"/>
      <c r="JUT17" s="1"/>
      <c r="JUU17" s="1"/>
      <c r="JUV17" s="1"/>
      <c r="JUW17" s="1"/>
      <c r="JUX17" s="1"/>
      <c r="JUY17" s="1"/>
      <c r="JUZ17" s="1"/>
      <c r="JVA17" s="1"/>
      <c r="JVB17" s="1"/>
      <c r="JVC17" s="1"/>
      <c r="JVD17" s="1"/>
      <c r="JVE17" s="1"/>
      <c r="JVF17" s="1"/>
      <c r="JVG17" s="1"/>
      <c r="JVH17" s="1"/>
      <c r="JVI17" s="1"/>
      <c r="JVJ17" s="1"/>
      <c r="JVK17" s="1"/>
      <c r="JVL17" s="1"/>
      <c r="JVM17" s="1"/>
      <c r="JVN17" s="1"/>
      <c r="JVO17" s="1"/>
      <c r="JVP17" s="1"/>
      <c r="JVQ17" s="1"/>
      <c r="JVR17" s="1"/>
      <c r="JVS17" s="1"/>
      <c r="JVT17" s="1"/>
      <c r="JVU17" s="1"/>
      <c r="JVV17" s="1"/>
      <c r="JVW17" s="1"/>
      <c r="JVX17" s="1"/>
      <c r="JVY17" s="1"/>
      <c r="JVZ17" s="1"/>
      <c r="JWA17" s="1"/>
      <c r="JWB17" s="1"/>
      <c r="JWC17" s="1"/>
      <c r="JWD17" s="1"/>
      <c r="JWE17" s="1"/>
      <c r="JWF17" s="1"/>
      <c r="JWG17" s="1"/>
      <c r="JWH17" s="1"/>
      <c r="JWI17" s="1"/>
      <c r="JWJ17" s="1"/>
      <c r="JWK17" s="1"/>
      <c r="JWL17" s="1"/>
      <c r="JWM17" s="1"/>
      <c r="JWN17" s="1"/>
      <c r="JWO17" s="1"/>
      <c r="JWP17" s="1"/>
      <c r="JWQ17" s="1"/>
      <c r="JWR17" s="1"/>
      <c r="JWS17" s="1"/>
      <c r="JWT17" s="1"/>
      <c r="JWU17" s="1"/>
      <c r="JWV17" s="1"/>
      <c r="JWW17" s="1"/>
      <c r="JWX17" s="1"/>
      <c r="JWY17" s="1"/>
      <c r="JWZ17" s="1"/>
      <c r="JXA17" s="1"/>
      <c r="JXB17" s="1"/>
      <c r="JXC17" s="1"/>
      <c r="JXD17" s="1"/>
      <c r="JXE17" s="1"/>
      <c r="JXF17" s="1"/>
      <c r="JXG17" s="1"/>
      <c r="JXH17" s="1"/>
      <c r="JXI17" s="1"/>
      <c r="JXJ17" s="1"/>
      <c r="JXK17" s="1"/>
      <c r="JXL17" s="1"/>
      <c r="JXM17" s="1"/>
      <c r="JXN17" s="1"/>
      <c r="JXO17" s="1"/>
      <c r="JXP17" s="1"/>
      <c r="JXQ17" s="1"/>
      <c r="JXR17" s="1"/>
      <c r="JXS17" s="1"/>
      <c r="JXT17" s="1"/>
      <c r="JXU17" s="1"/>
      <c r="JXV17" s="1"/>
      <c r="JXW17" s="1"/>
      <c r="JXX17" s="1"/>
      <c r="JXY17" s="1"/>
      <c r="JXZ17" s="1"/>
      <c r="JYA17" s="1"/>
      <c r="JYB17" s="1"/>
      <c r="JYC17" s="1"/>
      <c r="JYD17" s="1"/>
      <c r="JYE17" s="1"/>
      <c r="JYF17" s="1"/>
      <c r="JYG17" s="1"/>
      <c r="JYH17" s="1"/>
      <c r="JYI17" s="1"/>
      <c r="JYJ17" s="1"/>
      <c r="JYK17" s="1"/>
      <c r="JYL17" s="1"/>
      <c r="JYM17" s="1"/>
      <c r="JYN17" s="1"/>
      <c r="JYO17" s="1"/>
      <c r="JYP17" s="1"/>
      <c r="JYQ17" s="1"/>
      <c r="JYR17" s="1"/>
      <c r="JYS17" s="1"/>
      <c r="JYT17" s="1"/>
      <c r="JYU17" s="1"/>
      <c r="JYV17" s="1"/>
      <c r="JYW17" s="1"/>
      <c r="JYX17" s="1"/>
      <c r="JYY17" s="1"/>
      <c r="JYZ17" s="1"/>
      <c r="JZA17" s="1"/>
      <c r="JZB17" s="1"/>
      <c r="JZC17" s="1"/>
      <c r="JZD17" s="1"/>
      <c r="JZE17" s="1"/>
      <c r="JZF17" s="1"/>
      <c r="JZG17" s="1"/>
      <c r="JZH17" s="1"/>
      <c r="JZI17" s="1"/>
      <c r="JZJ17" s="1"/>
      <c r="JZK17" s="1"/>
      <c r="JZL17" s="1"/>
      <c r="JZM17" s="1"/>
      <c r="JZN17" s="1"/>
      <c r="JZO17" s="1"/>
      <c r="JZP17" s="1"/>
      <c r="JZQ17" s="1"/>
      <c r="JZR17" s="1"/>
      <c r="JZS17" s="1"/>
      <c r="JZT17" s="1"/>
      <c r="JZU17" s="1"/>
      <c r="JZV17" s="1"/>
      <c r="JZW17" s="1"/>
      <c r="JZX17" s="1"/>
      <c r="JZY17" s="1"/>
      <c r="JZZ17" s="1"/>
      <c r="KAA17" s="1"/>
      <c r="KAB17" s="1"/>
      <c r="KAC17" s="1"/>
      <c r="KAD17" s="1"/>
      <c r="KAE17" s="1"/>
      <c r="KAF17" s="1"/>
      <c r="KAG17" s="1"/>
      <c r="KAH17" s="1"/>
      <c r="KAI17" s="1"/>
      <c r="KAJ17" s="1"/>
      <c r="KAK17" s="1"/>
      <c r="KAL17" s="1"/>
      <c r="KAM17" s="1"/>
      <c r="KAN17" s="1"/>
      <c r="KAO17" s="1"/>
      <c r="KAP17" s="1"/>
      <c r="KAQ17" s="1"/>
      <c r="KAR17" s="1"/>
      <c r="KAS17" s="1"/>
      <c r="KAT17" s="1"/>
      <c r="KAU17" s="1"/>
      <c r="KAV17" s="1"/>
      <c r="KAW17" s="1"/>
      <c r="KAX17" s="1"/>
      <c r="KAY17" s="1"/>
      <c r="KAZ17" s="1"/>
      <c r="KBA17" s="1"/>
      <c r="KBB17" s="1"/>
      <c r="KBC17" s="1"/>
      <c r="KBD17" s="1"/>
      <c r="KBE17" s="1"/>
      <c r="KBF17" s="1"/>
      <c r="KBG17" s="1"/>
      <c r="KBH17" s="1"/>
      <c r="KBI17" s="1"/>
      <c r="KBJ17" s="1"/>
      <c r="KBK17" s="1"/>
      <c r="KBL17" s="1"/>
      <c r="KBM17" s="1"/>
      <c r="KBN17" s="1"/>
      <c r="KBO17" s="1"/>
      <c r="KBP17" s="1"/>
      <c r="KBQ17" s="1"/>
      <c r="KBR17" s="1"/>
      <c r="KBS17" s="1"/>
      <c r="KBT17" s="1"/>
      <c r="KBU17" s="1"/>
      <c r="KBV17" s="1"/>
      <c r="KBW17" s="1"/>
      <c r="KBX17" s="1"/>
      <c r="KBY17" s="1"/>
      <c r="KBZ17" s="1"/>
      <c r="KCA17" s="1"/>
      <c r="KCB17" s="1"/>
      <c r="KCC17" s="1"/>
      <c r="KCD17" s="1"/>
      <c r="KCE17" s="1"/>
      <c r="KCF17" s="1"/>
      <c r="KCG17" s="1"/>
      <c r="KCH17" s="1"/>
      <c r="KCI17" s="1"/>
      <c r="KCJ17" s="1"/>
      <c r="KCK17" s="1"/>
      <c r="KCL17" s="1"/>
      <c r="KCM17" s="1"/>
      <c r="KCN17" s="1"/>
      <c r="KCO17" s="1"/>
      <c r="KCP17" s="1"/>
      <c r="KCQ17" s="1"/>
      <c r="KCR17" s="1"/>
      <c r="KCS17" s="1"/>
      <c r="KCT17" s="1"/>
      <c r="KCU17" s="1"/>
      <c r="KCV17" s="1"/>
      <c r="KCW17" s="1"/>
      <c r="KCX17" s="1"/>
      <c r="KCY17" s="1"/>
      <c r="KCZ17" s="1"/>
      <c r="KDA17" s="1"/>
      <c r="KDB17" s="1"/>
      <c r="KDC17" s="1"/>
      <c r="KDD17" s="1"/>
      <c r="KDE17" s="1"/>
      <c r="KDF17" s="1"/>
      <c r="KDG17" s="1"/>
      <c r="KDH17" s="1"/>
      <c r="KDI17" s="1"/>
      <c r="KDJ17" s="1"/>
      <c r="KDK17" s="1"/>
      <c r="KDL17" s="1"/>
      <c r="KDM17" s="1"/>
      <c r="KDN17" s="1"/>
      <c r="KDO17" s="1"/>
      <c r="KDP17" s="1"/>
      <c r="KDQ17" s="1"/>
      <c r="KDR17" s="1"/>
      <c r="KDS17" s="1"/>
      <c r="KDT17" s="1"/>
      <c r="KDU17" s="1"/>
      <c r="KDV17" s="1"/>
      <c r="KDW17" s="1"/>
      <c r="KDX17" s="1"/>
      <c r="KDY17" s="1"/>
      <c r="KDZ17" s="1"/>
      <c r="KEA17" s="1"/>
      <c r="KEB17" s="1"/>
      <c r="KEC17" s="1"/>
      <c r="KED17" s="1"/>
      <c r="KEE17" s="1"/>
      <c r="KEF17" s="1"/>
      <c r="KEG17" s="1"/>
      <c r="KEH17" s="1"/>
      <c r="KEI17" s="1"/>
      <c r="KEJ17" s="1"/>
      <c r="KEK17" s="1"/>
      <c r="KEL17" s="1"/>
      <c r="KEM17" s="1"/>
      <c r="KEN17" s="1"/>
      <c r="KEO17" s="1"/>
      <c r="KEP17" s="1"/>
      <c r="KEQ17" s="1"/>
      <c r="KER17" s="1"/>
      <c r="KES17" s="1"/>
      <c r="KET17" s="1"/>
      <c r="KEU17" s="1"/>
      <c r="KEV17" s="1"/>
      <c r="KEW17" s="1"/>
      <c r="KEX17" s="1"/>
      <c r="KEY17" s="1"/>
      <c r="KEZ17" s="1"/>
      <c r="KFA17" s="1"/>
      <c r="KFB17" s="1"/>
      <c r="KFC17" s="1"/>
      <c r="KFD17" s="1"/>
      <c r="KFE17" s="1"/>
      <c r="KFF17" s="1"/>
      <c r="KFG17" s="1"/>
      <c r="KFH17" s="1"/>
      <c r="KFI17" s="1"/>
      <c r="KFJ17" s="1"/>
      <c r="KFK17" s="1"/>
      <c r="KFL17" s="1"/>
      <c r="KFM17" s="1"/>
      <c r="KFN17" s="1"/>
      <c r="KFO17" s="1"/>
      <c r="KFP17" s="1"/>
      <c r="KFQ17" s="1"/>
      <c r="KFR17" s="1"/>
      <c r="KFS17" s="1"/>
      <c r="KFT17" s="1"/>
      <c r="KFU17" s="1"/>
      <c r="KFV17" s="1"/>
      <c r="KFW17" s="1"/>
      <c r="KFX17" s="1"/>
      <c r="KFY17" s="1"/>
      <c r="KFZ17" s="1"/>
      <c r="KGA17" s="1"/>
      <c r="KGB17" s="1"/>
      <c r="KGC17" s="1"/>
      <c r="KGD17" s="1"/>
      <c r="KGE17" s="1"/>
      <c r="KGF17" s="1"/>
      <c r="KGG17" s="1"/>
      <c r="KGH17" s="1"/>
      <c r="KGI17" s="1"/>
      <c r="KGJ17" s="1"/>
      <c r="KGK17" s="1"/>
      <c r="KGL17" s="1"/>
      <c r="KGM17" s="1"/>
      <c r="KGN17" s="1"/>
      <c r="KGO17" s="1"/>
      <c r="KGP17" s="1"/>
      <c r="KGQ17" s="1"/>
      <c r="KGR17" s="1"/>
      <c r="KGS17" s="1"/>
      <c r="KGT17" s="1"/>
      <c r="KGU17" s="1"/>
      <c r="KGV17" s="1"/>
      <c r="KGW17" s="1"/>
      <c r="KGX17" s="1"/>
      <c r="KGY17" s="1"/>
      <c r="KGZ17" s="1"/>
      <c r="KHA17" s="1"/>
      <c r="KHB17" s="1"/>
      <c r="KHC17" s="1"/>
      <c r="KHD17" s="1"/>
      <c r="KHE17" s="1"/>
      <c r="KHF17" s="1"/>
      <c r="KHG17" s="1"/>
      <c r="KHH17" s="1"/>
      <c r="KHI17" s="1"/>
      <c r="KHJ17" s="1"/>
      <c r="KHK17" s="1"/>
      <c r="KHL17" s="1"/>
      <c r="KHM17" s="1"/>
      <c r="KHN17" s="1"/>
      <c r="KHO17" s="1"/>
      <c r="KHP17" s="1"/>
      <c r="KHQ17" s="1"/>
      <c r="KHR17" s="1"/>
      <c r="KHS17" s="1"/>
      <c r="KHT17" s="1"/>
      <c r="KHU17" s="1"/>
      <c r="KHV17" s="1"/>
      <c r="KHW17" s="1"/>
      <c r="KHX17" s="1"/>
      <c r="KHY17" s="1"/>
      <c r="KHZ17" s="1"/>
      <c r="KIA17" s="1"/>
      <c r="KIB17" s="1"/>
      <c r="KIC17" s="1"/>
      <c r="KID17" s="1"/>
      <c r="KIE17" s="1"/>
      <c r="KIF17" s="1"/>
      <c r="KIG17" s="1"/>
      <c r="KIH17" s="1"/>
      <c r="KII17" s="1"/>
      <c r="KIJ17" s="1"/>
      <c r="KIK17" s="1"/>
      <c r="KIL17" s="1"/>
      <c r="KIM17" s="1"/>
      <c r="KIN17" s="1"/>
      <c r="KIO17" s="1"/>
      <c r="KIP17" s="1"/>
      <c r="KIQ17" s="1"/>
      <c r="KIR17" s="1"/>
      <c r="KIS17" s="1"/>
      <c r="KIT17" s="1"/>
      <c r="KIU17" s="1"/>
      <c r="KIV17" s="1"/>
      <c r="KIW17" s="1"/>
      <c r="KIX17" s="1"/>
      <c r="KIY17" s="1"/>
      <c r="KIZ17" s="1"/>
      <c r="KJA17" s="1"/>
      <c r="KJB17" s="1"/>
      <c r="KJC17" s="1"/>
      <c r="KJD17" s="1"/>
      <c r="KJE17" s="1"/>
      <c r="KJF17" s="1"/>
      <c r="KJG17" s="1"/>
      <c r="KJH17" s="1"/>
      <c r="KJI17" s="1"/>
      <c r="KJJ17" s="1"/>
      <c r="KJK17" s="1"/>
      <c r="KJL17" s="1"/>
      <c r="KJM17" s="1"/>
      <c r="KJN17" s="1"/>
      <c r="KJO17" s="1"/>
      <c r="KJP17" s="1"/>
      <c r="KJQ17" s="1"/>
      <c r="KJR17" s="1"/>
      <c r="KJS17" s="1"/>
      <c r="KJT17" s="1"/>
      <c r="KJU17" s="1"/>
      <c r="KJV17" s="1"/>
      <c r="KJW17" s="1"/>
      <c r="KJX17" s="1"/>
      <c r="KJY17" s="1"/>
      <c r="KJZ17" s="1"/>
      <c r="KKA17" s="1"/>
      <c r="KKB17" s="1"/>
      <c r="KKC17" s="1"/>
      <c r="KKD17" s="1"/>
      <c r="KKE17" s="1"/>
      <c r="KKF17" s="1"/>
      <c r="KKG17" s="1"/>
      <c r="KKH17" s="1"/>
      <c r="KKI17" s="1"/>
      <c r="KKJ17" s="1"/>
      <c r="KKK17" s="1"/>
      <c r="KKL17" s="1"/>
      <c r="KKM17" s="1"/>
      <c r="KKN17" s="1"/>
      <c r="KKO17" s="1"/>
      <c r="KKP17" s="1"/>
      <c r="KKQ17" s="1"/>
      <c r="KKR17" s="1"/>
      <c r="KKS17" s="1"/>
      <c r="KKT17" s="1"/>
      <c r="KKU17" s="1"/>
      <c r="KKV17" s="1"/>
      <c r="KKW17" s="1"/>
      <c r="KKX17" s="1"/>
      <c r="KKY17" s="1"/>
      <c r="KKZ17" s="1"/>
      <c r="KLA17" s="1"/>
      <c r="KLB17" s="1"/>
      <c r="KLC17" s="1"/>
      <c r="KLD17" s="1"/>
      <c r="KLE17" s="1"/>
      <c r="KLF17" s="1"/>
      <c r="KLG17" s="1"/>
      <c r="KLH17" s="1"/>
      <c r="KLI17" s="1"/>
      <c r="KLJ17" s="1"/>
      <c r="KLK17" s="1"/>
      <c r="KLL17" s="1"/>
      <c r="KLM17" s="1"/>
      <c r="KLN17" s="1"/>
      <c r="KLO17" s="1"/>
      <c r="KLP17" s="1"/>
      <c r="KLQ17" s="1"/>
      <c r="KLR17" s="1"/>
      <c r="KLS17" s="1"/>
      <c r="KLT17" s="1"/>
      <c r="KLU17" s="1"/>
      <c r="KLV17" s="1"/>
      <c r="KLW17" s="1"/>
      <c r="KLX17" s="1"/>
      <c r="KLY17" s="1"/>
      <c r="KLZ17" s="1"/>
      <c r="KMA17" s="1"/>
      <c r="KMB17" s="1"/>
      <c r="KMC17" s="1"/>
      <c r="KMD17" s="1"/>
      <c r="KME17" s="1"/>
      <c r="KMF17" s="1"/>
      <c r="KMG17" s="1"/>
      <c r="KMH17" s="1"/>
      <c r="KMI17" s="1"/>
      <c r="KMJ17" s="1"/>
      <c r="KMK17" s="1"/>
      <c r="KML17" s="1"/>
      <c r="KMM17" s="1"/>
      <c r="KMN17" s="1"/>
      <c r="KMO17" s="1"/>
      <c r="KMP17" s="1"/>
      <c r="KMQ17" s="1"/>
      <c r="KMR17" s="1"/>
      <c r="KMS17" s="1"/>
      <c r="KMT17" s="1"/>
      <c r="KMU17" s="1"/>
      <c r="KMV17" s="1"/>
      <c r="KMW17" s="1"/>
      <c r="KMX17" s="1"/>
      <c r="KMY17" s="1"/>
      <c r="KMZ17" s="1"/>
      <c r="KNA17" s="1"/>
      <c r="KNB17" s="1"/>
      <c r="KNC17" s="1"/>
      <c r="KND17" s="1"/>
      <c r="KNE17" s="1"/>
      <c r="KNF17" s="1"/>
      <c r="KNG17" s="1"/>
      <c r="KNH17" s="1"/>
      <c r="KNI17" s="1"/>
      <c r="KNJ17" s="1"/>
      <c r="KNK17" s="1"/>
      <c r="KNL17" s="1"/>
      <c r="KNM17" s="1"/>
      <c r="KNN17" s="1"/>
      <c r="KNO17" s="1"/>
      <c r="KNP17" s="1"/>
      <c r="KNQ17" s="1"/>
      <c r="KNR17" s="1"/>
      <c r="KNS17" s="1"/>
      <c r="KNT17" s="1"/>
      <c r="KNU17" s="1"/>
      <c r="KNV17" s="1"/>
      <c r="KNW17" s="1"/>
      <c r="KNX17" s="1"/>
      <c r="KNY17" s="1"/>
      <c r="KNZ17" s="1"/>
      <c r="KOA17" s="1"/>
      <c r="KOB17" s="1"/>
      <c r="KOC17" s="1"/>
      <c r="KOD17" s="1"/>
      <c r="KOE17" s="1"/>
      <c r="KOF17" s="1"/>
      <c r="KOG17" s="1"/>
      <c r="KOH17" s="1"/>
      <c r="KOI17" s="1"/>
      <c r="KOJ17" s="1"/>
      <c r="KOK17" s="1"/>
      <c r="KOL17" s="1"/>
      <c r="KOM17" s="1"/>
      <c r="KON17" s="1"/>
      <c r="KOO17" s="1"/>
      <c r="KOP17" s="1"/>
      <c r="KOQ17" s="1"/>
      <c r="KOR17" s="1"/>
      <c r="KOS17" s="1"/>
      <c r="KOT17" s="1"/>
      <c r="KOU17" s="1"/>
      <c r="KOV17" s="1"/>
      <c r="KOW17" s="1"/>
      <c r="KOX17" s="1"/>
      <c r="KOY17" s="1"/>
      <c r="KOZ17" s="1"/>
      <c r="KPA17" s="1"/>
      <c r="KPB17" s="1"/>
      <c r="KPC17" s="1"/>
      <c r="KPD17" s="1"/>
      <c r="KPE17" s="1"/>
      <c r="KPF17" s="1"/>
      <c r="KPG17" s="1"/>
      <c r="KPH17" s="1"/>
      <c r="KPI17" s="1"/>
      <c r="KPJ17" s="1"/>
      <c r="KPK17" s="1"/>
      <c r="KPL17" s="1"/>
      <c r="KPM17" s="1"/>
      <c r="KPN17" s="1"/>
      <c r="KPO17" s="1"/>
      <c r="KPP17" s="1"/>
      <c r="KPQ17" s="1"/>
      <c r="KPR17" s="1"/>
      <c r="KPS17" s="1"/>
      <c r="KPT17" s="1"/>
      <c r="KPU17" s="1"/>
      <c r="KPV17" s="1"/>
      <c r="KPW17" s="1"/>
      <c r="KPX17" s="1"/>
      <c r="KPY17" s="1"/>
      <c r="KPZ17" s="1"/>
      <c r="KQA17" s="1"/>
      <c r="KQB17" s="1"/>
      <c r="KQC17" s="1"/>
      <c r="KQD17" s="1"/>
      <c r="KQE17" s="1"/>
      <c r="KQF17" s="1"/>
      <c r="KQG17" s="1"/>
      <c r="KQH17" s="1"/>
      <c r="KQI17" s="1"/>
      <c r="KQJ17" s="1"/>
      <c r="KQK17" s="1"/>
      <c r="KQL17" s="1"/>
      <c r="KQM17" s="1"/>
      <c r="KQN17" s="1"/>
      <c r="KQO17" s="1"/>
      <c r="KQP17" s="1"/>
      <c r="KQQ17" s="1"/>
      <c r="KQR17" s="1"/>
      <c r="KQS17" s="1"/>
      <c r="KQT17" s="1"/>
      <c r="KQU17" s="1"/>
      <c r="KQV17" s="1"/>
      <c r="KQW17" s="1"/>
      <c r="KQX17" s="1"/>
      <c r="KQY17" s="1"/>
      <c r="KQZ17" s="1"/>
      <c r="KRA17" s="1"/>
      <c r="KRB17" s="1"/>
      <c r="KRC17" s="1"/>
      <c r="KRD17" s="1"/>
      <c r="KRE17" s="1"/>
      <c r="KRF17" s="1"/>
      <c r="KRG17" s="1"/>
      <c r="KRH17" s="1"/>
      <c r="KRI17" s="1"/>
      <c r="KRJ17" s="1"/>
      <c r="KRK17" s="1"/>
      <c r="KRL17" s="1"/>
      <c r="KRM17" s="1"/>
      <c r="KRN17" s="1"/>
      <c r="KRO17" s="1"/>
      <c r="KRP17" s="1"/>
      <c r="KRQ17" s="1"/>
      <c r="KRR17" s="1"/>
      <c r="KRS17" s="1"/>
      <c r="KRT17" s="1"/>
      <c r="KRU17" s="1"/>
      <c r="KRV17" s="1"/>
      <c r="KRW17" s="1"/>
      <c r="KRX17" s="1"/>
      <c r="KRY17" s="1"/>
      <c r="KRZ17" s="1"/>
      <c r="KSA17" s="1"/>
      <c r="KSB17" s="1"/>
      <c r="KSC17" s="1"/>
      <c r="KSD17" s="1"/>
      <c r="KSE17" s="1"/>
      <c r="KSF17" s="1"/>
      <c r="KSG17" s="1"/>
      <c r="KSH17" s="1"/>
      <c r="KSI17" s="1"/>
      <c r="KSJ17" s="1"/>
      <c r="KSK17" s="1"/>
      <c r="KSL17" s="1"/>
      <c r="KSM17" s="1"/>
      <c r="KSN17" s="1"/>
      <c r="KSO17" s="1"/>
      <c r="KSP17" s="1"/>
      <c r="KSQ17" s="1"/>
      <c r="KSR17" s="1"/>
      <c r="KSS17" s="1"/>
      <c r="KST17" s="1"/>
      <c r="KSU17" s="1"/>
      <c r="KSV17" s="1"/>
      <c r="KSW17" s="1"/>
      <c r="KSX17" s="1"/>
      <c r="KSY17" s="1"/>
      <c r="KSZ17" s="1"/>
      <c r="KTA17" s="1"/>
      <c r="KTB17" s="1"/>
      <c r="KTC17" s="1"/>
      <c r="KTD17" s="1"/>
      <c r="KTE17" s="1"/>
      <c r="KTF17" s="1"/>
      <c r="KTG17" s="1"/>
      <c r="KTH17" s="1"/>
      <c r="KTI17" s="1"/>
      <c r="KTJ17" s="1"/>
      <c r="KTK17" s="1"/>
      <c r="KTL17" s="1"/>
      <c r="KTM17" s="1"/>
      <c r="KTN17" s="1"/>
      <c r="KTO17" s="1"/>
      <c r="KTP17" s="1"/>
      <c r="KTQ17" s="1"/>
      <c r="KTR17" s="1"/>
      <c r="KTS17" s="1"/>
      <c r="KTT17" s="1"/>
      <c r="KTU17" s="1"/>
      <c r="KTV17" s="1"/>
      <c r="KTW17" s="1"/>
      <c r="KTX17" s="1"/>
      <c r="KTY17" s="1"/>
      <c r="KTZ17" s="1"/>
      <c r="KUA17" s="1"/>
      <c r="KUB17" s="1"/>
      <c r="KUC17" s="1"/>
      <c r="KUD17" s="1"/>
      <c r="KUE17" s="1"/>
      <c r="KUF17" s="1"/>
      <c r="KUG17" s="1"/>
      <c r="KUH17" s="1"/>
      <c r="KUI17" s="1"/>
      <c r="KUJ17" s="1"/>
      <c r="KUK17" s="1"/>
      <c r="KUL17" s="1"/>
      <c r="KUM17" s="1"/>
      <c r="KUN17" s="1"/>
      <c r="KUO17" s="1"/>
      <c r="KUP17" s="1"/>
      <c r="KUQ17" s="1"/>
      <c r="KUR17" s="1"/>
      <c r="KUS17" s="1"/>
      <c r="KUT17" s="1"/>
      <c r="KUU17" s="1"/>
      <c r="KUV17" s="1"/>
      <c r="KUW17" s="1"/>
      <c r="KUX17" s="1"/>
      <c r="KUY17" s="1"/>
      <c r="KUZ17" s="1"/>
      <c r="KVA17" s="1"/>
      <c r="KVB17" s="1"/>
      <c r="KVC17" s="1"/>
      <c r="KVD17" s="1"/>
      <c r="KVE17" s="1"/>
      <c r="KVF17" s="1"/>
      <c r="KVG17" s="1"/>
      <c r="KVH17" s="1"/>
      <c r="KVI17" s="1"/>
      <c r="KVJ17" s="1"/>
      <c r="KVK17" s="1"/>
      <c r="KVL17" s="1"/>
      <c r="KVM17" s="1"/>
      <c r="KVN17" s="1"/>
      <c r="KVO17" s="1"/>
      <c r="KVP17" s="1"/>
      <c r="KVQ17" s="1"/>
      <c r="KVR17" s="1"/>
      <c r="KVS17" s="1"/>
      <c r="KVT17" s="1"/>
      <c r="KVU17" s="1"/>
      <c r="KVV17" s="1"/>
      <c r="KVW17" s="1"/>
      <c r="KVX17" s="1"/>
      <c r="KVY17" s="1"/>
      <c r="KVZ17" s="1"/>
      <c r="KWA17" s="1"/>
      <c r="KWB17" s="1"/>
      <c r="KWC17" s="1"/>
      <c r="KWD17" s="1"/>
      <c r="KWE17" s="1"/>
      <c r="KWF17" s="1"/>
      <c r="KWG17" s="1"/>
      <c r="KWH17" s="1"/>
      <c r="KWI17" s="1"/>
      <c r="KWJ17" s="1"/>
      <c r="KWK17" s="1"/>
      <c r="KWL17" s="1"/>
      <c r="KWM17" s="1"/>
      <c r="KWN17" s="1"/>
      <c r="KWO17" s="1"/>
      <c r="KWP17" s="1"/>
      <c r="KWQ17" s="1"/>
      <c r="KWR17" s="1"/>
      <c r="KWS17" s="1"/>
      <c r="KWT17" s="1"/>
      <c r="KWU17" s="1"/>
      <c r="KWV17" s="1"/>
      <c r="KWW17" s="1"/>
      <c r="KWX17" s="1"/>
      <c r="KWY17" s="1"/>
      <c r="KWZ17" s="1"/>
      <c r="KXA17" s="1"/>
      <c r="KXB17" s="1"/>
      <c r="KXC17" s="1"/>
      <c r="KXD17" s="1"/>
      <c r="KXE17" s="1"/>
      <c r="KXF17" s="1"/>
      <c r="KXG17" s="1"/>
      <c r="KXH17" s="1"/>
      <c r="KXI17" s="1"/>
      <c r="KXJ17" s="1"/>
      <c r="KXK17" s="1"/>
      <c r="KXL17" s="1"/>
      <c r="KXM17" s="1"/>
      <c r="KXN17" s="1"/>
      <c r="KXO17" s="1"/>
      <c r="KXP17" s="1"/>
      <c r="KXQ17" s="1"/>
      <c r="KXR17" s="1"/>
      <c r="KXS17" s="1"/>
      <c r="KXT17" s="1"/>
      <c r="KXU17" s="1"/>
      <c r="KXV17" s="1"/>
      <c r="KXW17" s="1"/>
      <c r="KXX17" s="1"/>
      <c r="KXY17" s="1"/>
      <c r="KXZ17" s="1"/>
      <c r="KYA17" s="1"/>
      <c r="KYB17" s="1"/>
      <c r="KYC17" s="1"/>
      <c r="KYD17" s="1"/>
      <c r="KYE17" s="1"/>
      <c r="KYF17" s="1"/>
      <c r="KYG17" s="1"/>
      <c r="KYH17" s="1"/>
      <c r="KYI17" s="1"/>
      <c r="KYJ17" s="1"/>
      <c r="KYK17" s="1"/>
      <c r="KYL17" s="1"/>
      <c r="KYM17" s="1"/>
      <c r="KYN17" s="1"/>
      <c r="KYO17" s="1"/>
      <c r="KYP17" s="1"/>
      <c r="KYQ17" s="1"/>
      <c r="KYR17" s="1"/>
      <c r="KYS17" s="1"/>
      <c r="KYT17" s="1"/>
      <c r="KYU17" s="1"/>
      <c r="KYV17" s="1"/>
      <c r="KYW17" s="1"/>
      <c r="KYX17" s="1"/>
      <c r="KYY17" s="1"/>
      <c r="KYZ17" s="1"/>
      <c r="KZA17" s="1"/>
      <c r="KZB17" s="1"/>
      <c r="KZC17" s="1"/>
      <c r="KZD17" s="1"/>
      <c r="KZE17" s="1"/>
      <c r="KZF17" s="1"/>
      <c r="KZG17" s="1"/>
      <c r="KZH17" s="1"/>
      <c r="KZI17" s="1"/>
      <c r="KZJ17" s="1"/>
      <c r="KZK17" s="1"/>
      <c r="KZL17" s="1"/>
      <c r="KZM17" s="1"/>
      <c r="KZN17" s="1"/>
      <c r="KZO17" s="1"/>
      <c r="KZP17" s="1"/>
      <c r="KZQ17" s="1"/>
      <c r="KZR17" s="1"/>
      <c r="KZS17" s="1"/>
      <c r="KZT17" s="1"/>
      <c r="KZU17" s="1"/>
      <c r="KZV17" s="1"/>
      <c r="KZW17" s="1"/>
      <c r="KZX17" s="1"/>
      <c r="KZY17" s="1"/>
      <c r="KZZ17" s="1"/>
      <c r="LAA17" s="1"/>
      <c r="LAB17" s="1"/>
      <c r="LAC17" s="1"/>
      <c r="LAD17" s="1"/>
      <c r="LAE17" s="1"/>
      <c r="LAF17" s="1"/>
      <c r="LAG17" s="1"/>
      <c r="LAH17" s="1"/>
      <c r="LAI17" s="1"/>
      <c r="LAJ17" s="1"/>
      <c r="LAK17" s="1"/>
      <c r="LAL17" s="1"/>
      <c r="LAM17" s="1"/>
      <c r="LAN17" s="1"/>
      <c r="LAO17" s="1"/>
      <c r="LAP17" s="1"/>
      <c r="LAQ17" s="1"/>
      <c r="LAR17" s="1"/>
      <c r="LAS17" s="1"/>
      <c r="LAT17" s="1"/>
      <c r="LAU17" s="1"/>
      <c r="LAV17" s="1"/>
      <c r="LAW17" s="1"/>
      <c r="LAX17" s="1"/>
      <c r="LAY17" s="1"/>
      <c r="LAZ17" s="1"/>
      <c r="LBA17" s="1"/>
      <c r="LBB17" s="1"/>
      <c r="LBC17" s="1"/>
      <c r="LBD17" s="1"/>
      <c r="LBE17" s="1"/>
      <c r="LBF17" s="1"/>
      <c r="LBG17" s="1"/>
      <c r="LBH17" s="1"/>
      <c r="LBI17" s="1"/>
      <c r="LBJ17" s="1"/>
      <c r="LBK17" s="1"/>
      <c r="LBL17" s="1"/>
      <c r="LBM17" s="1"/>
      <c r="LBN17" s="1"/>
      <c r="LBO17" s="1"/>
      <c r="LBP17" s="1"/>
      <c r="LBQ17" s="1"/>
      <c r="LBR17" s="1"/>
      <c r="LBS17" s="1"/>
      <c r="LBT17" s="1"/>
      <c r="LBU17" s="1"/>
      <c r="LBV17" s="1"/>
      <c r="LBW17" s="1"/>
      <c r="LBX17" s="1"/>
      <c r="LBY17" s="1"/>
      <c r="LBZ17" s="1"/>
      <c r="LCA17" s="1"/>
      <c r="LCB17" s="1"/>
      <c r="LCC17" s="1"/>
      <c r="LCD17" s="1"/>
      <c r="LCE17" s="1"/>
      <c r="LCF17" s="1"/>
      <c r="LCG17" s="1"/>
      <c r="LCH17" s="1"/>
      <c r="LCI17" s="1"/>
      <c r="LCJ17" s="1"/>
      <c r="LCK17" s="1"/>
      <c r="LCL17" s="1"/>
      <c r="LCM17" s="1"/>
      <c r="LCN17" s="1"/>
      <c r="LCO17" s="1"/>
      <c r="LCP17" s="1"/>
      <c r="LCQ17" s="1"/>
      <c r="LCR17" s="1"/>
      <c r="LCS17" s="1"/>
      <c r="LCT17" s="1"/>
      <c r="LCU17" s="1"/>
      <c r="LCV17" s="1"/>
      <c r="LCW17" s="1"/>
      <c r="LCX17" s="1"/>
      <c r="LCY17" s="1"/>
      <c r="LCZ17" s="1"/>
      <c r="LDA17" s="1"/>
      <c r="LDB17" s="1"/>
      <c r="LDC17" s="1"/>
      <c r="LDD17" s="1"/>
      <c r="LDE17" s="1"/>
      <c r="LDF17" s="1"/>
      <c r="LDG17" s="1"/>
      <c r="LDH17" s="1"/>
      <c r="LDI17" s="1"/>
      <c r="LDJ17" s="1"/>
      <c r="LDK17" s="1"/>
      <c r="LDL17" s="1"/>
      <c r="LDM17" s="1"/>
      <c r="LDN17" s="1"/>
      <c r="LDO17" s="1"/>
      <c r="LDP17" s="1"/>
      <c r="LDQ17" s="1"/>
      <c r="LDR17" s="1"/>
      <c r="LDS17" s="1"/>
      <c r="LDT17" s="1"/>
      <c r="LDU17" s="1"/>
      <c r="LDV17" s="1"/>
      <c r="LDW17" s="1"/>
      <c r="LDX17" s="1"/>
      <c r="LDY17" s="1"/>
      <c r="LDZ17" s="1"/>
      <c r="LEA17" s="1"/>
      <c r="LEB17" s="1"/>
      <c r="LEC17" s="1"/>
      <c r="LED17" s="1"/>
      <c r="LEE17" s="1"/>
      <c r="LEF17" s="1"/>
      <c r="LEG17" s="1"/>
      <c r="LEH17" s="1"/>
      <c r="LEI17" s="1"/>
      <c r="LEJ17" s="1"/>
      <c r="LEK17" s="1"/>
      <c r="LEL17" s="1"/>
      <c r="LEM17" s="1"/>
      <c r="LEN17" s="1"/>
      <c r="LEO17" s="1"/>
      <c r="LEP17" s="1"/>
      <c r="LEQ17" s="1"/>
      <c r="LER17" s="1"/>
      <c r="LES17" s="1"/>
      <c r="LET17" s="1"/>
      <c r="LEU17" s="1"/>
      <c r="LEV17" s="1"/>
      <c r="LEW17" s="1"/>
      <c r="LEX17" s="1"/>
      <c r="LEY17" s="1"/>
      <c r="LEZ17" s="1"/>
      <c r="LFA17" s="1"/>
      <c r="LFB17" s="1"/>
      <c r="LFC17" s="1"/>
      <c r="LFD17" s="1"/>
      <c r="LFE17" s="1"/>
      <c r="LFF17" s="1"/>
      <c r="LFG17" s="1"/>
      <c r="LFH17" s="1"/>
      <c r="LFI17" s="1"/>
      <c r="LFJ17" s="1"/>
      <c r="LFK17" s="1"/>
      <c r="LFL17" s="1"/>
      <c r="LFM17" s="1"/>
      <c r="LFN17" s="1"/>
      <c r="LFO17" s="1"/>
      <c r="LFP17" s="1"/>
      <c r="LFQ17" s="1"/>
      <c r="LFR17" s="1"/>
      <c r="LFS17" s="1"/>
      <c r="LFT17" s="1"/>
      <c r="LFU17" s="1"/>
      <c r="LFV17" s="1"/>
      <c r="LFW17" s="1"/>
      <c r="LFX17" s="1"/>
      <c r="LFY17" s="1"/>
      <c r="LFZ17" s="1"/>
      <c r="LGA17" s="1"/>
      <c r="LGB17" s="1"/>
      <c r="LGC17" s="1"/>
      <c r="LGD17" s="1"/>
      <c r="LGE17" s="1"/>
      <c r="LGF17" s="1"/>
      <c r="LGG17" s="1"/>
      <c r="LGH17" s="1"/>
      <c r="LGI17" s="1"/>
      <c r="LGJ17" s="1"/>
      <c r="LGK17" s="1"/>
      <c r="LGL17" s="1"/>
      <c r="LGM17" s="1"/>
      <c r="LGN17" s="1"/>
      <c r="LGO17" s="1"/>
      <c r="LGP17" s="1"/>
      <c r="LGQ17" s="1"/>
      <c r="LGR17" s="1"/>
      <c r="LGS17" s="1"/>
      <c r="LGT17" s="1"/>
      <c r="LGU17" s="1"/>
      <c r="LGV17" s="1"/>
      <c r="LGW17" s="1"/>
      <c r="LGX17" s="1"/>
      <c r="LGY17" s="1"/>
      <c r="LGZ17" s="1"/>
      <c r="LHA17" s="1"/>
      <c r="LHB17" s="1"/>
      <c r="LHC17" s="1"/>
      <c r="LHD17" s="1"/>
      <c r="LHE17" s="1"/>
      <c r="LHF17" s="1"/>
      <c r="LHG17" s="1"/>
      <c r="LHH17" s="1"/>
      <c r="LHI17" s="1"/>
      <c r="LHJ17" s="1"/>
      <c r="LHK17" s="1"/>
      <c r="LHL17" s="1"/>
      <c r="LHM17" s="1"/>
      <c r="LHN17" s="1"/>
      <c r="LHO17" s="1"/>
      <c r="LHP17" s="1"/>
      <c r="LHQ17" s="1"/>
      <c r="LHR17" s="1"/>
      <c r="LHS17" s="1"/>
      <c r="LHT17" s="1"/>
      <c r="LHU17" s="1"/>
      <c r="LHV17" s="1"/>
      <c r="LHW17" s="1"/>
      <c r="LHX17" s="1"/>
      <c r="LHY17" s="1"/>
      <c r="LHZ17" s="1"/>
      <c r="LIA17" s="1"/>
      <c r="LIB17" s="1"/>
      <c r="LIC17" s="1"/>
      <c r="LID17" s="1"/>
      <c r="LIE17" s="1"/>
      <c r="LIF17" s="1"/>
      <c r="LIG17" s="1"/>
      <c r="LIH17" s="1"/>
      <c r="LII17" s="1"/>
      <c r="LIJ17" s="1"/>
      <c r="LIK17" s="1"/>
      <c r="LIL17" s="1"/>
      <c r="LIM17" s="1"/>
      <c r="LIN17" s="1"/>
      <c r="LIO17" s="1"/>
      <c r="LIP17" s="1"/>
      <c r="LIQ17" s="1"/>
      <c r="LIR17" s="1"/>
      <c r="LIS17" s="1"/>
      <c r="LIT17" s="1"/>
      <c r="LIU17" s="1"/>
      <c r="LIV17" s="1"/>
      <c r="LIW17" s="1"/>
      <c r="LIX17" s="1"/>
      <c r="LIY17" s="1"/>
      <c r="LIZ17" s="1"/>
      <c r="LJA17" s="1"/>
      <c r="LJB17" s="1"/>
      <c r="LJC17" s="1"/>
      <c r="LJD17" s="1"/>
      <c r="LJE17" s="1"/>
      <c r="LJF17" s="1"/>
      <c r="LJG17" s="1"/>
      <c r="LJH17" s="1"/>
      <c r="LJI17" s="1"/>
      <c r="LJJ17" s="1"/>
      <c r="LJK17" s="1"/>
      <c r="LJL17" s="1"/>
      <c r="LJM17" s="1"/>
      <c r="LJN17" s="1"/>
      <c r="LJO17" s="1"/>
      <c r="LJP17" s="1"/>
      <c r="LJQ17" s="1"/>
      <c r="LJR17" s="1"/>
      <c r="LJS17" s="1"/>
      <c r="LJT17" s="1"/>
      <c r="LJU17" s="1"/>
      <c r="LJV17" s="1"/>
      <c r="LJW17" s="1"/>
      <c r="LJX17" s="1"/>
      <c r="LJY17" s="1"/>
      <c r="LJZ17" s="1"/>
      <c r="LKA17" s="1"/>
      <c r="LKB17" s="1"/>
      <c r="LKC17" s="1"/>
      <c r="LKD17" s="1"/>
      <c r="LKE17" s="1"/>
      <c r="LKF17" s="1"/>
      <c r="LKG17" s="1"/>
      <c r="LKH17" s="1"/>
      <c r="LKI17" s="1"/>
      <c r="LKJ17" s="1"/>
      <c r="LKK17" s="1"/>
      <c r="LKL17" s="1"/>
      <c r="LKM17" s="1"/>
      <c r="LKN17" s="1"/>
      <c r="LKO17" s="1"/>
      <c r="LKP17" s="1"/>
      <c r="LKQ17" s="1"/>
      <c r="LKR17" s="1"/>
      <c r="LKS17" s="1"/>
      <c r="LKT17" s="1"/>
      <c r="LKU17" s="1"/>
      <c r="LKV17" s="1"/>
      <c r="LKW17" s="1"/>
      <c r="LKX17" s="1"/>
      <c r="LKY17" s="1"/>
      <c r="LKZ17" s="1"/>
      <c r="LLA17" s="1"/>
      <c r="LLB17" s="1"/>
      <c r="LLC17" s="1"/>
      <c r="LLD17" s="1"/>
      <c r="LLE17" s="1"/>
      <c r="LLF17" s="1"/>
      <c r="LLG17" s="1"/>
      <c r="LLH17" s="1"/>
      <c r="LLI17" s="1"/>
      <c r="LLJ17" s="1"/>
      <c r="LLK17" s="1"/>
      <c r="LLL17" s="1"/>
      <c r="LLM17" s="1"/>
      <c r="LLN17" s="1"/>
      <c r="LLO17" s="1"/>
      <c r="LLP17" s="1"/>
      <c r="LLQ17" s="1"/>
      <c r="LLR17" s="1"/>
      <c r="LLS17" s="1"/>
      <c r="LLT17" s="1"/>
      <c r="LLU17" s="1"/>
      <c r="LLV17" s="1"/>
      <c r="LLW17" s="1"/>
      <c r="LLX17" s="1"/>
      <c r="LLY17" s="1"/>
      <c r="LLZ17" s="1"/>
      <c r="LMA17" s="1"/>
      <c r="LMB17" s="1"/>
      <c r="LMC17" s="1"/>
      <c r="LMD17" s="1"/>
      <c r="LME17" s="1"/>
      <c r="LMF17" s="1"/>
      <c r="LMG17" s="1"/>
      <c r="LMH17" s="1"/>
      <c r="LMI17" s="1"/>
      <c r="LMJ17" s="1"/>
      <c r="LMK17" s="1"/>
      <c r="LML17" s="1"/>
      <c r="LMM17" s="1"/>
      <c r="LMN17" s="1"/>
      <c r="LMO17" s="1"/>
      <c r="LMP17" s="1"/>
      <c r="LMQ17" s="1"/>
      <c r="LMR17" s="1"/>
      <c r="LMS17" s="1"/>
      <c r="LMT17" s="1"/>
      <c r="LMU17" s="1"/>
      <c r="LMV17" s="1"/>
      <c r="LMW17" s="1"/>
      <c r="LMX17" s="1"/>
      <c r="LMY17" s="1"/>
      <c r="LMZ17" s="1"/>
      <c r="LNA17" s="1"/>
      <c r="LNB17" s="1"/>
      <c r="LNC17" s="1"/>
      <c r="LND17" s="1"/>
      <c r="LNE17" s="1"/>
      <c r="LNF17" s="1"/>
      <c r="LNG17" s="1"/>
      <c r="LNH17" s="1"/>
      <c r="LNI17" s="1"/>
      <c r="LNJ17" s="1"/>
      <c r="LNK17" s="1"/>
      <c r="LNL17" s="1"/>
      <c r="LNM17" s="1"/>
      <c r="LNN17" s="1"/>
      <c r="LNO17" s="1"/>
      <c r="LNP17" s="1"/>
      <c r="LNQ17" s="1"/>
      <c r="LNR17" s="1"/>
      <c r="LNS17" s="1"/>
      <c r="LNT17" s="1"/>
      <c r="LNU17" s="1"/>
      <c r="LNV17" s="1"/>
      <c r="LNW17" s="1"/>
      <c r="LNX17" s="1"/>
      <c r="LNY17" s="1"/>
      <c r="LNZ17" s="1"/>
      <c r="LOA17" s="1"/>
      <c r="LOB17" s="1"/>
      <c r="LOC17" s="1"/>
      <c r="LOD17" s="1"/>
      <c r="LOE17" s="1"/>
      <c r="LOF17" s="1"/>
      <c r="LOG17" s="1"/>
      <c r="LOH17" s="1"/>
      <c r="LOI17" s="1"/>
      <c r="LOJ17" s="1"/>
      <c r="LOK17" s="1"/>
      <c r="LOL17" s="1"/>
      <c r="LOM17" s="1"/>
      <c r="LON17" s="1"/>
      <c r="LOO17" s="1"/>
      <c r="LOP17" s="1"/>
      <c r="LOQ17" s="1"/>
      <c r="LOR17" s="1"/>
      <c r="LOS17" s="1"/>
      <c r="LOT17" s="1"/>
      <c r="LOU17" s="1"/>
      <c r="LOV17" s="1"/>
      <c r="LOW17" s="1"/>
      <c r="LOX17" s="1"/>
      <c r="LOY17" s="1"/>
      <c r="LOZ17" s="1"/>
      <c r="LPA17" s="1"/>
      <c r="LPB17" s="1"/>
      <c r="LPC17" s="1"/>
      <c r="LPD17" s="1"/>
      <c r="LPE17" s="1"/>
      <c r="LPF17" s="1"/>
      <c r="LPG17" s="1"/>
      <c r="LPH17" s="1"/>
      <c r="LPI17" s="1"/>
      <c r="LPJ17" s="1"/>
      <c r="LPK17" s="1"/>
      <c r="LPL17" s="1"/>
      <c r="LPM17" s="1"/>
      <c r="LPN17" s="1"/>
      <c r="LPO17" s="1"/>
      <c r="LPP17" s="1"/>
      <c r="LPQ17" s="1"/>
      <c r="LPR17" s="1"/>
      <c r="LPS17" s="1"/>
      <c r="LPT17" s="1"/>
      <c r="LPU17" s="1"/>
      <c r="LPV17" s="1"/>
      <c r="LPW17" s="1"/>
      <c r="LPX17" s="1"/>
      <c r="LPY17" s="1"/>
      <c r="LPZ17" s="1"/>
      <c r="LQA17" s="1"/>
      <c r="LQB17" s="1"/>
      <c r="LQC17" s="1"/>
      <c r="LQD17" s="1"/>
      <c r="LQE17" s="1"/>
      <c r="LQF17" s="1"/>
      <c r="LQG17" s="1"/>
      <c r="LQH17" s="1"/>
      <c r="LQI17" s="1"/>
      <c r="LQJ17" s="1"/>
      <c r="LQK17" s="1"/>
      <c r="LQL17" s="1"/>
      <c r="LQM17" s="1"/>
      <c r="LQN17" s="1"/>
      <c r="LQO17" s="1"/>
      <c r="LQP17" s="1"/>
      <c r="LQQ17" s="1"/>
      <c r="LQR17" s="1"/>
      <c r="LQS17" s="1"/>
      <c r="LQT17" s="1"/>
      <c r="LQU17" s="1"/>
      <c r="LQV17" s="1"/>
      <c r="LQW17" s="1"/>
      <c r="LQX17" s="1"/>
      <c r="LQY17" s="1"/>
      <c r="LQZ17" s="1"/>
      <c r="LRA17" s="1"/>
      <c r="LRB17" s="1"/>
      <c r="LRC17" s="1"/>
      <c r="LRD17" s="1"/>
      <c r="LRE17" s="1"/>
      <c r="LRF17" s="1"/>
      <c r="LRG17" s="1"/>
      <c r="LRH17" s="1"/>
      <c r="LRI17" s="1"/>
      <c r="LRJ17" s="1"/>
      <c r="LRK17" s="1"/>
      <c r="LRL17" s="1"/>
      <c r="LRM17" s="1"/>
      <c r="LRN17" s="1"/>
      <c r="LRO17" s="1"/>
      <c r="LRP17" s="1"/>
      <c r="LRQ17" s="1"/>
      <c r="LRR17" s="1"/>
      <c r="LRS17" s="1"/>
      <c r="LRT17" s="1"/>
      <c r="LRU17" s="1"/>
      <c r="LRV17" s="1"/>
      <c r="LRW17" s="1"/>
      <c r="LRX17" s="1"/>
      <c r="LRY17" s="1"/>
      <c r="LRZ17" s="1"/>
      <c r="LSA17" s="1"/>
      <c r="LSB17" s="1"/>
      <c r="LSC17" s="1"/>
      <c r="LSD17" s="1"/>
      <c r="LSE17" s="1"/>
      <c r="LSF17" s="1"/>
      <c r="LSG17" s="1"/>
      <c r="LSH17" s="1"/>
      <c r="LSI17" s="1"/>
      <c r="LSJ17" s="1"/>
      <c r="LSK17" s="1"/>
      <c r="LSL17" s="1"/>
      <c r="LSM17" s="1"/>
      <c r="LSN17" s="1"/>
      <c r="LSO17" s="1"/>
      <c r="LSP17" s="1"/>
      <c r="LSQ17" s="1"/>
      <c r="LSR17" s="1"/>
      <c r="LSS17" s="1"/>
      <c r="LST17" s="1"/>
      <c r="LSU17" s="1"/>
      <c r="LSV17" s="1"/>
      <c r="LSW17" s="1"/>
      <c r="LSX17" s="1"/>
      <c r="LSY17" s="1"/>
      <c r="LSZ17" s="1"/>
      <c r="LTA17" s="1"/>
      <c r="LTB17" s="1"/>
      <c r="LTC17" s="1"/>
      <c r="LTD17" s="1"/>
      <c r="LTE17" s="1"/>
      <c r="LTF17" s="1"/>
      <c r="LTG17" s="1"/>
      <c r="LTH17" s="1"/>
      <c r="LTI17" s="1"/>
      <c r="LTJ17" s="1"/>
      <c r="LTK17" s="1"/>
      <c r="LTL17" s="1"/>
      <c r="LTM17" s="1"/>
      <c r="LTN17" s="1"/>
      <c r="LTO17" s="1"/>
      <c r="LTP17" s="1"/>
      <c r="LTQ17" s="1"/>
      <c r="LTR17" s="1"/>
      <c r="LTS17" s="1"/>
      <c r="LTT17" s="1"/>
      <c r="LTU17" s="1"/>
      <c r="LTV17" s="1"/>
      <c r="LTW17" s="1"/>
      <c r="LTX17" s="1"/>
      <c r="LTY17" s="1"/>
      <c r="LTZ17" s="1"/>
      <c r="LUA17" s="1"/>
      <c r="LUB17" s="1"/>
      <c r="LUC17" s="1"/>
      <c r="LUD17" s="1"/>
      <c r="LUE17" s="1"/>
      <c r="LUF17" s="1"/>
      <c r="LUG17" s="1"/>
      <c r="LUH17" s="1"/>
      <c r="LUI17" s="1"/>
      <c r="LUJ17" s="1"/>
      <c r="LUK17" s="1"/>
      <c r="LUL17" s="1"/>
      <c r="LUM17" s="1"/>
      <c r="LUN17" s="1"/>
      <c r="LUO17" s="1"/>
      <c r="LUP17" s="1"/>
      <c r="LUQ17" s="1"/>
      <c r="LUR17" s="1"/>
      <c r="LUS17" s="1"/>
      <c r="LUT17" s="1"/>
      <c r="LUU17" s="1"/>
      <c r="LUV17" s="1"/>
      <c r="LUW17" s="1"/>
      <c r="LUX17" s="1"/>
      <c r="LUY17" s="1"/>
      <c r="LUZ17" s="1"/>
      <c r="LVA17" s="1"/>
      <c r="LVB17" s="1"/>
      <c r="LVC17" s="1"/>
      <c r="LVD17" s="1"/>
      <c r="LVE17" s="1"/>
      <c r="LVF17" s="1"/>
      <c r="LVG17" s="1"/>
      <c r="LVH17" s="1"/>
      <c r="LVI17" s="1"/>
      <c r="LVJ17" s="1"/>
      <c r="LVK17" s="1"/>
      <c r="LVL17" s="1"/>
      <c r="LVM17" s="1"/>
      <c r="LVN17" s="1"/>
      <c r="LVO17" s="1"/>
      <c r="LVP17" s="1"/>
      <c r="LVQ17" s="1"/>
      <c r="LVR17" s="1"/>
      <c r="LVS17" s="1"/>
      <c r="LVT17" s="1"/>
      <c r="LVU17" s="1"/>
      <c r="LVV17" s="1"/>
      <c r="LVW17" s="1"/>
      <c r="LVX17" s="1"/>
      <c r="LVY17" s="1"/>
      <c r="LVZ17" s="1"/>
      <c r="LWA17" s="1"/>
      <c r="LWB17" s="1"/>
      <c r="LWC17" s="1"/>
      <c r="LWD17" s="1"/>
      <c r="LWE17" s="1"/>
      <c r="LWF17" s="1"/>
      <c r="LWG17" s="1"/>
      <c r="LWH17" s="1"/>
      <c r="LWI17" s="1"/>
      <c r="LWJ17" s="1"/>
      <c r="LWK17" s="1"/>
      <c r="LWL17" s="1"/>
      <c r="LWM17" s="1"/>
      <c r="LWN17" s="1"/>
      <c r="LWO17" s="1"/>
      <c r="LWP17" s="1"/>
      <c r="LWQ17" s="1"/>
      <c r="LWR17" s="1"/>
      <c r="LWS17" s="1"/>
      <c r="LWT17" s="1"/>
      <c r="LWU17" s="1"/>
      <c r="LWV17" s="1"/>
      <c r="LWW17" s="1"/>
      <c r="LWX17" s="1"/>
      <c r="LWY17" s="1"/>
      <c r="LWZ17" s="1"/>
      <c r="LXA17" s="1"/>
      <c r="LXB17" s="1"/>
      <c r="LXC17" s="1"/>
      <c r="LXD17" s="1"/>
      <c r="LXE17" s="1"/>
      <c r="LXF17" s="1"/>
      <c r="LXG17" s="1"/>
      <c r="LXH17" s="1"/>
      <c r="LXI17" s="1"/>
      <c r="LXJ17" s="1"/>
      <c r="LXK17" s="1"/>
      <c r="LXL17" s="1"/>
      <c r="LXM17" s="1"/>
      <c r="LXN17" s="1"/>
      <c r="LXO17" s="1"/>
      <c r="LXP17" s="1"/>
      <c r="LXQ17" s="1"/>
      <c r="LXR17" s="1"/>
      <c r="LXS17" s="1"/>
      <c r="LXT17" s="1"/>
      <c r="LXU17" s="1"/>
      <c r="LXV17" s="1"/>
      <c r="LXW17" s="1"/>
      <c r="LXX17" s="1"/>
      <c r="LXY17" s="1"/>
      <c r="LXZ17" s="1"/>
      <c r="LYA17" s="1"/>
      <c r="LYB17" s="1"/>
      <c r="LYC17" s="1"/>
      <c r="LYD17" s="1"/>
      <c r="LYE17" s="1"/>
      <c r="LYF17" s="1"/>
      <c r="LYG17" s="1"/>
      <c r="LYH17" s="1"/>
      <c r="LYI17" s="1"/>
      <c r="LYJ17" s="1"/>
      <c r="LYK17" s="1"/>
      <c r="LYL17" s="1"/>
      <c r="LYM17" s="1"/>
      <c r="LYN17" s="1"/>
      <c r="LYO17" s="1"/>
      <c r="LYP17" s="1"/>
      <c r="LYQ17" s="1"/>
      <c r="LYR17" s="1"/>
      <c r="LYS17" s="1"/>
      <c r="LYT17" s="1"/>
      <c r="LYU17" s="1"/>
      <c r="LYV17" s="1"/>
      <c r="LYW17" s="1"/>
      <c r="LYX17" s="1"/>
      <c r="LYY17" s="1"/>
      <c r="LYZ17" s="1"/>
      <c r="LZA17" s="1"/>
      <c r="LZB17" s="1"/>
      <c r="LZC17" s="1"/>
      <c r="LZD17" s="1"/>
      <c r="LZE17" s="1"/>
      <c r="LZF17" s="1"/>
      <c r="LZG17" s="1"/>
      <c r="LZH17" s="1"/>
      <c r="LZI17" s="1"/>
      <c r="LZJ17" s="1"/>
      <c r="LZK17" s="1"/>
      <c r="LZL17" s="1"/>
      <c r="LZM17" s="1"/>
      <c r="LZN17" s="1"/>
      <c r="LZO17" s="1"/>
      <c r="LZP17" s="1"/>
      <c r="LZQ17" s="1"/>
      <c r="LZR17" s="1"/>
      <c r="LZS17" s="1"/>
      <c r="LZT17" s="1"/>
      <c r="LZU17" s="1"/>
      <c r="LZV17" s="1"/>
      <c r="LZW17" s="1"/>
      <c r="LZX17" s="1"/>
      <c r="LZY17" s="1"/>
      <c r="LZZ17" s="1"/>
      <c r="MAA17" s="1"/>
      <c r="MAB17" s="1"/>
      <c r="MAC17" s="1"/>
      <c r="MAD17" s="1"/>
      <c r="MAE17" s="1"/>
      <c r="MAF17" s="1"/>
      <c r="MAG17" s="1"/>
      <c r="MAH17" s="1"/>
      <c r="MAI17" s="1"/>
      <c r="MAJ17" s="1"/>
      <c r="MAK17" s="1"/>
      <c r="MAL17" s="1"/>
      <c r="MAM17" s="1"/>
      <c r="MAN17" s="1"/>
      <c r="MAO17" s="1"/>
      <c r="MAP17" s="1"/>
      <c r="MAQ17" s="1"/>
      <c r="MAR17" s="1"/>
      <c r="MAS17" s="1"/>
      <c r="MAT17" s="1"/>
      <c r="MAU17" s="1"/>
      <c r="MAV17" s="1"/>
      <c r="MAW17" s="1"/>
      <c r="MAX17" s="1"/>
      <c r="MAY17" s="1"/>
      <c r="MAZ17" s="1"/>
      <c r="MBA17" s="1"/>
      <c r="MBB17" s="1"/>
      <c r="MBC17" s="1"/>
      <c r="MBD17" s="1"/>
      <c r="MBE17" s="1"/>
      <c r="MBF17" s="1"/>
      <c r="MBG17" s="1"/>
      <c r="MBH17" s="1"/>
      <c r="MBI17" s="1"/>
      <c r="MBJ17" s="1"/>
      <c r="MBK17" s="1"/>
      <c r="MBL17" s="1"/>
      <c r="MBM17" s="1"/>
      <c r="MBN17" s="1"/>
      <c r="MBO17" s="1"/>
      <c r="MBP17" s="1"/>
      <c r="MBQ17" s="1"/>
      <c r="MBR17" s="1"/>
      <c r="MBS17" s="1"/>
      <c r="MBT17" s="1"/>
      <c r="MBU17" s="1"/>
      <c r="MBV17" s="1"/>
      <c r="MBW17" s="1"/>
      <c r="MBX17" s="1"/>
      <c r="MBY17" s="1"/>
      <c r="MBZ17" s="1"/>
      <c r="MCA17" s="1"/>
      <c r="MCB17" s="1"/>
      <c r="MCC17" s="1"/>
      <c r="MCD17" s="1"/>
      <c r="MCE17" s="1"/>
      <c r="MCF17" s="1"/>
      <c r="MCG17" s="1"/>
      <c r="MCH17" s="1"/>
      <c r="MCI17" s="1"/>
      <c r="MCJ17" s="1"/>
      <c r="MCK17" s="1"/>
      <c r="MCL17" s="1"/>
      <c r="MCM17" s="1"/>
      <c r="MCN17" s="1"/>
      <c r="MCO17" s="1"/>
      <c r="MCP17" s="1"/>
      <c r="MCQ17" s="1"/>
      <c r="MCR17" s="1"/>
      <c r="MCS17" s="1"/>
      <c r="MCT17" s="1"/>
      <c r="MCU17" s="1"/>
      <c r="MCV17" s="1"/>
      <c r="MCW17" s="1"/>
      <c r="MCX17" s="1"/>
      <c r="MCY17" s="1"/>
      <c r="MCZ17" s="1"/>
      <c r="MDA17" s="1"/>
      <c r="MDB17" s="1"/>
      <c r="MDC17" s="1"/>
      <c r="MDD17" s="1"/>
      <c r="MDE17" s="1"/>
      <c r="MDF17" s="1"/>
      <c r="MDG17" s="1"/>
      <c r="MDH17" s="1"/>
      <c r="MDI17" s="1"/>
      <c r="MDJ17" s="1"/>
      <c r="MDK17" s="1"/>
      <c r="MDL17" s="1"/>
      <c r="MDM17" s="1"/>
      <c r="MDN17" s="1"/>
      <c r="MDO17" s="1"/>
      <c r="MDP17" s="1"/>
      <c r="MDQ17" s="1"/>
      <c r="MDR17" s="1"/>
      <c r="MDS17" s="1"/>
      <c r="MDT17" s="1"/>
      <c r="MDU17" s="1"/>
      <c r="MDV17" s="1"/>
      <c r="MDW17" s="1"/>
      <c r="MDX17" s="1"/>
      <c r="MDY17" s="1"/>
      <c r="MDZ17" s="1"/>
      <c r="MEA17" s="1"/>
      <c r="MEB17" s="1"/>
      <c r="MEC17" s="1"/>
      <c r="MED17" s="1"/>
      <c r="MEE17" s="1"/>
      <c r="MEF17" s="1"/>
      <c r="MEG17" s="1"/>
      <c r="MEH17" s="1"/>
      <c r="MEI17" s="1"/>
      <c r="MEJ17" s="1"/>
      <c r="MEK17" s="1"/>
      <c r="MEL17" s="1"/>
      <c r="MEM17" s="1"/>
      <c r="MEN17" s="1"/>
      <c r="MEO17" s="1"/>
      <c r="MEP17" s="1"/>
      <c r="MEQ17" s="1"/>
      <c r="MER17" s="1"/>
      <c r="MES17" s="1"/>
      <c r="MET17" s="1"/>
      <c r="MEU17" s="1"/>
      <c r="MEV17" s="1"/>
      <c r="MEW17" s="1"/>
      <c r="MEX17" s="1"/>
      <c r="MEY17" s="1"/>
      <c r="MEZ17" s="1"/>
      <c r="MFA17" s="1"/>
      <c r="MFB17" s="1"/>
      <c r="MFC17" s="1"/>
      <c r="MFD17" s="1"/>
      <c r="MFE17" s="1"/>
      <c r="MFF17" s="1"/>
      <c r="MFG17" s="1"/>
      <c r="MFH17" s="1"/>
      <c r="MFI17" s="1"/>
      <c r="MFJ17" s="1"/>
      <c r="MFK17" s="1"/>
      <c r="MFL17" s="1"/>
      <c r="MFM17" s="1"/>
      <c r="MFN17" s="1"/>
      <c r="MFO17" s="1"/>
      <c r="MFP17" s="1"/>
      <c r="MFQ17" s="1"/>
      <c r="MFR17" s="1"/>
      <c r="MFS17" s="1"/>
      <c r="MFT17" s="1"/>
      <c r="MFU17" s="1"/>
      <c r="MFV17" s="1"/>
      <c r="MFW17" s="1"/>
      <c r="MFX17" s="1"/>
      <c r="MFY17" s="1"/>
      <c r="MFZ17" s="1"/>
      <c r="MGA17" s="1"/>
      <c r="MGB17" s="1"/>
      <c r="MGC17" s="1"/>
      <c r="MGD17" s="1"/>
      <c r="MGE17" s="1"/>
      <c r="MGF17" s="1"/>
      <c r="MGG17" s="1"/>
      <c r="MGH17" s="1"/>
      <c r="MGI17" s="1"/>
      <c r="MGJ17" s="1"/>
      <c r="MGK17" s="1"/>
      <c r="MGL17" s="1"/>
      <c r="MGM17" s="1"/>
      <c r="MGN17" s="1"/>
      <c r="MGO17" s="1"/>
      <c r="MGP17" s="1"/>
      <c r="MGQ17" s="1"/>
      <c r="MGR17" s="1"/>
      <c r="MGS17" s="1"/>
      <c r="MGT17" s="1"/>
      <c r="MGU17" s="1"/>
      <c r="MGV17" s="1"/>
      <c r="MGW17" s="1"/>
      <c r="MGX17" s="1"/>
      <c r="MGY17" s="1"/>
      <c r="MGZ17" s="1"/>
      <c r="MHA17" s="1"/>
      <c r="MHB17" s="1"/>
      <c r="MHC17" s="1"/>
      <c r="MHD17" s="1"/>
      <c r="MHE17" s="1"/>
      <c r="MHF17" s="1"/>
      <c r="MHG17" s="1"/>
      <c r="MHH17" s="1"/>
      <c r="MHI17" s="1"/>
      <c r="MHJ17" s="1"/>
      <c r="MHK17" s="1"/>
      <c r="MHL17" s="1"/>
      <c r="MHM17" s="1"/>
      <c r="MHN17" s="1"/>
      <c r="MHO17" s="1"/>
      <c r="MHP17" s="1"/>
      <c r="MHQ17" s="1"/>
      <c r="MHR17" s="1"/>
      <c r="MHS17" s="1"/>
      <c r="MHT17" s="1"/>
      <c r="MHU17" s="1"/>
      <c r="MHV17" s="1"/>
      <c r="MHW17" s="1"/>
      <c r="MHX17" s="1"/>
      <c r="MHY17" s="1"/>
      <c r="MHZ17" s="1"/>
      <c r="MIA17" s="1"/>
      <c r="MIB17" s="1"/>
      <c r="MIC17" s="1"/>
      <c r="MID17" s="1"/>
      <c r="MIE17" s="1"/>
      <c r="MIF17" s="1"/>
      <c r="MIG17" s="1"/>
      <c r="MIH17" s="1"/>
      <c r="MII17" s="1"/>
      <c r="MIJ17" s="1"/>
      <c r="MIK17" s="1"/>
      <c r="MIL17" s="1"/>
      <c r="MIM17" s="1"/>
      <c r="MIN17" s="1"/>
      <c r="MIO17" s="1"/>
      <c r="MIP17" s="1"/>
      <c r="MIQ17" s="1"/>
      <c r="MIR17" s="1"/>
      <c r="MIS17" s="1"/>
      <c r="MIT17" s="1"/>
      <c r="MIU17" s="1"/>
      <c r="MIV17" s="1"/>
      <c r="MIW17" s="1"/>
      <c r="MIX17" s="1"/>
      <c r="MIY17" s="1"/>
      <c r="MIZ17" s="1"/>
      <c r="MJA17" s="1"/>
      <c r="MJB17" s="1"/>
      <c r="MJC17" s="1"/>
      <c r="MJD17" s="1"/>
      <c r="MJE17" s="1"/>
      <c r="MJF17" s="1"/>
      <c r="MJG17" s="1"/>
      <c r="MJH17" s="1"/>
      <c r="MJI17" s="1"/>
      <c r="MJJ17" s="1"/>
      <c r="MJK17" s="1"/>
      <c r="MJL17" s="1"/>
      <c r="MJM17" s="1"/>
      <c r="MJN17" s="1"/>
      <c r="MJO17" s="1"/>
      <c r="MJP17" s="1"/>
      <c r="MJQ17" s="1"/>
      <c r="MJR17" s="1"/>
      <c r="MJS17" s="1"/>
      <c r="MJT17" s="1"/>
      <c r="MJU17" s="1"/>
      <c r="MJV17" s="1"/>
      <c r="MJW17" s="1"/>
      <c r="MJX17" s="1"/>
      <c r="MJY17" s="1"/>
      <c r="MJZ17" s="1"/>
      <c r="MKA17" s="1"/>
      <c r="MKB17" s="1"/>
      <c r="MKC17" s="1"/>
      <c r="MKD17" s="1"/>
      <c r="MKE17" s="1"/>
      <c r="MKF17" s="1"/>
      <c r="MKG17" s="1"/>
      <c r="MKH17" s="1"/>
      <c r="MKI17" s="1"/>
      <c r="MKJ17" s="1"/>
      <c r="MKK17" s="1"/>
      <c r="MKL17" s="1"/>
      <c r="MKM17" s="1"/>
      <c r="MKN17" s="1"/>
      <c r="MKO17" s="1"/>
      <c r="MKP17" s="1"/>
      <c r="MKQ17" s="1"/>
      <c r="MKR17" s="1"/>
      <c r="MKS17" s="1"/>
      <c r="MKT17" s="1"/>
      <c r="MKU17" s="1"/>
      <c r="MKV17" s="1"/>
      <c r="MKW17" s="1"/>
      <c r="MKX17" s="1"/>
      <c r="MKY17" s="1"/>
      <c r="MKZ17" s="1"/>
      <c r="MLA17" s="1"/>
      <c r="MLB17" s="1"/>
      <c r="MLC17" s="1"/>
      <c r="MLD17" s="1"/>
      <c r="MLE17" s="1"/>
      <c r="MLF17" s="1"/>
      <c r="MLG17" s="1"/>
      <c r="MLH17" s="1"/>
      <c r="MLI17" s="1"/>
      <c r="MLJ17" s="1"/>
      <c r="MLK17" s="1"/>
      <c r="MLL17" s="1"/>
      <c r="MLM17" s="1"/>
      <c r="MLN17" s="1"/>
      <c r="MLO17" s="1"/>
      <c r="MLP17" s="1"/>
      <c r="MLQ17" s="1"/>
      <c r="MLR17" s="1"/>
      <c r="MLS17" s="1"/>
      <c r="MLT17" s="1"/>
      <c r="MLU17" s="1"/>
      <c r="MLV17" s="1"/>
      <c r="MLW17" s="1"/>
      <c r="MLX17" s="1"/>
      <c r="MLY17" s="1"/>
      <c r="MLZ17" s="1"/>
      <c r="MMA17" s="1"/>
      <c r="MMB17" s="1"/>
      <c r="MMC17" s="1"/>
      <c r="MMD17" s="1"/>
      <c r="MME17" s="1"/>
      <c r="MMF17" s="1"/>
      <c r="MMG17" s="1"/>
      <c r="MMH17" s="1"/>
      <c r="MMI17" s="1"/>
      <c r="MMJ17" s="1"/>
      <c r="MMK17" s="1"/>
      <c r="MML17" s="1"/>
      <c r="MMM17" s="1"/>
      <c r="MMN17" s="1"/>
      <c r="MMO17" s="1"/>
      <c r="MMP17" s="1"/>
      <c r="MMQ17" s="1"/>
      <c r="MMR17" s="1"/>
      <c r="MMS17" s="1"/>
      <c r="MMT17" s="1"/>
      <c r="MMU17" s="1"/>
      <c r="MMV17" s="1"/>
      <c r="MMW17" s="1"/>
      <c r="MMX17" s="1"/>
      <c r="MMY17" s="1"/>
      <c r="MMZ17" s="1"/>
      <c r="MNA17" s="1"/>
      <c r="MNB17" s="1"/>
      <c r="MNC17" s="1"/>
      <c r="MND17" s="1"/>
      <c r="MNE17" s="1"/>
      <c r="MNF17" s="1"/>
      <c r="MNG17" s="1"/>
      <c r="MNH17" s="1"/>
      <c r="MNI17" s="1"/>
      <c r="MNJ17" s="1"/>
      <c r="MNK17" s="1"/>
      <c r="MNL17" s="1"/>
      <c r="MNM17" s="1"/>
      <c r="MNN17" s="1"/>
      <c r="MNO17" s="1"/>
      <c r="MNP17" s="1"/>
      <c r="MNQ17" s="1"/>
      <c r="MNR17" s="1"/>
      <c r="MNS17" s="1"/>
      <c r="MNT17" s="1"/>
      <c r="MNU17" s="1"/>
      <c r="MNV17" s="1"/>
      <c r="MNW17" s="1"/>
      <c r="MNX17" s="1"/>
      <c r="MNY17" s="1"/>
      <c r="MNZ17" s="1"/>
      <c r="MOA17" s="1"/>
      <c r="MOB17" s="1"/>
      <c r="MOC17" s="1"/>
      <c r="MOD17" s="1"/>
      <c r="MOE17" s="1"/>
      <c r="MOF17" s="1"/>
      <c r="MOG17" s="1"/>
      <c r="MOH17" s="1"/>
      <c r="MOI17" s="1"/>
      <c r="MOJ17" s="1"/>
      <c r="MOK17" s="1"/>
      <c r="MOL17" s="1"/>
      <c r="MOM17" s="1"/>
      <c r="MON17" s="1"/>
      <c r="MOO17" s="1"/>
      <c r="MOP17" s="1"/>
      <c r="MOQ17" s="1"/>
      <c r="MOR17" s="1"/>
      <c r="MOS17" s="1"/>
      <c r="MOT17" s="1"/>
      <c r="MOU17" s="1"/>
      <c r="MOV17" s="1"/>
      <c r="MOW17" s="1"/>
      <c r="MOX17" s="1"/>
      <c r="MOY17" s="1"/>
      <c r="MOZ17" s="1"/>
      <c r="MPA17" s="1"/>
      <c r="MPB17" s="1"/>
      <c r="MPC17" s="1"/>
      <c r="MPD17" s="1"/>
      <c r="MPE17" s="1"/>
      <c r="MPF17" s="1"/>
      <c r="MPG17" s="1"/>
      <c r="MPH17" s="1"/>
      <c r="MPI17" s="1"/>
      <c r="MPJ17" s="1"/>
      <c r="MPK17" s="1"/>
      <c r="MPL17" s="1"/>
      <c r="MPM17" s="1"/>
      <c r="MPN17" s="1"/>
      <c r="MPO17" s="1"/>
      <c r="MPP17" s="1"/>
      <c r="MPQ17" s="1"/>
      <c r="MPR17" s="1"/>
      <c r="MPS17" s="1"/>
      <c r="MPT17" s="1"/>
      <c r="MPU17" s="1"/>
      <c r="MPV17" s="1"/>
      <c r="MPW17" s="1"/>
      <c r="MPX17" s="1"/>
      <c r="MPY17" s="1"/>
      <c r="MPZ17" s="1"/>
      <c r="MQA17" s="1"/>
      <c r="MQB17" s="1"/>
      <c r="MQC17" s="1"/>
      <c r="MQD17" s="1"/>
      <c r="MQE17" s="1"/>
      <c r="MQF17" s="1"/>
      <c r="MQG17" s="1"/>
      <c r="MQH17" s="1"/>
      <c r="MQI17" s="1"/>
      <c r="MQJ17" s="1"/>
      <c r="MQK17" s="1"/>
      <c r="MQL17" s="1"/>
      <c r="MQM17" s="1"/>
      <c r="MQN17" s="1"/>
      <c r="MQO17" s="1"/>
      <c r="MQP17" s="1"/>
      <c r="MQQ17" s="1"/>
      <c r="MQR17" s="1"/>
      <c r="MQS17" s="1"/>
      <c r="MQT17" s="1"/>
      <c r="MQU17" s="1"/>
      <c r="MQV17" s="1"/>
      <c r="MQW17" s="1"/>
      <c r="MQX17" s="1"/>
      <c r="MQY17" s="1"/>
      <c r="MQZ17" s="1"/>
      <c r="MRA17" s="1"/>
      <c r="MRB17" s="1"/>
      <c r="MRC17" s="1"/>
      <c r="MRD17" s="1"/>
      <c r="MRE17" s="1"/>
      <c r="MRF17" s="1"/>
      <c r="MRG17" s="1"/>
      <c r="MRH17" s="1"/>
      <c r="MRI17" s="1"/>
      <c r="MRJ17" s="1"/>
      <c r="MRK17" s="1"/>
      <c r="MRL17" s="1"/>
      <c r="MRM17" s="1"/>
      <c r="MRN17" s="1"/>
      <c r="MRO17" s="1"/>
      <c r="MRP17" s="1"/>
      <c r="MRQ17" s="1"/>
      <c r="MRR17" s="1"/>
      <c r="MRS17" s="1"/>
      <c r="MRT17" s="1"/>
      <c r="MRU17" s="1"/>
      <c r="MRV17" s="1"/>
      <c r="MRW17" s="1"/>
      <c r="MRX17" s="1"/>
      <c r="MRY17" s="1"/>
      <c r="MRZ17" s="1"/>
      <c r="MSA17" s="1"/>
      <c r="MSB17" s="1"/>
      <c r="MSC17" s="1"/>
      <c r="MSD17" s="1"/>
      <c r="MSE17" s="1"/>
      <c r="MSF17" s="1"/>
      <c r="MSG17" s="1"/>
      <c r="MSH17" s="1"/>
      <c r="MSI17" s="1"/>
      <c r="MSJ17" s="1"/>
      <c r="MSK17" s="1"/>
      <c r="MSL17" s="1"/>
      <c r="MSM17" s="1"/>
      <c r="MSN17" s="1"/>
      <c r="MSO17" s="1"/>
      <c r="MSP17" s="1"/>
      <c r="MSQ17" s="1"/>
      <c r="MSR17" s="1"/>
      <c r="MSS17" s="1"/>
      <c r="MST17" s="1"/>
      <c r="MSU17" s="1"/>
      <c r="MSV17" s="1"/>
      <c r="MSW17" s="1"/>
      <c r="MSX17" s="1"/>
      <c r="MSY17" s="1"/>
      <c r="MSZ17" s="1"/>
      <c r="MTA17" s="1"/>
      <c r="MTB17" s="1"/>
      <c r="MTC17" s="1"/>
      <c r="MTD17" s="1"/>
      <c r="MTE17" s="1"/>
      <c r="MTF17" s="1"/>
      <c r="MTG17" s="1"/>
      <c r="MTH17" s="1"/>
      <c r="MTI17" s="1"/>
      <c r="MTJ17" s="1"/>
      <c r="MTK17" s="1"/>
      <c r="MTL17" s="1"/>
      <c r="MTM17" s="1"/>
      <c r="MTN17" s="1"/>
      <c r="MTO17" s="1"/>
      <c r="MTP17" s="1"/>
      <c r="MTQ17" s="1"/>
      <c r="MTR17" s="1"/>
      <c r="MTS17" s="1"/>
      <c r="MTT17" s="1"/>
      <c r="MTU17" s="1"/>
      <c r="MTV17" s="1"/>
      <c r="MTW17" s="1"/>
      <c r="MTX17" s="1"/>
      <c r="MTY17" s="1"/>
      <c r="MTZ17" s="1"/>
      <c r="MUA17" s="1"/>
      <c r="MUB17" s="1"/>
      <c r="MUC17" s="1"/>
      <c r="MUD17" s="1"/>
      <c r="MUE17" s="1"/>
      <c r="MUF17" s="1"/>
      <c r="MUG17" s="1"/>
      <c r="MUH17" s="1"/>
      <c r="MUI17" s="1"/>
      <c r="MUJ17" s="1"/>
      <c r="MUK17" s="1"/>
      <c r="MUL17" s="1"/>
      <c r="MUM17" s="1"/>
      <c r="MUN17" s="1"/>
      <c r="MUO17" s="1"/>
      <c r="MUP17" s="1"/>
      <c r="MUQ17" s="1"/>
      <c r="MUR17" s="1"/>
      <c r="MUS17" s="1"/>
      <c r="MUT17" s="1"/>
      <c r="MUU17" s="1"/>
      <c r="MUV17" s="1"/>
      <c r="MUW17" s="1"/>
      <c r="MUX17" s="1"/>
      <c r="MUY17" s="1"/>
      <c r="MUZ17" s="1"/>
      <c r="MVA17" s="1"/>
      <c r="MVB17" s="1"/>
      <c r="MVC17" s="1"/>
      <c r="MVD17" s="1"/>
      <c r="MVE17" s="1"/>
      <c r="MVF17" s="1"/>
      <c r="MVG17" s="1"/>
      <c r="MVH17" s="1"/>
      <c r="MVI17" s="1"/>
      <c r="MVJ17" s="1"/>
      <c r="MVK17" s="1"/>
      <c r="MVL17" s="1"/>
      <c r="MVM17" s="1"/>
      <c r="MVN17" s="1"/>
      <c r="MVO17" s="1"/>
      <c r="MVP17" s="1"/>
      <c r="MVQ17" s="1"/>
      <c r="MVR17" s="1"/>
      <c r="MVS17" s="1"/>
      <c r="MVT17" s="1"/>
      <c r="MVU17" s="1"/>
      <c r="MVV17" s="1"/>
      <c r="MVW17" s="1"/>
      <c r="MVX17" s="1"/>
      <c r="MVY17" s="1"/>
      <c r="MVZ17" s="1"/>
      <c r="MWA17" s="1"/>
      <c r="MWB17" s="1"/>
      <c r="MWC17" s="1"/>
      <c r="MWD17" s="1"/>
      <c r="MWE17" s="1"/>
      <c r="MWF17" s="1"/>
      <c r="MWG17" s="1"/>
      <c r="MWH17" s="1"/>
      <c r="MWI17" s="1"/>
      <c r="MWJ17" s="1"/>
      <c r="MWK17" s="1"/>
      <c r="MWL17" s="1"/>
      <c r="MWM17" s="1"/>
      <c r="MWN17" s="1"/>
      <c r="MWO17" s="1"/>
      <c r="MWP17" s="1"/>
      <c r="MWQ17" s="1"/>
      <c r="MWR17" s="1"/>
      <c r="MWS17" s="1"/>
      <c r="MWT17" s="1"/>
      <c r="MWU17" s="1"/>
      <c r="MWV17" s="1"/>
      <c r="MWW17" s="1"/>
      <c r="MWX17" s="1"/>
      <c r="MWY17" s="1"/>
      <c r="MWZ17" s="1"/>
      <c r="MXA17" s="1"/>
      <c r="MXB17" s="1"/>
      <c r="MXC17" s="1"/>
      <c r="MXD17" s="1"/>
      <c r="MXE17" s="1"/>
      <c r="MXF17" s="1"/>
      <c r="MXG17" s="1"/>
      <c r="MXH17" s="1"/>
      <c r="MXI17" s="1"/>
      <c r="MXJ17" s="1"/>
      <c r="MXK17" s="1"/>
      <c r="MXL17" s="1"/>
      <c r="MXM17" s="1"/>
      <c r="MXN17" s="1"/>
      <c r="MXO17" s="1"/>
      <c r="MXP17" s="1"/>
      <c r="MXQ17" s="1"/>
      <c r="MXR17" s="1"/>
      <c r="MXS17" s="1"/>
      <c r="MXT17" s="1"/>
      <c r="MXU17" s="1"/>
      <c r="MXV17" s="1"/>
      <c r="MXW17" s="1"/>
      <c r="MXX17" s="1"/>
      <c r="MXY17" s="1"/>
      <c r="MXZ17" s="1"/>
      <c r="MYA17" s="1"/>
      <c r="MYB17" s="1"/>
      <c r="MYC17" s="1"/>
      <c r="MYD17" s="1"/>
      <c r="MYE17" s="1"/>
      <c r="MYF17" s="1"/>
      <c r="MYG17" s="1"/>
      <c r="MYH17" s="1"/>
      <c r="MYI17" s="1"/>
      <c r="MYJ17" s="1"/>
      <c r="MYK17" s="1"/>
      <c r="MYL17" s="1"/>
      <c r="MYM17" s="1"/>
      <c r="MYN17" s="1"/>
      <c r="MYO17" s="1"/>
      <c r="MYP17" s="1"/>
      <c r="MYQ17" s="1"/>
      <c r="MYR17" s="1"/>
      <c r="MYS17" s="1"/>
      <c r="MYT17" s="1"/>
      <c r="MYU17" s="1"/>
      <c r="MYV17" s="1"/>
      <c r="MYW17" s="1"/>
      <c r="MYX17" s="1"/>
      <c r="MYY17" s="1"/>
      <c r="MYZ17" s="1"/>
      <c r="MZA17" s="1"/>
      <c r="MZB17" s="1"/>
      <c r="MZC17" s="1"/>
      <c r="MZD17" s="1"/>
      <c r="MZE17" s="1"/>
      <c r="MZF17" s="1"/>
      <c r="MZG17" s="1"/>
      <c r="MZH17" s="1"/>
      <c r="MZI17" s="1"/>
      <c r="MZJ17" s="1"/>
      <c r="MZK17" s="1"/>
      <c r="MZL17" s="1"/>
      <c r="MZM17" s="1"/>
      <c r="MZN17" s="1"/>
      <c r="MZO17" s="1"/>
      <c r="MZP17" s="1"/>
      <c r="MZQ17" s="1"/>
      <c r="MZR17" s="1"/>
      <c r="MZS17" s="1"/>
      <c r="MZT17" s="1"/>
      <c r="MZU17" s="1"/>
      <c r="MZV17" s="1"/>
      <c r="MZW17" s="1"/>
      <c r="MZX17" s="1"/>
      <c r="MZY17" s="1"/>
      <c r="MZZ17" s="1"/>
      <c r="NAA17" s="1"/>
      <c r="NAB17" s="1"/>
      <c r="NAC17" s="1"/>
      <c r="NAD17" s="1"/>
      <c r="NAE17" s="1"/>
      <c r="NAF17" s="1"/>
      <c r="NAG17" s="1"/>
      <c r="NAH17" s="1"/>
      <c r="NAI17" s="1"/>
      <c r="NAJ17" s="1"/>
      <c r="NAK17" s="1"/>
      <c r="NAL17" s="1"/>
      <c r="NAM17" s="1"/>
      <c r="NAN17" s="1"/>
      <c r="NAO17" s="1"/>
      <c r="NAP17" s="1"/>
      <c r="NAQ17" s="1"/>
      <c r="NAR17" s="1"/>
      <c r="NAS17" s="1"/>
      <c r="NAT17" s="1"/>
      <c r="NAU17" s="1"/>
      <c r="NAV17" s="1"/>
      <c r="NAW17" s="1"/>
      <c r="NAX17" s="1"/>
      <c r="NAY17" s="1"/>
      <c r="NAZ17" s="1"/>
      <c r="NBA17" s="1"/>
      <c r="NBB17" s="1"/>
      <c r="NBC17" s="1"/>
      <c r="NBD17" s="1"/>
      <c r="NBE17" s="1"/>
      <c r="NBF17" s="1"/>
      <c r="NBG17" s="1"/>
      <c r="NBH17" s="1"/>
      <c r="NBI17" s="1"/>
      <c r="NBJ17" s="1"/>
      <c r="NBK17" s="1"/>
      <c r="NBL17" s="1"/>
      <c r="NBM17" s="1"/>
      <c r="NBN17" s="1"/>
      <c r="NBO17" s="1"/>
      <c r="NBP17" s="1"/>
      <c r="NBQ17" s="1"/>
      <c r="NBR17" s="1"/>
      <c r="NBS17" s="1"/>
      <c r="NBT17" s="1"/>
      <c r="NBU17" s="1"/>
      <c r="NBV17" s="1"/>
      <c r="NBW17" s="1"/>
      <c r="NBX17" s="1"/>
      <c r="NBY17" s="1"/>
      <c r="NBZ17" s="1"/>
      <c r="NCA17" s="1"/>
      <c r="NCB17" s="1"/>
      <c r="NCC17" s="1"/>
      <c r="NCD17" s="1"/>
      <c r="NCE17" s="1"/>
      <c r="NCF17" s="1"/>
      <c r="NCG17" s="1"/>
      <c r="NCH17" s="1"/>
      <c r="NCI17" s="1"/>
      <c r="NCJ17" s="1"/>
      <c r="NCK17" s="1"/>
      <c r="NCL17" s="1"/>
      <c r="NCM17" s="1"/>
      <c r="NCN17" s="1"/>
      <c r="NCO17" s="1"/>
      <c r="NCP17" s="1"/>
      <c r="NCQ17" s="1"/>
      <c r="NCR17" s="1"/>
      <c r="NCS17" s="1"/>
      <c r="NCT17" s="1"/>
      <c r="NCU17" s="1"/>
      <c r="NCV17" s="1"/>
      <c r="NCW17" s="1"/>
      <c r="NCX17" s="1"/>
      <c r="NCY17" s="1"/>
      <c r="NCZ17" s="1"/>
      <c r="NDA17" s="1"/>
      <c r="NDB17" s="1"/>
      <c r="NDC17" s="1"/>
      <c r="NDD17" s="1"/>
      <c r="NDE17" s="1"/>
      <c r="NDF17" s="1"/>
      <c r="NDG17" s="1"/>
      <c r="NDH17" s="1"/>
      <c r="NDI17" s="1"/>
      <c r="NDJ17" s="1"/>
      <c r="NDK17" s="1"/>
      <c r="NDL17" s="1"/>
      <c r="NDM17" s="1"/>
      <c r="NDN17" s="1"/>
      <c r="NDO17" s="1"/>
      <c r="NDP17" s="1"/>
      <c r="NDQ17" s="1"/>
      <c r="NDR17" s="1"/>
      <c r="NDS17" s="1"/>
      <c r="NDT17" s="1"/>
      <c r="NDU17" s="1"/>
      <c r="NDV17" s="1"/>
      <c r="NDW17" s="1"/>
      <c r="NDX17" s="1"/>
      <c r="NDY17" s="1"/>
      <c r="NDZ17" s="1"/>
      <c r="NEA17" s="1"/>
      <c r="NEB17" s="1"/>
      <c r="NEC17" s="1"/>
      <c r="NED17" s="1"/>
      <c r="NEE17" s="1"/>
      <c r="NEF17" s="1"/>
      <c r="NEG17" s="1"/>
      <c r="NEH17" s="1"/>
      <c r="NEI17" s="1"/>
      <c r="NEJ17" s="1"/>
      <c r="NEK17" s="1"/>
      <c r="NEL17" s="1"/>
      <c r="NEM17" s="1"/>
      <c r="NEN17" s="1"/>
      <c r="NEO17" s="1"/>
      <c r="NEP17" s="1"/>
      <c r="NEQ17" s="1"/>
      <c r="NER17" s="1"/>
      <c r="NES17" s="1"/>
      <c r="NET17" s="1"/>
      <c r="NEU17" s="1"/>
      <c r="NEV17" s="1"/>
      <c r="NEW17" s="1"/>
      <c r="NEX17" s="1"/>
      <c r="NEY17" s="1"/>
      <c r="NEZ17" s="1"/>
      <c r="NFA17" s="1"/>
      <c r="NFB17" s="1"/>
      <c r="NFC17" s="1"/>
      <c r="NFD17" s="1"/>
      <c r="NFE17" s="1"/>
      <c r="NFF17" s="1"/>
      <c r="NFG17" s="1"/>
      <c r="NFH17" s="1"/>
      <c r="NFI17" s="1"/>
      <c r="NFJ17" s="1"/>
      <c r="NFK17" s="1"/>
      <c r="NFL17" s="1"/>
      <c r="NFM17" s="1"/>
      <c r="NFN17" s="1"/>
      <c r="NFO17" s="1"/>
      <c r="NFP17" s="1"/>
      <c r="NFQ17" s="1"/>
      <c r="NFR17" s="1"/>
      <c r="NFS17" s="1"/>
      <c r="NFT17" s="1"/>
      <c r="NFU17" s="1"/>
      <c r="NFV17" s="1"/>
      <c r="NFW17" s="1"/>
      <c r="NFX17" s="1"/>
      <c r="NFY17" s="1"/>
      <c r="NFZ17" s="1"/>
      <c r="NGA17" s="1"/>
      <c r="NGB17" s="1"/>
      <c r="NGC17" s="1"/>
      <c r="NGD17" s="1"/>
      <c r="NGE17" s="1"/>
      <c r="NGF17" s="1"/>
      <c r="NGG17" s="1"/>
      <c r="NGH17" s="1"/>
      <c r="NGI17" s="1"/>
      <c r="NGJ17" s="1"/>
      <c r="NGK17" s="1"/>
      <c r="NGL17" s="1"/>
      <c r="NGM17" s="1"/>
      <c r="NGN17" s="1"/>
      <c r="NGO17" s="1"/>
      <c r="NGP17" s="1"/>
      <c r="NGQ17" s="1"/>
      <c r="NGR17" s="1"/>
      <c r="NGS17" s="1"/>
      <c r="NGT17" s="1"/>
      <c r="NGU17" s="1"/>
      <c r="NGV17" s="1"/>
      <c r="NGW17" s="1"/>
      <c r="NGX17" s="1"/>
      <c r="NGY17" s="1"/>
      <c r="NGZ17" s="1"/>
      <c r="NHA17" s="1"/>
      <c r="NHB17" s="1"/>
      <c r="NHC17" s="1"/>
      <c r="NHD17" s="1"/>
      <c r="NHE17" s="1"/>
      <c r="NHF17" s="1"/>
      <c r="NHG17" s="1"/>
      <c r="NHH17" s="1"/>
      <c r="NHI17" s="1"/>
      <c r="NHJ17" s="1"/>
      <c r="NHK17" s="1"/>
      <c r="NHL17" s="1"/>
      <c r="NHM17" s="1"/>
      <c r="NHN17" s="1"/>
      <c r="NHO17" s="1"/>
      <c r="NHP17" s="1"/>
      <c r="NHQ17" s="1"/>
      <c r="NHR17" s="1"/>
      <c r="NHS17" s="1"/>
      <c r="NHT17" s="1"/>
      <c r="NHU17" s="1"/>
      <c r="NHV17" s="1"/>
      <c r="NHW17" s="1"/>
      <c r="NHX17" s="1"/>
      <c r="NHY17" s="1"/>
      <c r="NHZ17" s="1"/>
      <c r="NIA17" s="1"/>
      <c r="NIB17" s="1"/>
      <c r="NIC17" s="1"/>
      <c r="NID17" s="1"/>
      <c r="NIE17" s="1"/>
      <c r="NIF17" s="1"/>
      <c r="NIG17" s="1"/>
      <c r="NIH17" s="1"/>
      <c r="NII17" s="1"/>
      <c r="NIJ17" s="1"/>
      <c r="NIK17" s="1"/>
      <c r="NIL17" s="1"/>
      <c r="NIM17" s="1"/>
      <c r="NIN17" s="1"/>
      <c r="NIO17" s="1"/>
      <c r="NIP17" s="1"/>
      <c r="NIQ17" s="1"/>
      <c r="NIR17" s="1"/>
      <c r="NIS17" s="1"/>
      <c r="NIT17" s="1"/>
      <c r="NIU17" s="1"/>
      <c r="NIV17" s="1"/>
      <c r="NIW17" s="1"/>
      <c r="NIX17" s="1"/>
      <c r="NIY17" s="1"/>
      <c r="NIZ17" s="1"/>
      <c r="NJA17" s="1"/>
      <c r="NJB17" s="1"/>
      <c r="NJC17" s="1"/>
      <c r="NJD17" s="1"/>
      <c r="NJE17" s="1"/>
      <c r="NJF17" s="1"/>
      <c r="NJG17" s="1"/>
      <c r="NJH17" s="1"/>
      <c r="NJI17" s="1"/>
      <c r="NJJ17" s="1"/>
      <c r="NJK17" s="1"/>
      <c r="NJL17" s="1"/>
      <c r="NJM17" s="1"/>
      <c r="NJN17" s="1"/>
      <c r="NJO17" s="1"/>
      <c r="NJP17" s="1"/>
      <c r="NJQ17" s="1"/>
      <c r="NJR17" s="1"/>
      <c r="NJS17" s="1"/>
      <c r="NJT17" s="1"/>
      <c r="NJU17" s="1"/>
      <c r="NJV17" s="1"/>
      <c r="NJW17" s="1"/>
      <c r="NJX17" s="1"/>
      <c r="NJY17" s="1"/>
      <c r="NJZ17" s="1"/>
      <c r="NKA17" s="1"/>
      <c r="NKB17" s="1"/>
      <c r="NKC17" s="1"/>
      <c r="NKD17" s="1"/>
      <c r="NKE17" s="1"/>
      <c r="NKF17" s="1"/>
      <c r="NKG17" s="1"/>
      <c r="NKH17" s="1"/>
      <c r="NKI17" s="1"/>
      <c r="NKJ17" s="1"/>
      <c r="NKK17" s="1"/>
      <c r="NKL17" s="1"/>
      <c r="NKM17" s="1"/>
      <c r="NKN17" s="1"/>
      <c r="NKO17" s="1"/>
      <c r="NKP17" s="1"/>
      <c r="NKQ17" s="1"/>
      <c r="NKR17" s="1"/>
      <c r="NKS17" s="1"/>
      <c r="NKT17" s="1"/>
      <c r="NKU17" s="1"/>
      <c r="NKV17" s="1"/>
      <c r="NKW17" s="1"/>
      <c r="NKX17" s="1"/>
      <c r="NKY17" s="1"/>
      <c r="NKZ17" s="1"/>
      <c r="NLA17" s="1"/>
      <c r="NLB17" s="1"/>
      <c r="NLC17" s="1"/>
      <c r="NLD17" s="1"/>
      <c r="NLE17" s="1"/>
      <c r="NLF17" s="1"/>
      <c r="NLG17" s="1"/>
      <c r="NLH17" s="1"/>
      <c r="NLI17" s="1"/>
      <c r="NLJ17" s="1"/>
      <c r="NLK17" s="1"/>
      <c r="NLL17" s="1"/>
      <c r="NLM17" s="1"/>
      <c r="NLN17" s="1"/>
      <c r="NLO17" s="1"/>
      <c r="NLP17" s="1"/>
      <c r="NLQ17" s="1"/>
      <c r="NLR17" s="1"/>
      <c r="NLS17" s="1"/>
      <c r="NLT17" s="1"/>
      <c r="NLU17" s="1"/>
      <c r="NLV17" s="1"/>
      <c r="NLW17" s="1"/>
      <c r="NLX17" s="1"/>
      <c r="NLY17" s="1"/>
      <c r="NLZ17" s="1"/>
      <c r="NMA17" s="1"/>
      <c r="NMB17" s="1"/>
      <c r="NMC17" s="1"/>
      <c r="NMD17" s="1"/>
      <c r="NME17" s="1"/>
      <c r="NMF17" s="1"/>
      <c r="NMG17" s="1"/>
      <c r="NMH17" s="1"/>
      <c r="NMI17" s="1"/>
      <c r="NMJ17" s="1"/>
      <c r="NMK17" s="1"/>
      <c r="NML17" s="1"/>
      <c r="NMM17" s="1"/>
      <c r="NMN17" s="1"/>
      <c r="NMO17" s="1"/>
      <c r="NMP17" s="1"/>
      <c r="NMQ17" s="1"/>
      <c r="NMR17" s="1"/>
      <c r="NMS17" s="1"/>
      <c r="NMT17" s="1"/>
      <c r="NMU17" s="1"/>
      <c r="NMV17" s="1"/>
      <c r="NMW17" s="1"/>
      <c r="NMX17" s="1"/>
      <c r="NMY17" s="1"/>
      <c r="NMZ17" s="1"/>
      <c r="NNA17" s="1"/>
      <c r="NNB17" s="1"/>
      <c r="NNC17" s="1"/>
      <c r="NND17" s="1"/>
      <c r="NNE17" s="1"/>
      <c r="NNF17" s="1"/>
      <c r="NNG17" s="1"/>
      <c r="NNH17" s="1"/>
      <c r="NNI17" s="1"/>
      <c r="NNJ17" s="1"/>
      <c r="NNK17" s="1"/>
      <c r="NNL17" s="1"/>
      <c r="NNM17" s="1"/>
      <c r="NNN17" s="1"/>
      <c r="NNO17" s="1"/>
      <c r="NNP17" s="1"/>
      <c r="NNQ17" s="1"/>
      <c r="NNR17" s="1"/>
      <c r="NNS17" s="1"/>
      <c r="NNT17" s="1"/>
      <c r="NNU17" s="1"/>
      <c r="NNV17" s="1"/>
      <c r="NNW17" s="1"/>
      <c r="NNX17" s="1"/>
      <c r="NNY17" s="1"/>
      <c r="NNZ17" s="1"/>
      <c r="NOA17" s="1"/>
      <c r="NOB17" s="1"/>
      <c r="NOC17" s="1"/>
      <c r="NOD17" s="1"/>
      <c r="NOE17" s="1"/>
      <c r="NOF17" s="1"/>
      <c r="NOG17" s="1"/>
      <c r="NOH17" s="1"/>
      <c r="NOI17" s="1"/>
      <c r="NOJ17" s="1"/>
      <c r="NOK17" s="1"/>
      <c r="NOL17" s="1"/>
      <c r="NOM17" s="1"/>
      <c r="NON17" s="1"/>
      <c r="NOO17" s="1"/>
      <c r="NOP17" s="1"/>
      <c r="NOQ17" s="1"/>
      <c r="NOR17" s="1"/>
      <c r="NOS17" s="1"/>
      <c r="NOT17" s="1"/>
      <c r="NOU17" s="1"/>
      <c r="NOV17" s="1"/>
      <c r="NOW17" s="1"/>
      <c r="NOX17" s="1"/>
      <c r="NOY17" s="1"/>
      <c r="NOZ17" s="1"/>
      <c r="NPA17" s="1"/>
      <c r="NPB17" s="1"/>
      <c r="NPC17" s="1"/>
      <c r="NPD17" s="1"/>
      <c r="NPE17" s="1"/>
      <c r="NPF17" s="1"/>
      <c r="NPG17" s="1"/>
      <c r="NPH17" s="1"/>
      <c r="NPI17" s="1"/>
      <c r="NPJ17" s="1"/>
      <c r="NPK17" s="1"/>
      <c r="NPL17" s="1"/>
      <c r="NPM17" s="1"/>
      <c r="NPN17" s="1"/>
      <c r="NPO17" s="1"/>
      <c r="NPP17" s="1"/>
      <c r="NPQ17" s="1"/>
      <c r="NPR17" s="1"/>
      <c r="NPS17" s="1"/>
      <c r="NPT17" s="1"/>
      <c r="NPU17" s="1"/>
      <c r="NPV17" s="1"/>
      <c r="NPW17" s="1"/>
      <c r="NPX17" s="1"/>
      <c r="NPY17" s="1"/>
      <c r="NPZ17" s="1"/>
      <c r="NQA17" s="1"/>
      <c r="NQB17" s="1"/>
      <c r="NQC17" s="1"/>
      <c r="NQD17" s="1"/>
      <c r="NQE17" s="1"/>
      <c r="NQF17" s="1"/>
      <c r="NQG17" s="1"/>
      <c r="NQH17" s="1"/>
      <c r="NQI17" s="1"/>
      <c r="NQJ17" s="1"/>
      <c r="NQK17" s="1"/>
      <c r="NQL17" s="1"/>
      <c r="NQM17" s="1"/>
      <c r="NQN17" s="1"/>
      <c r="NQO17" s="1"/>
      <c r="NQP17" s="1"/>
      <c r="NQQ17" s="1"/>
      <c r="NQR17" s="1"/>
      <c r="NQS17" s="1"/>
      <c r="NQT17" s="1"/>
      <c r="NQU17" s="1"/>
      <c r="NQV17" s="1"/>
      <c r="NQW17" s="1"/>
      <c r="NQX17" s="1"/>
      <c r="NQY17" s="1"/>
      <c r="NQZ17" s="1"/>
      <c r="NRA17" s="1"/>
      <c r="NRB17" s="1"/>
      <c r="NRC17" s="1"/>
      <c r="NRD17" s="1"/>
      <c r="NRE17" s="1"/>
      <c r="NRF17" s="1"/>
      <c r="NRG17" s="1"/>
      <c r="NRH17" s="1"/>
      <c r="NRI17" s="1"/>
      <c r="NRJ17" s="1"/>
      <c r="NRK17" s="1"/>
      <c r="NRL17" s="1"/>
      <c r="NRM17" s="1"/>
      <c r="NRN17" s="1"/>
      <c r="NRO17" s="1"/>
      <c r="NRP17" s="1"/>
      <c r="NRQ17" s="1"/>
      <c r="NRR17" s="1"/>
      <c r="NRS17" s="1"/>
      <c r="NRT17" s="1"/>
      <c r="NRU17" s="1"/>
      <c r="NRV17" s="1"/>
      <c r="NRW17" s="1"/>
      <c r="NRX17" s="1"/>
      <c r="NRY17" s="1"/>
      <c r="NRZ17" s="1"/>
      <c r="NSA17" s="1"/>
      <c r="NSB17" s="1"/>
      <c r="NSC17" s="1"/>
      <c r="NSD17" s="1"/>
      <c r="NSE17" s="1"/>
      <c r="NSF17" s="1"/>
      <c r="NSG17" s="1"/>
      <c r="NSH17" s="1"/>
      <c r="NSI17" s="1"/>
      <c r="NSJ17" s="1"/>
      <c r="NSK17" s="1"/>
      <c r="NSL17" s="1"/>
      <c r="NSM17" s="1"/>
      <c r="NSN17" s="1"/>
      <c r="NSO17" s="1"/>
      <c r="NSP17" s="1"/>
      <c r="NSQ17" s="1"/>
      <c r="NSR17" s="1"/>
      <c r="NSS17" s="1"/>
      <c r="NST17" s="1"/>
      <c r="NSU17" s="1"/>
      <c r="NSV17" s="1"/>
      <c r="NSW17" s="1"/>
      <c r="NSX17" s="1"/>
      <c r="NSY17" s="1"/>
      <c r="NSZ17" s="1"/>
      <c r="NTA17" s="1"/>
      <c r="NTB17" s="1"/>
      <c r="NTC17" s="1"/>
      <c r="NTD17" s="1"/>
      <c r="NTE17" s="1"/>
      <c r="NTF17" s="1"/>
      <c r="NTG17" s="1"/>
      <c r="NTH17" s="1"/>
      <c r="NTI17" s="1"/>
      <c r="NTJ17" s="1"/>
      <c r="NTK17" s="1"/>
      <c r="NTL17" s="1"/>
      <c r="NTM17" s="1"/>
      <c r="NTN17" s="1"/>
      <c r="NTO17" s="1"/>
      <c r="NTP17" s="1"/>
      <c r="NTQ17" s="1"/>
      <c r="NTR17" s="1"/>
      <c r="NTS17" s="1"/>
      <c r="NTT17" s="1"/>
      <c r="NTU17" s="1"/>
      <c r="NTV17" s="1"/>
      <c r="NTW17" s="1"/>
      <c r="NTX17" s="1"/>
      <c r="NTY17" s="1"/>
      <c r="NTZ17" s="1"/>
      <c r="NUA17" s="1"/>
      <c r="NUB17" s="1"/>
      <c r="NUC17" s="1"/>
      <c r="NUD17" s="1"/>
      <c r="NUE17" s="1"/>
      <c r="NUF17" s="1"/>
      <c r="NUG17" s="1"/>
      <c r="NUH17" s="1"/>
      <c r="NUI17" s="1"/>
      <c r="NUJ17" s="1"/>
      <c r="NUK17" s="1"/>
      <c r="NUL17" s="1"/>
      <c r="NUM17" s="1"/>
      <c r="NUN17" s="1"/>
      <c r="NUO17" s="1"/>
      <c r="NUP17" s="1"/>
      <c r="NUQ17" s="1"/>
      <c r="NUR17" s="1"/>
      <c r="NUS17" s="1"/>
      <c r="NUT17" s="1"/>
      <c r="NUU17" s="1"/>
      <c r="NUV17" s="1"/>
      <c r="NUW17" s="1"/>
      <c r="NUX17" s="1"/>
      <c r="NUY17" s="1"/>
      <c r="NUZ17" s="1"/>
      <c r="NVA17" s="1"/>
      <c r="NVB17" s="1"/>
      <c r="NVC17" s="1"/>
      <c r="NVD17" s="1"/>
      <c r="NVE17" s="1"/>
      <c r="NVF17" s="1"/>
      <c r="NVG17" s="1"/>
      <c r="NVH17" s="1"/>
      <c r="NVI17" s="1"/>
      <c r="NVJ17" s="1"/>
      <c r="NVK17" s="1"/>
      <c r="NVL17" s="1"/>
      <c r="NVM17" s="1"/>
      <c r="NVN17" s="1"/>
      <c r="NVO17" s="1"/>
      <c r="NVP17" s="1"/>
      <c r="NVQ17" s="1"/>
      <c r="NVR17" s="1"/>
      <c r="NVS17" s="1"/>
      <c r="NVT17" s="1"/>
      <c r="NVU17" s="1"/>
      <c r="NVV17" s="1"/>
      <c r="NVW17" s="1"/>
      <c r="NVX17" s="1"/>
      <c r="NVY17" s="1"/>
      <c r="NVZ17" s="1"/>
      <c r="NWA17" s="1"/>
      <c r="NWB17" s="1"/>
      <c r="NWC17" s="1"/>
      <c r="NWD17" s="1"/>
      <c r="NWE17" s="1"/>
      <c r="NWF17" s="1"/>
      <c r="NWG17" s="1"/>
      <c r="NWH17" s="1"/>
      <c r="NWI17" s="1"/>
      <c r="NWJ17" s="1"/>
      <c r="NWK17" s="1"/>
      <c r="NWL17" s="1"/>
      <c r="NWM17" s="1"/>
      <c r="NWN17" s="1"/>
      <c r="NWO17" s="1"/>
      <c r="NWP17" s="1"/>
      <c r="NWQ17" s="1"/>
      <c r="NWR17" s="1"/>
      <c r="NWS17" s="1"/>
      <c r="NWT17" s="1"/>
      <c r="NWU17" s="1"/>
      <c r="NWV17" s="1"/>
      <c r="NWW17" s="1"/>
      <c r="NWX17" s="1"/>
      <c r="NWY17" s="1"/>
      <c r="NWZ17" s="1"/>
      <c r="NXA17" s="1"/>
      <c r="NXB17" s="1"/>
      <c r="NXC17" s="1"/>
      <c r="NXD17" s="1"/>
      <c r="NXE17" s="1"/>
      <c r="NXF17" s="1"/>
      <c r="NXG17" s="1"/>
      <c r="NXH17" s="1"/>
      <c r="NXI17" s="1"/>
      <c r="NXJ17" s="1"/>
      <c r="NXK17" s="1"/>
      <c r="NXL17" s="1"/>
      <c r="NXM17" s="1"/>
      <c r="NXN17" s="1"/>
      <c r="NXO17" s="1"/>
      <c r="NXP17" s="1"/>
      <c r="NXQ17" s="1"/>
      <c r="NXR17" s="1"/>
      <c r="NXS17" s="1"/>
      <c r="NXT17" s="1"/>
      <c r="NXU17" s="1"/>
      <c r="NXV17" s="1"/>
      <c r="NXW17" s="1"/>
      <c r="NXX17" s="1"/>
      <c r="NXY17" s="1"/>
      <c r="NXZ17" s="1"/>
      <c r="NYA17" s="1"/>
      <c r="NYB17" s="1"/>
      <c r="NYC17" s="1"/>
      <c r="NYD17" s="1"/>
      <c r="NYE17" s="1"/>
      <c r="NYF17" s="1"/>
      <c r="NYG17" s="1"/>
      <c r="NYH17" s="1"/>
      <c r="NYI17" s="1"/>
      <c r="NYJ17" s="1"/>
      <c r="NYK17" s="1"/>
      <c r="NYL17" s="1"/>
      <c r="NYM17" s="1"/>
      <c r="NYN17" s="1"/>
      <c r="NYO17" s="1"/>
      <c r="NYP17" s="1"/>
      <c r="NYQ17" s="1"/>
      <c r="NYR17" s="1"/>
      <c r="NYS17" s="1"/>
      <c r="NYT17" s="1"/>
      <c r="NYU17" s="1"/>
      <c r="NYV17" s="1"/>
      <c r="NYW17" s="1"/>
      <c r="NYX17" s="1"/>
      <c r="NYY17" s="1"/>
      <c r="NYZ17" s="1"/>
      <c r="NZA17" s="1"/>
      <c r="NZB17" s="1"/>
      <c r="NZC17" s="1"/>
      <c r="NZD17" s="1"/>
      <c r="NZE17" s="1"/>
      <c r="NZF17" s="1"/>
      <c r="NZG17" s="1"/>
      <c r="NZH17" s="1"/>
      <c r="NZI17" s="1"/>
      <c r="NZJ17" s="1"/>
      <c r="NZK17" s="1"/>
      <c r="NZL17" s="1"/>
      <c r="NZM17" s="1"/>
      <c r="NZN17" s="1"/>
      <c r="NZO17" s="1"/>
      <c r="NZP17" s="1"/>
      <c r="NZQ17" s="1"/>
      <c r="NZR17" s="1"/>
      <c r="NZS17" s="1"/>
      <c r="NZT17" s="1"/>
      <c r="NZU17" s="1"/>
      <c r="NZV17" s="1"/>
      <c r="NZW17" s="1"/>
      <c r="NZX17" s="1"/>
      <c r="NZY17" s="1"/>
      <c r="NZZ17" s="1"/>
      <c r="OAA17" s="1"/>
      <c r="OAB17" s="1"/>
      <c r="OAC17" s="1"/>
      <c r="OAD17" s="1"/>
      <c r="OAE17" s="1"/>
      <c r="OAF17" s="1"/>
      <c r="OAG17" s="1"/>
      <c r="OAH17" s="1"/>
      <c r="OAI17" s="1"/>
      <c r="OAJ17" s="1"/>
      <c r="OAK17" s="1"/>
      <c r="OAL17" s="1"/>
      <c r="OAM17" s="1"/>
      <c r="OAN17" s="1"/>
      <c r="OAO17" s="1"/>
      <c r="OAP17" s="1"/>
      <c r="OAQ17" s="1"/>
      <c r="OAR17" s="1"/>
      <c r="OAS17" s="1"/>
      <c r="OAT17" s="1"/>
      <c r="OAU17" s="1"/>
      <c r="OAV17" s="1"/>
      <c r="OAW17" s="1"/>
      <c r="OAX17" s="1"/>
      <c r="OAY17" s="1"/>
      <c r="OAZ17" s="1"/>
      <c r="OBA17" s="1"/>
      <c r="OBB17" s="1"/>
      <c r="OBC17" s="1"/>
      <c r="OBD17" s="1"/>
      <c r="OBE17" s="1"/>
      <c r="OBF17" s="1"/>
      <c r="OBG17" s="1"/>
      <c r="OBH17" s="1"/>
      <c r="OBI17" s="1"/>
      <c r="OBJ17" s="1"/>
      <c r="OBK17" s="1"/>
      <c r="OBL17" s="1"/>
      <c r="OBM17" s="1"/>
      <c r="OBN17" s="1"/>
      <c r="OBO17" s="1"/>
      <c r="OBP17" s="1"/>
      <c r="OBQ17" s="1"/>
      <c r="OBR17" s="1"/>
      <c r="OBS17" s="1"/>
      <c r="OBT17" s="1"/>
      <c r="OBU17" s="1"/>
      <c r="OBV17" s="1"/>
      <c r="OBW17" s="1"/>
      <c r="OBX17" s="1"/>
      <c r="OBY17" s="1"/>
      <c r="OBZ17" s="1"/>
      <c r="OCA17" s="1"/>
      <c r="OCB17" s="1"/>
      <c r="OCC17" s="1"/>
      <c r="OCD17" s="1"/>
      <c r="OCE17" s="1"/>
      <c r="OCF17" s="1"/>
      <c r="OCG17" s="1"/>
      <c r="OCH17" s="1"/>
      <c r="OCI17" s="1"/>
      <c r="OCJ17" s="1"/>
      <c r="OCK17" s="1"/>
      <c r="OCL17" s="1"/>
      <c r="OCM17" s="1"/>
      <c r="OCN17" s="1"/>
      <c r="OCO17" s="1"/>
      <c r="OCP17" s="1"/>
      <c r="OCQ17" s="1"/>
      <c r="OCR17" s="1"/>
      <c r="OCS17" s="1"/>
      <c r="OCT17" s="1"/>
      <c r="OCU17" s="1"/>
      <c r="OCV17" s="1"/>
      <c r="OCW17" s="1"/>
      <c r="OCX17" s="1"/>
      <c r="OCY17" s="1"/>
      <c r="OCZ17" s="1"/>
      <c r="ODA17" s="1"/>
      <c r="ODB17" s="1"/>
      <c r="ODC17" s="1"/>
      <c r="ODD17" s="1"/>
      <c r="ODE17" s="1"/>
      <c r="ODF17" s="1"/>
      <c r="ODG17" s="1"/>
      <c r="ODH17" s="1"/>
      <c r="ODI17" s="1"/>
      <c r="ODJ17" s="1"/>
      <c r="ODK17" s="1"/>
      <c r="ODL17" s="1"/>
      <c r="ODM17" s="1"/>
      <c r="ODN17" s="1"/>
      <c r="ODO17" s="1"/>
      <c r="ODP17" s="1"/>
      <c r="ODQ17" s="1"/>
      <c r="ODR17" s="1"/>
      <c r="ODS17" s="1"/>
      <c r="ODT17" s="1"/>
      <c r="ODU17" s="1"/>
      <c r="ODV17" s="1"/>
      <c r="ODW17" s="1"/>
      <c r="ODX17" s="1"/>
      <c r="ODY17" s="1"/>
      <c r="ODZ17" s="1"/>
      <c r="OEA17" s="1"/>
      <c r="OEB17" s="1"/>
      <c r="OEC17" s="1"/>
      <c r="OED17" s="1"/>
      <c r="OEE17" s="1"/>
      <c r="OEF17" s="1"/>
      <c r="OEG17" s="1"/>
      <c r="OEH17" s="1"/>
      <c r="OEI17" s="1"/>
      <c r="OEJ17" s="1"/>
      <c r="OEK17" s="1"/>
      <c r="OEL17" s="1"/>
      <c r="OEM17" s="1"/>
      <c r="OEN17" s="1"/>
      <c r="OEO17" s="1"/>
      <c r="OEP17" s="1"/>
      <c r="OEQ17" s="1"/>
      <c r="OER17" s="1"/>
      <c r="OES17" s="1"/>
      <c r="OET17" s="1"/>
      <c r="OEU17" s="1"/>
      <c r="OEV17" s="1"/>
      <c r="OEW17" s="1"/>
      <c r="OEX17" s="1"/>
      <c r="OEY17" s="1"/>
      <c r="OEZ17" s="1"/>
      <c r="OFA17" s="1"/>
      <c r="OFB17" s="1"/>
      <c r="OFC17" s="1"/>
      <c r="OFD17" s="1"/>
      <c r="OFE17" s="1"/>
      <c r="OFF17" s="1"/>
      <c r="OFG17" s="1"/>
      <c r="OFH17" s="1"/>
      <c r="OFI17" s="1"/>
      <c r="OFJ17" s="1"/>
      <c r="OFK17" s="1"/>
      <c r="OFL17" s="1"/>
      <c r="OFM17" s="1"/>
      <c r="OFN17" s="1"/>
      <c r="OFO17" s="1"/>
      <c r="OFP17" s="1"/>
      <c r="OFQ17" s="1"/>
      <c r="OFR17" s="1"/>
      <c r="OFS17" s="1"/>
      <c r="OFT17" s="1"/>
      <c r="OFU17" s="1"/>
      <c r="OFV17" s="1"/>
      <c r="OFW17" s="1"/>
      <c r="OFX17" s="1"/>
      <c r="OFY17" s="1"/>
      <c r="OFZ17" s="1"/>
      <c r="OGA17" s="1"/>
      <c r="OGB17" s="1"/>
      <c r="OGC17" s="1"/>
      <c r="OGD17" s="1"/>
      <c r="OGE17" s="1"/>
      <c r="OGF17" s="1"/>
      <c r="OGG17" s="1"/>
      <c r="OGH17" s="1"/>
      <c r="OGI17" s="1"/>
      <c r="OGJ17" s="1"/>
      <c r="OGK17" s="1"/>
      <c r="OGL17" s="1"/>
      <c r="OGM17" s="1"/>
      <c r="OGN17" s="1"/>
      <c r="OGO17" s="1"/>
      <c r="OGP17" s="1"/>
      <c r="OGQ17" s="1"/>
      <c r="OGR17" s="1"/>
      <c r="OGS17" s="1"/>
      <c r="OGT17" s="1"/>
      <c r="OGU17" s="1"/>
      <c r="OGV17" s="1"/>
      <c r="OGW17" s="1"/>
      <c r="OGX17" s="1"/>
      <c r="OGY17" s="1"/>
      <c r="OGZ17" s="1"/>
      <c r="OHA17" s="1"/>
      <c r="OHB17" s="1"/>
      <c r="OHC17" s="1"/>
      <c r="OHD17" s="1"/>
      <c r="OHE17" s="1"/>
      <c r="OHF17" s="1"/>
      <c r="OHG17" s="1"/>
      <c r="OHH17" s="1"/>
      <c r="OHI17" s="1"/>
      <c r="OHJ17" s="1"/>
      <c r="OHK17" s="1"/>
      <c r="OHL17" s="1"/>
      <c r="OHM17" s="1"/>
      <c r="OHN17" s="1"/>
      <c r="OHO17" s="1"/>
      <c r="OHP17" s="1"/>
      <c r="OHQ17" s="1"/>
      <c r="OHR17" s="1"/>
      <c r="OHS17" s="1"/>
      <c r="OHT17" s="1"/>
      <c r="OHU17" s="1"/>
      <c r="OHV17" s="1"/>
      <c r="OHW17" s="1"/>
      <c r="OHX17" s="1"/>
      <c r="OHY17" s="1"/>
      <c r="OHZ17" s="1"/>
      <c r="OIA17" s="1"/>
      <c r="OIB17" s="1"/>
      <c r="OIC17" s="1"/>
      <c r="OID17" s="1"/>
      <c r="OIE17" s="1"/>
      <c r="OIF17" s="1"/>
      <c r="OIG17" s="1"/>
      <c r="OIH17" s="1"/>
      <c r="OII17" s="1"/>
      <c r="OIJ17" s="1"/>
      <c r="OIK17" s="1"/>
      <c r="OIL17" s="1"/>
      <c r="OIM17" s="1"/>
      <c r="OIN17" s="1"/>
      <c r="OIO17" s="1"/>
      <c r="OIP17" s="1"/>
      <c r="OIQ17" s="1"/>
      <c r="OIR17" s="1"/>
      <c r="OIS17" s="1"/>
      <c r="OIT17" s="1"/>
      <c r="OIU17" s="1"/>
      <c r="OIV17" s="1"/>
      <c r="OIW17" s="1"/>
      <c r="OIX17" s="1"/>
      <c r="OIY17" s="1"/>
      <c r="OIZ17" s="1"/>
      <c r="OJA17" s="1"/>
      <c r="OJB17" s="1"/>
      <c r="OJC17" s="1"/>
      <c r="OJD17" s="1"/>
      <c r="OJE17" s="1"/>
      <c r="OJF17" s="1"/>
      <c r="OJG17" s="1"/>
      <c r="OJH17" s="1"/>
      <c r="OJI17" s="1"/>
      <c r="OJJ17" s="1"/>
      <c r="OJK17" s="1"/>
      <c r="OJL17" s="1"/>
      <c r="OJM17" s="1"/>
      <c r="OJN17" s="1"/>
      <c r="OJO17" s="1"/>
      <c r="OJP17" s="1"/>
      <c r="OJQ17" s="1"/>
      <c r="OJR17" s="1"/>
      <c r="OJS17" s="1"/>
      <c r="OJT17" s="1"/>
      <c r="OJU17" s="1"/>
      <c r="OJV17" s="1"/>
      <c r="OJW17" s="1"/>
      <c r="OJX17" s="1"/>
      <c r="OJY17" s="1"/>
      <c r="OJZ17" s="1"/>
      <c r="OKA17" s="1"/>
      <c r="OKB17" s="1"/>
      <c r="OKC17" s="1"/>
      <c r="OKD17" s="1"/>
      <c r="OKE17" s="1"/>
      <c r="OKF17" s="1"/>
      <c r="OKG17" s="1"/>
      <c r="OKH17" s="1"/>
      <c r="OKI17" s="1"/>
      <c r="OKJ17" s="1"/>
      <c r="OKK17" s="1"/>
      <c r="OKL17" s="1"/>
      <c r="OKM17" s="1"/>
      <c r="OKN17" s="1"/>
      <c r="OKO17" s="1"/>
      <c r="OKP17" s="1"/>
      <c r="OKQ17" s="1"/>
      <c r="OKR17" s="1"/>
      <c r="OKS17" s="1"/>
      <c r="OKT17" s="1"/>
      <c r="OKU17" s="1"/>
      <c r="OKV17" s="1"/>
      <c r="OKW17" s="1"/>
      <c r="OKX17" s="1"/>
      <c r="OKY17" s="1"/>
      <c r="OKZ17" s="1"/>
      <c r="OLA17" s="1"/>
      <c r="OLB17" s="1"/>
      <c r="OLC17" s="1"/>
      <c r="OLD17" s="1"/>
      <c r="OLE17" s="1"/>
      <c r="OLF17" s="1"/>
      <c r="OLG17" s="1"/>
      <c r="OLH17" s="1"/>
      <c r="OLI17" s="1"/>
      <c r="OLJ17" s="1"/>
      <c r="OLK17" s="1"/>
      <c r="OLL17" s="1"/>
      <c r="OLM17" s="1"/>
      <c r="OLN17" s="1"/>
      <c r="OLO17" s="1"/>
      <c r="OLP17" s="1"/>
      <c r="OLQ17" s="1"/>
      <c r="OLR17" s="1"/>
      <c r="OLS17" s="1"/>
      <c r="OLT17" s="1"/>
      <c r="OLU17" s="1"/>
      <c r="OLV17" s="1"/>
      <c r="OLW17" s="1"/>
      <c r="OLX17" s="1"/>
      <c r="OLY17" s="1"/>
      <c r="OLZ17" s="1"/>
      <c r="OMA17" s="1"/>
      <c r="OMB17" s="1"/>
      <c r="OMC17" s="1"/>
      <c r="OMD17" s="1"/>
      <c r="OME17" s="1"/>
      <c r="OMF17" s="1"/>
      <c r="OMG17" s="1"/>
      <c r="OMH17" s="1"/>
      <c r="OMI17" s="1"/>
      <c r="OMJ17" s="1"/>
      <c r="OMK17" s="1"/>
      <c r="OML17" s="1"/>
      <c r="OMM17" s="1"/>
      <c r="OMN17" s="1"/>
      <c r="OMO17" s="1"/>
      <c r="OMP17" s="1"/>
      <c r="OMQ17" s="1"/>
      <c r="OMR17" s="1"/>
      <c r="OMS17" s="1"/>
      <c r="OMT17" s="1"/>
      <c r="OMU17" s="1"/>
      <c r="OMV17" s="1"/>
      <c r="OMW17" s="1"/>
      <c r="OMX17" s="1"/>
      <c r="OMY17" s="1"/>
      <c r="OMZ17" s="1"/>
      <c r="ONA17" s="1"/>
      <c r="ONB17" s="1"/>
      <c r="ONC17" s="1"/>
      <c r="OND17" s="1"/>
      <c r="ONE17" s="1"/>
      <c r="ONF17" s="1"/>
      <c r="ONG17" s="1"/>
      <c r="ONH17" s="1"/>
      <c r="ONI17" s="1"/>
      <c r="ONJ17" s="1"/>
      <c r="ONK17" s="1"/>
      <c r="ONL17" s="1"/>
      <c r="ONM17" s="1"/>
      <c r="ONN17" s="1"/>
      <c r="ONO17" s="1"/>
      <c r="ONP17" s="1"/>
      <c r="ONQ17" s="1"/>
      <c r="ONR17" s="1"/>
      <c r="ONS17" s="1"/>
      <c r="ONT17" s="1"/>
      <c r="ONU17" s="1"/>
      <c r="ONV17" s="1"/>
      <c r="ONW17" s="1"/>
      <c r="ONX17" s="1"/>
      <c r="ONY17" s="1"/>
      <c r="ONZ17" s="1"/>
      <c r="OOA17" s="1"/>
      <c r="OOB17" s="1"/>
      <c r="OOC17" s="1"/>
      <c r="OOD17" s="1"/>
      <c r="OOE17" s="1"/>
      <c r="OOF17" s="1"/>
      <c r="OOG17" s="1"/>
      <c r="OOH17" s="1"/>
      <c r="OOI17" s="1"/>
      <c r="OOJ17" s="1"/>
      <c r="OOK17" s="1"/>
      <c r="OOL17" s="1"/>
      <c r="OOM17" s="1"/>
      <c r="OON17" s="1"/>
      <c r="OOO17" s="1"/>
      <c r="OOP17" s="1"/>
      <c r="OOQ17" s="1"/>
      <c r="OOR17" s="1"/>
      <c r="OOS17" s="1"/>
      <c r="OOT17" s="1"/>
      <c r="OOU17" s="1"/>
      <c r="OOV17" s="1"/>
      <c r="OOW17" s="1"/>
      <c r="OOX17" s="1"/>
      <c r="OOY17" s="1"/>
      <c r="OOZ17" s="1"/>
      <c r="OPA17" s="1"/>
      <c r="OPB17" s="1"/>
      <c r="OPC17" s="1"/>
      <c r="OPD17" s="1"/>
      <c r="OPE17" s="1"/>
      <c r="OPF17" s="1"/>
      <c r="OPG17" s="1"/>
      <c r="OPH17" s="1"/>
      <c r="OPI17" s="1"/>
      <c r="OPJ17" s="1"/>
      <c r="OPK17" s="1"/>
      <c r="OPL17" s="1"/>
      <c r="OPM17" s="1"/>
      <c r="OPN17" s="1"/>
      <c r="OPO17" s="1"/>
      <c r="OPP17" s="1"/>
      <c r="OPQ17" s="1"/>
      <c r="OPR17" s="1"/>
      <c r="OPS17" s="1"/>
      <c r="OPT17" s="1"/>
      <c r="OPU17" s="1"/>
      <c r="OPV17" s="1"/>
      <c r="OPW17" s="1"/>
      <c r="OPX17" s="1"/>
      <c r="OPY17" s="1"/>
      <c r="OPZ17" s="1"/>
      <c r="OQA17" s="1"/>
      <c r="OQB17" s="1"/>
      <c r="OQC17" s="1"/>
      <c r="OQD17" s="1"/>
      <c r="OQE17" s="1"/>
      <c r="OQF17" s="1"/>
      <c r="OQG17" s="1"/>
      <c r="OQH17" s="1"/>
      <c r="OQI17" s="1"/>
      <c r="OQJ17" s="1"/>
      <c r="OQK17" s="1"/>
      <c r="OQL17" s="1"/>
      <c r="OQM17" s="1"/>
      <c r="OQN17" s="1"/>
      <c r="OQO17" s="1"/>
      <c r="OQP17" s="1"/>
      <c r="OQQ17" s="1"/>
      <c r="OQR17" s="1"/>
      <c r="OQS17" s="1"/>
      <c r="OQT17" s="1"/>
      <c r="OQU17" s="1"/>
      <c r="OQV17" s="1"/>
      <c r="OQW17" s="1"/>
      <c r="OQX17" s="1"/>
      <c r="OQY17" s="1"/>
      <c r="OQZ17" s="1"/>
      <c r="ORA17" s="1"/>
      <c r="ORB17" s="1"/>
      <c r="ORC17" s="1"/>
      <c r="ORD17" s="1"/>
      <c r="ORE17" s="1"/>
      <c r="ORF17" s="1"/>
      <c r="ORG17" s="1"/>
      <c r="ORH17" s="1"/>
      <c r="ORI17" s="1"/>
      <c r="ORJ17" s="1"/>
      <c r="ORK17" s="1"/>
      <c r="ORL17" s="1"/>
      <c r="ORM17" s="1"/>
      <c r="ORN17" s="1"/>
      <c r="ORO17" s="1"/>
      <c r="ORP17" s="1"/>
      <c r="ORQ17" s="1"/>
      <c r="ORR17" s="1"/>
      <c r="ORS17" s="1"/>
      <c r="ORT17" s="1"/>
      <c r="ORU17" s="1"/>
      <c r="ORV17" s="1"/>
      <c r="ORW17" s="1"/>
      <c r="ORX17" s="1"/>
      <c r="ORY17" s="1"/>
      <c r="ORZ17" s="1"/>
      <c r="OSA17" s="1"/>
      <c r="OSB17" s="1"/>
      <c r="OSC17" s="1"/>
      <c r="OSD17" s="1"/>
      <c r="OSE17" s="1"/>
      <c r="OSF17" s="1"/>
      <c r="OSG17" s="1"/>
      <c r="OSH17" s="1"/>
      <c r="OSI17" s="1"/>
      <c r="OSJ17" s="1"/>
      <c r="OSK17" s="1"/>
      <c r="OSL17" s="1"/>
      <c r="OSM17" s="1"/>
      <c r="OSN17" s="1"/>
      <c r="OSO17" s="1"/>
      <c r="OSP17" s="1"/>
      <c r="OSQ17" s="1"/>
      <c r="OSR17" s="1"/>
      <c r="OSS17" s="1"/>
      <c r="OST17" s="1"/>
      <c r="OSU17" s="1"/>
      <c r="OSV17" s="1"/>
      <c r="OSW17" s="1"/>
      <c r="OSX17" s="1"/>
      <c r="OSY17" s="1"/>
      <c r="OSZ17" s="1"/>
      <c r="OTA17" s="1"/>
      <c r="OTB17" s="1"/>
      <c r="OTC17" s="1"/>
      <c r="OTD17" s="1"/>
      <c r="OTE17" s="1"/>
      <c r="OTF17" s="1"/>
      <c r="OTG17" s="1"/>
      <c r="OTH17" s="1"/>
      <c r="OTI17" s="1"/>
      <c r="OTJ17" s="1"/>
      <c r="OTK17" s="1"/>
      <c r="OTL17" s="1"/>
      <c r="OTM17" s="1"/>
      <c r="OTN17" s="1"/>
      <c r="OTO17" s="1"/>
      <c r="OTP17" s="1"/>
      <c r="OTQ17" s="1"/>
      <c r="OTR17" s="1"/>
      <c r="OTS17" s="1"/>
      <c r="OTT17" s="1"/>
      <c r="OTU17" s="1"/>
      <c r="OTV17" s="1"/>
      <c r="OTW17" s="1"/>
      <c r="OTX17" s="1"/>
      <c r="OTY17" s="1"/>
      <c r="OTZ17" s="1"/>
      <c r="OUA17" s="1"/>
      <c r="OUB17" s="1"/>
      <c r="OUC17" s="1"/>
      <c r="OUD17" s="1"/>
      <c r="OUE17" s="1"/>
      <c r="OUF17" s="1"/>
      <c r="OUG17" s="1"/>
      <c r="OUH17" s="1"/>
      <c r="OUI17" s="1"/>
      <c r="OUJ17" s="1"/>
      <c r="OUK17" s="1"/>
      <c r="OUL17" s="1"/>
      <c r="OUM17" s="1"/>
      <c r="OUN17" s="1"/>
      <c r="OUO17" s="1"/>
      <c r="OUP17" s="1"/>
      <c r="OUQ17" s="1"/>
      <c r="OUR17" s="1"/>
      <c r="OUS17" s="1"/>
      <c r="OUT17" s="1"/>
      <c r="OUU17" s="1"/>
      <c r="OUV17" s="1"/>
      <c r="OUW17" s="1"/>
      <c r="OUX17" s="1"/>
      <c r="OUY17" s="1"/>
      <c r="OUZ17" s="1"/>
      <c r="OVA17" s="1"/>
      <c r="OVB17" s="1"/>
      <c r="OVC17" s="1"/>
      <c r="OVD17" s="1"/>
      <c r="OVE17" s="1"/>
      <c r="OVF17" s="1"/>
      <c r="OVG17" s="1"/>
      <c r="OVH17" s="1"/>
      <c r="OVI17" s="1"/>
      <c r="OVJ17" s="1"/>
      <c r="OVK17" s="1"/>
      <c r="OVL17" s="1"/>
      <c r="OVM17" s="1"/>
      <c r="OVN17" s="1"/>
      <c r="OVO17" s="1"/>
      <c r="OVP17" s="1"/>
      <c r="OVQ17" s="1"/>
      <c r="OVR17" s="1"/>
      <c r="OVS17" s="1"/>
      <c r="OVT17" s="1"/>
      <c r="OVU17" s="1"/>
      <c r="OVV17" s="1"/>
      <c r="OVW17" s="1"/>
      <c r="OVX17" s="1"/>
      <c r="OVY17" s="1"/>
      <c r="OVZ17" s="1"/>
      <c r="OWA17" s="1"/>
      <c r="OWB17" s="1"/>
      <c r="OWC17" s="1"/>
      <c r="OWD17" s="1"/>
      <c r="OWE17" s="1"/>
      <c r="OWF17" s="1"/>
      <c r="OWG17" s="1"/>
      <c r="OWH17" s="1"/>
      <c r="OWI17" s="1"/>
      <c r="OWJ17" s="1"/>
      <c r="OWK17" s="1"/>
      <c r="OWL17" s="1"/>
      <c r="OWM17" s="1"/>
      <c r="OWN17" s="1"/>
      <c r="OWO17" s="1"/>
      <c r="OWP17" s="1"/>
      <c r="OWQ17" s="1"/>
      <c r="OWR17" s="1"/>
      <c r="OWS17" s="1"/>
      <c r="OWT17" s="1"/>
      <c r="OWU17" s="1"/>
      <c r="OWV17" s="1"/>
      <c r="OWW17" s="1"/>
      <c r="OWX17" s="1"/>
      <c r="OWY17" s="1"/>
      <c r="OWZ17" s="1"/>
      <c r="OXA17" s="1"/>
      <c r="OXB17" s="1"/>
      <c r="OXC17" s="1"/>
      <c r="OXD17" s="1"/>
      <c r="OXE17" s="1"/>
      <c r="OXF17" s="1"/>
      <c r="OXG17" s="1"/>
      <c r="OXH17" s="1"/>
      <c r="OXI17" s="1"/>
      <c r="OXJ17" s="1"/>
      <c r="OXK17" s="1"/>
      <c r="OXL17" s="1"/>
      <c r="OXM17" s="1"/>
      <c r="OXN17" s="1"/>
      <c r="OXO17" s="1"/>
      <c r="OXP17" s="1"/>
      <c r="OXQ17" s="1"/>
      <c r="OXR17" s="1"/>
      <c r="OXS17" s="1"/>
      <c r="OXT17" s="1"/>
      <c r="OXU17" s="1"/>
      <c r="OXV17" s="1"/>
      <c r="OXW17" s="1"/>
      <c r="OXX17" s="1"/>
      <c r="OXY17" s="1"/>
      <c r="OXZ17" s="1"/>
      <c r="OYA17" s="1"/>
      <c r="OYB17" s="1"/>
      <c r="OYC17" s="1"/>
      <c r="OYD17" s="1"/>
      <c r="OYE17" s="1"/>
      <c r="OYF17" s="1"/>
      <c r="OYG17" s="1"/>
      <c r="OYH17" s="1"/>
      <c r="OYI17" s="1"/>
      <c r="OYJ17" s="1"/>
      <c r="OYK17" s="1"/>
      <c r="OYL17" s="1"/>
      <c r="OYM17" s="1"/>
      <c r="OYN17" s="1"/>
      <c r="OYO17" s="1"/>
      <c r="OYP17" s="1"/>
      <c r="OYQ17" s="1"/>
      <c r="OYR17" s="1"/>
      <c r="OYS17" s="1"/>
      <c r="OYT17" s="1"/>
      <c r="OYU17" s="1"/>
      <c r="OYV17" s="1"/>
      <c r="OYW17" s="1"/>
      <c r="OYX17" s="1"/>
      <c r="OYY17" s="1"/>
      <c r="OYZ17" s="1"/>
      <c r="OZA17" s="1"/>
      <c r="OZB17" s="1"/>
      <c r="OZC17" s="1"/>
      <c r="OZD17" s="1"/>
      <c r="OZE17" s="1"/>
      <c r="OZF17" s="1"/>
      <c r="OZG17" s="1"/>
      <c r="OZH17" s="1"/>
      <c r="OZI17" s="1"/>
      <c r="OZJ17" s="1"/>
      <c r="OZK17" s="1"/>
      <c r="OZL17" s="1"/>
      <c r="OZM17" s="1"/>
      <c r="OZN17" s="1"/>
      <c r="OZO17" s="1"/>
      <c r="OZP17" s="1"/>
      <c r="OZQ17" s="1"/>
      <c r="OZR17" s="1"/>
      <c r="OZS17" s="1"/>
      <c r="OZT17" s="1"/>
      <c r="OZU17" s="1"/>
      <c r="OZV17" s="1"/>
      <c r="OZW17" s="1"/>
      <c r="OZX17" s="1"/>
      <c r="OZY17" s="1"/>
      <c r="OZZ17" s="1"/>
      <c r="PAA17" s="1"/>
      <c r="PAB17" s="1"/>
      <c r="PAC17" s="1"/>
      <c r="PAD17" s="1"/>
      <c r="PAE17" s="1"/>
      <c r="PAF17" s="1"/>
      <c r="PAG17" s="1"/>
      <c r="PAH17" s="1"/>
      <c r="PAI17" s="1"/>
      <c r="PAJ17" s="1"/>
      <c r="PAK17" s="1"/>
      <c r="PAL17" s="1"/>
      <c r="PAM17" s="1"/>
      <c r="PAN17" s="1"/>
      <c r="PAO17" s="1"/>
      <c r="PAP17" s="1"/>
      <c r="PAQ17" s="1"/>
      <c r="PAR17" s="1"/>
      <c r="PAS17" s="1"/>
      <c r="PAT17" s="1"/>
      <c r="PAU17" s="1"/>
      <c r="PAV17" s="1"/>
      <c r="PAW17" s="1"/>
      <c r="PAX17" s="1"/>
      <c r="PAY17" s="1"/>
      <c r="PAZ17" s="1"/>
      <c r="PBA17" s="1"/>
      <c r="PBB17" s="1"/>
      <c r="PBC17" s="1"/>
      <c r="PBD17" s="1"/>
      <c r="PBE17" s="1"/>
      <c r="PBF17" s="1"/>
      <c r="PBG17" s="1"/>
      <c r="PBH17" s="1"/>
      <c r="PBI17" s="1"/>
      <c r="PBJ17" s="1"/>
      <c r="PBK17" s="1"/>
      <c r="PBL17" s="1"/>
      <c r="PBM17" s="1"/>
      <c r="PBN17" s="1"/>
      <c r="PBO17" s="1"/>
      <c r="PBP17" s="1"/>
      <c r="PBQ17" s="1"/>
      <c r="PBR17" s="1"/>
      <c r="PBS17" s="1"/>
      <c r="PBT17" s="1"/>
      <c r="PBU17" s="1"/>
      <c r="PBV17" s="1"/>
      <c r="PBW17" s="1"/>
      <c r="PBX17" s="1"/>
      <c r="PBY17" s="1"/>
      <c r="PBZ17" s="1"/>
      <c r="PCA17" s="1"/>
      <c r="PCB17" s="1"/>
      <c r="PCC17" s="1"/>
      <c r="PCD17" s="1"/>
      <c r="PCE17" s="1"/>
      <c r="PCF17" s="1"/>
      <c r="PCG17" s="1"/>
      <c r="PCH17" s="1"/>
      <c r="PCI17" s="1"/>
      <c r="PCJ17" s="1"/>
      <c r="PCK17" s="1"/>
      <c r="PCL17" s="1"/>
      <c r="PCM17" s="1"/>
      <c r="PCN17" s="1"/>
      <c r="PCO17" s="1"/>
      <c r="PCP17" s="1"/>
      <c r="PCQ17" s="1"/>
      <c r="PCR17" s="1"/>
      <c r="PCS17" s="1"/>
      <c r="PCT17" s="1"/>
      <c r="PCU17" s="1"/>
      <c r="PCV17" s="1"/>
      <c r="PCW17" s="1"/>
      <c r="PCX17" s="1"/>
      <c r="PCY17" s="1"/>
      <c r="PCZ17" s="1"/>
      <c r="PDA17" s="1"/>
      <c r="PDB17" s="1"/>
      <c r="PDC17" s="1"/>
      <c r="PDD17" s="1"/>
      <c r="PDE17" s="1"/>
      <c r="PDF17" s="1"/>
      <c r="PDG17" s="1"/>
      <c r="PDH17" s="1"/>
      <c r="PDI17" s="1"/>
      <c r="PDJ17" s="1"/>
      <c r="PDK17" s="1"/>
      <c r="PDL17" s="1"/>
      <c r="PDM17" s="1"/>
      <c r="PDN17" s="1"/>
      <c r="PDO17" s="1"/>
      <c r="PDP17" s="1"/>
      <c r="PDQ17" s="1"/>
      <c r="PDR17" s="1"/>
      <c r="PDS17" s="1"/>
      <c r="PDT17" s="1"/>
      <c r="PDU17" s="1"/>
      <c r="PDV17" s="1"/>
      <c r="PDW17" s="1"/>
      <c r="PDX17" s="1"/>
      <c r="PDY17" s="1"/>
      <c r="PDZ17" s="1"/>
      <c r="PEA17" s="1"/>
      <c r="PEB17" s="1"/>
      <c r="PEC17" s="1"/>
      <c r="PED17" s="1"/>
      <c r="PEE17" s="1"/>
      <c r="PEF17" s="1"/>
      <c r="PEG17" s="1"/>
      <c r="PEH17" s="1"/>
      <c r="PEI17" s="1"/>
      <c r="PEJ17" s="1"/>
      <c r="PEK17" s="1"/>
      <c r="PEL17" s="1"/>
      <c r="PEM17" s="1"/>
      <c r="PEN17" s="1"/>
      <c r="PEO17" s="1"/>
      <c r="PEP17" s="1"/>
      <c r="PEQ17" s="1"/>
      <c r="PER17" s="1"/>
      <c r="PES17" s="1"/>
      <c r="PET17" s="1"/>
      <c r="PEU17" s="1"/>
      <c r="PEV17" s="1"/>
      <c r="PEW17" s="1"/>
      <c r="PEX17" s="1"/>
      <c r="PEY17" s="1"/>
      <c r="PEZ17" s="1"/>
      <c r="PFA17" s="1"/>
      <c r="PFB17" s="1"/>
      <c r="PFC17" s="1"/>
      <c r="PFD17" s="1"/>
      <c r="PFE17" s="1"/>
      <c r="PFF17" s="1"/>
      <c r="PFG17" s="1"/>
      <c r="PFH17" s="1"/>
      <c r="PFI17" s="1"/>
      <c r="PFJ17" s="1"/>
      <c r="PFK17" s="1"/>
      <c r="PFL17" s="1"/>
      <c r="PFM17" s="1"/>
      <c r="PFN17" s="1"/>
      <c r="PFO17" s="1"/>
      <c r="PFP17" s="1"/>
      <c r="PFQ17" s="1"/>
      <c r="PFR17" s="1"/>
      <c r="PFS17" s="1"/>
      <c r="PFT17" s="1"/>
      <c r="PFU17" s="1"/>
      <c r="PFV17" s="1"/>
      <c r="PFW17" s="1"/>
      <c r="PFX17" s="1"/>
      <c r="PFY17" s="1"/>
      <c r="PFZ17" s="1"/>
      <c r="PGA17" s="1"/>
      <c r="PGB17" s="1"/>
      <c r="PGC17" s="1"/>
      <c r="PGD17" s="1"/>
      <c r="PGE17" s="1"/>
      <c r="PGF17" s="1"/>
      <c r="PGG17" s="1"/>
      <c r="PGH17" s="1"/>
      <c r="PGI17" s="1"/>
      <c r="PGJ17" s="1"/>
      <c r="PGK17" s="1"/>
      <c r="PGL17" s="1"/>
      <c r="PGM17" s="1"/>
      <c r="PGN17" s="1"/>
      <c r="PGO17" s="1"/>
      <c r="PGP17" s="1"/>
      <c r="PGQ17" s="1"/>
      <c r="PGR17" s="1"/>
      <c r="PGS17" s="1"/>
      <c r="PGT17" s="1"/>
      <c r="PGU17" s="1"/>
      <c r="PGV17" s="1"/>
      <c r="PGW17" s="1"/>
      <c r="PGX17" s="1"/>
      <c r="PGY17" s="1"/>
      <c r="PGZ17" s="1"/>
      <c r="PHA17" s="1"/>
      <c r="PHB17" s="1"/>
      <c r="PHC17" s="1"/>
      <c r="PHD17" s="1"/>
      <c r="PHE17" s="1"/>
      <c r="PHF17" s="1"/>
      <c r="PHG17" s="1"/>
      <c r="PHH17" s="1"/>
      <c r="PHI17" s="1"/>
      <c r="PHJ17" s="1"/>
      <c r="PHK17" s="1"/>
      <c r="PHL17" s="1"/>
      <c r="PHM17" s="1"/>
      <c r="PHN17" s="1"/>
      <c r="PHO17" s="1"/>
      <c r="PHP17" s="1"/>
      <c r="PHQ17" s="1"/>
      <c r="PHR17" s="1"/>
      <c r="PHS17" s="1"/>
      <c r="PHT17" s="1"/>
      <c r="PHU17" s="1"/>
      <c r="PHV17" s="1"/>
      <c r="PHW17" s="1"/>
      <c r="PHX17" s="1"/>
      <c r="PHY17" s="1"/>
      <c r="PHZ17" s="1"/>
      <c r="PIA17" s="1"/>
      <c r="PIB17" s="1"/>
      <c r="PIC17" s="1"/>
      <c r="PID17" s="1"/>
      <c r="PIE17" s="1"/>
      <c r="PIF17" s="1"/>
      <c r="PIG17" s="1"/>
      <c r="PIH17" s="1"/>
      <c r="PII17" s="1"/>
      <c r="PIJ17" s="1"/>
      <c r="PIK17" s="1"/>
      <c r="PIL17" s="1"/>
      <c r="PIM17" s="1"/>
      <c r="PIN17" s="1"/>
      <c r="PIO17" s="1"/>
      <c r="PIP17" s="1"/>
      <c r="PIQ17" s="1"/>
      <c r="PIR17" s="1"/>
      <c r="PIS17" s="1"/>
      <c r="PIT17" s="1"/>
      <c r="PIU17" s="1"/>
      <c r="PIV17" s="1"/>
      <c r="PIW17" s="1"/>
      <c r="PIX17" s="1"/>
      <c r="PIY17" s="1"/>
      <c r="PIZ17" s="1"/>
      <c r="PJA17" s="1"/>
      <c r="PJB17" s="1"/>
      <c r="PJC17" s="1"/>
      <c r="PJD17" s="1"/>
      <c r="PJE17" s="1"/>
      <c r="PJF17" s="1"/>
      <c r="PJG17" s="1"/>
      <c r="PJH17" s="1"/>
      <c r="PJI17" s="1"/>
      <c r="PJJ17" s="1"/>
      <c r="PJK17" s="1"/>
      <c r="PJL17" s="1"/>
      <c r="PJM17" s="1"/>
      <c r="PJN17" s="1"/>
      <c r="PJO17" s="1"/>
      <c r="PJP17" s="1"/>
      <c r="PJQ17" s="1"/>
      <c r="PJR17" s="1"/>
      <c r="PJS17" s="1"/>
      <c r="PJT17" s="1"/>
      <c r="PJU17" s="1"/>
      <c r="PJV17" s="1"/>
      <c r="PJW17" s="1"/>
      <c r="PJX17" s="1"/>
      <c r="PJY17" s="1"/>
      <c r="PJZ17" s="1"/>
      <c r="PKA17" s="1"/>
      <c r="PKB17" s="1"/>
      <c r="PKC17" s="1"/>
      <c r="PKD17" s="1"/>
      <c r="PKE17" s="1"/>
      <c r="PKF17" s="1"/>
      <c r="PKG17" s="1"/>
      <c r="PKH17" s="1"/>
      <c r="PKI17" s="1"/>
      <c r="PKJ17" s="1"/>
      <c r="PKK17" s="1"/>
      <c r="PKL17" s="1"/>
      <c r="PKM17" s="1"/>
      <c r="PKN17" s="1"/>
      <c r="PKO17" s="1"/>
      <c r="PKP17" s="1"/>
      <c r="PKQ17" s="1"/>
      <c r="PKR17" s="1"/>
      <c r="PKS17" s="1"/>
      <c r="PKT17" s="1"/>
      <c r="PKU17" s="1"/>
      <c r="PKV17" s="1"/>
      <c r="PKW17" s="1"/>
      <c r="PKX17" s="1"/>
      <c r="PKY17" s="1"/>
      <c r="PKZ17" s="1"/>
      <c r="PLA17" s="1"/>
      <c r="PLB17" s="1"/>
      <c r="PLC17" s="1"/>
      <c r="PLD17" s="1"/>
      <c r="PLE17" s="1"/>
      <c r="PLF17" s="1"/>
      <c r="PLG17" s="1"/>
      <c r="PLH17" s="1"/>
      <c r="PLI17" s="1"/>
      <c r="PLJ17" s="1"/>
      <c r="PLK17" s="1"/>
      <c r="PLL17" s="1"/>
      <c r="PLM17" s="1"/>
      <c r="PLN17" s="1"/>
      <c r="PLO17" s="1"/>
      <c r="PLP17" s="1"/>
      <c r="PLQ17" s="1"/>
      <c r="PLR17" s="1"/>
      <c r="PLS17" s="1"/>
      <c r="PLT17" s="1"/>
      <c r="PLU17" s="1"/>
      <c r="PLV17" s="1"/>
      <c r="PLW17" s="1"/>
      <c r="PLX17" s="1"/>
      <c r="PLY17" s="1"/>
      <c r="PLZ17" s="1"/>
      <c r="PMA17" s="1"/>
      <c r="PMB17" s="1"/>
      <c r="PMC17" s="1"/>
      <c r="PMD17" s="1"/>
      <c r="PME17" s="1"/>
      <c r="PMF17" s="1"/>
      <c r="PMG17" s="1"/>
      <c r="PMH17" s="1"/>
      <c r="PMI17" s="1"/>
      <c r="PMJ17" s="1"/>
      <c r="PMK17" s="1"/>
      <c r="PML17" s="1"/>
      <c r="PMM17" s="1"/>
      <c r="PMN17" s="1"/>
      <c r="PMO17" s="1"/>
      <c r="PMP17" s="1"/>
      <c r="PMQ17" s="1"/>
      <c r="PMR17" s="1"/>
      <c r="PMS17" s="1"/>
      <c r="PMT17" s="1"/>
      <c r="PMU17" s="1"/>
      <c r="PMV17" s="1"/>
      <c r="PMW17" s="1"/>
      <c r="PMX17" s="1"/>
      <c r="PMY17" s="1"/>
      <c r="PMZ17" s="1"/>
      <c r="PNA17" s="1"/>
      <c r="PNB17" s="1"/>
      <c r="PNC17" s="1"/>
      <c r="PND17" s="1"/>
      <c r="PNE17" s="1"/>
      <c r="PNF17" s="1"/>
      <c r="PNG17" s="1"/>
      <c r="PNH17" s="1"/>
      <c r="PNI17" s="1"/>
      <c r="PNJ17" s="1"/>
      <c r="PNK17" s="1"/>
      <c r="PNL17" s="1"/>
      <c r="PNM17" s="1"/>
      <c r="PNN17" s="1"/>
      <c r="PNO17" s="1"/>
      <c r="PNP17" s="1"/>
      <c r="PNQ17" s="1"/>
      <c r="PNR17" s="1"/>
      <c r="PNS17" s="1"/>
      <c r="PNT17" s="1"/>
      <c r="PNU17" s="1"/>
      <c r="PNV17" s="1"/>
      <c r="PNW17" s="1"/>
      <c r="PNX17" s="1"/>
      <c r="PNY17" s="1"/>
      <c r="PNZ17" s="1"/>
      <c r="POA17" s="1"/>
      <c r="POB17" s="1"/>
      <c r="POC17" s="1"/>
      <c r="POD17" s="1"/>
      <c r="POE17" s="1"/>
      <c r="POF17" s="1"/>
      <c r="POG17" s="1"/>
      <c r="POH17" s="1"/>
      <c r="POI17" s="1"/>
      <c r="POJ17" s="1"/>
      <c r="POK17" s="1"/>
      <c r="POL17" s="1"/>
      <c r="POM17" s="1"/>
      <c r="PON17" s="1"/>
      <c r="POO17" s="1"/>
      <c r="POP17" s="1"/>
      <c r="POQ17" s="1"/>
      <c r="POR17" s="1"/>
      <c r="POS17" s="1"/>
      <c r="POT17" s="1"/>
      <c r="POU17" s="1"/>
      <c r="POV17" s="1"/>
      <c r="POW17" s="1"/>
      <c r="POX17" s="1"/>
      <c r="POY17" s="1"/>
      <c r="POZ17" s="1"/>
      <c r="PPA17" s="1"/>
      <c r="PPB17" s="1"/>
      <c r="PPC17" s="1"/>
      <c r="PPD17" s="1"/>
      <c r="PPE17" s="1"/>
      <c r="PPF17" s="1"/>
      <c r="PPG17" s="1"/>
      <c r="PPH17" s="1"/>
      <c r="PPI17" s="1"/>
      <c r="PPJ17" s="1"/>
      <c r="PPK17" s="1"/>
      <c r="PPL17" s="1"/>
      <c r="PPM17" s="1"/>
      <c r="PPN17" s="1"/>
      <c r="PPO17" s="1"/>
      <c r="PPP17" s="1"/>
      <c r="PPQ17" s="1"/>
      <c r="PPR17" s="1"/>
      <c r="PPS17" s="1"/>
      <c r="PPT17" s="1"/>
      <c r="PPU17" s="1"/>
      <c r="PPV17" s="1"/>
      <c r="PPW17" s="1"/>
      <c r="PPX17" s="1"/>
      <c r="PPY17" s="1"/>
      <c r="PPZ17" s="1"/>
      <c r="PQA17" s="1"/>
      <c r="PQB17" s="1"/>
      <c r="PQC17" s="1"/>
      <c r="PQD17" s="1"/>
      <c r="PQE17" s="1"/>
      <c r="PQF17" s="1"/>
      <c r="PQG17" s="1"/>
      <c r="PQH17" s="1"/>
      <c r="PQI17" s="1"/>
      <c r="PQJ17" s="1"/>
      <c r="PQK17" s="1"/>
      <c r="PQL17" s="1"/>
      <c r="PQM17" s="1"/>
      <c r="PQN17" s="1"/>
      <c r="PQO17" s="1"/>
      <c r="PQP17" s="1"/>
      <c r="PQQ17" s="1"/>
      <c r="PQR17" s="1"/>
      <c r="PQS17" s="1"/>
      <c r="PQT17" s="1"/>
      <c r="PQU17" s="1"/>
      <c r="PQV17" s="1"/>
      <c r="PQW17" s="1"/>
      <c r="PQX17" s="1"/>
      <c r="PQY17" s="1"/>
      <c r="PQZ17" s="1"/>
      <c r="PRA17" s="1"/>
      <c r="PRB17" s="1"/>
      <c r="PRC17" s="1"/>
      <c r="PRD17" s="1"/>
      <c r="PRE17" s="1"/>
      <c r="PRF17" s="1"/>
      <c r="PRG17" s="1"/>
      <c r="PRH17" s="1"/>
      <c r="PRI17" s="1"/>
      <c r="PRJ17" s="1"/>
      <c r="PRK17" s="1"/>
      <c r="PRL17" s="1"/>
      <c r="PRM17" s="1"/>
      <c r="PRN17" s="1"/>
      <c r="PRO17" s="1"/>
      <c r="PRP17" s="1"/>
      <c r="PRQ17" s="1"/>
      <c r="PRR17" s="1"/>
      <c r="PRS17" s="1"/>
      <c r="PRT17" s="1"/>
      <c r="PRU17" s="1"/>
      <c r="PRV17" s="1"/>
      <c r="PRW17" s="1"/>
      <c r="PRX17" s="1"/>
      <c r="PRY17" s="1"/>
      <c r="PRZ17" s="1"/>
      <c r="PSA17" s="1"/>
      <c r="PSB17" s="1"/>
      <c r="PSC17" s="1"/>
      <c r="PSD17" s="1"/>
      <c r="PSE17" s="1"/>
      <c r="PSF17" s="1"/>
      <c r="PSG17" s="1"/>
      <c r="PSH17" s="1"/>
      <c r="PSI17" s="1"/>
      <c r="PSJ17" s="1"/>
      <c r="PSK17" s="1"/>
      <c r="PSL17" s="1"/>
      <c r="PSM17" s="1"/>
      <c r="PSN17" s="1"/>
      <c r="PSO17" s="1"/>
      <c r="PSP17" s="1"/>
      <c r="PSQ17" s="1"/>
      <c r="PSR17" s="1"/>
      <c r="PSS17" s="1"/>
      <c r="PST17" s="1"/>
      <c r="PSU17" s="1"/>
      <c r="PSV17" s="1"/>
      <c r="PSW17" s="1"/>
      <c r="PSX17" s="1"/>
      <c r="PSY17" s="1"/>
      <c r="PSZ17" s="1"/>
      <c r="PTA17" s="1"/>
      <c r="PTB17" s="1"/>
      <c r="PTC17" s="1"/>
      <c r="PTD17" s="1"/>
      <c r="PTE17" s="1"/>
      <c r="PTF17" s="1"/>
      <c r="PTG17" s="1"/>
      <c r="PTH17" s="1"/>
      <c r="PTI17" s="1"/>
      <c r="PTJ17" s="1"/>
      <c r="PTK17" s="1"/>
      <c r="PTL17" s="1"/>
      <c r="PTM17" s="1"/>
      <c r="PTN17" s="1"/>
      <c r="PTO17" s="1"/>
      <c r="PTP17" s="1"/>
      <c r="PTQ17" s="1"/>
      <c r="PTR17" s="1"/>
      <c r="PTS17" s="1"/>
      <c r="PTT17" s="1"/>
      <c r="PTU17" s="1"/>
      <c r="PTV17" s="1"/>
      <c r="PTW17" s="1"/>
      <c r="PTX17" s="1"/>
      <c r="PTY17" s="1"/>
      <c r="PTZ17" s="1"/>
      <c r="PUA17" s="1"/>
      <c r="PUB17" s="1"/>
      <c r="PUC17" s="1"/>
      <c r="PUD17" s="1"/>
      <c r="PUE17" s="1"/>
      <c r="PUF17" s="1"/>
      <c r="PUG17" s="1"/>
      <c r="PUH17" s="1"/>
      <c r="PUI17" s="1"/>
      <c r="PUJ17" s="1"/>
      <c r="PUK17" s="1"/>
      <c r="PUL17" s="1"/>
      <c r="PUM17" s="1"/>
      <c r="PUN17" s="1"/>
      <c r="PUO17" s="1"/>
      <c r="PUP17" s="1"/>
      <c r="PUQ17" s="1"/>
      <c r="PUR17" s="1"/>
      <c r="PUS17" s="1"/>
      <c r="PUT17" s="1"/>
      <c r="PUU17" s="1"/>
      <c r="PUV17" s="1"/>
      <c r="PUW17" s="1"/>
      <c r="PUX17" s="1"/>
      <c r="PUY17" s="1"/>
      <c r="PUZ17" s="1"/>
      <c r="PVA17" s="1"/>
      <c r="PVB17" s="1"/>
      <c r="PVC17" s="1"/>
      <c r="PVD17" s="1"/>
      <c r="PVE17" s="1"/>
      <c r="PVF17" s="1"/>
      <c r="PVG17" s="1"/>
      <c r="PVH17" s="1"/>
      <c r="PVI17" s="1"/>
      <c r="PVJ17" s="1"/>
      <c r="PVK17" s="1"/>
      <c r="PVL17" s="1"/>
      <c r="PVM17" s="1"/>
      <c r="PVN17" s="1"/>
      <c r="PVO17" s="1"/>
      <c r="PVP17" s="1"/>
      <c r="PVQ17" s="1"/>
      <c r="PVR17" s="1"/>
      <c r="PVS17" s="1"/>
      <c r="PVT17" s="1"/>
      <c r="PVU17" s="1"/>
      <c r="PVV17" s="1"/>
      <c r="PVW17" s="1"/>
      <c r="PVX17" s="1"/>
      <c r="PVY17" s="1"/>
      <c r="PVZ17" s="1"/>
      <c r="PWA17" s="1"/>
      <c r="PWB17" s="1"/>
      <c r="PWC17" s="1"/>
      <c r="PWD17" s="1"/>
      <c r="PWE17" s="1"/>
      <c r="PWF17" s="1"/>
      <c r="PWG17" s="1"/>
      <c r="PWH17" s="1"/>
      <c r="PWI17" s="1"/>
      <c r="PWJ17" s="1"/>
      <c r="PWK17" s="1"/>
      <c r="PWL17" s="1"/>
      <c r="PWM17" s="1"/>
      <c r="PWN17" s="1"/>
      <c r="PWO17" s="1"/>
      <c r="PWP17" s="1"/>
      <c r="PWQ17" s="1"/>
      <c r="PWR17" s="1"/>
      <c r="PWS17" s="1"/>
      <c r="PWT17" s="1"/>
      <c r="PWU17" s="1"/>
      <c r="PWV17" s="1"/>
      <c r="PWW17" s="1"/>
      <c r="PWX17" s="1"/>
      <c r="PWY17" s="1"/>
      <c r="PWZ17" s="1"/>
      <c r="PXA17" s="1"/>
      <c r="PXB17" s="1"/>
      <c r="PXC17" s="1"/>
      <c r="PXD17" s="1"/>
      <c r="PXE17" s="1"/>
      <c r="PXF17" s="1"/>
      <c r="PXG17" s="1"/>
      <c r="PXH17" s="1"/>
      <c r="PXI17" s="1"/>
      <c r="PXJ17" s="1"/>
      <c r="PXK17" s="1"/>
      <c r="PXL17" s="1"/>
      <c r="PXM17" s="1"/>
      <c r="PXN17" s="1"/>
      <c r="PXO17" s="1"/>
      <c r="PXP17" s="1"/>
      <c r="PXQ17" s="1"/>
      <c r="PXR17" s="1"/>
      <c r="PXS17" s="1"/>
      <c r="PXT17" s="1"/>
      <c r="PXU17" s="1"/>
      <c r="PXV17" s="1"/>
      <c r="PXW17" s="1"/>
      <c r="PXX17" s="1"/>
      <c r="PXY17" s="1"/>
      <c r="PXZ17" s="1"/>
      <c r="PYA17" s="1"/>
      <c r="PYB17" s="1"/>
      <c r="PYC17" s="1"/>
      <c r="PYD17" s="1"/>
      <c r="PYE17" s="1"/>
      <c r="PYF17" s="1"/>
      <c r="PYG17" s="1"/>
      <c r="PYH17" s="1"/>
      <c r="PYI17" s="1"/>
      <c r="PYJ17" s="1"/>
      <c r="PYK17" s="1"/>
      <c r="PYL17" s="1"/>
      <c r="PYM17" s="1"/>
      <c r="PYN17" s="1"/>
      <c r="PYO17" s="1"/>
      <c r="PYP17" s="1"/>
      <c r="PYQ17" s="1"/>
      <c r="PYR17" s="1"/>
      <c r="PYS17" s="1"/>
      <c r="PYT17" s="1"/>
      <c r="PYU17" s="1"/>
      <c r="PYV17" s="1"/>
      <c r="PYW17" s="1"/>
      <c r="PYX17" s="1"/>
      <c r="PYY17" s="1"/>
      <c r="PYZ17" s="1"/>
      <c r="PZA17" s="1"/>
      <c r="PZB17" s="1"/>
      <c r="PZC17" s="1"/>
      <c r="PZD17" s="1"/>
      <c r="PZE17" s="1"/>
      <c r="PZF17" s="1"/>
      <c r="PZG17" s="1"/>
      <c r="PZH17" s="1"/>
      <c r="PZI17" s="1"/>
      <c r="PZJ17" s="1"/>
      <c r="PZK17" s="1"/>
      <c r="PZL17" s="1"/>
      <c r="PZM17" s="1"/>
      <c r="PZN17" s="1"/>
      <c r="PZO17" s="1"/>
      <c r="PZP17" s="1"/>
      <c r="PZQ17" s="1"/>
      <c r="PZR17" s="1"/>
      <c r="PZS17" s="1"/>
      <c r="PZT17" s="1"/>
      <c r="PZU17" s="1"/>
      <c r="PZV17" s="1"/>
      <c r="PZW17" s="1"/>
      <c r="PZX17" s="1"/>
      <c r="PZY17" s="1"/>
      <c r="PZZ17" s="1"/>
      <c r="QAA17" s="1"/>
      <c r="QAB17" s="1"/>
      <c r="QAC17" s="1"/>
      <c r="QAD17" s="1"/>
      <c r="QAE17" s="1"/>
      <c r="QAF17" s="1"/>
      <c r="QAG17" s="1"/>
      <c r="QAH17" s="1"/>
      <c r="QAI17" s="1"/>
      <c r="QAJ17" s="1"/>
      <c r="QAK17" s="1"/>
      <c r="QAL17" s="1"/>
      <c r="QAM17" s="1"/>
      <c r="QAN17" s="1"/>
      <c r="QAO17" s="1"/>
      <c r="QAP17" s="1"/>
      <c r="QAQ17" s="1"/>
      <c r="QAR17" s="1"/>
      <c r="QAS17" s="1"/>
      <c r="QAT17" s="1"/>
      <c r="QAU17" s="1"/>
      <c r="QAV17" s="1"/>
      <c r="QAW17" s="1"/>
      <c r="QAX17" s="1"/>
      <c r="QAY17" s="1"/>
      <c r="QAZ17" s="1"/>
      <c r="QBA17" s="1"/>
      <c r="QBB17" s="1"/>
      <c r="QBC17" s="1"/>
      <c r="QBD17" s="1"/>
      <c r="QBE17" s="1"/>
      <c r="QBF17" s="1"/>
      <c r="QBG17" s="1"/>
      <c r="QBH17" s="1"/>
      <c r="QBI17" s="1"/>
      <c r="QBJ17" s="1"/>
      <c r="QBK17" s="1"/>
      <c r="QBL17" s="1"/>
      <c r="QBM17" s="1"/>
      <c r="QBN17" s="1"/>
      <c r="QBO17" s="1"/>
      <c r="QBP17" s="1"/>
      <c r="QBQ17" s="1"/>
      <c r="QBR17" s="1"/>
      <c r="QBS17" s="1"/>
      <c r="QBT17" s="1"/>
      <c r="QBU17" s="1"/>
      <c r="QBV17" s="1"/>
      <c r="QBW17" s="1"/>
      <c r="QBX17" s="1"/>
      <c r="QBY17" s="1"/>
      <c r="QBZ17" s="1"/>
      <c r="QCA17" s="1"/>
      <c r="QCB17" s="1"/>
      <c r="QCC17" s="1"/>
      <c r="QCD17" s="1"/>
      <c r="QCE17" s="1"/>
      <c r="QCF17" s="1"/>
      <c r="QCG17" s="1"/>
      <c r="QCH17" s="1"/>
      <c r="QCI17" s="1"/>
      <c r="QCJ17" s="1"/>
      <c r="QCK17" s="1"/>
      <c r="QCL17" s="1"/>
      <c r="QCM17" s="1"/>
      <c r="QCN17" s="1"/>
      <c r="QCO17" s="1"/>
      <c r="QCP17" s="1"/>
      <c r="QCQ17" s="1"/>
      <c r="QCR17" s="1"/>
      <c r="QCS17" s="1"/>
      <c r="QCT17" s="1"/>
      <c r="QCU17" s="1"/>
      <c r="QCV17" s="1"/>
      <c r="QCW17" s="1"/>
      <c r="QCX17" s="1"/>
      <c r="QCY17" s="1"/>
      <c r="QCZ17" s="1"/>
      <c r="QDA17" s="1"/>
      <c r="QDB17" s="1"/>
      <c r="QDC17" s="1"/>
      <c r="QDD17" s="1"/>
      <c r="QDE17" s="1"/>
      <c r="QDF17" s="1"/>
      <c r="QDG17" s="1"/>
      <c r="QDH17" s="1"/>
      <c r="QDI17" s="1"/>
      <c r="QDJ17" s="1"/>
      <c r="QDK17" s="1"/>
      <c r="QDL17" s="1"/>
      <c r="QDM17" s="1"/>
      <c r="QDN17" s="1"/>
      <c r="QDO17" s="1"/>
      <c r="QDP17" s="1"/>
      <c r="QDQ17" s="1"/>
      <c r="QDR17" s="1"/>
      <c r="QDS17" s="1"/>
      <c r="QDT17" s="1"/>
      <c r="QDU17" s="1"/>
      <c r="QDV17" s="1"/>
      <c r="QDW17" s="1"/>
      <c r="QDX17" s="1"/>
      <c r="QDY17" s="1"/>
      <c r="QDZ17" s="1"/>
      <c r="QEA17" s="1"/>
      <c r="QEB17" s="1"/>
      <c r="QEC17" s="1"/>
      <c r="QED17" s="1"/>
      <c r="QEE17" s="1"/>
      <c r="QEF17" s="1"/>
      <c r="QEG17" s="1"/>
      <c r="QEH17" s="1"/>
      <c r="QEI17" s="1"/>
      <c r="QEJ17" s="1"/>
      <c r="QEK17" s="1"/>
      <c r="QEL17" s="1"/>
      <c r="QEM17" s="1"/>
      <c r="QEN17" s="1"/>
      <c r="QEO17" s="1"/>
      <c r="QEP17" s="1"/>
      <c r="QEQ17" s="1"/>
      <c r="QER17" s="1"/>
      <c r="QES17" s="1"/>
      <c r="QET17" s="1"/>
      <c r="QEU17" s="1"/>
      <c r="QEV17" s="1"/>
      <c r="QEW17" s="1"/>
      <c r="QEX17" s="1"/>
      <c r="QEY17" s="1"/>
      <c r="QEZ17" s="1"/>
      <c r="QFA17" s="1"/>
      <c r="QFB17" s="1"/>
      <c r="QFC17" s="1"/>
      <c r="QFD17" s="1"/>
      <c r="QFE17" s="1"/>
      <c r="QFF17" s="1"/>
      <c r="QFG17" s="1"/>
      <c r="QFH17" s="1"/>
      <c r="QFI17" s="1"/>
      <c r="QFJ17" s="1"/>
      <c r="QFK17" s="1"/>
      <c r="QFL17" s="1"/>
      <c r="QFM17" s="1"/>
      <c r="QFN17" s="1"/>
      <c r="QFO17" s="1"/>
      <c r="QFP17" s="1"/>
      <c r="QFQ17" s="1"/>
      <c r="QFR17" s="1"/>
      <c r="QFS17" s="1"/>
      <c r="QFT17" s="1"/>
      <c r="QFU17" s="1"/>
      <c r="QFV17" s="1"/>
      <c r="QFW17" s="1"/>
      <c r="QFX17" s="1"/>
      <c r="QFY17" s="1"/>
      <c r="QFZ17" s="1"/>
      <c r="QGA17" s="1"/>
      <c r="QGB17" s="1"/>
      <c r="QGC17" s="1"/>
      <c r="QGD17" s="1"/>
      <c r="QGE17" s="1"/>
      <c r="QGF17" s="1"/>
      <c r="QGG17" s="1"/>
      <c r="QGH17" s="1"/>
      <c r="QGI17" s="1"/>
      <c r="QGJ17" s="1"/>
      <c r="QGK17" s="1"/>
      <c r="QGL17" s="1"/>
      <c r="QGM17" s="1"/>
      <c r="QGN17" s="1"/>
      <c r="QGO17" s="1"/>
      <c r="QGP17" s="1"/>
      <c r="QGQ17" s="1"/>
      <c r="QGR17" s="1"/>
      <c r="QGS17" s="1"/>
      <c r="QGT17" s="1"/>
      <c r="QGU17" s="1"/>
      <c r="QGV17" s="1"/>
      <c r="QGW17" s="1"/>
      <c r="QGX17" s="1"/>
      <c r="QGY17" s="1"/>
      <c r="QGZ17" s="1"/>
      <c r="QHA17" s="1"/>
      <c r="QHB17" s="1"/>
      <c r="QHC17" s="1"/>
      <c r="QHD17" s="1"/>
      <c r="QHE17" s="1"/>
      <c r="QHF17" s="1"/>
      <c r="QHG17" s="1"/>
      <c r="QHH17" s="1"/>
      <c r="QHI17" s="1"/>
      <c r="QHJ17" s="1"/>
      <c r="QHK17" s="1"/>
      <c r="QHL17" s="1"/>
      <c r="QHM17" s="1"/>
      <c r="QHN17" s="1"/>
      <c r="QHO17" s="1"/>
      <c r="QHP17" s="1"/>
      <c r="QHQ17" s="1"/>
      <c r="QHR17" s="1"/>
      <c r="QHS17" s="1"/>
      <c r="QHT17" s="1"/>
      <c r="QHU17" s="1"/>
      <c r="QHV17" s="1"/>
      <c r="QHW17" s="1"/>
      <c r="QHX17" s="1"/>
      <c r="QHY17" s="1"/>
      <c r="QHZ17" s="1"/>
      <c r="QIA17" s="1"/>
      <c r="QIB17" s="1"/>
      <c r="QIC17" s="1"/>
      <c r="QID17" s="1"/>
      <c r="QIE17" s="1"/>
      <c r="QIF17" s="1"/>
      <c r="QIG17" s="1"/>
      <c r="QIH17" s="1"/>
      <c r="QII17" s="1"/>
      <c r="QIJ17" s="1"/>
      <c r="QIK17" s="1"/>
      <c r="QIL17" s="1"/>
      <c r="QIM17" s="1"/>
      <c r="QIN17" s="1"/>
      <c r="QIO17" s="1"/>
      <c r="QIP17" s="1"/>
      <c r="QIQ17" s="1"/>
      <c r="QIR17" s="1"/>
      <c r="QIS17" s="1"/>
      <c r="QIT17" s="1"/>
      <c r="QIU17" s="1"/>
      <c r="QIV17" s="1"/>
      <c r="QIW17" s="1"/>
      <c r="QIX17" s="1"/>
      <c r="QIY17" s="1"/>
      <c r="QIZ17" s="1"/>
      <c r="QJA17" s="1"/>
      <c r="QJB17" s="1"/>
      <c r="QJC17" s="1"/>
      <c r="QJD17" s="1"/>
      <c r="QJE17" s="1"/>
      <c r="QJF17" s="1"/>
      <c r="QJG17" s="1"/>
      <c r="QJH17" s="1"/>
      <c r="QJI17" s="1"/>
      <c r="QJJ17" s="1"/>
      <c r="QJK17" s="1"/>
      <c r="QJL17" s="1"/>
      <c r="QJM17" s="1"/>
      <c r="QJN17" s="1"/>
      <c r="QJO17" s="1"/>
      <c r="QJP17" s="1"/>
      <c r="QJQ17" s="1"/>
      <c r="QJR17" s="1"/>
      <c r="QJS17" s="1"/>
      <c r="QJT17" s="1"/>
      <c r="QJU17" s="1"/>
      <c r="QJV17" s="1"/>
      <c r="QJW17" s="1"/>
      <c r="QJX17" s="1"/>
      <c r="QJY17" s="1"/>
      <c r="QJZ17" s="1"/>
      <c r="QKA17" s="1"/>
      <c r="QKB17" s="1"/>
      <c r="QKC17" s="1"/>
      <c r="QKD17" s="1"/>
      <c r="QKE17" s="1"/>
      <c r="QKF17" s="1"/>
      <c r="QKG17" s="1"/>
      <c r="QKH17" s="1"/>
      <c r="QKI17" s="1"/>
      <c r="QKJ17" s="1"/>
      <c r="QKK17" s="1"/>
      <c r="QKL17" s="1"/>
      <c r="QKM17" s="1"/>
      <c r="QKN17" s="1"/>
      <c r="QKO17" s="1"/>
      <c r="QKP17" s="1"/>
      <c r="QKQ17" s="1"/>
      <c r="QKR17" s="1"/>
      <c r="QKS17" s="1"/>
      <c r="QKT17" s="1"/>
      <c r="QKU17" s="1"/>
      <c r="QKV17" s="1"/>
      <c r="QKW17" s="1"/>
      <c r="QKX17" s="1"/>
      <c r="QKY17" s="1"/>
      <c r="QKZ17" s="1"/>
      <c r="QLA17" s="1"/>
      <c r="QLB17" s="1"/>
      <c r="QLC17" s="1"/>
      <c r="QLD17" s="1"/>
      <c r="QLE17" s="1"/>
      <c r="QLF17" s="1"/>
      <c r="QLG17" s="1"/>
      <c r="QLH17" s="1"/>
      <c r="QLI17" s="1"/>
      <c r="QLJ17" s="1"/>
      <c r="QLK17" s="1"/>
      <c r="QLL17" s="1"/>
      <c r="QLM17" s="1"/>
      <c r="QLN17" s="1"/>
      <c r="QLO17" s="1"/>
      <c r="QLP17" s="1"/>
      <c r="QLQ17" s="1"/>
      <c r="QLR17" s="1"/>
      <c r="QLS17" s="1"/>
      <c r="QLT17" s="1"/>
      <c r="QLU17" s="1"/>
      <c r="QLV17" s="1"/>
      <c r="QLW17" s="1"/>
      <c r="QLX17" s="1"/>
      <c r="QLY17" s="1"/>
      <c r="QLZ17" s="1"/>
      <c r="QMA17" s="1"/>
      <c r="QMB17" s="1"/>
      <c r="QMC17" s="1"/>
      <c r="QMD17" s="1"/>
      <c r="QME17" s="1"/>
      <c r="QMF17" s="1"/>
      <c r="QMG17" s="1"/>
      <c r="QMH17" s="1"/>
      <c r="QMI17" s="1"/>
      <c r="QMJ17" s="1"/>
      <c r="QMK17" s="1"/>
      <c r="QML17" s="1"/>
      <c r="QMM17" s="1"/>
      <c r="QMN17" s="1"/>
      <c r="QMO17" s="1"/>
      <c r="QMP17" s="1"/>
      <c r="QMQ17" s="1"/>
      <c r="QMR17" s="1"/>
      <c r="QMS17" s="1"/>
      <c r="QMT17" s="1"/>
      <c r="QMU17" s="1"/>
      <c r="QMV17" s="1"/>
      <c r="QMW17" s="1"/>
      <c r="QMX17" s="1"/>
      <c r="QMY17" s="1"/>
      <c r="QMZ17" s="1"/>
      <c r="QNA17" s="1"/>
      <c r="QNB17" s="1"/>
      <c r="QNC17" s="1"/>
      <c r="QND17" s="1"/>
      <c r="QNE17" s="1"/>
      <c r="QNF17" s="1"/>
      <c r="QNG17" s="1"/>
      <c r="QNH17" s="1"/>
      <c r="QNI17" s="1"/>
      <c r="QNJ17" s="1"/>
      <c r="QNK17" s="1"/>
      <c r="QNL17" s="1"/>
      <c r="QNM17" s="1"/>
      <c r="QNN17" s="1"/>
      <c r="QNO17" s="1"/>
      <c r="QNP17" s="1"/>
      <c r="QNQ17" s="1"/>
      <c r="QNR17" s="1"/>
      <c r="QNS17" s="1"/>
      <c r="QNT17" s="1"/>
      <c r="QNU17" s="1"/>
      <c r="QNV17" s="1"/>
      <c r="QNW17" s="1"/>
      <c r="QNX17" s="1"/>
      <c r="QNY17" s="1"/>
      <c r="QNZ17" s="1"/>
      <c r="QOA17" s="1"/>
      <c r="QOB17" s="1"/>
      <c r="QOC17" s="1"/>
      <c r="QOD17" s="1"/>
      <c r="QOE17" s="1"/>
      <c r="QOF17" s="1"/>
      <c r="QOG17" s="1"/>
      <c r="QOH17" s="1"/>
      <c r="QOI17" s="1"/>
      <c r="QOJ17" s="1"/>
      <c r="QOK17" s="1"/>
      <c r="QOL17" s="1"/>
      <c r="QOM17" s="1"/>
      <c r="QON17" s="1"/>
      <c r="QOO17" s="1"/>
      <c r="QOP17" s="1"/>
      <c r="QOQ17" s="1"/>
      <c r="QOR17" s="1"/>
      <c r="QOS17" s="1"/>
      <c r="QOT17" s="1"/>
      <c r="QOU17" s="1"/>
      <c r="QOV17" s="1"/>
      <c r="QOW17" s="1"/>
      <c r="QOX17" s="1"/>
      <c r="QOY17" s="1"/>
      <c r="QOZ17" s="1"/>
      <c r="QPA17" s="1"/>
      <c r="QPB17" s="1"/>
      <c r="QPC17" s="1"/>
      <c r="QPD17" s="1"/>
      <c r="QPE17" s="1"/>
      <c r="QPF17" s="1"/>
      <c r="QPG17" s="1"/>
      <c r="QPH17" s="1"/>
      <c r="QPI17" s="1"/>
      <c r="QPJ17" s="1"/>
      <c r="QPK17" s="1"/>
      <c r="QPL17" s="1"/>
      <c r="QPM17" s="1"/>
      <c r="QPN17" s="1"/>
      <c r="QPO17" s="1"/>
      <c r="QPP17" s="1"/>
      <c r="QPQ17" s="1"/>
      <c r="QPR17" s="1"/>
      <c r="QPS17" s="1"/>
      <c r="QPT17" s="1"/>
      <c r="QPU17" s="1"/>
      <c r="QPV17" s="1"/>
      <c r="QPW17" s="1"/>
      <c r="QPX17" s="1"/>
      <c r="QPY17" s="1"/>
      <c r="QPZ17" s="1"/>
      <c r="QQA17" s="1"/>
      <c r="QQB17" s="1"/>
      <c r="QQC17" s="1"/>
      <c r="QQD17" s="1"/>
      <c r="QQE17" s="1"/>
      <c r="QQF17" s="1"/>
      <c r="QQG17" s="1"/>
      <c r="QQH17" s="1"/>
      <c r="QQI17" s="1"/>
      <c r="QQJ17" s="1"/>
      <c r="QQK17" s="1"/>
      <c r="QQL17" s="1"/>
      <c r="QQM17" s="1"/>
      <c r="QQN17" s="1"/>
      <c r="QQO17" s="1"/>
      <c r="QQP17" s="1"/>
      <c r="QQQ17" s="1"/>
      <c r="QQR17" s="1"/>
      <c r="QQS17" s="1"/>
      <c r="QQT17" s="1"/>
      <c r="QQU17" s="1"/>
      <c r="QQV17" s="1"/>
      <c r="QQW17" s="1"/>
      <c r="QQX17" s="1"/>
      <c r="QQY17" s="1"/>
      <c r="QQZ17" s="1"/>
      <c r="QRA17" s="1"/>
      <c r="QRB17" s="1"/>
      <c r="QRC17" s="1"/>
      <c r="QRD17" s="1"/>
      <c r="QRE17" s="1"/>
      <c r="QRF17" s="1"/>
      <c r="QRG17" s="1"/>
      <c r="QRH17" s="1"/>
      <c r="QRI17" s="1"/>
      <c r="QRJ17" s="1"/>
      <c r="QRK17" s="1"/>
      <c r="QRL17" s="1"/>
      <c r="QRM17" s="1"/>
      <c r="QRN17" s="1"/>
      <c r="QRO17" s="1"/>
      <c r="QRP17" s="1"/>
      <c r="QRQ17" s="1"/>
      <c r="QRR17" s="1"/>
      <c r="QRS17" s="1"/>
      <c r="QRT17" s="1"/>
      <c r="QRU17" s="1"/>
      <c r="QRV17" s="1"/>
      <c r="QRW17" s="1"/>
      <c r="QRX17" s="1"/>
      <c r="QRY17" s="1"/>
      <c r="QRZ17" s="1"/>
      <c r="QSA17" s="1"/>
      <c r="QSB17" s="1"/>
      <c r="QSC17" s="1"/>
      <c r="QSD17" s="1"/>
      <c r="QSE17" s="1"/>
      <c r="QSF17" s="1"/>
      <c r="QSG17" s="1"/>
      <c r="QSH17" s="1"/>
      <c r="QSI17" s="1"/>
      <c r="QSJ17" s="1"/>
      <c r="QSK17" s="1"/>
      <c r="QSL17" s="1"/>
      <c r="QSM17" s="1"/>
      <c r="QSN17" s="1"/>
      <c r="QSO17" s="1"/>
      <c r="QSP17" s="1"/>
      <c r="QSQ17" s="1"/>
      <c r="QSR17" s="1"/>
      <c r="QSS17" s="1"/>
      <c r="QST17" s="1"/>
      <c r="QSU17" s="1"/>
      <c r="QSV17" s="1"/>
      <c r="QSW17" s="1"/>
      <c r="QSX17" s="1"/>
      <c r="QSY17" s="1"/>
      <c r="QSZ17" s="1"/>
      <c r="QTA17" s="1"/>
      <c r="QTB17" s="1"/>
      <c r="QTC17" s="1"/>
      <c r="QTD17" s="1"/>
      <c r="QTE17" s="1"/>
      <c r="QTF17" s="1"/>
      <c r="QTG17" s="1"/>
      <c r="QTH17" s="1"/>
      <c r="QTI17" s="1"/>
      <c r="QTJ17" s="1"/>
      <c r="QTK17" s="1"/>
      <c r="QTL17" s="1"/>
      <c r="QTM17" s="1"/>
      <c r="QTN17" s="1"/>
      <c r="QTO17" s="1"/>
      <c r="QTP17" s="1"/>
      <c r="QTQ17" s="1"/>
      <c r="QTR17" s="1"/>
      <c r="QTS17" s="1"/>
      <c r="QTT17" s="1"/>
      <c r="QTU17" s="1"/>
      <c r="QTV17" s="1"/>
      <c r="QTW17" s="1"/>
      <c r="QTX17" s="1"/>
      <c r="QTY17" s="1"/>
      <c r="QTZ17" s="1"/>
      <c r="QUA17" s="1"/>
      <c r="QUB17" s="1"/>
      <c r="QUC17" s="1"/>
      <c r="QUD17" s="1"/>
      <c r="QUE17" s="1"/>
      <c r="QUF17" s="1"/>
      <c r="QUG17" s="1"/>
      <c r="QUH17" s="1"/>
      <c r="QUI17" s="1"/>
      <c r="QUJ17" s="1"/>
      <c r="QUK17" s="1"/>
      <c r="QUL17" s="1"/>
      <c r="QUM17" s="1"/>
      <c r="QUN17" s="1"/>
      <c r="QUO17" s="1"/>
      <c r="QUP17" s="1"/>
      <c r="QUQ17" s="1"/>
      <c r="QUR17" s="1"/>
      <c r="QUS17" s="1"/>
      <c r="QUT17" s="1"/>
      <c r="QUU17" s="1"/>
      <c r="QUV17" s="1"/>
      <c r="QUW17" s="1"/>
      <c r="QUX17" s="1"/>
      <c r="QUY17" s="1"/>
      <c r="QUZ17" s="1"/>
      <c r="QVA17" s="1"/>
      <c r="QVB17" s="1"/>
      <c r="QVC17" s="1"/>
      <c r="QVD17" s="1"/>
      <c r="QVE17" s="1"/>
      <c r="QVF17" s="1"/>
      <c r="QVG17" s="1"/>
      <c r="QVH17" s="1"/>
      <c r="QVI17" s="1"/>
      <c r="QVJ17" s="1"/>
      <c r="QVK17" s="1"/>
      <c r="QVL17" s="1"/>
      <c r="QVM17" s="1"/>
      <c r="QVN17" s="1"/>
      <c r="QVO17" s="1"/>
      <c r="QVP17" s="1"/>
      <c r="QVQ17" s="1"/>
      <c r="QVR17" s="1"/>
      <c r="QVS17" s="1"/>
      <c r="QVT17" s="1"/>
      <c r="QVU17" s="1"/>
      <c r="QVV17" s="1"/>
      <c r="QVW17" s="1"/>
      <c r="QVX17" s="1"/>
      <c r="QVY17" s="1"/>
      <c r="QVZ17" s="1"/>
      <c r="QWA17" s="1"/>
      <c r="QWB17" s="1"/>
      <c r="QWC17" s="1"/>
      <c r="QWD17" s="1"/>
      <c r="QWE17" s="1"/>
      <c r="QWF17" s="1"/>
      <c r="QWG17" s="1"/>
      <c r="QWH17" s="1"/>
      <c r="QWI17" s="1"/>
      <c r="QWJ17" s="1"/>
      <c r="QWK17" s="1"/>
      <c r="QWL17" s="1"/>
      <c r="QWM17" s="1"/>
      <c r="QWN17" s="1"/>
      <c r="QWO17" s="1"/>
      <c r="QWP17" s="1"/>
      <c r="QWQ17" s="1"/>
      <c r="QWR17" s="1"/>
      <c r="QWS17" s="1"/>
      <c r="QWT17" s="1"/>
      <c r="QWU17" s="1"/>
      <c r="QWV17" s="1"/>
      <c r="QWW17" s="1"/>
      <c r="QWX17" s="1"/>
      <c r="QWY17" s="1"/>
      <c r="QWZ17" s="1"/>
      <c r="QXA17" s="1"/>
      <c r="QXB17" s="1"/>
      <c r="QXC17" s="1"/>
      <c r="QXD17" s="1"/>
      <c r="QXE17" s="1"/>
      <c r="QXF17" s="1"/>
      <c r="QXG17" s="1"/>
      <c r="QXH17" s="1"/>
      <c r="QXI17" s="1"/>
      <c r="QXJ17" s="1"/>
      <c r="QXK17" s="1"/>
      <c r="QXL17" s="1"/>
      <c r="QXM17" s="1"/>
      <c r="QXN17" s="1"/>
      <c r="QXO17" s="1"/>
      <c r="QXP17" s="1"/>
      <c r="QXQ17" s="1"/>
      <c r="QXR17" s="1"/>
      <c r="QXS17" s="1"/>
      <c r="QXT17" s="1"/>
      <c r="QXU17" s="1"/>
      <c r="QXV17" s="1"/>
      <c r="QXW17" s="1"/>
      <c r="QXX17" s="1"/>
      <c r="QXY17" s="1"/>
      <c r="QXZ17" s="1"/>
      <c r="QYA17" s="1"/>
      <c r="QYB17" s="1"/>
      <c r="QYC17" s="1"/>
      <c r="QYD17" s="1"/>
      <c r="QYE17" s="1"/>
      <c r="QYF17" s="1"/>
      <c r="QYG17" s="1"/>
      <c r="QYH17" s="1"/>
      <c r="QYI17" s="1"/>
      <c r="QYJ17" s="1"/>
      <c r="QYK17" s="1"/>
      <c r="QYL17" s="1"/>
      <c r="QYM17" s="1"/>
      <c r="QYN17" s="1"/>
      <c r="QYO17" s="1"/>
      <c r="QYP17" s="1"/>
      <c r="QYQ17" s="1"/>
      <c r="QYR17" s="1"/>
      <c r="QYS17" s="1"/>
      <c r="QYT17" s="1"/>
      <c r="QYU17" s="1"/>
      <c r="QYV17" s="1"/>
      <c r="QYW17" s="1"/>
      <c r="QYX17" s="1"/>
      <c r="QYY17" s="1"/>
      <c r="QYZ17" s="1"/>
      <c r="QZA17" s="1"/>
      <c r="QZB17" s="1"/>
      <c r="QZC17" s="1"/>
      <c r="QZD17" s="1"/>
      <c r="QZE17" s="1"/>
      <c r="QZF17" s="1"/>
      <c r="QZG17" s="1"/>
      <c r="QZH17" s="1"/>
      <c r="QZI17" s="1"/>
      <c r="QZJ17" s="1"/>
      <c r="QZK17" s="1"/>
      <c r="QZL17" s="1"/>
      <c r="QZM17" s="1"/>
      <c r="QZN17" s="1"/>
      <c r="QZO17" s="1"/>
      <c r="QZP17" s="1"/>
      <c r="QZQ17" s="1"/>
      <c r="QZR17" s="1"/>
      <c r="QZS17" s="1"/>
      <c r="QZT17" s="1"/>
      <c r="QZU17" s="1"/>
      <c r="QZV17" s="1"/>
      <c r="QZW17" s="1"/>
      <c r="QZX17" s="1"/>
      <c r="QZY17" s="1"/>
      <c r="QZZ17" s="1"/>
      <c r="RAA17" s="1"/>
      <c r="RAB17" s="1"/>
      <c r="RAC17" s="1"/>
      <c r="RAD17" s="1"/>
      <c r="RAE17" s="1"/>
      <c r="RAF17" s="1"/>
      <c r="RAG17" s="1"/>
      <c r="RAH17" s="1"/>
      <c r="RAI17" s="1"/>
      <c r="RAJ17" s="1"/>
      <c r="RAK17" s="1"/>
      <c r="RAL17" s="1"/>
      <c r="RAM17" s="1"/>
      <c r="RAN17" s="1"/>
      <c r="RAO17" s="1"/>
      <c r="RAP17" s="1"/>
      <c r="RAQ17" s="1"/>
      <c r="RAR17" s="1"/>
      <c r="RAS17" s="1"/>
      <c r="RAT17" s="1"/>
      <c r="RAU17" s="1"/>
      <c r="RAV17" s="1"/>
      <c r="RAW17" s="1"/>
      <c r="RAX17" s="1"/>
      <c r="RAY17" s="1"/>
      <c r="RAZ17" s="1"/>
      <c r="RBA17" s="1"/>
      <c r="RBB17" s="1"/>
      <c r="RBC17" s="1"/>
      <c r="RBD17" s="1"/>
      <c r="RBE17" s="1"/>
      <c r="RBF17" s="1"/>
      <c r="RBG17" s="1"/>
      <c r="RBH17" s="1"/>
      <c r="RBI17" s="1"/>
      <c r="RBJ17" s="1"/>
      <c r="RBK17" s="1"/>
      <c r="RBL17" s="1"/>
      <c r="RBM17" s="1"/>
      <c r="RBN17" s="1"/>
      <c r="RBO17" s="1"/>
      <c r="RBP17" s="1"/>
      <c r="RBQ17" s="1"/>
      <c r="RBR17" s="1"/>
      <c r="RBS17" s="1"/>
      <c r="RBT17" s="1"/>
      <c r="RBU17" s="1"/>
      <c r="RBV17" s="1"/>
      <c r="RBW17" s="1"/>
      <c r="RBX17" s="1"/>
      <c r="RBY17" s="1"/>
      <c r="RBZ17" s="1"/>
      <c r="RCA17" s="1"/>
      <c r="RCB17" s="1"/>
      <c r="RCC17" s="1"/>
      <c r="RCD17" s="1"/>
      <c r="RCE17" s="1"/>
      <c r="RCF17" s="1"/>
      <c r="RCG17" s="1"/>
      <c r="RCH17" s="1"/>
      <c r="RCI17" s="1"/>
      <c r="RCJ17" s="1"/>
      <c r="RCK17" s="1"/>
      <c r="RCL17" s="1"/>
      <c r="RCM17" s="1"/>
      <c r="RCN17" s="1"/>
      <c r="RCO17" s="1"/>
      <c r="RCP17" s="1"/>
      <c r="RCQ17" s="1"/>
      <c r="RCR17" s="1"/>
      <c r="RCS17" s="1"/>
      <c r="RCT17" s="1"/>
      <c r="RCU17" s="1"/>
      <c r="RCV17" s="1"/>
      <c r="RCW17" s="1"/>
      <c r="RCX17" s="1"/>
      <c r="RCY17" s="1"/>
      <c r="RCZ17" s="1"/>
      <c r="RDA17" s="1"/>
      <c r="RDB17" s="1"/>
      <c r="RDC17" s="1"/>
      <c r="RDD17" s="1"/>
      <c r="RDE17" s="1"/>
      <c r="RDF17" s="1"/>
      <c r="RDG17" s="1"/>
      <c r="RDH17" s="1"/>
      <c r="RDI17" s="1"/>
      <c r="RDJ17" s="1"/>
      <c r="RDK17" s="1"/>
      <c r="RDL17" s="1"/>
      <c r="RDM17" s="1"/>
      <c r="RDN17" s="1"/>
      <c r="RDO17" s="1"/>
      <c r="RDP17" s="1"/>
      <c r="RDQ17" s="1"/>
      <c r="RDR17" s="1"/>
      <c r="RDS17" s="1"/>
      <c r="RDT17" s="1"/>
      <c r="RDU17" s="1"/>
      <c r="RDV17" s="1"/>
      <c r="RDW17" s="1"/>
      <c r="RDX17" s="1"/>
      <c r="RDY17" s="1"/>
      <c r="RDZ17" s="1"/>
      <c r="REA17" s="1"/>
      <c r="REB17" s="1"/>
      <c r="REC17" s="1"/>
      <c r="RED17" s="1"/>
      <c r="REE17" s="1"/>
      <c r="REF17" s="1"/>
      <c r="REG17" s="1"/>
      <c r="REH17" s="1"/>
      <c r="REI17" s="1"/>
      <c r="REJ17" s="1"/>
      <c r="REK17" s="1"/>
      <c r="REL17" s="1"/>
      <c r="REM17" s="1"/>
      <c r="REN17" s="1"/>
      <c r="REO17" s="1"/>
      <c r="REP17" s="1"/>
      <c r="REQ17" s="1"/>
      <c r="RER17" s="1"/>
      <c r="RES17" s="1"/>
      <c r="RET17" s="1"/>
      <c r="REU17" s="1"/>
      <c r="REV17" s="1"/>
      <c r="REW17" s="1"/>
      <c r="REX17" s="1"/>
      <c r="REY17" s="1"/>
      <c r="REZ17" s="1"/>
      <c r="RFA17" s="1"/>
      <c r="RFB17" s="1"/>
      <c r="RFC17" s="1"/>
      <c r="RFD17" s="1"/>
      <c r="RFE17" s="1"/>
      <c r="RFF17" s="1"/>
      <c r="RFG17" s="1"/>
      <c r="RFH17" s="1"/>
      <c r="RFI17" s="1"/>
      <c r="RFJ17" s="1"/>
      <c r="RFK17" s="1"/>
      <c r="RFL17" s="1"/>
      <c r="RFM17" s="1"/>
      <c r="RFN17" s="1"/>
      <c r="RFO17" s="1"/>
      <c r="RFP17" s="1"/>
      <c r="RFQ17" s="1"/>
      <c r="RFR17" s="1"/>
      <c r="RFS17" s="1"/>
      <c r="RFT17" s="1"/>
      <c r="RFU17" s="1"/>
      <c r="RFV17" s="1"/>
      <c r="RFW17" s="1"/>
      <c r="RFX17" s="1"/>
      <c r="RFY17" s="1"/>
      <c r="RFZ17" s="1"/>
      <c r="RGA17" s="1"/>
      <c r="RGB17" s="1"/>
      <c r="RGC17" s="1"/>
      <c r="RGD17" s="1"/>
      <c r="RGE17" s="1"/>
      <c r="RGF17" s="1"/>
      <c r="RGG17" s="1"/>
      <c r="RGH17" s="1"/>
      <c r="RGI17" s="1"/>
      <c r="RGJ17" s="1"/>
      <c r="RGK17" s="1"/>
      <c r="RGL17" s="1"/>
      <c r="RGM17" s="1"/>
      <c r="RGN17" s="1"/>
      <c r="RGO17" s="1"/>
      <c r="RGP17" s="1"/>
      <c r="RGQ17" s="1"/>
      <c r="RGR17" s="1"/>
      <c r="RGS17" s="1"/>
      <c r="RGT17" s="1"/>
      <c r="RGU17" s="1"/>
      <c r="RGV17" s="1"/>
      <c r="RGW17" s="1"/>
      <c r="RGX17" s="1"/>
      <c r="RGY17" s="1"/>
      <c r="RGZ17" s="1"/>
      <c r="RHA17" s="1"/>
      <c r="RHB17" s="1"/>
      <c r="RHC17" s="1"/>
      <c r="RHD17" s="1"/>
      <c r="RHE17" s="1"/>
      <c r="RHF17" s="1"/>
      <c r="RHG17" s="1"/>
      <c r="RHH17" s="1"/>
      <c r="RHI17" s="1"/>
      <c r="RHJ17" s="1"/>
      <c r="RHK17" s="1"/>
      <c r="RHL17" s="1"/>
      <c r="RHM17" s="1"/>
      <c r="RHN17" s="1"/>
      <c r="RHO17" s="1"/>
      <c r="RHP17" s="1"/>
      <c r="RHQ17" s="1"/>
      <c r="RHR17" s="1"/>
      <c r="RHS17" s="1"/>
      <c r="RHT17" s="1"/>
      <c r="RHU17" s="1"/>
      <c r="RHV17" s="1"/>
      <c r="RHW17" s="1"/>
      <c r="RHX17" s="1"/>
      <c r="RHY17" s="1"/>
      <c r="RHZ17" s="1"/>
      <c r="RIA17" s="1"/>
      <c r="RIB17" s="1"/>
      <c r="RIC17" s="1"/>
      <c r="RID17" s="1"/>
      <c r="RIE17" s="1"/>
      <c r="RIF17" s="1"/>
      <c r="RIG17" s="1"/>
      <c r="RIH17" s="1"/>
      <c r="RII17" s="1"/>
      <c r="RIJ17" s="1"/>
      <c r="RIK17" s="1"/>
      <c r="RIL17" s="1"/>
      <c r="RIM17" s="1"/>
      <c r="RIN17" s="1"/>
      <c r="RIO17" s="1"/>
      <c r="RIP17" s="1"/>
      <c r="RIQ17" s="1"/>
      <c r="RIR17" s="1"/>
      <c r="RIS17" s="1"/>
      <c r="RIT17" s="1"/>
      <c r="RIU17" s="1"/>
      <c r="RIV17" s="1"/>
      <c r="RIW17" s="1"/>
      <c r="RIX17" s="1"/>
      <c r="RIY17" s="1"/>
      <c r="RIZ17" s="1"/>
      <c r="RJA17" s="1"/>
      <c r="RJB17" s="1"/>
      <c r="RJC17" s="1"/>
      <c r="RJD17" s="1"/>
      <c r="RJE17" s="1"/>
      <c r="RJF17" s="1"/>
      <c r="RJG17" s="1"/>
      <c r="RJH17" s="1"/>
      <c r="RJI17" s="1"/>
      <c r="RJJ17" s="1"/>
      <c r="RJK17" s="1"/>
      <c r="RJL17" s="1"/>
      <c r="RJM17" s="1"/>
      <c r="RJN17" s="1"/>
      <c r="RJO17" s="1"/>
      <c r="RJP17" s="1"/>
      <c r="RJQ17" s="1"/>
      <c r="RJR17" s="1"/>
      <c r="RJS17" s="1"/>
      <c r="RJT17" s="1"/>
      <c r="RJU17" s="1"/>
      <c r="RJV17" s="1"/>
      <c r="RJW17" s="1"/>
      <c r="RJX17" s="1"/>
      <c r="RJY17" s="1"/>
      <c r="RJZ17" s="1"/>
      <c r="RKA17" s="1"/>
      <c r="RKB17" s="1"/>
      <c r="RKC17" s="1"/>
      <c r="RKD17" s="1"/>
      <c r="RKE17" s="1"/>
      <c r="RKF17" s="1"/>
      <c r="RKG17" s="1"/>
      <c r="RKH17" s="1"/>
      <c r="RKI17" s="1"/>
      <c r="RKJ17" s="1"/>
      <c r="RKK17" s="1"/>
      <c r="RKL17" s="1"/>
      <c r="RKM17" s="1"/>
      <c r="RKN17" s="1"/>
      <c r="RKO17" s="1"/>
      <c r="RKP17" s="1"/>
      <c r="RKQ17" s="1"/>
      <c r="RKR17" s="1"/>
      <c r="RKS17" s="1"/>
      <c r="RKT17" s="1"/>
      <c r="RKU17" s="1"/>
      <c r="RKV17" s="1"/>
      <c r="RKW17" s="1"/>
      <c r="RKX17" s="1"/>
      <c r="RKY17" s="1"/>
      <c r="RKZ17" s="1"/>
      <c r="RLA17" s="1"/>
      <c r="RLB17" s="1"/>
      <c r="RLC17" s="1"/>
      <c r="RLD17" s="1"/>
      <c r="RLE17" s="1"/>
      <c r="RLF17" s="1"/>
      <c r="RLG17" s="1"/>
      <c r="RLH17" s="1"/>
      <c r="RLI17" s="1"/>
      <c r="RLJ17" s="1"/>
      <c r="RLK17" s="1"/>
      <c r="RLL17" s="1"/>
      <c r="RLM17" s="1"/>
      <c r="RLN17" s="1"/>
      <c r="RLO17" s="1"/>
      <c r="RLP17" s="1"/>
      <c r="RLQ17" s="1"/>
      <c r="RLR17" s="1"/>
      <c r="RLS17" s="1"/>
      <c r="RLT17" s="1"/>
      <c r="RLU17" s="1"/>
      <c r="RLV17" s="1"/>
      <c r="RLW17" s="1"/>
      <c r="RLX17" s="1"/>
      <c r="RLY17" s="1"/>
      <c r="RLZ17" s="1"/>
      <c r="RMA17" s="1"/>
      <c r="RMB17" s="1"/>
      <c r="RMC17" s="1"/>
      <c r="RMD17" s="1"/>
      <c r="RME17" s="1"/>
      <c r="RMF17" s="1"/>
      <c r="RMG17" s="1"/>
      <c r="RMH17" s="1"/>
      <c r="RMI17" s="1"/>
      <c r="RMJ17" s="1"/>
      <c r="RMK17" s="1"/>
      <c r="RML17" s="1"/>
      <c r="RMM17" s="1"/>
      <c r="RMN17" s="1"/>
      <c r="RMO17" s="1"/>
      <c r="RMP17" s="1"/>
      <c r="RMQ17" s="1"/>
      <c r="RMR17" s="1"/>
      <c r="RMS17" s="1"/>
      <c r="RMT17" s="1"/>
      <c r="RMU17" s="1"/>
      <c r="RMV17" s="1"/>
      <c r="RMW17" s="1"/>
      <c r="RMX17" s="1"/>
      <c r="RMY17" s="1"/>
      <c r="RMZ17" s="1"/>
      <c r="RNA17" s="1"/>
      <c r="RNB17" s="1"/>
      <c r="RNC17" s="1"/>
      <c r="RND17" s="1"/>
      <c r="RNE17" s="1"/>
      <c r="RNF17" s="1"/>
      <c r="RNG17" s="1"/>
      <c r="RNH17" s="1"/>
      <c r="RNI17" s="1"/>
      <c r="RNJ17" s="1"/>
      <c r="RNK17" s="1"/>
      <c r="RNL17" s="1"/>
      <c r="RNM17" s="1"/>
      <c r="RNN17" s="1"/>
      <c r="RNO17" s="1"/>
      <c r="RNP17" s="1"/>
      <c r="RNQ17" s="1"/>
      <c r="RNR17" s="1"/>
      <c r="RNS17" s="1"/>
      <c r="RNT17" s="1"/>
      <c r="RNU17" s="1"/>
      <c r="RNV17" s="1"/>
      <c r="RNW17" s="1"/>
      <c r="RNX17" s="1"/>
      <c r="RNY17" s="1"/>
      <c r="RNZ17" s="1"/>
      <c r="ROA17" s="1"/>
      <c r="ROB17" s="1"/>
      <c r="ROC17" s="1"/>
      <c r="ROD17" s="1"/>
      <c r="ROE17" s="1"/>
      <c r="ROF17" s="1"/>
      <c r="ROG17" s="1"/>
      <c r="ROH17" s="1"/>
      <c r="ROI17" s="1"/>
      <c r="ROJ17" s="1"/>
      <c r="ROK17" s="1"/>
      <c r="ROL17" s="1"/>
      <c r="ROM17" s="1"/>
      <c r="RON17" s="1"/>
      <c r="ROO17" s="1"/>
      <c r="ROP17" s="1"/>
      <c r="ROQ17" s="1"/>
      <c r="ROR17" s="1"/>
      <c r="ROS17" s="1"/>
      <c r="ROT17" s="1"/>
      <c r="ROU17" s="1"/>
      <c r="ROV17" s="1"/>
      <c r="ROW17" s="1"/>
      <c r="ROX17" s="1"/>
      <c r="ROY17" s="1"/>
      <c r="ROZ17" s="1"/>
      <c r="RPA17" s="1"/>
      <c r="RPB17" s="1"/>
      <c r="RPC17" s="1"/>
      <c r="RPD17" s="1"/>
      <c r="RPE17" s="1"/>
      <c r="RPF17" s="1"/>
      <c r="RPG17" s="1"/>
      <c r="RPH17" s="1"/>
      <c r="RPI17" s="1"/>
      <c r="RPJ17" s="1"/>
      <c r="RPK17" s="1"/>
      <c r="RPL17" s="1"/>
      <c r="RPM17" s="1"/>
      <c r="RPN17" s="1"/>
      <c r="RPO17" s="1"/>
      <c r="RPP17" s="1"/>
      <c r="RPQ17" s="1"/>
      <c r="RPR17" s="1"/>
      <c r="RPS17" s="1"/>
      <c r="RPT17" s="1"/>
      <c r="RPU17" s="1"/>
      <c r="RPV17" s="1"/>
      <c r="RPW17" s="1"/>
      <c r="RPX17" s="1"/>
      <c r="RPY17" s="1"/>
      <c r="RPZ17" s="1"/>
      <c r="RQA17" s="1"/>
      <c r="RQB17" s="1"/>
      <c r="RQC17" s="1"/>
      <c r="RQD17" s="1"/>
      <c r="RQE17" s="1"/>
      <c r="RQF17" s="1"/>
      <c r="RQG17" s="1"/>
      <c r="RQH17" s="1"/>
      <c r="RQI17" s="1"/>
      <c r="RQJ17" s="1"/>
      <c r="RQK17" s="1"/>
      <c r="RQL17" s="1"/>
      <c r="RQM17" s="1"/>
      <c r="RQN17" s="1"/>
      <c r="RQO17" s="1"/>
      <c r="RQP17" s="1"/>
      <c r="RQQ17" s="1"/>
      <c r="RQR17" s="1"/>
      <c r="RQS17" s="1"/>
      <c r="RQT17" s="1"/>
      <c r="RQU17" s="1"/>
      <c r="RQV17" s="1"/>
      <c r="RQW17" s="1"/>
      <c r="RQX17" s="1"/>
      <c r="RQY17" s="1"/>
      <c r="RQZ17" s="1"/>
      <c r="RRA17" s="1"/>
      <c r="RRB17" s="1"/>
      <c r="RRC17" s="1"/>
      <c r="RRD17" s="1"/>
      <c r="RRE17" s="1"/>
      <c r="RRF17" s="1"/>
      <c r="RRG17" s="1"/>
      <c r="RRH17" s="1"/>
      <c r="RRI17" s="1"/>
      <c r="RRJ17" s="1"/>
      <c r="RRK17" s="1"/>
      <c r="RRL17" s="1"/>
      <c r="RRM17" s="1"/>
      <c r="RRN17" s="1"/>
      <c r="RRO17" s="1"/>
      <c r="RRP17" s="1"/>
      <c r="RRQ17" s="1"/>
      <c r="RRR17" s="1"/>
      <c r="RRS17" s="1"/>
      <c r="RRT17" s="1"/>
      <c r="RRU17" s="1"/>
      <c r="RRV17" s="1"/>
      <c r="RRW17" s="1"/>
      <c r="RRX17" s="1"/>
      <c r="RRY17" s="1"/>
      <c r="RRZ17" s="1"/>
      <c r="RSA17" s="1"/>
      <c r="RSB17" s="1"/>
      <c r="RSC17" s="1"/>
      <c r="RSD17" s="1"/>
      <c r="RSE17" s="1"/>
      <c r="RSF17" s="1"/>
      <c r="RSG17" s="1"/>
      <c r="RSH17" s="1"/>
      <c r="RSI17" s="1"/>
      <c r="RSJ17" s="1"/>
      <c r="RSK17" s="1"/>
      <c r="RSL17" s="1"/>
      <c r="RSM17" s="1"/>
      <c r="RSN17" s="1"/>
      <c r="RSO17" s="1"/>
      <c r="RSP17" s="1"/>
      <c r="RSQ17" s="1"/>
      <c r="RSR17" s="1"/>
      <c r="RSS17" s="1"/>
      <c r="RST17" s="1"/>
      <c r="RSU17" s="1"/>
      <c r="RSV17" s="1"/>
      <c r="RSW17" s="1"/>
      <c r="RSX17" s="1"/>
      <c r="RSY17" s="1"/>
      <c r="RSZ17" s="1"/>
      <c r="RTA17" s="1"/>
      <c r="RTB17" s="1"/>
      <c r="RTC17" s="1"/>
      <c r="RTD17" s="1"/>
      <c r="RTE17" s="1"/>
      <c r="RTF17" s="1"/>
      <c r="RTG17" s="1"/>
      <c r="RTH17" s="1"/>
      <c r="RTI17" s="1"/>
      <c r="RTJ17" s="1"/>
      <c r="RTK17" s="1"/>
      <c r="RTL17" s="1"/>
      <c r="RTM17" s="1"/>
      <c r="RTN17" s="1"/>
      <c r="RTO17" s="1"/>
      <c r="RTP17" s="1"/>
      <c r="RTQ17" s="1"/>
      <c r="RTR17" s="1"/>
      <c r="RTS17" s="1"/>
      <c r="RTT17" s="1"/>
      <c r="RTU17" s="1"/>
      <c r="RTV17" s="1"/>
      <c r="RTW17" s="1"/>
      <c r="RTX17" s="1"/>
      <c r="RTY17" s="1"/>
      <c r="RTZ17" s="1"/>
      <c r="RUA17" s="1"/>
      <c r="RUB17" s="1"/>
      <c r="RUC17" s="1"/>
      <c r="RUD17" s="1"/>
      <c r="RUE17" s="1"/>
      <c r="RUF17" s="1"/>
      <c r="RUG17" s="1"/>
      <c r="RUH17" s="1"/>
      <c r="RUI17" s="1"/>
      <c r="RUJ17" s="1"/>
      <c r="RUK17" s="1"/>
      <c r="RUL17" s="1"/>
      <c r="RUM17" s="1"/>
      <c r="RUN17" s="1"/>
      <c r="RUO17" s="1"/>
      <c r="RUP17" s="1"/>
      <c r="RUQ17" s="1"/>
      <c r="RUR17" s="1"/>
      <c r="RUS17" s="1"/>
      <c r="RUT17" s="1"/>
      <c r="RUU17" s="1"/>
      <c r="RUV17" s="1"/>
      <c r="RUW17" s="1"/>
      <c r="RUX17" s="1"/>
      <c r="RUY17" s="1"/>
      <c r="RUZ17" s="1"/>
      <c r="RVA17" s="1"/>
      <c r="RVB17" s="1"/>
      <c r="RVC17" s="1"/>
      <c r="RVD17" s="1"/>
      <c r="RVE17" s="1"/>
      <c r="RVF17" s="1"/>
      <c r="RVG17" s="1"/>
      <c r="RVH17" s="1"/>
      <c r="RVI17" s="1"/>
      <c r="RVJ17" s="1"/>
      <c r="RVK17" s="1"/>
      <c r="RVL17" s="1"/>
      <c r="RVM17" s="1"/>
      <c r="RVN17" s="1"/>
      <c r="RVO17" s="1"/>
      <c r="RVP17" s="1"/>
      <c r="RVQ17" s="1"/>
      <c r="RVR17" s="1"/>
      <c r="RVS17" s="1"/>
      <c r="RVT17" s="1"/>
      <c r="RVU17" s="1"/>
      <c r="RVV17" s="1"/>
      <c r="RVW17" s="1"/>
      <c r="RVX17" s="1"/>
      <c r="RVY17" s="1"/>
      <c r="RVZ17" s="1"/>
      <c r="RWA17" s="1"/>
      <c r="RWB17" s="1"/>
      <c r="RWC17" s="1"/>
      <c r="RWD17" s="1"/>
      <c r="RWE17" s="1"/>
      <c r="RWF17" s="1"/>
      <c r="RWG17" s="1"/>
      <c r="RWH17" s="1"/>
      <c r="RWI17" s="1"/>
      <c r="RWJ17" s="1"/>
      <c r="RWK17" s="1"/>
      <c r="RWL17" s="1"/>
      <c r="RWM17" s="1"/>
      <c r="RWN17" s="1"/>
      <c r="RWO17" s="1"/>
      <c r="RWP17" s="1"/>
      <c r="RWQ17" s="1"/>
      <c r="RWR17" s="1"/>
      <c r="RWS17" s="1"/>
      <c r="RWT17" s="1"/>
      <c r="RWU17" s="1"/>
      <c r="RWV17" s="1"/>
      <c r="RWW17" s="1"/>
      <c r="RWX17" s="1"/>
      <c r="RWY17" s="1"/>
      <c r="RWZ17" s="1"/>
      <c r="RXA17" s="1"/>
      <c r="RXB17" s="1"/>
      <c r="RXC17" s="1"/>
      <c r="RXD17" s="1"/>
      <c r="RXE17" s="1"/>
      <c r="RXF17" s="1"/>
      <c r="RXG17" s="1"/>
      <c r="RXH17" s="1"/>
      <c r="RXI17" s="1"/>
      <c r="RXJ17" s="1"/>
      <c r="RXK17" s="1"/>
      <c r="RXL17" s="1"/>
      <c r="RXM17" s="1"/>
      <c r="RXN17" s="1"/>
      <c r="RXO17" s="1"/>
      <c r="RXP17" s="1"/>
      <c r="RXQ17" s="1"/>
      <c r="RXR17" s="1"/>
      <c r="RXS17" s="1"/>
      <c r="RXT17" s="1"/>
      <c r="RXU17" s="1"/>
      <c r="RXV17" s="1"/>
      <c r="RXW17" s="1"/>
      <c r="RXX17" s="1"/>
      <c r="RXY17" s="1"/>
      <c r="RXZ17" s="1"/>
      <c r="RYA17" s="1"/>
      <c r="RYB17" s="1"/>
      <c r="RYC17" s="1"/>
      <c r="RYD17" s="1"/>
      <c r="RYE17" s="1"/>
      <c r="RYF17" s="1"/>
      <c r="RYG17" s="1"/>
      <c r="RYH17" s="1"/>
      <c r="RYI17" s="1"/>
      <c r="RYJ17" s="1"/>
      <c r="RYK17" s="1"/>
      <c r="RYL17" s="1"/>
      <c r="RYM17" s="1"/>
      <c r="RYN17" s="1"/>
      <c r="RYO17" s="1"/>
      <c r="RYP17" s="1"/>
      <c r="RYQ17" s="1"/>
      <c r="RYR17" s="1"/>
      <c r="RYS17" s="1"/>
      <c r="RYT17" s="1"/>
      <c r="RYU17" s="1"/>
      <c r="RYV17" s="1"/>
      <c r="RYW17" s="1"/>
      <c r="RYX17" s="1"/>
      <c r="RYY17" s="1"/>
      <c r="RYZ17" s="1"/>
      <c r="RZA17" s="1"/>
      <c r="RZB17" s="1"/>
      <c r="RZC17" s="1"/>
      <c r="RZD17" s="1"/>
      <c r="RZE17" s="1"/>
      <c r="RZF17" s="1"/>
      <c r="RZG17" s="1"/>
      <c r="RZH17" s="1"/>
      <c r="RZI17" s="1"/>
      <c r="RZJ17" s="1"/>
      <c r="RZK17" s="1"/>
      <c r="RZL17" s="1"/>
      <c r="RZM17" s="1"/>
      <c r="RZN17" s="1"/>
      <c r="RZO17" s="1"/>
      <c r="RZP17" s="1"/>
      <c r="RZQ17" s="1"/>
      <c r="RZR17" s="1"/>
      <c r="RZS17" s="1"/>
      <c r="RZT17" s="1"/>
      <c r="RZU17" s="1"/>
      <c r="RZV17" s="1"/>
      <c r="RZW17" s="1"/>
      <c r="RZX17" s="1"/>
      <c r="RZY17" s="1"/>
      <c r="RZZ17" s="1"/>
      <c r="SAA17" s="1"/>
      <c r="SAB17" s="1"/>
      <c r="SAC17" s="1"/>
      <c r="SAD17" s="1"/>
      <c r="SAE17" s="1"/>
      <c r="SAF17" s="1"/>
      <c r="SAG17" s="1"/>
      <c r="SAH17" s="1"/>
      <c r="SAI17" s="1"/>
      <c r="SAJ17" s="1"/>
      <c r="SAK17" s="1"/>
      <c r="SAL17" s="1"/>
      <c r="SAM17" s="1"/>
      <c r="SAN17" s="1"/>
      <c r="SAO17" s="1"/>
      <c r="SAP17" s="1"/>
      <c r="SAQ17" s="1"/>
      <c r="SAR17" s="1"/>
      <c r="SAS17" s="1"/>
      <c r="SAT17" s="1"/>
      <c r="SAU17" s="1"/>
      <c r="SAV17" s="1"/>
      <c r="SAW17" s="1"/>
      <c r="SAX17" s="1"/>
      <c r="SAY17" s="1"/>
      <c r="SAZ17" s="1"/>
      <c r="SBA17" s="1"/>
      <c r="SBB17" s="1"/>
      <c r="SBC17" s="1"/>
      <c r="SBD17" s="1"/>
      <c r="SBE17" s="1"/>
      <c r="SBF17" s="1"/>
      <c r="SBG17" s="1"/>
      <c r="SBH17" s="1"/>
      <c r="SBI17" s="1"/>
      <c r="SBJ17" s="1"/>
      <c r="SBK17" s="1"/>
      <c r="SBL17" s="1"/>
      <c r="SBM17" s="1"/>
      <c r="SBN17" s="1"/>
      <c r="SBO17" s="1"/>
      <c r="SBP17" s="1"/>
      <c r="SBQ17" s="1"/>
      <c r="SBR17" s="1"/>
      <c r="SBS17" s="1"/>
      <c r="SBT17" s="1"/>
      <c r="SBU17" s="1"/>
      <c r="SBV17" s="1"/>
      <c r="SBW17" s="1"/>
      <c r="SBX17" s="1"/>
      <c r="SBY17" s="1"/>
      <c r="SBZ17" s="1"/>
      <c r="SCA17" s="1"/>
      <c r="SCB17" s="1"/>
      <c r="SCC17" s="1"/>
      <c r="SCD17" s="1"/>
      <c r="SCE17" s="1"/>
      <c r="SCF17" s="1"/>
      <c r="SCG17" s="1"/>
      <c r="SCH17" s="1"/>
      <c r="SCI17" s="1"/>
      <c r="SCJ17" s="1"/>
      <c r="SCK17" s="1"/>
      <c r="SCL17" s="1"/>
      <c r="SCM17" s="1"/>
      <c r="SCN17" s="1"/>
      <c r="SCO17" s="1"/>
      <c r="SCP17" s="1"/>
      <c r="SCQ17" s="1"/>
      <c r="SCR17" s="1"/>
      <c r="SCS17" s="1"/>
      <c r="SCT17" s="1"/>
      <c r="SCU17" s="1"/>
      <c r="SCV17" s="1"/>
      <c r="SCW17" s="1"/>
      <c r="SCX17" s="1"/>
      <c r="SCY17" s="1"/>
      <c r="SCZ17" s="1"/>
      <c r="SDA17" s="1"/>
      <c r="SDB17" s="1"/>
      <c r="SDC17" s="1"/>
      <c r="SDD17" s="1"/>
      <c r="SDE17" s="1"/>
      <c r="SDF17" s="1"/>
      <c r="SDG17" s="1"/>
      <c r="SDH17" s="1"/>
      <c r="SDI17" s="1"/>
      <c r="SDJ17" s="1"/>
      <c r="SDK17" s="1"/>
      <c r="SDL17" s="1"/>
      <c r="SDM17" s="1"/>
      <c r="SDN17" s="1"/>
      <c r="SDO17" s="1"/>
      <c r="SDP17" s="1"/>
      <c r="SDQ17" s="1"/>
      <c r="SDR17" s="1"/>
      <c r="SDS17" s="1"/>
      <c r="SDT17" s="1"/>
      <c r="SDU17" s="1"/>
      <c r="SDV17" s="1"/>
      <c r="SDW17" s="1"/>
      <c r="SDX17" s="1"/>
      <c r="SDY17" s="1"/>
      <c r="SDZ17" s="1"/>
      <c r="SEA17" s="1"/>
      <c r="SEB17" s="1"/>
      <c r="SEC17" s="1"/>
      <c r="SED17" s="1"/>
      <c r="SEE17" s="1"/>
      <c r="SEF17" s="1"/>
      <c r="SEG17" s="1"/>
      <c r="SEH17" s="1"/>
      <c r="SEI17" s="1"/>
      <c r="SEJ17" s="1"/>
      <c r="SEK17" s="1"/>
      <c r="SEL17" s="1"/>
      <c r="SEM17" s="1"/>
      <c r="SEN17" s="1"/>
      <c r="SEO17" s="1"/>
      <c r="SEP17" s="1"/>
      <c r="SEQ17" s="1"/>
      <c r="SER17" s="1"/>
      <c r="SES17" s="1"/>
      <c r="SET17" s="1"/>
      <c r="SEU17" s="1"/>
      <c r="SEV17" s="1"/>
      <c r="SEW17" s="1"/>
      <c r="SEX17" s="1"/>
      <c r="SEY17" s="1"/>
      <c r="SEZ17" s="1"/>
      <c r="SFA17" s="1"/>
      <c r="SFB17" s="1"/>
      <c r="SFC17" s="1"/>
      <c r="SFD17" s="1"/>
      <c r="SFE17" s="1"/>
      <c r="SFF17" s="1"/>
      <c r="SFG17" s="1"/>
      <c r="SFH17" s="1"/>
      <c r="SFI17" s="1"/>
      <c r="SFJ17" s="1"/>
      <c r="SFK17" s="1"/>
      <c r="SFL17" s="1"/>
      <c r="SFM17" s="1"/>
      <c r="SFN17" s="1"/>
      <c r="SFO17" s="1"/>
      <c r="SFP17" s="1"/>
      <c r="SFQ17" s="1"/>
      <c r="SFR17" s="1"/>
      <c r="SFS17" s="1"/>
      <c r="SFT17" s="1"/>
      <c r="SFU17" s="1"/>
      <c r="SFV17" s="1"/>
      <c r="SFW17" s="1"/>
      <c r="SFX17" s="1"/>
      <c r="SFY17" s="1"/>
      <c r="SFZ17" s="1"/>
      <c r="SGA17" s="1"/>
      <c r="SGB17" s="1"/>
      <c r="SGC17" s="1"/>
      <c r="SGD17" s="1"/>
      <c r="SGE17" s="1"/>
      <c r="SGF17" s="1"/>
      <c r="SGG17" s="1"/>
      <c r="SGH17" s="1"/>
      <c r="SGI17" s="1"/>
      <c r="SGJ17" s="1"/>
      <c r="SGK17" s="1"/>
      <c r="SGL17" s="1"/>
      <c r="SGM17" s="1"/>
      <c r="SGN17" s="1"/>
      <c r="SGO17" s="1"/>
      <c r="SGP17" s="1"/>
      <c r="SGQ17" s="1"/>
      <c r="SGR17" s="1"/>
      <c r="SGS17" s="1"/>
      <c r="SGT17" s="1"/>
      <c r="SGU17" s="1"/>
      <c r="SGV17" s="1"/>
      <c r="SGW17" s="1"/>
      <c r="SGX17" s="1"/>
      <c r="SGY17" s="1"/>
      <c r="SGZ17" s="1"/>
      <c r="SHA17" s="1"/>
      <c r="SHB17" s="1"/>
      <c r="SHC17" s="1"/>
      <c r="SHD17" s="1"/>
      <c r="SHE17" s="1"/>
      <c r="SHF17" s="1"/>
      <c r="SHG17" s="1"/>
      <c r="SHH17" s="1"/>
      <c r="SHI17" s="1"/>
      <c r="SHJ17" s="1"/>
      <c r="SHK17" s="1"/>
      <c r="SHL17" s="1"/>
      <c r="SHM17" s="1"/>
      <c r="SHN17" s="1"/>
      <c r="SHO17" s="1"/>
      <c r="SHP17" s="1"/>
      <c r="SHQ17" s="1"/>
      <c r="SHR17" s="1"/>
      <c r="SHS17" s="1"/>
      <c r="SHT17" s="1"/>
      <c r="SHU17" s="1"/>
      <c r="SHV17" s="1"/>
      <c r="SHW17" s="1"/>
      <c r="SHX17" s="1"/>
      <c r="SHY17" s="1"/>
      <c r="SHZ17" s="1"/>
      <c r="SIA17" s="1"/>
      <c r="SIB17" s="1"/>
      <c r="SIC17" s="1"/>
      <c r="SID17" s="1"/>
      <c r="SIE17" s="1"/>
      <c r="SIF17" s="1"/>
      <c r="SIG17" s="1"/>
      <c r="SIH17" s="1"/>
      <c r="SII17" s="1"/>
      <c r="SIJ17" s="1"/>
      <c r="SIK17" s="1"/>
      <c r="SIL17" s="1"/>
      <c r="SIM17" s="1"/>
      <c r="SIN17" s="1"/>
      <c r="SIO17" s="1"/>
      <c r="SIP17" s="1"/>
      <c r="SIQ17" s="1"/>
      <c r="SIR17" s="1"/>
      <c r="SIS17" s="1"/>
      <c r="SIT17" s="1"/>
      <c r="SIU17" s="1"/>
      <c r="SIV17" s="1"/>
      <c r="SIW17" s="1"/>
      <c r="SIX17" s="1"/>
      <c r="SIY17" s="1"/>
      <c r="SIZ17" s="1"/>
      <c r="SJA17" s="1"/>
      <c r="SJB17" s="1"/>
      <c r="SJC17" s="1"/>
      <c r="SJD17" s="1"/>
      <c r="SJE17" s="1"/>
      <c r="SJF17" s="1"/>
      <c r="SJG17" s="1"/>
      <c r="SJH17" s="1"/>
      <c r="SJI17" s="1"/>
      <c r="SJJ17" s="1"/>
      <c r="SJK17" s="1"/>
      <c r="SJL17" s="1"/>
      <c r="SJM17" s="1"/>
      <c r="SJN17" s="1"/>
      <c r="SJO17" s="1"/>
      <c r="SJP17" s="1"/>
      <c r="SJQ17" s="1"/>
      <c r="SJR17" s="1"/>
      <c r="SJS17" s="1"/>
      <c r="SJT17" s="1"/>
      <c r="SJU17" s="1"/>
      <c r="SJV17" s="1"/>
      <c r="SJW17" s="1"/>
      <c r="SJX17" s="1"/>
      <c r="SJY17" s="1"/>
      <c r="SJZ17" s="1"/>
      <c r="SKA17" s="1"/>
      <c r="SKB17" s="1"/>
      <c r="SKC17" s="1"/>
      <c r="SKD17" s="1"/>
      <c r="SKE17" s="1"/>
      <c r="SKF17" s="1"/>
      <c r="SKG17" s="1"/>
      <c r="SKH17" s="1"/>
      <c r="SKI17" s="1"/>
      <c r="SKJ17" s="1"/>
      <c r="SKK17" s="1"/>
      <c r="SKL17" s="1"/>
      <c r="SKM17" s="1"/>
      <c r="SKN17" s="1"/>
      <c r="SKO17" s="1"/>
      <c r="SKP17" s="1"/>
      <c r="SKQ17" s="1"/>
      <c r="SKR17" s="1"/>
      <c r="SKS17" s="1"/>
      <c r="SKT17" s="1"/>
      <c r="SKU17" s="1"/>
      <c r="SKV17" s="1"/>
      <c r="SKW17" s="1"/>
      <c r="SKX17" s="1"/>
      <c r="SKY17" s="1"/>
      <c r="SKZ17" s="1"/>
      <c r="SLA17" s="1"/>
      <c r="SLB17" s="1"/>
      <c r="SLC17" s="1"/>
      <c r="SLD17" s="1"/>
      <c r="SLE17" s="1"/>
      <c r="SLF17" s="1"/>
      <c r="SLG17" s="1"/>
      <c r="SLH17" s="1"/>
      <c r="SLI17" s="1"/>
      <c r="SLJ17" s="1"/>
      <c r="SLK17" s="1"/>
      <c r="SLL17" s="1"/>
      <c r="SLM17" s="1"/>
      <c r="SLN17" s="1"/>
      <c r="SLO17" s="1"/>
      <c r="SLP17" s="1"/>
      <c r="SLQ17" s="1"/>
      <c r="SLR17" s="1"/>
      <c r="SLS17" s="1"/>
      <c r="SLT17" s="1"/>
      <c r="SLU17" s="1"/>
      <c r="SLV17" s="1"/>
      <c r="SLW17" s="1"/>
      <c r="SLX17" s="1"/>
      <c r="SLY17" s="1"/>
      <c r="SLZ17" s="1"/>
      <c r="SMA17" s="1"/>
      <c r="SMB17" s="1"/>
      <c r="SMC17" s="1"/>
      <c r="SMD17" s="1"/>
      <c r="SME17" s="1"/>
      <c r="SMF17" s="1"/>
      <c r="SMG17" s="1"/>
      <c r="SMH17" s="1"/>
      <c r="SMI17" s="1"/>
      <c r="SMJ17" s="1"/>
      <c r="SMK17" s="1"/>
      <c r="SML17" s="1"/>
      <c r="SMM17" s="1"/>
      <c r="SMN17" s="1"/>
      <c r="SMO17" s="1"/>
      <c r="SMP17" s="1"/>
      <c r="SMQ17" s="1"/>
      <c r="SMR17" s="1"/>
      <c r="SMS17" s="1"/>
      <c r="SMT17" s="1"/>
      <c r="SMU17" s="1"/>
      <c r="SMV17" s="1"/>
      <c r="SMW17" s="1"/>
      <c r="SMX17" s="1"/>
      <c r="SMY17" s="1"/>
      <c r="SMZ17" s="1"/>
      <c r="SNA17" s="1"/>
      <c r="SNB17" s="1"/>
      <c r="SNC17" s="1"/>
      <c r="SND17" s="1"/>
      <c r="SNE17" s="1"/>
      <c r="SNF17" s="1"/>
      <c r="SNG17" s="1"/>
      <c r="SNH17" s="1"/>
      <c r="SNI17" s="1"/>
      <c r="SNJ17" s="1"/>
      <c r="SNK17" s="1"/>
      <c r="SNL17" s="1"/>
      <c r="SNM17" s="1"/>
      <c r="SNN17" s="1"/>
      <c r="SNO17" s="1"/>
      <c r="SNP17" s="1"/>
      <c r="SNQ17" s="1"/>
      <c r="SNR17" s="1"/>
      <c r="SNS17" s="1"/>
      <c r="SNT17" s="1"/>
      <c r="SNU17" s="1"/>
      <c r="SNV17" s="1"/>
      <c r="SNW17" s="1"/>
      <c r="SNX17" s="1"/>
      <c r="SNY17" s="1"/>
      <c r="SNZ17" s="1"/>
      <c r="SOA17" s="1"/>
      <c r="SOB17" s="1"/>
      <c r="SOC17" s="1"/>
      <c r="SOD17" s="1"/>
      <c r="SOE17" s="1"/>
      <c r="SOF17" s="1"/>
      <c r="SOG17" s="1"/>
      <c r="SOH17" s="1"/>
      <c r="SOI17" s="1"/>
      <c r="SOJ17" s="1"/>
      <c r="SOK17" s="1"/>
      <c r="SOL17" s="1"/>
      <c r="SOM17" s="1"/>
      <c r="SON17" s="1"/>
      <c r="SOO17" s="1"/>
      <c r="SOP17" s="1"/>
      <c r="SOQ17" s="1"/>
      <c r="SOR17" s="1"/>
      <c r="SOS17" s="1"/>
      <c r="SOT17" s="1"/>
      <c r="SOU17" s="1"/>
      <c r="SOV17" s="1"/>
      <c r="SOW17" s="1"/>
      <c r="SOX17" s="1"/>
      <c r="SOY17" s="1"/>
      <c r="SOZ17" s="1"/>
      <c r="SPA17" s="1"/>
      <c r="SPB17" s="1"/>
      <c r="SPC17" s="1"/>
      <c r="SPD17" s="1"/>
      <c r="SPE17" s="1"/>
      <c r="SPF17" s="1"/>
      <c r="SPG17" s="1"/>
      <c r="SPH17" s="1"/>
      <c r="SPI17" s="1"/>
      <c r="SPJ17" s="1"/>
      <c r="SPK17" s="1"/>
      <c r="SPL17" s="1"/>
      <c r="SPM17" s="1"/>
      <c r="SPN17" s="1"/>
      <c r="SPO17" s="1"/>
      <c r="SPP17" s="1"/>
      <c r="SPQ17" s="1"/>
      <c r="SPR17" s="1"/>
      <c r="SPS17" s="1"/>
      <c r="SPT17" s="1"/>
      <c r="SPU17" s="1"/>
      <c r="SPV17" s="1"/>
      <c r="SPW17" s="1"/>
      <c r="SPX17" s="1"/>
      <c r="SPY17" s="1"/>
      <c r="SPZ17" s="1"/>
      <c r="SQA17" s="1"/>
      <c r="SQB17" s="1"/>
      <c r="SQC17" s="1"/>
      <c r="SQD17" s="1"/>
      <c r="SQE17" s="1"/>
      <c r="SQF17" s="1"/>
      <c r="SQG17" s="1"/>
      <c r="SQH17" s="1"/>
      <c r="SQI17" s="1"/>
      <c r="SQJ17" s="1"/>
      <c r="SQK17" s="1"/>
      <c r="SQL17" s="1"/>
      <c r="SQM17" s="1"/>
      <c r="SQN17" s="1"/>
      <c r="SQO17" s="1"/>
      <c r="SQP17" s="1"/>
      <c r="SQQ17" s="1"/>
      <c r="SQR17" s="1"/>
      <c r="SQS17" s="1"/>
      <c r="SQT17" s="1"/>
      <c r="SQU17" s="1"/>
      <c r="SQV17" s="1"/>
      <c r="SQW17" s="1"/>
      <c r="SQX17" s="1"/>
      <c r="SQY17" s="1"/>
      <c r="SQZ17" s="1"/>
      <c r="SRA17" s="1"/>
      <c r="SRB17" s="1"/>
      <c r="SRC17" s="1"/>
      <c r="SRD17" s="1"/>
      <c r="SRE17" s="1"/>
      <c r="SRF17" s="1"/>
      <c r="SRG17" s="1"/>
      <c r="SRH17" s="1"/>
      <c r="SRI17" s="1"/>
      <c r="SRJ17" s="1"/>
      <c r="SRK17" s="1"/>
      <c r="SRL17" s="1"/>
      <c r="SRM17" s="1"/>
      <c r="SRN17" s="1"/>
      <c r="SRO17" s="1"/>
      <c r="SRP17" s="1"/>
      <c r="SRQ17" s="1"/>
      <c r="SRR17" s="1"/>
      <c r="SRS17" s="1"/>
      <c r="SRT17" s="1"/>
      <c r="SRU17" s="1"/>
      <c r="SRV17" s="1"/>
      <c r="SRW17" s="1"/>
      <c r="SRX17" s="1"/>
      <c r="SRY17" s="1"/>
      <c r="SRZ17" s="1"/>
      <c r="SSA17" s="1"/>
      <c r="SSB17" s="1"/>
      <c r="SSC17" s="1"/>
      <c r="SSD17" s="1"/>
      <c r="SSE17" s="1"/>
      <c r="SSF17" s="1"/>
      <c r="SSG17" s="1"/>
      <c r="SSH17" s="1"/>
      <c r="SSI17" s="1"/>
      <c r="SSJ17" s="1"/>
      <c r="SSK17" s="1"/>
      <c r="SSL17" s="1"/>
      <c r="SSM17" s="1"/>
      <c r="SSN17" s="1"/>
      <c r="SSO17" s="1"/>
      <c r="SSP17" s="1"/>
      <c r="SSQ17" s="1"/>
      <c r="SSR17" s="1"/>
      <c r="SSS17" s="1"/>
      <c r="SST17" s="1"/>
      <c r="SSU17" s="1"/>
      <c r="SSV17" s="1"/>
      <c r="SSW17" s="1"/>
      <c r="SSX17" s="1"/>
      <c r="SSY17" s="1"/>
      <c r="SSZ17" s="1"/>
      <c r="STA17" s="1"/>
      <c r="STB17" s="1"/>
      <c r="STC17" s="1"/>
      <c r="STD17" s="1"/>
      <c r="STE17" s="1"/>
      <c r="STF17" s="1"/>
      <c r="STG17" s="1"/>
      <c r="STH17" s="1"/>
      <c r="STI17" s="1"/>
      <c r="STJ17" s="1"/>
      <c r="STK17" s="1"/>
      <c r="STL17" s="1"/>
      <c r="STM17" s="1"/>
      <c r="STN17" s="1"/>
      <c r="STO17" s="1"/>
      <c r="STP17" s="1"/>
      <c r="STQ17" s="1"/>
      <c r="STR17" s="1"/>
      <c r="STS17" s="1"/>
      <c r="STT17" s="1"/>
      <c r="STU17" s="1"/>
      <c r="STV17" s="1"/>
      <c r="STW17" s="1"/>
      <c r="STX17" s="1"/>
      <c r="STY17" s="1"/>
      <c r="STZ17" s="1"/>
      <c r="SUA17" s="1"/>
      <c r="SUB17" s="1"/>
      <c r="SUC17" s="1"/>
      <c r="SUD17" s="1"/>
      <c r="SUE17" s="1"/>
      <c r="SUF17" s="1"/>
      <c r="SUG17" s="1"/>
      <c r="SUH17" s="1"/>
      <c r="SUI17" s="1"/>
      <c r="SUJ17" s="1"/>
      <c r="SUK17" s="1"/>
      <c r="SUL17" s="1"/>
      <c r="SUM17" s="1"/>
      <c r="SUN17" s="1"/>
      <c r="SUO17" s="1"/>
      <c r="SUP17" s="1"/>
      <c r="SUQ17" s="1"/>
      <c r="SUR17" s="1"/>
      <c r="SUS17" s="1"/>
      <c r="SUT17" s="1"/>
      <c r="SUU17" s="1"/>
      <c r="SUV17" s="1"/>
      <c r="SUW17" s="1"/>
      <c r="SUX17" s="1"/>
      <c r="SUY17" s="1"/>
      <c r="SUZ17" s="1"/>
      <c r="SVA17" s="1"/>
      <c r="SVB17" s="1"/>
      <c r="SVC17" s="1"/>
      <c r="SVD17" s="1"/>
      <c r="SVE17" s="1"/>
      <c r="SVF17" s="1"/>
      <c r="SVG17" s="1"/>
      <c r="SVH17" s="1"/>
      <c r="SVI17" s="1"/>
      <c r="SVJ17" s="1"/>
      <c r="SVK17" s="1"/>
      <c r="SVL17" s="1"/>
      <c r="SVM17" s="1"/>
      <c r="SVN17" s="1"/>
      <c r="SVO17" s="1"/>
      <c r="SVP17" s="1"/>
      <c r="SVQ17" s="1"/>
      <c r="SVR17" s="1"/>
      <c r="SVS17" s="1"/>
      <c r="SVT17" s="1"/>
      <c r="SVU17" s="1"/>
      <c r="SVV17" s="1"/>
      <c r="SVW17" s="1"/>
      <c r="SVX17" s="1"/>
      <c r="SVY17" s="1"/>
      <c r="SVZ17" s="1"/>
      <c r="SWA17" s="1"/>
      <c r="SWB17" s="1"/>
      <c r="SWC17" s="1"/>
      <c r="SWD17" s="1"/>
      <c r="SWE17" s="1"/>
      <c r="SWF17" s="1"/>
      <c r="SWG17" s="1"/>
      <c r="SWH17" s="1"/>
      <c r="SWI17" s="1"/>
      <c r="SWJ17" s="1"/>
      <c r="SWK17" s="1"/>
      <c r="SWL17" s="1"/>
      <c r="SWM17" s="1"/>
      <c r="SWN17" s="1"/>
      <c r="SWO17" s="1"/>
      <c r="SWP17" s="1"/>
      <c r="SWQ17" s="1"/>
      <c r="SWR17" s="1"/>
      <c r="SWS17" s="1"/>
      <c r="SWT17" s="1"/>
      <c r="SWU17" s="1"/>
      <c r="SWV17" s="1"/>
      <c r="SWW17" s="1"/>
      <c r="SWX17" s="1"/>
      <c r="SWY17" s="1"/>
      <c r="SWZ17" s="1"/>
      <c r="SXA17" s="1"/>
      <c r="SXB17" s="1"/>
      <c r="SXC17" s="1"/>
      <c r="SXD17" s="1"/>
      <c r="SXE17" s="1"/>
      <c r="SXF17" s="1"/>
      <c r="SXG17" s="1"/>
      <c r="SXH17" s="1"/>
      <c r="SXI17" s="1"/>
      <c r="SXJ17" s="1"/>
      <c r="SXK17" s="1"/>
      <c r="SXL17" s="1"/>
      <c r="SXM17" s="1"/>
      <c r="SXN17" s="1"/>
      <c r="SXO17" s="1"/>
      <c r="SXP17" s="1"/>
      <c r="SXQ17" s="1"/>
      <c r="SXR17" s="1"/>
      <c r="SXS17" s="1"/>
      <c r="SXT17" s="1"/>
      <c r="SXU17" s="1"/>
      <c r="SXV17" s="1"/>
      <c r="SXW17" s="1"/>
      <c r="SXX17" s="1"/>
      <c r="SXY17" s="1"/>
      <c r="SXZ17" s="1"/>
      <c r="SYA17" s="1"/>
      <c r="SYB17" s="1"/>
      <c r="SYC17" s="1"/>
      <c r="SYD17" s="1"/>
      <c r="SYE17" s="1"/>
      <c r="SYF17" s="1"/>
      <c r="SYG17" s="1"/>
      <c r="SYH17" s="1"/>
      <c r="SYI17" s="1"/>
      <c r="SYJ17" s="1"/>
      <c r="SYK17" s="1"/>
      <c r="SYL17" s="1"/>
      <c r="SYM17" s="1"/>
      <c r="SYN17" s="1"/>
      <c r="SYO17" s="1"/>
      <c r="SYP17" s="1"/>
      <c r="SYQ17" s="1"/>
      <c r="SYR17" s="1"/>
      <c r="SYS17" s="1"/>
      <c r="SYT17" s="1"/>
      <c r="SYU17" s="1"/>
      <c r="SYV17" s="1"/>
      <c r="SYW17" s="1"/>
      <c r="SYX17" s="1"/>
      <c r="SYY17" s="1"/>
      <c r="SYZ17" s="1"/>
      <c r="SZA17" s="1"/>
      <c r="SZB17" s="1"/>
      <c r="SZC17" s="1"/>
      <c r="SZD17" s="1"/>
      <c r="SZE17" s="1"/>
      <c r="SZF17" s="1"/>
      <c r="SZG17" s="1"/>
      <c r="SZH17" s="1"/>
      <c r="SZI17" s="1"/>
      <c r="SZJ17" s="1"/>
      <c r="SZK17" s="1"/>
      <c r="SZL17" s="1"/>
      <c r="SZM17" s="1"/>
      <c r="SZN17" s="1"/>
      <c r="SZO17" s="1"/>
      <c r="SZP17" s="1"/>
      <c r="SZQ17" s="1"/>
      <c r="SZR17" s="1"/>
      <c r="SZS17" s="1"/>
      <c r="SZT17" s="1"/>
      <c r="SZU17" s="1"/>
      <c r="SZV17" s="1"/>
      <c r="SZW17" s="1"/>
      <c r="SZX17" s="1"/>
      <c r="SZY17" s="1"/>
      <c r="SZZ17" s="1"/>
      <c r="TAA17" s="1"/>
      <c r="TAB17" s="1"/>
      <c r="TAC17" s="1"/>
      <c r="TAD17" s="1"/>
      <c r="TAE17" s="1"/>
      <c r="TAF17" s="1"/>
      <c r="TAG17" s="1"/>
      <c r="TAH17" s="1"/>
      <c r="TAI17" s="1"/>
      <c r="TAJ17" s="1"/>
      <c r="TAK17" s="1"/>
      <c r="TAL17" s="1"/>
      <c r="TAM17" s="1"/>
      <c r="TAN17" s="1"/>
      <c r="TAO17" s="1"/>
      <c r="TAP17" s="1"/>
      <c r="TAQ17" s="1"/>
      <c r="TAR17" s="1"/>
      <c r="TAS17" s="1"/>
      <c r="TAT17" s="1"/>
      <c r="TAU17" s="1"/>
      <c r="TAV17" s="1"/>
      <c r="TAW17" s="1"/>
      <c r="TAX17" s="1"/>
      <c r="TAY17" s="1"/>
      <c r="TAZ17" s="1"/>
      <c r="TBA17" s="1"/>
      <c r="TBB17" s="1"/>
      <c r="TBC17" s="1"/>
      <c r="TBD17" s="1"/>
      <c r="TBE17" s="1"/>
      <c r="TBF17" s="1"/>
      <c r="TBG17" s="1"/>
      <c r="TBH17" s="1"/>
      <c r="TBI17" s="1"/>
      <c r="TBJ17" s="1"/>
      <c r="TBK17" s="1"/>
      <c r="TBL17" s="1"/>
      <c r="TBM17" s="1"/>
      <c r="TBN17" s="1"/>
      <c r="TBO17" s="1"/>
      <c r="TBP17" s="1"/>
      <c r="TBQ17" s="1"/>
      <c r="TBR17" s="1"/>
      <c r="TBS17" s="1"/>
      <c r="TBT17" s="1"/>
      <c r="TBU17" s="1"/>
      <c r="TBV17" s="1"/>
      <c r="TBW17" s="1"/>
      <c r="TBX17" s="1"/>
      <c r="TBY17" s="1"/>
      <c r="TBZ17" s="1"/>
      <c r="TCA17" s="1"/>
      <c r="TCB17" s="1"/>
      <c r="TCC17" s="1"/>
      <c r="TCD17" s="1"/>
      <c r="TCE17" s="1"/>
      <c r="TCF17" s="1"/>
      <c r="TCG17" s="1"/>
      <c r="TCH17" s="1"/>
      <c r="TCI17" s="1"/>
      <c r="TCJ17" s="1"/>
      <c r="TCK17" s="1"/>
      <c r="TCL17" s="1"/>
      <c r="TCM17" s="1"/>
      <c r="TCN17" s="1"/>
      <c r="TCO17" s="1"/>
      <c r="TCP17" s="1"/>
      <c r="TCQ17" s="1"/>
      <c r="TCR17" s="1"/>
      <c r="TCS17" s="1"/>
      <c r="TCT17" s="1"/>
      <c r="TCU17" s="1"/>
      <c r="TCV17" s="1"/>
      <c r="TCW17" s="1"/>
      <c r="TCX17" s="1"/>
      <c r="TCY17" s="1"/>
      <c r="TCZ17" s="1"/>
      <c r="TDA17" s="1"/>
      <c r="TDB17" s="1"/>
      <c r="TDC17" s="1"/>
      <c r="TDD17" s="1"/>
      <c r="TDE17" s="1"/>
      <c r="TDF17" s="1"/>
      <c r="TDG17" s="1"/>
      <c r="TDH17" s="1"/>
      <c r="TDI17" s="1"/>
      <c r="TDJ17" s="1"/>
      <c r="TDK17" s="1"/>
      <c r="TDL17" s="1"/>
      <c r="TDM17" s="1"/>
      <c r="TDN17" s="1"/>
      <c r="TDO17" s="1"/>
      <c r="TDP17" s="1"/>
      <c r="TDQ17" s="1"/>
      <c r="TDR17" s="1"/>
      <c r="TDS17" s="1"/>
      <c r="TDT17" s="1"/>
      <c r="TDU17" s="1"/>
      <c r="TDV17" s="1"/>
      <c r="TDW17" s="1"/>
      <c r="TDX17" s="1"/>
      <c r="TDY17" s="1"/>
      <c r="TDZ17" s="1"/>
      <c r="TEA17" s="1"/>
      <c r="TEB17" s="1"/>
      <c r="TEC17" s="1"/>
      <c r="TED17" s="1"/>
      <c r="TEE17" s="1"/>
      <c r="TEF17" s="1"/>
      <c r="TEG17" s="1"/>
      <c r="TEH17" s="1"/>
      <c r="TEI17" s="1"/>
      <c r="TEJ17" s="1"/>
      <c r="TEK17" s="1"/>
      <c r="TEL17" s="1"/>
      <c r="TEM17" s="1"/>
      <c r="TEN17" s="1"/>
      <c r="TEO17" s="1"/>
      <c r="TEP17" s="1"/>
      <c r="TEQ17" s="1"/>
      <c r="TER17" s="1"/>
      <c r="TES17" s="1"/>
      <c r="TET17" s="1"/>
      <c r="TEU17" s="1"/>
      <c r="TEV17" s="1"/>
      <c r="TEW17" s="1"/>
      <c r="TEX17" s="1"/>
      <c r="TEY17" s="1"/>
      <c r="TEZ17" s="1"/>
      <c r="TFA17" s="1"/>
      <c r="TFB17" s="1"/>
      <c r="TFC17" s="1"/>
      <c r="TFD17" s="1"/>
      <c r="TFE17" s="1"/>
      <c r="TFF17" s="1"/>
      <c r="TFG17" s="1"/>
      <c r="TFH17" s="1"/>
      <c r="TFI17" s="1"/>
      <c r="TFJ17" s="1"/>
      <c r="TFK17" s="1"/>
      <c r="TFL17" s="1"/>
      <c r="TFM17" s="1"/>
      <c r="TFN17" s="1"/>
      <c r="TFO17" s="1"/>
      <c r="TFP17" s="1"/>
      <c r="TFQ17" s="1"/>
      <c r="TFR17" s="1"/>
      <c r="TFS17" s="1"/>
      <c r="TFT17" s="1"/>
      <c r="TFU17" s="1"/>
      <c r="TFV17" s="1"/>
      <c r="TFW17" s="1"/>
      <c r="TFX17" s="1"/>
      <c r="TFY17" s="1"/>
      <c r="TFZ17" s="1"/>
      <c r="TGA17" s="1"/>
      <c r="TGB17" s="1"/>
      <c r="TGC17" s="1"/>
      <c r="TGD17" s="1"/>
      <c r="TGE17" s="1"/>
      <c r="TGF17" s="1"/>
      <c r="TGG17" s="1"/>
      <c r="TGH17" s="1"/>
      <c r="TGI17" s="1"/>
      <c r="TGJ17" s="1"/>
      <c r="TGK17" s="1"/>
      <c r="TGL17" s="1"/>
      <c r="TGM17" s="1"/>
      <c r="TGN17" s="1"/>
      <c r="TGO17" s="1"/>
      <c r="TGP17" s="1"/>
      <c r="TGQ17" s="1"/>
      <c r="TGR17" s="1"/>
      <c r="TGS17" s="1"/>
      <c r="TGT17" s="1"/>
      <c r="TGU17" s="1"/>
      <c r="TGV17" s="1"/>
      <c r="TGW17" s="1"/>
      <c r="TGX17" s="1"/>
      <c r="TGY17" s="1"/>
      <c r="TGZ17" s="1"/>
      <c r="THA17" s="1"/>
      <c r="THB17" s="1"/>
      <c r="THC17" s="1"/>
      <c r="THD17" s="1"/>
      <c r="THE17" s="1"/>
      <c r="THF17" s="1"/>
      <c r="THG17" s="1"/>
      <c r="THH17" s="1"/>
      <c r="THI17" s="1"/>
      <c r="THJ17" s="1"/>
      <c r="THK17" s="1"/>
      <c r="THL17" s="1"/>
      <c r="THM17" s="1"/>
      <c r="THN17" s="1"/>
      <c r="THO17" s="1"/>
      <c r="THP17" s="1"/>
      <c r="THQ17" s="1"/>
      <c r="THR17" s="1"/>
      <c r="THS17" s="1"/>
      <c r="THT17" s="1"/>
      <c r="THU17" s="1"/>
      <c r="THV17" s="1"/>
      <c r="THW17" s="1"/>
      <c r="THX17" s="1"/>
      <c r="THY17" s="1"/>
      <c r="THZ17" s="1"/>
      <c r="TIA17" s="1"/>
      <c r="TIB17" s="1"/>
      <c r="TIC17" s="1"/>
      <c r="TID17" s="1"/>
      <c r="TIE17" s="1"/>
      <c r="TIF17" s="1"/>
      <c r="TIG17" s="1"/>
      <c r="TIH17" s="1"/>
      <c r="TII17" s="1"/>
      <c r="TIJ17" s="1"/>
      <c r="TIK17" s="1"/>
      <c r="TIL17" s="1"/>
      <c r="TIM17" s="1"/>
      <c r="TIN17" s="1"/>
      <c r="TIO17" s="1"/>
      <c r="TIP17" s="1"/>
      <c r="TIQ17" s="1"/>
      <c r="TIR17" s="1"/>
      <c r="TIS17" s="1"/>
      <c r="TIT17" s="1"/>
      <c r="TIU17" s="1"/>
      <c r="TIV17" s="1"/>
      <c r="TIW17" s="1"/>
      <c r="TIX17" s="1"/>
      <c r="TIY17" s="1"/>
      <c r="TIZ17" s="1"/>
      <c r="TJA17" s="1"/>
      <c r="TJB17" s="1"/>
      <c r="TJC17" s="1"/>
      <c r="TJD17" s="1"/>
      <c r="TJE17" s="1"/>
      <c r="TJF17" s="1"/>
      <c r="TJG17" s="1"/>
      <c r="TJH17" s="1"/>
      <c r="TJI17" s="1"/>
      <c r="TJJ17" s="1"/>
      <c r="TJK17" s="1"/>
      <c r="TJL17" s="1"/>
      <c r="TJM17" s="1"/>
      <c r="TJN17" s="1"/>
      <c r="TJO17" s="1"/>
      <c r="TJP17" s="1"/>
      <c r="TJQ17" s="1"/>
      <c r="TJR17" s="1"/>
      <c r="TJS17" s="1"/>
      <c r="TJT17" s="1"/>
      <c r="TJU17" s="1"/>
      <c r="TJV17" s="1"/>
      <c r="TJW17" s="1"/>
      <c r="TJX17" s="1"/>
      <c r="TJY17" s="1"/>
      <c r="TJZ17" s="1"/>
      <c r="TKA17" s="1"/>
      <c r="TKB17" s="1"/>
      <c r="TKC17" s="1"/>
      <c r="TKD17" s="1"/>
      <c r="TKE17" s="1"/>
      <c r="TKF17" s="1"/>
      <c r="TKG17" s="1"/>
      <c r="TKH17" s="1"/>
      <c r="TKI17" s="1"/>
      <c r="TKJ17" s="1"/>
      <c r="TKK17" s="1"/>
      <c r="TKL17" s="1"/>
      <c r="TKM17" s="1"/>
      <c r="TKN17" s="1"/>
      <c r="TKO17" s="1"/>
      <c r="TKP17" s="1"/>
      <c r="TKQ17" s="1"/>
      <c r="TKR17" s="1"/>
      <c r="TKS17" s="1"/>
      <c r="TKT17" s="1"/>
      <c r="TKU17" s="1"/>
      <c r="TKV17" s="1"/>
      <c r="TKW17" s="1"/>
      <c r="TKX17" s="1"/>
      <c r="TKY17" s="1"/>
      <c r="TKZ17" s="1"/>
      <c r="TLA17" s="1"/>
      <c r="TLB17" s="1"/>
      <c r="TLC17" s="1"/>
      <c r="TLD17" s="1"/>
      <c r="TLE17" s="1"/>
      <c r="TLF17" s="1"/>
      <c r="TLG17" s="1"/>
      <c r="TLH17" s="1"/>
      <c r="TLI17" s="1"/>
      <c r="TLJ17" s="1"/>
      <c r="TLK17" s="1"/>
      <c r="TLL17" s="1"/>
      <c r="TLM17" s="1"/>
      <c r="TLN17" s="1"/>
      <c r="TLO17" s="1"/>
      <c r="TLP17" s="1"/>
      <c r="TLQ17" s="1"/>
      <c r="TLR17" s="1"/>
      <c r="TLS17" s="1"/>
      <c r="TLT17" s="1"/>
      <c r="TLU17" s="1"/>
      <c r="TLV17" s="1"/>
      <c r="TLW17" s="1"/>
      <c r="TLX17" s="1"/>
      <c r="TLY17" s="1"/>
      <c r="TLZ17" s="1"/>
      <c r="TMA17" s="1"/>
      <c r="TMB17" s="1"/>
      <c r="TMC17" s="1"/>
      <c r="TMD17" s="1"/>
      <c r="TME17" s="1"/>
      <c r="TMF17" s="1"/>
      <c r="TMG17" s="1"/>
      <c r="TMH17" s="1"/>
      <c r="TMI17" s="1"/>
      <c r="TMJ17" s="1"/>
      <c r="TMK17" s="1"/>
      <c r="TML17" s="1"/>
      <c r="TMM17" s="1"/>
      <c r="TMN17" s="1"/>
      <c r="TMO17" s="1"/>
      <c r="TMP17" s="1"/>
      <c r="TMQ17" s="1"/>
      <c r="TMR17" s="1"/>
      <c r="TMS17" s="1"/>
      <c r="TMT17" s="1"/>
      <c r="TMU17" s="1"/>
      <c r="TMV17" s="1"/>
      <c r="TMW17" s="1"/>
      <c r="TMX17" s="1"/>
      <c r="TMY17" s="1"/>
      <c r="TMZ17" s="1"/>
      <c r="TNA17" s="1"/>
      <c r="TNB17" s="1"/>
      <c r="TNC17" s="1"/>
      <c r="TND17" s="1"/>
      <c r="TNE17" s="1"/>
      <c r="TNF17" s="1"/>
      <c r="TNG17" s="1"/>
      <c r="TNH17" s="1"/>
      <c r="TNI17" s="1"/>
      <c r="TNJ17" s="1"/>
      <c r="TNK17" s="1"/>
      <c r="TNL17" s="1"/>
      <c r="TNM17" s="1"/>
      <c r="TNN17" s="1"/>
      <c r="TNO17" s="1"/>
      <c r="TNP17" s="1"/>
      <c r="TNQ17" s="1"/>
      <c r="TNR17" s="1"/>
      <c r="TNS17" s="1"/>
      <c r="TNT17" s="1"/>
      <c r="TNU17" s="1"/>
      <c r="TNV17" s="1"/>
      <c r="TNW17" s="1"/>
      <c r="TNX17" s="1"/>
      <c r="TNY17" s="1"/>
      <c r="TNZ17" s="1"/>
      <c r="TOA17" s="1"/>
      <c r="TOB17" s="1"/>
      <c r="TOC17" s="1"/>
      <c r="TOD17" s="1"/>
      <c r="TOE17" s="1"/>
      <c r="TOF17" s="1"/>
      <c r="TOG17" s="1"/>
      <c r="TOH17" s="1"/>
      <c r="TOI17" s="1"/>
      <c r="TOJ17" s="1"/>
      <c r="TOK17" s="1"/>
      <c r="TOL17" s="1"/>
      <c r="TOM17" s="1"/>
      <c r="TON17" s="1"/>
      <c r="TOO17" s="1"/>
      <c r="TOP17" s="1"/>
      <c r="TOQ17" s="1"/>
      <c r="TOR17" s="1"/>
      <c r="TOS17" s="1"/>
      <c r="TOT17" s="1"/>
      <c r="TOU17" s="1"/>
      <c r="TOV17" s="1"/>
      <c r="TOW17" s="1"/>
      <c r="TOX17" s="1"/>
      <c r="TOY17" s="1"/>
      <c r="TOZ17" s="1"/>
      <c r="TPA17" s="1"/>
      <c r="TPB17" s="1"/>
      <c r="TPC17" s="1"/>
      <c r="TPD17" s="1"/>
      <c r="TPE17" s="1"/>
      <c r="TPF17" s="1"/>
      <c r="TPG17" s="1"/>
      <c r="TPH17" s="1"/>
      <c r="TPI17" s="1"/>
      <c r="TPJ17" s="1"/>
      <c r="TPK17" s="1"/>
      <c r="TPL17" s="1"/>
      <c r="TPM17" s="1"/>
      <c r="TPN17" s="1"/>
      <c r="TPO17" s="1"/>
      <c r="TPP17" s="1"/>
      <c r="TPQ17" s="1"/>
      <c r="TPR17" s="1"/>
      <c r="TPS17" s="1"/>
      <c r="TPT17" s="1"/>
      <c r="TPU17" s="1"/>
      <c r="TPV17" s="1"/>
      <c r="TPW17" s="1"/>
      <c r="TPX17" s="1"/>
      <c r="TPY17" s="1"/>
      <c r="TPZ17" s="1"/>
      <c r="TQA17" s="1"/>
      <c r="TQB17" s="1"/>
      <c r="TQC17" s="1"/>
      <c r="TQD17" s="1"/>
      <c r="TQE17" s="1"/>
      <c r="TQF17" s="1"/>
      <c r="TQG17" s="1"/>
      <c r="TQH17" s="1"/>
      <c r="TQI17" s="1"/>
      <c r="TQJ17" s="1"/>
      <c r="TQK17" s="1"/>
      <c r="TQL17" s="1"/>
      <c r="TQM17" s="1"/>
      <c r="TQN17" s="1"/>
      <c r="TQO17" s="1"/>
      <c r="TQP17" s="1"/>
      <c r="TQQ17" s="1"/>
      <c r="TQR17" s="1"/>
      <c r="TQS17" s="1"/>
      <c r="TQT17" s="1"/>
      <c r="TQU17" s="1"/>
      <c r="TQV17" s="1"/>
      <c r="TQW17" s="1"/>
      <c r="TQX17" s="1"/>
      <c r="TQY17" s="1"/>
      <c r="TQZ17" s="1"/>
      <c r="TRA17" s="1"/>
      <c r="TRB17" s="1"/>
      <c r="TRC17" s="1"/>
      <c r="TRD17" s="1"/>
      <c r="TRE17" s="1"/>
      <c r="TRF17" s="1"/>
      <c r="TRG17" s="1"/>
      <c r="TRH17" s="1"/>
      <c r="TRI17" s="1"/>
      <c r="TRJ17" s="1"/>
      <c r="TRK17" s="1"/>
      <c r="TRL17" s="1"/>
      <c r="TRM17" s="1"/>
      <c r="TRN17" s="1"/>
      <c r="TRO17" s="1"/>
      <c r="TRP17" s="1"/>
      <c r="TRQ17" s="1"/>
      <c r="TRR17" s="1"/>
      <c r="TRS17" s="1"/>
      <c r="TRT17" s="1"/>
      <c r="TRU17" s="1"/>
      <c r="TRV17" s="1"/>
      <c r="TRW17" s="1"/>
      <c r="TRX17" s="1"/>
      <c r="TRY17" s="1"/>
      <c r="TRZ17" s="1"/>
      <c r="TSA17" s="1"/>
      <c r="TSB17" s="1"/>
      <c r="TSC17" s="1"/>
      <c r="TSD17" s="1"/>
      <c r="TSE17" s="1"/>
      <c r="TSF17" s="1"/>
      <c r="TSG17" s="1"/>
      <c r="TSH17" s="1"/>
      <c r="TSI17" s="1"/>
      <c r="TSJ17" s="1"/>
      <c r="TSK17" s="1"/>
      <c r="TSL17" s="1"/>
      <c r="TSM17" s="1"/>
      <c r="TSN17" s="1"/>
      <c r="TSO17" s="1"/>
      <c r="TSP17" s="1"/>
      <c r="TSQ17" s="1"/>
      <c r="TSR17" s="1"/>
      <c r="TSS17" s="1"/>
      <c r="TST17" s="1"/>
      <c r="TSU17" s="1"/>
      <c r="TSV17" s="1"/>
      <c r="TSW17" s="1"/>
      <c r="TSX17" s="1"/>
      <c r="TSY17" s="1"/>
      <c r="TSZ17" s="1"/>
      <c r="TTA17" s="1"/>
      <c r="TTB17" s="1"/>
      <c r="TTC17" s="1"/>
      <c r="TTD17" s="1"/>
      <c r="TTE17" s="1"/>
      <c r="TTF17" s="1"/>
      <c r="TTG17" s="1"/>
      <c r="TTH17" s="1"/>
      <c r="TTI17" s="1"/>
      <c r="TTJ17" s="1"/>
      <c r="TTK17" s="1"/>
      <c r="TTL17" s="1"/>
      <c r="TTM17" s="1"/>
      <c r="TTN17" s="1"/>
      <c r="TTO17" s="1"/>
      <c r="TTP17" s="1"/>
      <c r="TTQ17" s="1"/>
      <c r="TTR17" s="1"/>
      <c r="TTS17" s="1"/>
      <c r="TTT17" s="1"/>
      <c r="TTU17" s="1"/>
      <c r="TTV17" s="1"/>
      <c r="TTW17" s="1"/>
      <c r="TTX17" s="1"/>
      <c r="TTY17" s="1"/>
      <c r="TTZ17" s="1"/>
      <c r="TUA17" s="1"/>
      <c r="TUB17" s="1"/>
      <c r="TUC17" s="1"/>
      <c r="TUD17" s="1"/>
      <c r="TUE17" s="1"/>
      <c r="TUF17" s="1"/>
      <c r="TUG17" s="1"/>
      <c r="TUH17" s="1"/>
      <c r="TUI17" s="1"/>
      <c r="TUJ17" s="1"/>
      <c r="TUK17" s="1"/>
      <c r="TUL17" s="1"/>
      <c r="TUM17" s="1"/>
      <c r="TUN17" s="1"/>
      <c r="TUO17" s="1"/>
      <c r="TUP17" s="1"/>
      <c r="TUQ17" s="1"/>
      <c r="TUR17" s="1"/>
      <c r="TUS17" s="1"/>
      <c r="TUT17" s="1"/>
      <c r="TUU17" s="1"/>
      <c r="TUV17" s="1"/>
      <c r="TUW17" s="1"/>
      <c r="TUX17" s="1"/>
      <c r="TUY17" s="1"/>
      <c r="TUZ17" s="1"/>
      <c r="TVA17" s="1"/>
      <c r="TVB17" s="1"/>
      <c r="TVC17" s="1"/>
      <c r="TVD17" s="1"/>
      <c r="TVE17" s="1"/>
      <c r="TVF17" s="1"/>
      <c r="TVG17" s="1"/>
      <c r="TVH17" s="1"/>
      <c r="TVI17" s="1"/>
      <c r="TVJ17" s="1"/>
      <c r="TVK17" s="1"/>
      <c r="TVL17" s="1"/>
      <c r="TVM17" s="1"/>
      <c r="TVN17" s="1"/>
      <c r="TVO17" s="1"/>
      <c r="TVP17" s="1"/>
      <c r="TVQ17" s="1"/>
      <c r="TVR17" s="1"/>
      <c r="TVS17" s="1"/>
      <c r="TVT17" s="1"/>
      <c r="TVU17" s="1"/>
      <c r="TVV17" s="1"/>
      <c r="TVW17" s="1"/>
      <c r="TVX17" s="1"/>
      <c r="TVY17" s="1"/>
      <c r="TVZ17" s="1"/>
      <c r="TWA17" s="1"/>
      <c r="TWB17" s="1"/>
      <c r="TWC17" s="1"/>
      <c r="TWD17" s="1"/>
      <c r="TWE17" s="1"/>
      <c r="TWF17" s="1"/>
      <c r="TWG17" s="1"/>
      <c r="TWH17" s="1"/>
      <c r="TWI17" s="1"/>
      <c r="TWJ17" s="1"/>
      <c r="TWK17" s="1"/>
      <c r="TWL17" s="1"/>
      <c r="TWM17" s="1"/>
      <c r="TWN17" s="1"/>
      <c r="TWO17" s="1"/>
      <c r="TWP17" s="1"/>
      <c r="TWQ17" s="1"/>
      <c r="TWR17" s="1"/>
      <c r="TWS17" s="1"/>
      <c r="TWT17" s="1"/>
      <c r="TWU17" s="1"/>
      <c r="TWV17" s="1"/>
      <c r="TWW17" s="1"/>
      <c r="TWX17" s="1"/>
      <c r="TWY17" s="1"/>
      <c r="TWZ17" s="1"/>
      <c r="TXA17" s="1"/>
      <c r="TXB17" s="1"/>
      <c r="TXC17" s="1"/>
      <c r="TXD17" s="1"/>
      <c r="TXE17" s="1"/>
      <c r="TXF17" s="1"/>
      <c r="TXG17" s="1"/>
      <c r="TXH17" s="1"/>
      <c r="TXI17" s="1"/>
      <c r="TXJ17" s="1"/>
      <c r="TXK17" s="1"/>
      <c r="TXL17" s="1"/>
      <c r="TXM17" s="1"/>
      <c r="TXN17" s="1"/>
      <c r="TXO17" s="1"/>
      <c r="TXP17" s="1"/>
      <c r="TXQ17" s="1"/>
      <c r="TXR17" s="1"/>
      <c r="TXS17" s="1"/>
      <c r="TXT17" s="1"/>
      <c r="TXU17" s="1"/>
      <c r="TXV17" s="1"/>
      <c r="TXW17" s="1"/>
      <c r="TXX17" s="1"/>
      <c r="TXY17" s="1"/>
      <c r="TXZ17" s="1"/>
      <c r="TYA17" s="1"/>
      <c r="TYB17" s="1"/>
      <c r="TYC17" s="1"/>
      <c r="TYD17" s="1"/>
      <c r="TYE17" s="1"/>
      <c r="TYF17" s="1"/>
      <c r="TYG17" s="1"/>
      <c r="TYH17" s="1"/>
      <c r="TYI17" s="1"/>
      <c r="TYJ17" s="1"/>
      <c r="TYK17" s="1"/>
      <c r="TYL17" s="1"/>
      <c r="TYM17" s="1"/>
      <c r="TYN17" s="1"/>
      <c r="TYO17" s="1"/>
      <c r="TYP17" s="1"/>
      <c r="TYQ17" s="1"/>
      <c r="TYR17" s="1"/>
      <c r="TYS17" s="1"/>
      <c r="TYT17" s="1"/>
      <c r="TYU17" s="1"/>
      <c r="TYV17" s="1"/>
      <c r="TYW17" s="1"/>
      <c r="TYX17" s="1"/>
      <c r="TYY17" s="1"/>
      <c r="TYZ17" s="1"/>
      <c r="TZA17" s="1"/>
      <c r="TZB17" s="1"/>
      <c r="TZC17" s="1"/>
      <c r="TZD17" s="1"/>
      <c r="TZE17" s="1"/>
      <c r="TZF17" s="1"/>
      <c r="TZG17" s="1"/>
      <c r="TZH17" s="1"/>
      <c r="TZI17" s="1"/>
      <c r="TZJ17" s="1"/>
      <c r="TZK17" s="1"/>
      <c r="TZL17" s="1"/>
      <c r="TZM17" s="1"/>
      <c r="TZN17" s="1"/>
      <c r="TZO17" s="1"/>
      <c r="TZP17" s="1"/>
      <c r="TZQ17" s="1"/>
      <c r="TZR17" s="1"/>
      <c r="TZS17" s="1"/>
      <c r="TZT17" s="1"/>
      <c r="TZU17" s="1"/>
      <c r="TZV17" s="1"/>
      <c r="TZW17" s="1"/>
      <c r="TZX17" s="1"/>
      <c r="TZY17" s="1"/>
      <c r="TZZ17" s="1"/>
      <c r="UAA17" s="1"/>
      <c r="UAB17" s="1"/>
      <c r="UAC17" s="1"/>
      <c r="UAD17" s="1"/>
      <c r="UAE17" s="1"/>
      <c r="UAF17" s="1"/>
      <c r="UAG17" s="1"/>
      <c r="UAH17" s="1"/>
      <c r="UAI17" s="1"/>
      <c r="UAJ17" s="1"/>
      <c r="UAK17" s="1"/>
      <c r="UAL17" s="1"/>
      <c r="UAM17" s="1"/>
      <c r="UAN17" s="1"/>
      <c r="UAO17" s="1"/>
      <c r="UAP17" s="1"/>
      <c r="UAQ17" s="1"/>
      <c r="UAR17" s="1"/>
      <c r="UAS17" s="1"/>
      <c r="UAT17" s="1"/>
      <c r="UAU17" s="1"/>
      <c r="UAV17" s="1"/>
      <c r="UAW17" s="1"/>
      <c r="UAX17" s="1"/>
      <c r="UAY17" s="1"/>
      <c r="UAZ17" s="1"/>
      <c r="UBA17" s="1"/>
      <c r="UBB17" s="1"/>
      <c r="UBC17" s="1"/>
      <c r="UBD17" s="1"/>
      <c r="UBE17" s="1"/>
      <c r="UBF17" s="1"/>
      <c r="UBG17" s="1"/>
      <c r="UBH17" s="1"/>
      <c r="UBI17" s="1"/>
      <c r="UBJ17" s="1"/>
      <c r="UBK17" s="1"/>
      <c r="UBL17" s="1"/>
      <c r="UBM17" s="1"/>
      <c r="UBN17" s="1"/>
      <c r="UBO17" s="1"/>
      <c r="UBP17" s="1"/>
      <c r="UBQ17" s="1"/>
      <c r="UBR17" s="1"/>
      <c r="UBS17" s="1"/>
      <c r="UBT17" s="1"/>
      <c r="UBU17" s="1"/>
      <c r="UBV17" s="1"/>
      <c r="UBW17" s="1"/>
      <c r="UBX17" s="1"/>
      <c r="UBY17" s="1"/>
      <c r="UBZ17" s="1"/>
      <c r="UCA17" s="1"/>
      <c r="UCB17" s="1"/>
      <c r="UCC17" s="1"/>
      <c r="UCD17" s="1"/>
      <c r="UCE17" s="1"/>
      <c r="UCF17" s="1"/>
      <c r="UCG17" s="1"/>
      <c r="UCH17" s="1"/>
      <c r="UCI17" s="1"/>
      <c r="UCJ17" s="1"/>
      <c r="UCK17" s="1"/>
      <c r="UCL17" s="1"/>
      <c r="UCM17" s="1"/>
      <c r="UCN17" s="1"/>
      <c r="UCO17" s="1"/>
      <c r="UCP17" s="1"/>
      <c r="UCQ17" s="1"/>
      <c r="UCR17" s="1"/>
      <c r="UCS17" s="1"/>
      <c r="UCT17" s="1"/>
      <c r="UCU17" s="1"/>
      <c r="UCV17" s="1"/>
      <c r="UCW17" s="1"/>
      <c r="UCX17" s="1"/>
      <c r="UCY17" s="1"/>
      <c r="UCZ17" s="1"/>
      <c r="UDA17" s="1"/>
      <c r="UDB17" s="1"/>
      <c r="UDC17" s="1"/>
      <c r="UDD17" s="1"/>
      <c r="UDE17" s="1"/>
      <c r="UDF17" s="1"/>
      <c r="UDG17" s="1"/>
      <c r="UDH17" s="1"/>
      <c r="UDI17" s="1"/>
      <c r="UDJ17" s="1"/>
      <c r="UDK17" s="1"/>
      <c r="UDL17" s="1"/>
      <c r="UDM17" s="1"/>
      <c r="UDN17" s="1"/>
      <c r="UDO17" s="1"/>
      <c r="UDP17" s="1"/>
      <c r="UDQ17" s="1"/>
      <c r="UDR17" s="1"/>
      <c r="UDS17" s="1"/>
      <c r="UDT17" s="1"/>
      <c r="UDU17" s="1"/>
      <c r="UDV17" s="1"/>
      <c r="UDW17" s="1"/>
      <c r="UDX17" s="1"/>
      <c r="UDY17" s="1"/>
      <c r="UDZ17" s="1"/>
      <c r="UEA17" s="1"/>
      <c r="UEB17" s="1"/>
      <c r="UEC17" s="1"/>
      <c r="UED17" s="1"/>
      <c r="UEE17" s="1"/>
      <c r="UEF17" s="1"/>
      <c r="UEG17" s="1"/>
      <c r="UEH17" s="1"/>
      <c r="UEI17" s="1"/>
      <c r="UEJ17" s="1"/>
      <c r="UEK17" s="1"/>
      <c r="UEL17" s="1"/>
      <c r="UEM17" s="1"/>
      <c r="UEN17" s="1"/>
      <c r="UEO17" s="1"/>
      <c r="UEP17" s="1"/>
      <c r="UEQ17" s="1"/>
      <c r="UER17" s="1"/>
      <c r="UES17" s="1"/>
      <c r="UET17" s="1"/>
      <c r="UEU17" s="1"/>
      <c r="UEV17" s="1"/>
      <c r="UEW17" s="1"/>
      <c r="UEX17" s="1"/>
      <c r="UEY17" s="1"/>
      <c r="UEZ17" s="1"/>
      <c r="UFA17" s="1"/>
      <c r="UFB17" s="1"/>
      <c r="UFC17" s="1"/>
      <c r="UFD17" s="1"/>
      <c r="UFE17" s="1"/>
      <c r="UFF17" s="1"/>
      <c r="UFG17" s="1"/>
      <c r="UFH17" s="1"/>
      <c r="UFI17" s="1"/>
      <c r="UFJ17" s="1"/>
      <c r="UFK17" s="1"/>
      <c r="UFL17" s="1"/>
      <c r="UFM17" s="1"/>
      <c r="UFN17" s="1"/>
      <c r="UFO17" s="1"/>
      <c r="UFP17" s="1"/>
      <c r="UFQ17" s="1"/>
      <c r="UFR17" s="1"/>
      <c r="UFS17" s="1"/>
      <c r="UFT17" s="1"/>
      <c r="UFU17" s="1"/>
      <c r="UFV17" s="1"/>
      <c r="UFW17" s="1"/>
      <c r="UFX17" s="1"/>
      <c r="UFY17" s="1"/>
      <c r="UFZ17" s="1"/>
      <c r="UGA17" s="1"/>
      <c r="UGB17" s="1"/>
      <c r="UGC17" s="1"/>
      <c r="UGD17" s="1"/>
      <c r="UGE17" s="1"/>
      <c r="UGF17" s="1"/>
      <c r="UGG17" s="1"/>
      <c r="UGH17" s="1"/>
      <c r="UGI17" s="1"/>
      <c r="UGJ17" s="1"/>
      <c r="UGK17" s="1"/>
      <c r="UGL17" s="1"/>
      <c r="UGM17" s="1"/>
      <c r="UGN17" s="1"/>
      <c r="UGO17" s="1"/>
      <c r="UGP17" s="1"/>
      <c r="UGQ17" s="1"/>
      <c r="UGR17" s="1"/>
      <c r="UGS17" s="1"/>
      <c r="UGT17" s="1"/>
      <c r="UGU17" s="1"/>
      <c r="UGV17" s="1"/>
      <c r="UGW17" s="1"/>
      <c r="UGX17" s="1"/>
      <c r="UGY17" s="1"/>
      <c r="UGZ17" s="1"/>
      <c r="UHA17" s="1"/>
      <c r="UHB17" s="1"/>
      <c r="UHC17" s="1"/>
      <c r="UHD17" s="1"/>
      <c r="UHE17" s="1"/>
      <c r="UHF17" s="1"/>
      <c r="UHG17" s="1"/>
      <c r="UHH17" s="1"/>
      <c r="UHI17" s="1"/>
      <c r="UHJ17" s="1"/>
      <c r="UHK17" s="1"/>
      <c r="UHL17" s="1"/>
      <c r="UHM17" s="1"/>
      <c r="UHN17" s="1"/>
      <c r="UHO17" s="1"/>
      <c r="UHP17" s="1"/>
      <c r="UHQ17" s="1"/>
      <c r="UHR17" s="1"/>
      <c r="UHS17" s="1"/>
      <c r="UHT17" s="1"/>
      <c r="UHU17" s="1"/>
      <c r="UHV17" s="1"/>
      <c r="UHW17" s="1"/>
      <c r="UHX17" s="1"/>
      <c r="UHY17" s="1"/>
      <c r="UHZ17" s="1"/>
      <c r="UIA17" s="1"/>
      <c r="UIB17" s="1"/>
      <c r="UIC17" s="1"/>
      <c r="UID17" s="1"/>
      <c r="UIE17" s="1"/>
      <c r="UIF17" s="1"/>
      <c r="UIG17" s="1"/>
      <c r="UIH17" s="1"/>
      <c r="UII17" s="1"/>
      <c r="UIJ17" s="1"/>
      <c r="UIK17" s="1"/>
      <c r="UIL17" s="1"/>
      <c r="UIM17" s="1"/>
      <c r="UIN17" s="1"/>
      <c r="UIO17" s="1"/>
      <c r="UIP17" s="1"/>
      <c r="UIQ17" s="1"/>
      <c r="UIR17" s="1"/>
      <c r="UIS17" s="1"/>
      <c r="UIT17" s="1"/>
      <c r="UIU17" s="1"/>
      <c r="UIV17" s="1"/>
      <c r="UIW17" s="1"/>
      <c r="UIX17" s="1"/>
      <c r="UIY17" s="1"/>
      <c r="UIZ17" s="1"/>
      <c r="UJA17" s="1"/>
      <c r="UJB17" s="1"/>
      <c r="UJC17" s="1"/>
      <c r="UJD17" s="1"/>
      <c r="UJE17" s="1"/>
      <c r="UJF17" s="1"/>
      <c r="UJG17" s="1"/>
      <c r="UJH17" s="1"/>
      <c r="UJI17" s="1"/>
      <c r="UJJ17" s="1"/>
      <c r="UJK17" s="1"/>
      <c r="UJL17" s="1"/>
      <c r="UJM17" s="1"/>
      <c r="UJN17" s="1"/>
      <c r="UJO17" s="1"/>
      <c r="UJP17" s="1"/>
      <c r="UJQ17" s="1"/>
      <c r="UJR17" s="1"/>
      <c r="UJS17" s="1"/>
      <c r="UJT17" s="1"/>
      <c r="UJU17" s="1"/>
      <c r="UJV17" s="1"/>
      <c r="UJW17" s="1"/>
      <c r="UJX17" s="1"/>
      <c r="UJY17" s="1"/>
      <c r="UJZ17" s="1"/>
      <c r="UKA17" s="1"/>
      <c r="UKB17" s="1"/>
      <c r="UKC17" s="1"/>
      <c r="UKD17" s="1"/>
      <c r="UKE17" s="1"/>
      <c r="UKF17" s="1"/>
      <c r="UKG17" s="1"/>
      <c r="UKH17" s="1"/>
      <c r="UKI17" s="1"/>
      <c r="UKJ17" s="1"/>
      <c r="UKK17" s="1"/>
      <c r="UKL17" s="1"/>
      <c r="UKM17" s="1"/>
      <c r="UKN17" s="1"/>
      <c r="UKO17" s="1"/>
      <c r="UKP17" s="1"/>
      <c r="UKQ17" s="1"/>
      <c r="UKR17" s="1"/>
      <c r="UKS17" s="1"/>
      <c r="UKT17" s="1"/>
      <c r="UKU17" s="1"/>
      <c r="UKV17" s="1"/>
      <c r="UKW17" s="1"/>
      <c r="UKX17" s="1"/>
      <c r="UKY17" s="1"/>
      <c r="UKZ17" s="1"/>
      <c r="ULA17" s="1"/>
      <c r="ULB17" s="1"/>
      <c r="ULC17" s="1"/>
      <c r="ULD17" s="1"/>
      <c r="ULE17" s="1"/>
      <c r="ULF17" s="1"/>
      <c r="ULG17" s="1"/>
      <c r="ULH17" s="1"/>
      <c r="ULI17" s="1"/>
      <c r="ULJ17" s="1"/>
      <c r="ULK17" s="1"/>
      <c r="ULL17" s="1"/>
      <c r="ULM17" s="1"/>
      <c r="ULN17" s="1"/>
      <c r="ULO17" s="1"/>
      <c r="ULP17" s="1"/>
      <c r="ULQ17" s="1"/>
      <c r="ULR17" s="1"/>
      <c r="ULS17" s="1"/>
      <c r="ULT17" s="1"/>
      <c r="ULU17" s="1"/>
      <c r="ULV17" s="1"/>
      <c r="ULW17" s="1"/>
      <c r="ULX17" s="1"/>
      <c r="ULY17" s="1"/>
      <c r="ULZ17" s="1"/>
      <c r="UMA17" s="1"/>
      <c r="UMB17" s="1"/>
      <c r="UMC17" s="1"/>
      <c r="UMD17" s="1"/>
      <c r="UME17" s="1"/>
      <c r="UMF17" s="1"/>
      <c r="UMG17" s="1"/>
      <c r="UMH17" s="1"/>
      <c r="UMI17" s="1"/>
      <c r="UMJ17" s="1"/>
      <c r="UMK17" s="1"/>
      <c r="UML17" s="1"/>
      <c r="UMM17" s="1"/>
      <c r="UMN17" s="1"/>
      <c r="UMO17" s="1"/>
      <c r="UMP17" s="1"/>
      <c r="UMQ17" s="1"/>
      <c r="UMR17" s="1"/>
      <c r="UMS17" s="1"/>
      <c r="UMT17" s="1"/>
      <c r="UMU17" s="1"/>
      <c r="UMV17" s="1"/>
      <c r="UMW17" s="1"/>
      <c r="UMX17" s="1"/>
      <c r="UMY17" s="1"/>
      <c r="UMZ17" s="1"/>
      <c r="UNA17" s="1"/>
      <c r="UNB17" s="1"/>
      <c r="UNC17" s="1"/>
      <c r="UND17" s="1"/>
      <c r="UNE17" s="1"/>
      <c r="UNF17" s="1"/>
      <c r="UNG17" s="1"/>
      <c r="UNH17" s="1"/>
      <c r="UNI17" s="1"/>
      <c r="UNJ17" s="1"/>
      <c r="UNK17" s="1"/>
      <c r="UNL17" s="1"/>
      <c r="UNM17" s="1"/>
      <c r="UNN17" s="1"/>
      <c r="UNO17" s="1"/>
      <c r="UNP17" s="1"/>
      <c r="UNQ17" s="1"/>
      <c r="UNR17" s="1"/>
      <c r="UNS17" s="1"/>
      <c r="UNT17" s="1"/>
      <c r="UNU17" s="1"/>
      <c r="UNV17" s="1"/>
      <c r="UNW17" s="1"/>
      <c r="UNX17" s="1"/>
      <c r="UNY17" s="1"/>
      <c r="UNZ17" s="1"/>
      <c r="UOA17" s="1"/>
      <c r="UOB17" s="1"/>
      <c r="UOC17" s="1"/>
      <c r="UOD17" s="1"/>
      <c r="UOE17" s="1"/>
      <c r="UOF17" s="1"/>
      <c r="UOG17" s="1"/>
      <c r="UOH17" s="1"/>
      <c r="UOI17" s="1"/>
      <c r="UOJ17" s="1"/>
      <c r="UOK17" s="1"/>
      <c r="UOL17" s="1"/>
      <c r="UOM17" s="1"/>
      <c r="UON17" s="1"/>
      <c r="UOO17" s="1"/>
      <c r="UOP17" s="1"/>
      <c r="UOQ17" s="1"/>
      <c r="UOR17" s="1"/>
      <c r="UOS17" s="1"/>
      <c r="UOT17" s="1"/>
      <c r="UOU17" s="1"/>
      <c r="UOV17" s="1"/>
      <c r="UOW17" s="1"/>
      <c r="UOX17" s="1"/>
      <c r="UOY17" s="1"/>
      <c r="UOZ17" s="1"/>
      <c r="UPA17" s="1"/>
      <c r="UPB17" s="1"/>
      <c r="UPC17" s="1"/>
      <c r="UPD17" s="1"/>
      <c r="UPE17" s="1"/>
      <c r="UPF17" s="1"/>
      <c r="UPG17" s="1"/>
      <c r="UPH17" s="1"/>
      <c r="UPI17" s="1"/>
      <c r="UPJ17" s="1"/>
      <c r="UPK17" s="1"/>
      <c r="UPL17" s="1"/>
      <c r="UPM17" s="1"/>
      <c r="UPN17" s="1"/>
      <c r="UPO17" s="1"/>
      <c r="UPP17" s="1"/>
      <c r="UPQ17" s="1"/>
      <c r="UPR17" s="1"/>
      <c r="UPS17" s="1"/>
      <c r="UPT17" s="1"/>
      <c r="UPU17" s="1"/>
      <c r="UPV17" s="1"/>
      <c r="UPW17" s="1"/>
      <c r="UPX17" s="1"/>
      <c r="UPY17" s="1"/>
      <c r="UPZ17" s="1"/>
      <c r="UQA17" s="1"/>
      <c r="UQB17" s="1"/>
      <c r="UQC17" s="1"/>
      <c r="UQD17" s="1"/>
      <c r="UQE17" s="1"/>
      <c r="UQF17" s="1"/>
      <c r="UQG17" s="1"/>
      <c r="UQH17" s="1"/>
      <c r="UQI17" s="1"/>
      <c r="UQJ17" s="1"/>
      <c r="UQK17" s="1"/>
      <c r="UQL17" s="1"/>
      <c r="UQM17" s="1"/>
      <c r="UQN17" s="1"/>
      <c r="UQO17" s="1"/>
      <c r="UQP17" s="1"/>
      <c r="UQQ17" s="1"/>
      <c r="UQR17" s="1"/>
      <c r="UQS17" s="1"/>
      <c r="UQT17" s="1"/>
      <c r="UQU17" s="1"/>
      <c r="UQV17" s="1"/>
      <c r="UQW17" s="1"/>
      <c r="UQX17" s="1"/>
      <c r="UQY17" s="1"/>
      <c r="UQZ17" s="1"/>
      <c r="URA17" s="1"/>
      <c r="URB17" s="1"/>
      <c r="URC17" s="1"/>
      <c r="URD17" s="1"/>
      <c r="URE17" s="1"/>
      <c r="URF17" s="1"/>
      <c r="URG17" s="1"/>
      <c r="URH17" s="1"/>
      <c r="URI17" s="1"/>
      <c r="URJ17" s="1"/>
      <c r="URK17" s="1"/>
      <c r="URL17" s="1"/>
      <c r="URM17" s="1"/>
      <c r="URN17" s="1"/>
      <c r="URO17" s="1"/>
      <c r="URP17" s="1"/>
      <c r="URQ17" s="1"/>
      <c r="URR17" s="1"/>
      <c r="URS17" s="1"/>
      <c r="URT17" s="1"/>
      <c r="URU17" s="1"/>
      <c r="URV17" s="1"/>
      <c r="URW17" s="1"/>
      <c r="URX17" s="1"/>
      <c r="URY17" s="1"/>
      <c r="URZ17" s="1"/>
      <c r="USA17" s="1"/>
      <c r="USB17" s="1"/>
      <c r="USC17" s="1"/>
      <c r="USD17" s="1"/>
      <c r="USE17" s="1"/>
      <c r="USF17" s="1"/>
      <c r="USG17" s="1"/>
      <c r="USH17" s="1"/>
      <c r="USI17" s="1"/>
      <c r="USJ17" s="1"/>
      <c r="USK17" s="1"/>
      <c r="USL17" s="1"/>
      <c r="USM17" s="1"/>
      <c r="USN17" s="1"/>
      <c r="USO17" s="1"/>
      <c r="USP17" s="1"/>
      <c r="USQ17" s="1"/>
      <c r="USR17" s="1"/>
      <c r="USS17" s="1"/>
      <c r="UST17" s="1"/>
      <c r="USU17" s="1"/>
      <c r="USV17" s="1"/>
      <c r="USW17" s="1"/>
      <c r="USX17" s="1"/>
      <c r="USY17" s="1"/>
      <c r="USZ17" s="1"/>
      <c r="UTA17" s="1"/>
      <c r="UTB17" s="1"/>
      <c r="UTC17" s="1"/>
      <c r="UTD17" s="1"/>
      <c r="UTE17" s="1"/>
      <c r="UTF17" s="1"/>
      <c r="UTG17" s="1"/>
      <c r="UTH17" s="1"/>
      <c r="UTI17" s="1"/>
      <c r="UTJ17" s="1"/>
      <c r="UTK17" s="1"/>
      <c r="UTL17" s="1"/>
      <c r="UTM17" s="1"/>
      <c r="UTN17" s="1"/>
      <c r="UTO17" s="1"/>
      <c r="UTP17" s="1"/>
      <c r="UTQ17" s="1"/>
      <c r="UTR17" s="1"/>
      <c r="UTS17" s="1"/>
      <c r="UTT17" s="1"/>
      <c r="UTU17" s="1"/>
      <c r="UTV17" s="1"/>
      <c r="UTW17" s="1"/>
      <c r="UTX17" s="1"/>
      <c r="UTY17" s="1"/>
      <c r="UTZ17" s="1"/>
      <c r="UUA17" s="1"/>
      <c r="UUB17" s="1"/>
      <c r="UUC17" s="1"/>
      <c r="UUD17" s="1"/>
      <c r="UUE17" s="1"/>
      <c r="UUF17" s="1"/>
      <c r="UUG17" s="1"/>
      <c r="UUH17" s="1"/>
      <c r="UUI17" s="1"/>
      <c r="UUJ17" s="1"/>
      <c r="UUK17" s="1"/>
      <c r="UUL17" s="1"/>
      <c r="UUM17" s="1"/>
      <c r="UUN17" s="1"/>
      <c r="UUO17" s="1"/>
      <c r="UUP17" s="1"/>
      <c r="UUQ17" s="1"/>
      <c r="UUR17" s="1"/>
      <c r="UUS17" s="1"/>
      <c r="UUT17" s="1"/>
      <c r="UUU17" s="1"/>
      <c r="UUV17" s="1"/>
      <c r="UUW17" s="1"/>
      <c r="UUX17" s="1"/>
      <c r="UUY17" s="1"/>
      <c r="UUZ17" s="1"/>
      <c r="UVA17" s="1"/>
      <c r="UVB17" s="1"/>
      <c r="UVC17" s="1"/>
      <c r="UVD17" s="1"/>
      <c r="UVE17" s="1"/>
      <c r="UVF17" s="1"/>
      <c r="UVG17" s="1"/>
      <c r="UVH17" s="1"/>
      <c r="UVI17" s="1"/>
      <c r="UVJ17" s="1"/>
      <c r="UVK17" s="1"/>
      <c r="UVL17" s="1"/>
      <c r="UVM17" s="1"/>
      <c r="UVN17" s="1"/>
      <c r="UVO17" s="1"/>
      <c r="UVP17" s="1"/>
      <c r="UVQ17" s="1"/>
      <c r="UVR17" s="1"/>
      <c r="UVS17" s="1"/>
      <c r="UVT17" s="1"/>
      <c r="UVU17" s="1"/>
      <c r="UVV17" s="1"/>
      <c r="UVW17" s="1"/>
      <c r="UVX17" s="1"/>
      <c r="UVY17" s="1"/>
      <c r="UVZ17" s="1"/>
      <c r="UWA17" s="1"/>
      <c r="UWB17" s="1"/>
      <c r="UWC17" s="1"/>
      <c r="UWD17" s="1"/>
      <c r="UWE17" s="1"/>
      <c r="UWF17" s="1"/>
      <c r="UWG17" s="1"/>
      <c r="UWH17" s="1"/>
      <c r="UWI17" s="1"/>
      <c r="UWJ17" s="1"/>
      <c r="UWK17" s="1"/>
      <c r="UWL17" s="1"/>
      <c r="UWM17" s="1"/>
      <c r="UWN17" s="1"/>
      <c r="UWO17" s="1"/>
      <c r="UWP17" s="1"/>
      <c r="UWQ17" s="1"/>
      <c r="UWR17" s="1"/>
      <c r="UWS17" s="1"/>
      <c r="UWT17" s="1"/>
      <c r="UWU17" s="1"/>
      <c r="UWV17" s="1"/>
      <c r="UWW17" s="1"/>
      <c r="UWX17" s="1"/>
      <c r="UWY17" s="1"/>
      <c r="UWZ17" s="1"/>
      <c r="UXA17" s="1"/>
      <c r="UXB17" s="1"/>
      <c r="UXC17" s="1"/>
      <c r="UXD17" s="1"/>
      <c r="UXE17" s="1"/>
      <c r="UXF17" s="1"/>
      <c r="UXG17" s="1"/>
      <c r="UXH17" s="1"/>
      <c r="UXI17" s="1"/>
      <c r="UXJ17" s="1"/>
      <c r="UXK17" s="1"/>
      <c r="UXL17" s="1"/>
      <c r="UXM17" s="1"/>
      <c r="UXN17" s="1"/>
      <c r="UXO17" s="1"/>
      <c r="UXP17" s="1"/>
      <c r="UXQ17" s="1"/>
      <c r="UXR17" s="1"/>
      <c r="UXS17" s="1"/>
      <c r="UXT17" s="1"/>
      <c r="UXU17" s="1"/>
      <c r="UXV17" s="1"/>
      <c r="UXW17" s="1"/>
      <c r="UXX17" s="1"/>
      <c r="UXY17" s="1"/>
      <c r="UXZ17" s="1"/>
      <c r="UYA17" s="1"/>
      <c r="UYB17" s="1"/>
      <c r="UYC17" s="1"/>
      <c r="UYD17" s="1"/>
      <c r="UYE17" s="1"/>
      <c r="UYF17" s="1"/>
      <c r="UYG17" s="1"/>
      <c r="UYH17" s="1"/>
      <c r="UYI17" s="1"/>
      <c r="UYJ17" s="1"/>
      <c r="UYK17" s="1"/>
      <c r="UYL17" s="1"/>
      <c r="UYM17" s="1"/>
      <c r="UYN17" s="1"/>
      <c r="UYO17" s="1"/>
      <c r="UYP17" s="1"/>
      <c r="UYQ17" s="1"/>
      <c r="UYR17" s="1"/>
      <c r="UYS17" s="1"/>
      <c r="UYT17" s="1"/>
      <c r="UYU17" s="1"/>
      <c r="UYV17" s="1"/>
      <c r="UYW17" s="1"/>
      <c r="UYX17" s="1"/>
      <c r="UYY17" s="1"/>
      <c r="UYZ17" s="1"/>
      <c r="UZA17" s="1"/>
      <c r="UZB17" s="1"/>
      <c r="UZC17" s="1"/>
      <c r="UZD17" s="1"/>
      <c r="UZE17" s="1"/>
      <c r="UZF17" s="1"/>
      <c r="UZG17" s="1"/>
      <c r="UZH17" s="1"/>
      <c r="UZI17" s="1"/>
      <c r="UZJ17" s="1"/>
      <c r="UZK17" s="1"/>
      <c r="UZL17" s="1"/>
      <c r="UZM17" s="1"/>
      <c r="UZN17" s="1"/>
      <c r="UZO17" s="1"/>
      <c r="UZP17" s="1"/>
      <c r="UZQ17" s="1"/>
      <c r="UZR17" s="1"/>
      <c r="UZS17" s="1"/>
      <c r="UZT17" s="1"/>
      <c r="UZU17" s="1"/>
      <c r="UZV17" s="1"/>
      <c r="UZW17" s="1"/>
      <c r="UZX17" s="1"/>
      <c r="UZY17" s="1"/>
      <c r="UZZ17" s="1"/>
      <c r="VAA17" s="1"/>
      <c r="VAB17" s="1"/>
      <c r="VAC17" s="1"/>
      <c r="VAD17" s="1"/>
      <c r="VAE17" s="1"/>
      <c r="VAF17" s="1"/>
      <c r="VAG17" s="1"/>
      <c r="VAH17" s="1"/>
      <c r="VAI17" s="1"/>
      <c r="VAJ17" s="1"/>
      <c r="VAK17" s="1"/>
      <c r="VAL17" s="1"/>
      <c r="VAM17" s="1"/>
      <c r="VAN17" s="1"/>
      <c r="VAO17" s="1"/>
      <c r="VAP17" s="1"/>
      <c r="VAQ17" s="1"/>
      <c r="VAR17" s="1"/>
      <c r="VAS17" s="1"/>
      <c r="VAT17" s="1"/>
      <c r="VAU17" s="1"/>
      <c r="VAV17" s="1"/>
      <c r="VAW17" s="1"/>
      <c r="VAX17" s="1"/>
      <c r="VAY17" s="1"/>
      <c r="VAZ17" s="1"/>
      <c r="VBA17" s="1"/>
      <c r="VBB17" s="1"/>
      <c r="VBC17" s="1"/>
      <c r="VBD17" s="1"/>
      <c r="VBE17" s="1"/>
      <c r="VBF17" s="1"/>
      <c r="VBG17" s="1"/>
      <c r="VBH17" s="1"/>
      <c r="VBI17" s="1"/>
      <c r="VBJ17" s="1"/>
      <c r="VBK17" s="1"/>
      <c r="VBL17" s="1"/>
      <c r="VBM17" s="1"/>
      <c r="VBN17" s="1"/>
      <c r="VBO17" s="1"/>
      <c r="VBP17" s="1"/>
      <c r="VBQ17" s="1"/>
      <c r="VBR17" s="1"/>
      <c r="VBS17" s="1"/>
      <c r="VBT17" s="1"/>
      <c r="VBU17" s="1"/>
      <c r="VBV17" s="1"/>
      <c r="VBW17" s="1"/>
      <c r="VBX17" s="1"/>
      <c r="VBY17" s="1"/>
      <c r="VBZ17" s="1"/>
      <c r="VCA17" s="1"/>
      <c r="VCB17" s="1"/>
      <c r="VCC17" s="1"/>
      <c r="VCD17" s="1"/>
      <c r="VCE17" s="1"/>
      <c r="VCF17" s="1"/>
      <c r="VCG17" s="1"/>
      <c r="VCH17" s="1"/>
      <c r="VCI17" s="1"/>
      <c r="VCJ17" s="1"/>
      <c r="VCK17" s="1"/>
      <c r="VCL17" s="1"/>
      <c r="VCM17" s="1"/>
      <c r="VCN17" s="1"/>
      <c r="VCO17" s="1"/>
      <c r="VCP17" s="1"/>
      <c r="VCQ17" s="1"/>
      <c r="VCR17" s="1"/>
      <c r="VCS17" s="1"/>
      <c r="VCT17" s="1"/>
      <c r="VCU17" s="1"/>
      <c r="VCV17" s="1"/>
      <c r="VCW17" s="1"/>
      <c r="VCX17" s="1"/>
      <c r="VCY17" s="1"/>
      <c r="VCZ17" s="1"/>
      <c r="VDA17" s="1"/>
      <c r="VDB17" s="1"/>
      <c r="VDC17" s="1"/>
      <c r="VDD17" s="1"/>
      <c r="VDE17" s="1"/>
      <c r="VDF17" s="1"/>
      <c r="VDG17" s="1"/>
      <c r="VDH17" s="1"/>
      <c r="VDI17" s="1"/>
      <c r="VDJ17" s="1"/>
      <c r="VDK17" s="1"/>
      <c r="VDL17" s="1"/>
      <c r="VDM17" s="1"/>
      <c r="VDN17" s="1"/>
      <c r="VDO17" s="1"/>
      <c r="VDP17" s="1"/>
      <c r="VDQ17" s="1"/>
      <c r="VDR17" s="1"/>
      <c r="VDS17" s="1"/>
      <c r="VDT17" s="1"/>
      <c r="VDU17" s="1"/>
      <c r="VDV17" s="1"/>
      <c r="VDW17" s="1"/>
      <c r="VDX17" s="1"/>
      <c r="VDY17" s="1"/>
      <c r="VDZ17" s="1"/>
      <c r="VEA17" s="1"/>
      <c r="VEB17" s="1"/>
      <c r="VEC17" s="1"/>
      <c r="VED17" s="1"/>
      <c r="VEE17" s="1"/>
      <c r="VEF17" s="1"/>
      <c r="VEG17" s="1"/>
      <c r="VEH17" s="1"/>
      <c r="VEI17" s="1"/>
      <c r="VEJ17" s="1"/>
      <c r="VEK17" s="1"/>
      <c r="VEL17" s="1"/>
      <c r="VEM17" s="1"/>
      <c r="VEN17" s="1"/>
      <c r="VEO17" s="1"/>
      <c r="VEP17" s="1"/>
      <c r="VEQ17" s="1"/>
      <c r="VER17" s="1"/>
      <c r="VES17" s="1"/>
      <c r="VET17" s="1"/>
      <c r="VEU17" s="1"/>
      <c r="VEV17" s="1"/>
      <c r="VEW17" s="1"/>
      <c r="VEX17" s="1"/>
      <c r="VEY17" s="1"/>
      <c r="VEZ17" s="1"/>
      <c r="VFA17" s="1"/>
      <c r="VFB17" s="1"/>
      <c r="VFC17" s="1"/>
      <c r="VFD17" s="1"/>
      <c r="VFE17" s="1"/>
      <c r="VFF17" s="1"/>
      <c r="VFG17" s="1"/>
      <c r="VFH17" s="1"/>
      <c r="VFI17" s="1"/>
      <c r="VFJ17" s="1"/>
      <c r="VFK17" s="1"/>
      <c r="VFL17" s="1"/>
      <c r="VFM17" s="1"/>
      <c r="VFN17" s="1"/>
      <c r="VFO17" s="1"/>
      <c r="VFP17" s="1"/>
      <c r="VFQ17" s="1"/>
      <c r="VFR17" s="1"/>
      <c r="VFS17" s="1"/>
      <c r="VFT17" s="1"/>
      <c r="VFU17" s="1"/>
      <c r="VFV17" s="1"/>
      <c r="VFW17" s="1"/>
      <c r="VFX17" s="1"/>
      <c r="VFY17" s="1"/>
      <c r="VFZ17" s="1"/>
      <c r="VGA17" s="1"/>
      <c r="VGB17" s="1"/>
      <c r="VGC17" s="1"/>
      <c r="VGD17" s="1"/>
      <c r="VGE17" s="1"/>
      <c r="VGF17" s="1"/>
      <c r="VGG17" s="1"/>
      <c r="VGH17" s="1"/>
      <c r="VGI17" s="1"/>
      <c r="VGJ17" s="1"/>
      <c r="VGK17" s="1"/>
      <c r="VGL17" s="1"/>
      <c r="VGM17" s="1"/>
      <c r="VGN17" s="1"/>
      <c r="VGO17" s="1"/>
      <c r="VGP17" s="1"/>
      <c r="VGQ17" s="1"/>
      <c r="VGR17" s="1"/>
      <c r="VGS17" s="1"/>
      <c r="VGT17" s="1"/>
      <c r="VGU17" s="1"/>
      <c r="VGV17" s="1"/>
      <c r="VGW17" s="1"/>
      <c r="VGX17" s="1"/>
      <c r="VGY17" s="1"/>
      <c r="VGZ17" s="1"/>
      <c r="VHA17" s="1"/>
      <c r="VHB17" s="1"/>
      <c r="VHC17" s="1"/>
      <c r="VHD17" s="1"/>
      <c r="VHE17" s="1"/>
      <c r="VHF17" s="1"/>
      <c r="VHG17" s="1"/>
      <c r="VHH17" s="1"/>
      <c r="VHI17" s="1"/>
      <c r="VHJ17" s="1"/>
      <c r="VHK17" s="1"/>
      <c r="VHL17" s="1"/>
      <c r="VHM17" s="1"/>
      <c r="VHN17" s="1"/>
      <c r="VHO17" s="1"/>
      <c r="VHP17" s="1"/>
      <c r="VHQ17" s="1"/>
      <c r="VHR17" s="1"/>
      <c r="VHS17" s="1"/>
      <c r="VHT17" s="1"/>
      <c r="VHU17" s="1"/>
      <c r="VHV17" s="1"/>
      <c r="VHW17" s="1"/>
      <c r="VHX17" s="1"/>
      <c r="VHY17" s="1"/>
      <c r="VHZ17" s="1"/>
      <c r="VIA17" s="1"/>
      <c r="VIB17" s="1"/>
      <c r="VIC17" s="1"/>
      <c r="VID17" s="1"/>
      <c r="VIE17" s="1"/>
      <c r="VIF17" s="1"/>
      <c r="VIG17" s="1"/>
      <c r="VIH17" s="1"/>
      <c r="VII17" s="1"/>
      <c r="VIJ17" s="1"/>
      <c r="VIK17" s="1"/>
      <c r="VIL17" s="1"/>
      <c r="VIM17" s="1"/>
      <c r="VIN17" s="1"/>
      <c r="VIO17" s="1"/>
      <c r="VIP17" s="1"/>
      <c r="VIQ17" s="1"/>
      <c r="VIR17" s="1"/>
      <c r="VIS17" s="1"/>
      <c r="VIT17" s="1"/>
      <c r="VIU17" s="1"/>
      <c r="VIV17" s="1"/>
      <c r="VIW17" s="1"/>
      <c r="VIX17" s="1"/>
      <c r="VIY17" s="1"/>
      <c r="VIZ17" s="1"/>
      <c r="VJA17" s="1"/>
      <c r="VJB17" s="1"/>
      <c r="VJC17" s="1"/>
      <c r="VJD17" s="1"/>
      <c r="VJE17" s="1"/>
      <c r="VJF17" s="1"/>
      <c r="VJG17" s="1"/>
      <c r="VJH17" s="1"/>
      <c r="VJI17" s="1"/>
      <c r="VJJ17" s="1"/>
      <c r="VJK17" s="1"/>
      <c r="VJL17" s="1"/>
      <c r="VJM17" s="1"/>
      <c r="VJN17" s="1"/>
      <c r="VJO17" s="1"/>
      <c r="VJP17" s="1"/>
      <c r="VJQ17" s="1"/>
      <c r="VJR17" s="1"/>
      <c r="VJS17" s="1"/>
      <c r="VJT17" s="1"/>
      <c r="VJU17" s="1"/>
      <c r="VJV17" s="1"/>
      <c r="VJW17" s="1"/>
      <c r="VJX17" s="1"/>
      <c r="VJY17" s="1"/>
      <c r="VJZ17" s="1"/>
      <c r="VKA17" s="1"/>
      <c r="VKB17" s="1"/>
      <c r="VKC17" s="1"/>
      <c r="VKD17" s="1"/>
      <c r="VKE17" s="1"/>
      <c r="VKF17" s="1"/>
      <c r="VKG17" s="1"/>
      <c r="VKH17" s="1"/>
      <c r="VKI17" s="1"/>
      <c r="VKJ17" s="1"/>
      <c r="VKK17" s="1"/>
      <c r="VKL17" s="1"/>
      <c r="VKM17" s="1"/>
      <c r="VKN17" s="1"/>
      <c r="VKO17" s="1"/>
      <c r="VKP17" s="1"/>
      <c r="VKQ17" s="1"/>
      <c r="VKR17" s="1"/>
      <c r="VKS17" s="1"/>
      <c r="VKT17" s="1"/>
      <c r="VKU17" s="1"/>
      <c r="VKV17" s="1"/>
      <c r="VKW17" s="1"/>
      <c r="VKX17" s="1"/>
      <c r="VKY17" s="1"/>
      <c r="VKZ17" s="1"/>
      <c r="VLA17" s="1"/>
      <c r="VLB17" s="1"/>
      <c r="VLC17" s="1"/>
      <c r="VLD17" s="1"/>
      <c r="VLE17" s="1"/>
      <c r="VLF17" s="1"/>
      <c r="VLG17" s="1"/>
      <c r="VLH17" s="1"/>
      <c r="VLI17" s="1"/>
      <c r="VLJ17" s="1"/>
      <c r="VLK17" s="1"/>
      <c r="VLL17" s="1"/>
      <c r="VLM17" s="1"/>
      <c r="VLN17" s="1"/>
      <c r="VLO17" s="1"/>
      <c r="VLP17" s="1"/>
      <c r="VLQ17" s="1"/>
      <c r="VLR17" s="1"/>
      <c r="VLS17" s="1"/>
      <c r="VLT17" s="1"/>
      <c r="VLU17" s="1"/>
      <c r="VLV17" s="1"/>
      <c r="VLW17" s="1"/>
      <c r="VLX17" s="1"/>
      <c r="VLY17" s="1"/>
      <c r="VLZ17" s="1"/>
      <c r="VMA17" s="1"/>
      <c r="VMB17" s="1"/>
      <c r="VMC17" s="1"/>
      <c r="VMD17" s="1"/>
      <c r="VME17" s="1"/>
      <c r="VMF17" s="1"/>
      <c r="VMG17" s="1"/>
      <c r="VMH17" s="1"/>
      <c r="VMI17" s="1"/>
      <c r="VMJ17" s="1"/>
      <c r="VMK17" s="1"/>
      <c r="VML17" s="1"/>
      <c r="VMM17" s="1"/>
      <c r="VMN17" s="1"/>
      <c r="VMO17" s="1"/>
      <c r="VMP17" s="1"/>
      <c r="VMQ17" s="1"/>
      <c r="VMR17" s="1"/>
      <c r="VMS17" s="1"/>
      <c r="VMT17" s="1"/>
      <c r="VMU17" s="1"/>
      <c r="VMV17" s="1"/>
      <c r="VMW17" s="1"/>
      <c r="VMX17" s="1"/>
      <c r="VMY17" s="1"/>
      <c r="VMZ17" s="1"/>
      <c r="VNA17" s="1"/>
      <c r="VNB17" s="1"/>
      <c r="VNC17" s="1"/>
      <c r="VND17" s="1"/>
      <c r="VNE17" s="1"/>
      <c r="VNF17" s="1"/>
      <c r="VNG17" s="1"/>
      <c r="VNH17" s="1"/>
      <c r="VNI17" s="1"/>
      <c r="VNJ17" s="1"/>
      <c r="VNK17" s="1"/>
      <c r="VNL17" s="1"/>
      <c r="VNM17" s="1"/>
      <c r="VNN17" s="1"/>
      <c r="VNO17" s="1"/>
      <c r="VNP17" s="1"/>
      <c r="VNQ17" s="1"/>
      <c r="VNR17" s="1"/>
      <c r="VNS17" s="1"/>
      <c r="VNT17" s="1"/>
      <c r="VNU17" s="1"/>
      <c r="VNV17" s="1"/>
      <c r="VNW17" s="1"/>
      <c r="VNX17" s="1"/>
      <c r="VNY17" s="1"/>
      <c r="VNZ17" s="1"/>
      <c r="VOA17" s="1"/>
      <c r="VOB17" s="1"/>
      <c r="VOC17" s="1"/>
      <c r="VOD17" s="1"/>
      <c r="VOE17" s="1"/>
      <c r="VOF17" s="1"/>
      <c r="VOG17" s="1"/>
      <c r="VOH17" s="1"/>
      <c r="VOI17" s="1"/>
      <c r="VOJ17" s="1"/>
      <c r="VOK17" s="1"/>
      <c r="VOL17" s="1"/>
      <c r="VOM17" s="1"/>
      <c r="VON17" s="1"/>
      <c r="VOO17" s="1"/>
      <c r="VOP17" s="1"/>
      <c r="VOQ17" s="1"/>
      <c r="VOR17" s="1"/>
      <c r="VOS17" s="1"/>
      <c r="VOT17" s="1"/>
      <c r="VOU17" s="1"/>
      <c r="VOV17" s="1"/>
      <c r="VOW17" s="1"/>
      <c r="VOX17" s="1"/>
      <c r="VOY17" s="1"/>
      <c r="VOZ17" s="1"/>
      <c r="VPA17" s="1"/>
      <c r="VPB17" s="1"/>
      <c r="VPC17" s="1"/>
      <c r="VPD17" s="1"/>
      <c r="VPE17" s="1"/>
      <c r="VPF17" s="1"/>
      <c r="VPG17" s="1"/>
      <c r="VPH17" s="1"/>
      <c r="VPI17" s="1"/>
      <c r="VPJ17" s="1"/>
      <c r="VPK17" s="1"/>
      <c r="VPL17" s="1"/>
      <c r="VPM17" s="1"/>
      <c r="VPN17" s="1"/>
      <c r="VPO17" s="1"/>
      <c r="VPP17" s="1"/>
      <c r="VPQ17" s="1"/>
      <c r="VPR17" s="1"/>
      <c r="VPS17" s="1"/>
      <c r="VPT17" s="1"/>
      <c r="VPU17" s="1"/>
      <c r="VPV17" s="1"/>
      <c r="VPW17" s="1"/>
      <c r="VPX17" s="1"/>
      <c r="VPY17" s="1"/>
      <c r="VPZ17" s="1"/>
      <c r="VQA17" s="1"/>
      <c r="VQB17" s="1"/>
      <c r="VQC17" s="1"/>
      <c r="VQD17" s="1"/>
      <c r="VQE17" s="1"/>
      <c r="VQF17" s="1"/>
      <c r="VQG17" s="1"/>
      <c r="VQH17" s="1"/>
      <c r="VQI17" s="1"/>
      <c r="VQJ17" s="1"/>
      <c r="VQK17" s="1"/>
      <c r="VQL17" s="1"/>
      <c r="VQM17" s="1"/>
      <c r="VQN17" s="1"/>
      <c r="VQO17" s="1"/>
      <c r="VQP17" s="1"/>
      <c r="VQQ17" s="1"/>
      <c r="VQR17" s="1"/>
      <c r="VQS17" s="1"/>
      <c r="VQT17" s="1"/>
      <c r="VQU17" s="1"/>
      <c r="VQV17" s="1"/>
      <c r="VQW17" s="1"/>
      <c r="VQX17" s="1"/>
      <c r="VQY17" s="1"/>
      <c r="VQZ17" s="1"/>
      <c r="VRA17" s="1"/>
      <c r="VRB17" s="1"/>
      <c r="VRC17" s="1"/>
      <c r="VRD17" s="1"/>
      <c r="VRE17" s="1"/>
      <c r="VRF17" s="1"/>
      <c r="VRG17" s="1"/>
      <c r="VRH17" s="1"/>
      <c r="VRI17" s="1"/>
      <c r="VRJ17" s="1"/>
      <c r="VRK17" s="1"/>
      <c r="VRL17" s="1"/>
      <c r="VRM17" s="1"/>
      <c r="VRN17" s="1"/>
      <c r="VRO17" s="1"/>
      <c r="VRP17" s="1"/>
      <c r="VRQ17" s="1"/>
      <c r="VRR17" s="1"/>
      <c r="VRS17" s="1"/>
      <c r="VRT17" s="1"/>
      <c r="VRU17" s="1"/>
      <c r="VRV17" s="1"/>
      <c r="VRW17" s="1"/>
      <c r="VRX17" s="1"/>
      <c r="VRY17" s="1"/>
      <c r="VRZ17" s="1"/>
      <c r="VSA17" s="1"/>
      <c r="VSB17" s="1"/>
      <c r="VSC17" s="1"/>
      <c r="VSD17" s="1"/>
      <c r="VSE17" s="1"/>
      <c r="VSF17" s="1"/>
      <c r="VSG17" s="1"/>
      <c r="VSH17" s="1"/>
      <c r="VSI17" s="1"/>
      <c r="VSJ17" s="1"/>
      <c r="VSK17" s="1"/>
      <c r="VSL17" s="1"/>
      <c r="VSM17" s="1"/>
      <c r="VSN17" s="1"/>
      <c r="VSO17" s="1"/>
      <c r="VSP17" s="1"/>
      <c r="VSQ17" s="1"/>
      <c r="VSR17" s="1"/>
      <c r="VSS17" s="1"/>
      <c r="VST17" s="1"/>
      <c r="VSU17" s="1"/>
      <c r="VSV17" s="1"/>
      <c r="VSW17" s="1"/>
      <c r="VSX17" s="1"/>
      <c r="VSY17" s="1"/>
      <c r="VSZ17" s="1"/>
      <c r="VTA17" s="1"/>
      <c r="VTB17" s="1"/>
      <c r="VTC17" s="1"/>
      <c r="VTD17" s="1"/>
      <c r="VTE17" s="1"/>
      <c r="VTF17" s="1"/>
      <c r="VTG17" s="1"/>
      <c r="VTH17" s="1"/>
      <c r="VTI17" s="1"/>
      <c r="VTJ17" s="1"/>
      <c r="VTK17" s="1"/>
      <c r="VTL17" s="1"/>
      <c r="VTM17" s="1"/>
      <c r="VTN17" s="1"/>
      <c r="VTO17" s="1"/>
      <c r="VTP17" s="1"/>
      <c r="VTQ17" s="1"/>
      <c r="VTR17" s="1"/>
      <c r="VTS17" s="1"/>
      <c r="VTT17" s="1"/>
      <c r="VTU17" s="1"/>
      <c r="VTV17" s="1"/>
      <c r="VTW17" s="1"/>
      <c r="VTX17" s="1"/>
      <c r="VTY17" s="1"/>
      <c r="VTZ17" s="1"/>
      <c r="VUA17" s="1"/>
      <c r="VUB17" s="1"/>
      <c r="VUC17" s="1"/>
      <c r="VUD17" s="1"/>
      <c r="VUE17" s="1"/>
      <c r="VUF17" s="1"/>
      <c r="VUG17" s="1"/>
      <c r="VUH17" s="1"/>
      <c r="VUI17" s="1"/>
      <c r="VUJ17" s="1"/>
      <c r="VUK17" s="1"/>
      <c r="VUL17" s="1"/>
      <c r="VUM17" s="1"/>
      <c r="VUN17" s="1"/>
      <c r="VUO17" s="1"/>
      <c r="VUP17" s="1"/>
      <c r="VUQ17" s="1"/>
      <c r="VUR17" s="1"/>
      <c r="VUS17" s="1"/>
      <c r="VUT17" s="1"/>
      <c r="VUU17" s="1"/>
      <c r="VUV17" s="1"/>
      <c r="VUW17" s="1"/>
      <c r="VUX17" s="1"/>
      <c r="VUY17" s="1"/>
      <c r="VUZ17" s="1"/>
      <c r="VVA17" s="1"/>
      <c r="VVB17" s="1"/>
      <c r="VVC17" s="1"/>
      <c r="VVD17" s="1"/>
      <c r="VVE17" s="1"/>
      <c r="VVF17" s="1"/>
      <c r="VVG17" s="1"/>
      <c r="VVH17" s="1"/>
      <c r="VVI17" s="1"/>
      <c r="VVJ17" s="1"/>
      <c r="VVK17" s="1"/>
      <c r="VVL17" s="1"/>
      <c r="VVM17" s="1"/>
      <c r="VVN17" s="1"/>
      <c r="VVO17" s="1"/>
      <c r="VVP17" s="1"/>
      <c r="VVQ17" s="1"/>
      <c r="VVR17" s="1"/>
      <c r="VVS17" s="1"/>
      <c r="VVT17" s="1"/>
      <c r="VVU17" s="1"/>
      <c r="VVV17" s="1"/>
      <c r="VVW17" s="1"/>
      <c r="VVX17" s="1"/>
      <c r="VVY17" s="1"/>
      <c r="VVZ17" s="1"/>
      <c r="VWA17" s="1"/>
      <c r="VWB17" s="1"/>
      <c r="VWC17" s="1"/>
      <c r="VWD17" s="1"/>
      <c r="VWE17" s="1"/>
      <c r="VWF17" s="1"/>
      <c r="VWG17" s="1"/>
      <c r="VWH17" s="1"/>
      <c r="VWI17" s="1"/>
      <c r="VWJ17" s="1"/>
      <c r="VWK17" s="1"/>
      <c r="VWL17" s="1"/>
      <c r="VWM17" s="1"/>
      <c r="VWN17" s="1"/>
      <c r="VWO17" s="1"/>
      <c r="VWP17" s="1"/>
      <c r="VWQ17" s="1"/>
      <c r="VWR17" s="1"/>
      <c r="VWS17" s="1"/>
      <c r="VWT17" s="1"/>
      <c r="VWU17" s="1"/>
      <c r="VWV17" s="1"/>
      <c r="VWW17" s="1"/>
      <c r="VWX17" s="1"/>
      <c r="VWY17" s="1"/>
      <c r="VWZ17" s="1"/>
      <c r="VXA17" s="1"/>
      <c r="VXB17" s="1"/>
      <c r="VXC17" s="1"/>
      <c r="VXD17" s="1"/>
      <c r="VXE17" s="1"/>
      <c r="VXF17" s="1"/>
      <c r="VXG17" s="1"/>
      <c r="VXH17" s="1"/>
      <c r="VXI17" s="1"/>
      <c r="VXJ17" s="1"/>
      <c r="VXK17" s="1"/>
      <c r="VXL17" s="1"/>
      <c r="VXM17" s="1"/>
      <c r="VXN17" s="1"/>
      <c r="VXO17" s="1"/>
      <c r="VXP17" s="1"/>
      <c r="VXQ17" s="1"/>
      <c r="VXR17" s="1"/>
      <c r="VXS17" s="1"/>
      <c r="VXT17" s="1"/>
      <c r="VXU17" s="1"/>
      <c r="VXV17" s="1"/>
      <c r="VXW17" s="1"/>
      <c r="VXX17" s="1"/>
      <c r="VXY17" s="1"/>
      <c r="VXZ17" s="1"/>
      <c r="VYA17" s="1"/>
      <c r="VYB17" s="1"/>
      <c r="VYC17" s="1"/>
      <c r="VYD17" s="1"/>
      <c r="VYE17" s="1"/>
      <c r="VYF17" s="1"/>
      <c r="VYG17" s="1"/>
      <c r="VYH17" s="1"/>
      <c r="VYI17" s="1"/>
      <c r="VYJ17" s="1"/>
      <c r="VYK17" s="1"/>
      <c r="VYL17" s="1"/>
      <c r="VYM17" s="1"/>
      <c r="VYN17" s="1"/>
      <c r="VYO17" s="1"/>
      <c r="VYP17" s="1"/>
      <c r="VYQ17" s="1"/>
      <c r="VYR17" s="1"/>
      <c r="VYS17" s="1"/>
      <c r="VYT17" s="1"/>
      <c r="VYU17" s="1"/>
      <c r="VYV17" s="1"/>
      <c r="VYW17" s="1"/>
      <c r="VYX17" s="1"/>
      <c r="VYY17" s="1"/>
      <c r="VYZ17" s="1"/>
      <c r="VZA17" s="1"/>
      <c r="VZB17" s="1"/>
      <c r="VZC17" s="1"/>
      <c r="VZD17" s="1"/>
      <c r="VZE17" s="1"/>
      <c r="VZF17" s="1"/>
      <c r="VZG17" s="1"/>
      <c r="VZH17" s="1"/>
      <c r="VZI17" s="1"/>
      <c r="VZJ17" s="1"/>
      <c r="VZK17" s="1"/>
      <c r="VZL17" s="1"/>
      <c r="VZM17" s="1"/>
      <c r="VZN17" s="1"/>
      <c r="VZO17" s="1"/>
      <c r="VZP17" s="1"/>
      <c r="VZQ17" s="1"/>
      <c r="VZR17" s="1"/>
      <c r="VZS17" s="1"/>
      <c r="VZT17" s="1"/>
      <c r="VZU17" s="1"/>
      <c r="VZV17" s="1"/>
      <c r="VZW17" s="1"/>
      <c r="VZX17" s="1"/>
      <c r="VZY17" s="1"/>
      <c r="VZZ17" s="1"/>
      <c r="WAA17" s="1"/>
      <c r="WAB17" s="1"/>
      <c r="WAC17" s="1"/>
      <c r="WAD17" s="1"/>
      <c r="WAE17" s="1"/>
      <c r="WAF17" s="1"/>
      <c r="WAG17" s="1"/>
      <c r="WAH17" s="1"/>
      <c r="WAI17" s="1"/>
      <c r="WAJ17" s="1"/>
      <c r="WAK17" s="1"/>
      <c r="WAL17" s="1"/>
      <c r="WAM17" s="1"/>
      <c r="WAN17" s="1"/>
      <c r="WAO17" s="1"/>
      <c r="WAP17" s="1"/>
      <c r="WAQ17" s="1"/>
      <c r="WAR17" s="1"/>
      <c r="WAS17" s="1"/>
      <c r="WAT17" s="1"/>
      <c r="WAU17" s="1"/>
      <c r="WAV17" s="1"/>
      <c r="WAW17" s="1"/>
      <c r="WAX17" s="1"/>
      <c r="WAY17" s="1"/>
      <c r="WAZ17" s="1"/>
      <c r="WBA17" s="1"/>
      <c r="WBB17" s="1"/>
      <c r="WBC17" s="1"/>
      <c r="WBD17" s="1"/>
      <c r="WBE17" s="1"/>
      <c r="WBF17" s="1"/>
      <c r="WBG17" s="1"/>
      <c r="WBH17" s="1"/>
      <c r="WBI17" s="1"/>
      <c r="WBJ17" s="1"/>
      <c r="WBK17" s="1"/>
      <c r="WBL17" s="1"/>
      <c r="WBM17" s="1"/>
      <c r="WBN17" s="1"/>
      <c r="WBO17" s="1"/>
      <c r="WBP17" s="1"/>
      <c r="WBQ17" s="1"/>
      <c r="WBR17" s="1"/>
      <c r="WBS17" s="1"/>
      <c r="WBT17" s="1"/>
      <c r="WBU17" s="1"/>
      <c r="WBV17" s="1"/>
      <c r="WBW17" s="1"/>
      <c r="WBX17" s="1"/>
      <c r="WBY17" s="1"/>
      <c r="WBZ17" s="1"/>
      <c r="WCA17" s="1"/>
      <c r="WCB17" s="1"/>
      <c r="WCC17" s="1"/>
      <c r="WCD17" s="1"/>
      <c r="WCE17" s="1"/>
      <c r="WCF17" s="1"/>
      <c r="WCG17" s="1"/>
      <c r="WCH17" s="1"/>
      <c r="WCI17" s="1"/>
      <c r="WCJ17" s="1"/>
      <c r="WCK17" s="1"/>
      <c r="WCL17" s="1"/>
      <c r="WCM17" s="1"/>
      <c r="WCN17" s="1"/>
      <c r="WCO17" s="1"/>
      <c r="WCP17" s="1"/>
      <c r="WCQ17" s="1"/>
      <c r="WCR17" s="1"/>
      <c r="WCS17" s="1"/>
      <c r="WCT17" s="1"/>
      <c r="WCU17" s="1"/>
      <c r="WCV17" s="1"/>
      <c r="WCW17" s="1"/>
      <c r="WCX17" s="1"/>
      <c r="WCY17" s="1"/>
      <c r="WCZ17" s="1"/>
      <c r="WDA17" s="1"/>
      <c r="WDB17" s="1"/>
      <c r="WDC17" s="1"/>
      <c r="WDD17" s="1"/>
      <c r="WDE17" s="1"/>
      <c r="WDF17" s="1"/>
      <c r="WDG17" s="1"/>
      <c r="WDH17" s="1"/>
      <c r="WDI17" s="1"/>
      <c r="WDJ17" s="1"/>
      <c r="WDK17" s="1"/>
      <c r="WDL17" s="1"/>
      <c r="WDM17" s="1"/>
      <c r="WDN17" s="1"/>
      <c r="WDO17" s="1"/>
      <c r="WDP17" s="1"/>
      <c r="WDQ17" s="1"/>
      <c r="WDR17" s="1"/>
      <c r="WDS17" s="1"/>
      <c r="WDT17" s="1"/>
      <c r="WDU17" s="1"/>
      <c r="WDV17" s="1"/>
      <c r="WDW17" s="1"/>
      <c r="WDX17" s="1"/>
      <c r="WDY17" s="1"/>
      <c r="WDZ17" s="1"/>
      <c r="WEA17" s="1"/>
      <c r="WEB17" s="1"/>
      <c r="WEC17" s="1"/>
      <c r="WED17" s="1"/>
      <c r="WEE17" s="1"/>
      <c r="WEF17" s="1"/>
      <c r="WEG17" s="1"/>
      <c r="WEH17" s="1"/>
      <c r="WEI17" s="1"/>
      <c r="WEJ17" s="1"/>
      <c r="WEK17" s="1"/>
      <c r="WEL17" s="1"/>
      <c r="WEM17" s="1"/>
      <c r="WEN17" s="1"/>
      <c r="WEO17" s="1"/>
      <c r="WEP17" s="1"/>
      <c r="WEQ17" s="1"/>
      <c r="WER17" s="1"/>
      <c r="WES17" s="1"/>
      <c r="WET17" s="1"/>
      <c r="WEU17" s="1"/>
      <c r="WEV17" s="1"/>
      <c r="WEW17" s="1"/>
      <c r="WEX17" s="1"/>
      <c r="WEY17" s="1"/>
      <c r="WEZ17" s="1"/>
      <c r="WFA17" s="1"/>
      <c r="WFB17" s="1"/>
      <c r="WFC17" s="1"/>
      <c r="WFD17" s="1"/>
      <c r="WFE17" s="1"/>
      <c r="WFF17" s="1"/>
      <c r="WFG17" s="1"/>
      <c r="WFH17" s="1"/>
      <c r="WFI17" s="1"/>
      <c r="WFJ17" s="1"/>
      <c r="WFK17" s="1"/>
      <c r="WFL17" s="1"/>
      <c r="WFM17" s="1"/>
      <c r="WFN17" s="1"/>
      <c r="WFO17" s="1"/>
      <c r="WFP17" s="1"/>
      <c r="WFQ17" s="1"/>
      <c r="WFR17" s="1"/>
      <c r="WFS17" s="1"/>
      <c r="WFT17" s="1"/>
      <c r="WFU17" s="1"/>
      <c r="WFV17" s="1"/>
      <c r="WFW17" s="1"/>
      <c r="WFX17" s="1"/>
      <c r="WFY17" s="1"/>
      <c r="WFZ17" s="1"/>
      <c r="WGA17" s="1"/>
      <c r="WGB17" s="1"/>
      <c r="WGC17" s="1"/>
      <c r="WGD17" s="1"/>
      <c r="WGE17" s="1"/>
      <c r="WGF17" s="1"/>
      <c r="WGG17" s="1"/>
      <c r="WGH17" s="1"/>
      <c r="WGI17" s="1"/>
      <c r="WGJ17" s="1"/>
      <c r="WGK17" s="1"/>
      <c r="WGL17" s="1"/>
      <c r="WGM17" s="1"/>
      <c r="WGN17" s="1"/>
      <c r="WGO17" s="1"/>
      <c r="WGP17" s="1"/>
      <c r="WGQ17" s="1"/>
      <c r="WGR17" s="1"/>
      <c r="WGS17" s="1"/>
      <c r="WGT17" s="1"/>
      <c r="WGU17" s="1"/>
      <c r="WGV17" s="1"/>
      <c r="WGW17" s="1"/>
      <c r="WGX17" s="1"/>
      <c r="WGY17" s="1"/>
      <c r="WGZ17" s="1"/>
      <c r="WHA17" s="1"/>
      <c r="WHB17" s="1"/>
      <c r="WHC17" s="1"/>
      <c r="WHD17" s="1"/>
      <c r="WHE17" s="1"/>
      <c r="WHF17" s="1"/>
      <c r="WHG17" s="1"/>
      <c r="WHH17" s="1"/>
      <c r="WHI17" s="1"/>
      <c r="WHJ17" s="1"/>
      <c r="WHK17" s="1"/>
      <c r="WHL17" s="1"/>
      <c r="WHM17" s="1"/>
      <c r="WHN17" s="1"/>
      <c r="WHO17" s="1"/>
      <c r="WHP17" s="1"/>
      <c r="WHQ17" s="1"/>
      <c r="WHR17" s="1"/>
      <c r="WHS17" s="1"/>
      <c r="WHT17" s="1"/>
      <c r="WHU17" s="1"/>
      <c r="WHV17" s="1"/>
      <c r="WHW17" s="1"/>
      <c r="WHX17" s="1"/>
      <c r="WHY17" s="1"/>
      <c r="WHZ17" s="1"/>
      <c r="WIA17" s="1"/>
      <c r="WIB17" s="1"/>
      <c r="WIC17" s="1"/>
      <c r="WID17" s="1"/>
      <c r="WIE17" s="1"/>
      <c r="WIF17" s="1"/>
      <c r="WIG17" s="1"/>
      <c r="WIH17" s="1"/>
      <c r="WII17" s="1"/>
      <c r="WIJ17" s="1"/>
      <c r="WIK17" s="1"/>
      <c r="WIL17" s="1"/>
      <c r="WIM17" s="1"/>
      <c r="WIN17" s="1"/>
      <c r="WIO17" s="1"/>
      <c r="WIP17" s="1"/>
      <c r="WIQ17" s="1"/>
      <c r="WIR17" s="1"/>
      <c r="WIS17" s="1"/>
      <c r="WIT17" s="1"/>
      <c r="WIU17" s="1"/>
      <c r="WIV17" s="1"/>
      <c r="WIW17" s="1"/>
      <c r="WIX17" s="1"/>
      <c r="WIY17" s="1"/>
      <c r="WIZ17" s="1"/>
      <c r="WJA17" s="1"/>
      <c r="WJB17" s="1"/>
      <c r="WJC17" s="1"/>
      <c r="WJD17" s="1"/>
      <c r="WJE17" s="1"/>
      <c r="WJF17" s="1"/>
      <c r="WJG17" s="1"/>
      <c r="WJH17" s="1"/>
      <c r="WJI17" s="1"/>
      <c r="WJJ17" s="1"/>
      <c r="WJK17" s="1"/>
      <c r="WJL17" s="1"/>
      <c r="WJM17" s="1"/>
      <c r="WJN17" s="1"/>
      <c r="WJO17" s="1"/>
      <c r="WJP17" s="1"/>
      <c r="WJQ17" s="1"/>
      <c r="WJR17" s="1"/>
      <c r="WJS17" s="1"/>
      <c r="WJT17" s="1"/>
      <c r="WJU17" s="1"/>
      <c r="WJV17" s="1"/>
      <c r="WJW17" s="1"/>
      <c r="WJX17" s="1"/>
      <c r="WJY17" s="1"/>
      <c r="WJZ17" s="1"/>
      <c r="WKA17" s="1"/>
      <c r="WKB17" s="1"/>
      <c r="WKC17" s="1"/>
      <c r="WKD17" s="1"/>
      <c r="WKE17" s="1"/>
      <c r="WKF17" s="1"/>
      <c r="WKG17" s="1"/>
      <c r="WKH17" s="1"/>
      <c r="WKI17" s="1"/>
      <c r="WKJ17" s="1"/>
      <c r="WKK17" s="1"/>
      <c r="WKL17" s="1"/>
      <c r="WKM17" s="1"/>
      <c r="WKN17" s="1"/>
      <c r="WKO17" s="1"/>
      <c r="WKP17" s="1"/>
      <c r="WKQ17" s="1"/>
      <c r="WKR17" s="1"/>
      <c r="WKS17" s="1"/>
      <c r="WKT17" s="1"/>
      <c r="WKU17" s="1"/>
      <c r="WKV17" s="1"/>
      <c r="WKW17" s="1"/>
      <c r="WKX17" s="1"/>
      <c r="WKY17" s="1"/>
      <c r="WKZ17" s="1"/>
      <c r="WLA17" s="1"/>
      <c r="WLB17" s="1"/>
      <c r="WLC17" s="1"/>
      <c r="WLD17" s="1"/>
      <c r="WLE17" s="1"/>
      <c r="WLF17" s="1"/>
      <c r="WLG17" s="1"/>
      <c r="WLH17" s="1"/>
      <c r="WLI17" s="1"/>
      <c r="WLJ17" s="1"/>
      <c r="WLK17" s="1"/>
      <c r="WLL17" s="1"/>
      <c r="WLM17" s="1"/>
      <c r="WLN17" s="1"/>
      <c r="WLO17" s="1"/>
      <c r="WLP17" s="1"/>
      <c r="WLQ17" s="1"/>
      <c r="WLR17" s="1"/>
      <c r="WLS17" s="1"/>
      <c r="WLT17" s="1"/>
      <c r="WLU17" s="1"/>
      <c r="WLV17" s="1"/>
      <c r="WLW17" s="1"/>
      <c r="WLX17" s="1"/>
      <c r="WLY17" s="1"/>
      <c r="WLZ17" s="1"/>
      <c r="WMA17" s="1"/>
      <c r="WMB17" s="1"/>
      <c r="WMC17" s="1"/>
      <c r="WMD17" s="1"/>
      <c r="WME17" s="1"/>
      <c r="WMF17" s="1"/>
      <c r="WMG17" s="1"/>
      <c r="WMH17" s="1"/>
      <c r="WMI17" s="1"/>
      <c r="WMJ17" s="1"/>
      <c r="WMK17" s="1"/>
      <c r="WML17" s="1"/>
      <c r="WMM17" s="1"/>
      <c r="WMN17" s="1"/>
      <c r="WMO17" s="1"/>
      <c r="WMP17" s="1"/>
      <c r="WMQ17" s="1"/>
      <c r="WMR17" s="1"/>
      <c r="WMS17" s="1"/>
      <c r="WMT17" s="1"/>
      <c r="WMU17" s="1"/>
      <c r="WMV17" s="1"/>
      <c r="WMW17" s="1"/>
      <c r="WMX17" s="1"/>
      <c r="WMY17" s="1"/>
      <c r="WMZ17" s="1"/>
      <c r="WNA17" s="1"/>
      <c r="WNB17" s="1"/>
      <c r="WNC17" s="1"/>
      <c r="WND17" s="1"/>
      <c r="WNE17" s="1"/>
      <c r="WNF17" s="1"/>
      <c r="WNG17" s="1"/>
      <c r="WNH17" s="1"/>
      <c r="WNI17" s="1"/>
      <c r="WNJ17" s="1"/>
      <c r="WNK17" s="1"/>
      <c r="WNL17" s="1"/>
      <c r="WNM17" s="1"/>
      <c r="WNN17" s="1"/>
      <c r="WNO17" s="1"/>
      <c r="WNP17" s="1"/>
      <c r="WNQ17" s="1"/>
      <c r="WNR17" s="1"/>
      <c r="WNS17" s="1"/>
      <c r="WNT17" s="1"/>
      <c r="WNU17" s="1"/>
      <c r="WNV17" s="1"/>
      <c r="WNW17" s="1"/>
      <c r="WNX17" s="1"/>
      <c r="WNY17" s="1"/>
      <c r="WNZ17" s="1"/>
      <c r="WOA17" s="1"/>
      <c r="WOB17" s="1"/>
      <c r="WOC17" s="1"/>
      <c r="WOD17" s="1"/>
      <c r="WOE17" s="1"/>
      <c r="WOF17" s="1"/>
      <c r="WOG17" s="1"/>
      <c r="WOH17" s="1"/>
      <c r="WOI17" s="1"/>
      <c r="WOJ17" s="1"/>
      <c r="WOK17" s="1"/>
      <c r="WOL17" s="1"/>
      <c r="WOM17" s="1"/>
      <c r="WON17" s="1"/>
      <c r="WOO17" s="1"/>
      <c r="WOP17" s="1"/>
      <c r="WOQ17" s="1"/>
      <c r="WOR17" s="1"/>
      <c r="WOS17" s="1"/>
      <c r="WOT17" s="1"/>
      <c r="WOU17" s="1"/>
      <c r="WOV17" s="1"/>
      <c r="WOW17" s="1"/>
      <c r="WOX17" s="1"/>
      <c r="WOY17" s="1"/>
      <c r="WOZ17" s="1"/>
      <c r="WPA17" s="1"/>
      <c r="WPB17" s="1"/>
      <c r="WPC17" s="1"/>
      <c r="WPD17" s="1"/>
      <c r="WPE17" s="1"/>
      <c r="WPF17" s="1"/>
      <c r="WPG17" s="1"/>
      <c r="WPH17" s="1"/>
      <c r="WPI17" s="1"/>
      <c r="WPJ17" s="1"/>
      <c r="WPK17" s="1"/>
      <c r="WPL17" s="1"/>
      <c r="WPM17" s="1"/>
      <c r="WPN17" s="1"/>
      <c r="WPO17" s="1"/>
      <c r="WPP17" s="1"/>
      <c r="WPQ17" s="1"/>
      <c r="WPR17" s="1"/>
      <c r="WPS17" s="1"/>
      <c r="WPT17" s="1"/>
      <c r="WPU17" s="1"/>
      <c r="WPV17" s="1"/>
      <c r="WPW17" s="1"/>
      <c r="WPX17" s="1"/>
      <c r="WPY17" s="1"/>
      <c r="WPZ17" s="1"/>
      <c r="WQA17" s="1"/>
      <c r="WQB17" s="1"/>
      <c r="WQC17" s="1"/>
      <c r="WQD17" s="1"/>
      <c r="WQE17" s="1"/>
      <c r="WQF17" s="1"/>
      <c r="WQG17" s="1"/>
      <c r="WQH17" s="1"/>
      <c r="WQI17" s="1"/>
      <c r="WQJ17" s="1"/>
      <c r="WQK17" s="1"/>
      <c r="WQL17" s="1"/>
      <c r="WQM17" s="1"/>
      <c r="WQN17" s="1"/>
      <c r="WQO17" s="1"/>
      <c r="WQP17" s="1"/>
      <c r="WQQ17" s="1"/>
      <c r="WQR17" s="1"/>
      <c r="WQS17" s="1"/>
      <c r="WQT17" s="1"/>
      <c r="WQU17" s="1"/>
      <c r="WQV17" s="1"/>
      <c r="WQW17" s="1"/>
      <c r="WQX17" s="1"/>
      <c r="WQY17" s="1"/>
      <c r="WQZ17" s="1"/>
      <c r="WRA17" s="1"/>
      <c r="WRB17" s="1"/>
      <c r="WRC17" s="1"/>
      <c r="WRD17" s="1"/>
      <c r="WRE17" s="1"/>
      <c r="WRF17" s="1"/>
      <c r="WRG17" s="1"/>
      <c r="WRH17" s="1"/>
      <c r="WRI17" s="1"/>
      <c r="WRJ17" s="1"/>
      <c r="WRK17" s="1"/>
      <c r="WRL17" s="1"/>
      <c r="WRM17" s="1"/>
      <c r="WRN17" s="1"/>
      <c r="WRO17" s="1"/>
      <c r="WRP17" s="1"/>
      <c r="WRQ17" s="1"/>
      <c r="WRR17" s="1"/>
      <c r="WRS17" s="1"/>
      <c r="WRT17" s="1"/>
      <c r="WRU17" s="1"/>
      <c r="WRV17" s="1"/>
      <c r="WRW17" s="1"/>
      <c r="WRX17" s="1"/>
      <c r="WRY17" s="1"/>
      <c r="WRZ17" s="1"/>
      <c r="WSA17" s="1"/>
      <c r="WSB17" s="1"/>
      <c r="WSC17" s="1"/>
      <c r="WSD17" s="1"/>
      <c r="WSE17" s="1"/>
      <c r="WSF17" s="1"/>
      <c r="WSG17" s="1"/>
      <c r="WSH17" s="1"/>
      <c r="WSI17" s="1"/>
      <c r="WSJ17" s="1"/>
      <c r="WSK17" s="1"/>
      <c r="WSL17" s="1"/>
      <c r="WSM17" s="1"/>
      <c r="WSN17" s="1"/>
      <c r="WSO17" s="1"/>
      <c r="WSP17" s="1"/>
      <c r="WSQ17" s="1"/>
      <c r="WSR17" s="1"/>
      <c r="WSS17" s="1"/>
      <c r="WST17" s="1"/>
      <c r="WSU17" s="1"/>
      <c r="WSV17" s="1"/>
      <c r="WSW17" s="1"/>
      <c r="WSX17" s="1"/>
      <c r="WSY17" s="1"/>
      <c r="WSZ17" s="1"/>
      <c r="WTA17" s="1"/>
      <c r="WTB17" s="1"/>
      <c r="WTC17" s="1"/>
      <c r="WTD17" s="1"/>
      <c r="WTE17" s="1"/>
      <c r="WTF17" s="1"/>
      <c r="WTG17" s="1"/>
      <c r="WTH17" s="1"/>
      <c r="WTI17" s="1"/>
      <c r="WTJ17" s="1"/>
      <c r="WTK17" s="1"/>
      <c r="WTL17" s="1"/>
      <c r="WTM17" s="1"/>
      <c r="WTN17" s="1"/>
      <c r="WTO17" s="1"/>
      <c r="WTP17" s="1"/>
      <c r="WTQ17" s="1"/>
      <c r="WTR17" s="1"/>
      <c r="WTS17" s="1"/>
      <c r="WTT17" s="1"/>
      <c r="WTU17" s="1"/>
      <c r="WTV17" s="1"/>
      <c r="WTW17" s="1"/>
      <c r="WTX17" s="1"/>
      <c r="WTY17" s="1"/>
      <c r="WTZ17" s="1"/>
      <c r="WUA17" s="1"/>
      <c r="WUB17" s="1"/>
      <c r="WUC17" s="1"/>
      <c r="WUD17" s="1"/>
      <c r="WUE17" s="1"/>
      <c r="WUF17" s="1"/>
      <c r="WUG17" s="1"/>
      <c r="WUH17" s="1"/>
      <c r="WUI17" s="1"/>
      <c r="WUJ17" s="1"/>
      <c r="WUK17" s="1"/>
      <c r="WUL17" s="1"/>
      <c r="WUM17" s="1"/>
      <c r="WUN17" s="1"/>
      <c r="WUO17" s="1"/>
      <c r="WUP17" s="1"/>
      <c r="WUQ17" s="1"/>
      <c r="WUR17" s="1"/>
      <c r="WUS17" s="1"/>
      <c r="WUT17" s="1"/>
      <c r="WUU17" s="1"/>
      <c r="WUV17" s="1"/>
      <c r="WUW17" s="1"/>
      <c r="WUX17" s="1"/>
      <c r="WUY17" s="1"/>
      <c r="WUZ17" s="1"/>
      <c r="WVA17" s="1"/>
      <c r="WVB17" s="1"/>
      <c r="WVC17" s="1"/>
      <c r="WVD17" s="1"/>
      <c r="WVE17" s="1"/>
      <c r="WVF17" s="1"/>
      <c r="WVG17" s="1"/>
      <c r="WVH17" s="1"/>
      <c r="WVI17" s="1"/>
      <c r="WVJ17" s="1"/>
      <c r="WVK17" s="1"/>
      <c r="WVL17" s="1"/>
      <c r="WVM17" s="1"/>
      <c r="WVN17" s="1"/>
      <c r="WVO17" s="1"/>
      <c r="WVP17" s="1"/>
      <c r="WVQ17" s="1"/>
      <c r="WVR17" s="1"/>
      <c r="WVS17" s="1"/>
      <c r="WVT17" s="1"/>
      <c r="WVU17" s="1"/>
      <c r="WVV17" s="1"/>
      <c r="WVW17" s="1"/>
      <c r="WVX17" s="1"/>
      <c r="WVY17" s="1"/>
      <c r="WVZ17" s="1"/>
      <c r="WWA17" s="1"/>
      <c r="WWB17" s="1"/>
      <c r="WWC17" s="1"/>
      <c r="WWD17" s="1"/>
      <c r="WWE17" s="1"/>
      <c r="WWF17" s="1"/>
      <c r="WWG17" s="1"/>
      <c r="WWH17" s="1"/>
      <c r="WWI17" s="1"/>
      <c r="WWJ17" s="1"/>
      <c r="WWK17" s="1"/>
      <c r="WWL17" s="1"/>
      <c r="WWM17" s="1"/>
      <c r="WWN17" s="1"/>
      <c r="WWO17" s="1"/>
      <c r="WWP17" s="1"/>
      <c r="WWQ17" s="1"/>
      <c r="WWR17" s="1"/>
      <c r="WWS17" s="1"/>
      <c r="WWT17" s="1"/>
      <c r="WWU17" s="1"/>
      <c r="WWV17" s="1"/>
      <c r="WWW17" s="1"/>
      <c r="WWX17" s="1"/>
      <c r="WWY17" s="1"/>
      <c r="WWZ17" s="1"/>
      <c r="WXA17" s="1"/>
      <c r="WXB17" s="1"/>
      <c r="WXC17" s="1"/>
      <c r="WXD17" s="1"/>
      <c r="WXE17" s="1"/>
      <c r="WXF17" s="1"/>
      <c r="WXG17" s="1"/>
      <c r="WXH17" s="1"/>
      <c r="WXI17" s="1"/>
      <c r="WXJ17" s="1"/>
      <c r="WXK17" s="1"/>
      <c r="WXL17" s="1"/>
      <c r="WXM17" s="1"/>
      <c r="WXN17" s="1"/>
      <c r="WXO17" s="1"/>
      <c r="WXP17" s="1"/>
      <c r="WXQ17" s="1"/>
      <c r="WXR17" s="1"/>
      <c r="WXS17" s="1"/>
      <c r="WXT17" s="1"/>
      <c r="WXU17" s="1"/>
      <c r="WXV17" s="1"/>
      <c r="WXW17" s="1"/>
      <c r="WXX17" s="1"/>
      <c r="WXY17" s="1"/>
      <c r="WXZ17" s="1"/>
      <c r="WYA17" s="1"/>
      <c r="WYB17" s="1"/>
      <c r="WYC17" s="1"/>
      <c r="WYD17" s="1"/>
      <c r="WYE17" s="1"/>
      <c r="WYF17" s="1"/>
      <c r="WYG17" s="1"/>
      <c r="WYH17" s="1"/>
      <c r="WYI17" s="1"/>
      <c r="WYJ17" s="1"/>
      <c r="WYK17" s="1"/>
      <c r="WYL17" s="1"/>
      <c r="WYM17" s="1"/>
      <c r="WYN17" s="1"/>
      <c r="WYO17" s="1"/>
      <c r="WYP17" s="1"/>
      <c r="WYQ17" s="1"/>
      <c r="WYR17" s="1"/>
      <c r="WYS17" s="1"/>
      <c r="WYT17" s="1"/>
      <c r="WYU17" s="1"/>
      <c r="WYV17" s="1"/>
      <c r="WYW17" s="1"/>
      <c r="WYX17" s="1"/>
      <c r="WYY17" s="1"/>
      <c r="WYZ17" s="1"/>
      <c r="WZA17" s="1"/>
      <c r="WZB17" s="1"/>
      <c r="WZC17" s="1"/>
      <c r="WZD17" s="1"/>
      <c r="WZE17" s="1"/>
      <c r="WZF17" s="1"/>
      <c r="WZG17" s="1"/>
      <c r="WZH17" s="1"/>
      <c r="WZI17" s="1"/>
      <c r="WZJ17" s="1"/>
      <c r="WZK17" s="1"/>
      <c r="WZL17" s="1"/>
      <c r="WZM17" s="1"/>
      <c r="WZN17" s="1"/>
      <c r="WZO17" s="1"/>
      <c r="WZP17" s="1"/>
      <c r="WZQ17" s="1"/>
      <c r="WZR17" s="1"/>
      <c r="WZS17" s="1"/>
      <c r="WZT17" s="1"/>
      <c r="WZU17" s="1"/>
      <c r="WZV17" s="1"/>
      <c r="WZW17" s="1"/>
      <c r="WZX17" s="1"/>
      <c r="WZY17" s="1"/>
      <c r="WZZ17" s="1"/>
      <c r="XAA17" s="1"/>
      <c r="XAB17" s="1"/>
      <c r="XAC17" s="1"/>
      <c r="XAD17" s="1"/>
      <c r="XAE17" s="1"/>
      <c r="XAF17" s="1"/>
      <c r="XAG17" s="1"/>
      <c r="XAH17" s="1"/>
      <c r="XAI17" s="1"/>
      <c r="XAJ17" s="1"/>
      <c r="XAK17" s="1"/>
      <c r="XAL17" s="1"/>
      <c r="XAM17" s="1"/>
      <c r="XAN17" s="1"/>
      <c r="XAO17" s="1"/>
      <c r="XAP17" s="1"/>
      <c r="XAQ17" s="1"/>
      <c r="XAR17" s="1"/>
      <c r="XAS17" s="1"/>
      <c r="XAT17" s="1"/>
      <c r="XAU17" s="1"/>
      <c r="XAV17" s="1"/>
      <c r="XAW17" s="1"/>
      <c r="XAX17" s="1"/>
      <c r="XAY17" s="1"/>
      <c r="XAZ17" s="1"/>
      <c r="XBA17" s="1"/>
      <c r="XBB17" s="1"/>
      <c r="XBC17" s="1"/>
      <c r="XBD17" s="1"/>
      <c r="XBE17" s="1"/>
      <c r="XBF17" s="1"/>
      <c r="XBG17" s="1"/>
      <c r="XBH17" s="1"/>
      <c r="XBI17" s="1"/>
      <c r="XBJ17" s="1"/>
      <c r="XBK17" s="1"/>
      <c r="XBL17" s="1"/>
      <c r="XBM17" s="1"/>
      <c r="XBN17" s="1"/>
      <c r="XBO17" s="1"/>
      <c r="XBP17" s="1"/>
      <c r="XBQ17" s="1"/>
      <c r="XBR17" s="1"/>
      <c r="XBS17" s="1"/>
      <c r="XBT17" s="1"/>
      <c r="XBU17" s="1"/>
      <c r="XBV17" s="1"/>
      <c r="XBW17" s="1"/>
      <c r="XBX17" s="1"/>
      <c r="XBY17" s="1"/>
      <c r="XBZ17" s="1"/>
      <c r="XCA17" s="1"/>
      <c r="XCB17" s="1"/>
      <c r="XCC17" s="1"/>
      <c r="XCD17" s="1"/>
      <c r="XCE17" s="1"/>
      <c r="XCF17" s="1"/>
      <c r="XCG17" s="1"/>
      <c r="XCH17" s="1"/>
      <c r="XCI17" s="1"/>
      <c r="XCJ17" s="1"/>
      <c r="XCK17" s="1"/>
      <c r="XCL17" s="1"/>
      <c r="XCM17" s="1"/>
      <c r="XCN17" s="1"/>
      <c r="XCO17" s="1"/>
      <c r="XCP17" s="1"/>
      <c r="XCQ17" s="1"/>
      <c r="XCR17" s="1"/>
      <c r="XCS17" s="1"/>
      <c r="XCT17" s="1"/>
      <c r="XCU17" s="1"/>
      <c r="XCV17" s="1"/>
      <c r="XCW17" s="1"/>
      <c r="XCX17" s="1"/>
      <c r="XCY17" s="1"/>
      <c r="XCZ17" s="1"/>
      <c r="XDA17" s="1"/>
      <c r="XDB17" s="1"/>
      <c r="XDC17" s="1"/>
      <c r="XDD17" s="1"/>
      <c r="XDE17" s="1"/>
      <c r="XDF17" s="1"/>
      <c r="XDG17" s="1"/>
      <c r="XDH17" s="1"/>
      <c r="XDI17" s="1"/>
      <c r="XDJ17" s="1"/>
      <c r="XDK17" s="1"/>
      <c r="XDL17" s="1"/>
      <c r="XDM17" s="1"/>
      <c r="XDN17" s="1"/>
      <c r="XDO17" s="1"/>
      <c r="XDP17" s="1"/>
      <c r="XDQ17" s="1"/>
      <c r="XDR17" s="1"/>
      <c r="XDS17" s="1"/>
      <c r="XDT17" s="1"/>
      <c r="XDU17" s="1"/>
      <c r="XDV17" s="1"/>
      <c r="XDW17" s="1"/>
      <c r="XDX17" s="1"/>
      <c r="XDY17" s="1"/>
      <c r="XDZ17" s="1"/>
      <c r="XEA17" s="1"/>
      <c r="XEB17" s="1"/>
      <c r="XEC17" s="1"/>
      <c r="XED17" s="1"/>
      <c r="XEE17" s="1"/>
      <c r="XEF17" s="1"/>
      <c r="XEG17" s="1"/>
      <c r="XEH17" s="1"/>
      <c r="XEI17" s="1"/>
      <c r="XEJ17" s="1"/>
      <c r="XEK17" s="1"/>
      <c r="XEL17" s="1"/>
    </row>
    <row r="18" spans="2:16366" x14ac:dyDescent="0.25">
      <c r="C18" s="3" t="s">
        <v>143</v>
      </c>
      <c r="D18" s="17">
        <v>40.645161999999999</v>
      </c>
      <c r="E18" s="17">
        <v>40.645161999999999</v>
      </c>
      <c r="F18" s="17">
        <v>40.645161999999999</v>
      </c>
      <c r="G18" s="17">
        <v>40.645161999999999</v>
      </c>
      <c r="H18" s="17">
        <v>40.645161999999999</v>
      </c>
      <c r="I18" s="17">
        <v>40.645161999999999</v>
      </c>
      <c r="J18" s="17">
        <v>40.645161999999999</v>
      </c>
      <c r="K18" s="17">
        <v>40.645161999999999</v>
      </c>
      <c r="L18" s="17">
        <v>40.645161999999999</v>
      </c>
      <c r="M18" s="17">
        <v>40.645161999999999</v>
      </c>
      <c r="N18" s="17">
        <v>40.645161999999999</v>
      </c>
      <c r="O18" s="7">
        <v>40.645161999999999</v>
      </c>
      <c r="P18" s="17">
        <v>40.645161999999999</v>
      </c>
      <c r="Q18" s="17">
        <v>40.645161999999999</v>
      </c>
      <c r="R18" s="17">
        <v>40.645161999999999</v>
      </c>
      <c r="S18" s="17">
        <v>40.645161999999999</v>
      </c>
      <c r="T18" s="17">
        <v>40.645161999999999</v>
      </c>
      <c r="U18" s="17">
        <v>40.645161999999999</v>
      </c>
      <c r="V18" s="17">
        <v>40.645161999999999</v>
      </c>
      <c r="W18" s="17">
        <v>40.645161999999999</v>
      </c>
      <c r="X18" s="17">
        <v>40.645161999999999</v>
      </c>
    </row>
    <row r="19" spans="2:16366" x14ac:dyDescent="0.25">
      <c r="C19" s="3" t="s">
        <v>33</v>
      </c>
      <c r="D19" s="19">
        <f t="shared" ref="D19:X19" si="17">D17/D18</f>
        <v>2.4936301151905842</v>
      </c>
      <c r="E19" s="19">
        <f t="shared" si="17"/>
        <v>3.2994332757241795</v>
      </c>
      <c r="F19" s="19">
        <f t="shared" si="17"/>
        <v>3.4786181932304743</v>
      </c>
      <c r="G19" s="19">
        <f t="shared" si="17"/>
        <v>4.1556483401394742</v>
      </c>
      <c r="H19" s="19">
        <f t="shared" si="17"/>
        <v>5.1162300693991529</v>
      </c>
      <c r="I19" s="19">
        <f t="shared" si="17"/>
        <v>8.7588530216708183</v>
      </c>
      <c r="J19" s="19">
        <f t="shared" si="17"/>
        <v>9.4585180888195257</v>
      </c>
      <c r="K19" s="19">
        <f t="shared" si="17"/>
        <v>6.126190369225248</v>
      </c>
      <c r="L19" s="19">
        <f t="shared" si="17"/>
        <v>7.7007935163353514</v>
      </c>
      <c r="M19" s="19">
        <f t="shared" si="17"/>
        <v>9.7920633210909589</v>
      </c>
      <c r="N19" s="19">
        <f t="shared" si="17"/>
        <v>5.5849205374061492</v>
      </c>
      <c r="O19" s="5">
        <f t="shared" si="17"/>
        <v>6.9555879737913155</v>
      </c>
      <c r="P19" s="19">
        <f t="shared" si="17"/>
        <v>6.8739804752162099</v>
      </c>
      <c r="Q19" s="19">
        <f t="shared" si="17"/>
        <v>6.7882926017123468</v>
      </c>
      <c r="R19" s="19">
        <f t="shared" si="17"/>
        <v>6.6983203345332916</v>
      </c>
      <c r="S19" s="19">
        <f t="shared" si="17"/>
        <v>6.6038494539952826</v>
      </c>
      <c r="T19" s="19">
        <f t="shared" si="17"/>
        <v>6.5046550294303742</v>
      </c>
      <c r="U19" s="19">
        <f t="shared" si="17"/>
        <v>6.4005008836372204</v>
      </c>
      <c r="V19" s="19">
        <f t="shared" si="17"/>
        <v>6.2911390305544082</v>
      </c>
      <c r="W19" s="19">
        <f t="shared" si="17"/>
        <v>6.1763090848174542</v>
      </c>
      <c r="X19" s="19">
        <f t="shared" si="17"/>
        <v>6.0557376417936544</v>
      </c>
    </row>
    <row r="20" spans="2:16366" x14ac:dyDescent="0.25">
      <c r="Z20" s="3" t="s">
        <v>84</v>
      </c>
      <c r="AA20" s="24">
        <v>0.08</v>
      </c>
    </row>
    <row r="21" spans="2:16366" x14ac:dyDescent="0.25">
      <c r="C21" s="1" t="s">
        <v>34</v>
      </c>
      <c r="E21" s="20">
        <f t="shared" ref="E21:X21" si="18">(E6-D6)/D6</f>
        <v>8.8926675144759354E-2</v>
      </c>
      <c r="F21" s="20">
        <f t="shared" si="18"/>
        <v>6.700722174365431E-2</v>
      </c>
      <c r="G21" s="20">
        <f t="shared" si="18"/>
        <v>6.12894638229904E-2</v>
      </c>
      <c r="H21" s="20">
        <f t="shared" si="18"/>
        <v>0.59787057833156665</v>
      </c>
      <c r="I21" s="20">
        <f t="shared" si="18"/>
        <v>0.27816891194362209</v>
      </c>
      <c r="J21" s="20">
        <f t="shared" si="18"/>
        <v>3.6992141531203324E-2</v>
      </c>
      <c r="K21" s="20">
        <f t="shared" si="18"/>
        <v>2.4751085901433365E-2</v>
      </c>
      <c r="L21" s="20">
        <f t="shared" si="18"/>
        <v>7.3178391959799E-2</v>
      </c>
      <c r="M21" s="20">
        <f t="shared" si="18"/>
        <v>0.10916008194322505</v>
      </c>
      <c r="N21" s="20">
        <f t="shared" si="18"/>
        <v>4.1688654353562005E-2</v>
      </c>
      <c r="O21" s="21">
        <f t="shared" si="18"/>
        <v>-1.0131712259371835E-3</v>
      </c>
      <c r="P21" s="20">
        <f t="shared" si="18"/>
        <v>0</v>
      </c>
      <c r="Q21" s="20">
        <f t="shared" si="18"/>
        <v>0</v>
      </c>
      <c r="R21" s="20">
        <f t="shared" si="18"/>
        <v>0</v>
      </c>
      <c r="S21" s="20">
        <f t="shared" si="18"/>
        <v>0</v>
      </c>
      <c r="T21" s="20">
        <f t="shared" si="18"/>
        <v>0</v>
      </c>
      <c r="U21" s="20">
        <f t="shared" si="18"/>
        <v>0</v>
      </c>
      <c r="V21" s="20">
        <f t="shared" si="18"/>
        <v>0</v>
      </c>
      <c r="W21" s="20">
        <f t="shared" si="18"/>
        <v>0</v>
      </c>
      <c r="X21" s="20">
        <f t="shared" si="18"/>
        <v>0</v>
      </c>
      <c r="Z21" s="3" t="s">
        <v>85</v>
      </c>
      <c r="AA21" s="24">
        <v>0.01</v>
      </c>
    </row>
    <row r="22" spans="2:16366" x14ac:dyDescent="0.25">
      <c r="C22" s="27" t="s">
        <v>135</v>
      </c>
      <c r="D22" s="54"/>
      <c r="E22" s="54"/>
      <c r="F22" s="54"/>
      <c r="G22" s="54"/>
      <c r="H22" s="54"/>
      <c r="I22" s="27"/>
      <c r="J22" s="27"/>
      <c r="K22" s="27"/>
      <c r="L22" s="27"/>
      <c r="M22" s="27"/>
      <c r="N22" s="27">
        <v>1.4E-2</v>
      </c>
      <c r="O22" s="63"/>
      <c r="P22" s="27"/>
      <c r="Q22" s="27"/>
      <c r="R22" s="27"/>
      <c r="S22" s="27"/>
      <c r="T22" s="27"/>
      <c r="U22" s="27"/>
      <c r="V22" s="27"/>
      <c r="W22" s="27"/>
      <c r="X22" s="27"/>
      <c r="Y22" s="1"/>
      <c r="Z22" s="22" t="s">
        <v>86</v>
      </c>
      <c r="AA22" s="26">
        <f>NPV(AA20,N17:DG17)</f>
        <v>3394.8294029296735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  <c r="BKF22" s="1"/>
      <c r="BKG22" s="1"/>
      <c r="BKH22" s="1"/>
      <c r="BKI22" s="1"/>
      <c r="BKJ22" s="1"/>
      <c r="BKK22" s="1"/>
      <c r="BKL22" s="1"/>
      <c r="BKM22" s="1"/>
      <c r="BKN22" s="1"/>
      <c r="BKO22" s="1"/>
      <c r="BKP22" s="1"/>
      <c r="BKQ22" s="1"/>
      <c r="BKR22" s="1"/>
      <c r="BKS22" s="1"/>
      <c r="BKT22" s="1"/>
      <c r="BKU22" s="1"/>
      <c r="BKV22" s="1"/>
      <c r="BKW22" s="1"/>
      <c r="BKX22" s="1"/>
      <c r="BKY22" s="1"/>
      <c r="BKZ22" s="1"/>
      <c r="BLA22" s="1"/>
      <c r="BLB22" s="1"/>
      <c r="BLC22" s="1"/>
      <c r="BLD22" s="1"/>
      <c r="BLE22" s="1"/>
      <c r="BLF22" s="1"/>
      <c r="BLG22" s="1"/>
      <c r="BLH22" s="1"/>
      <c r="BLI22" s="1"/>
      <c r="BLJ22" s="1"/>
      <c r="BLK22" s="1"/>
      <c r="BLL22" s="1"/>
      <c r="BLM22" s="1"/>
      <c r="BLN22" s="1"/>
      <c r="BLO22" s="1"/>
      <c r="BLP22" s="1"/>
      <c r="BLQ22" s="1"/>
      <c r="BLR22" s="1"/>
      <c r="BLS22" s="1"/>
      <c r="BLT22" s="1"/>
      <c r="BLU22" s="1"/>
      <c r="BLV22" s="1"/>
      <c r="BLW22" s="1"/>
      <c r="BLX22" s="1"/>
      <c r="BLY22" s="1"/>
      <c r="BLZ22" s="1"/>
      <c r="BMA22" s="1"/>
      <c r="BMB22" s="1"/>
      <c r="BMC22" s="1"/>
      <c r="BMD22" s="1"/>
      <c r="BME22" s="1"/>
      <c r="BMF22" s="1"/>
      <c r="BMG22" s="1"/>
      <c r="BMH22" s="1"/>
      <c r="BMI22" s="1"/>
      <c r="BMJ22" s="1"/>
      <c r="BMK22" s="1"/>
      <c r="BML22" s="1"/>
      <c r="BMM22" s="1"/>
      <c r="BMN22" s="1"/>
      <c r="BMO22" s="1"/>
      <c r="BMP22" s="1"/>
      <c r="BMQ22" s="1"/>
      <c r="BMR22" s="1"/>
      <c r="BMS22" s="1"/>
      <c r="BMT22" s="1"/>
      <c r="BMU22" s="1"/>
      <c r="BMV22" s="1"/>
      <c r="BMW22" s="1"/>
      <c r="BMX22" s="1"/>
      <c r="BMY22" s="1"/>
      <c r="BMZ22" s="1"/>
      <c r="BNA22" s="1"/>
      <c r="BNB22" s="1"/>
      <c r="BNC22" s="1"/>
      <c r="BND22" s="1"/>
      <c r="BNE22" s="1"/>
      <c r="BNF22" s="1"/>
      <c r="BNG22" s="1"/>
      <c r="BNH22" s="1"/>
      <c r="BNI22" s="1"/>
      <c r="BNJ22" s="1"/>
      <c r="BNK22" s="1"/>
      <c r="BNL22" s="1"/>
      <c r="BNM22" s="1"/>
      <c r="BNN22" s="1"/>
      <c r="BNO22" s="1"/>
      <c r="BNP22" s="1"/>
      <c r="BNQ22" s="1"/>
      <c r="BNR22" s="1"/>
      <c r="BNS22" s="1"/>
      <c r="BNT22" s="1"/>
      <c r="BNU22" s="1"/>
      <c r="BNV22" s="1"/>
      <c r="BNW22" s="1"/>
      <c r="BNX22" s="1"/>
      <c r="BNY22" s="1"/>
      <c r="BNZ22" s="1"/>
      <c r="BOA22" s="1"/>
      <c r="BOB22" s="1"/>
      <c r="BOC22" s="1"/>
      <c r="BOD22" s="1"/>
      <c r="BOE22" s="1"/>
      <c r="BOF22" s="1"/>
      <c r="BOG22" s="1"/>
      <c r="BOH22" s="1"/>
      <c r="BOI22" s="1"/>
      <c r="BOJ22" s="1"/>
      <c r="BOK22" s="1"/>
      <c r="BOL22" s="1"/>
      <c r="BOM22" s="1"/>
      <c r="BON22" s="1"/>
      <c r="BOO22" s="1"/>
      <c r="BOP22" s="1"/>
      <c r="BOQ22" s="1"/>
      <c r="BOR22" s="1"/>
      <c r="BOS22" s="1"/>
      <c r="BOT22" s="1"/>
      <c r="BOU22" s="1"/>
      <c r="BOV22" s="1"/>
      <c r="BOW22" s="1"/>
      <c r="BOX22" s="1"/>
      <c r="BOY22" s="1"/>
      <c r="BOZ22" s="1"/>
      <c r="BPA22" s="1"/>
      <c r="BPB22" s="1"/>
      <c r="BPC22" s="1"/>
      <c r="BPD22" s="1"/>
      <c r="BPE22" s="1"/>
      <c r="BPF22" s="1"/>
      <c r="BPG22" s="1"/>
      <c r="BPH22" s="1"/>
      <c r="BPI22" s="1"/>
      <c r="BPJ22" s="1"/>
      <c r="BPK22" s="1"/>
      <c r="BPL22" s="1"/>
      <c r="BPM22" s="1"/>
      <c r="BPN22" s="1"/>
      <c r="BPO22" s="1"/>
      <c r="BPP22" s="1"/>
      <c r="BPQ22" s="1"/>
      <c r="BPR22" s="1"/>
      <c r="BPS22" s="1"/>
      <c r="BPT22" s="1"/>
      <c r="BPU22" s="1"/>
      <c r="BPV22" s="1"/>
      <c r="BPW22" s="1"/>
      <c r="BPX22" s="1"/>
      <c r="BPY22" s="1"/>
      <c r="BPZ22" s="1"/>
      <c r="BQA22" s="1"/>
      <c r="BQB22" s="1"/>
      <c r="BQC22" s="1"/>
      <c r="BQD22" s="1"/>
      <c r="BQE22" s="1"/>
      <c r="BQF22" s="1"/>
      <c r="BQG22" s="1"/>
      <c r="BQH22" s="1"/>
      <c r="BQI22" s="1"/>
      <c r="BQJ22" s="1"/>
      <c r="BQK22" s="1"/>
      <c r="BQL22" s="1"/>
      <c r="BQM22" s="1"/>
      <c r="BQN22" s="1"/>
      <c r="BQO22" s="1"/>
      <c r="BQP22" s="1"/>
      <c r="BQQ22" s="1"/>
      <c r="BQR22" s="1"/>
      <c r="BQS22" s="1"/>
      <c r="BQT22" s="1"/>
      <c r="BQU22" s="1"/>
      <c r="BQV22" s="1"/>
      <c r="BQW22" s="1"/>
      <c r="BQX22" s="1"/>
      <c r="BQY22" s="1"/>
      <c r="BQZ22" s="1"/>
      <c r="BRA22" s="1"/>
      <c r="BRB22" s="1"/>
      <c r="BRC22" s="1"/>
      <c r="BRD22" s="1"/>
      <c r="BRE22" s="1"/>
      <c r="BRF22" s="1"/>
      <c r="BRG22" s="1"/>
      <c r="BRH22" s="1"/>
      <c r="BRI22" s="1"/>
      <c r="BRJ22" s="1"/>
      <c r="BRK22" s="1"/>
      <c r="BRL22" s="1"/>
      <c r="BRM22" s="1"/>
      <c r="BRN22" s="1"/>
      <c r="BRO22" s="1"/>
      <c r="BRP22" s="1"/>
      <c r="BRQ22" s="1"/>
      <c r="BRR22" s="1"/>
      <c r="BRS22" s="1"/>
      <c r="BRT22" s="1"/>
      <c r="BRU22" s="1"/>
      <c r="BRV22" s="1"/>
      <c r="BRW22" s="1"/>
      <c r="BRX22" s="1"/>
      <c r="BRY22" s="1"/>
      <c r="BRZ22" s="1"/>
      <c r="BSA22" s="1"/>
      <c r="BSB22" s="1"/>
      <c r="BSC22" s="1"/>
      <c r="BSD22" s="1"/>
      <c r="BSE22" s="1"/>
      <c r="BSF22" s="1"/>
      <c r="BSG22" s="1"/>
      <c r="BSH22" s="1"/>
      <c r="BSI22" s="1"/>
      <c r="BSJ22" s="1"/>
      <c r="BSK22" s="1"/>
      <c r="BSL22" s="1"/>
      <c r="BSM22" s="1"/>
      <c r="BSN22" s="1"/>
      <c r="BSO22" s="1"/>
      <c r="BSP22" s="1"/>
      <c r="BSQ22" s="1"/>
      <c r="BSR22" s="1"/>
      <c r="BSS22" s="1"/>
      <c r="BST22" s="1"/>
      <c r="BSU22" s="1"/>
      <c r="BSV22" s="1"/>
      <c r="BSW22" s="1"/>
      <c r="BSX22" s="1"/>
      <c r="BSY22" s="1"/>
      <c r="BSZ22" s="1"/>
      <c r="BTA22" s="1"/>
      <c r="BTB22" s="1"/>
      <c r="BTC22" s="1"/>
      <c r="BTD22" s="1"/>
      <c r="BTE22" s="1"/>
      <c r="BTF22" s="1"/>
      <c r="BTG22" s="1"/>
      <c r="BTH22" s="1"/>
      <c r="BTI22" s="1"/>
      <c r="BTJ22" s="1"/>
      <c r="BTK22" s="1"/>
      <c r="BTL22" s="1"/>
      <c r="BTM22" s="1"/>
      <c r="BTN22" s="1"/>
      <c r="BTO22" s="1"/>
      <c r="BTP22" s="1"/>
      <c r="BTQ22" s="1"/>
      <c r="BTR22" s="1"/>
      <c r="BTS22" s="1"/>
      <c r="BTT22" s="1"/>
      <c r="BTU22" s="1"/>
      <c r="BTV22" s="1"/>
      <c r="BTW22" s="1"/>
      <c r="BTX22" s="1"/>
      <c r="BTY22" s="1"/>
      <c r="BTZ22" s="1"/>
      <c r="BUA22" s="1"/>
      <c r="BUB22" s="1"/>
      <c r="BUC22" s="1"/>
      <c r="BUD22" s="1"/>
      <c r="BUE22" s="1"/>
      <c r="BUF22" s="1"/>
      <c r="BUG22" s="1"/>
      <c r="BUH22" s="1"/>
      <c r="BUI22" s="1"/>
      <c r="BUJ22" s="1"/>
      <c r="BUK22" s="1"/>
      <c r="BUL22" s="1"/>
      <c r="BUM22" s="1"/>
      <c r="BUN22" s="1"/>
      <c r="BUO22" s="1"/>
      <c r="BUP22" s="1"/>
      <c r="BUQ22" s="1"/>
      <c r="BUR22" s="1"/>
      <c r="BUS22" s="1"/>
      <c r="BUT22" s="1"/>
      <c r="BUU22" s="1"/>
      <c r="BUV22" s="1"/>
      <c r="BUW22" s="1"/>
      <c r="BUX22" s="1"/>
      <c r="BUY22" s="1"/>
      <c r="BUZ22" s="1"/>
      <c r="BVA22" s="1"/>
      <c r="BVB22" s="1"/>
      <c r="BVC22" s="1"/>
      <c r="BVD22" s="1"/>
      <c r="BVE22" s="1"/>
      <c r="BVF22" s="1"/>
      <c r="BVG22" s="1"/>
      <c r="BVH22" s="1"/>
      <c r="BVI22" s="1"/>
      <c r="BVJ22" s="1"/>
      <c r="BVK22" s="1"/>
      <c r="BVL22" s="1"/>
      <c r="BVM22" s="1"/>
      <c r="BVN22" s="1"/>
      <c r="BVO22" s="1"/>
      <c r="BVP22" s="1"/>
      <c r="BVQ22" s="1"/>
      <c r="BVR22" s="1"/>
      <c r="BVS22" s="1"/>
      <c r="BVT22" s="1"/>
      <c r="BVU22" s="1"/>
      <c r="BVV22" s="1"/>
      <c r="BVW22" s="1"/>
      <c r="BVX22" s="1"/>
      <c r="BVY22" s="1"/>
      <c r="BVZ22" s="1"/>
      <c r="BWA22" s="1"/>
      <c r="BWB22" s="1"/>
      <c r="BWC22" s="1"/>
      <c r="BWD22" s="1"/>
      <c r="BWE22" s="1"/>
      <c r="BWF22" s="1"/>
      <c r="BWG22" s="1"/>
      <c r="BWH22" s="1"/>
      <c r="BWI22" s="1"/>
      <c r="BWJ22" s="1"/>
      <c r="BWK22" s="1"/>
      <c r="BWL22" s="1"/>
      <c r="BWM22" s="1"/>
      <c r="BWN22" s="1"/>
      <c r="BWO22" s="1"/>
      <c r="BWP22" s="1"/>
      <c r="BWQ22" s="1"/>
      <c r="BWR22" s="1"/>
      <c r="BWS22" s="1"/>
      <c r="BWT22" s="1"/>
      <c r="BWU22" s="1"/>
      <c r="BWV22" s="1"/>
      <c r="BWW22" s="1"/>
      <c r="BWX22" s="1"/>
      <c r="BWY22" s="1"/>
      <c r="BWZ22" s="1"/>
      <c r="BXA22" s="1"/>
      <c r="BXB22" s="1"/>
      <c r="BXC22" s="1"/>
      <c r="BXD22" s="1"/>
      <c r="BXE22" s="1"/>
      <c r="BXF22" s="1"/>
      <c r="BXG22" s="1"/>
      <c r="BXH22" s="1"/>
      <c r="BXI22" s="1"/>
      <c r="BXJ22" s="1"/>
      <c r="BXK22" s="1"/>
      <c r="BXL22" s="1"/>
      <c r="BXM22" s="1"/>
      <c r="BXN22" s="1"/>
      <c r="BXO22" s="1"/>
      <c r="BXP22" s="1"/>
      <c r="BXQ22" s="1"/>
      <c r="BXR22" s="1"/>
      <c r="BXS22" s="1"/>
      <c r="BXT22" s="1"/>
      <c r="BXU22" s="1"/>
      <c r="BXV22" s="1"/>
      <c r="BXW22" s="1"/>
      <c r="BXX22" s="1"/>
      <c r="BXY22" s="1"/>
      <c r="BXZ22" s="1"/>
      <c r="BYA22" s="1"/>
      <c r="BYB22" s="1"/>
      <c r="BYC22" s="1"/>
      <c r="BYD22" s="1"/>
      <c r="BYE22" s="1"/>
      <c r="BYF22" s="1"/>
      <c r="BYG22" s="1"/>
      <c r="BYH22" s="1"/>
      <c r="BYI22" s="1"/>
      <c r="BYJ22" s="1"/>
      <c r="BYK22" s="1"/>
      <c r="BYL22" s="1"/>
      <c r="BYM22" s="1"/>
      <c r="BYN22" s="1"/>
      <c r="BYO22" s="1"/>
      <c r="BYP22" s="1"/>
      <c r="BYQ22" s="1"/>
      <c r="BYR22" s="1"/>
      <c r="BYS22" s="1"/>
      <c r="BYT22" s="1"/>
      <c r="BYU22" s="1"/>
      <c r="BYV22" s="1"/>
      <c r="BYW22" s="1"/>
      <c r="BYX22" s="1"/>
      <c r="BYY22" s="1"/>
      <c r="BYZ22" s="1"/>
      <c r="BZA22" s="1"/>
      <c r="BZB22" s="1"/>
      <c r="BZC22" s="1"/>
      <c r="BZD22" s="1"/>
      <c r="BZE22" s="1"/>
      <c r="BZF22" s="1"/>
      <c r="BZG22" s="1"/>
      <c r="BZH22" s="1"/>
      <c r="BZI22" s="1"/>
      <c r="BZJ22" s="1"/>
      <c r="BZK22" s="1"/>
      <c r="BZL22" s="1"/>
      <c r="BZM22" s="1"/>
      <c r="BZN22" s="1"/>
      <c r="BZO22" s="1"/>
      <c r="BZP22" s="1"/>
      <c r="BZQ22" s="1"/>
      <c r="BZR22" s="1"/>
      <c r="BZS22" s="1"/>
      <c r="BZT22" s="1"/>
      <c r="BZU22" s="1"/>
      <c r="BZV22" s="1"/>
      <c r="BZW22" s="1"/>
      <c r="BZX22" s="1"/>
      <c r="BZY22" s="1"/>
      <c r="BZZ22" s="1"/>
      <c r="CAA22" s="1"/>
      <c r="CAB22" s="1"/>
      <c r="CAC22" s="1"/>
      <c r="CAD22" s="1"/>
      <c r="CAE22" s="1"/>
      <c r="CAF22" s="1"/>
      <c r="CAG22" s="1"/>
      <c r="CAH22" s="1"/>
      <c r="CAI22" s="1"/>
      <c r="CAJ22" s="1"/>
      <c r="CAK22" s="1"/>
      <c r="CAL22" s="1"/>
      <c r="CAM22" s="1"/>
      <c r="CAN22" s="1"/>
      <c r="CAO22" s="1"/>
      <c r="CAP22" s="1"/>
      <c r="CAQ22" s="1"/>
      <c r="CAR22" s="1"/>
      <c r="CAS22" s="1"/>
      <c r="CAT22" s="1"/>
      <c r="CAU22" s="1"/>
      <c r="CAV22" s="1"/>
      <c r="CAW22" s="1"/>
      <c r="CAX22" s="1"/>
      <c r="CAY22" s="1"/>
      <c r="CAZ22" s="1"/>
      <c r="CBA22" s="1"/>
      <c r="CBB22" s="1"/>
      <c r="CBC22" s="1"/>
      <c r="CBD22" s="1"/>
      <c r="CBE22" s="1"/>
      <c r="CBF22" s="1"/>
      <c r="CBG22" s="1"/>
      <c r="CBH22" s="1"/>
      <c r="CBI22" s="1"/>
      <c r="CBJ22" s="1"/>
      <c r="CBK22" s="1"/>
      <c r="CBL22" s="1"/>
      <c r="CBM22" s="1"/>
      <c r="CBN22" s="1"/>
      <c r="CBO22" s="1"/>
      <c r="CBP22" s="1"/>
      <c r="CBQ22" s="1"/>
      <c r="CBR22" s="1"/>
      <c r="CBS22" s="1"/>
      <c r="CBT22" s="1"/>
      <c r="CBU22" s="1"/>
      <c r="CBV22" s="1"/>
      <c r="CBW22" s="1"/>
      <c r="CBX22" s="1"/>
      <c r="CBY22" s="1"/>
      <c r="CBZ22" s="1"/>
      <c r="CCA22" s="1"/>
      <c r="CCB22" s="1"/>
      <c r="CCC22" s="1"/>
      <c r="CCD22" s="1"/>
      <c r="CCE22" s="1"/>
      <c r="CCF22" s="1"/>
      <c r="CCG22" s="1"/>
      <c r="CCH22" s="1"/>
      <c r="CCI22" s="1"/>
      <c r="CCJ22" s="1"/>
      <c r="CCK22" s="1"/>
      <c r="CCL22" s="1"/>
      <c r="CCM22" s="1"/>
      <c r="CCN22" s="1"/>
      <c r="CCO22" s="1"/>
      <c r="CCP22" s="1"/>
      <c r="CCQ22" s="1"/>
      <c r="CCR22" s="1"/>
      <c r="CCS22" s="1"/>
      <c r="CCT22" s="1"/>
      <c r="CCU22" s="1"/>
      <c r="CCV22" s="1"/>
      <c r="CCW22" s="1"/>
      <c r="CCX22" s="1"/>
      <c r="CCY22" s="1"/>
      <c r="CCZ22" s="1"/>
      <c r="CDA22" s="1"/>
      <c r="CDB22" s="1"/>
      <c r="CDC22" s="1"/>
      <c r="CDD22" s="1"/>
      <c r="CDE22" s="1"/>
      <c r="CDF22" s="1"/>
      <c r="CDG22" s="1"/>
      <c r="CDH22" s="1"/>
      <c r="CDI22" s="1"/>
      <c r="CDJ22" s="1"/>
      <c r="CDK22" s="1"/>
      <c r="CDL22" s="1"/>
      <c r="CDM22" s="1"/>
      <c r="CDN22" s="1"/>
      <c r="CDO22" s="1"/>
      <c r="CDP22" s="1"/>
      <c r="CDQ22" s="1"/>
      <c r="CDR22" s="1"/>
      <c r="CDS22" s="1"/>
      <c r="CDT22" s="1"/>
      <c r="CDU22" s="1"/>
      <c r="CDV22" s="1"/>
      <c r="CDW22" s="1"/>
      <c r="CDX22" s="1"/>
      <c r="CDY22" s="1"/>
      <c r="CDZ22" s="1"/>
      <c r="CEA22" s="1"/>
      <c r="CEB22" s="1"/>
      <c r="CEC22" s="1"/>
      <c r="CED22" s="1"/>
      <c r="CEE22" s="1"/>
      <c r="CEF22" s="1"/>
      <c r="CEG22" s="1"/>
      <c r="CEH22" s="1"/>
      <c r="CEI22" s="1"/>
      <c r="CEJ22" s="1"/>
      <c r="CEK22" s="1"/>
      <c r="CEL22" s="1"/>
      <c r="CEM22" s="1"/>
      <c r="CEN22" s="1"/>
      <c r="CEO22" s="1"/>
      <c r="CEP22" s="1"/>
      <c r="CEQ22" s="1"/>
      <c r="CER22" s="1"/>
      <c r="CES22" s="1"/>
      <c r="CET22" s="1"/>
      <c r="CEU22" s="1"/>
      <c r="CEV22" s="1"/>
      <c r="CEW22" s="1"/>
      <c r="CEX22" s="1"/>
      <c r="CEY22" s="1"/>
      <c r="CEZ22" s="1"/>
      <c r="CFA22" s="1"/>
      <c r="CFB22" s="1"/>
      <c r="CFC22" s="1"/>
      <c r="CFD22" s="1"/>
      <c r="CFE22" s="1"/>
      <c r="CFF22" s="1"/>
      <c r="CFG22" s="1"/>
      <c r="CFH22" s="1"/>
      <c r="CFI22" s="1"/>
      <c r="CFJ22" s="1"/>
      <c r="CFK22" s="1"/>
      <c r="CFL22" s="1"/>
      <c r="CFM22" s="1"/>
      <c r="CFN22" s="1"/>
      <c r="CFO22" s="1"/>
      <c r="CFP22" s="1"/>
      <c r="CFQ22" s="1"/>
      <c r="CFR22" s="1"/>
      <c r="CFS22" s="1"/>
      <c r="CFT22" s="1"/>
      <c r="CFU22" s="1"/>
      <c r="CFV22" s="1"/>
      <c r="CFW22" s="1"/>
      <c r="CFX22" s="1"/>
      <c r="CFY22" s="1"/>
      <c r="CFZ22" s="1"/>
      <c r="CGA22" s="1"/>
      <c r="CGB22" s="1"/>
      <c r="CGC22" s="1"/>
      <c r="CGD22" s="1"/>
      <c r="CGE22" s="1"/>
      <c r="CGF22" s="1"/>
      <c r="CGG22" s="1"/>
      <c r="CGH22" s="1"/>
      <c r="CGI22" s="1"/>
      <c r="CGJ22" s="1"/>
      <c r="CGK22" s="1"/>
      <c r="CGL22" s="1"/>
      <c r="CGM22" s="1"/>
      <c r="CGN22" s="1"/>
      <c r="CGO22" s="1"/>
      <c r="CGP22" s="1"/>
      <c r="CGQ22" s="1"/>
      <c r="CGR22" s="1"/>
      <c r="CGS22" s="1"/>
      <c r="CGT22" s="1"/>
      <c r="CGU22" s="1"/>
      <c r="CGV22" s="1"/>
      <c r="CGW22" s="1"/>
      <c r="CGX22" s="1"/>
      <c r="CGY22" s="1"/>
      <c r="CGZ22" s="1"/>
      <c r="CHA22" s="1"/>
      <c r="CHB22" s="1"/>
      <c r="CHC22" s="1"/>
      <c r="CHD22" s="1"/>
      <c r="CHE22" s="1"/>
      <c r="CHF22" s="1"/>
      <c r="CHG22" s="1"/>
      <c r="CHH22" s="1"/>
      <c r="CHI22" s="1"/>
      <c r="CHJ22" s="1"/>
      <c r="CHK22" s="1"/>
      <c r="CHL22" s="1"/>
      <c r="CHM22" s="1"/>
      <c r="CHN22" s="1"/>
      <c r="CHO22" s="1"/>
      <c r="CHP22" s="1"/>
      <c r="CHQ22" s="1"/>
      <c r="CHR22" s="1"/>
      <c r="CHS22" s="1"/>
      <c r="CHT22" s="1"/>
      <c r="CHU22" s="1"/>
      <c r="CHV22" s="1"/>
      <c r="CHW22" s="1"/>
      <c r="CHX22" s="1"/>
      <c r="CHY22" s="1"/>
      <c r="CHZ22" s="1"/>
      <c r="CIA22" s="1"/>
      <c r="CIB22" s="1"/>
      <c r="CIC22" s="1"/>
      <c r="CID22" s="1"/>
      <c r="CIE22" s="1"/>
      <c r="CIF22" s="1"/>
      <c r="CIG22" s="1"/>
      <c r="CIH22" s="1"/>
      <c r="CII22" s="1"/>
      <c r="CIJ22" s="1"/>
      <c r="CIK22" s="1"/>
      <c r="CIL22" s="1"/>
      <c r="CIM22" s="1"/>
      <c r="CIN22" s="1"/>
      <c r="CIO22" s="1"/>
      <c r="CIP22" s="1"/>
      <c r="CIQ22" s="1"/>
      <c r="CIR22" s="1"/>
      <c r="CIS22" s="1"/>
      <c r="CIT22" s="1"/>
      <c r="CIU22" s="1"/>
      <c r="CIV22" s="1"/>
      <c r="CIW22" s="1"/>
      <c r="CIX22" s="1"/>
      <c r="CIY22" s="1"/>
      <c r="CIZ22" s="1"/>
      <c r="CJA22" s="1"/>
      <c r="CJB22" s="1"/>
      <c r="CJC22" s="1"/>
      <c r="CJD22" s="1"/>
      <c r="CJE22" s="1"/>
      <c r="CJF22" s="1"/>
      <c r="CJG22" s="1"/>
      <c r="CJH22" s="1"/>
      <c r="CJI22" s="1"/>
      <c r="CJJ22" s="1"/>
      <c r="CJK22" s="1"/>
      <c r="CJL22" s="1"/>
      <c r="CJM22" s="1"/>
      <c r="CJN22" s="1"/>
      <c r="CJO22" s="1"/>
      <c r="CJP22" s="1"/>
      <c r="CJQ22" s="1"/>
      <c r="CJR22" s="1"/>
      <c r="CJS22" s="1"/>
      <c r="CJT22" s="1"/>
      <c r="CJU22" s="1"/>
      <c r="CJV22" s="1"/>
      <c r="CJW22" s="1"/>
      <c r="CJX22" s="1"/>
      <c r="CJY22" s="1"/>
      <c r="CJZ22" s="1"/>
      <c r="CKA22" s="1"/>
      <c r="CKB22" s="1"/>
      <c r="CKC22" s="1"/>
      <c r="CKD22" s="1"/>
      <c r="CKE22" s="1"/>
      <c r="CKF22" s="1"/>
      <c r="CKG22" s="1"/>
      <c r="CKH22" s="1"/>
      <c r="CKI22" s="1"/>
      <c r="CKJ22" s="1"/>
      <c r="CKK22" s="1"/>
      <c r="CKL22" s="1"/>
      <c r="CKM22" s="1"/>
      <c r="CKN22" s="1"/>
      <c r="CKO22" s="1"/>
      <c r="CKP22" s="1"/>
      <c r="CKQ22" s="1"/>
      <c r="CKR22" s="1"/>
      <c r="CKS22" s="1"/>
      <c r="CKT22" s="1"/>
      <c r="CKU22" s="1"/>
      <c r="CKV22" s="1"/>
      <c r="CKW22" s="1"/>
      <c r="CKX22" s="1"/>
      <c r="CKY22" s="1"/>
      <c r="CKZ22" s="1"/>
      <c r="CLA22" s="1"/>
      <c r="CLB22" s="1"/>
      <c r="CLC22" s="1"/>
      <c r="CLD22" s="1"/>
      <c r="CLE22" s="1"/>
      <c r="CLF22" s="1"/>
      <c r="CLG22" s="1"/>
      <c r="CLH22" s="1"/>
      <c r="CLI22" s="1"/>
      <c r="CLJ22" s="1"/>
      <c r="CLK22" s="1"/>
      <c r="CLL22" s="1"/>
      <c r="CLM22" s="1"/>
      <c r="CLN22" s="1"/>
      <c r="CLO22" s="1"/>
      <c r="CLP22" s="1"/>
      <c r="CLQ22" s="1"/>
      <c r="CLR22" s="1"/>
      <c r="CLS22" s="1"/>
      <c r="CLT22" s="1"/>
      <c r="CLU22" s="1"/>
      <c r="CLV22" s="1"/>
      <c r="CLW22" s="1"/>
      <c r="CLX22" s="1"/>
      <c r="CLY22" s="1"/>
      <c r="CLZ22" s="1"/>
      <c r="CMA22" s="1"/>
      <c r="CMB22" s="1"/>
      <c r="CMC22" s="1"/>
      <c r="CMD22" s="1"/>
      <c r="CME22" s="1"/>
      <c r="CMF22" s="1"/>
      <c r="CMG22" s="1"/>
      <c r="CMH22" s="1"/>
      <c r="CMI22" s="1"/>
      <c r="CMJ22" s="1"/>
      <c r="CMK22" s="1"/>
      <c r="CML22" s="1"/>
      <c r="CMM22" s="1"/>
      <c r="CMN22" s="1"/>
      <c r="CMO22" s="1"/>
      <c r="CMP22" s="1"/>
      <c r="CMQ22" s="1"/>
      <c r="CMR22" s="1"/>
      <c r="CMS22" s="1"/>
      <c r="CMT22" s="1"/>
      <c r="CMU22" s="1"/>
      <c r="CMV22" s="1"/>
      <c r="CMW22" s="1"/>
      <c r="CMX22" s="1"/>
      <c r="CMY22" s="1"/>
      <c r="CMZ22" s="1"/>
      <c r="CNA22" s="1"/>
      <c r="CNB22" s="1"/>
      <c r="CNC22" s="1"/>
      <c r="CND22" s="1"/>
      <c r="CNE22" s="1"/>
      <c r="CNF22" s="1"/>
      <c r="CNG22" s="1"/>
      <c r="CNH22" s="1"/>
      <c r="CNI22" s="1"/>
      <c r="CNJ22" s="1"/>
      <c r="CNK22" s="1"/>
      <c r="CNL22" s="1"/>
      <c r="CNM22" s="1"/>
      <c r="CNN22" s="1"/>
      <c r="CNO22" s="1"/>
      <c r="CNP22" s="1"/>
      <c r="CNQ22" s="1"/>
      <c r="CNR22" s="1"/>
      <c r="CNS22" s="1"/>
      <c r="CNT22" s="1"/>
      <c r="CNU22" s="1"/>
      <c r="CNV22" s="1"/>
      <c r="CNW22" s="1"/>
      <c r="CNX22" s="1"/>
      <c r="CNY22" s="1"/>
      <c r="CNZ22" s="1"/>
      <c r="COA22" s="1"/>
      <c r="COB22" s="1"/>
      <c r="COC22" s="1"/>
      <c r="COD22" s="1"/>
      <c r="COE22" s="1"/>
      <c r="COF22" s="1"/>
      <c r="COG22" s="1"/>
      <c r="COH22" s="1"/>
      <c r="COI22" s="1"/>
      <c r="COJ22" s="1"/>
      <c r="COK22" s="1"/>
      <c r="COL22" s="1"/>
      <c r="COM22" s="1"/>
      <c r="CON22" s="1"/>
      <c r="COO22" s="1"/>
      <c r="COP22" s="1"/>
      <c r="COQ22" s="1"/>
      <c r="COR22" s="1"/>
      <c r="COS22" s="1"/>
      <c r="COT22" s="1"/>
      <c r="COU22" s="1"/>
      <c r="COV22" s="1"/>
      <c r="COW22" s="1"/>
      <c r="COX22" s="1"/>
      <c r="COY22" s="1"/>
      <c r="COZ22" s="1"/>
      <c r="CPA22" s="1"/>
      <c r="CPB22" s="1"/>
      <c r="CPC22" s="1"/>
      <c r="CPD22" s="1"/>
      <c r="CPE22" s="1"/>
      <c r="CPF22" s="1"/>
      <c r="CPG22" s="1"/>
      <c r="CPH22" s="1"/>
      <c r="CPI22" s="1"/>
      <c r="CPJ22" s="1"/>
      <c r="CPK22" s="1"/>
      <c r="CPL22" s="1"/>
      <c r="CPM22" s="1"/>
      <c r="CPN22" s="1"/>
      <c r="CPO22" s="1"/>
      <c r="CPP22" s="1"/>
      <c r="CPQ22" s="1"/>
      <c r="CPR22" s="1"/>
      <c r="CPS22" s="1"/>
      <c r="CPT22" s="1"/>
      <c r="CPU22" s="1"/>
      <c r="CPV22" s="1"/>
      <c r="CPW22" s="1"/>
      <c r="CPX22" s="1"/>
      <c r="CPY22" s="1"/>
      <c r="CPZ22" s="1"/>
      <c r="CQA22" s="1"/>
      <c r="CQB22" s="1"/>
      <c r="CQC22" s="1"/>
      <c r="CQD22" s="1"/>
      <c r="CQE22" s="1"/>
      <c r="CQF22" s="1"/>
      <c r="CQG22" s="1"/>
      <c r="CQH22" s="1"/>
      <c r="CQI22" s="1"/>
      <c r="CQJ22" s="1"/>
      <c r="CQK22" s="1"/>
      <c r="CQL22" s="1"/>
      <c r="CQM22" s="1"/>
      <c r="CQN22" s="1"/>
      <c r="CQO22" s="1"/>
      <c r="CQP22" s="1"/>
      <c r="CQQ22" s="1"/>
      <c r="CQR22" s="1"/>
      <c r="CQS22" s="1"/>
      <c r="CQT22" s="1"/>
      <c r="CQU22" s="1"/>
      <c r="CQV22" s="1"/>
      <c r="CQW22" s="1"/>
      <c r="CQX22" s="1"/>
      <c r="CQY22" s="1"/>
      <c r="CQZ22" s="1"/>
      <c r="CRA22" s="1"/>
      <c r="CRB22" s="1"/>
      <c r="CRC22" s="1"/>
      <c r="CRD22" s="1"/>
      <c r="CRE22" s="1"/>
      <c r="CRF22" s="1"/>
      <c r="CRG22" s="1"/>
      <c r="CRH22" s="1"/>
      <c r="CRI22" s="1"/>
      <c r="CRJ22" s="1"/>
      <c r="CRK22" s="1"/>
      <c r="CRL22" s="1"/>
      <c r="CRM22" s="1"/>
      <c r="CRN22" s="1"/>
      <c r="CRO22" s="1"/>
      <c r="CRP22" s="1"/>
      <c r="CRQ22" s="1"/>
      <c r="CRR22" s="1"/>
      <c r="CRS22" s="1"/>
      <c r="CRT22" s="1"/>
      <c r="CRU22" s="1"/>
      <c r="CRV22" s="1"/>
      <c r="CRW22" s="1"/>
      <c r="CRX22" s="1"/>
      <c r="CRY22" s="1"/>
      <c r="CRZ22" s="1"/>
      <c r="CSA22" s="1"/>
      <c r="CSB22" s="1"/>
      <c r="CSC22" s="1"/>
      <c r="CSD22" s="1"/>
      <c r="CSE22" s="1"/>
      <c r="CSF22" s="1"/>
      <c r="CSG22" s="1"/>
      <c r="CSH22" s="1"/>
      <c r="CSI22" s="1"/>
      <c r="CSJ22" s="1"/>
      <c r="CSK22" s="1"/>
      <c r="CSL22" s="1"/>
      <c r="CSM22" s="1"/>
      <c r="CSN22" s="1"/>
      <c r="CSO22" s="1"/>
      <c r="CSP22" s="1"/>
      <c r="CSQ22" s="1"/>
      <c r="CSR22" s="1"/>
      <c r="CSS22" s="1"/>
      <c r="CST22" s="1"/>
      <c r="CSU22" s="1"/>
      <c r="CSV22" s="1"/>
      <c r="CSW22" s="1"/>
      <c r="CSX22" s="1"/>
      <c r="CSY22" s="1"/>
      <c r="CSZ22" s="1"/>
      <c r="CTA22" s="1"/>
      <c r="CTB22" s="1"/>
      <c r="CTC22" s="1"/>
      <c r="CTD22" s="1"/>
      <c r="CTE22" s="1"/>
      <c r="CTF22" s="1"/>
      <c r="CTG22" s="1"/>
      <c r="CTH22" s="1"/>
      <c r="CTI22" s="1"/>
      <c r="CTJ22" s="1"/>
      <c r="CTK22" s="1"/>
      <c r="CTL22" s="1"/>
      <c r="CTM22" s="1"/>
      <c r="CTN22" s="1"/>
      <c r="CTO22" s="1"/>
      <c r="CTP22" s="1"/>
      <c r="CTQ22" s="1"/>
      <c r="CTR22" s="1"/>
      <c r="CTS22" s="1"/>
      <c r="CTT22" s="1"/>
      <c r="CTU22" s="1"/>
      <c r="CTV22" s="1"/>
      <c r="CTW22" s="1"/>
      <c r="CTX22" s="1"/>
      <c r="CTY22" s="1"/>
      <c r="CTZ22" s="1"/>
      <c r="CUA22" s="1"/>
      <c r="CUB22" s="1"/>
      <c r="CUC22" s="1"/>
      <c r="CUD22" s="1"/>
      <c r="CUE22" s="1"/>
      <c r="CUF22" s="1"/>
      <c r="CUG22" s="1"/>
      <c r="CUH22" s="1"/>
      <c r="CUI22" s="1"/>
      <c r="CUJ22" s="1"/>
      <c r="CUK22" s="1"/>
      <c r="CUL22" s="1"/>
      <c r="CUM22" s="1"/>
      <c r="CUN22" s="1"/>
      <c r="CUO22" s="1"/>
      <c r="CUP22" s="1"/>
      <c r="CUQ22" s="1"/>
      <c r="CUR22" s="1"/>
      <c r="CUS22" s="1"/>
      <c r="CUT22" s="1"/>
      <c r="CUU22" s="1"/>
      <c r="CUV22" s="1"/>
      <c r="CUW22" s="1"/>
      <c r="CUX22" s="1"/>
      <c r="CUY22" s="1"/>
      <c r="CUZ22" s="1"/>
      <c r="CVA22" s="1"/>
      <c r="CVB22" s="1"/>
      <c r="CVC22" s="1"/>
      <c r="CVD22" s="1"/>
      <c r="CVE22" s="1"/>
      <c r="CVF22" s="1"/>
      <c r="CVG22" s="1"/>
      <c r="CVH22" s="1"/>
      <c r="CVI22" s="1"/>
      <c r="CVJ22" s="1"/>
      <c r="CVK22" s="1"/>
      <c r="CVL22" s="1"/>
      <c r="CVM22" s="1"/>
      <c r="CVN22" s="1"/>
      <c r="CVO22" s="1"/>
      <c r="CVP22" s="1"/>
      <c r="CVQ22" s="1"/>
      <c r="CVR22" s="1"/>
      <c r="CVS22" s="1"/>
      <c r="CVT22" s="1"/>
      <c r="CVU22" s="1"/>
      <c r="CVV22" s="1"/>
      <c r="CVW22" s="1"/>
      <c r="CVX22" s="1"/>
      <c r="CVY22" s="1"/>
      <c r="CVZ22" s="1"/>
      <c r="CWA22" s="1"/>
      <c r="CWB22" s="1"/>
      <c r="CWC22" s="1"/>
      <c r="CWD22" s="1"/>
      <c r="CWE22" s="1"/>
      <c r="CWF22" s="1"/>
      <c r="CWG22" s="1"/>
      <c r="CWH22" s="1"/>
      <c r="CWI22" s="1"/>
      <c r="CWJ22" s="1"/>
      <c r="CWK22" s="1"/>
      <c r="CWL22" s="1"/>
      <c r="CWM22" s="1"/>
      <c r="CWN22" s="1"/>
      <c r="CWO22" s="1"/>
      <c r="CWP22" s="1"/>
      <c r="CWQ22" s="1"/>
      <c r="CWR22" s="1"/>
      <c r="CWS22" s="1"/>
      <c r="CWT22" s="1"/>
      <c r="CWU22" s="1"/>
      <c r="CWV22" s="1"/>
      <c r="CWW22" s="1"/>
      <c r="CWX22" s="1"/>
      <c r="CWY22" s="1"/>
      <c r="CWZ22" s="1"/>
      <c r="CXA22" s="1"/>
      <c r="CXB22" s="1"/>
      <c r="CXC22" s="1"/>
      <c r="CXD22" s="1"/>
      <c r="CXE22" s="1"/>
      <c r="CXF22" s="1"/>
      <c r="CXG22" s="1"/>
      <c r="CXH22" s="1"/>
      <c r="CXI22" s="1"/>
      <c r="CXJ22" s="1"/>
      <c r="CXK22" s="1"/>
      <c r="CXL22" s="1"/>
      <c r="CXM22" s="1"/>
      <c r="CXN22" s="1"/>
      <c r="CXO22" s="1"/>
      <c r="CXP22" s="1"/>
      <c r="CXQ22" s="1"/>
      <c r="CXR22" s="1"/>
      <c r="CXS22" s="1"/>
      <c r="CXT22" s="1"/>
      <c r="CXU22" s="1"/>
      <c r="CXV22" s="1"/>
      <c r="CXW22" s="1"/>
      <c r="CXX22" s="1"/>
      <c r="CXY22" s="1"/>
      <c r="CXZ22" s="1"/>
      <c r="CYA22" s="1"/>
      <c r="CYB22" s="1"/>
      <c r="CYC22" s="1"/>
      <c r="CYD22" s="1"/>
      <c r="CYE22" s="1"/>
      <c r="CYF22" s="1"/>
      <c r="CYG22" s="1"/>
      <c r="CYH22" s="1"/>
      <c r="CYI22" s="1"/>
      <c r="CYJ22" s="1"/>
      <c r="CYK22" s="1"/>
      <c r="CYL22" s="1"/>
      <c r="CYM22" s="1"/>
      <c r="CYN22" s="1"/>
      <c r="CYO22" s="1"/>
      <c r="CYP22" s="1"/>
      <c r="CYQ22" s="1"/>
      <c r="CYR22" s="1"/>
      <c r="CYS22" s="1"/>
      <c r="CYT22" s="1"/>
      <c r="CYU22" s="1"/>
      <c r="CYV22" s="1"/>
      <c r="CYW22" s="1"/>
      <c r="CYX22" s="1"/>
      <c r="CYY22" s="1"/>
      <c r="CYZ22" s="1"/>
      <c r="CZA22" s="1"/>
      <c r="CZB22" s="1"/>
      <c r="CZC22" s="1"/>
      <c r="CZD22" s="1"/>
      <c r="CZE22" s="1"/>
      <c r="CZF22" s="1"/>
      <c r="CZG22" s="1"/>
      <c r="CZH22" s="1"/>
      <c r="CZI22" s="1"/>
      <c r="CZJ22" s="1"/>
      <c r="CZK22" s="1"/>
      <c r="CZL22" s="1"/>
      <c r="CZM22" s="1"/>
      <c r="CZN22" s="1"/>
      <c r="CZO22" s="1"/>
      <c r="CZP22" s="1"/>
      <c r="CZQ22" s="1"/>
      <c r="CZR22" s="1"/>
      <c r="CZS22" s="1"/>
      <c r="CZT22" s="1"/>
      <c r="CZU22" s="1"/>
      <c r="CZV22" s="1"/>
      <c r="CZW22" s="1"/>
      <c r="CZX22" s="1"/>
      <c r="CZY22" s="1"/>
      <c r="CZZ22" s="1"/>
      <c r="DAA22" s="1"/>
      <c r="DAB22" s="1"/>
      <c r="DAC22" s="1"/>
      <c r="DAD22" s="1"/>
      <c r="DAE22" s="1"/>
      <c r="DAF22" s="1"/>
      <c r="DAG22" s="1"/>
      <c r="DAH22" s="1"/>
      <c r="DAI22" s="1"/>
      <c r="DAJ22" s="1"/>
      <c r="DAK22" s="1"/>
      <c r="DAL22" s="1"/>
      <c r="DAM22" s="1"/>
      <c r="DAN22" s="1"/>
      <c r="DAO22" s="1"/>
      <c r="DAP22" s="1"/>
      <c r="DAQ22" s="1"/>
      <c r="DAR22" s="1"/>
      <c r="DAS22" s="1"/>
      <c r="DAT22" s="1"/>
      <c r="DAU22" s="1"/>
      <c r="DAV22" s="1"/>
      <c r="DAW22" s="1"/>
      <c r="DAX22" s="1"/>
      <c r="DAY22" s="1"/>
      <c r="DAZ22" s="1"/>
      <c r="DBA22" s="1"/>
      <c r="DBB22" s="1"/>
      <c r="DBC22" s="1"/>
      <c r="DBD22" s="1"/>
      <c r="DBE22" s="1"/>
      <c r="DBF22" s="1"/>
      <c r="DBG22" s="1"/>
      <c r="DBH22" s="1"/>
      <c r="DBI22" s="1"/>
      <c r="DBJ22" s="1"/>
      <c r="DBK22" s="1"/>
      <c r="DBL22" s="1"/>
      <c r="DBM22" s="1"/>
      <c r="DBN22" s="1"/>
      <c r="DBO22" s="1"/>
      <c r="DBP22" s="1"/>
      <c r="DBQ22" s="1"/>
      <c r="DBR22" s="1"/>
      <c r="DBS22" s="1"/>
      <c r="DBT22" s="1"/>
      <c r="DBU22" s="1"/>
      <c r="DBV22" s="1"/>
      <c r="DBW22" s="1"/>
      <c r="DBX22" s="1"/>
      <c r="DBY22" s="1"/>
      <c r="DBZ22" s="1"/>
      <c r="DCA22" s="1"/>
      <c r="DCB22" s="1"/>
      <c r="DCC22" s="1"/>
      <c r="DCD22" s="1"/>
      <c r="DCE22" s="1"/>
      <c r="DCF22" s="1"/>
      <c r="DCG22" s="1"/>
      <c r="DCH22" s="1"/>
      <c r="DCI22" s="1"/>
      <c r="DCJ22" s="1"/>
      <c r="DCK22" s="1"/>
      <c r="DCL22" s="1"/>
      <c r="DCM22" s="1"/>
      <c r="DCN22" s="1"/>
      <c r="DCO22" s="1"/>
      <c r="DCP22" s="1"/>
      <c r="DCQ22" s="1"/>
      <c r="DCR22" s="1"/>
      <c r="DCS22" s="1"/>
      <c r="DCT22" s="1"/>
      <c r="DCU22" s="1"/>
      <c r="DCV22" s="1"/>
      <c r="DCW22" s="1"/>
      <c r="DCX22" s="1"/>
      <c r="DCY22" s="1"/>
      <c r="DCZ22" s="1"/>
      <c r="DDA22" s="1"/>
      <c r="DDB22" s="1"/>
      <c r="DDC22" s="1"/>
      <c r="DDD22" s="1"/>
      <c r="DDE22" s="1"/>
      <c r="DDF22" s="1"/>
      <c r="DDG22" s="1"/>
      <c r="DDH22" s="1"/>
      <c r="DDI22" s="1"/>
      <c r="DDJ22" s="1"/>
      <c r="DDK22" s="1"/>
      <c r="DDL22" s="1"/>
      <c r="DDM22" s="1"/>
      <c r="DDN22" s="1"/>
      <c r="DDO22" s="1"/>
      <c r="DDP22" s="1"/>
      <c r="DDQ22" s="1"/>
      <c r="DDR22" s="1"/>
      <c r="DDS22" s="1"/>
      <c r="DDT22" s="1"/>
      <c r="DDU22" s="1"/>
      <c r="DDV22" s="1"/>
      <c r="DDW22" s="1"/>
      <c r="DDX22" s="1"/>
      <c r="DDY22" s="1"/>
      <c r="DDZ22" s="1"/>
      <c r="DEA22" s="1"/>
      <c r="DEB22" s="1"/>
      <c r="DEC22" s="1"/>
      <c r="DED22" s="1"/>
      <c r="DEE22" s="1"/>
      <c r="DEF22" s="1"/>
      <c r="DEG22" s="1"/>
      <c r="DEH22" s="1"/>
      <c r="DEI22" s="1"/>
      <c r="DEJ22" s="1"/>
      <c r="DEK22" s="1"/>
      <c r="DEL22" s="1"/>
      <c r="DEM22" s="1"/>
      <c r="DEN22" s="1"/>
      <c r="DEO22" s="1"/>
      <c r="DEP22" s="1"/>
      <c r="DEQ22" s="1"/>
      <c r="DER22" s="1"/>
      <c r="DES22" s="1"/>
      <c r="DET22" s="1"/>
      <c r="DEU22" s="1"/>
      <c r="DEV22" s="1"/>
      <c r="DEW22" s="1"/>
      <c r="DEX22" s="1"/>
      <c r="DEY22" s="1"/>
      <c r="DEZ22" s="1"/>
      <c r="DFA22" s="1"/>
      <c r="DFB22" s="1"/>
      <c r="DFC22" s="1"/>
      <c r="DFD22" s="1"/>
      <c r="DFE22" s="1"/>
      <c r="DFF22" s="1"/>
      <c r="DFG22" s="1"/>
      <c r="DFH22" s="1"/>
      <c r="DFI22" s="1"/>
      <c r="DFJ22" s="1"/>
      <c r="DFK22" s="1"/>
      <c r="DFL22" s="1"/>
      <c r="DFM22" s="1"/>
      <c r="DFN22" s="1"/>
      <c r="DFO22" s="1"/>
      <c r="DFP22" s="1"/>
      <c r="DFQ22" s="1"/>
      <c r="DFR22" s="1"/>
      <c r="DFS22" s="1"/>
      <c r="DFT22" s="1"/>
      <c r="DFU22" s="1"/>
      <c r="DFV22" s="1"/>
      <c r="DFW22" s="1"/>
      <c r="DFX22" s="1"/>
      <c r="DFY22" s="1"/>
      <c r="DFZ22" s="1"/>
      <c r="DGA22" s="1"/>
      <c r="DGB22" s="1"/>
      <c r="DGC22" s="1"/>
      <c r="DGD22" s="1"/>
      <c r="DGE22" s="1"/>
      <c r="DGF22" s="1"/>
      <c r="DGG22" s="1"/>
      <c r="DGH22" s="1"/>
      <c r="DGI22" s="1"/>
      <c r="DGJ22" s="1"/>
      <c r="DGK22" s="1"/>
      <c r="DGL22" s="1"/>
      <c r="DGM22" s="1"/>
      <c r="DGN22" s="1"/>
      <c r="DGO22" s="1"/>
      <c r="DGP22" s="1"/>
      <c r="DGQ22" s="1"/>
      <c r="DGR22" s="1"/>
      <c r="DGS22" s="1"/>
      <c r="DGT22" s="1"/>
      <c r="DGU22" s="1"/>
      <c r="DGV22" s="1"/>
      <c r="DGW22" s="1"/>
      <c r="DGX22" s="1"/>
      <c r="DGY22" s="1"/>
      <c r="DGZ22" s="1"/>
      <c r="DHA22" s="1"/>
      <c r="DHB22" s="1"/>
      <c r="DHC22" s="1"/>
      <c r="DHD22" s="1"/>
      <c r="DHE22" s="1"/>
      <c r="DHF22" s="1"/>
      <c r="DHG22" s="1"/>
      <c r="DHH22" s="1"/>
      <c r="DHI22" s="1"/>
      <c r="DHJ22" s="1"/>
      <c r="DHK22" s="1"/>
      <c r="DHL22" s="1"/>
      <c r="DHM22" s="1"/>
      <c r="DHN22" s="1"/>
      <c r="DHO22" s="1"/>
      <c r="DHP22" s="1"/>
      <c r="DHQ22" s="1"/>
      <c r="DHR22" s="1"/>
      <c r="DHS22" s="1"/>
      <c r="DHT22" s="1"/>
      <c r="DHU22" s="1"/>
      <c r="DHV22" s="1"/>
      <c r="DHW22" s="1"/>
      <c r="DHX22" s="1"/>
      <c r="DHY22" s="1"/>
      <c r="DHZ22" s="1"/>
      <c r="DIA22" s="1"/>
      <c r="DIB22" s="1"/>
      <c r="DIC22" s="1"/>
      <c r="DID22" s="1"/>
      <c r="DIE22" s="1"/>
      <c r="DIF22" s="1"/>
      <c r="DIG22" s="1"/>
      <c r="DIH22" s="1"/>
      <c r="DII22" s="1"/>
      <c r="DIJ22" s="1"/>
      <c r="DIK22" s="1"/>
      <c r="DIL22" s="1"/>
      <c r="DIM22" s="1"/>
      <c r="DIN22" s="1"/>
      <c r="DIO22" s="1"/>
      <c r="DIP22" s="1"/>
      <c r="DIQ22" s="1"/>
      <c r="DIR22" s="1"/>
      <c r="DIS22" s="1"/>
      <c r="DIT22" s="1"/>
      <c r="DIU22" s="1"/>
      <c r="DIV22" s="1"/>
      <c r="DIW22" s="1"/>
      <c r="DIX22" s="1"/>
      <c r="DIY22" s="1"/>
      <c r="DIZ22" s="1"/>
      <c r="DJA22" s="1"/>
      <c r="DJB22" s="1"/>
      <c r="DJC22" s="1"/>
      <c r="DJD22" s="1"/>
      <c r="DJE22" s="1"/>
      <c r="DJF22" s="1"/>
      <c r="DJG22" s="1"/>
      <c r="DJH22" s="1"/>
      <c r="DJI22" s="1"/>
      <c r="DJJ22" s="1"/>
      <c r="DJK22" s="1"/>
      <c r="DJL22" s="1"/>
      <c r="DJM22" s="1"/>
      <c r="DJN22" s="1"/>
      <c r="DJO22" s="1"/>
      <c r="DJP22" s="1"/>
      <c r="DJQ22" s="1"/>
      <c r="DJR22" s="1"/>
      <c r="DJS22" s="1"/>
      <c r="DJT22" s="1"/>
      <c r="DJU22" s="1"/>
      <c r="DJV22" s="1"/>
      <c r="DJW22" s="1"/>
      <c r="DJX22" s="1"/>
      <c r="DJY22" s="1"/>
      <c r="DJZ22" s="1"/>
      <c r="DKA22" s="1"/>
      <c r="DKB22" s="1"/>
      <c r="DKC22" s="1"/>
      <c r="DKD22" s="1"/>
      <c r="DKE22" s="1"/>
      <c r="DKF22" s="1"/>
      <c r="DKG22" s="1"/>
      <c r="DKH22" s="1"/>
      <c r="DKI22" s="1"/>
      <c r="DKJ22" s="1"/>
      <c r="DKK22" s="1"/>
      <c r="DKL22" s="1"/>
      <c r="DKM22" s="1"/>
      <c r="DKN22" s="1"/>
      <c r="DKO22" s="1"/>
      <c r="DKP22" s="1"/>
      <c r="DKQ22" s="1"/>
      <c r="DKR22" s="1"/>
      <c r="DKS22" s="1"/>
      <c r="DKT22" s="1"/>
      <c r="DKU22" s="1"/>
      <c r="DKV22" s="1"/>
      <c r="DKW22" s="1"/>
      <c r="DKX22" s="1"/>
      <c r="DKY22" s="1"/>
      <c r="DKZ22" s="1"/>
      <c r="DLA22" s="1"/>
      <c r="DLB22" s="1"/>
      <c r="DLC22" s="1"/>
      <c r="DLD22" s="1"/>
      <c r="DLE22" s="1"/>
      <c r="DLF22" s="1"/>
      <c r="DLG22" s="1"/>
      <c r="DLH22" s="1"/>
      <c r="DLI22" s="1"/>
      <c r="DLJ22" s="1"/>
      <c r="DLK22" s="1"/>
      <c r="DLL22" s="1"/>
      <c r="DLM22" s="1"/>
      <c r="DLN22" s="1"/>
      <c r="DLO22" s="1"/>
      <c r="DLP22" s="1"/>
      <c r="DLQ22" s="1"/>
      <c r="DLR22" s="1"/>
      <c r="DLS22" s="1"/>
      <c r="DLT22" s="1"/>
      <c r="DLU22" s="1"/>
      <c r="DLV22" s="1"/>
      <c r="DLW22" s="1"/>
      <c r="DLX22" s="1"/>
      <c r="DLY22" s="1"/>
      <c r="DLZ22" s="1"/>
      <c r="DMA22" s="1"/>
      <c r="DMB22" s="1"/>
      <c r="DMC22" s="1"/>
      <c r="DMD22" s="1"/>
      <c r="DME22" s="1"/>
      <c r="DMF22" s="1"/>
      <c r="DMG22" s="1"/>
      <c r="DMH22" s="1"/>
      <c r="DMI22" s="1"/>
      <c r="DMJ22" s="1"/>
      <c r="DMK22" s="1"/>
      <c r="DML22" s="1"/>
      <c r="DMM22" s="1"/>
      <c r="DMN22" s="1"/>
      <c r="DMO22" s="1"/>
      <c r="DMP22" s="1"/>
      <c r="DMQ22" s="1"/>
      <c r="DMR22" s="1"/>
      <c r="DMS22" s="1"/>
      <c r="DMT22" s="1"/>
      <c r="DMU22" s="1"/>
      <c r="DMV22" s="1"/>
      <c r="DMW22" s="1"/>
      <c r="DMX22" s="1"/>
      <c r="DMY22" s="1"/>
      <c r="DMZ22" s="1"/>
      <c r="DNA22" s="1"/>
      <c r="DNB22" s="1"/>
      <c r="DNC22" s="1"/>
      <c r="DND22" s="1"/>
      <c r="DNE22" s="1"/>
      <c r="DNF22" s="1"/>
      <c r="DNG22" s="1"/>
      <c r="DNH22" s="1"/>
      <c r="DNI22" s="1"/>
      <c r="DNJ22" s="1"/>
      <c r="DNK22" s="1"/>
      <c r="DNL22" s="1"/>
      <c r="DNM22" s="1"/>
      <c r="DNN22" s="1"/>
      <c r="DNO22" s="1"/>
      <c r="DNP22" s="1"/>
      <c r="DNQ22" s="1"/>
      <c r="DNR22" s="1"/>
      <c r="DNS22" s="1"/>
      <c r="DNT22" s="1"/>
      <c r="DNU22" s="1"/>
      <c r="DNV22" s="1"/>
      <c r="DNW22" s="1"/>
      <c r="DNX22" s="1"/>
      <c r="DNY22" s="1"/>
      <c r="DNZ22" s="1"/>
      <c r="DOA22" s="1"/>
      <c r="DOB22" s="1"/>
      <c r="DOC22" s="1"/>
      <c r="DOD22" s="1"/>
      <c r="DOE22" s="1"/>
      <c r="DOF22" s="1"/>
      <c r="DOG22" s="1"/>
      <c r="DOH22" s="1"/>
      <c r="DOI22" s="1"/>
      <c r="DOJ22" s="1"/>
      <c r="DOK22" s="1"/>
      <c r="DOL22" s="1"/>
      <c r="DOM22" s="1"/>
      <c r="DON22" s="1"/>
      <c r="DOO22" s="1"/>
      <c r="DOP22" s="1"/>
      <c r="DOQ22" s="1"/>
      <c r="DOR22" s="1"/>
      <c r="DOS22" s="1"/>
      <c r="DOT22" s="1"/>
      <c r="DOU22" s="1"/>
      <c r="DOV22" s="1"/>
      <c r="DOW22" s="1"/>
      <c r="DOX22" s="1"/>
      <c r="DOY22" s="1"/>
      <c r="DOZ22" s="1"/>
      <c r="DPA22" s="1"/>
      <c r="DPB22" s="1"/>
      <c r="DPC22" s="1"/>
      <c r="DPD22" s="1"/>
      <c r="DPE22" s="1"/>
      <c r="DPF22" s="1"/>
      <c r="DPG22" s="1"/>
      <c r="DPH22" s="1"/>
      <c r="DPI22" s="1"/>
      <c r="DPJ22" s="1"/>
      <c r="DPK22" s="1"/>
      <c r="DPL22" s="1"/>
      <c r="DPM22" s="1"/>
      <c r="DPN22" s="1"/>
      <c r="DPO22" s="1"/>
      <c r="DPP22" s="1"/>
      <c r="DPQ22" s="1"/>
      <c r="DPR22" s="1"/>
      <c r="DPS22" s="1"/>
      <c r="DPT22" s="1"/>
      <c r="DPU22" s="1"/>
      <c r="DPV22" s="1"/>
      <c r="DPW22" s="1"/>
      <c r="DPX22" s="1"/>
      <c r="DPY22" s="1"/>
      <c r="DPZ22" s="1"/>
      <c r="DQA22" s="1"/>
      <c r="DQB22" s="1"/>
      <c r="DQC22" s="1"/>
      <c r="DQD22" s="1"/>
      <c r="DQE22" s="1"/>
      <c r="DQF22" s="1"/>
      <c r="DQG22" s="1"/>
      <c r="DQH22" s="1"/>
      <c r="DQI22" s="1"/>
      <c r="DQJ22" s="1"/>
      <c r="DQK22" s="1"/>
      <c r="DQL22" s="1"/>
      <c r="DQM22" s="1"/>
      <c r="DQN22" s="1"/>
      <c r="DQO22" s="1"/>
      <c r="DQP22" s="1"/>
      <c r="DQQ22" s="1"/>
      <c r="DQR22" s="1"/>
      <c r="DQS22" s="1"/>
      <c r="DQT22" s="1"/>
      <c r="DQU22" s="1"/>
      <c r="DQV22" s="1"/>
      <c r="DQW22" s="1"/>
      <c r="DQX22" s="1"/>
      <c r="DQY22" s="1"/>
      <c r="DQZ22" s="1"/>
      <c r="DRA22" s="1"/>
      <c r="DRB22" s="1"/>
      <c r="DRC22" s="1"/>
      <c r="DRD22" s="1"/>
      <c r="DRE22" s="1"/>
      <c r="DRF22" s="1"/>
      <c r="DRG22" s="1"/>
      <c r="DRH22" s="1"/>
      <c r="DRI22" s="1"/>
      <c r="DRJ22" s="1"/>
      <c r="DRK22" s="1"/>
      <c r="DRL22" s="1"/>
      <c r="DRM22" s="1"/>
      <c r="DRN22" s="1"/>
      <c r="DRO22" s="1"/>
      <c r="DRP22" s="1"/>
      <c r="DRQ22" s="1"/>
      <c r="DRR22" s="1"/>
      <c r="DRS22" s="1"/>
      <c r="DRT22" s="1"/>
      <c r="DRU22" s="1"/>
      <c r="DRV22" s="1"/>
      <c r="DRW22" s="1"/>
      <c r="DRX22" s="1"/>
      <c r="DRY22" s="1"/>
      <c r="DRZ22" s="1"/>
      <c r="DSA22" s="1"/>
      <c r="DSB22" s="1"/>
      <c r="DSC22" s="1"/>
      <c r="DSD22" s="1"/>
      <c r="DSE22" s="1"/>
      <c r="DSF22" s="1"/>
      <c r="DSG22" s="1"/>
      <c r="DSH22" s="1"/>
      <c r="DSI22" s="1"/>
      <c r="DSJ22" s="1"/>
      <c r="DSK22" s="1"/>
      <c r="DSL22" s="1"/>
      <c r="DSM22" s="1"/>
      <c r="DSN22" s="1"/>
      <c r="DSO22" s="1"/>
      <c r="DSP22" s="1"/>
      <c r="DSQ22" s="1"/>
      <c r="DSR22" s="1"/>
      <c r="DSS22" s="1"/>
      <c r="DST22" s="1"/>
      <c r="DSU22" s="1"/>
      <c r="DSV22" s="1"/>
      <c r="DSW22" s="1"/>
      <c r="DSX22" s="1"/>
      <c r="DSY22" s="1"/>
      <c r="DSZ22" s="1"/>
      <c r="DTA22" s="1"/>
      <c r="DTB22" s="1"/>
      <c r="DTC22" s="1"/>
      <c r="DTD22" s="1"/>
      <c r="DTE22" s="1"/>
      <c r="DTF22" s="1"/>
      <c r="DTG22" s="1"/>
      <c r="DTH22" s="1"/>
      <c r="DTI22" s="1"/>
      <c r="DTJ22" s="1"/>
      <c r="DTK22" s="1"/>
      <c r="DTL22" s="1"/>
      <c r="DTM22" s="1"/>
      <c r="DTN22" s="1"/>
      <c r="DTO22" s="1"/>
      <c r="DTP22" s="1"/>
      <c r="DTQ22" s="1"/>
      <c r="DTR22" s="1"/>
      <c r="DTS22" s="1"/>
      <c r="DTT22" s="1"/>
      <c r="DTU22" s="1"/>
      <c r="DTV22" s="1"/>
      <c r="DTW22" s="1"/>
      <c r="DTX22" s="1"/>
      <c r="DTY22" s="1"/>
      <c r="DTZ22" s="1"/>
      <c r="DUA22" s="1"/>
      <c r="DUB22" s="1"/>
      <c r="DUC22" s="1"/>
      <c r="DUD22" s="1"/>
      <c r="DUE22" s="1"/>
      <c r="DUF22" s="1"/>
      <c r="DUG22" s="1"/>
      <c r="DUH22" s="1"/>
      <c r="DUI22" s="1"/>
      <c r="DUJ22" s="1"/>
      <c r="DUK22" s="1"/>
      <c r="DUL22" s="1"/>
      <c r="DUM22" s="1"/>
      <c r="DUN22" s="1"/>
      <c r="DUO22" s="1"/>
      <c r="DUP22" s="1"/>
      <c r="DUQ22" s="1"/>
      <c r="DUR22" s="1"/>
      <c r="DUS22" s="1"/>
      <c r="DUT22" s="1"/>
      <c r="DUU22" s="1"/>
      <c r="DUV22" s="1"/>
      <c r="DUW22" s="1"/>
      <c r="DUX22" s="1"/>
      <c r="DUY22" s="1"/>
      <c r="DUZ22" s="1"/>
      <c r="DVA22" s="1"/>
      <c r="DVB22" s="1"/>
      <c r="DVC22" s="1"/>
      <c r="DVD22" s="1"/>
      <c r="DVE22" s="1"/>
      <c r="DVF22" s="1"/>
      <c r="DVG22" s="1"/>
      <c r="DVH22" s="1"/>
      <c r="DVI22" s="1"/>
      <c r="DVJ22" s="1"/>
      <c r="DVK22" s="1"/>
      <c r="DVL22" s="1"/>
      <c r="DVM22" s="1"/>
      <c r="DVN22" s="1"/>
      <c r="DVO22" s="1"/>
      <c r="DVP22" s="1"/>
      <c r="DVQ22" s="1"/>
      <c r="DVR22" s="1"/>
      <c r="DVS22" s="1"/>
      <c r="DVT22" s="1"/>
      <c r="DVU22" s="1"/>
      <c r="DVV22" s="1"/>
      <c r="DVW22" s="1"/>
      <c r="DVX22" s="1"/>
      <c r="DVY22" s="1"/>
      <c r="DVZ22" s="1"/>
      <c r="DWA22" s="1"/>
      <c r="DWB22" s="1"/>
      <c r="DWC22" s="1"/>
      <c r="DWD22" s="1"/>
      <c r="DWE22" s="1"/>
      <c r="DWF22" s="1"/>
      <c r="DWG22" s="1"/>
      <c r="DWH22" s="1"/>
      <c r="DWI22" s="1"/>
      <c r="DWJ22" s="1"/>
      <c r="DWK22" s="1"/>
      <c r="DWL22" s="1"/>
      <c r="DWM22" s="1"/>
      <c r="DWN22" s="1"/>
      <c r="DWO22" s="1"/>
      <c r="DWP22" s="1"/>
      <c r="DWQ22" s="1"/>
      <c r="DWR22" s="1"/>
      <c r="DWS22" s="1"/>
      <c r="DWT22" s="1"/>
      <c r="DWU22" s="1"/>
      <c r="DWV22" s="1"/>
      <c r="DWW22" s="1"/>
      <c r="DWX22" s="1"/>
      <c r="DWY22" s="1"/>
      <c r="DWZ22" s="1"/>
      <c r="DXA22" s="1"/>
      <c r="DXB22" s="1"/>
      <c r="DXC22" s="1"/>
      <c r="DXD22" s="1"/>
      <c r="DXE22" s="1"/>
      <c r="DXF22" s="1"/>
      <c r="DXG22" s="1"/>
      <c r="DXH22" s="1"/>
      <c r="DXI22" s="1"/>
      <c r="DXJ22" s="1"/>
      <c r="DXK22" s="1"/>
      <c r="DXL22" s="1"/>
      <c r="DXM22" s="1"/>
      <c r="DXN22" s="1"/>
      <c r="DXO22" s="1"/>
      <c r="DXP22" s="1"/>
      <c r="DXQ22" s="1"/>
      <c r="DXR22" s="1"/>
      <c r="DXS22" s="1"/>
      <c r="DXT22" s="1"/>
      <c r="DXU22" s="1"/>
      <c r="DXV22" s="1"/>
      <c r="DXW22" s="1"/>
      <c r="DXX22" s="1"/>
      <c r="DXY22" s="1"/>
      <c r="DXZ22" s="1"/>
      <c r="DYA22" s="1"/>
      <c r="DYB22" s="1"/>
      <c r="DYC22" s="1"/>
      <c r="DYD22" s="1"/>
      <c r="DYE22" s="1"/>
      <c r="DYF22" s="1"/>
      <c r="DYG22" s="1"/>
      <c r="DYH22" s="1"/>
      <c r="DYI22" s="1"/>
      <c r="DYJ22" s="1"/>
      <c r="DYK22" s="1"/>
      <c r="DYL22" s="1"/>
      <c r="DYM22" s="1"/>
      <c r="DYN22" s="1"/>
      <c r="DYO22" s="1"/>
      <c r="DYP22" s="1"/>
      <c r="DYQ22" s="1"/>
      <c r="DYR22" s="1"/>
      <c r="DYS22" s="1"/>
      <c r="DYT22" s="1"/>
      <c r="DYU22" s="1"/>
      <c r="DYV22" s="1"/>
      <c r="DYW22" s="1"/>
      <c r="DYX22" s="1"/>
      <c r="DYY22" s="1"/>
      <c r="DYZ22" s="1"/>
      <c r="DZA22" s="1"/>
      <c r="DZB22" s="1"/>
      <c r="DZC22" s="1"/>
      <c r="DZD22" s="1"/>
      <c r="DZE22" s="1"/>
      <c r="DZF22" s="1"/>
      <c r="DZG22" s="1"/>
      <c r="DZH22" s="1"/>
      <c r="DZI22" s="1"/>
      <c r="DZJ22" s="1"/>
      <c r="DZK22" s="1"/>
      <c r="DZL22" s="1"/>
      <c r="DZM22" s="1"/>
      <c r="DZN22" s="1"/>
      <c r="DZO22" s="1"/>
      <c r="DZP22" s="1"/>
      <c r="DZQ22" s="1"/>
      <c r="DZR22" s="1"/>
      <c r="DZS22" s="1"/>
      <c r="DZT22" s="1"/>
      <c r="DZU22" s="1"/>
      <c r="DZV22" s="1"/>
      <c r="DZW22" s="1"/>
      <c r="DZX22" s="1"/>
      <c r="DZY22" s="1"/>
      <c r="DZZ22" s="1"/>
      <c r="EAA22" s="1"/>
      <c r="EAB22" s="1"/>
      <c r="EAC22" s="1"/>
      <c r="EAD22" s="1"/>
      <c r="EAE22" s="1"/>
      <c r="EAF22" s="1"/>
      <c r="EAG22" s="1"/>
      <c r="EAH22" s="1"/>
      <c r="EAI22" s="1"/>
      <c r="EAJ22" s="1"/>
      <c r="EAK22" s="1"/>
      <c r="EAL22" s="1"/>
      <c r="EAM22" s="1"/>
      <c r="EAN22" s="1"/>
      <c r="EAO22" s="1"/>
      <c r="EAP22" s="1"/>
      <c r="EAQ22" s="1"/>
      <c r="EAR22" s="1"/>
      <c r="EAS22" s="1"/>
      <c r="EAT22" s="1"/>
      <c r="EAU22" s="1"/>
      <c r="EAV22" s="1"/>
      <c r="EAW22" s="1"/>
      <c r="EAX22" s="1"/>
      <c r="EAY22" s="1"/>
      <c r="EAZ22" s="1"/>
      <c r="EBA22" s="1"/>
      <c r="EBB22" s="1"/>
      <c r="EBC22" s="1"/>
      <c r="EBD22" s="1"/>
      <c r="EBE22" s="1"/>
      <c r="EBF22" s="1"/>
      <c r="EBG22" s="1"/>
      <c r="EBH22" s="1"/>
      <c r="EBI22" s="1"/>
      <c r="EBJ22" s="1"/>
      <c r="EBK22" s="1"/>
      <c r="EBL22" s="1"/>
      <c r="EBM22" s="1"/>
      <c r="EBN22" s="1"/>
      <c r="EBO22" s="1"/>
      <c r="EBP22" s="1"/>
      <c r="EBQ22" s="1"/>
      <c r="EBR22" s="1"/>
      <c r="EBS22" s="1"/>
      <c r="EBT22" s="1"/>
      <c r="EBU22" s="1"/>
      <c r="EBV22" s="1"/>
      <c r="EBW22" s="1"/>
      <c r="EBX22" s="1"/>
      <c r="EBY22" s="1"/>
      <c r="EBZ22" s="1"/>
      <c r="ECA22" s="1"/>
      <c r="ECB22" s="1"/>
      <c r="ECC22" s="1"/>
      <c r="ECD22" s="1"/>
      <c r="ECE22" s="1"/>
      <c r="ECF22" s="1"/>
      <c r="ECG22" s="1"/>
      <c r="ECH22" s="1"/>
      <c r="ECI22" s="1"/>
      <c r="ECJ22" s="1"/>
      <c r="ECK22" s="1"/>
      <c r="ECL22" s="1"/>
      <c r="ECM22" s="1"/>
      <c r="ECN22" s="1"/>
      <c r="ECO22" s="1"/>
      <c r="ECP22" s="1"/>
      <c r="ECQ22" s="1"/>
      <c r="ECR22" s="1"/>
      <c r="ECS22" s="1"/>
      <c r="ECT22" s="1"/>
      <c r="ECU22" s="1"/>
      <c r="ECV22" s="1"/>
      <c r="ECW22" s="1"/>
      <c r="ECX22" s="1"/>
      <c r="ECY22" s="1"/>
      <c r="ECZ22" s="1"/>
      <c r="EDA22" s="1"/>
      <c r="EDB22" s="1"/>
      <c r="EDC22" s="1"/>
      <c r="EDD22" s="1"/>
      <c r="EDE22" s="1"/>
      <c r="EDF22" s="1"/>
      <c r="EDG22" s="1"/>
      <c r="EDH22" s="1"/>
      <c r="EDI22" s="1"/>
      <c r="EDJ22" s="1"/>
      <c r="EDK22" s="1"/>
      <c r="EDL22" s="1"/>
      <c r="EDM22" s="1"/>
      <c r="EDN22" s="1"/>
      <c r="EDO22" s="1"/>
      <c r="EDP22" s="1"/>
      <c r="EDQ22" s="1"/>
      <c r="EDR22" s="1"/>
      <c r="EDS22" s="1"/>
      <c r="EDT22" s="1"/>
      <c r="EDU22" s="1"/>
      <c r="EDV22" s="1"/>
      <c r="EDW22" s="1"/>
      <c r="EDX22" s="1"/>
      <c r="EDY22" s="1"/>
      <c r="EDZ22" s="1"/>
      <c r="EEA22" s="1"/>
      <c r="EEB22" s="1"/>
      <c r="EEC22" s="1"/>
      <c r="EED22" s="1"/>
      <c r="EEE22" s="1"/>
      <c r="EEF22" s="1"/>
      <c r="EEG22" s="1"/>
      <c r="EEH22" s="1"/>
      <c r="EEI22" s="1"/>
      <c r="EEJ22" s="1"/>
      <c r="EEK22" s="1"/>
      <c r="EEL22" s="1"/>
      <c r="EEM22" s="1"/>
      <c r="EEN22" s="1"/>
      <c r="EEO22" s="1"/>
      <c r="EEP22" s="1"/>
      <c r="EEQ22" s="1"/>
      <c r="EER22" s="1"/>
      <c r="EES22" s="1"/>
      <c r="EET22" s="1"/>
      <c r="EEU22" s="1"/>
      <c r="EEV22" s="1"/>
      <c r="EEW22" s="1"/>
      <c r="EEX22" s="1"/>
      <c r="EEY22" s="1"/>
      <c r="EEZ22" s="1"/>
      <c r="EFA22" s="1"/>
      <c r="EFB22" s="1"/>
      <c r="EFC22" s="1"/>
      <c r="EFD22" s="1"/>
      <c r="EFE22" s="1"/>
      <c r="EFF22" s="1"/>
      <c r="EFG22" s="1"/>
      <c r="EFH22" s="1"/>
      <c r="EFI22" s="1"/>
      <c r="EFJ22" s="1"/>
      <c r="EFK22" s="1"/>
      <c r="EFL22" s="1"/>
      <c r="EFM22" s="1"/>
      <c r="EFN22" s="1"/>
      <c r="EFO22" s="1"/>
      <c r="EFP22" s="1"/>
      <c r="EFQ22" s="1"/>
      <c r="EFR22" s="1"/>
      <c r="EFS22" s="1"/>
      <c r="EFT22" s="1"/>
      <c r="EFU22" s="1"/>
      <c r="EFV22" s="1"/>
      <c r="EFW22" s="1"/>
      <c r="EFX22" s="1"/>
      <c r="EFY22" s="1"/>
      <c r="EFZ22" s="1"/>
      <c r="EGA22" s="1"/>
      <c r="EGB22" s="1"/>
      <c r="EGC22" s="1"/>
      <c r="EGD22" s="1"/>
      <c r="EGE22" s="1"/>
      <c r="EGF22" s="1"/>
      <c r="EGG22" s="1"/>
      <c r="EGH22" s="1"/>
      <c r="EGI22" s="1"/>
      <c r="EGJ22" s="1"/>
      <c r="EGK22" s="1"/>
      <c r="EGL22" s="1"/>
      <c r="EGM22" s="1"/>
      <c r="EGN22" s="1"/>
      <c r="EGO22" s="1"/>
      <c r="EGP22" s="1"/>
      <c r="EGQ22" s="1"/>
      <c r="EGR22" s="1"/>
      <c r="EGS22" s="1"/>
      <c r="EGT22" s="1"/>
      <c r="EGU22" s="1"/>
      <c r="EGV22" s="1"/>
      <c r="EGW22" s="1"/>
      <c r="EGX22" s="1"/>
      <c r="EGY22" s="1"/>
      <c r="EGZ22" s="1"/>
      <c r="EHA22" s="1"/>
      <c r="EHB22" s="1"/>
      <c r="EHC22" s="1"/>
      <c r="EHD22" s="1"/>
      <c r="EHE22" s="1"/>
      <c r="EHF22" s="1"/>
      <c r="EHG22" s="1"/>
      <c r="EHH22" s="1"/>
      <c r="EHI22" s="1"/>
      <c r="EHJ22" s="1"/>
      <c r="EHK22" s="1"/>
      <c r="EHL22" s="1"/>
      <c r="EHM22" s="1"/>
      <c r="EHN22" s="1"/>
      <c r="EHO22" s="1"/>
      <c r="EHP22" s="1"/>
      <c r="EHQ22" s="1"/>
      <c r="EHR22" s="1"/>
      <c r="EHS22" s="1"/>
      <c r="EHT22" s="1"/>
      <c r="EHU22" s="1"/>
      <c r="EHV22" s="1"/>
      <c r="EHW22" s="1"/>
      <c r="EHX22" s="1"/>
      <c r="EHY22" s="1"/>
      <c r="EHZ22" s="1"/>
      <c r="EIA22" s="1"/>
      <c r="EIB22" s="1"/>
      <c r="EIC22" s="1"/>
      <c r="EID22" s="1"/>
      <c r="EIE22" s="1"/>
      <c r="EIF22" s="1"/>
      <c r="EIG22" s="1"/>
      <c r="EIH22" s="1"/>
      <c r="EII22" s="1"/>
      <c r="EIJ22" s="1"/>
      <c r="EIK22" s="1"/>
      <c r="EIL22" s="1"/>
      <c r="EIM22" s="1"/>
      <c r="EIN22" s="1"/>
      <c r="EIO22" s="1"/>
      <c r="EIP22" s="1"/>
      <c r="EIQ22" s="1"/>
      <c r="EIR22" s="1"/>
      <c r="EIS22" s="1"/>
      <c r="EIT22" s="1"/>
      <c r="EIU22" s="1"/>
      <c r="EIV22" s="1"/>
      <c r="EIW22" s="1"/>
      <c r="EIX22" s="1"/>
      <c r="EIY22" s="1"/>
      <c r="EIZ22" s="1"/>
      <c r="EJA22" s="1"/>
      <c r="EJB22" s="1"/>
      <c r="EJC22" s="1"/>
      <c r="EJD22" s="1"/>
      <c r="EJE22" s="1"/>
      <c r="EJF22" s="1"/>
      <c r="EJG22" s="1"/>
      <c r="EJH22" s="1"/>
      <c r="EJI22" s="1"/>
      <c r="EJJ22" s="1"/>
      <c r="EJK22" s="1"/>
      <c r="EJL22" s="1"/>
      <c r="EJM22" s="1"/>
      <c r="EJN22" s="1"/>
      <c r="EJO22" s="1"/>
      <c r="EJP22" s="1"/>
      <c r="EJQ22" s="1"/>
      <c r="EJR22" s="1"/>
      <c r="EJS22" s="1"/>
      <c r="EJT22" s="1"/>
      <c r="EJU22" s="1"/>
      <c r="EJV22" s="1"/>
      <c r="EJW22" s="1"/>
      <c r="EJX22" s="1"/>
      <c r="EJY22" s="1"/>
      <c r="EJZ22" s="1"/>
      <c r="EKA22" s="1"/>
      <c r="EKB22" s="1"/>
      <c r="EKC22" s="1"/>
      <c r="EKD22" s="1"/>
      <c r="EKE22" s="1"/>
      <c r="EKF22" s="1"/>
      <c r="EKG22" s="1"/>
      <c r="EKH22" s="1"/>
      <c r="EKI22" s="1"/>
      <c r="EKJ22" s="1"/>
      <c r="EKK22" s="1"/>
      <c r="EKL22" s="1"/>
      <c r="EKM22" s="1"/>
      <c r="EKN22" s="1"/>
      <c r="EKO22" s="1"/>
      <c r="EKP22" s="1"/>
      <c r="EKQ22" s="1"/>
      <c r="EKR22" s="1"/>
      <c r="EKS22" s="1"/>
      <c r="EKT22" s="1"/>
      <c r="EKU22" s="1"/>
      <c r="EKV22" s="1"/>
      <c r="EKW22" s="1"/>
      <c r="EKX22" s="1"/>
      <c r="EKY22" s="1"/>
      <c r="EKZ22" s="1"/>
      <c r="ELA22" s="1"/>
      <c r="ELB22" s="1"/>
      <c r="ELC22" s="1"/>
      <c r="ELD22" s="1"/>
      <c r="ELE22" s="1"/>
      <c r="ELF22" s="1"/>
      <c r="ELG22" s="1"/>
      <c r="ELH22" s="1"/>
      <c r="ELI22" s="1"/>
      <c r="ELJ22" s="1"/>
      <c r="ELK22" s="1"/>
      <c r="ELL22" s="1"/>
      <c r="ELM22" s="1"/>
      <c r="ELN22" s="1"/>
      <c r="ELO22" s="1"/>
      <c r="ELP22" s="1"/>
      <c r="ELQ22" s="1"/>
      <c r="ELR22" s="1"/>
      <c r="ELS22" s="1"/>
      <c r="ELT22" s="1"/>
      <c r="ELU22" s="1"/>
      <c r="ELV22" s="1"/>
      <c r="ELW22" s="1"/>
      <c r="ELX22" s="1"/>
      <c r="ELY22" s="1"/>
      <c r="ELZ22" s="1"/>
      <c r="EMA22" s="1"/>
      <c r="EMB22" s="1"/>
      <c r="EMC22" s="1"/>
      <c r="EMD22" s="1"/>
      <c r="EME22" s="1"/>
      <c r="EMF22" s="1"/>
      <c r="EMG22" s="1"/>
      <c r="EMH22" s="1"/>
      <c r="EMI22" s="1"/>
      <c r="EMJ22" s="1"/>
      <c r="EMK22" s="1"/>
      <c r="EML22" s="1"/>
      <c r="EMM22" s="1"/>
      <c r="EMN22" s="1"/>
      <c r="EMO22" s="1"/>
      <c r="EMP22" s="1"/>
      <c r="EMQ22" s="1"/>
      <c r="EMR22" s="1"/>
      <c r="EMS22" s="1"/>
      <c r="EMT22" s="1"/>
      <c r="EMU22" s="1"/>
      <c r="EMV22" s="1"/>
      <c r="EMW22" s="1"/>
      <c r="EMX22" s="1"/>
      <c r="EMY22" s="1"/>
      <c r="EMZ22" s="1"/>
      <c r="ENA22" s="1"/>
      <c r="ENB22" s="1"/>
      <c r="ENC22" s="1"/>
      <c r="END22" s="1"/>
      <c r="ENE22" s="1"/>
      <c r="ENF22" s="1"/>
      <c r="ENG22" s="1"/>
      <c r="ENH22" s="1"/>
      <c r="ENI22" s="1"/>
      <c r="ENJ22" s="1"/>
      <c r="ENK22" s="1"/>
      <c r="ENL22" s="1"/>
      <c r="ENM22" s="1"/>
      <c r="ENN22" s="1"/>
      <c r="ENO22" s="1"/>
      <c r="ENP22" s="1"/>
      <c r="ENQ22" s="1"/>
      <c r="ENR22" s="1"/>
      <c r="ENS22" s="1"/>
      <c r="ENT22" s="1"/>
      <c r="ENU22" s="1"/>
      <c r="ENV22" s="1"/>
      <c r="ENW22" s="1"/>
      <c r="ENX22" s="1"/>
      <c r="ENY22" s="1"/>
      <c r="ENZ22" s="1"/>
      <c r="EOA22" s="1"/>
      <c r="EOB22" s="1"/>
      <c r="EOC22" s="1"/>
      <c r="EOD22" s="1"/>
      <c r="EOE22" s="1"/>
      <c r="EOF22" s="1"/>
      <c r="EOG22" s="1"/>
      <c r="EOH22" s="1"/>
      <c r="EOI22" s="1"/>
      <c r="EOJ22" s="1"/>
      <c r="EOK22" s="1"/>
      <c r="EOL22" s="1"/>
      <c r="EOM22" s="1"/>
      <c r="EON22" s="1"/>
      <c r="EOO22" s="1"/>
      <c r="EOP22" s="1"/>
      <c r="EOQ22" s="1"/>
      <c r="EOR22" s="1"/>
      <c r="EOS22" s="1"/>
      <c r="EOT22" s="1"/>
      <c r="EOU22" s="1"/>
      <c r="EOV22" s="1"/>
      <c r="EOW22" s="1"/>
      <c r="EOX22" s="1"/>
      <c r="EOY22" s="1"/>
      <c r="EOZ22" s="1"/>
      <c r="EPA22" s="1"/>
      <c r="EPB22" s="1"/>
      <c r="EPC22" s="1"/>
      <c r="EPD22" s="1"/>
      <c r="EPE22" s="1"/>
      <c r="EPF22" s="1"/>
      <c r="EPG22" s="1"/>
      <c r="EPH22" s="1"/>
      <c r="EPI22" s="1"/>
      <c r="EPJ22" s="1"/>
      <c r="EPK22" s="1"/>
      <c r="EPL22" s="1"/>
      <c r="EPM22" s="1"/>
      <c r="EPN22" s="1"/>
      <c r="EPO22" s="1"/>
      <c r="EPP22" s="1"/>
      <c r="EPQ22" s="1"/>
      <c r="EPR22" s="1"/>
      <c r="EPS22" s="1"/>
      <c r="EPT22" s="1"/>
      <c r="EPU22" s="1"/>
      <c r="EPV22" s="1"/>
      <c r="EPW22" s="1"/>
      <c r="EPX22" s="1"/>
      <c r="EPY22" s="1"/>
      <c r="EPZ22" s="1"/>
      <c r="EQA22" s="1"/>
      <c r="EQB22" s="1"/>
      <c r="EQC22" s="1"/>
      <c r="EQD22" s="1"/>
      <c r="EQE22" s="1"/>
      <c r="EQF22" s="1"/>
      <c r="EQG22" s="1"/>
      <c r="EQH22" s="1"/>
      <c r="EQI22" s="1"/>
      <c r="EQJ22" s="1"/>
      <c r="EQK22" s="1"/>
      <c r="EQL22" s="1"/>
      <c r="EQM22" s="1"/>
      <c r="EQN22" s="1"/>
      <c r="EQO22" s="1"/>
      <c r="EQP22" s="1"/>
      <c r="EQQ22" s="1"/>
      <c r="EQR22" s="1"/>
      <c r="EQS22" s="1"/>
      <c r="EQT22" s="1"/>
      <c r="EQU22" s="1"/>
      <c r="EQV22" s="1"/>
      <c r="EQW22" s="1"/>
      <c r="EQX22" s="1"/>
      <c r="EQY22" s="1"/>
      <c r="EQZ22" s="1"/>
      <c r="ERA22" s="1"/>
      <c r="ERB22" s="1"/>
      <c r="ERC22" s="1"/>
      <c r="ERD22" s="1"/>
      <c r="ERE22" s="1"/>
      <c r="ERF22" s="1"/>
      <c r="ERG22" s="1"/>
      <c r="ERH22" s="1"/>
      <c r="ERI22" s="1"/>
      <c r="ERJ22" s="1"/>
      <c r="ERK22" s="1"/>
      <c r="ERL22" s="1"/>
      <c r="ERM22" s="1"/>
      <c r="ERN22" s="1"/>
      <c r="ERO22" s="1"/>
      <c r="ERP22" s="1"/>
      <c r="ERQ22" s="1"/>
      <c r="ERR22" s="1"/>
      <c r="ERS22" s="1"/>
      <c r="ERT22" s="1"/>
      <c r="ERU22" s="1"/>
      <c r="ERV22" s="1"/>
      <c r="ERW22" s="1"/>
      <c r="ERX22" s="1"/>
      <c r="ERY22" s="1"/>
      <c r="ERZ22" s="1"/>
      <c r="ESA22" s="1"/>
      <c r="ESB22" s="1"/>
      <c r="ESC22" s="1"/>
      <c r="ESD22" s="1"/>
      <c r="ESE22" s="1"/>
      <c r="ESF22" s="1"/>
      <c r="ESG22" s="1"/>
      <c r="ESH22" s="1"/>
      <c r="ESI22" s="1"/>
      <c r="ESJ22" s="1"/>
      <c r="ESK22" s="1"/>
      <c r="ESL22" s="1"/>
      <c r="ESM22" s="1"/>
      <c r="ESN22" s="1"/>
      <c r="ESO22" s="1"/>
      <c r="ESP22" s="1"/>
      <c r="ESQ22" s="1"/>
      <c r="ESR22" s="1"/>
      <c r="ESS22" s="1"/>
      <c r="EST22" s="1"/>
      <c r="ESU22" s="1"/>
      <c r="ESV22" s="1"/>
      <c r="ESW22" s="1"/>
      <c r="ESX22" s="1"/>
      <c r="ESY22" s="1"/>
      <c r="ESZ22" s="1"/>
      <c r="ETA22" s="1"/>
      <c r="ETB22" s="1"/>
      <c r="ETC22" s="1"/>
      <c r="ETD22" s="1"/>
      <c r="ETE22" s="1"/>
      <c r="ETF22" s="1"/>
      <c r="ETG22" s="1"/>
      <c r="ETH22" s="1"/>
      <c r="ETI22" s="1"/>
      <c r="ETJ22" s="1"/>
      <c r="ETK22" s="1"/>
      <c r="ETL22" s="1"/>
      <c r="ETM22" s="1"/>
      <c r="ETN22" s="1"/>
      <c r="ETO22" s="1"/>
      <c r="ETP22" s="1"/>
      <c r="ETQ22" s="1"/>
      <c r="ETR22" s="1"/>
      <c r="ETS22" s="1"/>
      <c r="ETT22" s="1"/>
      <c r="ETU22" s="1"/>
      <c r="ETV22" s="1"/>
      <c r="ETW22" s="1"/>
      <c r="ETX22" s="1"/>
      <c r="ETY22" s="1"/>
      <c r="ETZ22" s="1"/>
      <c r="EUA22" s="1"/>
      <c r="EUB22" s="1"/>
      <c r="EUC22" s="1"/>
      <c r="EUD22" s="1"/>
      <c r="EUE22" s="1"/>
      <c r="EUF22" s="1"/>
      <c r="EUG22" s="1"/>
      <c r="EUH22" s="1"/>
      <c r="EUI22" s="1"/>
      <c r="EUJ22" s="1"/>
      <c r="EUK22" s="1"/>
      <c r="EUL22" s="1"/>
      <c r="EUM22" s="1"/>
      <c r="EUN22" s="1"/>
      <c r="EUO22" s="1"/>
      <c r="EUP22" s="1"/>
      <c r="EUQ22" s="1"/>
      <c r="EUR22" s="1"/>
      <c r="EUS22" s="1"/>
      <c r="EUT22" s="1"/>
      <c r="EUU22" s="1"/>
      <c r="EUV22" s="1"/>
      <c r="EUW22" s="1"/>
      <c r="EUX22" s="1"/>
      <c r="EUY22" s="1"/>
      <c r="EUZ22" s="1"/>
      <c r="EVA22" s="1"/>
      <c r="EVB22" s="1"/>
      <c r="EVC22" s="1"/>
      <c r="EVD22" s="1"/>
      <c r="EVE22" s="1"/>
      <c r="EVF22" s="1"/>
      <c r="EVG22" s="1"/>
      <c r="EVH22" s="1"/>
      <c r="EVI22" s="1"/>
      <c r="EVJ22" s="1"/>
      <c r="EVK22" s="1"/>
      <c r="EVL22" s="1"/>
      <c r="EVM22" s="1"/>
      <c r="EVN22" s="1"/>
      <c r="EVO22" s="1"/>
      <c r="EVP22" s="1"/>
      <c r="EVQ22" s="1"/>
      <c r="EVR22" s="1"/>
      <c r="EVS22" s="1"/>
      <c r="EVT22" s="1"/>
      <c r="EVU22" s="1"/>
      <c r="EVV22" s="1"/>
      <c r="EVW22" s="1"/>
      <c r="EVX22" s="1"/>
      <c r="EVY22" s="1"/>
      <c r="EVZ22" s="1"/>
      <c r="EWA22" s="1"/>
      <c r="EWB22" s="1"/>
      <c r="EWC22" s="1"/>
      <c r="EWD22" s="1"/>
      <c r="EWE22" s="1"/>
      <c r="EWF22" s="1"/>
      <c r="EWG22" s="1"/>
      <c r="EWH22" s="1"/>
      <c r="EWI22" s="1"/>
      <c r="EWJ22" s="1"/>
      <c r="EWK22" s="1"/>
      <c r="EWL22" s="1"/>
      <c r="EWM22" s="1"/>
      <c r="EWN22" s="1"/>
      <c r="EWO22" s="1"/>
      <c r="EWP22" s="1"/>
      <c r="EWQ22" s="1"/>
      <c r="EWR22" s="1"/>
      <c r="EWS22" s="1"/>
      <c r="EWT22" s="1"/>
      <c r="EWU22" s="1"/>
      <c r="EWV22" s="1"/>
      <c r="EWW22" s="1"/>
      <c r="EWX22" s="1"/>
      <c r="EWY22" s="1"/>
      <c r="EWZ22" s="1"/>
      <c r="EXA22" s="1"/>
      <c r="EXB22" s="1"/>
      <c r="EXC22" s="1"/>
      <c r="EXD22" s="1"/>
      <c r="EXE22" s="1"/>
      <c r="EXF22" s="1"/>
      <c r="EXG22" s="1"/>
      <c r="EXH22" s="1"/>
      <c r="EXI22" s="1"/>
      <c r="EXJ22" s="1"/>
      <c r="EXK22" s="1"/>
      <c r="EXL22" s="1"/>
      <c r="EXM22" s="1"/>
      <c r="EXN22" s="1"/>
      <c r="EXO22" s="1"/>
      <c r="EXP22" s="1"/>
      <c r="EXQ22" s="1"/>
      <c r="EXR22" s="1"/>
      <c r="EXS22" s="1"/>
      <c r="EXT22" s="1"/>
      <c r="EXU22" s="1"/>
      <c r="EXV22" s="1"/>
      <c r="EXW22" s="1"/>
      <c r="EXX22" s="1"/>
      <c r="EXY22" s="1"/>
      <c r="EXZ22" s="1"/>
      <c r="EYA22" s="1"/>
      <c r="EYB22" s="1"/>
      <c r="EYC22" s="1"/>
      <c r="EYD22" s="1"/>
      <c r="EYE22" s="1"/>
      <c r="EYF22" s="1"/>
      <c r="EYG22" s="1"/>
      <c r="EYH22" s="1"/>
      <c r="EYI22" s="1"/>
      <c r="EYJ22" s="1"/>
      <c r="EYK22" s="1"/>
      <c r="EYL22" s="1"/>
      <c r="EYM22" s="1"/>
      <c r="EYN22" s="1"/>
      <c r="EYO22" s="1"/>
      <c r="EYP22" s="1"/>
      <c r="EYQ22" s="1"/>
      <c r="EYR22" s="1"/>
      <c r="EYS22" s="1"/>
      <c r="EYT22" s="1"/>
      <c r="EYU22" s="1"/>
      <c r="EYV22" s="1"/>
      <c r="EYW22" s="1"/>
      <c r="EYX22" s="1"/>
      <c r="EYY22" s="1"/>
      <c r="EYZ22" s="1"/>
      <c r="EZA22" s="1"/>
      <c r="EZB22" s="1"/>
      <c r="EZC22" s="1"/>
      <c r="EZD22" s="1"/>
      <c r="EZE22" s="1"/>
      <c r="EZF22" s="1"/>
      <c r="EZG22" s="1"/>
      <c r="EZH22" s="1"/>
      <c r="EZI22" s="1"/>
      <c r="EZJ22" s="1"/>
      <c r="EZK22" s="1"/>
      <c r="EZL22" s="1"/>
      <c r="EZM22" s="1"/>
      <c r="EZN22" s="1"/>
      <c r="EZO22" s="1"/>
      <c r="EZP22" s="1"/>
      <c r="EZQ22" s="1"/>
      <c r="EZR22" s="1"/>
      <c r="EZS22" s="1"/>
      <c r="EZT22" s="1"/>
      <c r="EZU22" s="1"/>
      <c r="EZV22" s="1"/>
      <c r="EZW22" s="1"/>
      <c r="EZX22" s="1"/>
      <c r="EZY22" s="1"/>
      <c r="EZZ22" s="1"/>
      <c r="FAA22" s="1"/>
      <c r="FAB22" s="1"/>
      <c r="FAC22" s="1"/>
      <c r="FAD22" s="1"/>
      <c r="FAE22" s="1"/>
      <c r="FAF22" s="1"/>
      <c r="FAG22" s="1"/>
      <c r="FAH22" s="1"/>
      <c r="FAI22" s="1"/>
      <c r="FAJ22" s="1"/>
      <c r="FAK22" s="1"/>
      <c r="FAL22" s="1"/>
      <c r="FAM22" s="1"/>
      <c r="FAN22" s="1"/>
      <c r="FAO22" s="1"/>
      <c r="FAP22" s="1"/>
      <c r="FAQ22" s="1"/>
      <c r="FAR22" s="1"/>
      <c r="FAS22" s="1"/>
      <c r="FAT22" s="1"/>
      <c r="FAU22" s="1"/>
      <c r="FAV22" s="1"/>
      <c r="FAW22" s="1"/>
      <c r="FAX22" s="1"/>
      <c r="FAY22" s="1"/>
      <c r="FAZ22" s="1"/>
      <c r="FBA22" s="1"/>
      <c r="FBB22" s="1"/>
      <c r="FBC22" s="1"/>
      <c r="FBD22" s="1"/>
      <c r="FBE22" s="1"/>
      <c r="FBF22" s="1"/>
      <c r="FBG22" s="1"/>
      <c r="FBH22" s="1"/>
      <c r="FBI22" s="1"/>
      <c r="FBJ22" s="1"/>
      <c r="FBK22" s="1"/>
      <c r="FBL22" s="1"/>
      <c r="FBM22" s="1"/>
      <c r="FBN22" s="1"/>
      <c r="FBO22" s="1"/>
      <c r="FBP22" s="1"/>
      <c r="FBQ22" s="1"/>
      <c r="FBR22" s="1"/>
      <c r="FBS22" s="1"/>
      <c r="FBT22" s="1"/>
      <c r="FBU22" s="1"/>
      <c r="FBV22" s="1"/>
      <c r="FBW22" s="1"/>
      <c r="FBX22" s="1"/>
      <c r="FBY22" s="1"/>
      <c r="FBZ22" s="1"/>
      <c r="FCA22" s="1"/>
      <c r="FCB22" s="1"/>
      <c r="FCC22" s="1"/>
      <c r="FCD22" s="1"/>
      <c r="FCE22" s="1"/>
      <c r="FCF22" s="1"/>
      <c r="FCG22" s="1"/>
      <c r="FCH22" s="1"/>
      <c r="FCI22" s="1"/>
      <c r="FCJ22" s="1"/>
      <c r="FCK22" s="1"/>
      <c r="FCL22" s="1"/>
      <c r="FCM22" s="1"/>
      <c r="FCN22" s="1"/>
      <c r="FCO22" s="1"/>
      <c r="FCP22" s="1"/>
      <c r="FCQ22" s="1"/>
      <c r="FCR22" s="1"/>
      <c r="FCS22" s="1"/>
      <c r="FCT22" s="1"/>
      <c r="FCU22" s="1"/>
      <c r="FCV22" s="1"/>
      <c r="FCW22" s="1"/>
      <c r="FCX22" s="1"/>
      <c r="FCY22" s="1"/>
      <c r="FCZ22" s="1"/>
      <c r="FDA22" s="1"/>
      <c r="FDB22" s="1"/>
      <c r="FDC22" s="1"/>
      <c r="FDD22" s="1"/>
      <c r="FDE22" s="1"/>
      <c r="FDF22" s="1"/>
      <c r="FDG22" s="1"/>
      <c r="FDH22" s="1"/>
      <c r="FDI22" s="1"/>
      <c r="FDJ22" s="1"/>
      <c r="FDK22" s="1"/>
      <c r="FDL22" s="1"/>
      <c r="FDM22" s="1"/>
      <c r="FDN22" s="1"/>
      <c r="FDO22" s="1"/>
      <c r="FDP22" s="1"/>
      <c r="FDQ22" s="1"/>
      <c r="FDR22" s="1"/>
      <c r="FDS22" s="1"/>
      <c r="FDT22" s="1"/>
      <c r="FDU22" s="1"/>
      <c r="FDV22" s="1"/>
      <c r="FDW22" s="1"/>
      <c r="FDX22" s="1"/>
      <c r="FDY22" s="1"/>
      <c r="FDZ22" s="1"/>
      <c r="FEA22" s="1"/>
      <c r="FEB22" s="1"/>
      <c r="FEC22" s="1"/>
      <c r="FED22" s="1"/>
      <c r="FEE22" s="1"/>
      <c r="FEF22" s="1"/>
      <c r="FEG22" s="1"/>
      <c r="FEH22" s="1"/>
      <c r="FEI22" s="1"/>
      <c r="FEJ22" s="1"/>
      <c r="FEK22" s="1"/>
      <c r="FEL22" s="1"/>
      <c r="FEM22" s="1"/>
      <c r="FEN22" s="1"/>
      <c r="FEO22" s="1"/>
      <c r="FEP22" s="1"/>
      <c r="FEQ22" s="1"/>
      <c r="FER22" s="1"/>
      <c r="FES22" s="1"/>
      <c r="FET22" s="1"/>
      <c r="FEU22" s="1"/>
      <c r="FEV22" s="1"/>
      <c r="FEW22" s="1"/>
      <c r="FEX22" s="1"/>
      <c r="FEY22" s="1"/>
      <c r="FEZ22" s="1"/>
      <c r="FFA22" s="1"/>
      <c r="FFB22" s="1"/>
      <c r="FFC22" s="1"/>
      <c r="FFD22" s="1"/>
      <c r="FFE22" s="1"/>
      <c r="FFF22" s="1"/>
      <c r="FFG22" s="1"/>
      <c r="FFH22" s="1"/>
      <c r="FFI22" s="1"/>
      <c r="FFJ22" s="1"/>
      <c r="FFK22" s="1"/>
      <c r="FFL22" s="1"/>
      <c r="FFM22" s="1"/>
      <c r="FFN22" s="1"/>
      <c r="FFO22" s="1"/>
      <c r="FFP22" s="1"/>
      <c r="FFQ22" s="1"/>
      <c r="FFR22" s="1"/>
      <c r="FFS22" s="1"/>
      <c r="FFT22" s="1"/>
      <c r="FFU22" s="1"/>
      <c r="FFV22" s="1"/>
      <c r="FFW22" s="1"/>
      <c r="FFX22" s="1"/>
      <c r="FFY22" s="1"/>
      <c r="FFZ22" s="1"/>
      <c r="FGA22" s="1"/>
      <c r="FGB22" s="1"/>
      <c r="FGC22" s="1"/>
      <c r="FGD22" s="1"/>
      <c r="FGE22" s="1"/>
      <c r="FGF22" s="1"/>
      <c r="FGG22" s="1"/>
      <c r="FGH22" s="1"/>
      <c r="FGI22" s="1"/>
      <c r="FGJ22" s="1"/>
      <c r="FGK22" s="1"/>
      <c r="FGL22" s="1"/>
      <c r="FGM22" s="1"/>
      <c r="FGN22" s="1"/>
      <c r="FGO22" s="1"/>
      <c r="FGP22" s="1"/>
      <c r="FGQ22" s="1"/>
      <c r="FGR22" s="1"/>
      <c r="FGS22" s="1"/>
      <c r="FGT22" s="1"/>
      <c r="FGU22" s="1"/>
      <c r="FGV22" s="1"/>
      <c r="FGW22" s="1"/>
      <c r="FGX22" s="1"/>
      <c r="FGY22" s="1"/>
      <c r="FGZ22" s="1"/>
      <c r="FHA22" s="1"/>
      <c r="FHB22" s="1"/>
      <c r="FHC22" s="1"/>
      <c r="FHD22" s="1"/>
      <c r="FHE22" s="1"/>
      <c r="FHF22" s="1"/>
      <c r="FHG22" s="1"/>
      <c r="FHH22" s="1"/>
      <c r="FHI22" s="1"/>
      <c r="FHJ22" s="1"/>
      <c r="FHK22" s="1"/>
      <c r="FHL22" s="1"/>
      <c r="FHM22" s="1"/>
      <c r="FHN22" s="1"/>
      <c r="FHO22" s="1"/>
      <c r="FHP22" s="1"/>
      <c r="FHQ22" s="1"/>
      <c r="FHR22" s="1"/>
      <c r="FHS22" s="1"/>
      <c r="FHT22" s="1"/>
      <c r="FHU22" s="1"/>
      <c r="FHV22" s="1"/>
      <c r="FHW22" s="1"/>
      <c r="FHX22" s="1"/>
      <c r="FHY22" s="1"/>
      <c r="FHZ22" s="1"/>
      <c r="FIA22" s="1"/>
      <c r="FIB22" s="1"/>
      <c r="FIC22" s="1"/>
      <c r="FID22" s="1"/>
      <c r="FIE22" s="1"/>
      <c r="FIF22" s="1"/>
      <c r="FIG22" s="1"/>
      <c r="FIH22" s="1"/>
      <c r="FII22" s="1"/>
      <c r="FIJ22" s="1"/>
      <c r="FIK22" s="1"/>
      <c r="FIL22" s="1"/>
      <c r="FIM22" s="1"/>
      <c r="FIN22" s="1"/>
      <c r="FIO22" s="1"/>
      <c r="FIP22" s="1"/>
      <c r="FIQ22" s="1"/>
      <c r="FIR22" s="1"/>
      <c r="FIS22" s="1"/>
      <c r="FIT22" s="1"/>
      <c r="FIU22" s="1"/>
      <c r="FIV22" s="1"/>
      <c r="FIW22" s="1"/>
      <c r="FIX22" s="1"/>
      <c r="FIY22" s="1"/>
      <c r="FIZ22" s="1"/>
      <c r="FJA22" s="1"/>
      <c r="FJB22" s="1"/>
      <c r="FJC22" s="1"/>
      <c r="FJD22" s="1"/>
      <c r="FJE22" s="1"/>
      <c r="FJF22" s="1"/>
      <c r="FJG22" s="1"/>
      <c r="FJH22" s="1"/>
      <c r="FJI22" s="1"/>
      <c r="FJJ22" s="1"/>
      <c r="FJK22" s="1"/>
      <c r="FJL22" s="1"/>
      <c r="FJM22" s="1"/>
      <c r="FJN22" s="1"/>
      <c r="FJO22" s="1"/>
      <c r="FJP22" s="1"/>
      <c r="FJQ22" s="1"/>
      <c r="FJR22" s="1"/>
      <c r="FJS22" s="1"/>
      <c r="FJT22" s="1"/>
      <c r="FJU22" s="1"/>
      <c r="FJV22" s="1"/>
      <c r="FJW22" s="1"/>
      <c r="FJX22" s="1"/>
      <c r="FJY22" s="1"/>
      <c r="FJZ22" s="1"/>
      <c r="FKA22" s="1"/>
      <c r="FKB22" s="1"/>
      <c r="FKC22" s="1"/>
      <c r="FKD22" s="1"/>
      <c r="FKE22" s="1"/>
      <c r="FKF22" s="1"/>
      <c r="FKG22" s="1"/>
      <c r="FKH22" s="1"/>
      <c r="FKI22" s="1"/>
      <c r="FKJ22" s="1"/>
      <c r="FKK22" s="1"/>
      <c r="FKL22" s="1"/>
      <c r="FKM22" s="1"/>
      <c r="FKN22" s="1"/>
      <c r="FKO22" s="1"/>
      <c r="FKP22" s="1"/>
      <c r="FKQ22" s="1"/>
      <c r="FKR22" s="1"/>
      <c r="FKS22" s="1"/>
      <c r="FKT22" s="1"/>
      <c r="FKU22" s="1"/>
      <c r="FKV22" s="1"/>
      <c r="FKW22" s="1"/>
      <c r="FKX22" s="1"/>
      <c r="FKY22" s="1"/>
      <c r="FKZ22" s="1"/>
      <c r="FLA22" s="1"/>
      <c r="FLB22" s="1"/>
      <c r="FLC22" s="1"/>
      <c r="FLD22" s="1"/>
      <c r="FLE22" s="1"/>
      <c r="FLF22" s="1"/>
      <c r="FLG22" s="1"/>
      <c r="FLH22" s="1"/>
      <c r="FLI22" s="1"/>
      <c r="FLJ22" s="1"/>
      <c r="FLK22" s="1"/>
      <c r="FLL22" s="1"/>
      <c r="FLM22" s="1"/>
      <c r="FLN22" s="1"/>
      <c r="FLO22" s="1"/>
      <c r="FLP22" s="1"/>
      <c r="FLQ22" s="1"/>
      <c r="FLR22" s="1"/>
      <c r="FLS22" s="1"/>
      <c r="FLT22" s="1"/>
      <c r="FLU22" s="1"/>
      <c r="FLV22" s="1"/>
      <c r="FLW22" s="1"/>
      <c r="FLX22" s="1"/>
      <c r="FLY22" s="1"/>
      <c r="FLZ22" s="1"/>
      <c r="FMA22" s="1"/>
      <c r="FMB22" s="1"/>
      <c r="FMC22" s="1"/>
      <c r="FMD22" s="1"/>
      <c r="FME22" s="1"/>
      <c r="FMF22" s="1"/>
      <c r="FMG22" s="1"/>
      <c r="FMH22" s="1"/>
      <c r="FMI22" s="1"/>
      <c r="FMJ22" s="1"/>
      <c r="FMK22" s="1"/>
      <c r="FML22" s="1"/>
      <c r="FMM22" s="1"/>
      <c r="FMN22" s="1"/>
      <c r="FMO22" s="1"/>
      <c r="FMP22" s="1"/>
      <c r="FMQ22" s="1"/>
      <c r="FMR22" s="1"/>
      <c r="FMS22" s="1"/>
      <c r="FMT22" s="1"/>
      <c r="FMU22" s="1"/>
      <c r="FMV22" s="1"/>
      <c r="FMW22" s="1"/>
      <c r="FMX22" s="1"/>
      <c r="FMY22" s="1"/>
      <c r="FMZ22" s="1"/>
      <c r="FNA22" s="1"/>
      <c r="FNB22" s="1"/>
      <c r="FNC22" s="1"/>
      <c r="FND22" s="1"/>
      <c r="FNE22" s="1"/>
      <c r="FNF22" s="1"/>
      <c r="FNG22" s="1"/>
      <c r="FNH22" s="1"/>
      <c r="FNI22" s="1"/>
      <c r="FNJ22" s="1"/>
      <c r="FNK22" s="1"/>
      <c r="FNL22" s="1"/>
      <c r="FNM22" s="1"/>
      <c r="FNN22" s="1"/>
      <c r="FNO22" s="1"/>
      <c r="FNP22" s="1"/>
      <c r="FNQ22" s="1"/>
      <c r="FNR22" s="1"/>
      <c r="FNS22" s="1"/>
      <c r="FNT22" s="1"/>
      <c r="FNU22" s="1"/>
      <c r="FNV22" s="1"/>
      <c r="FNW22" s="1"/>
      <c r="FNX22" s="1"/>
      <c r="FNY22" s="1"/>
      <c r="FNZ22" s="1"/>
      <c r="FOA22" s="1"/>
      <c r="FOB22" s="1"/>
      <c r="FOC22" s="1"/>
      <c r="FOD22" s="1"/>
      <c r="FOE22" s="1"/>
      <c r="FOF22" s="1"/>
      <c r="FOG22" s="1"/>
      <c r="FOH22" s="1"/>
      <c r="FOI22" s="1"/>
      <c r="FOJ22" s="1"/>
      <c r="FOK22" s="1"/>
      <c r="FOL22" s="1"/>
      <c r="FOM22" s="1"/>
      <c r="FON22" s="1"/>
      <c r="FOO22" s="1"/>
      <c r="FOP22" s="1"/>
      <c r="FOQ22" s="1"/>
      <c r="FOR22" s="1"/>
      <c r="FOS22" s="1"/>
      <c r="FOT22" s="1"/>
      <c r="FOU22" s="1"/>
      <c r="FOV22" s="1"/>
      <c r="FOW22" s="1"/>
      <c r="FOX22" s="1"/>
      <c r="FOY22" s="1"/>
      <c r="FOZ22" s="1"/>
      <c r="FPA22" s="1"/>
      <c r="FPB22" s="1"/>
      <c r="FPC22" s="1"/>
      <c r="FPD22" s="1"/>
      <c r="FPE22" s="1"/>
      <c r="FPF22" s="1"/>
      <c r="FPG22" s="1"/>
      <c r="FPH22" s="1"/>
      <c r="FPI22" s="1"/>
      <c r="FPJ22" s="1"/>
      <c r="FPK22" s="1"/>
      <c r="FPL22" s="1"/>
      <c r="FPM22" s="1"/>
      <c r="FPN22" s="1"/>
      <c r="FPO22" s="1"/>
      <c r="FPP22" s="1"/>
      <c r="FPQ22" s="1"/>
      <c r="FPR22" s="1"/>
      <c r="FPS22" s="1"/>
      <c r="FPT22" s="1"/>
      <c r="FPU22" s="1"/>
      <c r="FPV22" s="1"/>
      <c r="FPW22" s="1"/>
      <c r="FPX22" s="1"/>
      <c r="FPY22" s="1"/>
      <c r="FPZ22" s="1"/>
      <c r="FQA22" s="1"/>
      <c r="FQB22" s="1"/>
      <c r="FQC22" s="1"/>
      <c r="FQD22" s="1"/>
      <c r="FQE22" s="1"/>
      <c r="FQF22" s="1"/>
      <c r="FQG22" s="1"/>
      <c r="FQH22" s="1"/>
      <c r="FQI22" s="1"/>
      <c r="FQJ22" s="1"/>
      <c r="FQK22" s="1"/>
      <c r="FQL22" s="1"/>
      <c r="FQM22" s="1"/>
      <c r="FQN22" s="1"/>
      <c r="FQO22" s="1"/>
      <c r="FQP22" s="1"/>
      <c r="FQQ22" s="1"/>
      <c r="FQR22" s="1"/>
      <c r="FQS22" s="1"/>
      <c r="FQT22" s="1"/>
      <c r="FQU22" s="1"/>
      <c r="FQV22" s="1"/>
      <c r="FQW22" s="1"/>
      <c r="FQX22" s="1"/>
      <c r="FQY22" s="1"/>
      <c r="FQZ22" s="1"/>
      <c r="FRA22" s="1"/>
      <c r="FRB22" s="1"/>
      <c r="FRC22" s="1"/>
      <c r="FRD22" s="1"/>
      <c r="FRE22" s="1"/>
      <c r="FRF22" s="1"/>
      <c r="FRG22" s="1"/>
      <c r="FRH22" s="1"/>
      <c r="FRI22" s="1"/>
      <c r="FRJ22" s="1"/>
      <c r="FRK22" s="1"/>
      <c r="FRL22" s="1"/>
      <c r="FRM22" s="1"/>
      <c r="FRN22" s="1"/>
      <c r="FRO22" s="1"/>
      <c r="FRP22" s="1"/>
      <c r="FRQ22" s="1"/>
      <c r="FRR22" s="1"/>
      <c r="FRS22" s="1"/>
      <c r="FRT22" s="1"/>
      <c r="FRU22" s="1"/>
      <c r="FRV22" s="1"/>
      <c r="FRW22" s="1"/>
      <c r="FRX22" s="1"/>
      <c r="FRY22" s="1"/>
      <c r="FRZ22" s="1"/>
      <c r="FSA22" s="1"/>
      <c r="FSB22" s="1"/>
      <c r="FSC22" s="1"/>
      <c r="FSD22" s="1"/>
      <c r="FSE22" s="1"/>
      <c r="FSF22" s="1"/>
      <c r="FSG22" s="1"/>
      <c r="FSH22" s="1"/>
      <c r="FSI22" s="1"/>
      <c r="FSJ22" s="1"/>
      <c r="FSK22" s="1"/>
      <c r="FSL22" s="1"/>
      <c r="FSM22" s="1"/>
      <c r="FSN22" s="1"/>
      <c r="FSO22" s="1"/>
      <c r="FSP22" s="1"/>
      <c r="FSQ22" s="1"/>
      <c r="FSR22" s="1"/>
      <c r="FSS22" s="1"/>
      <c r="FST22" s="1"/>
      <c r="FSU22" s="1"/>
      <c r="FSV22" s="1"/>
      <c r="FSW22" s="1"/>
      <c r="FSX22" s="1"/>
      <c r="FSY22" s="1"/>
      <c r="FSZ22" s="1"/>
      <c r="FTA22" s="1"/>
      <c r="FTB22" s="1"/>
      <c r="FTC22" s="1"/>
      <c r="FTD22" s="1"/>
      <c r="FTE22" s="1"/>
      <c r="FTF22" s="1"/>
      <c r="FTG22" s="1"/>
      <c r="FTH22" s="1"/>
      <c r="FTI22" s="1"/>
      <c r="FTJ22" s="1"/>
      <c r="FTK22" s="1"/>
      <c r="FTL22" s="1"/>
      <c r="FTM22" s="1"/>
      <c r="FTN22" s="1"/>
      <c r="FTO22" s="1"/>
      <c r="FTP22" s="1"/>
      <c r="FTQ22" s="1"/>
      <c r="FTR22" s="1"/>
      <c r="FTS22" s="1"/>
      <c r="FTT22" s="1"/>
      <c r="FTU22" s="1"/>
      <c r="FTV22" s="1"/>
      <c r="FTW22" s="1"/>
      <c r="FTX22" s="1"/>
      <c r="FTY22" s="1"/>
      <c r="FTZ22" s="1"/>
      <c r="FUA22" s="1"/>
      <c r="FUB22" s="1"/>
      <c r="FUC22" s="1"/>
      <c r="FUD22" s="1"/>
      <c r="FUE22" s="1"/>
      <c r="FUF22" s="1"/>
      <c r="FUG22" s="1"/>
      <c r="FUH22" s="1"/>
      <c r="FUI22" s="1"/>
      <c r="FUJ22" s="1"/>
      <c r="FUK22" s="1"/>
      <c r="FUL22" s="1"/>
      <c r="FUM22" s="1"/>
      <c r="FUN22" s="1"/>
      <c r="FUO22" s="1"/>
      <c r="FUP22" s="1"/>
      <c r="FUQ22" s="1"/>
      <c r="FUR22" s="1"/>
      <c r="FUS22" s="1"/>
      <c r="FUT22" s="1"/>
      <c r="FUU22" s="1"/>
      <c r="FUV22" s="1"/>
      <c r="FUW22" s="1"/>
      <c r="FUX22" s="1"/>
      <c r="FUY22" s="1"/>
      <c r="FUZ22" s="1"/>
      <c r="FVA22" s="1"/>
      <c r="FVB22" s="1"/>
      <c r="FVC22" s="1"/>
      <c r="FVD22" s="1"/>
      <c r="FVE22" s="1"/>
      <c r="FVF22" s="1"/>
      <c r="FVG22" s="1"/>
      <c r="FVH22" s="1"/>
      <c r="FVI22" s="1"/>
      <c r="FVJ22" s="1"/>
      <c r="FVK22" s="1"/>
      <c r="FVL22" s="1"/>
      <c r="FVM22" s="1"/>
      <c r="FVN22" s="1"/>
      <c r="FVO22" s="1"/>
      <c r="FVP22" s="1"/>
      <c r="FVQ22" s="1"/>
      <c r="FVR22" s="1"/>
      <c r="FVS22" s="1"/>
      <c r="FVT22" s="1"/>
      <c r="FVU22" s="1"/>
      <c r="FVV22" s="1"/>
      <c r="FVW22" s="1"/>
      <c r="FVX22" s="1"/>
      <c r="FVY22" s="1"/>
      <c r="FVZ22" s="1"/>
      <c r="FWA22" s="1"/>
      <c r="FWB22" s="1"/>
      <c r="FWC22" s="1"/>
      <c r="FWD22" s="1"/>
      <c r="FWE22" s="1"/>
      <c r="FWF22" s="1"/>
      <c r="FWG22" s="1"/>
      <c r="FWH22" s="1"/>
      <c r="FWI22" s="1"/>
      <c r="FWJ22" s="1"/>
      <c r="FWK22" s="1"/>
      <c r="FWL22" s="1"/>
      <c r="FWM22" s="1"/>
      <c r="FWN22" s="1"/>
      <c r="FWO22" s="1"/>
      <c r="FWP22" s="1"/>
      <c r="FWQ22" s="1"/>
      <c r="FWR22" s="1"/>
      <c r="FWS22" s="1"/>
      <c r="FWT22" s="1"/>
      <c r="FWU22" s="1"/>
      <c r="FWV22" s="1"/>
      <c r="FWW22" s="1"/>
      <c r="FWX22" s="1"/>
      <c r="FWY22" s="1"/>
      <c r="FWZ22" s="1"/>
      <c r="FXA22" s="1"/>
      <c r="FXB22" s="1"/>
      <c r="FXC22" s="1"/>
      <c r="FXD22" s="1"/>
      <c r="FXE22" s="1"/>
      <c r="FXF22" s="1"/>
      <c r="FXG22" s="1"/>
      <c r="FXH22" s="1"/>
      <c r="FXI22" s="1"/>
      <c r="FXJ22" s="1"/>
      <c r="FXK22" s="1"/>
      <c r="FXL22" s="1"/>
      <c r="FXM22" s="1"/>
      <c r="FXN22" s="1"/>
      <c r="FXO22" s="1"/>
      <c r="FXP22" s="1"/>
      <c r="FXQ22" s="1"/>
      <c r="FXR22" s="1"/>
      <c r="FXS22" s="1"/>
      <c r="FXT22" s="1"/>
      <c r="FXU22" s="1"/>
      <c r="FXV22" s="1"/>
      <c r="FXW22" s="1"/>
      <c r="FXX22" s="1"/>
      <c r="FXY22" s="1"/>
      <c r="FXZ22" s="1"/>
      <c r="FYA22" s="1"/>
      <c r="FYB22" s="1"/>
      <c r="FYC22" s="1"/>
      <c r="FYD22" s="1"/>
      <c r="FYE22" s="1"/>
      <c r="FYF22" s="1"/>
      <c r="FYG22" s="1"/>
      <c r="FYH22" s="1"/>
      <c r="FYI22" s="1"/>
      <c r="FYJ22" s="1"/>
      <c r="FYK22" s="1"/>
      <c r="FYL22" s="1"/>
      <c r="FYM22" s="1"/>
      <c r="FYN22" s="1"/>
      <c r="FYO22" s="1"/>
      <c r="FYP22" s="1"/>
      <c r="FYQ22" s="1"/>
      <c r="FYR22" s="1"/>
      <c r="FYS22" s="1"/>
      <c r="FYT22" s="1"/>
      <c r="FYU22" s="1"/>
      <c r="FYV22" s="1"/>
      <c r="FYW22" s="1"/>
      <c r="FYX22" s="1"/>
      <c r="FYY22" s="1"/>
      <c r="FYZ22" s="1"/>
      <c r="FZA22" s="1"/>
      <c r="FZB22" s="1"/>
      <c r="FZC22" s="1"/>
      <c r="FZD22" s="1"/>
      <c r="FZE22" s="1"/>
      <c r="FZF22" s="1"/>
      <c r="FZG22" s="1"/>
      <c r="FZH22" s="1"/>
      <c r="FZI22" s="1"/>
      <c r="FZJ22" s="1"/>
      <c r="FZK22" s="1"/>
      <c r="FZL22" s="1"/>
      <c r="FZM22" s="1"/>
      <c r="FZN22" s="1"/>
      <c r="FZO22" s="1"/>
      <c r="FZP22" s="1"/>
      <c r="FZQ22" s="1"/>
      <c r="FZR22" s="1"/>
      <c r="FZS22" s="1"/>
      <c r="FZT22" s="1"/>
      <c r="FZU22" s="1"/>
      <c r="FZV22" s="1"/>
      <c r="FZW22" s="1"/>
      <c r="FZX22" s="1"/>
      <c r="FZY22" s="1"/>
      <c r="FZZ22" s="1"/>
      <c r="GAA22" s="1"/>
      <c r="GAB22" s="1"/>
      <c r="GAC22" s="1"/>
      <c r="GAD22" s="1"/>
      <c r="GAE22" s="1"/>
      <c r="GAF22" s="1"/>
      <c r="GAG22" s="1"/>
      <c r="GAH22" s="1"/>
      <c r="GAI22" s="1"/>
      <c r="GAJ22" s="1"/>
      <c r="GAK22" s="1"/>
      <c r="GAL22" s="1"/>
      <c r="GAM22" s="1"/>
      <c r="GAN22" s="1"/>
      <c r="GAO22" s="1"/>
      <c r="GAP22" s="1"/>
      <c r="GAQ22" s="1"/>
      <c r="GAR22" s="1"/>
      <c r="GAS22" s="1"/>
      <c r="GAT22" s="1"/>
      <c r="GAU22" s="1"/>
      <c r="GAV22" s="1"/>
      <c r="GAW22" s="1"/>
      <c r="GAX22" s="1"/>
      <c r="GAY22" s="1"/>
      <c r="GAZ22" s="1"/>
      <c r="GBA22" s="1"/>
      <c r="GBB22" s="1"/>
      <c r="GBC22" s="1"/>
      <c r="GBD22" s="1"/>
      <c r="GBE22" s="1"/>
      <c r="GBF22" s="1"/>
      <c r="GBG22" s="1"/>
      <c r="GBH22" s="1"/>
      <c r="GBI22" s="1"/>
      <c r="GBJ22" s="1"/>
      <c r="GBK22" s="1"/>
      <c r="GBL22" s="1"/>
      <c r="GBM22" s="1"/>
      <c r="GBN22" s="1"/>
      <c r="GBO22" s="1"/>
      <c r="GBP22" s="1"/>
      <c r="GBQ22" s="1"/>
      <c r="GBR22" s="1"/>
      <c r="GBS22" s="1"/>
      <c r="GBT22" s="1"/>
      <c r="GBU22" s="1"/>
      <c r="GBV22" s="1"/>
      <c r="GBW22" s="1"/>
      <c r="GBX22" s="1"/>
      <c r="GBY22" s="1"/>
      <c r="GBZ22" s="1"/>
      <c r="GCA22" s="1"/>
      <c r="GCB22" s="1"/>
      <c r="GCC22" s="1"/>
      <c r="GCD22" s="1"/>
      <c r="GCE22" s="1"/>
      <c r="GCF22" s="1"/>
      <c r="GCG22" s="1"/>
      <c r="GCH22" s="1"/>
      <c r="GCI22" s="1"/>
      <c r="GCJ22" s="1"/>
      <c r="GCK22" s="1"/>
      <c r="GCL22" s="1"/>
      <c r="GCM22" s="1"/>
      <c r="GCN22" s="1"/>
      <c r="GCO22" s="1"/>
      <c r="GCP22" s="1"/>
      <c r="GCQ22" s="1"/>
      <c r="GCR22" s="1"/>
      <c r="GCS22" s="1"/>
      <c r="GCT22" s="1"/>
      <c r="GCU22" s="1"/>
      <c r="GCV22" s="1"/>
      <c r="GCW22" s="1"/>
      <c r="GCX22" s="1"/>
      <c r="GCY22" s="1"/>
      <c r="GCZ22" s="1"/>
      <c r="GDA22" s="1"/>
      <c r="GDB22" s="1"/>
      <c r="GDC22" s="1"/>
      <c r="GDD22" s="1"/>
      <c r="GDE22" s="1"/>
      <c r="GDF22" s="1"/>
      <c r="GDG22" s="1"/>
      <c r="GDH22" s="1"/>
      <c r="GDI22" s="1"/>
      <c r="GDJ22" s="1"/>
      <c r="GDK22" s="1"/>
      <c r="GDL22" s="1"/>
      <c r="GDM22" s="1"/>
      <c r="GDN22" s="1"/>
      <c r="GDO22" s="1"/>
      <c r="GDP22" s="1"/>
      <c r="GDQ22" s="1"/>
      <c r="GDR22" s="1"/>
      <c r="GDS22" s="1"/>
      <c r="GDT22" s="1"/>
      <c r="GDU22" s="1"/>
      <c r="GDV22" s="1"/>
      <c r="GDW22" s="1"/>
      <c r="GDX22" s="1"/>
      <c r="GDY22" s="1"/>
      <c r="GDZ22" s="1"/>
      <c r="GEA22" s="1"/>
      <c r="GEB22" s="1"/>
      <c r="GEC22" s="1"/>
      <c r="GED22" s="1"/>
      <c r="GEE22" s="1"/>
      <c r="GEF22" s="1"/>
      <c r="GEG22" s="1"/>
      <c r="GEH22" s="1"/>
      <c r="GEI22" s="1"/>
      <c r="GEJ22" s="1"/>
      <c r="GEK22" s="1"/>
      <c r="GEL22" s="1"/>
      <c r="GEM22" s="1"/>
      <c r="GEN22" s="1"/>
      <c r="GEO22" s="1"/>
      <c r="GEP22" s="1"/>
      <c r="GEQ22" s="1"/>
      <c r="GER22" s="1"/>
      <c r="GES22" s="1"/>
      <c r="GET22" s="1"/>
      <c r="GEU22" s="1"/>
      <c r="GEV22" s="1"/>
      <c r="GEW22" s="1"/>
      <c r="GEX22" s="1"/>
      <c r="GEY22" s="1"/>
      <c r="GEZ22" s="1"/>
      <c r="GFA22" s="1"/>
      <c r="GFB22" s="1"/>
      <c r="GFC22" s="1"/>
      <c r="GFD22" s="1"/>
      <c r="GFE22" s="1"/>
      <c r="GFF22" s="1"/>
      <c r="GFG22" s="1"/>
      <c r="GFH22" s="1"/>
      <c r="GFI22" s="1"/>
      <c r="GFJ22" s="1"/>
      <c r="GFK22" s="1"/>
      <c r="GFL22" s="1"/>
      <c r="GFM22" s="1"/>
      <c r="GFN22" s="1"/>
      <c r="GFO22" s="1"/>
      <c r="GFP22" s="1"/>
      <c r="GFQ22" s="1"/>
      <c r="GFR22" s="1"/>
      <c r="GFS22" s="1"/>
      <c r="GFT22" s="1"/>
      <c r="GFU22" s="1"/>
      <c r="GFV22" s="1"/>
      <c r="GFW22" s="1"/>
      <c r="GFX22" s="1"/>
      <c r="GFY22" s="1"/>
      <c r="GFZ22" s="1"/>
      <c r="GGA22" s="1"/>
      <c r="GGB22" s="1"/>
      <c r="GGC22" s="1"/>
      <c r="GGD22" s="1"/>
      <c r="GGE22" s="1"/>
      <c r="GGF22" s="1"/>
      <c r="GGG22" s="1"/>
      <c r="GGH22" s="1"/>
      <c r="GGI22" s="1"/>
      <c r="GGJ22" s="1"/>
      <c r="GGK22" s="1"/>
      <c r="GGL22" s="1"/>
      <c r="GGM22" s="1"/>
      <c r="GGN22" s="1"/>
      <c r="GGO22" s="1"/>
      <c r="GGP22" s="1"/>
      <c r="GGQ22" s="1"/>
      <c r="GGR22" s="1"/>
      <c r="GGS22" s="1"/>
      <c r="GGT22" s="1"/>
      <c r="GGU22" s="1"/>
      <c r="GGV22" s="1"/>
      <c r="GGW22" s="1"/>
      <c r="GGX22" s="1"/>
      <c r="GGY22" s="1"/>
      <c r="GGZ22" s="1"/>
      <c r="GHA22" s="1"/>
      <c r="GHB22" s="1"/>
      <c r="GHC22" s="1"/>
      <c r="GHD22" s="1"/>
      <c r="GHE22" s="1"/>
      <c r="GHF22" s="1"/>
      <c r="GHG22" s="1"/>
      <c r="GHH22" s="1"/>
      <c r="GHI22" s="1"/>
      <c r="GHJ22" s="1"/>
      <c r="GHK22" s="1"/>
      <c r="GHL22" s="1"/>
      <c r="GHM22" s="1"/>
      <c r="GHN22" s="1"/>
      <c r="GHO22" s="1"/>
      <c r="GHP22" s="1"/>
      <c r="GHQ22" s="1"/>
      <c r="GHR22" s="1"/>
      <c r="GHS22" s="1"/>
      <c r="GHT22" s="1"/>
      <c r="GHU22" s="1"/>
      <c r="GHV22" s="1"/>
      <c r="GHW22" s="1"/>
      <c r="GHX22" s="1"/>
      <c r="GHY22" s="1"/>
      <c r="GHZ22" s="1"/>
      <c r="GIA22" s="1"/>
      <c r="GIB22" s="1"/>
      <c r="GIC22" s="1"/>
      <c r="GID22" s="1"/>
      <c r="GIE22" s="1"/>
      <c r="GIF22" s="1"/>
      <c r="GIG22" s="1"/>
      <c r="GIH22" s="1"/>
      <c r="GII22" s="1"/>
      <c r="GIJ22" s="1"/>
      <c r="GIK22" s="1"/>
      <c r="GIL22" s="1"/>
      <c r="GIM22" s="1"/>
      <c r="GIN22" s="1"/>
      <c r="GIO22" s="1"/>
      <c r="GIP22" s="1"/>
      <c r="GIQ22" s="1"/>
      <c r="GIR22" s="1"/>
      <c r="GIS22" s="1"/>
      <c r="GIT22" s="1"/>
      <c r="GIU22" s="1"/>
      <c r="GIV22" s="1"/>
      <c r="GIW22" s="1"/>
      <c r="GIX22" s="1"/>
      <c r="GIY22" s="1"/>
      <c r="GIZ22" s="1"/>
      <c r="GJA22" s="1"/>
      <c r="GJB22" s="1"/>
      <c r="GJC22" s="1"/>
      <c r="GJD22" s="1"/>
      <c r="GJE22" s="1"/>
      <c r="GJF22" s="1"/>
      <c r="GJG22" s="1"/>
      <c r="GJH22" s="1"/>
      <c r="GJI22" s="1"/>
      <c r="GJJ22" s="1"/>
      <c r="GJK22" s="1"/>
      <c r="GJL22" s="1"/>
      <c r="GJM22" s="1"/>
      <c r="GJN22" s="1"/>
      <c r="GJO22" s="1"/>
      <c r="GJP22" s="1"/>
      <c r="GJQ22" s="1"/>
      <c r="GJR22" s="1"/>
      <c r="GJS22" s="1"/>
      <c r="GJT22" s="1"/>
      <c r="GJU22" s="1"/>
      <c r="GJV22" s="1"/>
      <c r="GJW22" s="1"/>
      <c r="GJX22" s="1"/>
      <c r="GJY22" s="1"/>
      <c r="GJZ22" s="1"/>
      <c r="GKA22" s="1"/>
      <c r="GKB22" s="1"/>
      <c r="GKC22" s="1"/>
      <c r="GKD22" s="1"/>
      <c r="GKE22" s="1"/>
      <c r="GKF22" s="1"/>
      <c r="GKG22" s="1"/>
      <c r="GKH22" s="1"/>
      <c r="GKI22" s="1"/>
      <c r="GKJ22" s="1"/>
      <c r="GKK22" s="1"/>
      <c r="GKL22" s="1"/>
      <c r="GKM22" s="1"/>
      <c r="GKN22" s="1"/>
      <c r="GKO22" s="1"/>
      <c r="GKP22" s="1"/>
      <c r="GKQ22" s="1"/>
      <c r="GKR22" s="1"/>
      <c r="GKS22" s="1"/>
      <c r="GKT22" s="1"/>
      <c r="GKU22" s="1"/>
      <c r="GKV22" s="1"/>
      <c r="GKW22" s="1"/>
      <c r="GKX22" s="1"/>
      <c r="GKY22" s="1"/>
      <c r="GKZ22" s="1"/>
      <c r="GLA22" s="1"/>
      <c r="GLB22" s="1"/>
      <c r="GLC22" s="1"/>
      <c r="GLD22" s="1"/>
      <c r="GLE22" s="1"/>
      <c r="GLF22" s="1"/>
      <c r="GLG22" s="1"/>
      <c r="GLH22" s="1"/>
      <c r="GLI22" s="1"/>
      <c r="GLJ22" s="1"/>
      <c r="GLK22" s="1"/>
      <c r="GLL22" s="1"/>
      <c r="GLM22" s="1"/>
      <c r="GLN22" s="1"/>
      <c r="GLO22" s="1"/>
      <c r="GLP22" s="1"/>
      <c r="GLQ22" s="1"/>
      <c r="GLR22" s="1"/>
      <c r="GLS22" s="1"/>
      <c r="GLT22" s="1"/>
      <c r="GLU22" s="1"/>
      <c r="GLV22" s="1"/>
      <c r="GLW22" s="1"/>
      <c r="GLX22" s="1"/>
      <c r="GLY22" s="1"/>
      <c r="GLZ22" s="1"/>
      <c r="GMA22" s="1"/>
      <c r="GMB22" s="1"/>
      <c r="GMC22" s="1"/>
      <c r="GMD22" s="1"/>
      <c r="GME22" s="1"/>
      <c r="GMF22" s="1"/>
      <c r="GMG22" s="1"/>
      <c r="GMH22" s="1"/>
      <c r="GMI22" s="1"/>
      <c r="GMJ22" s="1"/>
      <c r="GMK22" s="1"/>
      <c r="GML22" s="1"/>
      <c r="GMM22" s="1"/>
      <c r="GMN22" s="1"/>
      <c r="GMO22" s="1"/>
      <c r="GMP22" s="1"/>
      <c r="GMQ22" s="1"/>
      <c r="GMR22" s="1"/>
      <c r="GMS22" s="1"/>
      <c r="GMT22" s="1"/>
      <c r="GMU22" s="1"/>
      <c r="GMV22" s="1"/>
      <c r="GMW22" s="1"/>
      <c r="GMX22" s="1"/>
      <c r="GMY22" s="1"/>
      <c r="GMZ22" s="1"/>
      <c r="GNA22" s="1"/>
      <c r="GNB22" s="1"/>
      <c r="GNC22" s="1"/>
      <c r="GND22" s="1"/>
      <c r="GNE22" s="1"/>
      <c r="GNF22" s="1"/>
      <c r="GNG22" s="1"/>
      <c r="GNH22" s="1"/>
      <c r="GNI22" s="1"/>
      <c r="GNJ22" s="1"/>
      <c r="GNK22" s="1"/>
      <c r="GNL22" s="1"/>
      <c r="GNM22" s="1"/>
      <c r="GNN22" s="1"/>
      <c r="GNO22" s="1"/>
      <c r="GNP22" s="1"/>
      <c r="GNQ22" s="1"/>
      <c r="GNR22" s="1"/>
      <c r="GNS22" s="1"/>
      <c r="GNT22" s="1"/>
      <c r="GNU22" s="1"/>
      <c r="GNV22" s="1"/>
      <c r="GNW22" s="1"/>
      <c r="GNX22" s="1"/>
      <c r="GNY22" s="1"/>
      <c r="GNZ22" s="1"/>
      <c r="GOA22" s="1"/>
      <c r="GOB22" s="1"/>
      <c r="GOC22" s="1"/>
      <c r="GOD22" s="1"/>
      <c r="GOE22" s="1"/>
      <c r="GOF22" s="1"/>
      <c r="GOG22" s="1"/>
      <c r="GOH22" s="1"/>
      <c r="GOI22" s="1"/>
      <c r="GOJ22" s="1"/>
      <c r="GOK22" s="1"/>
      <c r="GOL22" s="1"/>
      <c r="GOM22" s="1"/>
      <c r="GON22" s="1"/>
      <c r="GOO22" s="1"/>
      <c r="GOP22" s="1"/>
      <c r="GOQ22" s="1"/>
      <c r="GOR22" s="1"/>
      <c r="GOS22" s="1"/>
      <c r="GOT22" s="1"/>
      <c r="GOU22" s="1"/>
      <c r="GOV22" s="1"/>
      <c r="GOW22" s="1"/>
      <c r="GOX22" s="1"/>
      <c r="GOY22" s="1"/>
      <c r="GOZ22" s="1"/>
      <c r="GPA22" s="1"/>
      <c r="GPB22" s="1"/>
      <c r="GPC22" s="1"/>
      <c r="GPD22" s="1"/>
      <c r="GPE22" s="1"/>
      <c r="GPF22" s="1"/>
      <c r="GPG22" s="1"/>
      <c r="GPH22" s="1"/>
      <c r="GPI22" s="1"/>
      <c r="GPJ22" s="1"/>
      <c r="GPK22" s="1"/>
      <c r="GPL22" s="1"/>
      <c r="GPM22" s="1"/>
      <c r="GPN22" s="1"/>
      <c r="GPO22" s="1"/>
      <c r="GPP22" s="1"/>
      <c r="GPQ22" s="1"/>
      <c r="GPR22" s="1"/>
      <c r="GPS22" s="1"/>
      <c r="GPT22" s="1"/>
      <c r="GPU22" s="1"/>
      <c r="GPV22" s="1"/>
      <c r="GPW22" s="1"/>
      <c r="GPX22" s="1"/>
      <c r="GPY22" s="1"/>
      <c r="GPZ22" s="1"/>
      <c r="GQA22" s="1"/>
      <c r="GQB22" s="1"/>
      <c r="GQC22" s="1"/>
      <c r="GQD22" s="1"/>
      <c r="GQE22" s="1"/>
      <c r="GQF22" s="1"/>
      <c r="GQG22" s="1"/>
      <c r="GQH22" s="1"/>
      <c r="GQI22" s="1"/>
      <c r="GQJ22" s="1"/>
      <c r="GQK22" s="1"/>
      <c r="GQL22" s="1"/>
      <c r="GQM22" s="1"/>
      <c r="GQN22" s="1"/>
      <c r="GQO22" s="1"/>
      <c r="GQP22" s="1"/>
      <c r="GQQ22" s="1"/>
      <c r="GQR22" s="1"/>
      <c r="GQS22" s="1"/>
      <c r="GQT22" s="1"/>
      <c r="GQU22" s="1"/>
      <c r="GQV22" s="1"/>
      <c r="GQW22" s="1"/>
      <c r="GQX22" s="1"/>
      <c r="GQY22" s="1"/>
      <c r="GQZ22" s="1"/>
      <c r="GRA22" s="1"/>
      <c r="GRB22" s="1"/>
      <c r="GRC22" s="1"/>
      <c r="GRD22" s="1"/>
      <c r="GRE22" s="1"/>
      <c r="GRF22" s="1"/>
      <c r="GRG22" s="1"/>
      <c r="GRH22" s="1"/>
      <c r="GRI22" s="1"/>
      <c r="GRJ22" s="1"/>
      <c r="GRK22" s="1"/>
      <c r="GRL22" s="1"/>
      <c r="GRM22" s="1"/>
      <c r="GRN22" s="1"/>
      <c r="GRO22" s="1"/>
      <c r="GRP22" s="1"/>
      <c r="GRQ22" s="1"/>
      <c r="GRR22" s="1"/>
      <c r="GRS22" s="1"/>
      <c r="GRT22" s="1"/>
      <c r="GRU22" s="1"/>
      <c r="GRV22" s="1"/>
      <c r="GRW22" s="1"/>
      <c r="GRX22" s="1"/>
      <c r="GRY22" s="1"/>
      <c r="GRZ22" s="1"/>
      <c r="GSA22" s="1"/>
      <c r="GSB22" s="1"/>
      <c r="GSC22" s="1"/>
      <c r="GSD22" s="1"/>
      <c r="GSE22" s="1"/>
      <c r="GSF22" s="1"/>
      <c r="GSG22" s="1"/>
      <c r="GSH22" s="1"/>
      <c r="GSI22" s="1"/>
      <c r="GSJ22" s="1"/>
      <c r="GSK22" s="1"/>
      <c r="GSL22" s="1"/>
      <c r="GSM22" s="1"/>
      <c r="GSN22" s="1"/>
      <c r="GSO22" s="1"/>
      <c r="GSP22" s="1"/>
      <c r="GSQ22" s="1"/>
      <c r="GSR22" s="1"/>
      <c r="GSS22" s="1"/>
      <c r="GST22" s="1"/>
      <c r="GSU22" s="1"/>
      <c r="GSV22" s="1"/>
      <c r="GSW22" s="1"/>
      <c r="GSX22" s="1"/>
      <c r="GSY22" s="1"/>
      <c r="GSZ22" s="1"/>
      <c r="GTA22" s="1"/>
      <c r="GTB22" s="1"/>
      <c r="GTC22" s="1"/>
      <c r="GTD22" s="1"/>
      <c r="GTE22" s="1"/>
      <c r="GTF22" s="1"/>
      <c r="GTG22" s="1"/>
      <c r="GTH22" s="1"/>
      <c r="GTI22" s="1"/>
      <c r="GTJ22" s="1"/>
      <c r="GTK22" s="1"/>
      <c r="GTL22" s="1"/>
      <c r="GTM22" s="1"/>
      <c r="GTN22" s="1"/>
      <c r="GTO22" s="1"/>
      <c r="GTP22" s="1"/>
      <c r="GTQ22" s="1"/>
      <c r="GTR22" s="1"/>
      <c r="GTS22" s="1"/>
      <c r="GTT22" s="1"/>
      <c r="GTU22" s="1"/>
      <c r="GTV22" s="1"/>
      <c r="GTW22" s="1"/>
      <c r="GTX22" s="1"/>
      <c r="GTY22" s="1"/>
      <c r="GTZ22" s="1"/>
      <c r="GUA22" s="1"/>
      <c r="GUB22" s="1"/>
      <c r="GUC22" s="1"/>
      <c r="GUD22" s="1"/>
      <c r="GUE22" s="1"/>
      <c r="GUF22" s="1"/>
      <c r="GUG22" s="1"/>
      <c r="GUH22" s="1"/>
      <c r="GUI22" s="1"/>
      <c r="GUJ22" s="1"/>
      <c r="GUK22" s="1"/>
      <c r="GUL22" s="1"/>
      <c r="GUM22" s="1"/>
      <c r="GUN22" s="1"/>
      <c r="GUO22" s="1"/>
      <c r="GUP22" s="1"/>
      <c r="GUQ22" s="1"/>
      <c r="GUR22" s="1"/>
      <c r="GUS22" s="1"/>
      <c r="GUT22" s="1"/>
      <c r="GUU22" s="1"/>
      <c r="GUV22" s="1"/>
      <c r="GUW22" s="1"/>
      <c r="GUX22" s="1"/>
      <c r="GUY22" s="1"/>
      <c r="GUZ22" s="1"/>
      <c r="GVA22" s="1"/>
      <c r="GVB22" s="1"/>
      <c r="GVC22" s="1"/>
      <c r="GVD22" s="1"/>
      <c r="GVE22" s="1"/>
      <c r="GVF22" s="1"/>
      <c r="GVG22" s="1"/>
      <c r="GVH22" s="1"/>
      <c r="GVI22" s="1"/>
      <c r="GVJ22" s="1"/>
      <c r="GVK22" s="1"/>
      <c r="GVL22" s="1"/>
      <c r="GVM22" s="1"/>
      <c r="GVN22" s="1"/>
      <c r="GVO22" s="1"/>
      <c r="GVP22" s="1"/>
      <c r="GVQ22" s="1"/>
      <c r="GVR22" s="1"/>
      <c r="GVS22" s="1"/>
      <c r="GVT22" s="1"/>
      <c r="GVU22" s="1"/>
      <c r="GVV22" s="1"/>
      <c r="GVW22" s="1"/>
      <c r="GVX22" s="1"/>
      <c r="GVY22" s="1"/>
      <c r="GVZ22" s="1"/>
      <c r="GWA22" s="1"/>
      <c r="GWB22" s="1"/>
      <c r="GWC22" s="1"/>
      <c r="GWD22" s="1"/>
      <c r="GWE22" s="1"/>
      <c r="GWF22" s="1"/>
      <c r="GWG22" s="1"/>
      <c r="GWH22" s="1"/>
      <c r="GWI22" s="1"/>
      <c r="GWJ22" s="1"/>
      <c r="GWK22" s="1"/>
      <c r="GWL22" s="1"/>
      <c r="GWM22" s="1"/>
      <c r="GWN22" s="1"/>
      <c r="GWO22" s="1"/>
      <c r="GWP22" s="1"/>
      <c r="GWQ22" s="1"/>
      <c r="GWR22" s="1"/>
      <c r="GWS22" s="1"/>
      <c r="GWT22" s="1"/>
      <c r="GWU22" s="1"/>
      <c r="GWV22" s="1"/>
      <c r="GWW22" s="1"/>
      <c r="GWX22" s="1"/>
      <c r="GWY22" s="1"/>
      <c r="GWZ22" s="1"/>
      <c r="GXA22" s="1"/>
      <c r="GXB22" s="1"/>
      <c r="GXC22" s="1"/>
      <c r="GXD22" s="1"/>
      <c r="GXE22" s="1"/>
      <c r="GXF22" s="1"/>
      <c r="GXG22" s="1"/>
      <c r="GXH22" s="1"/>
      <c r="GXI22" s="1"/>
      <c r="GXJ22" s="1"/>
      <c r="GXK22" s="1"/>
      <c r="GXL22" s="1"/>
      <c r="GXM22" s="1"/>
      <c r="GXN22" s="1"/>
      <c r="GXO22" s="1"/>
      <c r="GXP22" s="1"/>
      <c r="GXQ22" s="1"/>
      <c r="GXR22" s="1"/>
      <c r="GXS22" s="1"/>
      <c r="GXT22" s="1"/>
      <c r="GXU22" s="1"/>
      <c r="GXV22" s="1"/>
      <c r="GXW22" s="1"/>
      <c r="GXX22" s="1"/>
      <c r="GXY22" s="1"/>
      <c r="GXZ22" s="1"/>
      <c r="GYA22" s="1"/>
      <c r="GYB22" s="1"/>
      <c r="GYC22" s="1"/>
      <c r="GYD22" s="1"/>
      <c r="GYE22" s="1"/>
      <c r="GYF22" s="1"/>
      <c r="GYG22" s="1"/>
      <c r="GYH22" s="1"/>
      <c r="GYI22" s="1"/>
      <c r="GYJ22" s="1"/>
      <c r="GYK22" s="1"/>
      <c r="GYL22" s="1"/>
      <c r="GYM22" s="1"/>
      <c r="GYN22" s="1"/>
      <c r="GYO22" s="1"/>
      <c r="GYP22" s="1"/>
      <c r="GYQ22" s="1"/>
      <c r="GYR22" s="1"/>
      <c r="GYS22" s="1"/>
      <c r="GYT22" s="1"/>
      <c r="GYU22" s="1"/>
      <c r="GYV22" s="1"/>
      <c r="GYW22" s="1"/>
      <c r="GYX22" s="1"/>
      <c r="GYY22" s="1"/>
      <c r="GYZ22" s="1"/>
      <c r="GZA22" s="1"/>
      <c r="GZB22" s="1"/>
      <c r="GZC22" s="1"/>
      <c r="GZD22" s="1"/>
      <c r="GZE22" s="1"/>
      <c r="GZF22" s="1"/>
      <c r="GZG22" s="1"/>
      <c r="GZH22" s="1"/>
      <c r="GZI22" s="1"/>
      <c r="GZJ22" s="1"/>
      <c r="GZK22" s="1"/>
      <c r="GZL22" s="1"/>
      <c r="GZM22" s="1"/>
      <c r="GZN22" s="1"/>
      <c r="GZO22" s="1"/>
      <c r="GZP22" s="1"/>
      <c r="GZQ22" s="1"/>
      <c r="GZR22" s="1"/>
      <c r="GZS22" s="1"/>
      <c r="GZT22" s="1"/>
      <c r="GZU22" s="1"/>
      <c r="GZV22" s="1"/>
      <c r="GZW22" s="1"/>
      <c r="GZX22" s="1"/>
      <c r="GZY22" s="1"/>
      <c r="GZZ22" s="1"/>
      <c r="HAA22" s="1"/>
      <c r="HAB22" s="1"/>
      <c r="HAC22" s="1"/>
      <c r="HAD22" s="1"/>
      <c r="HAE22" s="1"/>
      <c r="HAF22" s="1"/>
      <c r="HAG22" s="1"/>
      <c r="HAH22" s="1"/>
      <c r="HAI22" s="1"/>
      <c r="HAJ22" s="1"/>
      <c r="HAK22" s="1"/>
      <c r="HAL22" s="1"/>
      <c r="HAM22" s="1"/>
      <c r="HAN22" s="1"/>
      <c r="HAO22" s="1"/>
      <c r="HAP22" s="1"/>
      <c r="HAQ22" s="1"/>
      <c r="HAR22" s="1"/>
      <c r="HAS22" s="1"/>
      <c r="HAT22" s="1"/>
      <c r="HAU22" s="1"/>
      <c r="HAV22" s="1"/>
      <c r="HAW22" s="1"/>
      <c r="HAX22" s="1"/>
      <c r="HAY22" s="1"/>
      <c r="HAZ22" s="1"/>
      <c r="HBA22" s="1"/>
      <c r="HBB22" s="1"/>
      <c r="HBC22" s="1"/>
      <c r="HBD22" s="1"/>
      <c r="HBE22" s="1"/>
      <c r="HBF22" s="1"/>
      <c r="HBG22" s="1"/>
      <c r="HBH22" s="1"/>
      <c r="HBI22" s="1"/>
      <c r="HBJ22" s="1"/>
      <c r="HBK22" s="1"/>
      <c r="HBL22" s="1"/>
      <c r="HBM22" s="1"/>
      <c r="HBN22" s="1"/>
      <c r="HBO22" s="1"/>
      <c r="HBP22" s="1"/>
      <c r="HBQ22" s="1"/>
      <c r="HBR22" s="1"/>
      <c r="HBS22" s="1"/>
      <c r="HBT22" s="1"/>
      <c r="HBU22" s="1"/>
      <c r="HBV22" s="1"/>
      <c r="HBW22" s="1"/>
      <c r="HBX22" s="1"/>
      <c r="HBY22" s="1"/>
      <c r="HBZ22" s="1"/>
      <c r="HCA22" s="1"/>
      <c r="HCB22" s="1"/>
      <c r="HCC22" s="1"/>
      <c r="HCD22" s="1"/>
      <c r="HCE22" s="1"/>
      <c r="HCF22" s="1"/>
      <c r="HCG22" s="1"/>
      <c r="HCH22" s="1"/>
      <c r="HCI22" s="1"/>
      <c r="HCJ22" s="1"/>
      <c r="HCK22" s="1"/>
      <c r="HCL22" s="1"/>
      <c r="HCM22" s="1"/>
      <c r="HCN22" s="1"/>
      <c r="HCO22" s="1"/>
      <c r="HCP22" s="1"/>
      <c r="HCQ22" s="1"/>
      <c r="HCR22" s="1"/>
      <c r="HCS22" s="1"/>
      <c r="HCT22" s="1"/>
      <c r="HCU22" s="1"/>
      <c r="HCV22" s="1"/>
      <c r="HCW22" s="1"/>
      <c r="HCX22" s="1"/>
      <c r="HCY22" s="1"/>
      <c r="HCZ22" s="1"/>
      <c r="HDA22" s="1"/>
      <c r="HDB22" s="1"/>
      <c r="HDC22" s="1"/>
      <c r="HDD22" s="1"/>
      <c r="HDE22" s="1"/>
      <c r="HDF22" s="1"/>
      <c r="HDG22" s="1"/>
      <c r="HDH22" s="1"/>
      <c r="HDI22" s="1"/>
      <c r="HDJ22" s="1"/>
      <c r="HDK22" s="1"/>
      <c r="HDL22" s="1"/>
      <c r="HDM22" s="1"/>
      <c r="HDN22" s="1"/>
      <c r="HDO22" s="1"/>
      <c r="HDP22" s="1"/>
      <c r="HDQ22" s="1"/>
      <c r="HDR22" s="1"/>
      <c r="HDS22" s="1"/>
      <c r="HDT22" s="1"/>
      <c r="HDU22" s="1"/>
      <c r="HDV22" s="1"/>
      <c r="HDW22" s="1"/>
      <c r="HDX22" s="1"/>
      <c r="HDY22" s="1"/>
      <c r="HDZ22" s="1"/>
      <c r="HEA22" s="1"/>
      <c r="HEB22" s="1"/>
      <c r="HEC22" s="1"/>
      <c r="HED22" s="1"/>
      <c r="HEE22" s="1"/>
      <c r="HEF22" s="1"/>
      <c r="HEG22" s="1"/>
      <c r="HEH22" s="1"/>
      <c r="HEI22" s="1"/>
      <c r="HEJ22" s="1"/>
      <c r="HEK22" s="1"/>
      <c r="HEL22" s="1"/>
      <c r="HEM22" s="1"/>
      <c r="HEN22" s="1"/>
      <c r="HEO22" s="1"/>
      <c r="HEP22" s="1"/>
      <c r="HEQ22" s="1"/>
      <c r="HER22" s="1"/>
      <c r="HES22" s="1"/>
      <c r="HET22" s="1"/>
      <c r="HEU22" s="1"/>
      <c r="HEV22" s="1"/>
      <c r="HEW22" s="1"/>
      <c r="HEX22" s="1"/>
      <c r="HEY22" s="1"/>
      <c r="HEZ22" s="1"/>
      <c r="HFA22" s="1"/>
      <c r="HFB22" s="1"/>
      <c r="HFC22" s="1"/>
      <c r="HFD22" s="1"/>
      <c r="HFE22" s="1"/>
      <c r="HFF22" s="1"/>
      <c r="HFG22" s="1"/>
      <c r="HFH22" s="1"/>
      <c r="HFI22" s="1"/>
      <c r="HFJ22" s="1"/>
      <c r="HFK22" s="1"/>
      <c r="HFL22" s="1"/>
      <c r="HFM22" s="1"/>
      <c r="HFN22" s="1"/>
      <c r="HFO22" s="1"/>
      <c r="HFP22" s="1"/>
      <c r="HFQ22" s="1"/>
      <c r="HFR22" s="1"/>
      <c r="HFS22" s="1"/>
      <c r="HFT22" s="1"/>
      <c r="HFU22" s="1"/>
      <c r="HFV22" s="1"/>
      <c r="HFW22" s="1"/>
      <c r="HFX22" s="1"/>
      <c r="HFY22" s="1"/>
      <c r="HFZ22" s="1"/>
      <c r="HGA22" s="1"/>
      <c r="HGB22" s="1"/>
      <c r="HGC22" s="1"/>
      <c r="HGD22" s="1"/>
      <c r="HGE22" s="1"/>
      <c r="HGF22" s="1"/>
      <c r="HGG22" s="1"/>
      <c r="HGH22" s="1"/>
      <c r="HGI22" s="1"/>
      <c r="HGJ22" s="1"/>
      <c r="HGK22" s="1"/>
      <c r="HGL22" s="1"/>
      <c r="HGM22" s="1"/>
      <c r="HGN22" s="1"/>
      <c r="HGO22" s="1"/>
      <c r="HGP22" s="1"/>
      <c r="HGQ22" s="1"/>
      <c r="HGR22" s="1"/>
      <c r="HGS22" s="1"/>
      <c r="HGT22" s="1"/>
      <c r="HGU22" s="1"/>
      <c r="HGV22" s="1"/>
      <c r="HGW22" s="1"/>
      <c r="HGX22" s="1"/>
      <c r="HGY22" s="1"/>
      <c r="HGZ22" s="1"/>
      <c r="HHA22" s="1"/>
      <c r="HHB22" s="1"/>
      <c r="HHC22" s="1"/>
      <c r="HHD22" s="1"/>
      <c r="HHE22" s="1"/>
      <c r="HHF22" s="1"/>
      <c r="HHG22" s="1"/>
      <c r="HHH22" s="1"/>
      <c r="HHI22" s="1"/>
      <c r="HHJ22" s="1"/>
      <c r="HHK22" s="1"/>
      <c r="HHL22" s="1"/>
      <c r="HHM22" s="1"/>
      <c r="HHN22" s="1"/>
      <c r="HHO22" s="1"/>
      <c r="HHP22" s="1"/>
      <c r="HHQ22" s="1"/>
      <c r="HHR22" s="1"/>
      <c r="HHS22" s="1"/>
      <c r="HHT22" s="1"/>
      <c r="HHU22" s="1"/>
      <c r="HHV22" s="1"/>
      <c r="HHW22" s="1"/>
      <c r="HHX22" s="1"/>
      <c r="HHY22" s="1"/>
      <c r="HHZ22" s="1"/>
      <c r="HIA22" s="1"/>
      <c r="HIB22" s="1"/>
      <c r="HIC22" s="1"/>
      <c r="HID22" s="1"/>
      <c r="HIE22" s="1"/>
      <c r="HIF22" s="1"/>
      <c r="HIG22" s="1"/>
      <c r="HIH22" s="1"/>
      <c r="HII22" s="1"/>
      <c r="HIJ22" s="1"/>
      <c r="HIK22" s="1"/>
      <c r="HIL22" s="1"/>
      <c r="HIM22" s="1"/>
      <c r="HIN22" s="1"/>
      <c r="HIO22" s="1"/>
      <c r="HIP22" s="1"/>
      <c r="HIQ22" s="1"/>
      <c r="HIR22" s="1"/>
      <c r="HIS22" s="1"/>
      <c r="HIT22" s="1"/>
      <c r="HIU22" s="1"/>
      <c r="HIV22" s="1"/>
      <c r="HIW22" s="1"/>
      <c r="HIX22" s="1"/>
      <c r="HIY22" s="1"/>
      <c r="HIZ22" s="1"/>
      <c r="HJA22" s="1"/>
      <c r="HJB22" s="1"/>
      <c r="HJC22" s="1"/>
      <c r="HJD22" s="1"/>
      <c r="HJE22" s="1"/>
      <c r="HJF22" s="1"/>
      <c r="HJG22" s="1"/>
      <c r="HJH22" s="1"/>
      <c r="HJI22" s="1"/>
      <c r="HJJ22" s="1"/>
      <c r="HJK22" s="1"/>
      <c r="HJL22" s="1"/>
      <c r="HJM22" s="1"/>
      <c r="HJN22" s="1"/>
      <c r="HJO22" s="1"/>
      <c r="HJP22" s="1"/>
      <c r="HJQ22" s="1"/>
      <c r="HJR22" s="1"/>
      <c r="HJS22" s="1"/>
      <c r="HJT22" s="1"/>
      <c r="HJU22" s="1"/>
      <c r="HJV22" s="1"/>
      <c r="HJW22" s="1"/>
      <c r="HJX22" s="1"/>
      <c r="HJY22" s="1"/>
      <c r="HJZ22" s="1"/>
      <c r="HKA22" s="1"/>
      <c r="HKB22" s="1"/>
      <c r="HKC22" s="1"/>
      <c r="HKD22" s="1"/>
      <c r="HKE22" s="1"/>
      <c r="HKF22" s="1"/>
      <c r="HKG22" s="1"/>
      <c r="HKH22" s="1"/>
      <c r="HKI22" s="1"/>
      <c r="HKJ22" s="1"/>
      <c r="HKK22" s="1"/>
      <c r="HKL22" s="1"/>
      <c r="HKM22" s="1"/>
      <c r="HKN22" s="1"/>
      <c r="HKO22" s="1"/>
      <c r="HKP22" s="1"/>
      <c r="HKQ22" s="1"/>
      <c r="HKR22" s="1"/>
      <c r="HKS22" s="1"/>
      <c r="HKT22" s="1"/>
      <c r="HKU22" s="1"/>
      <c r="HKV22" s="1"/>
      <c r="HKW22" s="1"/>
      <c r="HKX22" s="1"/>
      <c r="HKY22" s="1"/>
      <c r="HKZ22" s="1"/>
      <c r="HLA22" s="1"/>
      <c r="HLB22" s="1"/>
      <c r="HLC22" s="1"/>
      <c r="HLD22" s="1"/>
      <c r="HLE22" s="1"/>
      <c r="HLF22" s="1"/>
      <c r="HLG22" s="1"/>
      <c r="HLH22" s="1"/>
      <c r="HLI22" s="1"/>
      <c r="HLJ22" s="1"/>
      <c r="HLK22" s="1"/>
      <c r="HLL22" s="1"/>
      <c r="HLM22" s="1"/>
      <c r="HLN22" s="1"/>
      <c r="HLO22" s="1"/>
      <c r="HLP22" s="1"/>
      <c r="HLQ22" s="1"/>
      <c r="HLR22" s="1"/>
      <c r="HLS22" s="1"/>
      <c r="HLT22" s="1"/>
      <c r="HLU22" s="1"/>
      <c r="HLV22" s="1"/>
      <c r="HLW22" s="1"/>
      <c r="HLX22" s="1"/>
      <c r="HLY22" s="1"/>
      <c r="HLZ22" s="1"/>
      <c r="HMA22" s="1"/>
      <c r="HMB22" s="1"/>
      <c r="HMC22" s="1"/>
      <c r="HMD22" s="1"/>
      <c r="HME22" s="1"/>
      <c r="HMF22" s="1"/>
      <c r="HMG22" s="1"/>
      <c r="HMH22" s="1"/>
      <c r="HMI22" s="1"/>
      <c r="HMJ22" s="1"/>
      <c r="HMK22" s="1"/>
      <c r="HML22" s="1"/>
      <c r="HMM22" s="1"/>
      <c r="HMN22" s="1"/>
      <c r="HMO22" s="1"/>
      <c r="HMP22" s="1"/>
      <c r="HMQ22" s="1"/>
      <c r="HMR22" s="1"/>
      <c r="HMS22" s="1"/>
      <c r="HMT22" s="1"/>
      <c r="HMU22" s="1"/>
      <c r="HMV22" s="1"/>
      <c r="HMW22" s="1"/>
      <c r="HMX22" s="1"/>
      <c r="HMY22" s="1"/>
      <c r="HMZ22" s="1"/>
      <c r="HNA22" s="1"/>
      <c r="HNB22" s="1"/>
      <c r="HNC22" s="1"/>
      <c r="HND22" s="1"/>
      <c r="HNE22" s="1"/>
      <c r="HNF22" s="1"/>
      <c r="HNG22" s="1"/>
      <c r="HNH22" s="1"/>
      <c r="HNI22" s="1"/>
      <c r="HNJ22" s="1"/>
      <c r="HNK22" s="1"/>
      <c r="HNL22" s="1"/>
      <c r="HNM22" s="1"/>
      <c r="HNN22" s="1"/>
      <c r="HNO22" s="1"/>
      <c r="HNP22" s="1"/>
      <c r="HNQ22" s="1"/>
      <c r="HNR22" s="1"/>
      <c r="HNS22" s="1"/>
      <c r="HNT22" s="1"/>
      <c r="HNU22" s="1"/>
      <c r="HNV22" s="1"/>
      <c r="HNW22" s="1"/>
      <c r="HNX22" s="1"/>
      <c r="HNY22" s="1"/>
      <c r="HNZ22" s="1"/>
      <c r="HOA22" s="1"/>
      <c r="HOB22" s="1"/>
      <c r="HOC22" s="1"/>
      <c r="HOD22" s="1"/>
      <c r="HOE22" s="1"/>
      <c r="HOF22" s="1"/>
      <c r="HOG22" s="1"/>
      <c r="HOH22" s="1"/>
      <c r="HOI22" s="1"/>
      <c r="HOJ22" s="1"/>
      <c r="HOK22" s="1"/>
      <c r="HOL22" s="1"/>
      <c r="HOM22" s="1"/>
      <c r="HON22" s="1"/>
      <c r="HOO22" s="1"/>
      <c r="HOP22" s="1"/>
      <c r="HOQ22" s="1"/>
      <c r="HOR22" s="1"/>
      <c r="HOS22" s="1"/>
      <c r="HOT22" s="1"/>
      <c r="HOU22" s="1"/>
      <c r="HOV22" s="1"/>
      <c r="HOW22" s="1"/>
      <c r="HOX22" s="1"/>
      <c r="HOY22" s="1"/>
      <c r="HOZ22" s="1"/>
      <c r="HPA22" s="1"/>
      <c r="HPB22" s="1"/>
      <c r="HPC22" s="1"/>
      <c r="HPD22" s="1"/>
      <c r="HPE22" s="1"/>
      <c r="HPF22" s="1"/>
      <c r="HPG22" s="1"/>
      <c r="HPH22" s="1"/>
      <c r="HPI22" s="1"/>
      <c r="HPJ22" s="1"/>
      <c r="HPK22" s="1"/>
      <c r="HPL22" s="1"/>
      <c r="HPM22" s="1"/>
      <c r="HPN22" s="1"/>
      <c r="HPO22" s="1"/>
      <c r="HPP22" s="1"/>
      <c r="HPQ22" s="1"/>
      <c r="HPR22" s="1"/>
      <c r="HPS22" s="1"/>
      <c r="HPT22" s="1"/>
      <c r="HPU22" s="1"/>
      <c r="HPV22" s="1"/>
      <c r="HPW22" s="1"/>
      <c r="HPX22" s="1"/>
      <c r="HPY22" s="1"/>
      <c r="HPZ22" s="1"/>
      <c r="HQA22" s="1"/>
      <c r="HQB22" s="1"/>
      <c r="HQC22" s="1"/>
      <c r="HQD22" s="1"/>
      <c r="HQE22" s="1"/>
      <c r="HQF22" s="1"/>
      <c r="HQG22" s="1"/>
      <c r="HQH22" s="1"/>
      <c r="HQI22" s="1"/>
      <c r="HQJ22" s="1"/>
      <c r="HQK22" s="1"/>
      <c r="HQL22" s="1"/>
      <c r="HQM22" s="1"/>
      <c r="HQN22" s="1"/>
      <c r="HQO22" s="1"/>
      <c r="HQP22" s="1"/>
      <c r="HQQ22" s="1"/>
      <c r="HQR22" s="1"/>
      <c r="HQS22" s="1"/>
      <c r="HQT22" s="1"/>
      <c r="HQU22" s="1"/>
      <c r="HQV22" s="1"/>
      <c r="HQW22" s="1"/>
      <c r="HQX22" s="1"/>
      <c r="HQY22" s="1"/>
      <c r="HQZ22" s="1"/>
      <c r="HRA22" s="1"/>
      <c r="HRB22" s="1"/>
      <c r="HRC22" s="1"/>
      <c r="HRD22" s="1"/>
      <c r="HRE22" s="1"/>
      <c r="HRF22" s="1"/>
      <c r="HRG22" s="1"/>
      <c r="HRH22" s="1"/>
      <c r="HRI22" s="1"/>
      <c r="HRJ22" s="1"/>
      <c r="HRK22" s="1"/>
      <c r="HRL22" s="1"/>
      <c r="HRM22" s="1"/>
      <c r="HRN22" s="1"/>
      <c r="HRO22" s="1"/>
      <c r="HRP22" s="1"/>
      <c r="HRQ22" s="1"/>
      <c r="HRR22" s="1"/>
      <c r="HRS22" s="1"/>
      <c r="HRT22" s="1"/>
      <c r="HRU22" s="1"/>
      <c r="HRV22" s="1"/>
      <c r="HRW22" s="1"/>
      <c r="HRX22" s="1"/>
      <c r="HRY22" s="1"/>
      <c r="HRZ22" s="1"/>
      <c r="HSA22" s="1"/>
      <c r="HSB22" s="1"/>
      <c r="HSC22" s="1"/>
      <c r="HSD22" s="1"/>
      <c r="HSE22" s="1"/>
      <c r="HSF22" s="1"/>
      <c r="HSG22" s="1"/>
      <c r="HSH22" s="1"/>
      <c r="HSI22" s="1"/>
      <c r="HSJ22" s="1"/>
      <c r="HSK22" s="1"/>
      <c r="HSL22" s="1"/>
      <c r="HSM22" s="1"/>
      <c r="HSN22" s="1"/>
      <c r="HSO22" s="1"/>
      <c r="HSP22" s="1"/>
      <c r="HSQ22" s="1"/>
      <c r="HSR22" s="1"/>
      <c r="HSS22" s="1"/>
      <c r="HST22" s="1"/>
      <c r="HSU22" s="1"/>
      <c r="HSV22" s="1"/>
      <c r="HSW22" s="1"/>
      <c r="HSX22" s="1"/>
      <c r="HSY22" s="1"/>
      <c r="HSZ22" s="1"/>
      <c r="HTA22" s="1"/>
      <c r="HTB22" s="1"/>
      <c r="HTC22" s="1"/>
      <c r="HTD22" s="1"/>
      <c r="HTE22" s="1"/>
      <c r="HTF22" s="1"/>
      <c r="HTG22" s="1"/>
      <c r="HTH22" s="1"/>
      <c r="HTI22" s="1"/>
      <c r="HTJ22" s="1"/>
      <c r="HTK22" s="1"/>
      <c r="HTL22" s="1"/>
      <c r="HTM22" s="1"/>
      <c r="HTN22" s="1"/>
      <c r="HTO22" s="1"/>
      <c r="HTP22" s="1"/>
      <c r="HTQ22" s="1"/>
      <c r="HTR22" s="1"/>
      <c r="HTS22" s="1"/>
      <c r="HTT22" s="1"/>
      <c r="HTU22" s="1"/>
      <c r="HTV22" s="1"/>
      <c r="HTW22" s="1"/>
      <c r="HTX22" s="1"/>
      <c r="HTY22" s="1"/>
      <c r="HTZ22" s="1"/>
      <c r="HUA22" s="1"/>
      <c r="HUB22" s="1"/>
      <c r="HUC22" s="1"/>
      <c r="HUD22" s="1"/>
      <c r="HUE22" s="1"/>
      <c r="HUF22" s="1"/>
      <c r="HUG22" s="1"/>
      <c r="HUH22" s="1"/>
      <c r="HUI22" s="1"/>
      <c r="HUJ22" s="1"/>
      <c r="HUK22" s="1"/>
      <c r="HUL22" s="1"/>
      <c r="HUM22" s="1"/>
      <c r="HUN22" s="1"/>
      <c r="HUO22" s="1"/>
      <c r="HUP22" s="1"/>
      <c r="HUQ22" s="1"/>
      <c r="HUR22" s="1"/>
      <c r="HUS22" s="1"/>
      <c r="HUT22" s="1"/>
      <c r="HUU22" s="1"/>
      <c r="HUV22" s="1"/>
      <c r="HUW22" s="1"/>
      <c r="HUX22" s="1"/>
      <c r="HUY22" s="1"/>
      <c r="HUZ22" s="1"/>
      <c r="HVA22" s="1"/>
      <c r="HVB22" s="1"/>
      <c r="HVC22" s="1"/>
      <c r="HVD22" s="1"/>
      <c r="HVE22" s="1"/>
      <c r="HVF22" s="1"/>
      <c r="HVG22" s="1"/>
      <c r="HVH22" s="1"/>
      <c r="HVI22" s="1"/>
      <c r="HVJ22" s="1"/>
      <c r="HVK22" s="1"/>
      <c r="HVL22" s="1"/>
      <c r="HVM22" s="1"/>
      <c r="HVN22" s="1"/>
      <c r="HVO22" s="1"/>
      <c r="HVP22" s="1"/>
      <c r="HVQ22" s="1"/>
      <c r="HVR22" s="1"/>
      <c r="HVS22" s="1"/>
      <c r="HVT22" s="1"/>
      <c r="HVU22" s="1"/>
      <c r="HVV22" s="1"/>
      <c r="HVW22" s="1"/>
      <c r="HVX22" s="1"/>
      <c r="HVY22" s="1"/>
      <c r="HVZ22" s="1"/>
      <c r="HWA22" s="1"/>
      <c r="HWB22" s="1"/>
      <c r="HWC22" s="1"/>
      <c r="HWD22" s="1"/>
      <c r="HWE22" s="1"/>
      <c r="HWF22" s="1"/>
      <c r="HWG22" s="1"/>
      <c r="HWH22" s="1"/>
      <c r="HWI22" s="1"/>
      <c r="HWJ22" s="1"/>
      <c r="HWK22" s="1"/>
      <c r="HWL22" s="1"/>
      <c r="HWM22" s="1"/>
      <c r="HWN22" s="1"/>
      <c r="HWO22" s="1"/>
      <c r="HWP22" s="1"/>
      <c r="HWQ22" s="1"/>
      <c r="HWR22" s="1"/>
      <c r="HWS22" s="1"/>
      <c r="HWT22" s="1"/>
      <c r="HWU22" s="1"/>
      <c r="HWV22" s="1"/>
      <c r="HWW22" s="1"/>
      <c r="HWX22" s="1"/>
      <c r="HWY22" s="1"/>
      <c r="HWZ22" s="1"/>
      <c r="HXA22" s="1"/>
      <c r="HXB22" s="1"/>
      <c r="HXC22" s="1"/>
      <c r="HXD22" s="1"/>
      <c r="HXE22" s="1"/>
      <c r="HXF22" s="1"/>
      <c r="HXG22" s="1"/>
      <c r="HXH22" s="1"/>
      <c r="HXI22" s="1"/>
      <c r="HXJ22" s="1"/>
      <c r="HXK22" s="1"/>
      <c r="HXL22" s="1"/>
      <c r="HXM22" s="1"/>
      <c r="HXN22" s="1"/>
      <c r="HXO22" s="1"/>
      <c r="HXP22" s="1"/>
      <c r="HXQ22" s="1"/>
      <c r="HXR22" s="1"/>
      <c r="HXS22" s="1"/>
      <c r="HXT22" s="1"/>
      <c r="HXU22" s="1"/>
      <c r="HXV22" s="1"/>
      <c r="HXW22" s="1"/>
      <c r="HXX22" s="1"/>
      <c r="HXY22" s="1"/>
      <c r="HXZ22" s="1"/>
      <c r="HYA22" s="1"/>
      <c r="HYB22" s="1"/>
      <c r="HYC22" s="1"/>
      <c r="HYD22" s="1"/>
      <c r="HYE22" s="1"/>
      <c r="HYF22" s="1"/>
      <c r="HYG22" s="1"/>
      <c r="HYH22" s="1"/>
      <c r="HYI22" s="1"/>
      <c r="HYJ22" s="1"/>
      <c r="HYK22" s="1"/>
      <c r="HYL22" s="1"/>
      <c r="HYM22" s="1"/>
      <c r="HYN22" s="1"/>
      <c r="HYO22" s="1"/>
      <c r="HYP22" s="1"/>
      <c r="HYQ22" s="1"/>
      <c r="HYR22" s="1"/>
      <c r="HYS22" s="1"/>
      <c r="HYT22" s="1"/>
      <c r="HYU22" s="1"/>
      <c r="HYV22" s="1"/>
      <c r="HYW22" s="1"/>
      <c r="HYX22" s="1"/>
      <c r="HYY22" s="1"/>
      <c r="HYZ22" s="1"/>
      <c r="HZA22" s="1"/>
      <c r="HZB22" s="1"/>
      <c r="HZC22" s="1"/>
      <c r="HZD22" s="1"/>
      <c r="HZE22" s="1"/>
      <c r="HZF22" s="1"/>
      <c r="HZG22" s="1"/>
      <c r="HZH22" s="1"/>
      <c r="HZI22" s="1"/>
      <c r="HZJ22" s="1"/>
      <c r="HZK22" s="1"/>
      <c r="HZL22" s="1"/>
      <c r="HZM22" s="1"/>
      <c r="HZN22" s="1"/>
      <c r="HZO22" s="1"/>
      <c r="HZP22" s="1"/>
      <c r="HZQ22" s="1"/>
      <c r="HZR22" s="1"/>
      <c r="HZS22" s="1"/>
      <c r="HZT22" s="1"/>
      <c r="HZU22" s="1"/>
      <c r="HZV22" s="1"/>
      <c r="HZW22" s="1"/>
      <c r="HZX22" s="1"/>
      <c r="HZY22" s="1"/>
      <c r="HZZ22" s="1"/>
      <c r="IAA22" s="1"/>
      <c r="IAB22" s="1"/>
      <c r="IAC22" s="1"/>
      <c r="IAD22" s="1"/>
      <c r="IAE22" s="1"/>
      <c r="IAF22" s="1"/>
      <c r="IAG22" s="1"/>
      <c r="IAH22" s="1"/>
      <c r="IAI22" s="1"/>
      <c r="IAJ22" s="1"/>
      <c r="IAK22" s="1"/>
      <c r="IAL22" s="1"/>
      <c r="IAM22" s="1"/>
      <c r="IAN22" s="1"/>
      <c r="IAO22" s="1"/>
      <c r="IAP22" s="1"/>
      <c r="IAQ22" s="1"/>
      <c r="IAR22" s="1"/>
      <c r="IAS22" s="1"/>
      <c r="IAT22" s="1"/>
      <c r="IAU22" s="1"/>
      <c r="IAV22" s="1"/>
      <c r="IAW22" s="1"/>
      <c r="IAX22" s="1"/>
      <c r="IAY22" s="1"/>
      <c r="IAZ22" s="1"/>
      <c r="IBA22" s="1"/>
      <c r="IBB22" s="1"/>
      <c r="IBC22" s="1"/>
      <c r="IBD22" s="1"/>
      <c r="IBE22" s="1"/>
      <c r="IBF22" s="1"/>
      <c r="IBG22" s="1"/>
      <c r="IBH22" s="1"/>
      <c r="IBI22" s="1"/>
      <c r="IBJ22" s="1"/>
      <c r="IBK22" s="1"/>
      <c r="IBL22" s="1"/>
      <c r="IBM22" s="1"/>
      <c r="IBN22" s="1"/>
      <c r="IBO22" s="1"/>
      <c r="IBP22" s="1"/>
      <c r="IBQ22" s="1"/>
      <c r="IBR22" s="1"/>
      <c r="IBS22" s="1"/>
      <c r="IBT22" s="1"/>
      <c r="IBU22" s="1"/>
      <c r="IBV22" s="1"/>
      <c r="IBW22" s="1"/>
      <c r="IBX22" s="1"/>
      <c r="IBY22" s="1"/>
      <c r="IBZ22" s="1"/>
      <c r="ICA22" s="1"/>
      <c r="ICB22" s="1"/>
      <c r="ICC22" s="1"/>
      <c r="ICD22" s="1"/>
      <c r="ICE22" s="1"/>
      <c r="ICF22" s="1"/>
      <c r="ICG22" s="1"/>
      <c r="ICH22" s="1"/>
      <c r="ICI22" s="1"/>
      <c r="ICJ22" s="1"/>
      <c r="ICK22" s="1"/>
      <c r="ICL22" s="1"/>
      <c r="ICM22" s="1"/>
      <c r="ICN22" s="1"/>
      <c r="ICO22" s="1"/>
      <c r="ICP22" s="1"/>
      <c r="ICQ22" s="1"/>
      <c r="ICR22" s="1"/>
      <c r="ICS22" s="1"/>
      <c r="ICT22" s="1"/>
      <c r="ICU22" s="1"/>
      <c r="ICV22" s="1"/>
      <c r="ICW22" s="1"/>
      <c r="ICX22" s="1"/>
      <c r="ICY22" s="1"/>
      <c r="ICZ22" s="1"/>
      <c r="IDA22" s="1"/>
      <c r="IDB22" s="1"/>
      <c r="IDC22" s="1"/>
      <c r="IDD22" s="1"/>
      <c r="IDE22" s="1"/>
      <c r="IDF22" s="1"/>
      <c r="IDG22" s="1"/>
      <c r="IDH22" s="1"/>
      <c r="IDI22" s="1"/>
      <c r="IDJ22" s="1"/>
      <c r="IDK22" s="1"/>
      <c r="IDL22" s="1"/>
      <c r="IDM22" s="1"/>
      <c r="IDN22" s="1"/>
      <c r="IDO22" s="1"/>
      <c r="IDP22" s="1"/>
      <c r="IDQ22" s="1"/>
      <c r="IDR22" s="1"/>
      <c r="IDS22" s="1"/>
      <c r="IDT22" s="1"/>
      <c r="IDU22" s="1"/>
      <c r="IDV22" s="1"/>
      <c r="IDW22" s="1"/>
      <c r="IDX22" s="1"/>
      <c r="IDY22" s="1"/>
      <c r="IDZ22" s="1"/>
      <c r="IEA22" s="1"/>
      <c r="IEB22" s="1"/>
      <c r="IEC22" s="1"/>
      <c r="IED22" s="1"/>
      <c r="IEE22" s="1"/>
      <c r="IEF22" s="1"/>
      <c r="IEG22" s="1"/>
      <c r="IEH22" s="1"/>
      <c r="IEI22" s="1"/>
      <c r="IEJ22" s="1"/>
      <c r="IEK22" s="1"/>
      <c r="IEL22" s="1"/>
      <c r="IEM22" s="1"/>
      <c r="IEN22" s="1"/>
      <c r="IEO22" s="1"/>
      <c r="IEP22" s="1"/>
      <c r="IEQ22" s="1"/>
      <c r="IER22" s="1"/>
      <c r="IES22" s="1"/>
      <c r="IET22" s="1"/>
      <c r="IEU22" s="1"/>
      <c r="IEV22" s="1"/>
      <c r="IEW22" s="1"/>
      <c r="IEX22" s="1"/>
      <c r="IEY22" s="1"/>
      <c r="IEZ22" s="1"/>
      <c r="IFA22" s="1"/>
      <c r="IFB22" s="1"/>
      <c r="IFC22" s="1"/>
      <c r="IFD22" s="1"/>
      <c r="IFE22" s="1"/>
      <c r="IFF22" s="1"/>
      <c r="IFG22" s="1"/>
      <c r="IFH22" s="1"/>
      <c r="IFI22" s="1"/>
      <c r="IFJ22" s="1"/>
      <c r="IFK22" s="1"/>
      <c r="IFL22" s="1"/>
      <c r="IFM22" s="1"/>
      <c r="IFN22" s="1"/>
      <c r="IFO22" s="1"/>
      <c r="IFP22" s="1"/>
      <c r="IFQ22" s="1"/>
      <c r="IFR22" s="1"/>
      <c r="IFS22" s="1"/>
      <c r="IFT22" s="1"/>
      <c r="IFU22" s="1"/>
      <c r="IFV22" s="1"/>
      <c r="IFW22" s="1"/>
      <c r="IFX22" s="1"/>
      <c r="IFY22" s="1"/>
      <c r="IFZ22" s="1"/>
      <c r="IGA22" s="1"/>
      <c r="IGB22" s="1"/>
      <c r="IGC22" s="1"/>
      <c r="IGD22" s="1"/>
      <c r="IGE22" s="1"/>
      <c r="IGF22" s="1"/>
      <c r="IGG22" s="1"/>
      <c r="IGH22" s="1"/>
      <c r="IGI22" s="1"/>
      <c r="IGJ22" s="1"/>
      <c r="IGK22" s="1"/>
      <c r="IGL22" s="1"/>
      <c r="IGM22" s="1"/>
      <c r="IGN22" s="1"/>
      <c r="IGO22" s="1"/>
      <c r="IGP22" s="1"/>
      <c r="IGQ22" s="1"/>
      <c r="IGR22" s="1"/>
      <c r="IGS22" s="1"/>
      <c r="IGT22" s="1"/>
      <c r="IGU22" s="1"/>
      <c r="IGV22" s="1"/>
      <c r="IGW22" s="1"/>
      <c r="IGX22" s="1"/>
      <c r="IGY22" s="1"/>
      <c r="IGZ22" s="1"/>
      <c r="IHA22" s="1"/>
      <c r="IHB22" s="1"/>
      <c r="IHC22" s="1"/>
      <c r="IHD22" s="1"/>
      <c r="IHE22" s="1"/>
      <c r="IHF22" s="1"/>
      <c r="IHG22" s="1"/>
      <c r="IHH22" s="1"/>
      <c r="IHI22" s="1"/>
      <c r="IHJ22" s="1"/>
      <c r="IHK22" s="1"/>
      <c r="IHL22" s="1"/>
      <c r="IHM22" s="1"/>
      <c r="IHN22" s="1"/>
      <c r="IHO22" s="1"/>
      <c r="IHP22" s="1"/>
      <c r="IHQ22" s="1"/>
      <c r="IHR22" s="1"/>
      <c r="IHS22" s="1"/>
      <c r="IHT22" s="1"/>
      <c r="IHU22" s="1"/>
      <c r="IHV22" s="1"/>
      <c r="IHW22" s="1"/>
      <c r="IHX22" s="1"/>
      <c r="IHY22" s="1"/>
      <c r="IHZ22" s="1"/>
      <c r="IIA22" s="1"/>
      <c r="IIB22" s="1"/>
      <c r="IIC22" s="1"/>
      <c r="IID22" s="1"/>
      <c r="IIE22" s="1"/>
      <c r="IIF22" s="1"/>
      <c r="IIG22" s="1"/>
      <c r="IIH22" s="1"/>
      <c r="III22" s="1"/>
      <c r="IIJ22" s="1"/>
      <c r="IIK22" s="1"/>
      <c r="IIL22" s="1"/>
      <c r="IIM22" s="1"/>
      <c r="IIN22" s="1"/>
      <c r="IIO22" s="1"/>
      <c r="IIP22" s="1"/>
      <c r="IIQ22" s="1"/>
      <c r="IIR22" s="1"/>
      <c r="IIS22" s="1"/>
      <c r="IIT22" s="1"/>
      <c r="IIU22" s="1"/>
      <c r="IIV22" s="1"/>
      <c r="IIW22" s="1"/>
      <c r="IIX22" s="1"/>
      <c r="IIY22" s="1"/>
      <c r="IIZ22" s="1"/>
      <c r="IJA22" s="1"/>
      <c r="IJB22" s="1"/>
      <c r="IJC22" s="1"/>
      <c r="IJD22" s="1"/>
      <c r="IJE22" s="1"/>
      <c r="IJF22" s="1"/>
      <c r="IJG22" s="1"/>
      <c r="IJH22" s="1"/>
      <c r="IJI22" s="1"/>
      <c r="IJJ22" s="1"/>
      <c r="IJK22" s="1"/>
      <c r="IJL22" s="1"/>
      <c r="IJM22" s="1"/>
      <c r="IJN22" s="1"/>
      <c r="IJO22" s="1"/>
      <c r="IJP22" s="1"/>
      <c r="IJQ22" s="1"/>
      <c r="IJR22" s="1"/>
      <c r="IJS22" s="1"/>
      <c r="IJT22" s="1"/>
      <c r="IJU22" s="1"/>
      <c r="IJV22" s="1"/>
      <c r="IJW22" s="1"/>
      <c r="IJX22" s="1"/>
      <c r="IJY22" s="1"/>
      <c r="IJZ22" s="1"/>
      <c r="IKA22" s="1"/>
      <c r="IKB22" s="1"/>
      <c r="IKC22" s="1"/>
      <c r="IKD22" s="1"/>
      <c r="IKE22" s="1"/>
      <c r="IKF22" s="1"/>
      <c r="IKG22" s="1"/>
      <c r="IKH22" s="1"/>
      <c r="IKI22" s="1"/>
      <c r="IKJ22" s="1"/>
      <c r="IKK22" s="1"/>
      <c r="IKL22" s="1"/>
      <c r="IKM22" s="1"/>
      <c r="IKN22" s="1"/>
      <c r="IKO22" s="1"/>
      <c r="IKP22" s="1"/>
      <c r="IKQ22" s="1"/>
      <c r="IKR22" s="1"/>
      <c r="IKS22" s="1"/>
      <c r="IKT22" s="1"/>
      <c r="IKU22" s="1"/>
      <c r="IKV22" s="1"/>
      <c r="IKW22" s="1"/>
      <c r="IKX22" s="1"/>
      <c r="IKY22" s="1"/>
      <c r="IKZ22" s="1"/>
      <c r="ILA22" s="1"/>
      <c r="ILB22" s="1"/>
      <c r="ILC22" s="1"/>
      <c r="ILD22" s="1"/>
      <c r="ILE22" s="1"/>
      <c r="ILF22" s="1"/>
      <c r="ILG22" s="1"/>
      <c r="ILH22" s="1"/>
      <c r="ILI22" s="1"/>
      <c r="ILJ22" s="1"/>
      <c r="ILK22" s="1"/>
      <c r="ILL22" s="1"/>
      <c r="ILM22" s="1"/>
      <c r="ILN22" s="1"/>
      <c r="ILO22" s="1"/>
      <c r="ILP22" s="1"/>
      <c r="ILQ22" s="1"/>
      <c r="ILR22" s="1"/>
      <c r="ILS22" s="1"/>
      <c r="ILT22" s="1"/>
      <c r="ILU22" s="1"/>
      <c r="ILV22" s="1"/>
      <c r="ILW22" s="1"/>
      <c r="ILX22" s="1"/>
      <c r="ILY22" s="1"/>
      <c r="ILZ22" s="1"/>
      <c r="IMA22" s="1"/>
      <c r="IMB22" s="1"/>
      <c r="IMC22" s="1"/>
      <c r="IMD22" s="1"/>
      <c r="IME22" s="1"/>
      <c r="IMF22" s="1"/>
      <c r="IMG22" s="1"/>
      <c r="IMH22" s="1"/>
      <c r="IMI22" s="1"/>
      <c r="IMJ22" s="1"/>
      <c r="IMK22" s="1"/>
      <c r="IML22" s="1"/>
      <c r="IMM22" s="1"/>
      <c r="IMN22" s="1"/>
      <c r="IMO22" s="1"/>
      <c r="IMP22" s="1"/>
      <c r="IMQ22" s="1"/>
      <c r="IMR22" s="1"/>
      <c r="IMS22" s="1"/>
      <c r="IMT22" s="1"/>
      <c r="IMU22" s="1"/>
      <c r="IMV22" s="1"/>
      <c r="IMW22" s="1"/>
      <c r="IMX22" s="1"/>
      <c r="IMY22" s="1"/>
      <c r="IMZ22" s="1"/>
      <c r="INA22" s="1"/>
      <c r="INB22" s="1"/>
      <c r="INC22" s="1"/>
      <c r="IND22" s="1"/>
      <c r="INE22" s="1"/>
      <c r="INF22" s="1"/>
      <c r="ING22" s="1"/>
      <c r="INH22" s="1"/>
      <c r="INI22" s="1"/>
      <c r="INJ22" s="1"/>
      <c r="INK22" s="1"/>
      <c r="INL22" s="1"/>
      <c r="INM22" s="1"/>
      <c r="INN22" s="1"/>
      <c r="INO22" s="1"/>
      <c r="INP22" s="1"/>
      <c r="INQ22" s="1"/>
      <c r="INR22" s="1"/>
      <c r="INS22" s="1"/>
      <c r="INT22" s="1"/>
      <c r="INU22" s="1"/>
      <c r="INV22" s="1"/>
      <c r="INW22" s="1"/>
      <c r="INX22" s="1"/>
      <c r="INY22" s="1"/>
      <c r="INZ22" s="1"/>
      <c r="IOA22" s="1"/>
      <c r="IOB22" s="1"/>
      <c r="IOC22" s="1"/>
      <c r="IOD22" s="1"/>
      <c r="IOE22" s="1"/>
      <c r="IOF22" s="1"/>
      <c r="IOG22" s="1"/>
      <c r="IOH22" s="1"/>
      <c r="IOI22" s="1"/>
      <c r="IOJ22" s="1"/>
      <c r="IOK22" s="1"/>
      <c r="IOL22" s="1"/>
      <c r="IOM22" s="1"/>
      <c r="ION22" s="1"/>
      <c r="IOO22" s="1"/>
      <c r="IOP22" s="1"/>
      <c r="IOQ22" s="1"/>
      <c r="IOR22" s="1"/>
      <c r="IOS22" s="1"/>
      <c r="IOT22" s="1"/>
      <c r="IOU22" s="1"/>
      <c r="IOV22" s="1"/>
      <c r="IOW22" s="1"/>
      <c r="IOX22" s="1"/>
      <c r="IOY22" s="1"/>
      <c r="IOZ22" s="1"/>
      <c r="IPA22" s="1"/>
      <c r="IPB22" s="1"/>
      <c r="IPC22" s="1"/>
      <c r="IPD22" s="1"/>
      <c r="IPE22" s="1"/>
      <c r="IPF22" s="1"/>
      <c r="IPG22" s="1"/>
      <c r="IPH22" s="1"/>
      <c r="IPI22" s="1"/>
      <c r="IPJ22" s="1"/>
      <c r="IPK22" s="1"/>
      <c r="IPL22" s="1"/>
      <c r="IPM22" s="1"/>
      <c r="IPN22" s="1"/>
      <c r="IPO22" s="1"/>
      <c r="IPP22" s="1"/>
      <c r="IPQ22" s="1"/>
      <c r="IPR22" s="1"/>
      <c r="IPS22" s="1"/>
      <c r="IPT22" s="1"/>
      <c r="IPU22" s="1"/>
      <c r="IPV22" s="1"/>
      <c r="IPW22" s="1"/>
      <c r="IPX22" s="1"/>
      <c r="IPY22" s="1"/>
      <c r="IPZ22" s="1"/>
      <c r="IQA22" s="1"/>
      <c r="IQB22" s="1"/>
      <c r="IQC22" s="1"/>
      <c r="IQD22" s="1"/>
      <c r="IQE22" s="1"/>
      <c r="IQF22" s="1"/>
      <c r="IQG22" s="1"/>
      <c r="IQH22" s="1"/>
      <c r="IQI22" s="1"/>
      <c r="IQJ22" s="1"/>
      <c r="IQK22" s="1"/>
      <c r="IQL22" s="1"/>
      <c r="IQM22" s="1"/>
      <c r="IQN22" s="1"/>
      <c r="IQO22" s="1"/>
      <c r="IQP22" s="1"/>
      <c r="IQQ22" s="1"/>
      <c r="IQR22" s="1"/>
      <c r="IQS22" s="1"/>
      <c r="IQT22" s="1"/>
      <c r="IQU22" s="1"/>
      <c r="IQV22" s="1"/>
      <c r="IQW22" s="1"/>
      <c r="IQX22" s="1"/>
      <c r="IQY22" s="1"/>
      <c r="IQZ22" s="1"/>
      <c r="IRA22" s="1"/>
      <c r="IRB22" s="1"/>
      <c r="IRC22" s="1"/>
      <c r="IRD22" s="1"/>
      <c r="IRE22" s="1"/>
      <c r="IRF22" s="1"/>
      <c r="IRG22" s="1"/>
      <c r="IRH22" s="1"/>
      <c r="IRI22" s="1"/>
      <c r="IRJ22" s="1"/>
      <c r="IRK22" s="1"/>
      <c r="IRL22" s="1"/>
      <c r="IRM22" s="1"/>
      <c r="IRN22" s="1"/>
      <c r="IRO22" s="1"/>
      <c r="IRP22" s="1"/>
      <c r="IRQ22" s="1"/>
      <c r="IRR22" s="1"/>
      <c r="IRS22" s="1"/>
      <c r="IRT22" s="1"/>
      <c r="IRU22" s="1"/>
      <c r="IRV22" s="1"/>
      <c r="IRW22" s="1"/>
      <c r="IRX22" s="1"/>
      <c r="IRY22" s="1"/>
      <c r="IRZ22" s="1"/>
      <c r="ISA22" s="1"/>
      <c r="ISB22" s="1"/>
      <c r="ISC22" s="1"/>
      <c r="ISD22" s="1"/>
      <c r="ISE22" s="1"/>
      <c r="ISF22" s="1"/>
      <c r="ISG22" s="1"/>
      <c r="ISH22" s="1"/>
      <c r="ISI22" s="1"/>
      <c r="ISJ22" s="1"/>
      <c r="ISK22" s="1"/>
      <c r="ISL22" s="1"/>
      <c r="ISM22" s="1"/>
      <c r="ISN22" s="1"/>
      <c r="ISO22" s="1"/>
      <c r="ISP22" s="1"/>
      <c r="ISQ22" s="1"/>
      <c r="ISR22" s="1"/>
      <c r="ISS22" s="1"/>
      <c r="IST22" s="1"/>
      <c r="ISU22" s="1"/>
      <c r="ISV22" s="1"/>
      <c r="ISW22" s="1"/>
      <c r="ISX22" s="1"/>
      <c r="ISY22" s="1"/>
      <c r="ISZ22" s="1"/>
      <c r="ITA22" s="1"/>
      <c r="ITB22" s="1"/>
      <c r="ITC22" s="1"/>
      <c r="ITD22" s="1"/>
      <c r="ITE22" s="1"/>
      <c r="ITF22" s="1"/>
      <c r="ITG22" s="1"/>
      <c r="ITH22" s="1"/>
      <c r="ITI22" s="1"/>
      <c r="ITJ22" s="1"/>
      <c r="ITK22" s="1"/>
      <c r="ITL22" s="1"/>
      <c r="ITM22" s="1"/>
      <c r="ITN22" s="1"/>
      <c r="ITO22" s="1"/>
      <c r="ITP22" s="1"/>
      <c r="ITQ22" s="1"/>
      <c r="ITR22" s="1"/>
      <c r="ITS22" s="1"/>
      <c r="ITT22" s="1"/>
      <c r="ITU22" s="1"/>
      <c r="ITV22" s="1"/>
      <c r="ITW22" s="1"/>
      <c r="ITX22" s="1"/>
      <c r="ITY22" s="1"/>
      <c r="ITZ22" s="1"/>
      <c r="IUA22" s="1"/>
      <c r="IUB22" s="1"/>
      <c r="IUC22" s="1"/>
      <c r="IUD22" s="1"/>
      <c r="IUE22" s="1"/>
      <c r="IUF22" s="1"/>
      <c r="IUG22" s="1"/>
      <c r="IUH22" s="1"/>
      <c r="IUI22" s="1"/>
      <c r="IUJ22" s="1"/>
      <c r="IUK22" s="1"/>
      <c r="IUL22" s="1"/>
      <c r="IUM22" s="1"/>
      <c r="IUN22" s="1"/>
      <c r="IUO22" s="1"/>
      <c r="IUP22" s="1"/>
      <c r="IUQ22" s="1"/>
      <c r="IUR22" s="1"/>
      <c r="IUS22" s="1"/>
      <c r="IUT22" s="1"/>
      <c r="IUU22" s="1"/>
      <c r="IUV22" s="1"/>
      <c r="IUW22" s="1"/>
      <c r="IUX22" s="1"/>
      <c r="IUY22" s="1"/>
      <c r="IUZ22" s="1"/>
      <c r="IVA22" s="1"/>
      <c r="IVB22" s="1"/>
      <c r="IVC22" s="1"/>
      <c r="IVD22" s="1"/>
      <c r="IVE22" s="1"/>
      <c r="IVF22" s="1"/>
      <c r="IVG22" s="1"/>
      <c r="IVH22" s="1"/>
      <c r="IVI22" s="1"/>
      <c r="IVJ22" s="1"/>
      <c r="IVK22" s="1"/>
      <c r="IVL22" s="1"/>
      <c r="IVM22" s="1"/>
      <c r="IVN22" s="1"/>
      <c r="IVO22" s="1"/>
      <c r="IVP22" s="1"/>
      <c r="IVQ22" s="1"/>
      <c r="IVR22" s="1"/>
      <c r="IVS22" s="1"/>
      <c r="IVT22" s="1"/>
      <c r="IVU22" s="1"/>
      <c r="IVV22" s="1"/>
      <c r="IVW22" s="1"/>
      <c r="IVX22" s="1"/>
      <c r="IVY22" s="1"/>
      <c r="IVZ22" s="1"/>
      <c r="IWA22" s="1"/>
      <c r="IWB22" s="1"/>
      <c r="IWC22" s="1"/>
      <c r="IWD22" s="1"/>
      <c r="IWE22" s="1"/>
      <c r="IWF22" s="1"/>
      <c r="IWG22" s="1"/>
      <c r="IWH22" s="1"/>
      <c r="IWI22" s="1"/>
      <c r="IWJ22" s="1"/>
      <c r="IWK22" s="1"/>
      <c r="IWL22" s="1"/>
      <c r="IWM22" s="1"/>
      <c r="IWN22" s="1"/>
      <c r="IWO22" s="1"/>
      <c r="IWP22" s="1"/>
      <c r="IWQ22" s="1"/>
      <c r="IWR22" s="1"/>
      <c r="IWS22" s="1"/>
      <c r="IWT22" s="1"/>
      <c r="IWU22" s="1"/>
      <c r="IWV22" s="1"/>
      <c r="IWW22" s="1"/>
      <c r="IWX22" s="1"/>
      <c r="IWY22" s="1"/>
      <c r="IWZ22" s="1"/>
      <c r="IXA22" s="1"/>
      <c r="IXB22" s="1"/>
      <c r="IXC22" s="1"/>
      <c r="IXD22" s="1"/>
      <c r="IXE22" s="1"/>
      <c r="IXF22" s="1"/>
      <c r="IXG22" s="1"/>
      <c r="IXH22" s="1"/>
      <c r="IXI22" s="1"/>
      <c r="IXJ22" s="1"/>
      <c r="IXK22" s="1"/>
      <c r="IXL22" s="1"/>
      <c r="IXM22" s="1"/>
      <c r="IXN22" s="1"/>
      <c r="IXO22" s="1"/>
      <c r="IXP22" s="1"/>
      <c r="IXQ22" s="1"/>
      <c r="IXR22" s="1"/>
      <c r="IXS22" s="1"/>
      <c r="IXT22" s="1"/>
      <c r="IXU22" s="1"/>
      <c r="IXV22" s="1"/>
      <c r="IXW22" s="1"/>
      <c r="IXX22" s="1"/>
      <c r="IXY22" s="1"/>
      <c r="IXZ22" s="1"/>
      <c r="IYA22" s="1"/>
      <c r="IYB22" s="1"/>
      <c r="IYC22" s="1"/>
      <c r="IYD22" s="1"/>
      <c r="IYE22" s="1"/>
      <c r="IYF22" s="1"/>
      <c r="IYG22" s="1"/>
      <c r="IYH22" s="1"/>
      <c r="IYI22" s="1"/>
      <c r="IYJ22" s="1"/>
      <c r="IYK22" s="1"/>
      <c r="IYL22" s="1"/>
      <c r="IYM22" s="1"/>
      <c r="IYN22" s="1"/>
      <c r="IYO22" s="1"/>
      <c r="IYP22" s="1"/>
      <c r="IYQ22" s="1"/>
      <c r="IYR22" s="1"/>
      <c r="IYS22" s="1"/>
      <c r="IYT22" s="1"/>
      <c r="IYU22" s="1"/>
      <c r="IYV22" s="1"/>
      <c r="IYW22" s="1"/>
      <c r="IYX22" s="1"/>
      <c r="IYY22" s="1"/>
      <c r="IYZ22" s="1"/>
      <c r="IZA22" s="1"/>
      <c r="IZB22" s="1"/>
      <c r="IZC22" s="1"/>
      <c r="IZD22" s="1"/>
      <c r="IZE22" s="1"/>
      <c r="IZF22" s="1"/>
      <c r="IZG22" s="1"/>
      <c r="IZH22" s="1"/>
      <c r="IZI22" s="1"/>
      <c r="IZJ22" s="1"/>
      <c r="IZK22" s="1"/>
      <c r="IZL22" s="1"/>
      <c r="IZM22" s="1"/>
      <c r="IZN22" s="1"/>
      <c r="IZO22" s="1"/>
      <c r="IZP22" s="1"/>
      <c r="IZQ22" s="1"/>
      <c r="IZR22" s="1"/>
      <c r="IZS22" s="1"/>
      <c r="IZT22" s="1"/>
      <c r="IZU22" s="1"/>
      <c r="IZV22" s="1"/>
      <c r="IZW22" s="1"/>
      <c r="IZX22" s="1"/>
      <c r="IZY22" s="1"/>
      <c r="IZZ22" s="1"/>
      <c r="JAA22" s="1"/>
      <c r="JAB22" s="1"/>
      <c r="JAC22" s="1"/>
      <c r="JAD22" s="1"/>
      <c r="JAE22" s="1"/>
      <c r="JAF22" s="1"/>
      <c r="JAG22" s="1"/>
      <c r="JAH22" s="1"/>
      <c r="JAI22" s="1"/>
      <c r="JAJ22" s="1"/>
      <c r="JAK22" s="1"/>
      <c r="JAL22" s="1"/>
      <c r="JAM22" s="1"/>
      <c r="JAN22" s="1"/>
      <c r="JAO22" s="1"/>
      <c r="JAP22" s="1"/>
      <c r="JAQ22" s="1"/>
      <c r="JAR22" s="1"/>
      <c r="JAS22" s="1"/>
      <c r="JAT22" s="1"/>
      <c r="JAU22" s="1"/>
      <c r="JAV22" s="1"/>
      <c r="JAW22" s="1"/>
      <c r="JAX22" s="1"/>
      <c r="JAY22" s="1"/>
      <c r="JAZ22" s="1"/>
      <c r="JBA22" s="1"/>
      <c r="JBB22" s="1"/>
      <c r="JBC22" s="1"/>
      <c r="JBD22" s="1"/>
      <c r="JBE22" s="1"/>
      <c r="JBF22" s="1"/>
      <c r="JBG22" s="1"/>
      <c r="JBH22" s="1"/>
      <c r="JBI22" s="1"/>
      <c r="JBJ22" s="1"/>
      <c r="JBK22" s="1"/>
      <c r="JBL22" s="1"/>
      <c r="JBM22" s="1"/>
      <c r="JBN22" s="1"/>
      <c r="JBO22" s="1"/>
      <c r="JBP22" s="1"/>
      <c r="JBQ22" s="1"/>
      <c r="JBR22" s="1"/>
      <c r="JBS22" s="1"/>
      <c r="JBT22" s="1"/>
      <c r="JBU22" s="1"/>
      <c r="JBV22" s="1"/>
      <c r="JBW22" s="1"/>
      <c r="JBX22" s="1"/>
      <c r="JBY22" s="1"/>
      <c r="JBZ22" s="1"/>
      <c r="JCA22" s="1"/>
      <c r="JCB22" s="1"/>
      <c r="JCC22" s="1"/>
      <c r="JCD22" s="1"/>
      <c r="JCE22" s="1"/>
      <c r="JCF22" s="1"/>
      <c r="JCG22" s="1"/>
      <c r="JCH22" s="1"/>
      <c r="JCI22" s="1"/>
      <c r="JCJ22" s="1"/>
      <c r="JCK22" s="1"/>
      <c r="JCL22" s="1"/>
      <c r="JCM22" s="1"/>
      <c r="JCN22" s="1"/>
      <c r="JCO22" s="1"/>
      <c r="JCP22" s="1"/>
      <c r="JCQ22" s="1"/>
      <c r="JCR22" s="1"/>
      <c r="JCS22" s="1"/>
      <c r="JCT22" s="1"/>
      <c r="JCU22" s="1"/>
      <c r="JCV22" s="1"/>
      <c r="JCW22" s="1"/>
      <c r="JCX22" s="1"/>
      <c r="JCY22" s="1"/>
      <c r="JCZ22" s="1"/>
      <c r="JDA22" s="1"/>
      <c r="JDB22" s="1"/>
      <c r="JDC22" s="1"/>
      <c r="JDD22" s="1"/>
      <c r="JDE22" s="1"/>
      <c r="JDF22" s="1"/>
      <c r="JDG22" s="1"/>
      <c r="JDH22" s="1"/>
      <c r="JDI22" s="1"/>
      <c r="JDJ22" s="1"/>
      <c r="JDK22" s="1"/>
      <c r="JDL22" s="1"/>
      <c r="JDM22" s="1"/>
      <c r="JDN22" s="1"/>
      <c r="JDO22" s="1"/>
      <c r="JDP22" s="1"/>
      <c r="JDQ22" s="1"/>
      <c r="JDR22" s="1"/>
      <c r="JDS22" s="1"/>
      <c r="JDT22" s="1"/>
      <c r="JDU22" s="1"/>
      <c r="JDV22" s="1"/>
      <c r="JDW22" s="1"/>
      <c r="JDX22" s="1"/>
      <c r="JDY22" s="1"/>
      <c r="JDZ22" s="1"/>
      <c r="JEA22" s="1"/>
      <c r="JEB22" s="1"/>
      <c r="JEC22" s="1"/>
      <c r="JED22" s="1"/>
      <c r="JEE22" s="1"/>
      <c r="JEF22" s="1"/>
      <c r="JEG22" s="1"/>
      <c r="JEH22" s="1"/>
      <c r="JEI22" s="1"/>
      <c r="JEJ22" s="1"/>
      <c r="JEK22" s="1"/>
      <c r="JEL22" s="1"/>
      <c r="JEM22" s="1"/>
      <c r="JEN22" s="1"/>
      <c r="JEO22" s="1"/>
      <c r="JEP22" s="1"/>
      <c r="JEQ22" s="1"/>
      <c r="JER22" s="1"/>
      <c r="JES22" s="1"/>
      <c r="JET22" s="1"/>
      <c r="JEU22" s="1"/>
      <c r="JEV22" s="1"/>
      <c r="JEW22" s="1"/>
      <c r="JEX22" s="1"/>
      <c r="JEY22" s="1"/>
      <c r="JEZ22" s="1"/>
      <c r="JFA22" s="1"/>
      <c r="JFB22" s="1"/>
      <c r="JFC22" s="1"/>
      <c r="JFD22" s="1"/>
      <c r="JFE22" s="1"/>
      <c r="JFF22" s="1"/>
      <c r="JFG22" s="1"/>
      <c r="JFH22" s="1"/>
      <c r="JFI22" s="1"/>
      <c r="JFJ22" s="1"/>
      <c r="JFK22" s="1"/>
      <c r="JFL22" s="1"/>
      <c r="JFM22" s="1"/>
      <c r="JFN22" s="1"/>
      <c r="JFO22" s="1"/>
      <c r="JFP22" s="1"/>
      <c r="JFQ22" s="1"/>
      <c r="JFR22" s="1"/>
      <c r="JFS22" s="1"/>
      <c r="JFT22" s="1"/>
      <c r="JFU22" s="1"/>
      <c r="JFV22" s="1"/>
      <c r="JFW22" s="1"/>
      <c r="JFX22" s="1"/>
      <c r="JFY22" s="1"/>
      <c r="JFZ22" s="1"/>
      <c r="JGA22" s="1"/>
      <c r="JGB22" s="1"/>
      <c r="JGC22" s="1"/>
      <c r="JGD22" s="1"/>
      <c r="JGE22" s="1"/>
      <c r="JGF22" s="1"/>
      <c r="JGG22" s="1"/>
      <c r="JGH22" s="1"/>
      <c r="JGI22" s="1"/>
      <c r="JGJ22" s="1"/>
      <c r="JGK22" s="1"/>
      <c r="JGL22" s="1"/>
      <c r="JGM22" s="1"/>
      <c r="JGN22" s="1"/>
      <c r="JGO22" s="1"/>
      <c r="JGP22" s="1"/>
      <c r="JGQ22" s="1"/>
      <c r="JGR22" s="1"/>
      <c r="JGS22" s="1"/>
      <c r="JGT22" s="1"/>
      <c r="JGU22" s="1"/>
      <c r="JGV22" s="1"/>
      <c r="JGW22" s="1"/>
      <c r="JGX22" s="1"/>
      <c r="JGY22" s="1"/>
      <c r="JGZ22" s="1"/>
      <c r="JHA22" s="1"/>
      <c r="JHB22" s="1"/>
      <c r="JHC22" s="1"/>
      <c r="JHD22" s="1"/>
      <c r="JHE22" s="1"/>
      <c r="JHF22" s="1"/>
      <c r="JHG22" s="1"/>
      <c r="JHH22" s="1"/>
      <c r="JHI22" s="1"/>
      <c r="JHJ22" s="1"/>
      <c r="JHK22" s="1"/>
      <c r="JHL22" s="1"/>
      <c r="JHM22" s="1"/>
      <c r="JHN22" s="1"/>
      <c r="JHO22" s="1"/>
      <c r="JHP22" s="1"/>
      <c r="JHQ22" s="1"/>
      <c r="JHR22" s="1"/>
      <c r="JHS22" s="1"/>
      <c r="JHT22" s="1"/>
      <c r="JHU22" s="1"/>
      <c r="JHV22" s="1"/>
      <c r="JHW22" s="1"/>
      <c r="JHX22" s="1"/>
      <c r="JHY22" s="1"/>
      <c r="JHZ22" s="1"/>
      <c r="JIA22" s="1"/>
      <c r="JIB22" s="1"/>
      <c r="JIC22" s="1"/>
      <c r="JID22" s="1"/>
      <c r="JIE22" s="1"/>
      <c r="JIF22" s="1"/>
      <c r="JIG22" s="1"/>
      <c r="JIH22" s="1"/>
      <c r="JII22" s="1"/>
      <c r="JIJ22" s="1"/>
      <c r="JIK22" s="1"/>
      <c r="JIL22" s="1"/>
      <c r="JIM22" s="1"/>
      <c r="JIN22" s="1"/>
      <c r="JIO22" s="1"/>
      <c r="JIP22" s="1"/>
      <c r="JIQ22" s="1"/>
      <c r="JIR22" s="1"/>
      <c r="JIS22" s="1"/>
      <c r="JIT22" s="1"/>
      <c r="JIU22" s="1"/>
      <c r="JIV22" s="1"/>
      <c r="JIW22" s="1"/>
      <c r="JIX22" s="1"/>
      <c r="JIY22" s="1"/>
      <c r="JIZ22" s="1"/>
      <c r="JJA22" s="1"/>
      <c r="JJB22" s="1"/>
      <c r="JJC22" s="1"/>
      <c r="JJD22" s="1"/>
      <c r="JJE22" s="1"/>
      <c r="JJF22" s="1"/>
      <c r="JJG22" s="1"/>
      <c r="JJH22" s="1"/>
      <c r="JJI22" s="1"/>
      <c r="JJJ22" s="1"/>
      <c r="JJK22" s="1"/>
      <c r="JJL22" s="1"/>
      <c r="JJM22" s="1"/>
      <c r="JJN22" s="1"/>
      <c r="JJO22" s="1"/>
      <c r="JJP22" s="1"/>
      <c r="JJQ22" s="1"/>
      <c r="JJR22" s="1"/>
      <c r="JJS22" s="1"/>
      <c r="JJT22" s="1"/>
      <c r="JJU22" s="1"/>
      <c r="JJV22" s="1"/>
      <c r="JJW22" s="1"/>
      <c r="JJX22" s="1"/>
      <c r="JJY22" s="1"/>
      <c r="JJZ22" s="1"/>
      <c r="JKA22" s="1"/>
      <c r="JKB22" s="1"/>
      <c r="JKC22" s="1"/>
      <c r="JKD22" s="1"/>
      <c r="JKE22" s="1"/>
      <c r="JKF22" s="1"/>
      <c r="JKG22" s="1"/>
      <c r="JKH22" s="1"/>
      <c r="JKI22" s="1"/>
      <c r="JKJ22" s="1"/>
      <c r="JKK22" s="1"/>
      <c r="JKL22" s="1"/>
      <c r="JKM22" s="1"/>
      <c r="JKN22" s="1"/>
      <c r="JKO22" s="1"/>
      <c r="JKP22" s="1"/>
      <c r="JKQ22" s="1"/>
      <c r="JKR22" s="1"/>
      <c r="JKS22" s="1"/>
      <c r="JKT22" s="1"/>
      <c r="JKU22" s="1"/>
      <c r="JKV22" s="1"/>
      <c r="JKW22" s="1"/>
      <c r="JKX22" s="1"/>
      <c r="JKY22" s="1"/>
      <c r="JKZ22" s="1"/>
      <c r="JLA22" s="1"/>
      <c r="JLB22" s="1"/>
      <c r="JLC22" s="1"/>
      <c r="JLD22" s="1"/>
      <c r="JLE22" s="1"/>
      <c r="JLF22" s="1"/>
      <c r="JLG22" s="1"/>
      <c r="JLH22" s="1"/>
      <c r="JLI22" s="1"/>
      <c r="JLJ22" s="1"/>
      <c r="JLK22" s="1"/>
      <c r="JLL22" s="1"/>
      <c r="JLM22" s="1"/>
      <c r="JLN22" s="1"/>
      <c r="JLO22" s="1"/>
      <c r="JLP22" s="1"/>
      <c r="JLQ22" s="1"/>
      <c r="JLR22" s="1"/>
      <c r="JLS22" s="1"/>
      <c r="JLT22" s="1"/>
      <c r="JLU22" s="1"/>
      <c r="JLV22" s="1"/>
      <c r="JLW22" s="1"/>
      <c r="JLX22" s="1"/>
      <c r="JLY22" s="1"/>
      <c r="JLZ22" s="1"/>
      <c r="JMA22" s="1"/>
      <c r="JMB22" s="1"/>
      <c r="JMC22" s="1"/>
      <c r="JMD22" s="1"/>
      <c r="JME22" s="1"/>
      <c r="JMF22" s="1"/>
      <c r="JMG22" s="1"/>
      <c r="JMH22" s="1"/>
      <c r="JMI22" s="1"/>
      <c r="JMJ22" s="1"/>
      <c r="JMK22" s="1"/>
      <c r="JML22" s="1"/>
      <c r="JMM22" s="1"/>
      <c r="JMN22" s="1"/>
      <c r="JMO22" s="1"/>
      <c r="JMP22" s="1"/>
      <c r="JMQ22" s="1"/>
      <c r="JMR22" s="1"/>
      <c r="JMS22" s="1"/>
      <c r="JMT22" s="1"/>
      <c r="JMU22" s="1"/>
      <c r="JMV22" s="1"/>
      <c r="JMW22" s="1"/>
      <c r="JMX22" s="1"/>
      <c r="JMY22" s="1"/>
      <c r="JMZ22" s="1"/>
      <c r="JNA22" s="1"/>
      <c r="JNB22" s="1"/>
      <c r="JNC22" s="1"/>
      <c r="JND22" s="1"/>
      <c r="JNE22" s="1"/>
      <c r="JNF22" s="1"/>
      <c r="JNG22" s="1"/>
      <c r="JNH22" s="1"/>
      <c r="JNI22" s="1"/>
      <c r="JNJ22" s="1"/>
      <c r="JNK22" s="1"/>
      <c r="JNL22" s="1"/>
      <c r="JNM22" s="1"/>
      <c r="JNN22" s="1"/>
      <c r="JNO22" s="1"/>
      <c r="JNP22" s="1"/>
      <c r="JNQ22" s="1"/>
      <c r="JNR22" s="1"/>
      <c r="JNS22" s="1"/>
      <c r="JNT22" s="1"/>
      <c r="JNU22" s="1"/>
      <c r="JNV22" s="1"/>
      <c r="JNW22" s="1"/>
      <c r="JNX22" s="1"/>
      <c r="JNY22" s="1"/>
      <c r="JNZ22" s="1"/>
      <c r="JOA22" s="1"/>
      <c r="JOB22" s="1"/>
      <c r="JOC22" s="1"/>
      <c r="JOD22" s="1"/>
      <c r="JOE22" s="1"/>
      <c r="JOF22" s="1"/>
      <c r="JOG22" s="1"/>
      <c r="JOH22" s="1"/>
      <c r="JOI22" s="1"/>
      <c r="JOJ22" s="1"/>
      <c r="JOK22" s="1"/>
      <c r="JOL22" s="1"/>
      <c r="JOM22" s="1"/>
      <c r="JON22" s="1"/>
      <c r="JOO22" s="1"/>
      <c r="JOP22" s="1"/>
      <c r="JOQ22" s="1"/>
      <c r="JOR22" s="1"/>
      <c r="JOS22" s="1"/>
      <c r="JOT22" s="1"/>
      <c r="JOU22" s="1"/>
      <c r="JOV22" s="1"/>
      <c r="JOW22" s="1"/>
      <c r="JOX22" s="1"/>
      <c r="JOY22" s="1"/>
      <c r="JOZ22" s="1"/>
      <c r="JPA22" s="1"/>
      <c r="JPB22" s="1"/>
      <c r="JPC22" s="1"/>
      <c r="JPD22" s="1"/>
      <c r="JPE22" s="1"/>
      <c r="JPF22" s="1"/>
      <c r="JPG22" s="1"/>
      <c r="JPH22" s="1"/>
      <c r="JPI22" s="1"/>
      <c r="JPJ22" s="1"/>
      <c r="JPK22" s="1"/>
      <c r="JPL22" s="1"/>
      <c r="JPM22" s="1"/>
      <c r="JPN22" s="1"/>
      <c r="JPO22" s="1"/>
      <c r="JPP22" s="1"/>
      <c r="JPQ22" s="1"/>
      <c r="JPR22" s="1"/>
      <c r="JPS22" s="1"/>
      <c r="JPT22" s="1"/>
      <c r="JPU22" s="1"/>
      <c r="JPV22" s="1"/>
      <c r="JPW22" s="1"/>
      <c r="JPX22" s="1"/>
      <c r="JPY22" s="1"/>
      <c r="JPZ22" s="1"/>
      <c r="JQA22" s="1"/>
      <c r="JQB22" s="1"/>
      <c r="JQC22" s="1"/>
      <c r="JQD22" s="1"/>
      <c r="JQE22" s="1"/>
      <c r="JQF22" s="1"/>
      <c r="JQG22" s="1"/>
      <c r="JQH22" s="1"/>
      <c r="JQI22" s="1"/>
      <c r="JQJ22" s="1"/>
      <c r="JQK22" s="1"/>
      <c r="JQL22" s="1"/>
      <c r="JQM22" s="1"/>
      <c r="JQN22" s="1"/>
      <c r="JQO22" s="1"/>
      <c r="JQP22" s="1"/>
      <c r="JQQ22" s="1"/>
      <c r="JQR22" s="1"/>
      <c r="JQS22" s="1"/>
      <c r="JQT22" s="1"/>
      <c r="JQU22" s="1"/>
      <c r="JQV22" s="1"/>
      <c r="JQW22" s="1"/>
      <c r="JQX22" s="1"/>
      <c r="JQY22" s="1"/>
      <c r="JQZ22" s="1"/>
      <c r="JRA22" s="1"/>
      <c r="JRB22" s="1"/>
      <c r="JRC22" s="1"/>
      <c r="JRD22" s="1"/>
      <c r="JRE22" s="1"/>
      <c r="JRF22" s="1"/>
      <c r="JRG22" s="1"/>
      <c r="JRH22" s="1"/>
      <c r="JRI22" s="1"/>
      <c r="JRJ22" s="1"/>
      <c r="JRK22" s="1"/>
      <c r="JRL22" s="1"/>
      <c r="JRM22" s="1"/>
      <c r="JRN22" s="1"/>
      <c r="JRO22" s="1"/>
      <c r="JRP22" s="1"/>
      <c r="JRQ22" s="1"/>
      <c r="JRR22" s="1"/>
      <c r="JRS22" s="1"/>
      <c r="JRT22" s="1"/>
      <c r="JRU22" s="1"/>
      <c r="JRV22" s="1"/>
      <c r="JRW22" s="1"/>
      <c r="JRX22" s="1"/>
      <c r="JRY22" s="1"/>
      <c r="JRZ22" s="1"/>
      <c r="JSA22" s="1"/>
      <c r="JSB22" s="1"/>
      <c r="JSC22" s="1"/>
      <c r="JSD22" s="1"/>
      <c r="JSE22" s="1"/>
      <c r="JSF22" s="1"/>
      <c r="JSG22" s="1"/>
      <c r="JSH22" s="1"/>
      <c r="JSI22" s="1"/>
      <c r="JSJ22" s="1"/>
      <c r="JSK22" s="1"/>
      <c r="JSL22" s="1"/>
      <c r="JSM22" s="1"/>
      <c r="JSN22" s="1"/>
      <c r="JSO22" s="1"/>
      <c r="JSP22" s="1"/>
      <c r="JSQ22" s="1"/>
      <c r="JSR22" s="1"/>
      <c r="JSS22" s="1"/>
      <c r="JST22" s="1"/>
      <c r="JSU22" s="1"/>
      <c r="JSV22" s="1"/>
      <c r="JSW22" s="1"/>
      <c r="JSX22" s="1"/>
      <c r="JSY22" s="1"/>
      <c r="JSZ22" s="1"/>
      <c r="JTA22" s="1"/>
      <c r="JTB22" s="1"/>
      <c r="JTC22" s="1"/>
      <c r="JTD22" s="1"/>
      <c r="JTE22" s="1"/>
      <c r="JTF22" s="1"/>
      <c r="JTG22" s="1"/>
      <c r="JTH22" s="1"/>
      <c r="JTI22" s="1"/>
      <c r="JTJ22" s="1"/>
      <c r="JTK22" s="1"/>
      <c r="JTL22" s="1"/>
      <c r="JTM22" s="1"/>
      <c r="JTN22" s="1"/>
      <c r="JTO22" s="1"/>
      <c r="JTP22" s="1"/>
      <c r="JTQ22" s="1"/>
      <c r="JTR22" s="1"/>
      <c r="JTS22" s="1"/>
      <c r="JTT22" s="1"/>
      <c r="JTU22" s="1"/>
      <c r="JTV22" s="1"/>
      <c r="JTW22" s="1"/>
      <c r="JTX22" s="1"/>
      <c r="JTY22" s="1"/>
      <c r="JTZ22" s="1"/>
      <c r="JUA22" s="1"/>
      <c r="JUB22" s="1"/>
      <c r="JUC22" s="1"/>
      <c r="JUD22" s="1"/>
      <c r="JUE22" s="1"/>
      <c r="JUF22" s="1"/>
      <c r="JUG22" s="1"/>
      <c r="JUH22" s="1"/>
      <c r="JUI22" s="1"/>
      <c r="JUJ22" s="1"/>
      <c r="JUK22" s="1"/>
      <c r="JUL22" s="1"/>
      <c r="JUM22" s="1"/>
      <c r="JUN22" s="1"/>
      <c r="JUO22" s="1"/>
      <c r="JUP22" s="1"/>
      <c r="JUQ22" s="1"/>
      <c r="JUR22" s="1"/>
      <c r="JUS22" s="1"/>
      <c r="JUT22" s="1"/>
      <c r="JUU22" s="1"/>
      <c r="JUV22" s="1"/>
      <c r="JUW22" s="1"/>
      <c r="JUX22" s="1"/>
      <c r="JUY22" s="1"/>
      <c r="JUZ22" s="1"/>
      <c r="JVA22" s="1"/>
      <c r="JVB22" s="1"/>
      <c r="JVC22" s="1"/>
      <c r="JVD22" s="1"/>
      <c r="JVE22" s="1"/>
      <c r="JVF22" s="1"/>
      <c r="JVG22" s="1"/>
      <c r="JVH22" s="1"/>
      <c r="JVI22" s="1"/>
      <c r="JVJ22" s="1"/>
      <c r="JVK22" s="1"/>
      <c r="JVL22" s="1"/>
      <c r="JVM22" s="1"/>
      <c r="JVN22" s="1"/>
      <c r="JVO22" s="1"/>
      <c r="JVP22" s="1"/>
      <c r="JVQ22" s="1"/>
      <c r="JVR22" s="1"/>
      <c r="JVS22" s="1"/>
      <c r="JVT22" s="1"/>
      <c r="JVU22" s="1"/>
      <c r="JVV22" s="1"/>
      <c r="JVW22" s="1"/>
      <c r="JVX22" s="1"/>
      <c r="JVY22" s="1"/>
      <c r="JVZ22" s="1"/>
      <c r="JWA22" s="1"/>
      <c r="JWB22" s="1"/>
      <c r="JWC22" s="1"/>
      <c r="JWD22" s="1"/>
      <c r="JWE22" s="1"/>
      <c r="JWF22" s="1"/>
      <c r="JWG22" s="1"/>
      <c r="JWH22" s="1"/>
      <c r="JWI22" s="1"/>
      <c r="JWJ22" s="1"/>
      <c r="JWK22" s="1"/>
      <c r="JWL22" s="1"/>
      <c r="JWM22" s="1"/>
      <c r="JWN22" s="1"/>
      <c r="JWO22" s="1"/>
      <c r="JWP22" s="1"/>
      <c r="JWQ22" s="1"/>
      <c r="JWR22" s="1"/>
      <c r="JWS22" s="1"/>
      <c r="JWT22" s="1"/>
      <c r="JWU22" s="1"/>
      <c r="JWV22" s="1"/>
      <c r="JWW22" s="1"/>
      <c r="JWX22" s="1"/>
      <c r="JWY22" s="1"/>
      <c r="JWZ22" s="1"/>
      <c r="JXA22" s="1"/>
      <c r="JXB22" s="1"/>
      <c r="JXC22" s="1"/>
      <c r="JXD22" s="1"/>
      <c r="JXE22" s="1"/>
      <c r="JXF22" s="1"/>
      <c r="JXG22" s="1"/>
      <c r="JXH22" s="1"/>
      <c r="JXI22" s="1"/>
      <c r="JXJ22" s="1"/>
      <c r="JXK22" s="1"/>
      <c r="JXL22" s="1"/>
      <c r="JXM22" s="1"/>
      <c r="JXN22" s="1"/>
      <c r="JXO22" s="1"/>
      <c r="JXP22" s="1"/>
      <c r="JXQ22" s="1"/>
      <c r="JXR22" s="1"/>
      <c r="JXS22" s="1"/>
      <c r="JXT22" s="1"/>
      <c r="JXU22" s="1"/>
      <c r="JXV22" s="1"/>
      <c r="JXW22" s="1"/>
      <c r="JXX22" s="1"/>
      <c r="JXY22" s="1"/>
      <c r="JXZ22" s="1"/>
      <c r="JYA22" s="1"/>
      <c r="JYB22" s="1"/>
      <c r="JYC22" s="1"/>
      <c r="JYD22" s="1"/>
      <c r="JYE22" s="1"/>
      <c r="JYF22" s="1"/>
      <c r="JYG22" s="1"/>
      <c r="JYH22" s="1"/>
      <c r="JYI22" s="1"/>
      <c r="JYJ22" s="1"/>
      <c r="JYK22" s="1"/>
      <c r="JYL22" s="1"/>
      <c r="JYM22" s="1"/>
      <c r="JYN22" s="1"/>
      <c r="JYO22" s="1"/>
      <c r="JYP22" s="1"/>
      <c r="JYQ22" s="1"/>
      <c r="JYR22" s="1"/>
      <c r="JYS22" s="1"/>
      <c r="JYT22" s="1"/>
      <c r="JYU22" s="1"/>
      <c r="JYV22" s="1"/>
      <c r="JYW22" s="1"/>
      <c r="JYX22" s="1"/>
      <c r="JYY22" s="1"/>
      <c r="JYZ22" s="1"/>
      <c r="JZA22" s="1"/>
      <c r="JZB22" s="1"/>
      <c r="JZC22" s="1"/>
      <c r="JZD22" s="1"/>
      <c r="JZE22" s="1"/>
      <c r="JZF22" s="1"/>
      <c r="JZG22" s="1"/>
      <c r="JZH22" s="1"/>
      <c r="JZI22" s="1"/>
      <c r="JZJ22" s="1"/>
      <c r="JZK22" s="1"/>
      <c r="JZL22" s="1"/>
      <c r="JZM22" s="1"/>
      <c r="JZN22" s="1"/>
      <c r="JZO22" s="1"/>
      <c r="JZP22" s="1"/>
      <c r="JZQ22" s="1"/>
      <c r="JZR22" s="1"/>
      <c r="JZS22" s="1"/>
      <c r="JZT22" s="1"/>
      <c r="JZU22" s="1"/>
      <c r="JZV22" s="1"/>
      <c r="JZW22" s="1"/>
      <c r="JZX22" s="1"/>
      <c r="JZY22" s="1"/>
      <c r="JZZ22" s="1"/>
      <c r="KAA22" s="1"/>
      <c r="KAB22" s="1"/>
      <c r="KAC22" s="1"/>
      <c r="KAD22" s="1"/>
      <c r="KAE22" s="1"/>
      <c r="KAF22" s="1"/>
      <c r="KAG22" s="1"/>
      <c r="KAH22" s="1"/>
      <c r="KAI22" s="1"/>
      <c r="KAJ22" s="1"/>
      <c r="KAK22" s="1"/>
      <c r="KAL22" s="1"/>
      <c r="KAM22" s="1"/>
      <c r="KAN22" s="1"/>
      <c r="KAO22" s="1"/>
      <c r="KAP22" s="1"/>
      <c r="KAQ22" s="1"/>
      <c r="KAR22" s="1"/>
      <c r="KAS22" s="1"/>
      <c r="KAT22" s="1"/>
      <c r="KAU22" s="1"/>
      <c r="KAV22" s="1"/>
      <c r="KAW22" s="1"/>
      <c r="KAX22" s="1"/>
      <c r="KAY22" s="1"/>
      <c r="KAZ22" s="1"/>
      <c r="KBA22" s="1"/>
      <c r="KBB22" s="1"/>
      <c r="KBC22" s="1"/>
      <c r="KBD22" s="1"/>
      <c r="KBE22" s="1"/>
      <c r="KBF22" s="1"/>
      <c r="KBG22" s="1"/>
      <c r="KBH22" s="1"/>
      <c r="KBI22" s="1"/>
      <c r="KBJ22" s="1"/>
      <c r="KBK22" s="1"/>
      <c r="KBL22" s="1"/>
      <c r="KBM22" s="1"/>
      <c r="KBN22" s="1"/>
      <c r="KBO22" s="1"/>
      <c r="KBP22" s="1"/>
      <c r="KBQ22" s="1"/>
      <c r="KBR22" s="1"/>
      <c r="KBS22" s="1"/>
      <c r="KBT22" s="1"/>
      <c r="KBU22" s="1"/>
      <c r="KBV22" s="1"/>
      <c r="KBW22" s="1"/>
      <c r="KBX22" s="1"/>
      <c r="KBY22" s="1"/>
      <c r="KBZ22" s="1"/>
      <c r="KCA22" s="1"/>
      <c r="KCB22" s="1"/>
      <c r="KCC22" s="1"/>
      <c r="KCD22" s="1"/>
      <c r="KCE22" s="1"/>
      <c r="KCF22" s="1"/>
      <c r="KCG22" s="1"/>
      <c r="KCH22" s="1"/>
      <c r="KCI22" s="1"/>
      <c r="KCJ22" s="1"/>
      <c r="KCK22" s="1"/>
      <c r="KCL22" s="1"/>
      <c r="KCM22" s="1"/>
      <c r="KCN22" s="1"/>
      <c r="KCO22" s="1"/>
      <c r="KCP22" s="1"/>
      <c r="KCQ22" s="1"/>
      <c r="KCR22" s="1"/>
      <c r="KCS22" s="1"/>
      <c r="KCT22" s="1"/>
      <c r="KCU22" s="1"/>
      <c r="KCV22" s="1"/>
      <c r="KCW22" s="1"/>
      <c r="KCX22" s="1"/>
      <c r="KCY22" s="1"/>
      <c r="KCZ22" s="1"/>
      <c r="KDA22" s="1"/>
      <c r="KDB22" s="1"/>
      <c r="KDC22" s="1"/>
      <c r="KDD22" s="1"/>
      <c r="KDE22" s="1"/>
      <c r="KDF22" s="1"/>
      <c r="KDG22" s="1"/>
      <c r="KDH22" s="1"/>
      <c r="KDI22" s="1"/>
      <c r="KDJ22" s="1"/>
      <c r="KDK22" s="1"/>
      <c r="KDL22" s="1"/>
      <c r="KDM22" s="1"/>
      <c r="KDN22" s="1"/>
      <c r="KDO22" s="1"/>
      <c r="KDP22" s="1"/>
      <c r="KDQ22" s="1"/>
      <c r="KDR22" s="1"/>
      <c r="KDS22" s="1"/>
      <c r="KDT22" s="1"/>
      <c r="KDU22" s="1"/>
      <c r="KDV22" s="1"/>
      <c r="KDW22" s="1"/>
      <c r="KDX22" s="1"/>
      <c r="KDY22" s="1"/>
      <c r="KDZ22" s="1"/>
      <c r="KEA22" s="1"/>
      <c r="KEB22" s="1"/>
      <c r="KEC22" s="1"/>
      <c r="KED22" s="1"/>
      <c r="KEE22" s="1"/>
      <c r="KEF22" s="1"/>
      <c r="KEG22" s="1"/>
      <c r="KEH22" s="1"/>
      <c r="KEI22" s="1"/>
      <c r="KEJ22" s="1"/>
      <c r="KEK22" s="1"/>
      <c r="KEL22" s="1"/>
      <c r="KEM22" s="1"/>
      <c r="KEN22" s="1"/>
      <c r="KEO22" s="1"/>
      <c r="KEP22" s="1"/>
      <c r="KEQ22" s="1"/>
      <c r="KER22" s="1"/>
      <c r="KES22" s="1"/>
      <c r="KET22" s="1"/>
      <c r="KEU22" s="1"/>
      <c r="KEV22" s="1"/>
      <c r="KEW22" s="1"/>
      <c r="KEX22" s="1"/>
      <c r="KEY22" s="1"/>
      <c r="KEZ22" s="1"/>
      <c r="KFA22" s="1"/>
      <c r="KFB22" s="1"/>
      <c r="KFC22" s="1"/>
      <c r="KFD22" s="1"/>
      <c r="KFE22" s="1"/>
      <c r="KFF22" s="1"/>
      <c r="KFG22" s="1"/>
      <c r="KFH22" s="1"/>
      <c r="KFI22" s="1"/>
      <c r="KFJ22" s="1"/>
      <c r="KFK22" s="1"/>
      <c r="KFL22" s="1"/>
      <c r="KFM22" s="1"/>
      <c r="KFN22" s="1"/>
      <c r="KFO22" s="1"/>
      <c r="KFP22" s="1"/>
      <c r="KFQ22" s="1"/>
      <c r="KFR22" s="1"/>
      <c r="KFS22" s="1"/>
      <c r="KFT22" s="1"/>
      <c r="KFU22" s="1"/>
      <c r="KFV22" s="1"/>
      <c r="KFW22" s="1"/>
      <c r="KFX22" s="1"/>
      <c r="KFY22" s="1"/>
      <c r="KFZ22" s="1"/>
      <c r="KGA22" s="1"/>
      <c r="KGB22" s="1"/>
      <c r="KGC22" s="1"/>
      <c r="KGD22" s="1"/>
      <c r="KGE22" s="1"/>
      <c r="KGF22" s="1"/>
      <c r="KGG22" s="1"/>
      <c r="KGH22" s="1"/>
      <c r="KGI22" s="1"/>
      <c r="KGJ22" s="1"/>
      <c r="KGK22" s="1"/>
      <c r="KGL22" s="1"/>
      <c r="KGM22" s="1"/>
      <c r="KGN22" s="1"/>
      <c r="KGO22" s="1"/>
      <c r="KGP22" s="1"/>
      <c r="KGQ22" s="1"/>
      <c r="KGR22" s="1"/>
      <c r="KGS22" s="1"/>
      <c r="KGT22" s="1"/>
      <c r="KGU22" s="1"/>
      <c r="KGV22" s="1"/>
      <c r="KGW22" s="1"/>
      <c r="KGX22" s="1"/>
      <c r="KGY22" s="1"/>
      <c r="KGZ22" s="1"/>
      <c r="KHA22" s="1"/>
      <c r="KHB22" s="1"/>
      <c r="KHC22" s="1"/>
      <c r="KHD22" s="1"/>
      <c r="KHE22" s="1"/>
      <c r="KHF22" s="1"/>
      <c r="KHG22" s="1"/>
      <c r="KHH22" s="1"/>
      <c r="KHI22" s="1"/>
      <c r="KHJ22" s="1"/>
      <c r="KHK22" s="1"/>
      <c r="KHL22" s="1"/>
      <c r="KHM22" s="1"/>
      <c r="KHN22" s="1"/>
      <c r="KHO22" s="1"/>
      <c r="KHP22" s="1"/>
      <c r="KHQ22" s="1"/>
      <c r="KHR22" s="1"/>
      <c r="KHS22" s="1"/>
      <c r="KHT22" s="1"/>
      <c r="KHU22" s="1"/>
      <c r="KHV22" s="1"/>
      <c r="KHW22" s="1"/>
      <c r="KHX22" s="1"/>
      <c r="KHY22" s="1"/>
      <c r="KHZ22" s="1"/>
      <c r="KIA22" s="1"/>
      <c r="KIB22" s="1"/>
      <c r="KIC22" s="1"/>
      <c r="KID22" s="1"/>
      <c r="KIE22" s="1"/>
      <c r="KIF22" s="1"/>
      <c r="KIG22" s="1"/>
      <c r="KIH22" s="1"/>
      <c r="KII22" s="1"/>
      <c r="KIJ22" s="1"/>
      <c r="KIK22" s="1"/>
      <c r="KIL22" s="1"/>
      <c r="KIM22" s="1"/>
      <c r="KIN22" s="1"/>
      <c r="KIO22" s="1"/>
      <c r="KIP22" s="1"/>
      <c r="KIQ22" s="1"/>
      <c r="KIR22" s="1"/>
      <c r="KIS22" s="1"/>
      <c r="KIT22" s="1"/>
      <c r="KIU22" s="1"/>
      <c r="KIV22" s="1"/>
      <c r="KIW22" s="1"/>
      <c r="KIX22" s="1"/>
      <c r="KIY22" s="1"/>
      <c r="KIZ22" s="1"/>
      <c r="KJA22" s="1"/>
      <c r="KJB22" s="1"/>
      <c r="KJC22" s="1"/>
      <c r="KJD22" s="1"/>
      <c r="KJE22" s="1"/>
      <c r="KJF22" s="1"/>
      <c r="KJG22" s="1"/>
      <c r="KJH22" s="1"/>
      <c r="KJI22" s="1"/>
      <c r="KJJ22" s="1"/>
      <c r="KJK22" s="1"/>
      <c r="KJL22" s="1"/>
      <c r="KJM22" s="1"/>
      <c r="KJN22" s="1"/>
      <c r="KJO22" s="1"/>
      <c r="KJP22" s="1"/>
      <c r="KJQ22" s="1"/>
      <c r="KJR22" s="1"/>
      <c r="KJS22" s="1"/>
      <c r="KJT22" s="1"/>
      <c r="KJU22" s="1"/>
      <c r="KJV22" s="1"/>
      <c r="KJW22" s="1"/>
      <c r="KJX22" s="1"/>
      <c r="KJY22" s="1"/>
      <c r="KJZ22" s="1"/>
      <c r="KKA22" s="1"/>
      <c r="KKB22" s="1"/>
      <c r="KKC22" s="1"/>
      <c r="KKD22" s="1"/>
      <c r="KKE22" s="1"/>
      <c r="KKF22" s="1"/>
      <c r="KKG22" s="1"/>
      <c r="KKH22" s="1"/>
      <c r="KKI22" s="1"/>
      <c r="KKJ22" s="1"/>
      <c r="KKK22" s="1"/>
      <c r="KKL22" s="1"/>
      <c r="KKM22" s="1"/>
      <c r="KKN22" s="1"/>
      <c r="KKO22" s="1"/>
      <c r="KKP22" s="1"/>
      <c r="KKQ22" s="1"/>
      <c r="KKR22" s="1"/>
      <c r="KKS22" s="1"/>
      <c r="KKT22" s="1"/>
      <c r="KKU22" s="1"/>
      <c r="KKV22" s="1"/>
      <c r="KKW22" s="1"/>
      <c r="KKX22" s="1"/>
      <c r="KKY22" s="1"/>
      <c r="KKZ22" s="1"/>
      <c r="KLA22" s="1"/>
      <c r="KLB22" s="1"/>
      <c r="KLC22" s="1"/>
      <c r="KLD22" s="1"/>
      <c r="KLE22" s="1"/>
      <c r="KLF22" s="1"/>
      <c r="KLG22" s="1"/>
      <c r="KLH22" s="1"/>
      <c r="KLI22" s="1"/>
      <c r="KLJ22" s="1"/>
      <c r="KLK22" s="1"/>
      <c r="KLL22" s="1"/>
      <c r="KLM22" s="1"/>
      <c r="KLN22" s="1"/>
      <c r="KLO22" s="1"/>
      <c r="KLP22" s="1"/>
      <c r="KLQ22" s="1"/>
      <c r="KLR22" s="1"/>
      <c r="KLS22" s="1"/>
      <c r="KLT22" s="1"/>
      <c r="KLU22" s="1"/>
      <c r="KLV22" s="1"/>
      <c r="KLW22" s="1"/>
      <c r="KLX22" s="1"/>
      <c r="KLY22" s="1"/>
      <c r="KLZ22" s="1"/>
      <c r="KMA22" s="1"/>
      <c r="KMB22" s="1"/>
      <c r="KMC22" s="1"/>
      <c r="KMD22" s="1"/>
      <c r="KME22" s="1"/>
      <c r="KMF22" s="1"/>
      <c r="KMG22" s="1"/>
      <c r="KMH22" s="1"/>
      <c r="KMI22" s="1"/>
      <c r="KMJ22" s="1"/>
      <c r="KMK22" s="1"/>
      <c r="KML22" s="1"/>
      <c r="KMM22" s="1"/>
      <c r="KMN22" s="1"/>
      <c r="KMO22" s="1"/>
      <c r="KMP22" s="1"/>
      <c r="KMQ22" s="1"/>
      <c r="KMR22" s="1"/>
      <c r="KMS22" s="1"/>
      <c r="KMT22" s="1"/>
      <c r="KMU22" s="1"/>
      <c r="KMV22" s="1"/>
      <c r="KMW22" s="1"/>
      <c r="KMX22" s="1"/>
      <c r="KMY22" s="1"/>
      <c r="KMZ22" s="1"/>
      <c r="KNA22" s="1"/>
      <c r="KNB22" s="1"/>
      <c r="KNC22" s="1"/>
      <c r="KND22" s="1"/>
      <c r="KNE22" s="1"/>
      <c r="KNF22" s="1"/>
      <c r="KNG22" s="1"/>
      <c r="KNH22" s="1"/>
      <c r="KNI22" s="1"/>
      <c r="KNJ22" s="1"/>
      <c r="KNK22" s="1"/>
      <c r="KNL22" s="1"/>
      <c r="KNM22" s="1"/>
      <c r="KNN22" s="1"/>
      <c r="KNO22" s="1"/>
      <c r="KNP22" s="1"/>
      <c r="KNQ22" s="1"/>
      <c r="KNR22" s="1"/>
      <c r="KNS22" s="1"/>
      <c r="KNT22" s="1"/>
      <c r="KNU22" s="1"/>
      <c r="KNV22" s="1"/>
      <c r="KNW22" s="1"/>
      <c r="KNX22" s="1"/>
      <c r="KNY22" s="1"/>
      <c r="KNZ22" s="1"/>
      <c r="KOA22" s="1"/>
      <c r="KOB22" s="1"/>
      <c r="KOC22" s="1"/>
      <c r="KOD22" s="1"/>
      <c r="KOE22" s="1"/>
      <c r="KOF22" s="1"/>
      <c r="KOG22" s="1"/>
      <c r="KOH22" s="1"/>
      <c r="KOI22" s="1"/>
      <c r="KOJ22" s="1"/>
      <c r="KOK22" s="1"/>
      <c r="KOL22" s="1"/>
      <c r="KOM22" s="1"/>
      <c r="KON22" s="1"/>
      <c r="KOO22" s="1"/>
      <c r="KOP22" s="1"/>
      <c r="KOQ22" s="1"/>
      <c r="KOR22" s="1"/>
      <c r="KOS22" s="1"/>
      <c r="KOT22" s="1"/>
      <c r="KOU22" s="1"/>
      <c r="KOV22" s="1"/>
      <c r="KOW22" s="1"/>
      <c r="KOX22" s="1"/>
      <c r="KOY22" s="1"/>
      <c r="KOZ22" s="1"/>
      <c r="KPA22" s="1"/>
      <c r="KPB22" s="1"/>
      <c r="KPC22" s="1"/>
      <c r="KPD22" s="1"/>
      <c r="KPE22" s="1"/>
      <c r="KPF22" s="1"/>
      <c r="KPG22" s="1"/>
      <c r="KPH22" s="1"/>
      <c r="KPI22" s="1"/>
      <c r="KPJ22" s="1"/>
      <c r="KPK22" s="1"/>
      <c r="KPL22" s="1"/>
      <c r="KPM22" s="1"/>
      <c r="KPN22" s="1"/>
      <c r="KPO22" s="1"/>
      <c r="KPP22" s="1"/>
      <c r="KPQ22" s="1"/>
      <c r="KPR22" s="1"/>
      <c r="KPS22" s="1"/>
      <c r="KPT22" s="1"/>
      <c r="KPU22" s="1"/>
      <c r="KPV22" s="1"/>
      <c r="KPW22" s="1"/>
      <c r="KPX22" s="1"/>
      <c r="KPY22" s="1"/>
      <c r="KPZ22" s="1"/>
      <c r="KQA22" s="1"/>
      <c r="KQB22" s="1"/>
      <c r="KQC22" s="1"/>
      <c r="KQD22" s="1"/>
      <c r="KQE22" s="1"/>
      <c r="KQF22" s="1"/>
      <c r="KQG22" s="1"/>
      <c r="KQH22" s="1"/>
      <c r="KQI22" s="1"/>
      <c r="KQJ22" s="1"/>
      <c r="KQK22" s="1"/>
      <c r="KQL22" s="1"/>
      <c r="KQM22" s="1"/>
      <c r="KQN22" s="1"/>
      <c r="KQO22" s="1"/>
      <c r="KQP22" s="1"/>
      <c r="KQQ22" s="1"/>
      <c r="KQR22" s="1"/>
      <c r="KQS22" s="1"/>
      <c r="KQT22" s="1"/>
      <c r="KQU22" s="1"/>
      <c r="KQV22" s="1"/>
      <c r="KQW22" s="1"/>
      <c r="KQX22" s="1"/>
      <c r="KQY22" s="1"/>
      <c r="KQZ22" s="1"/>
      <c r="KRA22" s="1"/>
      <c r="KRB22" s="1"/>
      <c r="KRC22" s="1"/>
      <c r="KRD22" s="1"/>
      <c r="KRE22" s="1"/>
      <c r="KRF22" s="1"/>
      <c r="KRG22" s="1"/>
      <c r="KRH22" s="1"/>
      <c r="KRI22" s="1"/>
      <c r="KRJ22" s="1"/>
      <c r="KRK22" s="1"/>
      <c r="KRL22" s="1"/>
      <c r="KRM22" s="1"/>
      <c r="KRN22" s="1"/>
      <c r="KRO22" s="1"/>
      <c r="KRP22" s="1"/>
      <c r="KRQ22" s="1"/>
      <c r="KRR22" s="1"/>
      <c r="KRS22" s="1"/>
      <c r="KRT22" s="1"/>
      <c r="KRU22" s="1"/>
      <c r="KRV22" s="1"/>
      <c r="KRW22" s="1"/>
      <c r="KRX22" s="1"/>
      <c r="KRY22" s="1"/>
      <c r="KRZ22" s="1"/>
      <c r="KSA22" s="1"/>
      <c r="KSB22" s="1"/>
      <c r="KSC22" s="1"/>
      <c r="KSD22" s="1"/>
      <c r="KSE22" s="1"/>
      <c r="KSF22" s="1"/>
      <c r="KSG22" s="1"/>
      <c r="KSH22" s="1"/>
      <c r="KSI22" s="1"/>
      <c r="KSJ22" s="1"/>
      <c r="KSK22" s="1"/>
      <c r="KSL22" s="1"/>
      <c r="KSM22" s="1"/>
      <c r="KSN22" s="1"/>
      <c r="KSO22" s="1"/>
      <c r="KSP22" s="1"/>
      <c r="KSQ22" s="1"/>
      <c r="KSR22" s="1"/>
      <c r="KSS22" s="1"/>
      <c r="KST22" s="1"/>
      <c r="KSU22" s="1"/>
      <c r="KSV22" s="1"/>
      <c r="KSW22" s="1"/>
      <c r="KSX22" s="1"/>
      <c r="KSY22" s="1"/>
      <c r="KSZ22" s="1"/>
      <c r="KTA22" s="1"/>
      <c r="KTB22" s="1"/>
      <c r="KTC22" s="1"/>
      <c r="KTD22" s="1"/>
      <c r="KTE22" s="1"/>
      <c r="KTF22" s="1"/>
      <c r="KTG22" s="1"/>
      <c r="KTH22" s="1"/>
      <c r="KTI22" s="1"/>
      <c r="KTJ22" s="1"/>
      <c r="KTK22" s="1"/>
      <c r="KTL22" s="1"/>
      <c r="KTM22" s="1"/>
      <c r="KTN22" s="1"/>
      <c r="KTO22" s="1"/>
      <c r="KTP22" s="1"/>
      <c r="KTQ22" s="1"/>
      <c r="KTR22" s="1"/>
      <c r="KTS22" s="1"/>
      <c r="KTT22" s="1"/>
      <c r="KTU22" s="1"/>
      <c r="KTV22" s="1"/>
      <c r="KTW22" s="1"/>
      <c r="KTX22" s="1"/>
      <c r="KTY22" s="1"/>
      <c r="KTZ22" s="1"/>
      <c r="KUA22" s="1"/>
      <c r="KUB22" s="1"/>
      <c r="KUC22" s="1"/>
      <c r="KUD22" s="1"/>
      <c r="KUE22" s="1"/>
      <c r="KUF22" s="1"/>
      <c r="KUG22" s="1"/>
      <c r="KUH22" s="1"/>
      <c r="KUI22" s="1"/>
      <c r="KUJ22" s="1"/>
      <c r="KUK22" s="1"/>
      <c r="KUL22" s="1"/>
      <c r="KUM22" s="1"/>
      <c r="KUN22" s="1"/>
      <c r="KUO22" s="1"/>
      <c r="KUP22" s="1"/>
      <c r="KUQ22" s="1"/>
      <c r="KUR22" s="1"/>
      <c r="KUS22" s="1"/>
      <c r="KUT22" s="1"/>
      <c r="KUU22" s="1"/>
      <c r="KUV22" s="1"/>
      <c r="KUW22" s="1"/>
      <c r="KUX22" s="1"/>
      <c r="KUY22" s="1"/>
      <c r="KUZ22" s="1"/>
      <c r="KVA22" s="1"/>
      <c r="KVB22" s="1"/>
      <c r="KVC22" s="1"/>
      <c r="KVD22" s="1"/>
      <c r="KVE22" s="1"/>
      <c r="KVF22" s="1"/>
      <c r="KVG22" s="1"/>
      <c r="KVH22" s="1"/>
      <c r="KVI22" s="1"/>
      <c r="KVJ22" s="1"/>
      <c r="KVK22" s="1"/>
      <c r="KVL22" s="1"/>
      <c r="KVM22" s="1"/>
      <c r="KVN22" s="1"/>
      <c r="KVO22" s="1"/>
      <c r="KVP22" s="1"/>
      <c r="KVQ22" s="1"/>
      <c r="KVR22" s="1"/>
      <c r="KVS22" s="1"/>
      <c r="KVT22" s="1"/>
      <c r="KVU22" s="1"/>
      <c r="KVV22" s="1"/>
      <c r="KVW22" s="1"/>
      <c r="KVX22" s="1"/>
      <c r="KVY22" s="1"/>
      <c r="KVZ22" s="1"/>
      <c r="KWA22" s="1"/>
      <c r="KWB22" s="1"/>
      <c r="KWC22" s="1"/>
      <c r="KWD22" s="1"/>
      <c r="KWE22" s="1"/>
      <c r="KWF22" s="1"/>
      <c r="KWG22" s="1"/>
      <c r="KWH22" s="1"/>
      <c r="KWI22" s="1"/>
      <c r="KWJ22" s="1"/>
      <c r="KWK22" s="1"/>
      <c r="KWL22" s="1"/>
      <c r="KWM22" s="1"/>
      <c r="KWN22" s="1"/>
      <c r="KWO22" s="1"/>
      <c r="KWP22" s="1"/>
      <c r="KWQ22" s="1"/>
      <c r="KWR22" s="1"/>
      <c r="KWS22" s="1"/>
      <c r="KWT22" s="1"/>
      <c r="KWU22" s="1"/>
      <c r="KWV22" s="1"/>
      <c r="KWW22" s="1"/>
      <c r="KWX22" s="1"/>
      <c r="KWY22" s="1"/>
      <c r="KWZ22" s="1"/>
      <c r="KXA22" s="1"/>
      <c r="KXB22" s="1"/>
      <c r="KXC22" s="1"/>
      <c r="KXD22" s="1"/>
      <c r="KXE22" s="1"/>
      <c r="KXF22" s="1"/>
      <c r="KXG22" s="1"/>
      <c r="KXH22" s="1"/>
      <c r="KXI22" s="1"/>
      <c r="KXJ22" s="1"/>
      <c r="KXK22" s="1"/>
      <c r="KXL22" s="1"/>
      <c r="KXM22" s="1"/>
      <c r="KXN22" s="1"/>
      <c r="KXO22" s="1"/>
      <c r="KXP22" s="1"/>
      <c r="KXQ22" s="1"/>
      <c r="KXR22" s="1"/>
      <c r="KXS22" s="1"/>
      <c r="KXT22" s="1"/>
      <c r="KXU22" s="1"/>
      <c r="KXV22" s="1"/>
      <c r="KXW22" s="1"/>
      <c r="KXX22" s="1"/>
      <c r="KXY22" s="1"/>
      <c r="KXZ22" s="1"/>
      <c r="KYA22" s="1"/>
      <c r="KYB22" s="1"/>
      <c r="KYC22" s="1"/>
      <c r="KYD22" s="1"/>
      <c r="KYE22" s="1"/>
      <c r="KYF22" s="1"/>
      <c r="KYG22" s="1"/>
      <c r="KYH22" s="1"/>
      <c r="KYI22" s="1"/>
      <c r="KYJ22" s="1"/>
      <c r="KYK22" s="1"/>
      <c r="KYL22" s="1"/>
      <c r="KYM22" s="1"/>
      <c r="KYN22" s="1"/>
      <c r="KYO22" s="1"/>
      <c r="KYP22" s="1"/>
      <c r="KYQ22" s="1"/>
      <c r="KYR22" s="1"/>
      <c r="KYS22" s="1"/>
      <c r="KYT22" s="1"/>
      <c r="KYU22" s="1"/>
      <c r="KYV22" s="1"/>
      <c r="KYW22" s="1"/>
      <c r="KYX22" s="1"/>
      <c r="KYY22" s="1"/>
      <c r="KYZ22" s="1"/>
      <c r="KZA22" s="1"/>
      <c r="KZB22" s="1"/>
      <c r="KZC22" s="1"/>
      <c r="KZD22" s="1"/>
      <c r="KZE22" s="1"/>
      <c r="KZF22" s="1"/>
      <c r="KZG22" s="1"/>
      <c r="KZH22" s="1"/>
      <c r="KZI22" s="1"/>
      <c r="KZJ22" s="1"/>
      <c r="KZK22" s="1"/>
      <c r="KZL22" s="1"/>
      <c r="KZM22" s="1"/>
      <c r="KZN22" s="1"/>
      <c r="KZO22" s="1"/>
      <c r="KZP22" s="1"/>
      <c r="KZQ22" s="1"/>
      <c r="KZR22" s="1"/>
      <c r="KZS22" s="1"/>
      <c r="KZT22" s="1"/>
      <c r="KZU22" s="1"/>
      <c r="KZV22" s="1"/>
      <c r="KZW22" s="1"/>
      <c r="KZX22" s="1"/>
      <c r="KZY22" s="1"/>
      <c r="KZZ22" s="1"/>
      <c r="LAA22" s="1"/>
      <c r="LAB22" s="1"/>
      <c r="LAC22" s="1"/>
      <c r="LAD22" s="1"/>
      <c r="LAE22" s="1"/>
      <c r="LAF22" s="1"/>
      <c r="LAG22" s="1"/>
      <c r="LAH22" s="1"/>
      <c r="LAI22" s="1"/>
      <c r="LAJ22" s="1"/>
      <c r="LAK22" s="1"/>
      <c r="LAL22" s="1"/>
      <c r="LAM22" s="1"/>
      <c r="LAN22" s="1"/>
      <c r="LAO22" s="1"/>
      <c r="LAP22" s="1"/>
      <c r="LAQ22" s="1"/>
      <c r="LAR22" s="1"/>
      <c r="LAS22" s="1"/>
      <c r="LAT22" s="1"/>
      <c r="LAU22" s="1"/>
      <c r="LAV22" s="1"/>
      <c r="LAW22" s="1"/>
      <c r="LAX22" s="1"/>
      <c r="LAY22" s="1"/>
      <c r="LAZ22" s="1"/>
      <c r="LBA22" s="1"/>
      <c r="LBB22" s="1"/>
      <c r="LBC22" s="1"/>
      <c r="LBD22" s="1"/>
      <c r="LBE22" s="1"/>
      <c r="LBF22" s="1"/>
      <c r="LBG22" s="1"/>
      <c r="LBH22" s="1"/>
      <c r="LBI22" s="1"/>
      <c r="LBJ22" s="1"/>
      <c r="LBK22" s="1"/>
      <c r="LBL22" s="1"/>
      <c r="LBM22" s="1"/>
      <c r="LBN22" s="1"/>
      <c r="LBO22" s="1"/>
      <c r="LBP22" s="1"/>
      <c r="LBQ22" s="1"/>
      <c r="LBR22" s="1"/>
      <c r="LBS22" s="1"/>
      <c r="LBT22" s="1"/>
      <c r="LBU22" s="1"/>
      <c r="LBV22" s="1"/>
      <c r="LBW22" s="1"/>
      <c r="LBX22" s="1"/>
      <c r="LBY22" s="1"/>
      <c r="LBZ22" s="1"/>
      <c r="LCA22" s="1"/>
      <c r="LCB22" s="1"/>
      <c r="LCC22" s="1"/>
      <c r="LCD22" s="1"/>
      <c r="LCE22" s="1"/>
      <c r="LCF22" s="1"/>
      <c r="LCG22" s="1"/>
      <c r="LCH22" s="1"/>
      <c r="LCI22" s="1"/>
      <c r="LCJ22" s="1"/>
      <c r="LCK22" s="1"/>
      <c r="LCL22" s="1"/>
      <c r="LCM22" s="1"/>
      <c r="LCN22" s="1"/>
      <c r="LCO22" s="1"/>
      <c r="LCP22" s="1"/>
      <c r="LCQ22" s="1"/>
      <c r="LCR22" s="1"/>
      <c r="LCS22" s="1"/>
      <c r="LCT22" s="1"/>
      <c r="LCU22" s="1"/>
      <c r="LCV22" s="1"/>
      <c r="LCW22" s="1"/>
      <c r="LCX22" s="1"/>
      <c r="LCY22" s="1"/>
      <c r="LCZ22" s="1"/>
      <c r="LDA22" s="1"/>
      <c r="LDB22" s="1"/>
      <c r="LDC22" s="1"/>
      <c r="LDD22" s="1"/>
      <c r="LDE22" s="1"/>
      <c r="LDF22" s="1"/>
      <c r="LDG22" s="1"/>
      <c r="LDH22" s="1"/>
      <c r="LDI22" s="1"/>
      <c r="LDJ22" s="1"/>
      <c r="LDK22" s="1"/>
      <c r="LDL22" s="1"/>
      <c r="LDM22" s="1"/>
      <c r="LDN22" s="1"/>
      <c r="LDO22" s="1"/>
      <c r="LDP22" s="1"/>
      <c r="LDQ22" s="1"/>
      <c r="LDR22" s="1"/>
      <c r="LDS22" s="1"/>
      <c r="LDT22" s="1"/>
      <c r="LDU22" s="1"/>
      <c r="LDV22" s="1"/>
      <c r="LDW22" s="1"/>
      <c r="LDX22" s="1"/>
      <c r="LDY22" s="1"/>
      <c r="LDZ22" s="1"/>
      <c r="LEA22" s="1"/>
      <c r="LEB22" s="1"/>
      <c r="LEC22" s="1"/>
      <c r="LED22" s="1"/>
      <c r="LEE22" s="1"/>
      <c r="LEF22" s="1"/>
      <c r="LEG22" s="1"/>
      <c r="LEH22" s="1"/>
      <c r="LEI22" s="1"/>
      <c r="LEJ22" s="1"/>
      <c r="LEK22" s="1"/>
      <c r="LEL22" s="1"/>
      <c r="LEM22" s="1"/>
      <c r="LEN22" s="1"/>
      <c r="LEO22" s="1"/>
      <c r="LEP22" s="1"/>
      <c r="LEQ22" s="1"/>
      <c r="LER22" s="1"/>
      <c r="LES22" s="1"/>
      <c r="LET22" s="1"/>
      <c r="LEU22" s="1"/>
      <c r="LEV22" s="1"/>
      <c r="LEW22" s="1"/>
      <c r="LEX22" s="1"/>
      <c r="LEY22" s="1"/>
      <c r="LEZ22" s="1"/>
      <c r="LFA22" s="1"/>
      <c r="LFB22" s="1"/>
      <c r="LFC22" s="1"/>
      <c r="LFD22" s="1"/>
      <c r="LFE22" s="1"/>
      <c r="LFF22" s="1"/>
      <c r="LFG22" s="1"/>
      <c r="LFH22" s="1"/>
      <c r="LFI22" s="1"/>
      <c r="LFJ22" s="1"/>
      <c r="LFK22" s="1"/>
      <c r="LFL22" s="1"/>
      <c r="LFM22" s="1"/>
      <c r="LFN22" s="1"/>
      <c r="LFO22" s="1"/>
      <c r="LFP22" s="1"/>
      <c r="LFQ22" s="1"/>
      <c r="LFR22" s="1"/>
      <c r="LFS22" s="1"/>
      <c r="LFT22" s="1"/>
      <c r="LFU22" s="1"/>
      <c r="LFV22" s="1"/>
      <c r="LFW22" s="1"/>
      <c r="LFX22" s="1"/>
      <c r="LFY22" s="1"/>
      <c r="LFZ22" s="1"/>
      <c r="LGA22" s="1"/>
      <c r="LGB22" s="1"/>
      <c r="LGC22" s="1"/>
      <c r="LGD22" s="1"/>
      <c r="LGE22" s="1"/>
      <c r="LGF22" s="1"/>
      <c r="LGG22" s="1"/>
      <c r="LGH22" s="1"/>
      <c r="LGI22" s="1"/>
      <c r="LGJ22" s="1"/>
      <c r="LGK22" s="1"/>
      <c r="LGL22" s="1"/>
      <c r="LGM22" s="1"/>
      <c r="LGN22" s="1"/>
      <c r="LGO22" s="1"/>
      <c r="LGP22" s="1"/>
      <c r="LGQ22" s="1"/>
      <c r="LGR22" s="1"/>
      <c r="LGS22" s="1"/>
      <c r="LGT22" s="1"/>
      <c r="LGU22" s="1"/>
      <c r="LGV22" s="1"/>
      <c r="LGW22" s="1"/>
      <c r="LGX22" s="1"/>
      <c r="LGY22" s="1"/>
      <c r="LGZ22" s="1"/>
      <c r="LHA22" s="1"/>
      <c r="LHB22" s="1"/>
      <c r="LHC22" s="1"/>
      <c r="LHD22" s="1"/>
      <c r="LHE22" s="1"/>
      <c r="LHF22" s="1"/>
      <c r="LHG22" s="1"/>
      <c r="LHH22" s="1"/>
      <c r="LHI22" s="1"/>
      <c r="LHJ22" s="1"/>
      <c r="LHK22" s="1"/>
      <c r="LHL22" s="1"/>
      <c r="LHM22" s="1"/>
      <c r="LHN22" s="1"/>
      <c r="LHO22" s="1"/>
      <c r="LHP22" s="1"/>
      <c r="LHQ22" s="1"/>
      <c r="LHR22" s="1"/>
      <c r="LHS22" s="1"/>
      <c r="LHT22" s="1"/>
      <c r="LHU22" s="1"/>
      <c r="LHV22" s="1"/>
      <c r="LHW22" s="1"/>
      <c r="LHX22" s="1"/>
      <c r="LHY22" s="1"/>
      <c r="LHZ22" s="1"/>
      <c r="LIA22" s="1"/>
      <c r="LIB22" s="1"/>
      <c r="LIC22" s="1"/>
      <c r="LID22" s="1"/>
      <c r="LIE22" s="1"/>
      <c r="LIF22" s="1"/>
      <c r="LIG22" s="1"/>
      <c r="LIH22" s="1"/>
      <c r="LII22" s="1"/>
      <c r="LIJ22" s="1"/>
      <c r="LIK22" s="1"/>
      <c r="LIL22" s="1"/>
      <c r="LIM22" s="1"/>
      <c r="LIN22" s="1"/>
      <c r="LIO22" s="1"/>
      <c r="LIP22" s="1"/>
      <c r="LIQ22" s="1"/>
      <c r="LIR22" s="1"/>
      <c r="LIS22" s="1"/>
      <c r="LIT22" s="1"/>
      <c r="LIU22" s="1"/>
      <c r="LIV22" s="1"/>
      <c r="LIW22" s="1"/>
      <c r="LIX22" s="1"/>
      <c r="LIY22" s="1"/>
      <c r="LIZ22" s="1"/>
      <c r="LJA22" s="1"/>
      <c r="LJB22" s="1"/>
      <c r="LJC22" s="1"/>
      <c r="LJD22" s="1"/>
      <c r="LJE22" s="1"/>
      <c r="LJF22" s="1"/>
      <c r="LJG22" s="1"/>
      <c r="LJH22" s="1"/>
      <c r="LJI22" s="1"/>
      <c r="LJJ22" s="1"/>
      <c r="LJK22" s="1"/>
      <c r="LJL22" s="1"/>
      <c r="LJM22" s="1"/>
      <c r="LJN22" s="1"/>
      <c r="LJO22" s="1"/>
      <c r="LJP22" s="1"/>
      <c r="LJQ22" s="1"/>
      <c r="LJR22" s="1"/>
      <c r="LJS22" s="1"/>
      <c r="LJT22" s="1"/>
      <c r="LJU22" s="1"/>
      <c r="LJV22" s="1"/>
      <c r="LJW22" s="1"/>
      <c r="LJX22" s="1"/>
      <c r="LJY22" s="1"/>
      <c r="LJZ22" s="1"/>
      <c r="LKA22" s="1"/>
      <c r="LKB22" s="1"/>
      <c r="LKC22" s="1"/>
      <c r="LKD22" s="1"/>
      <c r="LKE22" s="1"/>
      <c r="LKF22" s="1"/>
      <c r="LKG22" s="1"/>
      <c r="LKH22" s="1"/>
      <c r="LKI22" s="1"/>
      <c r="LKJ22" s="1"/>
      <c r="LKK22" s="1"/>
      <c r="LKL22" s="1"/>
      <c r="LKM22" s="1"/>
      <c r="LKN22" s="1"/>
      <c r="LKO22" s="1"/>
      <c r="LKP22" s="1"/>
      <c r="LKQ22" s="1"/>
      <c r="LKR22" s="1"/>
      <c r="LKS22" s="1"/>
      <c r="LKT22" s="1"/>
      <c r="LKU22" s="1"/>
      <c r="LKV22" s="1"/>
      <c r="LKW22" s="1"/>
      <c r="LKX22" s="1"/>
      <c r="LKY22" s="1"/>
      <c r="LKZ22" s="1"/>
      <c r="LLA22" s="1"/>
      <c r="LLB22" s="1"/>
      <c r="LLC22" s="1"/>
      <c r="LLD22" s="1"/>
      <c r="LLE22" s="1"/>
      <c r="LLF22" s="1"/>
      <c r="LLG22" s="1"/>
      <c r="LLH22" s="1"/>
      <c r="LLI22" s="1"/>
      <c r="LLJ22" s="1"/>
      <c r="LLK22" s="1"/>
      <c r="LLL22" s="1"/>
      <c r="LLM22" s="1"/>
      <c r="LLN22" s="1"/>
      <c r="LLO22" s="1"/>
      <c r="LLP22" s="1"/>
      <c r="LLQ22" s="1"/>
      <c r="LLR22" s="1"/>
      <c r="LLS22" s="1"/>
      <c r="LLT22" s="1"/>
      <c r="LLU22" s="1"/>
      <c r="LLV22" s="1"/>
      <c r="LLW22" s="1"/>
      <c r="LLX22" s="1"/>
      <c r="LLY22" s="1"/>
      <c r="LLZ22" s="1"/>
      <c r="LMA22" s="1"/>
      <c r="LMB22" s="1"/>
      <c r="LMC22" s="1"/>
      <c r="LMD22" s="1"/>
      <c r="LME22" s="1"/>
      <c r="LMF22" s="1"/>
      <c r="LMG22" s="1"/>
      <c r="LMH22" s="1"/>
      <c r="LMI22" s="1"/>
      <c r="LMJ22" s="1"/>
      <c r="LMK22" s="1"/>
      <c r="LML22" s="1"/>
      <c r="LMM22" s="1"/>
      <c r="LMN22" s="1"/>
      <c r="LMO22" s="1"/>
      <c r="LMP22" s="1"/>
      <c r="LMQ22" s="1"/>
      <c r="LMR22" s="1"/>
      <c r="LMS22" s="1"/>
      <c r="LMT22" s="1"/>
      <c r="LMU22" s="1"/>
      <c r="LMV22" s="1"/>
      <c r="LMW22" s="1"/>
      <c r="LMX22" s="1"/>
      <c r="LMY22" s="1"/>
      <c r="LMZ22" s="1"/>
      <c r="LNA22" s="1"/>
      <c r="LNB22" s="1"/>
      <c r="LNC22" s="1"/>
      <c r="LND22" s="1"/>
      <c r="LNE22" s="1"/>
      <c r="LNF22" s="1"/>
      <c r="LNG22" s="1"/>
      <c r="LNH22" s="1"/>
      <c r="LNI22" s="1"/>
      <c r="LNJ22" s="1"/>
      <c r="LNK22" s="1"/>
      <c r="LNL22" s="1"/>
      <c r="LNM22" s="1"/>
      <c r="LNN22" s="1"/>
      <c r="LNO22" s="1"/>
      <c r="LNP22" s="1"/>
      <c r="LNQ22" s="1"/>
      <c r="LNR22" s="1"/>
      <c r="LNS22" s="1"/>
      <c r="LNT22" s="1"/>
      <c r="LNU22" s="1"/>
      <c r="LNV22" s="1"/>
      <c r="LNW22" s="1"/>
      <c r="LNX22" s="1"/>
      <c r="LNY22" s="1"/>
      <c r="LNZ22" s="1"/>
      <c r="LOA22" s="1"/>
      <c r="LOB22" s="1"/>
      <c r="LOC22" s="1"/>
      <c r="LOD22" s="1"/>
      <c r="LOE22" s="1"/>
      <c r="LOF22" s="1"/>
      <c r="LOG22" s="1"/>
      <c r="LOH22" s="1"/>
      <c r="LOI22" s="1"/>
      <c r="LOJ22" s="1"/>
      <c r="LOK22" s="1"/>
      <c r="LOL22" s="1"/>
      <c r="LOM22" s="1"/>
      <c r="LON22" s="1"/>
      <c r="LOO22" s="1"/>
      <c r="LOP22" s="1"/>
      <c r="LOQ22" s="1"/>
      <c r="LOR22" s="1"/>
      <c r="LOS22" s="1"/>
      <c r="LOT22" s="1"/>
      <c r="LOU22" s="1"/>
      <c r="LOV22" s="1"/>
      <c r="LOW22" s="1"/>
      <c r="LOX22" s="1"/>
      <c r="LOY22" s="1"/>
      <c r="LOZ22" s="1"/>
      <c r="LPA22" s="1"/>
      <c r="LPB22" s="1"/>
      <c r="LPC22" s="1"/>
      <c r="LPD22" s="1"/>
      <c r="LPE22" s="1"/>
      <c r="LPF22" s="1"/>
      <c r="LPG22" s="1"/>
      <c r="LPH22" s="1"/>
      <c r="LPI22" s="1"/>
      <c r="LPJ22" s="1"/>
      <c r="LPK22" s="1"/>
      <c r="LPL22" s="1"/>
      <c r="LPM22" s="1"/>
      <c r="LPN22" s="1"/>
      <c r="LPO22" s="1"/>
      <c r="LPP22" s="1"/>
      <c r="LPQ22" s="1"/>
      <c r="LPR22" s="1"/>
      <c r="LPS22" s="1"/>
      <c r="LPT22" s="1"/>
      <c r="LPU22" s="1"/>
      <c r="LPV22" s="1"/>
      <c r="LPW22" s="1"/>
      <c r="LPX22" s="1"/>
      <c r="LPY22" s="1"/>
      <c r="LPZ22" s="1"/>
      <c r="LQA22" s="1"/>
      <c r="LQB22" s="1"/>
      <c r="LQC22" s="1"/>
      <c r="LQD22" s="1"/>
      <c r="LQE22" s="1"/>
      <c r="LQF22" s="1"/>
      <c r="LQG22" s="1"/>
      <c r="LQH22" s="1"/>
      <c r="LQI22" s="1"/>
      <c r="LQJ22" s="1"/>
      <c r="LQK22" s="1"/>
      <c r="LQL22" s="1"/>
      <c r="LQM22" s="1"/>
      <c r="LQN22" s="1"/>
      <c r="LQO22" s="1"/>
      <c r="LQP22" s="1"/>
      <c r="LQQ22" s="1"/>
      <c r="LQR22" s="1"/>
      <c r="LQS22" s="1"/>
      <c r="LQT22" s="1"/>
      <c r="LQU22" s="1"/>
      <c r="LQV22" s="1"/>
      <c r="LQW22" s="1"/>
      <c r="LQX22" s="1"/>
      <c r="LQY22" s="1"/>
      <c r="LQZ22" s="1"/>
      <c r="LRA22" s="1"/>
      <c r="LRB22" s="1"/>
      <c r="LRC22" s="1"/>
      <c r="LRD22" s="1"/>
      <c r="LRE22" s="1"/>
      <c r="LRF22" s="1"/>
      <c r="LRG22" s="1"/>
      <c r="LRH22" s="1"/>
      <c r="LRI22" s="1"/>
      <c r="LRJ22" s="1"/>
      <c r="LRK22" s="1"/>
      <c r="LRL22" s="1"/>
      <c r="LRM22" s="1"/>
      <c r="LRN22" s="1"/>
      <c r="LRO22" s="1"/>
      <c r="LRP22" s="1"/>
      <c r="LRQ22" s="1"/>
      <c r="LRR22" s="1"/>
      <c r="LRS22" s="1"/>
      <c r="LRT22" s="1"/>
      <c r="LRU22" s="1"/>
      <c r="LRV22" s="1"/>
      <c r="LRW22" s="1"/>
      <c r="LRX22" s="1"/>
      <c r="LRY22" s="1"/>
      <c r="LRZ22" s="1"/>
      <c r="LSA22" s="1"/>
      <c r="LSB22" s="1"/>
      <c r="LSC22" s="1"/>
      <c r="LSD22" s="1"/>
      <c r="LSE22" s="1"/>
      <c r="LSF22" s="1"/>
      <c r="LSG22" s="1"/>
      <c r="LSH22" s="1"/>
      <c r="LSI22" s="1"/>
      <c r="LSJ22" s="1"/>
      <c r="LSK22" s="1"/>
      <c r="LSL22" s="1"/>
      <c r="LSM22" s="1"/>
      <c r="LSN22" s="1"/>
      <c r="LSO22" s="1"/>
      <c r="LSP22" s="1"/>
      <c r="LSQ22" s="1"/>
      <c r="LSR22" s="1"/>
      <c r="LSS22" s="1"/>
      <c r="LST22" s="1"/>
      <c r="LSU22" s="1"/>
      <c r="LSV22" s="1"/>
      <c r="LSW22" s="1"/>
      <c r="LSX22" s="1"/>
      <c r="LSY22" s="1"/>
      <c r="LSZ22" s="1"/>
      <c r="LTA22" s="1"/>
      <c r="LTB22" s="1"/>
      <c r="LTC22" s="1"/>
      <c r="LTD22" s="1"/>
      <c r="LTE22" s="1"/>
      <c r="LTF22" s="1"/>
      <c r="LTG22" s="1"/>
      <c r="LTH22" s="1"/>
      <c r="LTI22" s="1"/>
      <c r="LTJ22" s="1"/>
      <c r="LTK22" s="1"/>
      <c r="LTL22" s="1"/>
      <c r="LTM22" s="1"/>
      <c r="LTN22" s="1"/>
      <c r="LTO22" s="1"/>
      <c r="LTP22" s="1"/>
      <c r="LTQ22" s="1"/>
      <c r="LTR22" s="1"/>
      <c r="LTS22" s="1"/>
      <c r="LTT22" s="1"/>
      <c r="LTU22" s="1"/>
      <c r="LTV22" s="1"/>
      <c r="LTW22" s="1"/>
      <c r="LTX22" s="1"/>
      <c r="LTY22" s="1"/>
      <c r="LTZ22" s="1"/>
      <c r="LUA22" s="1"/>
      <c r="LUB22" s="1"/>
      <c r="LUC22" s="1"/>
      <c r="LUD22" s="1"/>
      <c r="LUE22" s="1"/>
      <c r="LUF22" s="1"/>
      <c r="LUG22" s="1"/>
      <c r="LUH22" s="1"/>
      <c r="LUI22" s="1"/>
      <c r="LUJ22" s="1"/>
      <c r="LUK22" s="1"/>
      <c r="LUL22" s="1"/>
      <c r="LUM22" s="1"/>
      <c r="LUN22" s="1"/>
      <c r="LUO22" s="1"/>
      <c r="LUP22" s="1"/>
      <c r="LUQ22" s="1"/>
      <c r="LUR22" s="1"/>
      <c r="LUS22" s="1"/>
      <c r="LUT22" s="1"/>
      <c r="LUU22" s="1"/>
      <c r="LUV22" s="1"/>
      <c r="LUW22" s="1"/>
      <c r="LUX22" s="1"/>
      <c r="LUY22" s="1"/>
      <c r="LUZ22" s="1"/>
      <c r="LVA22" s="1"/>
      <c r="LVB22" s="1"/>
      <c r="LVC22" s="1"/>
      <c r="LVD22" s="1"/>
      <c r="LVE22" s="1"/>
      <c r="LVF22" s="1"/>
      <c r="LVG22" s="1"/>
      <c r="LVH22" s="1"/>
      <c r="LVI22" s="1"/>
      <c r="LVJ22" s="1"/>
      <c r="LVK22" s="1"/>
      <c r="LVL22" s="1"/>
      <c r="LVM22" s="1"/>
      <c r="LVN22" s="1"/>
      <c r="LVO22" s="1"/>
      <c r="LVP22" s="1"/>
      <c r="LVQ22" s="1"/>
      <c r="LVR22" s="1"/>
      <c r="LVS22" s="1"/>
      <c r="LVT22" s="1"/>
      <c r="LVU22" s="1"/>
      <c r="LVV22" s="1"/>
      <c r="LVW22" s="1"/>
      <c r="LVX22" s="1"/>
      <c r="LVY22" s="1"/>
      <c r="LVZ22" s="1"/>
      <c r="LWA22" s="1"/>
      <c r="LWB22" s="1"/>
      <c r="LWC22" s="1"/>
      <c r="LWD22" s="1"/>
      <c r="LWE22" s="1"/>
      <c r="LWF22" s="1"/>
      <c r="LWG22" s="1"/>
      <c r="LWH22" s="1"/>
      <c r="LWI22" s="1"/>
      <c r="LWJ22" s="1"/>
      <c r="LWK22" s="1"/>
      <c r="LWL22" s="1"/>
      <c r="LWM22" s="1"/>
      <c r="LWN22" s="1"/>
      <c r="LWO22" s="1"/>
      <c r="LWP22" s="1"/>
      <c r="LWQ22" s="1"/>
      <c r="LWR22" s="1"/>
      <c r="LWS22" s="1"/>
      <c r="LWT22" s="1"/>
      <c r="LWU22" s="1"/>
      <c r="LWV22" s="1"/>
      <c r="LWW22" s="1"/>
      <c r="LWX22" s="1"/>
      <c r="LWY22" s="1"/>
      <c r="LWZ22" s="1"/>
      <c r="LXA22" s="1"/>
      <c r="LXB22" s="1"/>
      <c r="LXC22" s="1"/>
      <c r="LXD22" s="1"/>
      <c r="LXE22" s="1"/>
      <c r="LXF22" s="1"/>
      <c r="LXG22" s="1"/>
      <c r="LXH22" s="1"/>
      <c r="LXI22" s="1"/>
      <c r="LXJ22" s="1"/>
      <c r="LXK22" s="1"/>
      <c r="LXL22" s="1"/>
      <c r="LXM22" s="1"/>
      <c r="LXN22" s="1"/>
      <c r="LXO22" s="1"/>
      <c r="LXP22" s="1"/>
      <c r="LXQ22" s="1"/>
      <c r="LXR22" s="1"/>
      <c r="LXS22" s="1"/>
      <c r="LXT22" s="1"/>
      <c r="LXU22" s="1"/>
      <c r="LXV22" s="1"/>
      <c r="LXW22" s="1"/>
      <c r="LXX22" s="1"/>
      <c r="LXY22" s="1"/>
      <c r="LXZ22" s="1"/>
      <c r="LYA22" s="1"/>
      <c r="LYB22" s="1"/>
      <c r="LYC22" s="1"/>
      <c r="LYD22" s="1"/>
      <c r="LYE22" s="1"/>
      <c r="LYF22" s="1"/>
      <c r="LYG22" s="1"/>
      <c r="LYH22" s="1"/>
      <c r="LYI22" s="1"/>
      <c r="LYJ22" s="1"/>
      <c r="LYK22" s="1"/>
      <c r="LYL22" s="1"/>
      <c r="LYM22" s="1"/>
      <c r="LYN22" s="1"/>
      <c r="LYO22" s="1"/>
      <c r="LYP22" s="1"/>
      <c r="LYQ22" s="1"/>
      <c r="LYR22" s="1"/>
      <c r="LYS22" s="1"/>
      <c r="LYT22" s="1"/>
      <c r="LYU22" s="1"/>
      <c r="LYV22" s="1"/>
      <c r="LYW22" s="1"/>
      <c r="LYX22" s="1"/>
      <c r="LYY22" s="1"/>
      <c r="LYZ22" s="1"/>
      <c r="LZA22" s="1"/>
      <c r="LZB22" s="1"/>
      <c r="LZC22" s="1"/>
      <c r="LZD22" s="1"/>
      <c r="LZE22" s="1"/>
      <c r="LZF22" s="1"/>
      <c r="LZG22" s="1"/>
      <c r="LZH22" s="1"/>
      <c r="LZI22" s="1"/>
      <c r="LZJ22" s="1"/>
      <c r="LZK22" s="1"/>
      <c r="LZL22" s="1"/>
      <c r="LZM22" s="1"/>
      <c r="LZN22" s="1"/>
      <c r="LZO22" s="1"/>
      <c r="LZP22" s="1"/>
      <c r="LZQ22" s="1"/>
      <c r="LZR22" s="1"/>
      <c r="LZS22" s="1"/>
      <c r="LZT22" s="1"/>
      <c r="LZU22" s="1"/>
      <c r="LZV22" s="1"/>
      <c r="LZW22" s="1"/>
      <c r="LZX22" s="1"/>
      <c r="LZY22" s="1"/>
      <c r="LZZ22" s="1"/>
      <c r="MAA22" s="1"/>
      <c r="MAB22" s="1"/>
      <c r="MAC22" s="1"/>
      <c r="MAD22" s="1"/>
      <c r="MAE22" s="1"/>
      <c r="MAF22" s="1"/>
      <c r="MAG22" s="1"/>
      <c r="MAH22" s="1"/>
      <c r="MAI22" s="1"/>
      <c r="MAJ22" s="1"/>
      <c r="MAK22" s="1"/>
      <c r="MAL22" s="1"/>
      <c r="MAM22" s="1"/>
      <c r="MAN22" s="1"/>
      <c r="MAO22" s="1"/>
      <c r="MAP22" s="1"/>
      <c r="MAQ22" s="1"/>
      <c r="MAR22" s="1"/>
      <c r="MAS22" s="1"/>
      <c r="MAT22" s="1"/>
      <c r="MAU22" s="1"/>
      <c r="MAV22" s="1"/>
      <c r="MAW22" s="1"/>
      <c r="MAX22" s="1"/>
      <c r="MAY22" s="1"/>
      <c r="MAZ22" s="1"/>
      <c r="MBA22" s="1"/>
      <c r="MBB22" s="1"/>
      <c r="MBC22" s="1"/>
      <c r="MBD22" s="1"/>
      <c r="MBE22" s="1"/>
      <c r="MBF22" s="1"/>
      <c r="MBG22" s="1"/>
      <c r="MBH22" s="1"/>
      <c r="MBI22" s="1"/>
      <c r="MBJ22" s="1"/>
      <c r="MBK22" s="1"/>
      <c r="MBL22" s="1"/>
      <c r="MBM22" s="1"/>
      <c r="MBN22" s="1"/>
      <c r="MBO22" s="1"/>
      <c r="MBP22" s="1"/>
      <c r="MBQ22" s="1"/>
      <c r="MBR22" s="1"/>
      <c r="MBS22" s="1"/>
      <c r="MBT22" s="1"/>
      <c r="MBU22" s="1"/>
      <c r="MBV22" s="1"/>
      <c r="MBW22" s="1"/>
      <c r="MBX22" s="1"/>
      <c r="MBY22" s="1"/>
      <c r="MBZ22" s="1"/>
      <c r="MCA22" s="1"/>
      <c r="MCB22" s="1"/>
      <c r="MCC22" s="1"/>
      <c r="MCD22" s="1"/>
      <c r="MCE22" s="1"/>
      <c r="MCF22" s="1"/>
      <c r="MCG22" s="1"/>
      <c r="MCH22" s="1"/>
      <c r="MCI22" s="1"/>
      <c r="MCJ22" s="1"/>
      <c r="MCK22" s="1"/>
      <c r="MCL22" s="1"/>
      <c r="MCM22" s="1"/>
      <c r="MCN22" s="1"/>
      <c r="MCO22" s="1"/>
      <c r="MCP22" s="1"/>
      <c r="MCQ22" s="1"/>
      <c r="MCR22" s="1"/>
      <c r="MCS22" s="1"/>
      <c r="MCT22" s="1"/>
      <c r="MCU22" s="1"/>
      <c r="MCV22" s="1"/>
      <c r="MCW22" s="1"/>
      <c r="MCX22" s="1"/>
      <c r="MCY22" s="1"/>
      <c r="MCZ22" s="1"/>
      <c r="MDA22" s="1"/>
      <c r="MDB22" s="1"/>
      <c r="MDC22" s="1"/>
      <c r="MDD22" s="1"/>
      <c r="MDE22" s="1"/>
      <c r="MDF22" s="1"/>
      <c r="MDG22" s="1"/>
      <c r="MDH22" s="1"/>
      <c r="MDI22" s="1"/>
      <c r="MDJ22" s="1"/>
      <c r="MDK22" s="1"/>
      <c r="MDL22" s="1"/>
      <c r="MDM22" s="1"/>
      <c r="MDN22" s="1"/>
      <c r="MDO22" s="1"/>
      <c r="MDP22" s="1"/>
      <c r="MDQ22" s="1"/>
      <c r="MDR22" s="1"/>
      <c r="MDS22" s="1"/>
      <c r="MDT22" s="1"/>
      <c r="MDU22" s="1"/>
      <c r="MDV22" s="1"/>
      <c r="MDW22" s="1"/>
      <c r="MDX22" s="1"/>
      <c r="MDY22" s="1"/>
      <c r="MDZ22" s="1"/>
      <c r="MEA22" s="1"/>
      <c r="MEB22" s="1"/>
      <c r="MEC22" s="1"/>
      <c r="MED22" s="1"/>
      <c r="MEE22" s="1"/>
      <c r="MEF22" s="1"/>
      <c r="MEG22" s="1"/>
      <c r="MEH22" s="1"/>
      <c r="MEI22" s="1"/>
      <c r="MEJ22" s="1"/>
      <c r="MEK22" s="1"/>
      <c r="MEL22" s="1"/>
      <c r="MEM22" s="1"/>
      <c r="MEN22" s="1"/>
      <c r="MEO22" s="1"/>
      <c r="MEP22" s="1"/>
      <c r="MEQ22" s="1"/>
      <c r="MER22" s="1"/>
      <c r="MES22" s="1"/>
      <c r="MET22" s="1"/>
      <c r="MEU22" s="1"/>
      <c r="MEV22" s="1"/>
      <c r="MEW22" s="1"/>
      <c r="MEX22" s="1"/>
      <c r="MEY22" s="1"/>
      <c r="MEZ22" s="1"/>
      <c r="MFA22" s="1"/>
      <c r="MFB22" s="1"/>
      <c r="MFC22" s="1"/>
      <c r="MFD22" s="1"/>
      <c r="MFE22" s="1"/>
      <c r="MFF22" s="1"/>
      <c r="MFG22" s="1"/>
      <c r="MFH22" s="1"/>
      <c r="MFI22" s="1"/>
      <c r="MFJ22" s="1"/>
      <c r="MFK22" s="1"/>
      <c r="MFL22" s="1"/>
      <c r="MFM22" s="1"/>
      <c r="MFN22" s="1"/>
      <c r="MFO22" s="1"/>
      <c r="MFP22" s="1"/>
      <c r="MFQ22" s="1"/>
      <c r="MFR22" s="1"/>
      <c r="MFS22" s="1"/>
      <c r="MFT22" s="1"/>
      <c r="MFU22" s="1"/>
      <c r="MFV22" s="1"/>
      <c r="MFW22" s="1"/>
      <c r="MFX22" s="1"/>
      <c r="MFY22" s="1"/>
      <c r="MFZ22" s="1"/>
      <c r="MGA22" s="1"/>
      <c r="MGB22" s="1"/>
      <c r="MGC22" s="1"/>
      <c r="MGD22" s="1"/>
      <c r="MGE22" s="1"/>
      <c r="MGF22" s="1"/>
      <c r="MGG22" s="1"/>
      <c r="MGH22" s="1"/>
      <c r="MGI22" s="1"/>
      <c r="MGJ22" s="1"/>
      <c r="MGK22" s="1"/>
      <c r="MGL22" s="1"/>
      <c r="MGM22" s="1"/>
      <c r="MGN22" s="1"/>
      <c r="MGO22" s="1"/>
      <c r="MGP22" s="1"/>
      <c r="MGQ22" s="1"/>
      <c r="MGR22" s="1"/>
      <c r="MGS22" s="1"/>
      <c r="MGT22" s="1"/>
      <c r="MGU22" s="1"/>
      <c r="MGV22" s="1"/>
      <c r="MGW22" s="1"/>
      <c r="MGX22" s="1"/>
      <c r="MGY22" s="1"/>
      <c r="MGZ22" s="1"/>
      <c r="MHA22" s="1"/>
      <c r="MHB22" s="1"/>
      <c r="MHC22" s="1"/>
      <c r="MHD22" s="1"/>
      <c r="MHE22" s="1"/>
      <c r="MHF22" s="1"/>
      <c r="MHG22" s="1"/>
      <c r="MHH22" s="1"/>
      <c r="MHI22" s="1"/>
      <c r="MHJ22" s="1"/>
      <c r="MHK22" s="1"/>
      <c r="MHL22" s="1"/>
      <c r="MHM22" s="1"/>
      <c r="MHN22" s="1"/>
      <c r="MHO22" s="1"/>
      <c r="MHP22" s="1"/>
      <c r="MHQ22" s="1"/>
      <c r="MHR22" s="1"/>
      <c r="MHS22" s="1"/>
      <c r="MHT22" s="1"/>
      <c r="MHU22" s="1"/>
      <c r="MHV22" s="1"/>
      <c r="MHW22" s="1"/>
      <c r="MHX22" s="1"/>
      <c r="MHY22" s="1"/>
      <c r="MHZ22" s="1"/>
      <c r="MIA22" s="1"/>
      <c r="MIB22" s="1"/>
      <c r="MIC22" s="1"/>
      <c r="MID22" s="1"/>
      <c r="MIE22" s="1"/>
      <c r="MIF22" s="1"/>
      <c r="MIG22" s="1"/>
      <c r="MIH22" s="1"/>
      <c r="MII22" s="1"/>
      <c r="MIJ22" s="1"/>
      <c r="MIK22" s="1"/>
      <c r="MIL22" s="1"/>
      <c r="MIM22" s="1"/>
      <c r="MIN22" s="1"/>
      <c r="MIO22" s="1"/>
      <c r="MIP22" s="1"/>
      <c r="MIQ22" s="1"/>
      <c r="MIR22" s="1"/>
      <c r="MIS22" s="1"/>
      <c r="MIT22" s="1"/>
      <c r="MIU22" s="1"/>
      <c r="MIV22" s="1"/>
      <c r="MIW22" s="1"/>
      <c r="MIX22" s="1"/>
      <c r="MIY22" s="1"/>
      <c r="MIZ22" s="1"/>
      <c r="MJA22" s="1"/>
      <c r="MJB22" s="1"/>
      <c r="MJC22" s="1"/>
      <c r="MJD22" s="1"/>
      <c r="MJE22" s="1"/>
      <c r="MJF22" s="1"/>
      <c r="MJG22" s="1"/>
      <c r="MJH22" s="1"/>
      <c r="MJI22" s="1"/>
      <c r="MJJ22" s="1"/>
      <c r="MJK22" s="1"/>
      <c r="MJL22" s="1"/>
      <c r="MJM22" s="1"/>
      <c r="MJN22" s="1"/>
      <c r="MJO22" s="1"/>
      <c r="MJP22" s="1"/>
      <c r="MJQ22" s="1"/>
      <c r="MJR22" s="1"/>
      <c r="MJS22" s="1"/>
      <c r="MJT22" s="1"/>
      <c r="MJU22" s="1"/>
      <c r="MJV22" s="1"/>
      <c r="MJW22" s="1"/>
      <c r="MJX22" s="1"/>
      <c r="MJY22" s="1"/>
      <c r="MJZ22" s="1"/>
      <c r="MKA22" s="1"/>
      <c r="MKB22" s="1"/>
      <c r="MKC22" s="1"/>
      <c r="MKD22" s="1"/>
      <c r="MKE22" s="1"/>
      <c r="MKF22" s="1"/>
      <c r="MKG22" s="1"/>
      <c r="MKH22" s="1"/>
      <c r="MKI22" s="1"/>
      <c r="MKJ22" s="1"/>
      <c r="MKK22" s="1"/>
      <c r="MKL22" s="1"/>
      <c r="MKM22" s="1"/>
      <c r="MKN22" s="1"/>
      <c r="MKO22" s="1"/>
      <c r="MKP22" s="1"/>
      <c r="MKQ22" s="1"/>
      <c r="MKR22" s="1"/>
      <c r="MKS22" s="1"/>
      <c r="MKT22" s="1"/>
      <c r="MKU22" s="1"/>
      <c r="MKV22" s="1"/>
      <c r="MKW22" s="1"/>
      <c r="MKX22" s="1"/>
      <c r="MKY22" s="1"/>
      <c r="MKZ22" s="1"/>
      <c r="MLA22" s="1"/>
      <c r="MLB22" s="1"/>
      <c r="MLC22" s="1"/>
      <c r="MLD22" s="1"/>
      <c r="MLE22" s="1"/>
      <c r="MLF22" s="1"/>
      <c r="MLG22" s="1"/>
      <c r="MLH22" s="1"/>
      <c r="MLI22" s="1"/>
      <c r="MLJ22" s="1"/>
      <c r="MLK22" s="1"/>
      <c r="MLL22" s="1"/>
      <c r="MLM22" s="1"/>
      <c r="MLN22" s="1"/>
      <c r="MLO22" s="1"/>
      <c r="MLP22" s="1"/>
      <c r="MLQ22" s="1"/>
      <c r="MLR22" s="1"/>
      <c r="MLS22" s="1"/>
      <c r="MLT22" s="1"/>
      <c r="MLU22" s="1"/>
      <c r="MLV22" s="1"/>
      <c r="MLW22" s="1"/>
      <c r="MLX22" s="1"/>
      <c r="MLY22" s="1"/>
      <c r="MLZ22" s="1"/>
      <c r="MMA22" s="1"/>
      <c r="MMB22" s="1"/>
      <c r="MMC22" s="1"/>
      <c r="MMD22" s="1"/>
      <c r="MME22" s="1"/>
      <c r="MMF22" s="1"/>
      <c r="MMG22" s="1"/>
      <c r="MMH22" s="1"/>
      <c r="MMI22" s="1"/>
      <c r="MMJ22" s="1"/>
      <c r="MMK22" s="1"/>
      <c r="MML22" s="1"/>
      <c r="MMM22" s="1"/>
      <c r="MMN22" s="1"/>
      <c r="MMO22" s="1"/>
      <c r="MMP22" s="1"/>
      <c r="MMQ22" s="1"/>
      <c r="MMR22" s="1"/>
      <c r="MMS22" s="1"/>
      <c r="MMT22" s="1"/>
      <c r="MMU22" s="1"/>
      <c r="MMV22" s="1"/>
      <c r="MMW22" s="1"/>
      <c r="MMX22" s="1"/>
      <c r="MMY22" s="1"/>
      <c r="MMZ22" s="1"/>
      <c r="MNA22" s="1"/>
      <c r="MNB22" s="1"/>
      <c r="MNC22" s="1"/>
      <c r="MND22" s="1"/>
      <c r="MNE22" s="1"/>
      <c r="MNF22" s="1"/>
      <c r="MNG22" s="1"/>
      <c r="MNH22" s="1"/>
      <c r="MNI22" s="1"/>
      <c r="MNJ22" s="1"/>
      <c r="MNK22" s="1"/>
      <c r="MNL22" s="1"/>
      <c r="MNM22" s="1"/>
      <c r="MNN22" s="1"/>
      <c r="MNO22" s="1"/>
      <c r="MNP22" s="1"/>
      <c r="MNQ22" s="1"/>
      <c r="MNR22" s="1"/>
      <c r="MNS22" s="1"/>
      <c r="MNT22" s="1"/>
      <c r="MNU22" s="1"/>
      <c r="MNV22" s="1"/>
      <c r="MNW22" s="1"/>
      <c r="MNX22" s="1"/>
      <c r="MNY22" s="1"/>
      <c r="MNZ22" s="1"/>
      <c r="MOA22" s="1"/>
      <c r="MOB22" s="1"/>
      <c r="MOC22" s="1"/>
      <c r="MOD22" s="1"/>
      <c r="MOE22" s="1"/>
      <c r="MOF22" s="1"/>
      <c r="MOG22" s="1"/>
      <c r="MOH22" s="1"/>
      <c r="MOI22" s="1"/>
      <c r="MOJ22" s="1"/>
      <c r="MOK22" s="1"/>
      <c r="MOL22" s="1"/>
      <c r="MOM22" s="1"/>
      <c r="MON22" s="1"/>
      <c r="MOO22" s="1"/>
      <c r="MOP22" s="1"/>
      <c r="MOQ22" s="1"/>
      <c r="MOR22" s="1"/>
      <c r="MOS22" s="1"/>
      <c r="MOT22" s="1"/>
      <c r="MOU22" s="1"/>
      <c r="MOV22" s="1"/>
      <c r="MOW22" s="1"/>
      <c r="MOX22" s="1"/>
      <c r="MOY22" s="1"/>
      <c r="MOZ22" s="1"/>
      <c r="MPA22" s="1"/>
      <c r="MPB22" s="1"/>
      <c r="MPC22" s="1"/>
      <c r="MPD22" s="1"/>
      <c r="MPE22" s="1"/>
      <c r="MPF22" s="1"/>
      <c r="MPG22" s="1"/>
      <c r="MPH22" s="1"/>
      <c r="MPI22" s="1"/>
      <c r="MPJ22" s="1"/>
      <c r="MPK22" s="1"/>
      <c r="MPL22" s="1"/>
      <c r="MPM22" s="1"/>
      <c r="MPN22" s="1"/>
      <c r="MPO22" s="1"/>
      <c r="MPP22" s="1"/>
      <c r="MPQ22" s="1"/>
      <c r="MPR22" s="1"/>
      <c r="MPS22" s="1"/>
      <c r="MPT22" s="1"/>
      <c r="MPU22" s="1"/>
      <c r="MPV22" s="1"/>
      <c r="MPW22" s="1"/>
      <c r="MPX22" s="1"/>
      <c r="MPY22" s="1"/>
      <c r="MPZ22" s="1"/>
      <c r="MQA22" s="1"/>
      <c r="MQB22" s="1"/>
      <c r="MQC22" s="1"/>
      <c r="MQD22" s="1"/>
      <c r="MQE22" s="1"/>
      <c r="MQF22" s="1"/>
      <c r="MQG22" s="1"/>
      <c r="MQH22" s="1"/>
      <c r="MQI22" s="1"/>
      <c r="MQJ22" s="1"/>
      <c r="MQK22" s="1"/>
      <c r="MQL22" s="1"/>
      <c r="MQM22" s="1"/>
      <c r="MQN22" s="1"/>
      <c r="MQO22" s="1"/>
      <c r="MQP22" s="1"/>
      <c r="MQQ22" s="1"/>
      <c r="MQR22" s="1"/>
      <c r="MQS22" s="1"/>
      <c r="MQT22" s="1"/>
      <c r="MQU22" s="1"/>
      <c r="MQV22" s="1"/>
      <c r="MQW22" s="1"/>
      <c r="MQX22" s="1"/>
      <c r="MQY22" s="1"/>
      <c r="MQZ22" s="1"/>
      <c r="MRA22" s="1"/>
      <c r="MRB22" s="1"/>
      <c r="MRC22" s="1"/>
      <c r="MRD22" s="1"/>
      <c r="MRE22" s="1"/>
      <c r="MRF22" s="1"/>
      <c r="MRG22" s="1"/>
      <c r="MRH22" s="1"/>
      <c r="MRI22" s="1"/>
      <c r="MRJ22" s="1"/>
      <c r="MRK22" s="1"/>
      <c r="MRL22" s="1"/>
      <c r="MRM22" s="1"/>
      <c r="MRN22" s="1"/>
      <c r="MRO22" s="1"/>
      <c r="MRP22" s="1"/>
      <c r="MRQ22" s="1"/>
      <c r="MRR22" s="1"/>
      <c r="MRS22" s="1"/>
      <c r="MRT22" s="1"/>
      <c r="MRU22" s="1"/>
      <c r="MRV22" s="1"/>
      <c r="MRW22" s="1"/>
      <c r="MRX22" s="1"/>
      <c r="MRY22" s="1"/>
      <c r="MRZ22" s="1"/>
      <c r="MSA22" s="1"/>
      <c r="MSB22" s="1"/>
      <c r="MSC22" s="1"/>
      <c r="MSD22" s="1"/>
      <c r="MSE22" s="1"/>
      <c r="MSF22" s="1"/>
      <c r="MSG22" s="1"/>
      <c r="MSH22" s="1"/>
      <c r="MSI22" s="1"/>
      <c r="MSJ22" s="1"/>
      <c r="MSK22" s="1"/>
      <c r="MSL22" s="1"/>
      <c r="MSM22" s="1"/>
      <c r="MSN22" s="1"/>
      <c r="MSO22" s="1"/>
      <c r="MSP22" s="1"/>
      <c r="MSQ22" s="1"/>
      <c r="MSR22" s="1"/>
      <c r="MSS22" s="1"/>
      <c r="MST22" s="1"/>
      <c r="MSU22" s="1"/>
      <c r="MSV22" s="1"/>
      <c r="MSW22" s="1"/>
      <c r="MSX22" s="1"/>
      <c r="MSY22" s="1"/>
      <c r="MSZ22" s="1"/>
      <c r="MTA22" s="1"/>
      <c r="MTB22" s="1"/>
      <c r="MTC22" s="1"/>
      <c r="MTD22" s="1"/>
      <c r="MTE22" s="1"/>
      <c r="MTF22" s="1"/>
      <c r="MTG22" s="1"/>
      <c r="MTH22" s="1"/>
      <c r="MTI22" s="1"/>
      <c r="MTJ22" s="1"/>
      <c r="MTK22" s="1"/>
      <c r="MTL22" s="1"/>
      <c r="MTM22" s="1"/>
      <c r="MTN22" s="1"/>
      <c r="MTO22" s="1"/>
      <c r="MTP22" s="1"/>
      <c r="MTQ22" s="1"/>
      <c r="MTR22" s="1"/>
      <c r="MTS22" s="1"/>
      <c r="MTT22" s="1"/>
      <c r="MTU22" s="1"/>
      <c r="MTV22" s="1"/>
      <c r="MTW22" s="1"/>
      <c r="MTX22" s="1"/>
      <c r="MTY22" s="1"/>
      <c r="MTZ22" s="1"/>
      <c r="MUA22" s="1"/>
      <c r="MUB22" s="1"/>
      <c r="MUC22" s="1"/>
      <c r="MUD22" s="1"/>
      <c r="MUE22" s="1"/>
      <c r="MUF22" s="1"/>
      <c r="MUG22" s="1"/>
      <c r="MUH22" s="1"/>
      <c r="MUI22" s="1"/>
      <c r="MUJ22" s="1"/>
      <c r="MUK22" s="1"/>
      <c r="MUL22" s="1"/>
      <c r="MUM22" s="1"/>
      <c r="MUN22" s="1"/>
      <c r="MUO22" s="1"/>
      <c r="MUP22" s="1"/>
      <c r="MUQ22" s="1"/>
      <c r="MUR22" s="1"/>
      <c r="MUS22" s="1"/>
      <c r="MUT22" s="1"/>
      <c r="MUU22" s="1"/>
      <c r="MUV22" s="1"/>
      <c r="MUW22" s="1"/>
      <c r="MUX22" s="1"/>
      <c r="MUY22" s="1"/>
      <c r="MUZ22" s="1"/>
      <c r="MVA22" s="1"/>
      <c r="MVB22" s="1"/>
      <c r="MVC22" s="1"/>
      <c r="MVD22" s="1"/>
      <c r="MVE22" s="1"/>
      <c r="MVF22" s="1"/>
      <c r="MVG22" s="1"/>
      <c r="MVH22" s="1"/>
      <c r="MVI22" s="1"/>
      <c r="MVJ22" s="1"/>
      <c r="MVK22" s="1"/>
      <c r="MVL22" s="1"/>
      <c r="MVM22" s="1"/>
      <c r="MVN22" s="1"/>
      <c r="MVO22" s="1"/>
      <c r="MVP22" s="1"/>
      <c r="MVQ22" s="1"/>
      <c r="MVR22" s="1"/>
      <c r="MVS22" s="1"/>
      <c r="MVT22" s="1"/>
      <c r="MVU22" s="1"/>
      <c r="MVV22" s="1"/>
      <c r="MVW22" s="1"/>
      <c r="MVX22" s="1"/>
      <c r="MVY22" s="1"/>
      <c r="MVZ22" s="1"/>
      <c r="MWA22" s="1"/>
      <c r="MWB22" s="1"/>
      <c r="MWC22" s="1"/>
      <c r="MWD22" s="1"/>
      <c r="MWE22" s="1"/>
      <c r="MWF22" s="1"/>
      <c r="MWG22" s="1"/>
      <c r="MWH22" s="1"/>
      <c r="MWI22" s="1"/>
      <c r="MWJ22" s="1"/>
      <c r="MWK22" s="1"/>
      <c r="MWL22" s="1"/>
      <c r="MWM22" s="1"/>
      <c r="MWN22" s="1"/>
      <c r="MWO22" s="1"/>
      <c r="MWP22" s="1"/>
      <c r="MWQ22" s="1"/>
      <c r="MWR22" s="1"/>
      <c r="MWS22" s="1"/>
      <c r="MWT22" s="1"/>
      <c r="MWU22" s="1"/>
      <c r="MWV22" s="1"/>
      <c r="MWW22" s="1"/>
      <c r="MWX22" s="1"/>
      <c r="MWY22" s="1"/>
      <c r="MWZ22" s="1"/>
      <c r="MXA22" s="1"/>
      <c r="MXB22" s="1"/>
      <c r="MXC22" s="1"/>
      <c r="MXD22" s="1"/>
      <c r="MXE22" s="1"/>
      <c r="MXF22" s="1"/>
      <c r="MXG22" s="1"/>
      <c r="MXH22" s="1"/>
      <c r="MXI22" s="1"/>
      <c r="MXJ22" s="1"/>
      <c r="MXK22" s="1"/>
      <c r="MXL22" s="1"/>
      <c r="MXM22" s="1"/>
      <c r="MXN22" s="1"/>
      <c r="MXO22" s="1"/>
      <c r="MXP22" s="1"/>
      <c r="MXQ22" s="1"/>
      <c r="MXR22" s="1"/>
      <c r="MXS22" s="1"/>
      <c r="MXT22" s="1"/>
      <c r="MXU22" s="1"/>
      <c r="MXV22" s="1"/>
      <c r="MXW22" s="1"/>
      <c r="MXX22" s="1"/>
      <c r="MXY22" s="1"/>
      <c r="MXZ22" s="1"/>
      <c r="MYA22" s="1"/>
      <c r="MYB22" s="1"/>
      <c r="MYC22" s="1"/>
      <c r="MYD22" s="1"/>
      <c r="MYE22" s="1"/>
      <c r="MYF22" s="1"/>
      <c r="MYG22" s="1"/>
      <c r="MYH22" s="1"/>
      <c r="MYI22" s="1"/>
      <c r="MYJ22" s="1"/>
      <c r="MYK22" s="1"/>
      <c r="MYL22" s="1"/>
      <c r="MYM22" s="1"/>
      <c r="MYN22" s="1"/>
      <c r="MYO22" s="1"/>
      <c r="MYP22" s="1"/>
      <c r="MYQ22" s="1"/>
      <c r="MYR22" s="1"/>
      <c r="MYS22" s="1"/>
      <c r="MYT22" s="1"/>
      <c r="MYU22" s="1"/>
      <c r="MYV22" s="1"/>
      <c r="MYW22" s="1"/>
      <c r="MYX22" s="1"/>
      <c r="MYY22" s="1"/>
      <c r="MYZ22" s="1"/>
      <c r="MZA22" s="1"/>
      <c r="MZB22" s="1"/>
      <c r="MZC22" s="1"/>
      <c r="MZD22" s="1"/>
      <c r="MZE22" s="1"/>
      <c r="MZF22" s="1"/>
      <c r="MZG22" s="1"/>
      <c r="MZH22" s="1"/>
      <c r="MZI22" s="1"/>
      <c r="MZJ22" s="1"/>
      <c r="MZK22" s="1"/>
      <c r="MZL22" s="1"/>
      <c r="MZM22" s="1"/>
      <c r="MZN22" s="1"/>
      <c r="MZO22" s="1"/>
      <c r="MZP22" s="1"/>
      <c r="MZQ22" s="1"/>
      <c r="MZR22" s="1"/>
      <c r="MZS22" s="1"/>
      <c r="MZT22" s="1"/>
      <c r="MZU22" s="1"/>
      <c r="MZV22" s="1"/>
      <c r="MZW22" s="1"/>
      <c r="MZX22" s="1"/>
      <c r="MZY22" s="1"/>
      <c r="MZZ22" s="1"/>
      <c r="NAA22" s="1"/>
      <c r="NAB22" s="1"/>
      <c r="NAC22" s="1"/>
      <c r="NAD22" s="1"/>
      <c r="NAE22" s="1"/>
      <c r="NAF22" s="1"/>
      <c r="NAG22" s="1"/>
      <c r="NAH22" s="1"/>
      <c r="NAI22" s="1"/>
      <c r="NAJ22" s="1"/>
      <c r="NAK22" s="1"/>
      <c r="NAL22" s="1"/>
      <c r="NAM22" s="1"/>
      <c r="NAN22" s="1"/>
      <c r="NAO22" s="1"/>
      <c r="NAP22" s="1"/>
      <c r="NAQ22" s="1"/>
      <c r="NAR22" s="1"/>
      <c r="NAS22" s="1"/>
      <c r="NAT22" s="1"/>
      <c r="NAU22" s="1"/>
      <c r="NAV22" s="1"/>
      <c r="NAW22" s="1"/>
      <c r="NAX22" s="1"/>
      <c r="NAY22" s="1"/>
      <c r="NAZ22" s="1"/>
      <c r="NBA22" s="1"/>
      <c r="NBB22" s="1"/>
      <c r="NBC22" s="1"/>
      <c r="NBD22" s="1"/>
      <c r="NBE22" s="1"/>
      <c r="NBF22" s="1"/>
      <c r="NBG22" s="1"/>
      <c r="NBH22" s="1"/>
      <c r="NBI22" s="1"/>
      <c r="NBJ22" s="1"/>
      <c r="NBK22" s="1"/>
      <c r="NBL22" s="1"/>
      <c r="NBM22" s="1"/>
      <c r="NBN22" s="1"/>
      <c r="NBO22" s="1"/>
      <c r="NBP22" s="1"/>
      <c r="NBQ22" s="1"/>
      <c r="NBR22" s="1"/>
      <c r="NBS22" s="1"/>
      <c r="NBT22" s="1"/>
      <c r="NBU22" s="1"/>
      <c r="NBV22" s="1"/>
      <c r="NBW22" s="1"/>
      <c r="NBX22" s="1"/>
      <c r="NBY22" s="1"/>
      <c r="NBZ22" s="1"/>
      <c r="NCA22" s="1"/>
      <c r="NCB22" s="1"/>
      <c r="NCC22" s="1"/>
      <c r="NCD22" s="1"/>
      <c r="NCE22" s="1"/>
      <c r="NCF22" s="1"/>
      <c r="NCG22" s="1"/>
      <c r="NCH22" s="1"/>
      <c r="NCI22" s="1"/>
      <c r="NCJ22" s="1"/>
      <c r="NCK22" s="1"/>
      <c r="NCL22" s="1"/>
      <c r="NCM22" s="1"/>
      <c r="NCN22" s="1"/>
      <c r="NCO22" s="1"/>
      <c r="NCP22" s="1"/>
      <c r="NCQ22" s="1"/>
      <c r="NCR22" s="1"/>
      <c r="NCS22" s="1"/>
      <c r="NCT22" s="1"/>
      <c r="NCU22" s="1"/>
      <c r="NCV22" s="1"/>
      <c r="NCW22" s="1"/>
      <c r="NCX22" s="1"/>
      <c r="NCY22" s="1"/>
      <c r="NCZ22" s="1"/>
      <c r="NDA22" s="1"/>
      <c r="NDB22" s="1"/>
      <c r="NDC22" s="1"/>
      <c r="NDD22" s="1"/>
      <c r="NDE22" s="1"/>
      <c r="NDF22" s="1"/>
      <c r="NDG22" s="1"/>
      <c r="NDH22" s="1"/>
      <c r="NDI22" s="1"/>
      <c r="NDJ22" s="1"/>
      <c r="NDK22" s="1"/>
      <c r="NDL22" s="1"/>
      <c r="NDM22" s="1"/>
      <c r="NDN22" s="1"/>
      <c r="NDO22" s="1"/>
      <c r="NDP22" s="1"/>
      <c r="NDQ22" s="1"/>
      <c r="NDR22" s="1"/>
      <c r="NDS22" s="1"/>
      <c r="NDT22" s="1"/>
      <c r="NDU22" s="1"/>
      <c r="NDV22" s="1"/>
      <c r="NDW22" s="1"/>
      <c r="NDX22" s="1"/>
      <c r="NDY22" s="1"/>
      <c r="NDZ22" s="1"/>
      <c r="NEA22" s="1"/>
      <c r="NEB22" s="1"/>
      <c r="NEC22" s="1"/>
      <c r="NED22" s="1"/>
      <c r="NEE22" s="1"/>
      <c r="NEF22" s="1"/>
      <c r="NEG22" s="1"/>
      <c r="NEH22" s="1"/>
      <c r="NEI22" s="1"/>
      <c r="NEJ22" s="1"/>
      <c r="NEK22" s="1"/>
      <c r="NEL22" s="1"/>
      <c r="NEM22" s="1"/>
      <c r="NEN22" s="1"/>
      <c r="NEO22" s="1"/>
      <c r="NEP22" s="1"/>
      <c r="NEQ22" s="1"/>
      <c r="NER22" s="1"/>
      <c r="NES22" s="1"/>
      <c r="NET22" s="1"/>
      <c r="NEU22" s="1"/>
      <c r="NEV22" s="1"/>
      <c r="NEW22" s="1"/>
      <c r="NEX22" s="1"/>
      <c r="NEY22" s="1"/>
      <c r="NEZ22" s="1"/>
      <c r="NFA22" s="1"/>
      <c r="NFB22" s="1"/>
      <c r="NFC22" s="1"/>
      <c r="NFD22" s="1"/>
      <c r="NFE22" s="1"/>
      <c r="NFF22" s="1"/>
      <c r="NFG22" s="1"/>
      <c r="NFH22" s="1"/>
      <c r="NFI22" s="1"/>
      <c r="NFJ22" s="1"/>
      <c r="NFK22" s="1"/>
      <c r="NFL22" s="1"/>
      <c r="NFM22" s="1"/>
      <c r="NFN22" s="1"/>
      <c r="NFO22" s="1"/>
      <c r="NFP22" s="1"/>
      <c r="NFQ22" s="1"/>
      <c r="NFR22" s="1"/>
      <c r="NFS22" s="1"/>
      <c r="NFT22" s="1"/>
      <c r="NFU22" s="1"/>
      <c r="NFV22" s="1"/>
      <c r="NFW22" s="1"/>
      <c r="NFX22" s="1"/>
      <c r="NFY22" s="1"/>
      <c r="NFZ22" s="1"/>
      <c r="NGA22" s="1"/>
      <c r="NGB22" s="1"/>
      <c r="NGC22" s="1"/>
      <c r="NGD22" s="1"/>
      <c r="NGE22" s="1"/>
      <c r="NGF22" s="1"/>
      <c r="NGG22" s="1"/>
      <c r="NGH22" s="1"/>
      <c r="NGI22" s="1"/>
      <c r="NGJ22" s="1"/>
      <c r="NGK22" s="1"/>
      <c r="NGL22" s="1"/>
      <c r="NGM22" s="1"/>
      <c r="NGN22" s="1"/>
      <c r="NGO22" s="1"/>
      <c r="NGP22" s="1"/>
      <c r="NGQ22" s="1"/>
      <c r="NGR22" s="1"/>
      <c r="NGS22" s="1"/>
      <c r="NGT22" s="1"/>
      <c r="NGU22" s="1"/>
      <c r="NGV22" s="1"/>
      <c r="NGW22" s="1"/>
      <c r="NGX22" s="1"/>
      <c r="NGY22" s="1"/>
      <c r="NGZ22" s="1"/>
      <c r="NHA22" s="1"/>
      <c r="NHB22" s="1"/>
      <c r="NHC22" s="1"/>
      <c r="NHD22" s="1"/>
      <c r="NHE22" s="1"/>
      <c r="NHF22" s="1"/>
      <c r="NHG22" s="1"/>
      <c r="NHH22" s="1"/>
      <c r="NHI22" s="1"/>
      <c r="NHJ22" s="1"/>
      <c r="NHK22" s="1"/>
      <c r="NHL22" s="1"/>
      <c r="NHM22" s="1"/>
      <c r="NHN22" s="1"/>
      <c r="NHO22" s="1"/>
      <c r="NHP22" s="1"/>
      <c r="NHQ22" s="1"/>
      <c r="NHR22" s="1"/>
      <c r="NHS22" s="1"/>
      <c r="NHT22" s="1"/>
      <c r="NHU22" s="1"/>
      <c r="NHV22" s="1"/>
      <c r="NHW22" s="1"/>
      <c r="NHX22" s="1"/>
      <c r="NHY22" s="1"/>
      <c r="NHZ22" s="1"/>
      <c r="NIA22" s="1"/>
      <c r="NIB22" s="1"/>
      <c r="NIC22" s="1"/>
      <c r="NID22" s="1"/>
      <c r="NIE22" s="1"/>
      <c r="NIF22" s="1"/>
      <c r="NIG22" s="1"/>
      <c r="NIH22" s="1"/>
      <c r="NII22" s="1"/>
      <c r="NIJ22" s="1"/>
      <c r="NIK22" s="1"/>
      <c r="NIL22" s="1"/>
      <c r="NIM22" s="1"/>
      <c r="NIN22" s="1"/>
      <c r="NIO22" s="1"/>
      <c r="NIP22" s="1"/>
      <c r="NIQ22" s="1"/>
      <c r="NIR22" s="1"/>
      <c r="NIS22" s="1"/>
      <c r="NIT22" s="1"/>
      <c r="NIU22" s="1"/>
      <c r="NIV22" s="1"/>
      <c r="NIW22" s="1"/>
      <c r="NIX22" s="1"/>
      <c r="NIY22" s="1"/>
      <c r="NIZ22" s="1"/>
      <c r="NJA22" s="1"/>
      <c r="NJB22" s="1"/>
      <c r="NJC22" s="1"/>
      <c r="NJD22" s="1"/>
      <c r="NJE22" s="1"/>
      <c r="NJF22" s="1"/>
      <c r="NJG22" s="1"/>
      <c r="NJH22" s="1"/>
      <c r="NJI22" s="1"/>
      <c r="NJJ22" s="1"/>
      <c r="NJK22" s="1"/>
      <c r="NJL22" s="1"/>
      <c r="NJM22" s="1"/>
      <c r="NJN22" s="1"/>
      <c r="NJO22" s="1"/>
      <c r="NJP22" s="1"/>
      <c r="NJQ22" s="1"/>
      <c r="NJR22" s="1"/>
      <c r="NJS22" s="1"/>
      <c r="NJT22" s="1"/>
      <c r="NJU22" s="1"/>
      <c r="NJV22" s="1"/>
      <c r="NJW22" s="1"/>
      <c r="NJX22" s="1"/>
      <c r="NJY22" s="1"/>
      <c r="NJZ22" s="1"/>
      <c r="NKA22" s="1"/>
      <c r="NKB22" s="1"/>
      <c r="NKC22" s="1"/>
      <c r="NKD22" s="1"/>
      <c r="NKE22" s="1"/>
      <c r="NKF22" s="1"/>
      <c r="NKG22" s="1"/>
      <c r="NKH22" s="1"/>
      <c r="NKI22" s="1"/>
      <c r="NKJ22" s="1"/>
      <c r="NKK22" s="1"/>
      <c r="NKL22" s="1"/>
      <c r="NKM22" s="1"/>
      <c r="NKN22" s="1"/>
      <c r="NKO22" s="1"/>
      <c r="NKP22" s="1"/>
      <c r="NKQ22" s="1"/>
      <c r="NKR22" s="1"/>
      <c r="NKS22" s="1"/>
      <c r="NKT22" s="1"/>
      <c r="NKU22" s="1"/>
      <c r="NKV22" s="1"/>
      <c r="NKW22" s="1"/>
      <c r="NKX22" s="1"/>
      <c r="NKY22" s="1"/>
      <c r="NKZ22" s="1"/>
      <c r="NLA22" s="1"/>
      <c r="NLB22" s="1"/>
      <c r="NLC22" s="1"/>
      <c r="NLD22" s="1"/>
      <c r="NLE22" s="1"/>
      <c r="NLF22" s="1"/>
      <c r="NLG22" s="1"/>
      <c r="NLH22" s="1"/>
      <c r="NLI22" s="1"/>
      <c r="NLJ22" s="1"/>
      <c r="NLK22" s="1"/>
      <c r="NLL22" s="1"/>
      <c r="NLM22" s="1"/>
      <c r="NLN22" s="1"/>
      <c r="NLO22" s="1"/>
      <c r="NLP22" s="1"/>
      <c r="NLQ22" s="1"/>
      <c r="NLR22" s="1"/>
      <c r="NLS22" s="1"/>
      <c r="NLT22" s="1"/>
      <c r="NLU22" s="1"/>
      <c r="NLV22" s="1"/>
      <c r="NLW22" s="1"/>
      <c r="NLX22" s="1"/>
      <c r="NLY22" s="1"/>
      <c r="NLZ22" s="1"/>
      <c r="NMA22" s="1"/>
      <c r="NMB22" s="1"/>
      <c r="NMC22" s="1"/>
      <c r="NMD22" s="1"/>
      <c r="NME22" s="1"/>
      <c r="NMF22" s="1"/>
      <c r="NMG22" s="1"/>
      <c r="NMH22" s="1"/>
      <c r="NMI22" s="1"/>
      <c r="NMJ22" s="1"/>
      <c r="NMK22" s="1"/>
      <c r="NML22" s="1"/>
      <c r="NMM22" s="1"/>
      <c r="NMN22" s="1"/>
      <c r="NMO22" s="1"/>
      <c r="NMP22" s="1"/>
      <c r="NMQ22" s="1"/>
      <c r="NMR22" s="1"/>
      <c r="NMS22" s="1"/>
      <c r="NMT22" s="1"/>
      <c r="NMU22" s="1"/>
      <c r="NMV22" s="1"/>
      <c r="NMW22" s="1"/>
      <c r="NMX22" s="1"/>
      <c r="NMY22" s="1"/>
      <c r="NMZ22" s="1"/>
      <c r="NNA22" s="1"/>
      <c r="NNB22" s="1"/>
      <c r="NNC22" s="1"/>
      <c r="NND22" s="1"/>
      <c r="NNE22" s="1"/>
      <c r="NNF22" s="1"/>
      <c r="NNG22" s="1"/>
      <c r="NNH22" s="1"/>
      <c r="NNI22" s="1"/>
      <c r="NNJ22" s="1"/>
      <c r="NNK22" s="1"/>
      <c r="NNL22" s="1"/>
      <c r="NNM22" s="1"/>
      <c r="NNN22" s="1"/>
      <c r="NNO22" s="1"/>
      <c r="NNP22" s="1"/>
      <c r="NNQ22" s="1"/>
      <c r="NNR22" s="1"/>
      <c r="NNS22" s="1"/>
      <c r="NNT22" s="1"/>
      <c r="NNU22" s="1"/>
      <c r="NNV22" s="1"/>
      <c r="NNW22" s="1"/>
      <c r="NNX22" s="1"/>
      <c r="NNY22" s="1"/>
      <c r="NNZ22" s="1"/>
      <c r="NOA22" s="1"/>
      <c r="NOB22" s="1"/>
      <c r="NOC22" s="1"/>
      <c r="NOD22" s="1"/>
      <c r="NOE22" s="1"/>
      <c r="NOF22" s="1"/>
      <c r="NOG22" s="1"/>
      <c r="NOH22" s="1"/>
      <c r="NOI22" s="1"/>
      <c r="NOJ22" s="1"/>
      <c r="NOK22" s="1"/>
      <c r="NOL22" s="1"/>
      <c r="NOM22" s="1"/>
      <c r="NON22" s="1"/>
      <c r="NOO22" s="1"/>
      <c r="NOP22" s="1"/>
      <c r="NOQ22" s="1"/>
      <c r="NOR22" s="1"/>
      <c r="NOS22" s="1"/>
      <c r="NOT22" s="1"/>
      <c r="NOU22" s="1"/>
      <c r="NOV22" s="1"/>
      <c r="NOW22" s="1"/>
      <c r="NOX22" s="1"/>
      <c r="NOY22" s="1"/>
      <c r="NOZ22" s="1"/>
      <c r="NPA22" s="1"/>
      <c r="NPB22" s="1"/>
      <c r="NPC22" s="1"/>
      <c r="NPD22" s="1"/>
      <c r="NPE22" s="1"/>
      <c r="NPF22" s="1"/>
      <c r="NPG22" s="1"/>
      <c r="NPH22" s="1"/>
      <c r="NPI22" s="1"/>
      <c r="NPJ22" s="1"/>
      <c r="NPK22" s="1"/>
      <c r="NPL22" s="1"/>
      <c r="NPM22" s="1"/>
      <c r="NPN22" s="1"/>
      <c r="NPO22" s="1"/>
      <c r="NPP22" s="1"/>
      <c r="NPQ22" s="1"/>
      <c r="NPR22" s="1"/>
      <c r="NPS22" s="1"/>
      <c r="NPT22" s="1"/>
      <c r="NPU22" s="1"/>
      <c r="NPV22" s="1"/>
      <c r="NPW22" s="1"/>
      <c r="NPX22" s="1"/>
      <c r="NPY22" s="1"/>
      <c r="NPZ22" s="1"/>
      <c r="NQA22" s="1"/>
      <c r="NQB22" s="1"/>
      <c r="NQC22" s="1"/>
      <c r="NQD22" s="1"/>
      <c r="NQE22" s="1"/>
      <c r="NQF22" s="1"/>
      <c r="NQG22" s="1"/>
      <c r="NQH22" s="1"/>
      <c r="NQI22" s="1"/>
      <c r="NQJ22" s="1"/>
      <c r="NQK22" s="1"/>
      <c r="NQL22" s="1"/>
      <c r="NQM22" s="1"/>
      <c r="NQN22" s="1"/>
      <c r="NQO22" s="1"/>
      <c r="NQP22" s="1"/>
      <c r="NQQ22" s="1"/>
      <c r="NQR22" s="1"/>
      <c r="NQS22" s="1"/>
      <c r="NQT22" s="1"/>
      <c r="NQU22" s="1"/>
      <c r="NQV22" s="1"/>
      <c r="NQW22" s="1"/>
      <c r="NQX22" s="1"/>
      <c r="NQY22" s="1"/>
      <c r="NQZ22" s="1"/>
      <c r="NRA22" s="1"/>
      <c r="NRB22" s="1"/>
      <c r="NRC22" s="1"/>
      <c r="NRD22" s="1"/>
      <c r="NRE22" s="1"/>
      <c r="NRF22" s="1"/>
      <c r="NRG22" s="1"/>
      <c r="NRH22" s="1"/>
      <c r="NRI22" s="1"/>
      <c r="NRJ22" s="1"/>
      <c r="NRK22" s="1"/>
      <c r="NRL22" s="1"/>
      <c r="NRM22" s="1"/>
      <c r="NRN22" s="1"/>
      <c r="NRO22" s="1"/>
      <c r="NRP22" s="1"/>
      <c r="NRQ22" s="1"/>
      <c r="NRR22" s="1"/>
      <c r="NRS22" s="1"/>
      <c r="NRT22" s="1"/>
      <c r="NRU22" s="1"/>
      <c r="NRV22" s="1"/>
      <c r="NRW22" s="1"/>
      <c r="NRX22" s="1"/>
      <c r="NRY22" s="1"/>
      <c r="NRZ22" s="1"/>
      <c r="NSA22" s="1"/>
      <c r="NSB22" s="1"/>
      <c r="NSC22" s="1"/>
      <c r="NSD22" s="1"/>
      <c r="NSE22" s="1"/>
      <c r="NSF22" s="1"/>
      <c r="NSG22" s="1"/>
      <c r="NSH22" s="1"/>
      <c r="NSI22" s="1"/>
      <c r="NSJ22" s="1"/>
      <c r="NSK22" s="1"/>
      <c r="NSL22" s="1"/>
      <c r="NSM22" s="1"/>
      <c r="NSN22" s="1"/>
      <c r="NSO22" s="1"/>
      <c r="NSP22" s="1"/>
      <c r="NSQ22" s="1"/>
      <c r="NSR22" s="1"/>
      <c r="NSS22" s="1"/>
      <c r="NST22" s="1"/>
      <c r="NSU22" s="1"/>
      <c r="NSV22" s="1"/>
      <c r="NSW22" s="1"/>
      <c r="NSX22" s="1"/>
      <c r="NSY22" s="1"/>
      <c r="NSZ22" s="1"/>
      <c r="NTA22" s="1"/>
      <c r="NTB22" s="1"/>
      <c r="NTC22" s="1"/>
      <c r="NTD22" s="1"/>
      <c r="NTE22" s="1"/>
      <c r="NTF22" s="1"/>
      <c r="NTG22" s="1"/>
      <c r="NTH22" s="1"/>
      <c r="NTI22" s="1"/>
      <c r="NTJ22" s="1"/>
      <c r="NTK22" s="1"/>
      <c r="NTL22" s="1"/>
      <c r="NTM22" s="1"/>
      <c r="NTN22" s="1"/>
      <c r="NTO22" s="1"/>
      <c r="NTP22" s="1"/>
      <c r="NTQ22" s="1"/>
      <c r="NTR22" s="1"/>
      <c r="NTS22" s="1"/>
      <c r="NTT22" s="1"/>
      <c r="NTU22" s="1"/>
      <c r="NTV22" s="1"/>
      <c r="NTW22" s="1"/>
      <c r="NTX22" s="1"/>
      <c r="NTY22" s="1"/>
      <c r="NTZ22" s="1"/>
      <c r="NUA22" s="1"/>
      <c r="NUB22" s="1"/>
      <c r="NUC22" s="1"/>
      <c r="NUD22" s="1"/>
      <c r="NUE22" s="1"/>
      <c r="NUF22" s="1"/>
      <c r="NUG22" s="1"/>
      <c r="NUH22" s="1"/>
      <c r="NUI22" s="1"/>
      <c r="NUJ22" s="1"/>
      <c r="NUK22" s="1"/>
      <c r="NUL22" s="1"/>
      <c r="NUM22" s="1"/>
      <c r="NUN22" s="1"/>
      <c r="NUO22" s="1"/>
      <c r="NUP22" s="1"/>
      <c r="NUQ22" s="1"/>
      <c r="NUR22" s="1"/>
      <c r="NUS22" s="1"/>
      <c r="NUT22" s="1"/>
      <c r="NUU22" s="1"/>
      <c r="NUV22" s="1"/>
      <c r="NUW22" s="1"/>
      <c r="NUX22" s="1"/>
      <c r="NUY22" s="1"/>
      <c r="NUZ22" s="1"/>
      <c r="NVA22" s="1"/>
      <c r="NVB22" s="1"/>
      <c r="NVC22" s="1"/>
      <c r="NVD22" s="1"/>
      <c r="NVE22" s="1"/>
      <c r="NVF22" s="1"/>
      <c r="NVG22" s="1"/>
      <c r="NVH22" s="1"/>
      <c r="NVI22" s="1"/>
      <c r="NVJ22" s="1"/>
      <c r="NVK22" s="1"/>
      <c r="NVL22" s="1"/>
      <c r="NVM22" s="1"/>
      <c r="NVN22" s="1"/>
      <c r="NVO22" s="1"/>
      <c r="NVP22" s="1"/>
      <c r="NVQ22" s="1"/>
      <c r="NVR22" s="1"/>
      <c r="NVS22" s="1"/>
      <c r="NVT22" s="1"/>
      <c r="NVU22" s="1"/>
      <c r="NVV22" s="1"/>
      <c r="NVW22" s="1"/>
      <c r="NVX22" s="1"/>
      <c r="NVY22" s="1"/>
      <c r="NVZ22" s="1"/>
      <c r="NWA22" s="1"/>
      <c r="NWB22" s="1"/>
      <c r="NWC22" s="1"/>
      <c r="NWD22" s="1"/>
      <c r="NWE22" s="1"/>
      <c r="NWF22" s="1"/>
      <c r="NWG22" s="1"/>
      <c r="NWH22" s="1"/>
      <c r="NWI22" s="1"/>
      <c r="NWJ22" s="1"/>
      <c r="NWK22" s="1"/>
      <c r="NWL22" s="1"/>
      <c r="NWM22" s="1"/>
      <c r="NWN22" s="1"/>
      <c r="NWO22" s="1"/>
      <c r="NWP22" s="1"/>
      <c r="NWQ22" s="1"/>
      <c r="NWR22" s="1"/>
      <c r="NWS22" s="1"/>
      <c r="NWT22" s="1"/>
      <c r="NWU22" s="1"/>
      <c r="NWV22" s="1"/>
      <c r="NWW22" s="1"/>
      <c r="NWX22" s="1"/>
      <c r="NWY22" s="1"/>
      <c r="NWZ22" s="1"/>
      <c r="NXA22" s="1"/>
      <c r="NXB22" s="1"/>
      <c r="NXC22" s="1"/>
      <c r="NXD22" s="1"/>
      <c r="NXE22" s="1"/>
      <c r="NXF22" s="1"/>
      <c r="NXG22" s="1"/>
      <c r="NXH22" s="1"/>
      <c r="NXI22" s="1"/>
      <c r="NXJ22" s="1"/>
      <c r="NXK22" s="1"/>
      <c r="NXL22" s="1"/>
      <c r="NXM22" s="1"/>
      <c r="NXN22" s="1"/>
      <c r="NXO22" s="1"/>
      <c r="NXP22" s="1"/>
      <c r="NXQ22" s="1"/>
      <c r="NXR22" s="1"/>
      <c r="NXS22" s="1"/>
      <c r="NXT22" s="1"/>
      <c r="NXU22" s="1"/>
      <c r="NXV22" s="1"/>
      <c r="NXW22" s="1"/>
      <c r="NXX22" s="1"/>
      <c r="NXY22" s="1"/>
      <c r="NXZ22" s="1"/>
      <c r="NYA22" s="1"/>
      <c r="NYB22" s="1"/>
      <c r="NYC22" s="1"/>
      <c r="NYD22" s="1"/>
      <c r="NYE22" s="1"/>
      <c r="NYF22" s="1"/>
      <c r="NYG22" s="1"/>
      <c r="NYH22" s="1"/>
      <c r="NYI22" s="1"/>
      <c r="NYJ22" s="1"/>
      <c r="NYK22" s="1"/>
      <c r="NYL22" s="1"/>
      <c r="NYM22" s="1"/>
      <c r="NYN22" s="1"/>
      <c r="NYO22" s="1"/>
      <c r="NYP22" s="1"/>
      <c r="NYQ22" s="1"/>
      <c r="NYR22" s="1"/>
      <c r="NYS22" s="1"/>
      <c r="NYT22" s="1"/>
      <c r="NYU22" s="1"/>
      <c r="NYV22" s="1"/>
      <c r="NYW22" s="1"/>
      <c r="NYX22" s="1"/>
      <c r="NYY22" s="1"/>
      <c r="NYZ22" s="1"/>
      <c r="NZA22" s="1"/>
      <c r="NZB22" s="1"/>
      <c r="NZC22" s="1"/>
      <c r="NZD22" s="1"/>
      <c r="NZE22" s="1"/>
      <c r="NZF22" s="1"/>
      <c r="NZG22" s="1"/>
      <c r="NZH22" s="1"/>
      <c r="NZI22" s="1"/>
      <c r="NZJ22" s="1"/>
      <c r="NZK22" s="1"/>
      <c r="NZL22" s="1"/>
      <c r="NZM22" s="1"/>
      <c r="NZN22" s="1"/>
      <c r="NZO22" s="1"/>
      <c r="NZP22" s="1"/>
      <c r="NZQ22" s="1"/>
      <c r="NZR22" s="1"/>
      <c r="NZS22" s="1"/>
      <c r="NZT22" s="1"/>
      <c r="NZU22" s="1"/>
      <c r="NZV22" s="1"/>
      <c r="NZW22" s="1"/>
      <c r="NZX22" s="1"/>
      <c r="NZY22" s="1"/>
      <c r="NZZ22" s="1"/>
      <c r="OAA22" s="1"/>
      <c r="OAB22" s="1"/>
      <c r="OAC22" s="1"/>
      <c r="OAD22" s="1"/>
      <c r="OAE22" s="1"/>
      <c r="OAF22" s="1"/>
      <c r="OAG22" s="1"/>
      <c r="OAH22" s="1"/>
      <c r="OAI22" s="1"/>
      <c r="OAJ22" s="1"/>
      <c r="OAK22" s="1"/>
      <c r="OAL22" s="1"/>
      <c r="OAM22" s="1"/>
      <c r="OAN22" s="1"/>
      <c r="OAO22" s="1"/>
      <c r="OAP22" s="1"/>
      <c r="OAQ22" s="1"/>
      <c r="OAR22" s="1"/>
      <c r="OAS22" s="1"/>
      <c r="OAT22" s="1"/>
      <c r="OAU22" s="1"/>
      <c r="OAV22" s="1"/>
      <c r="OAW22" s="1"/>
      <c r="OAX22" s="1"/>
      <c r="OAY22" s="1"/>
      <c r="OAZ22" s="1"/>
      <c r="OBA22" s="1"/>
      <c r="OBB22" s="1"/>
      <c r="OBC22" s="1"/>
      <c r="OBD22" s="1"/>
      <c r="OBE22" s="1"/>
      <c r="OBF22" s="1"/>
      <c r="OBG22" s="1"/>
      <c r="OBH22" s="1"/>
      <c r="OBI22" s="1"/>
      <c r="OBJ22" s="1"/>
      <c r="OBK22" s="1"/>
      <c r="OBL22" s="1"/>
      <c r="OBM22" s="1"/>
      <c r="OBN22" s="1"/>
      <c r="OBO22" s="1"/>
      <c r="OBP22" s="1"/>
      <c r="OBQ22" s="1"/>
      <c r="OBR22" s="1"/>
      <c r="OBS22" s="1"/>
      <c r="OBT22" s="1"/>
      <c r="OBU22" s="1"/>
      <c r="OBV22" s="1"/>
      <c r="OBW22" s="1"/>
      <c r="OBX22" s="1"/>
      <c r="OBY22" s="1"/>
      <c r="OBZ22" s="1"/>
      <c r="OCA22" s="1"/>
      <c r="OCB22" s="1"/>
      <c r="OCC22" s="1"/>
      <c r="OCD22" s="1"/>
      <c r="OCE22" s="1"/>
      <c r="OCF22" s="1"/>
      <c r="OCG22" s="1"/>
      <c r="OCH22" s="1"/>
      <c r="OCI22" s="1"/>
      <c r="OCJ22" s="1"/>
      <c r="OCK22" s="1"/>
      <c r="OCL22" s="1"/>
      <c r="OCM22" s="1"/>
      <c r="OCN22" s="1"/>
      <c r="OCO22" s="1"/>
      <c r="OCP22" s="1"/>
      <c r="OCQ22" s="1"/>
      <c r="OCR22" s="1"/>
      <c r="OCS22" s="1"/>
      <c r="OCT22" s="1"/>
      <c r="OCU22" s="1"/>
      <c r="OCV22" s="1"/>
      <c r="OCW22" s="1"/>
      <c r="OCX22" s="1"/>
      <c r="OCY22" s="1"/>
      <c r="OCZ22" s="1"/>
      <c r="ODA22" s="1"/>
      <c r="ODB22" s="1"/>
      <c r="ODC22" s="1"/>
      <c r="ODD22" s="1"/>
      <c r="ODE22" s="1"/>
      <c r="ODF22" s="1"/>
      <c r="ODG22" s="1"/>
      <c r="ODH22" s="1"/>
      <c r="ODI22" s="1"/>
      <c r="ODJ22" s="1"/>
      <c r="ODK22" s="1"/>
      <c r="ODL22" s="1"/>
      <c r="ODM22" s="1"/>
      <c r="ODN22" s="1"/>
      <c r="ODO22" s="1"/>
      <c r="ODP22" s="1"/>
      <c r="ODQ22" s="1"/>
      <c r="ODR22" s="1"/>
      <c r="ODS22" s="1"/>
      <c r="ODT22" s="1"/>
      <c r="ODU22" s="1"/>
      <c r="ODV22" s="1"/>
      <c r="ODW22" s="1"/>
      <c r="ODX22" s="1"/>
      <c r="ODY22" s="1"/>
      <c r="ODZ22" s="1"/>
      <c r="OEA22" s="1"/>
      <c r="OEB22" s="1"/>
      <c r="OEC22" s="1"/>
      <c r="OED22" s="1"/>
      <c r="OEE22" s="1"/>
      <c r="OEF22" s="1"/>
      <c r="OEG22" s="1"/>
      <c r="OEH22" s="1"/>
      <c r="OEI22" s="1"/>
      <c r="OEJ22" s="1"/>
      <c r="OEK22" s="1"/>
      <c r="OEL22" s="1"/>
      <c r="OEM22" s="1"/>
      <c r="OEN22" s="1"/>
      <c r="OEO22" s="1"/>
      <c r="OEP22" s="1"/>
      <c r="OEQ22" s="1"/>
      <c r="OER22" s="1"/>
      <c r="OES22" s="1"/>
      <c r="OET22" s="1"/>
      <c r="OEU22" s="1"/>
      <c r="OEV22" s="1"/>
      <c r="OEW22" s="1"/>
      <c r="OEX22" s="1"/>
      <c r="OEY22" s="1"/>
      <c r="OEZ22" s="1"/>
      <c r="OFA22" s="1"/>
      <c r="OFB22" s="1"/>
      <c r="OFC22" s="1"/>
      <c r="OFD22" s="1"/>
      <c r="OFE22" s="1"/>
      <c r="OFF22" s="1"/>
      <c r="OFG22" s="1"/>
      <c r="OFH22" s="1"/>
      <c r="OFI22" s="1"/>
      <c r="OFJ22" s="1"/>
      <c r="OFK22" s="1"/>
      <c r="OFL22" s="1"/>
      <c r="OFM22" s="1"/>
      <c r="OFN22" s="1"/>
      <c r="OFO22" s="1"/>
      <c r="OFP22" s="1"/>
      <c r="OFQ22" s="1"/>
      <c r="OFR22" s="1"/>
      <c r="OFS22" s="1"/>
      <c r="OFT22" s="1"/>
      <c r="OFU22" s="1"/>
      <c r="OFV22" s="1"/>
      <c r="OFW22" s="1"/>
      <c r="OFX22" s="1"/>
      <c r="OFY22" s="1"/>
      <c r="OFZ22" s="1"/>
      <c r="OGA22" s="1"/>
      <c r="OGB22" s="1"/>
      <c r="OGC22" s="1"/>
      <c r="OGD22" s="1"/>
      <c r="OGE22" s="1"/>
      <c r="OGF22" s="1"/>
      <c r="OGG22" s="1"/>
      <c r="OGH22" s="1"/>
      <c r="OGI22" s="1"/>
      <c r="OGJ22" s="1"/>
      <c r="OGK22" s="1"/>
      <c r="OGL22" s="1"/>
      <c r="OGM22" s="1"/>
      <c r="OGN22" s="1"/>
      <c r="OGO22" s="1"/>
      <c r="OGP22" s="1"/>
      <c r="OGQ22" s="1"/>
      <c r="OGR22" s="1"/>
      <c r="OGS22" s="1"/>
      <c r="OGT22" s="1"/>
      <c r="OGU22" s="1"/>
      <c r="OGV22" s="1"/>
      <c r="OGW22" s="1"/>
      <c r="OGX22" s="1"/>
      <c r="OGY22" s="1"/>
      <c r="OGZ22" s="1"/>
      <c r="OHA22" s="1"/>
      <c r="OHB22" s="1"/>
      <c r="OHC22" s="1"/>
      <c r="OHD22" s="1"/>
      <c r="OHE22" s="1"/>
      <c r="OHF22" s="1"/>
      <c r="OHG22" s="1"/>
      <c r="OHH22" s="1"/>
      <c r="OHI22" s="1"/>
      <c r="OHJ22" s="1"/>
      <c r="OHK22" s="1"/>
      <c r="OHL22" s="1"/>
      <c r="OHM22" s="1"/>
      <c r="OHN22" s="1"/>
      <c r="OHO22" s="1"/>
      <c r="OHP22" s="1"/>
      <c r="OHQ22" s="1"/>
      <c r="OHR22" s="1"/>
      <c r="OHS22" s="1"/>
      <c r="OHT22" s="1"/>
      <c r="OHU22" s="1"/>
      <c r="OHV22" s="1"/>
      <c r="OHW22" s="1"/>
      <c r="OHX22" s="1"/>
      <c r="OHY22" s="1"/>
      <c r="OHZ22" s="1"/>
      <c r="OIA22" s="1"/>
      <c r="OIB22" s="1"/>
      <c r="OIC22" s="1"/>
      <c r="OID22" s="1"/>
      <c r="OIE22" s="1"/>
      <c r="OIF22" s="1"/>
      <c r="OIG22" s="1"/>
      <c r="OIH22" s="1"/>
      <c r="OII22" s="1"/>
      <c r="OIJ22" s="1"/>
      <c r="OIK22" s="1"/>
      <c r="OIL22" s="1"/>
      <c r="OIM22" s="1"/>
      <c r="OIN22" s="1"/>
      <c r="OIO22" s="1"/>
      <c r="OIP22" s="1"/>
      <c r="OIQ22" s="1"/>
      <c r="OIR22" s="1"/>
      <c r="OIS22" s="1"/>
      <c r="OIT22" s="1"/>
      <c r="OIU22" s="1"/>
      <c r="OIV22" s="1"/>
      <c r="OIW22" s="1"/>
      <c r="OIX22" s="1"/>
      <c r="OIY22" s="1"/>
      <c r="OIZ22" s="1"/>
      <c r="OJA22" s="1"/>
      <c r="OJB22" s="1"/>
      <c r="OJC22" s="1"/>
      <c r="OJD22" s="1"/>
      <c r="OJE22" s="1"/>
      <c r="OJF22" s="1"/>
      <c r="OJG22" s="1"/>
      <c r="OJH22" s="1"/>
      <c r="OJI22" s="1"/>
      <c r="OJJ22" s="1"/>
      <c r="OJK22" s="1"/>
      <c r="OJL22" s="1"/>
      <c r="OJM22" s="1"/>
      <c r="OJN22" s="1"/>
      <c r="OJO22" s="1"/>
      <c r="OJP22" s="1"/>
      <c r="OJQ22" s="1"/>
      <c r="OJR22" s="1"/>
      <c r="OJS22" s="1"/>
      <c r="OJT22" s="1"/>
      <c r="OJU22" s="1"/>
      <c r="OJV22" s="1"/>
      <c r="OJW22" s="1"/>
      <c r="OJX22" s="1"/>
      <c r="OJY22" s="1"/>
      <c r="OJZ22" s="1"/>
      <c r="OKA22" s="1"/>
      <c r="OKB22" s="1"/>
      <c r="OKC22" s="1"/>
      <c r="OKD22" s="1"/>
      <c r="OKE22" s="1"/>
      <c r="OKF22" s="1"/>
      <c r="OKG22" s="1"/>
      <c r="OKH22" s="1"/>
      <c r="OKI22" s="1"/>
      <c r="OKJ22" s="1"/>
      <c r="OKK22" s="1"/>
      <c r="OKL22" s="1"/>
      <c r="OKM22" s="1"/>
      <c r="OKN22" s="1"/>
      <c r="OKO22" s="1"/>
      <c r="OKP22" s="1"/>
      <c r="OKQ22" s="1"/>
      <c r="OKR22" s="1"/>
      <c r="OKS22" s="1"/>
      <c r="OKT22" s="1"/>
      <c r="OKU22" s="1"/>
      <c r="OKV22" s="1"/>
      <c r="OKW22" s="1"/>
      <c r="OKX22" s="1"/>
      <c r="OKY22" s="1"/>
      <c r="OKZ22" s="1"/>
      <c r="OLA22" s="1"/>
      <c r="OLB22" s="1"/>
      <c r="OLC22" s="1"/>
      <c r="OLD22" s="1"/>
      <c r="OLE22" s="1"/>
      <c r="OLF22" s="1"/>
      <c r="OLG22" s="1"/>
      <c r="OLH22" s="1"/>
      <c r="OLI22" s="1"/>
      <c r="OLJ22" s="1"/>
      <c r="OLK22" s="1"/>
      <c r="OLL22" s="1"/>
      <c r="OLM22" s="1"/>
      <c r="OLN22" s="1"/>
      <c r="OLO22" s="1"/>
      <c r="OLP22" s="1"/>
      <c r="OLQ22" s="1"/>
      <c r="OLR22" s="1"/>
      <c r="OLS22" s="1"/>
      <c r="OLT22" s="1"/>
      <c r="OLU22" s="1"/>
      <c r="OLV22" s="1"/>
      <c r="OLW22" s="1"/>
      <c r="OLX22" s="1"/>
      <c r="OLY22" s="1"/>
      <c r="OLZ22" s="1"/>
      <c r="OMA22" s="1"/>
      <c r="OMB22" s="1"/>
      <c r="OMC22" s="1"/>
      <c r="OMD22" s="1"/>
      <c r="OME22" s="1"/>
      <c r="OMF22" s="1"/>
      <c r="OMG22" s="1"/>
      <c r="OMH22" s="1"/>
      <c r="OMI22" s="1"/>
      <c r="OMJ22" s="1"/>
      <c r="OMK22" s="1"/>
      <c r="OML22" s="1"/>
      <c r="OMM22" s="1"/>
      <c r="OMN22" s="1"/>
      <c r="OMO22" s="1"/>
      <c r="OMP22" s="1"/>
      <c r="OMQ22" s="1"/>
      <c r="OMR22" s="1"/>
      <c r="OMS22" s="1"/>
      <c r="OMT22" s="1"/>
      <c r="OMU22" s="1"/>
      <c r="OMV22" s="1"/>
      <c r="OMW22" s="1"/>
      <c r="OMX22" s="1"/>
      <c r="OMY22" s="1"/>
      <c r="OMZ22" s="1"/>
      <c r="ONA22" s="1"/>
      <c r="ONB22" s="1"/>
      <c r="ONC22" s="1"/>
      <c r="OND22" s="1"/>
      <c r="ONE22" s="1"/>
      <c r="ONF22" s="1"/>
      <c r="ONG22" s="1"/>
      <c r="ONH22" s="1"/>
      <c r="ONI22" s="1"/>
      <c r="ONJ22" s="1"/>
      <c r="ONK22" s="1"/>
      <c r="ONL22" s="1"/>
      <c r="ONM22" s="1"/>
      <c r="ONN22" s="1"/>
      <c r="ONO22" s="1"/>
      <c r="ONP22" s="1"/>
      <c r="ONQ22" s="1"/>
      <c r="ONR22" s="1"/>
      <c r="ONS22" s="1"/>
      <c r="ONT22" s="1"/>
      <c r="ONU22" s="1"/>
      <c r="ONV22" s="1"/>
      <c r="ONW22" s="1"/>
      <c r="ONX22" s="1"/>
      <c r="ONY22" s="1"/>
      <c r="ONZ22" s="1"/>
      <c r="OOA22" s="1"/>
      <c r="OOB22" s="1"/>
      <c r="OOC22" s="1"/>
      <c r="OOD22" s="1"/>
      <c r="OOE22" s="1"/>
      <c r="OOF22" s="1"/>
      <c r="OOG22" s="1"/>
      <c r="OOH22" s="1"/>
      <c r="OOI22" s="1"/>
      <c r="OOJ22" s="1"/>
      <c r="OOK22" s="1"/>
      <c r="OOL22" s="1"/>
      <c r="OOM22" s="1"/>
      <c r="OON22" s="1"/>
      <c r="OOO22" s="1"/>
      <c r="OOP22" s="1"/>
      <c r="OOQ22" s="1"/>
      <c r="OOR22" s="1"/>
      <c r="OOS22" s="1"/>
      <c r="OOT22" s="1"/>
      <c r="OOU22" s="1"/>
      <c r="OOV22" s="1"/>
      <c r="OOW22" s="1"/>
      <c r="OOX22" s="1"/>
      <c r="OOY22" s="1"/>
      <c r="OOZ22" s="1"/>
      <c r="OPA22" s="1"/>
      <c r="OPB22" s="1"/>
      <c r="OPC22" s="1"/>
      <c r="OPD22" s="1"/>
      <c r="OPE22" s="1"/>
      <c r="OPF22" s="1"/>
      <c r="OPG22" s="1"/>
      <c r="OPH22" s="1"/>
      <c r="OPI22" s="1"/>
      <c r="OPJ22" s="1"/>
      <c r="OPK22" s="1"/>
      <c r="OPL22" s="1"/>
      <c r="OPM22" s="1"/>
      <c r="OPN22" s="1"/>
      <c r="OPO22" s="1"/>
      <c r="OPP22" s="1"/>
      <c r="OPQ22" s="1"/>
      <c r="OPR22" s="1"/>
      <c r="OPS22" s="1"/>
      <c r="OPT22" s="1"/>
      <c r="OPU22" s="1"/>
      <c r="OPV22" s="1"/>
      <c r="OPW22" s="1"/>
      <c r="OPX22" s="1"/>
      <c r="OPY22" s="1"/>
      <c r="OPZ22" s="1"/>
      <c r="OQA22" s="1"/>
      <c r="OQB22" s="1"/>
      <c r="OQC22" s="1"/>
      <c r="OQD22" s="1"/>
      <c r="OQE22" s="1"/>
      <c r="OQF22" s="1"/>
      <c r="OQG22" s="1"/>
      <c r="OQH22" s="1"/>
      <c r="OQI22" s="1"/>
      <c r="OQJ22" s="1"/>
      <c r="OQK22" s="1"/>
      <c r="OQL22" s="1"/>
      <c r="OQM22" s="1"/>
      <c r="OQN22" s="1"/>
      <c r="OQO22" s="1"/>
      <c r="OQP22" s="1"/>
      <c r="OQQ22" s="1"/>
      <c r="OQR22" s="1"/>
      <c r="OQS22" s="1"/>
      <c r="OQT22" s="1"/>
      <c r="OQU22" s="1"/>
      <c r="OQV22" s="1"/>
      <c r="OQW22" s="1"/>
      <c r="OQX22" s="1"/>
      <c r="OQY22" s="1"/>
      <c r="OQZ22" s="1"/>
      <c r="ORA22" s="1"/>
      <c r="ORB22" s="1"/>
      <c r="ORC22" s="1"/>
      <c r="ORD22" s="1"/>
      <c r="ORE22" s="1"/>
      <c r="ORF22" s="1"/>
      <c r="ORG22" s="1"/>
      <c r="ORH22" s="1"/>
      <c r="ORI22" s="1"/>
      <c r="ORJ22" s="1"/>
      <c r="ORK22" s="1"/>
      <c r="ORL22" s="1"/>
      <c r="ORM22" s="1"/>
      <c r="ORN22" s="1"/>
      <c r="ORO22" s="1"/>
      <c r="ORP22" s="1"/>
      <c r="ORQ22" s="1"/>
      <c r="ORR22" s="1"/>
      <c r="ORS22" s="1"/>
      <c r="ORT22" s="1"/>
      <c r="ORU22" s="1"/>
      <c r="ORV22" s="1"/>
      <c r="ORW22" s="1"/>
      <c r="ORX22" s="1"/>
      <c r="ORY22" s="1"/>
      <c r="ORZ22" s="1"/>
      <c r="OSA22" s="1"/>
      <c r="OSB22" s="1"/>
      <c r="OSC22" s="1"/>
      <c r="OSD22" s="1"/>
      <c r="OSE22" s="1"/>
      <c r="OSF22" s="1"/>
      <c r="OSG22" s="1"/>
      <c r="OSH22" s="1"/>
      <c r="OSI22" s="1"/>
      <c r="OSJ22" s="1"/>
      <c r="OSK22" s="1"/>
      <c r="OSL22" s="1"/>
      <c r="OSM22" s="1"/>
      <c r="OSN22" s="1"/>
      <c r="OSO22" s="1"/>
      <c r="OSP22" s="1"/>
      <c r="OSQ22" s="1"/>
      <c r="OSR22" s="1"/>
      <c r="OSS22" s="1"/>
      <c r="OST22" s="1"/>
      <c r="OSU22" s="1"/>
      <c r="OSV22" s="1"/>
      <c r="OSW22" s="1"/>
      <c r="OSX22" s="1"/>
      <c r="OSY22" s="1"/>
      <c r="OSZ22" s="1"/>
      <c r="OTA22" s="1"/>
      <c r="OTB22" s="1"/>
      <c r="OTC22" s="1"/>
      <c r="OTD22" s="1"/>
      <c r="OTE22" s="1"/>
      <c r="OTF22" s="1"/>
      <c r="OTG22" s="1"/>
      <c r="OTH22" s="1"/>
      <c r="OTI22" s="1"/>
      <c r="OTJ22" s="1"/>
      <c r="OTK22" s="1"/>
      <c r="OTL22" s="1"/>
      <c r="OTM22" s="1"/>
      <c r="OTN22" s="1"/>
      <c r="OTO22" s="1"/>
      <c r="OTP22" s="1"/>
      <c r="OTQ22" s="1"/>
      <c r="OTR22" s="1"/>
      <c r="OTS22" s="1"/>
      <c r="OTT22" s="1"/>
      <c r="OTU22" s="1"/>
      <c r="OTV22" s="1"/>
      <c r="OTW22" s="1"/>
      <c r="OTX22" s="1"/>
      <c r="OTY22" s="1"/>
      <c r="OTZ22" s="1"/>
      <c r="OUA22" s="1"/>
      <c r="OUB22" s="1"/>
      <c r="OUC22" s="1"/>
      <c r="OUD22" s="1"/>
      <c r="OUE22" s="1"/>
      <c r="OUF22" s="1"/>
      <c r="OUG22" s="1"/>
      <c r="OUH22" s="1"/>
      <c r="OUI22" s="1"/>
      <c r="OUJ22" s="1"/>
      <c r="OUK22" s="1"/>
      <c r="OUL22" s="1"/>
      <c r="OUM22" s="1"/>
      <c r="OUN22" s="1"/>
      <c r="OUO22" s="1"/>
      <c r="OUP22" s="1"/>
      <c r="OUQ22" s="1"/>
      <c r="OUR22" s="1"/>
      <c r="OUS22" s="1"/>
      <c r="OUT22" s="1"/>
      <c r="OUU22" s="1"/>
      <c r="OUV22" s="1"/>
      <c r="OUW22" s="1"/>
      <c r="OUX22" s="1"/>
      <c r="OUY22" s="1"/>
      <c r="OUZ22" s="1"/>
      <c r="OVA22" s="1"/>
      <c r="OVB22" s="1"/>
      <c r="OVC22" s="1"/>
      <c r="OVD22" s="1"/>
      <c r="OVE22" s="1"/>
      <c r="OVF22" s="1"/>
      <c r="OVG22" s="1"/>
      <c r="OVH22" s="1"/>
      <c r="OVI22" s="1"/>
      <c r="OVJ22" s="1"/>
      <c r="OVK22" s="1"/>
      <c r="OVL22" s="1"/>
      <c r="OVM22" s="1"/>
      <c r="OVN22" s="1"/>
      <c r="OVO22" s="1"/>
      <c r="OVP22" s="1"/>
      <c r="OVQ22" s="1"/>
      <c r="OVR22" s="1"/>
      <c r="OVS22" s="1"/>
      <c r="OVT22" s="1"/>
      <c r="OVU22" s="1"/>
      <c r="OVV22" s="1"/>
      <c r="OVW22" s="1"/>
      <c r="OVX22" s="1"/>
      <c r="OVY22" s="1"/>
      <c r="OVZ22" s="1"/>
      <c r="OWA22" s="1"/>
      <c r="OWB22" s="1"/>
      <c r="OWC22" s="1"/>
      <c r="OWD22" s="1"/>
      <c r="OWE22" s="1"/>
      <c r="OWF22" s="1"/>
      <c r="OWG22" s="1"/>
      <c r="OWH22" s="1"/>
      <c r="OWI22" s="1"/>
      <c r="OWJ22" s="1"/>
      <c r="OWK22" s="1"/>
      <c r="OWL22" s="1"/>
      <c r="OWM22" s="1"/>
      <c r="OWN22" s="1"/>
      <c r="OWO22" s="1"/>
      <c r="OWP22" s="1"/>
      <c r="OWQ22" s="1"/>
      <c r="OWR22" s="1"/>
      <c r="OWS22" s="1"/>
      <c r="OWT22" s="1"/>
      <c r="OWU22" s="1"/>
      <c r="OWV22" s="1"/>
      <c r="OWW22" s="1"/>
      <c r="OWX22" s="1"/>
      <c r="OWY22" s="1"/>
      <c r="OWZ22" s="1"/>
      <c r="OXA22" s="1"/>
      <c r="OXB22" s="1"/>
      <c r="OXC22" s="1"/>
      <c r="OXD22" s="1"/>
      <c r="OXE22" s="1"/>
      <c r="OXF22" s="1"/>
      <c r="OXG22" s="1"/>
      <c r="OXH22" s="1"/>
      <c r="OXI22" s="1"/>
      <c r="OXJ22" s="1"/>
      <c r="OXK22" s="1"/>
      <c r="OXL22" s="1"/>
      <c r="OXM22" s="1"/>
      <c r="OXN22" s="1"/>
      <c r="OXO22" s="1"/>
      <c r="OXP22" s="1"/>
      <c r="OXQ22" s="1"/>
      <c r="OXR22" s="1"/>
      <c r="OXS22" s="1"/>
      <c r="OXT22" s="1"/>
      <c r="OXU22" s="1"/>
      <c r="OXV22" s="1"/>
      <c r="OXW22" s="1"/>
      <c r="OXX22" s="1"/>
      <c r="OXY22" s="1"/>
      <c r="OXZ22" s="1"/>
      <c r="OYA22" s="1"/>
      <c r="OYB22" s="1"/>
      <c r="OYC22" s="1"/>
      <c r="OYD22" s="1"/>
      <c r="OYE22" s="1"/>
      <c r="OYF22" s="1"/>
      <c r="OYG22" s="1"/>
      <c r="OYH22" s="1"/>
      <c r="OYI22" s="1"/>
      <c r="OYJ22" s="1"/>
      <c r="OYK22" s="1"/>
      <c r="OYL22" s="1"/>
      <c r="OYM22" s="1"/>
      <c r="OYN22" s="1"/>
      <c r="OYO22" s="1"/>
      <c r="OYP22" s="1"/>
      <c r="OYQ22" s="1"/>
      <c r="OYR22" s="1"/>
      <c r="OYS22" s="1"/>
      <c r="OYT22" s="1"/>
      <c r="OYU22" s="1"/>
      <c r="OYV22" s="1"/>
      <c r="OYW22" s="1"/>
      <c r="OYX22" s="1"/>
      <c r="OYY22" s="1"/>
      <c r="OYZ22" s="1"/>
      <c r="OZA22" s="1"/>
      <c r="OZB22" s="1"/>
      <c r="OZC22" s="1"/>
      <c r="OZD22" s="1"/>
      <c r="OZE22" s="1"/>
      <c r="OZF22" s="1"/>
      <c r="OZG22" s="1"/>
      <c r="OZH22" s="1"/>
      <c r="OZI22" s="1"/>
      <c r="OZJ22" s="1"/>
      <c r="OZK22" s="1"/>
      <c r="OZL22" s="1"/>
      <c r="OZM22" s="1"/>
      <c r="OZN22" s="1"/>
      <c r="OZO22" s="1"/>
      <c r="OZP22" s="1"/>
      <c r="OZQ22" s="1"/>
      <c r="OZR22" s="1"/>
      <c r="OZS22" s="1"/>
      <c r="OZT22" s="1"/>
      <c r="OZU22" s="1"/>
      <c r="OZV22" s="1"/>
      <c r="OZW22" s="1"/>
      <c r="OZX22" s="1"/>
      <c r="OZY22" s="1"/>
      <c r="OZZ22" s="1"/>
      <c r="PAA22" s="1"/>
      <c r="PAB22" s="1"/>
      <c r="PAC22" s="1"/>
      <c r="PAD22" s="1"/>
      <c r="PAE22" s="1"/>
      <c r="PAF22" s="1"/>
      <c r="PAG22" s="1"/>
      <c r="PAH22" s="1"/>
      <c r="PAI22" s="1"/>
      <c r="PAJ22" s="1"/>
      <c r="PAK22" s="1"/>
      <c r="PAL22" s="1"/>
      <c r="PAM22" s="1"/>
      <c r="PAN22" s="1"/>
      <c r="PAO22" s="1"/>
      <c r="PAP22" s="1"/>
      <c r="PAQ22" s="1"/>
      <c r="PAR22" s="1"/>
      <c r="PAS22" s="1"/>
      <c r="PAT22" s="1"/>
      <c r="PAU22" s="1"/>
      <c r="PAV22" s="1"/>
      <c r="PAW22" s="1"/>
      <c r="PAX22" s="1"/>
      <c r="PAY22" s="1"/>
      <c r="PAZ22" s="1"/>
      <c r="PBA22" s="1"/>
      <c r="PBB22" s="1"/>
      <c r="PBC22" s="1"/>
      <c r="PBD22" s="1"/>
      <c r="PBE22" s="1"/>
      <c r="PBF22" s="1"/>
      <c r="PBG22" s="1"/>
      <c r="PBH22" s="1"/>
      <c r="PBI22" s="1"/>
      <c r="PBJ22" s="1"/>
      <c r="PBK22" s="1"/>
      <c r="PBL22" s="1"/>
      <c r="PBM22" s="1"/>
      <c r="PBN22" s="1"/>
      <c r="PBO22" s="1"/>
      <c r="PBP22" s="1"/>
      <c r="PBQ22" s="1"/>
      <c r="PBR22" s="1"/>
      <c r="PBS22" s="1"/>
      <c r="PBT22" s="1"/>
      <c r="PBU22" s="1"/>
      <c r="PBV22" s="1"/>
      <c r="PBW22" s="1"/>
      <c r="PBX22" s="1"/>
      <c r="PBY22" s="1"/>
      <c r="PBZ22" s="1"/>
      <c r="PCA22" s="1"/>
      <c r="PCB22" s="1"/>
      <c r="PCC22" s="1"/>
      <c r="PCD22" s="1"/>
      <c r="PCE22" s="1"/>
      <c r="PCF22" s="1"/>
      <c r="PCG22" s="1"/>
      <c r="PCH22" s="1"/>
      <c r="PCI22" s="1"/>
      <c r="PCJ22" s="1"/>
      <c r="PCK22" s="1"/>
      <c r="PCL22" s="1"/>
      <c r="PCM22" s="1"/>
      <c r="PCN22" s="1"/>
      <c r="PCO22" s="1"/>
      <c r="PCP22" s="1"/>
      <c r="PCQ22" s="1"/>
      <c r="PCR22" s="1"/>
      <c r="PCS22" s="1"/>
      <c r="PCT22" s="1"/>
      <c r="PCU22" s="1"/>
      <c r="PCV22" s="1"/>
      <c r="PCW22" s="1"/>
      <c r="PCX22" s="1"/>
      <c r="PCY22" s="1"/>
      <c r="PCZ22" s="1"/>
      <c r="PDA22" s="1"/>
      <c r="PDB22" s="1"/>
      <c r="PDC22" s="1"/>
      <c r="PDD22" s="1"/>
      <c r="PDE22" s="1"/>
      <c r="PDF22" s="1"/>
      <c r="PDG22" s="1"/>
      <c r="PDH22" s="1"/>
      <c r="PDI22" s="1"/>
      <c r="PDJ22" s="1"/>
      <c r="PDK22" s="1"/>
      <c r="PDL22" s="1"/>
      <c r="PDM22" s="1"/>
      <c r="PDN22" s="1"/>
      <c r="PDO22" s="1"/>
      <c r="PDP22" s="1"/>
      <c r="PDQ22" s="1"/>
      <c r="PDR22" s="1"/>
      <c r="PDS22" s="1"/>
      <c r="PDT22" s="1"/>
      <c r="PDU22" s="1"/>
      <c r="PDV22" s="1"/>
      <c r="PDW22" s="1"/>
      <c r="PDX22" s="1"/>
      <c r="PDY22" s="1"/>
      <c r="PDZ22" s="1"/>
      <c r="PEA22" s="1"/>
      <c r="PEB22" s="1"/>
      <c r="PEC22" s="1"/>
      <c r="PED22" s="1"/>
      <c r="PEE22" s="1"/>
      <c r="PEF22" s="1"/>
      <c r="PEG22" s="1"/>
      <c r="PEH22" s="1"/>
      <c r="PEI22" s="1"/>
      <c r="PEJ22" s="1"/>
      <c r="PEK22" s="1"/>
      <c r="PEL22" s="1"/>
      <c r="PEM22" s="1"/>
      <c r="PEN22" s="1"/>
      <c r="PEO22" s="1"/>
      <c r="PEP22" s="1"/>
      <c r="PEQ22" s="1"/>
      <c r="PER22" s="1"/>
      <c r="PES22" s="1"/>
      <c r="PET22" s="1"/>
      <c r="PEU22" s="1"/>
      <c r="PEV22" s="1"/>
      <c r="PEW22" s="1"/>
      <c r="PEX22" s="1"/>
      <c r="PEY22" s="1"/>
      <c r="PEZ22" s="1"/>
      <c r="PFA22" s="1"/>
      <c r="PFB22" s="1"/>
      <c r="PFC22" s="1"/>
      <c r="PFD22" s="1"/>
      <c r="PFE22" s="1"/>
      <c r="PFF22" s="1"/>
      <c r="PFG22" s="1"/>
      <c r="PFH22" s="1"/>
      <c r="PFI22" s="1"/>
      <c r="PFJ22" s="1"/>
      <c r="PFK22" s="1"/>
      <c r="PFL22" s="1"/>
      <c r="PFM22" s="1"/>
      <c r="PFN22" s="1"/>
      <c r="PFO22" s="1"/>
      <c r="PFP22" s="1"/>
      <c r="PFQ22" s="1"/>
      <c r="PFR22" s="1"/>
      <c r="PFS22" s="1"/>
      <c r="PFT22" s="1"/>
      <c r="PFU22" s="1"/>
      <c r="PFV22" s="1"/>
      <c r="PFW22" s="1"/>
      <c r="PFX22" s="1"/>
      <c r="PFY22" s="1"/>
      <c r="PFZ22" s="1"/>
      <c r="PGA22" s="1"/>
      <c r="PGB22" s="1"/>
      <c r="PGC22" s="1"/>
      <c r="PGD22" s="1"/>
      <c r="PGE22" s="1"/>
      <c r="PGF22" s="1"/>
      <c r="PGG22" s="1"/>
      <c r="PGH22" s="1"/>
      <c r="PGI22" s="1"/>
      <c r="PGJ22" s="1"/>
      <c r="PGK22" s="1"/>
      <c r="PGL22" s="1"/>
      <c r="PGM22" s="1"/>
      <c r="PGN22" s="1"/>
      <c r="PGO22" s="1"/>
      <c r="PGP22" s="1"/>
      <c r="PGQ22" s="1"/>
      <c r="PGR22" s="1"/>
      <c r="PGS22" s="1"/>
      <c r="PGT22" s="1"/>
      <c r="PGU22" s="1"/>
      <c r="PGV22" s="1"/>
      <c r="PGW22" s="1"/>
      <c r="PGX22" s="1"/>
      <c r="PGY22" s="1"/>
      <c r="PGZ22" s="1"/>
      <c r="PHA22" s="1"/>
      <c r="PHB22" s="1"/>
      <c r="PHC22" s="1"/>
      <c r="PHD22" s="1"/>
      <c r="PHE22" s="1"/>
      <c r="PHF22" s="1"/>
      <c r="PHG22" s="1"/>
      <c r="PHH22" s="1"/>
      <c r="PHI22" s="1"/>
      <c r="PHJ22" s="1"/>
      <c r="PHK22" s="1"/>
      <c r="PHL22" s="1"/>
      <c r="PHM22" s="1"/>
      <c r="PHN22" s="1"/>
      <c r="PHO22" s="1"/>
      <c r="PHP22" s="1"/>
      <c r="PHQ22" s="1"/>
      <c r="PHR22" s="1"/>
      <c r="PHS22" s="1"/>
      <c r="PHT22" s="1"/>
      <c r="PHU22" s="1"/>
      <c r="PHV22" s="1"/>
      <c r="PHW22" s="1"/>
      <c r="PHX22" s="1"/>
      <c r="PHY22" s="1"/>
      <c r="PHZ22" s="1"/>
      <c r="PIA22" s="1"/>
      <c r="PIB22" s="1"/>
      <c r="PIC22" s="1"/>
      <c r="PID22" s="1"/>
      <c r="PIE22" s="1"/>
      <c r="PIF22" s="1"/>
      <c r="PIG22" s="1"/>
      <c r="PIH22" s="1"/>
      <c r="PII22" s="1"/>
      <c r="PIJ22" s="1"/>
      <c r="PIK22" s="1"/>
      <c r="PIL22" s="1"/>
      <c r="PIM22" s="1"/>
      <c r="PIN22" s="1"/>
      <c r="PIO22" s="1"/>
      <c r="PIP22" s="1"/>
      <c r="PIQ22" s="1"/>
      <c r="PIR22" s="1"/>
      <c r="PIS22" s="1"/>
      <c r="PIT22" s="1"/>
      <c r="PIU22" s="1"/>
      <c r="PIV22" s="1"/>
      <c r="PIW22" s="1"/>
      <c r="PIX22" s="1"/>
      <c r="PIY22" s="1"/>
      <c r="PIZ22" s="1"/>
      <c r="PJA22" s="1"/>
      <c r="PJB22" s="1"/>
      <c r="PJC22" s="1"/>
      <c r="PJD22" s="1"/>
      <c r="PJE22" s="1"/>
      <c r="PJF22" s="1"/>
      <c r="PJG22" s="1"/>
      <c r="PJH22" s="1"/>
      <c r="PJI22" s="1"/>
      <c r="PJJ22" s="1"/>
      <c r="PJK22" s="1"/>
      <c r="PJL22" s="1"/>
      <c r="PJM22" s="1"/>
      <c r="PJN22" s="1"/>
      <c r="PJO22" s="1"/>
      <c r="PJP22" s="1"/>
      <c r="PJQ22" s="1"/>
      <c r="PJR22" s="1"/>
      <c r="PJS22" s="1"/>
      <c r="PJT22" s="1"/>
      <c r="PJU22" s="1"/>
      <c r="PJV22" s="1"/>
      <c r="PJW22" s="1"/>
      <c r="PJX22" s="1"/>
      <c r="PJY22" s="1"/>
      <c r="PJZ22" s="1"/>
      <c r="PKA22" s="1"/>
      <c r="PKB22" s="1"/>
      <c r="PKC22" s="1"/>
      <c r="PKD22" s="1"/>
      <c r="PKE22" s="1"/>
      <c r="PKF22" s="1"/>
      <c r="PKG22" s="1"/>
      <c r="PKH22" s="1"/>
      <c r="PKI22" s="1"/>
      <c r="PKJ22" s="1"/>
      <c r="PKK22" s="1"/>
      <c r="PKL22" s="1"/>
      <c r="PKM22" s="1"/>
      <c r="PKN22" s="1"/>
      <c r="PKO22" s="1"/>
      <c r="PKP22" s="1"/>
      <c r="PKQ22" s="1"/>
      <c r="PKR22" s="1"/>
      <c r="PKS22" s="1"/>
      <c r="PKT22" s="1"/>
      <c r="PKU22" s="1"/>
      <c r="PKV22" s="1"/>
      <c r="PKW22" s="1"/>
      <c r="PKX22" s="1"/>
      <c r="PKY22" s="1"/>
      <c r="PKZ22" s="1"/>
      <c r="PLA22" s="1"/>
      <c r="PLB22" s="1"/>
      <c r="PLC22" s="1"/>
      <c r="PLD22" s="1"/>
      <c r="PLE22" s="1"/>
      <c r="PLF22" s="1"/>
      <c r="PLG22" s="1"/>
      <c r="PLH22" s="1"/>
      <c r="PLI22" s="1"/>
      <c r="PLJ22" s="1"/>
      <c r="PLK22" s="1"/>
      <c r="PLL22" s="1"/>
      <c r="PLM22" s="1"/>
      <c r="PLN22" s="1"/>
      <c r="PLO22" s="1"/>
      <c r="PLP22" s="1"/>
      <c r="PLQ22" s="1"/>
      <c r="PLR22" s="1"/>
      <c r="PLS22" s="1"/>
      <c r="PLT22" s="1"/>
      <c r="PLU22" s="1"/>
      <c r="PLV22" s="1"/>
      <c r="PLW22" s="1"/>
      <c r="PLX22" s="1"/>
      <c r="PLY22" s="1"/>
      <c r="PLZ22" s="1"/>
      <c r="PMA22" s="1"/>
      <c r="PMB22" s="1"/>
      <c r="PMC22" s="1"/>
      <c r="PMD22" s="1"/>
      <c r="PME22" s="1"/>
      <c r="PMF22" s="1"/>
      <c r="PMG22" s="1"/>
      <c r="PMH22" s="1"/>
      <c r="PMI22" s="1"/>
      <c r="PMJ22" s="1"/>
      <c r="PMK22" s="1"/>
      <c r="PML22" s="1"/>
      <c r="PMM22" s="1"/>
      <c r="PMN22" s="1"/>
      <c r="PMO22" s="1"/>
      <c r="PMP22" s="1"/>
      <c r="PMQ22" s="1"/>
      <c r="PMR22" s="1"/>
      <c r="PMS22" s="1"/>
      <c r="PMT22" s="1"/>
      <c r="PMU22" s="1"/>
      <c r="PMV22" s="1"/>
      <c r="PMW22" s="1"/>
      <c r="PMX22" s="1"/>
      <c r="PMY22" s="1"/>
      <c r="PMZ22" s="1"/>
      <c r="PNA22" s="1"/>
      <c r="PNB22" s="1"/>
      <c r="PNC22" s="1"/>
      <c r="PND22" s="1"/>
      <c r="PNE22" s="1"/>
      <c r="PNF22" s="1"/>
      <c r="PNG22" s="1"/>
      <c r="PNH22" s="1"/>
      <c r="PNI22" s="1"/>
      <c r="PNJ22" s="1"/>
      <c r="PNK22" s="1"/>
      <c r="PNL22" s="1"/>
      <c r="PNM22" s="1"/>
      <c r="PNN22" s="1"/>
      <c r="PNO22" s="1"/>
      <c r="PNP22" s="1"/>
      <c r="PNQ22" s="1"/>
      <c r="PNR22" s="1"/>
      <c r="PNS22" s="1"/>
      <c r="PNT22" s="1"/>
      <c r="PNU22" s="1"/>
      <c r="PNV22" s="1"/>
      <c r="PNW22" s="1"/>
      <c r="PNX22" s="1"/>
      <c r="PNY22" s="1"/>
      <c r="PNZ22" s="1"/>
      <c r="POA22" s="1"/>
      <c r="POB22" s="1"/>
      <c r="POC22" s="1"/>
      <c r="POD22" s="1"/>
      <c r="POE22" s="1"/>
      <c r="POF22" s="1"/>
      <c r="POG22" s="1"/>
      <c r="POH22" s="1"/>
      <c r="POI22" s="1"/>
      <c r="POJ22" s="1"/>
      <c r="POK22" s="1"/>
      <c r="POL22" s="1"/>
      <c r="POM22" s="1"/>
      <c r="PON22" s="1"/>
      <c r="POO22" s="1"/>
      <c r="POP22" s="1"/>
      <c r="POQ22" s="1"/>
      <c r="POR22" s="1"/>
      <c r="POS22" s="1"/>
      <c r="POT22" s="1"/>
      <c r="POU22" s="1"/>
      <c r="POV22" s="1"/>
      <c r="POW22" s="1"/>
      <c r="POX22" s="1"/>
      <c r="POY22" s="1"/>
      <c r="POZ22" s="1"/>
      <c r="PPA22" s="1"/>
      <c r="PPB22" s="1"/>
      <c r="PPC22" s="1"/>
      <c r="PPD22" s="1"/>
      <c r="PPE22" s="1"/>
      <c r="PPF22" s="1"/>
      <c r="PPG22" s="1"/>
      <c r="PPH22" s="1"/>
      <c r="PPI22" s="1"/>
      <c r="PPJ22" s="1"/>
      <c r="PPK22" s="1"/>
      <c r="PPL22" s="1"/>
      <c r="PPM22" s="1"/>
      <c r="PPN22" s="1"/>
      <c r="PPO22" s="1"/>
      <c r="PPP22" s="1"/>
      <c r="PPQ22" s="1"/>
      <c r="PPR22" s="1"/>
      <c r="PPS22" s="1"/>
      <c r="PPT22" s="1"/>
      <c r="PPU22" s="1"/>
      <c r="PPV22" s="1"/>
      <c r="PPW22" s="1"/>
      <c r="PPX22" s="1"/>
      <c r="PPY22" s="1"/>
      <c r="PPZ22" s="1"/>
      <c r="PQA22" s="1"/>
      <c r="PQB22" s="1"/>
      <c r="PQC22" s="1"/>
      <c r="PQD22" s="1"/>
      <c r="PQE22" s="1"/>
      <c r="PQF22" s="1"/>
      <c r="PQG22" s="1"/>
      <c r="PQH22" s="1"/>
      <c r="PQI22" s="1"/>
      <c r="PQJ22" s="1"/>
      <c r="PQK22" s="1"/>
      <c r="PQL22" s="1"/>
      <c r="PQM22" s="1"/>
      <c r="PQN22" s="1"/>
      <c r="PQO22" s="1"/>
      <c r="PQP22" s="1"/>
      <c r="PQQ22" s="1"/>
      <c r="PQR22" s="1"/>
      <c r="PQS22" s="1"/>
      <c r="PQT22" s="1"/>
      <c r="PQU22" s="1"/>
      <c r="PQV22" s="1"/>
      <c r="PQW22" s="1"/>
      <c r="PQX22" s="1"/>
      <c r="PQY22" s="1"/>
      <c r="PQZ22" s="1"/>
      <c r="PRA22" s="1"/>
      <c r="PRB22" s="1"/>
      <c r="PRC22" s="1"/>
      <c r="PRD22" s="1"/>
      <c r="PRE22" s="1"/>
      <c r="PRF22" s="1"/>
      <c r="PRG22" s="1"/>
      <c r="PRH22" s="1"/>
      <c r="PRI22" s="1"/>
      <c r="PRJ22" s="1"/>
      <c r="PRK22" s="1"/>
      <c r="PRL22" s="1"/>
      <c r="PRM22" s="1"/>
      <c r="PRN22" s="1"/>
      <c r="PRO22" s="1"/>
      <c r="PRP22" s="1"/>
      <c r="PRQ22" s="1"/>
      <c r="PRR22" s="1"/>
      <c r="PRS22" s="1"/>
      <c r="PRT22" s="1"/>
      <c r="PRU22" s="1"/>
      <c r="PRV22" s="1"/>
      <c r="PRW22" s="1"/>
      <c r="PRX22" s="1"/>
      <c r="PRY22" s="1"/>
      <c r="PRZ22" s="1"/>
      <c r="PSA22" s="1"/>
      <c r="PSB22" s="1"/>
      <c r="PSC22" s="1"/>
      <c r="PSD22" s="1"/>
      <c r="PSE22" s="1"/>
      <c r="PSF22" s="1"/>
      <c r="PSG22" s="1"/>
      <c r="PSH22" s="1"/>
      <c r="PSI22" s="1"/>
      <c r="PSJ22" s="1"/>
      <c r="PSK22" s="1"/>
      <c r="PSL22" s="1"/>
      <c r="PSM22" s="1"/>
      <c r="PSN22" s="1"/>
      <c r="PSO22" s="1"/>
      <c r="PSP22" s="1"/>
      <c r="PSQ22" s="1"/>
      <c r="PSR22" s="1"/>
      <c r="PSS22" s="1"/>
      <c r="PST22" s="1"/>
      <c r="PSU22" s="1"/>
      <c r="PSV22" s="1"/>
      <c r="PSW22" s="1"/>
      <c r="PSX22" s="1"/>
      <c r="PSY22" s="1"/>
      <c r="PSZ22" s="1"/>
      <c r="PTA22" s="1"/>
      <c r="PTB22" s="1"/>
      <c r="PTC22" s="1"/>
      <c r="PTD22" s="1"/>
      <c r="PTE22" s="1"/>
      <c r="PTF22" s="1"/>
      <c r="PTG22" s="1"/>
      <c r="PTH22" s="1"/>
      <c r="PTI22" s="1"/>
      <c r="PTJ22" s="1"/>
      <c r="PTK22" s="1"/>
      <c r="PTL22" s="1"/>
      <c r="PTM22" s="1"/>
      <c r="PTN22" s="1"/>
      <c r="PTO22" s="1"/>
      <c r="PTP22" s="1"/>
      <c r="PTQ22" s="1"/>
      <c r="PTR22" s="1"/>
      <c r="PTS22" s="1"/>
      <c r="PTT22" s="1"/>
      <c r="PTU22" s="1"/>
      <c r="PTV22" s="1"/>
      <c r="PTW22" s="1"/>
      <c r="PTX22" s="1"/>
      <c r="PTY22" s="1"/>
      <c r="PTZ22" s="1"/>
      <c r="PUA22" s="1"/>
      <c r="PUB22" s="1"/>
      <c r="PUC22" s="1"/>
      <c r="PUD22" s="1"/>
      <c r="PUE22" s="1"/>
      <c r="PUF22" s="1"/>
      <c r="PUG22" s="1"/>
      <c r="PUH22" s="1"/>
      <c r="PUI22" s="1"/>
      <c r="PUJ22" s="1"/>
      <c r="PUK22" s="1"/>
      <c r="PUL22" s="1"/>
      <c r="PUM22" s="1"/>
      <c r="PUN22" s="1"/>
      <c r="PUO22" s="1"/>
      <c r="PUP22" s="1"/>
      <c r="PUQ22" s="1"/>
      <c r="PUR22" s="1"/>
      <c r="PUS22" s="1"/>
      <c r="PUT22" s="1"/>
      <c r="PUU22" s="1"/>
      <c r="PUV22" s="1"/>
      <c r="PUW22" s="1"/>
      <c r="PUX22" s="1"/>
      <c r="PUY22" s="1"/>
      <c r="PUZ22" s="1"/>
      <c r="PVA22" s="1"/>
      <c r="PVB22" s="1"/>
      <c r="PVC22" s="1"/>
      <c r="PVD22" s="1"/>
      <c r="PVE22" s="1"/>
      <c r="PVF22" s="1"/>
      <c r="PVG22" s="1"/>
      <c r="PVH22" s="1"/>
      <c r="PVI22" s="1"/>
      <c r="PVJ22" s="1"/>
      <c r="PVK22" s="1"/>
      <c r="PVL22" s="1"/>
      <c r="PVM22" s="1"/>
      <c r="PVN22" s="1"/>
      <c r="PVO22" s="1"/>
      <c r="PVP22" s="1"/>
      <c r="PVQ22" s="1"/>
      <c r="PVR22" s="1"/>
      <c r="PVS22" s="1"/>
      <c r="PVT22" s="1"/>
      <c r="PVU22" s="1"/>
      <c r="PVV22" s="1"/>
      <c r="PVW22" s="1"/>
      <c r="PVX22" s="1"/>
      <c r="PVY22" s="1"/>
      <c r="PVZ22" s="1"/>
      <c r="PWA22" s="1"/>
      <c r="PWB22" s="1"/>
      <c r="PWC22" s="1"/>
      <c r="PWD22" s="1"/>
      <c r="PWE22" s="1"/>
      <c r="PWF22" s="1"/>
      <c r="PWG22" s="1"/>
      <c r="PWH22" s="1"/>
      <c r="PWI22" s="1"/>
      <c r="PWJ22" s="1"/>
      <c r="PWK22" s="1"/>
      <c r="PWL22" s="1"/>
      <c r="PWM22" s="1"/>
      <c r="PWN22" s="1"/>
      <c r="PWO22" s="1"/>
      <c r="PWP22" s="1"/>
      <c r="PWQ22" s="1"/>
      <c r="PWR22" s="1"/>
      <c r="PWS22" s="1"/>
      <c r="PWT22" s="1"/>
      <c r="PWU22" s="1"/>
      <c r="PWV22" s="1"/>
      <c r="PWW22" s="1"/>
      <c r="PWX22" s="1"/>
      <c r="PWY22" s="1"/>
      <c r="PWZ22" s="1"/>
      <c r="PXA22" s="1"/>
      <c r="PXB22" s="1"/>
      <c r="PXC22" s="1"/>
      <c r="PXD22" s="1"/>
      <c r="PXE22" s="1"/>
      <c r="PXF22" s="1"/>
      <c r="PXG22" s="1"/>
      <c r="PXH22" s="1"/>
      <c r="PXI22" s="1"/>
      <c r="PXJ22" s="1"/>
      <c r="PXK22" s="1"/>
      <c r="PXL22" s="1"/>
      <c r="PXM22" s="1"/>
      <c r="PXN22" s="1"/>
      <c r="PXO22" s="1"/>
      <c r="PXP22" s="1"/>
      <c r="PXQ22" s="1"/>
      <c r="PXR22" s="1"/>
      <c r="PXS22" s="1"/>
      <c r="PXT22" s="1"/>
      <c r="PXU22" s="1"/>
      <c r="PXV22" s="1"/>
      <c r="PXW22" s="1"/>
      <c r="PXX22" s="1"/>
      <c r="PXY22" s="1"/>
      <c r="PXZ22" s="1"/>
      <c r="PYA22" s="1"/>
      <c r="PYB22" s="1"/>
      <c r="PYC22" s="1"/>
      <c r="PYD22" s="1"/>
      <c r="PYE22" s="1"/>
      <c r="PYF22" s="1"/>
      <c r="PYG22" s="1"/>
      <c r="PYH22" s="1"/>
      <c r="PYI22" s="1"/>
      <c r="PYJ22" s="1"/>
      <c r="PYK22" s="1"/>
      <c r="PYL22" s="1"/>
      <c r="PYM22" s="1"/>
      <c r="PYN22" s="1"/>
      <c r="PYO22" s="1"/>
      <c r="PYP22" s="1"/>
      <c r="PYQ22" s="1"/>
      <c r="PYR22" s="1"/>
      <c r="PYS22" s="1"/>
      <c r="PYT22" s="1"/>
      <c r="PYU22" s="1"/>
      <c r="PYV22" s="1"/>
      <c r="PYW22" s="1"/>
      <c r="PYX22" s="1"/>
      <c r="PYY22" s="1"/>
      <c r="PYZ22" s="1"/>
      <c r="PZA22" s="1"/>
      <c r="PZB22" s="1"/>
      <c r="PZC22" s="1"/>
      <c r="PZD22" s="1"/>
      <c r="PZE22" s="1"/>
      <c r="PZF22" s="1"/>
      <c r="PZG22" s="1"/>
      <c r="PZH22" s="1"/>
      <c r="PZI22" s="1"/>
      <c r="PZJ22" s="1"/>
      <c r="PZK22" s="1"/>
      <c r="PZL22" s="1"/>
      <c r="PZM22" s="1"/>
      <c r="PZN22" s="1"/>
      <c r="PZO22" s="1"/>
      <c r="PZP22" s="1"/>
      <c r="PZQ22" s="1"/>
      <c r="PZR22" s="1"/>
      <c r="PZS22" s="1"/>
      <c r="PZT22" s="1"/>
      <c r="PZU22" s="1"/>
      <c r="PZV22" s="1"/>
      <c r="PZW22" s="1"/>
      <c r="PZX22" s="1"/>
      <c r="PZY22" s="1"/>
      <c r="PZZ22" s="1"/>
      <c r="QAA22" s="1"/>
      <c r="QAB22" s="1"/>
      <c r="QAC22" s="1"/>
      <c r="QAD22" s="1"/>
      <c r="QAE22" s="1"/>
      <c r="QAF22" s="1"/>
      <c r="QAG22" s="1"/>
      <c r="QAH22" s="1"/>
      <c r="QAI22" s="1"/>
      <c r="QAJ22" s="1"/>
      <c r="QAK22" s="1"/>
      <c r="QAL22" s="1"/>
      <c r="QAM22" s="1"/>
      <c r="QAN22" s="1"/>
      <c r="QAO22" s="1"/>
      <c r="QAP22" s="1"/>
      <c r="QAQ22" s="1"/>
      <c r="QAR22" s="1"/>
      <c r="QAS22" s="1"/>
      <c r="QAT22" s="1"/>
      <c r="QAU22" s="1"/>
      <c r="QAV22" s="1"/>
      <c r="QAW22" s="1"/>
      <c r="QAX22" s="1"/>
      <c r="QAY22" s="1"/>
      <c r="QAZ22" s="1"/>
      <c r="QBA22" s="1"/>
      <c r="QBB22" s="1"/>
      <c r="QBC22" s="1"/>
      <c r="QBD22" s="1"/>
      <c r="QBE22" s="1"/>
      <c r="QBF22" s="1"/>
      <c r="QBG22" s="1"/>
      <c r="QBH22" s="1"/>
      <c r="QBI22" s="1"/>
      <c r="QBJ22" s="1"/>
      <c r="QBK22" s="1"/>
      <c r="QBL22" s="1"/>
      <c r="QBM22" s="1"/>
      <c r="QBN22" s="1"/>
      <c r="QBO22" s="1"/>
      <c r="QBP22" s="1"/>
      <c r="QBQ22" s="1"/>
      <c r="QBR22" s="1"/>
      <c r="QBS22" s="1"/>
      <c r="QBT22" s="1"/>
      <c r="QBU22" s="1"/>
      <c r="QBV22" s="1"/>
      <c r="QBW22" s="1"/>
      <c r="QBX22" s="1"/>
      <c r="QBY22" s="1"/>
      <c r="QBZ22" s="1"/>
      <c r="QCA22" s="1"/>
      <c r="QCB22" s="1"/>
      <c r="QCC22" s="1"/>
      <c r="QCD22" s="1"/>
      <c r="QCE22" s="1"/>
      <c r="QCF22" s="1"/>
      <c r="QCG22" s="1"/>
      <c r="QCH22" s="1"/>
      <c r="QCI22" s="1"/>
      <c r="QCJ22" s="1"/>
      <c r="QCK22" s="1"/>
      <c r="QCL22" s="1"/>
      <c r="QCM22" s="1"/>
      <c r="QCN22" s="1"/>
      <c r="QCO22" s="1"/>
      <c r="QCP22" s="1"/>
      <c r="QCQ22" s="1"/>
      <c r="QCR22" s="1"/>
      <c r="QCS22" s="1"/>
      <c r="QCT22" s="1"/>
      <c r="QCU22" s="1"/>
      <c r="QCV22" s="1"/>
      <c r="QCW22" s="1"/>
      <c r="QCX22" s="1"/>
      <c r="QCY22" s="1"/>
      <c r="QCZ22" s="1"/>
      <c r="QDA22" s="1"/>
      <c r="QDB22" s="1"/>
      <c r="QDC22" s="1"/>
      <c r="QDD22" s="1"/>
      <c r="QDE22" s="1"/>
      <c r="QDF22" s="1"/>
      <c r="QDG22" s="1"/>
      <c r="QDH22" s="1"/>
      <c r="QDI22" s="1"/>
      <c r="QDJ22" s="1"/>
      <c r="QDK22" s="1"/>
      <c r="QDL22" s="1"/>
      <c r="QDM22" s="1"/>
      <c r="QDN22" s="1"/>
      <c r="QDO22" s="1"/>
      <c r="QDP22" s="1"/>
      <c r="QDQ22" s="1"/>
      <c r="QDR22" s="1"/>
      <c r="QDS22" s="1"/>
      <c r="QDT22" s="1"/>
      <c r="QDU22" s="1"/>
      <c r="QDV22" s="1"/>
      <c r="QDW22" s="1"/>
      <c r="QDX22" s="1"/>
      <c r="QDY22" s="1"/>
      <c r="QDZ22" s="1"/>
      <c r="QEA22" s="1"/>
      <c r="QEB22" s="1"/>
      <c r="QEC22" s="1"/>
      <c r="QED22" s="1"/>
      <c r="QEE22" s="1"/>
      <c r="QEF22" s="1"/>
      <c r="QEG22" s="1"/>
      <c r="QEH22" s="1"/>
      <c r="QEI22" s="1"/>
      <c r="QEJ22" s="1"/>
      <c r="QEK22" s="1"/>
      <c r="QEL22" s="1"/>
      <c r="QEM22" s="1"/>
      <c r="QEN22" s="1"/>
      <c r="QEO22" s="1"/>
      <c r="QEP22" s="1"/>
      <c r="QEQ22" s="1"/>
      <c r="QER22" s="1"/>
      <c r="QES22" s="1"/>
      <c r="QET22" s="1"/>
      <c r="QEU22" s="1"/>
      <c r="QEV22" s="1"/>
      <c r="QEW22" s="1"/>
      <c r="QEX22" s="1"/>
      <c r="QEY22" s="1"/>
      <c r="QEZ22" s="1"/>
      <c r="QFA22" s="1"/>
      <c r="QFB22" s="1"/>
      <c r="QFC22" s="1"/>
      <c r="QFD22" s="1"/>
      <c r="QFE22" s="1"/>
      <c r="QFF22" s="1"/>
      <c r="QFG22" s="1"/>
      <c r="QFH22" s="1"/>
      <c r="QFI22" s="1"/>
      <c r="QFJ22" s="1"/>
      <c r="QFK22" s="1"/>
      <c r="QFL22" s="1"/>
      <c r="QFM22" s="1"/>
      <c r="QFN22" s="1"/>
      <c r="QFO22" s="1"/>
      <c r="QFP22" s="1"/>
      <c r="QFQ22" s="1"/>
      <c r="QFR22" s="1"/>
      <c r="QFS22" s="1"/>
      <c r="QFT22" s="1"/>
      <c r="QFU22" s="1"/>
      <c r="QFV22" s="1"/>
      <c r="QFW22" s="1"/>
      <c r="QFX22" s="1"/>
      <c r="QFY22" s="1"/>
      <c r="QFZ22" s="1"/>
      <c r="QGA22" s="1"/>
      <c r="QGB22" s="1"/>
      <c r="QGC22" s="1"/>
      <c r="QGD22" s="1"/>
      <c r="QGE22" s="1"/>
      <c r="QGF22" s="1"/>
      <c r="QGG22" s="1"/>
      <c r="QGH22" s="1"/>
      <c r="QGI22" s="1"/>
      <c r="QGJ22" s="1"/>
      <c r="QGK22" s="1"/>
      <c r="QGL22" s="1"/>
      <c r="QGM22" s="1"/>
      <c r="QGN22" s="1"/>
      <c r="QGO22" s="1"/>
      <c r="QGP22" s="1"/>
      <c r="QGQ22" s="1"/>
      <c r="QGR22" s="1"/>
      <c r="QGS22" s="1"/>
      <c r="QGT22" s="1"/>
      <c r="QGU22" s="1"/>
      <c r="QGV22" s="1"/>
      <c r="QGW22" s="1"/>
      <c r="QGX22" s="1"/>
      <c r="QGY22" s="1"/>
      <c r="QGZ22" s="1"/>
      <c r="QHA22" s="1"/>
      <c r="QHB22" s="1"/>
      <c r="QHC22" s="1"/>
      <c r="QHD22" s="1"/>
      <c r="QHE22" s="1"/>
      <c r="QHF22" s="1"/>
      <c r="QHG22" s="1"/>
      <c r="QHH22" s="1"/>
      <c r="QHI22" s="1"/>
      <c r="QHJ22" s="1"/>
      <c r="QHK22" s="1"/>
      <c r="QHL22" s="1"/>
      <c r="QHM22" s="1"/>
      <c r="QHN22" s="1"/>
      <c r="QHO22" s="1"/>
      <c r="QHP22" s="1"/>
      <c r="QHQ22" s="1"/>
      <c r="QHR22" s="1"/>
      <c r="QHS22" s="1"/>
      <c r="QHT22" s="1"/>
      <c r="QHU22" s="1"/>
      <c r="QHV22" s="1"/>
      <c r="QHW22" s="1"/>
      <c r="QHX22" s="1"/>
      <c r="QHY22" s="1"/>
      <c r="QHZ22" s="1"/>
      <c r="QIA22" s="1"/>
      <c r="QIB22" s="1"/>
      <c r="QIC22" s="1"/>
      <c r="QID22" s="1"/>
      <c r="QIE22" s="1"/>
      <c r="QIF22" s="1"/>
      <c r="QIG22" s="1"/>
      <c r="QIH22" s="1"/>
      <c r="QII22" s="1"/>
      <c r="QIJ22" s="1"/>
      <c r="QIK22" s="1"/>
      <c r="QIL22" s="1"/>
      <c r="QIM22" s="1"/>
      <c r="QIN22" s="1"/>
      <c r="QIO22" s="1"/>
      <c r="QIP22" s="1"/>
      <c r="QIQ22" s="1"/>
      <c r="QIR22" s="1"/>
      <c r="QIS22" s="1"/>
      <c r="QIT22" s="1"/>
      <c r="QIU22" s="1"/>
      <c r="QIV22" s="1"/>
      <c r="QIW22" s="1"/>
      <c r="QIX22" s="1"/>
      <c r="QIY22" s="1"/>
      <c r="QIZ22" s="1"/>
      <c r="QJA22" s="1"/>
      <c r="QJB22" s="1"/>
      <c r="QJC22" s="1"/>
      <c r="QJD22" s="1"/>
      <c r="QJE22" s="1"/>
      <c r="QJF22" s="1"/>
      <c r="QJG22" s="1"/>
      <c r="QJH22" s="1"/>
      <c r="QJI22" s="1"/>
      <c r="QJJ22" s="1"/>
      <c r="QJK22" s="1"/>
      <c r="QJL22" s="1"/>
      <c r="QJM22" s="1"/>
      <c r="QJN22" s="1"/>
      <c r="QJO22" s="1"/>
      <c r="QJP22" s="1"/>
      <c r="QJQ22" s="1"/>
      <c r="QJR22" s="1"/>
      <c r="QJS22" s="1"/>
      <c r="QJT22" s="1"/>
      <c r="QJU22" s="1"/>
      <c r="QJV22" s="1"/>
      <c r="QJW22" s="1"/>
      <c r="QJX22" s="1"/>
      <c r="QJY22" s="1"/>
      <c r="QJZ22" s="1"/>
      <c r="QKA22" s="1"/>
      <c r="QKB22" s="1"/>
      <c r="QKC22" s="1"/>
      <c r="QKD22" s="1"/>
      <c r="QKE22" s="1"/>
      <c r="QKF22" s="1"/>
      <c r="QKG22" s="1"/>
      <c r="QKH22" s="1"/>
      <c r="QKI22" s="1"/>
      <c r="QKJ22" s="1"/>
      <c r="QKK22" s="1"/>
      <c r="QKL22" s="1"/>
      <c r="QKM22" s="1"/>
      <c r="QKN22" s="1"/>
      <c r="QKO22" s="1"/>
      <c r="QKP22" s="1"/>
      <c r="QKQ22" s="1"/>
      <c r="QKR22" s="1"/>
      <c r="QKS22" s="1"/>
      <c r="QKT22" s="1"/>
      <c r="QKU22" s="1"/>
      <c r="QKV22" s="1"/>
      <c r="QKW22" s="1"/>
      <c r="QKX22" s="1"/>
      <c r="QKY22" s="1"/>
      <c r="QKZ22" s="1"/>
      <c r="QLA22" s="1"/>
      <c r="QLB22" s="1"/>
      <c r="QLC22" s="1"/>
      <c r="QLD22" s="1"/>
      <c r="QLE22" s="1"/>
      <c r="QLF22" s="1"/>
      <c r="QLG22" s="1"/>
      <c r="QLH22" s="1"/>
      <c r="QLI22" s="1"/>
      <c r="QLJ22" s="1"/>
      <c r="QLK22" s="1"/>
      <c r="QLL22" s="1"/>
      <c r="QLM22" s="1"/>
      <c r="QLN22" s="1"/>
      <c r="QLO22" s="1"/>
      <c r="QLP22" s="1"/>
      <c r="QLQ22" s="1"/>
      <c r="QLR22" s="1"/>
      <c r="QLS22" s="1"/>
      <c r="QLT22" s="1"/>
      <c r="QLU22" s="1"/>
      <c r="QLV22" s="1"/>
      <c r="QLW22" s="1"/>
      <c r="QLX22" s="1"/>
      <c r="QLY22" s="1"/>
      <c r="QLZ22" s="1"/>
      <c r="QMA22" s="1"/>
      <c r="QMB22" s="1"/>
      <c r="QMC22" s="1"/>
      <c r="QMD22" s="1"/>
      <c r="QME22" s="1"/>
      <c r="QMF22" s="1"/>
      <c r="QMG22" s="1"/>
      <c r="QMH22" s="1"/>
      <c r="QMI22" s="1"/>
      <c r="QMJ22" s="1"/>
      <c r="QMK22" s="1"/>
      <c r="QML22" s="1"/>
      <c r="QMM22" s="1"/>
      <c r="QMN22" s="1"/>
      <c r="QMO22" s="1"/>
      <c r="QMP22" s="1"/>
      <c r="QMQ22" s="1"/>
      <c r="QMR22" s="1"/>
      <c r="QMS22" s="1"/>
      <c r="QMT22" s="1"/>
      <c r="QMU22" s="1"/>
      <c r="QMV22" s="1"/>
      <c r="QMW22" s="1"/>
      <c r="QMX22" s="1"/>
      <c r="QMY22" s="1"/>
      <c r="QMZ22" s="1"/>
      <c r="QNA22" s="1"/>
      <c r="QNB22" s="1"/>
      <c r="QNC22" s="1"/>
      <c r="QND22" s="1"/>
      <c r="QNE22" s="1"/>
      <c r="QNF22" s="1"/>
      <c r="QNG22" s="1"/>
      <c r="QNH22" s="1"/>
      <c r="QNI22" s="1"/>
      <c r="QNJ22" s="1"/>
      <c r="QNK22" s="1"/>
      <c r="QNL22" s="1"/>
      <c r="QNM22" s="1"/>
      <c r="QNN22" s="1"/>
      <c r="QNO22" s="1"/>
      <c r="QNP22" s="1"/>
      <c r="QNQ22" s="1"/>
      <c r="QNR22" s="1"/>
      <c r="QNS22" s="1"/>
      <c r="QNT22" s="1"/>
      <c r="QNU22" s="1"/>
      <c r="QNV22" s="1"/>
      <c r="QNW22" s="1"/>
      <c r="QNX22" s="1"/>
      <c r="QNY22" s="1"/>
      <c r="QNZ22" s="1"/>
      <c r="QOA22" s="1"/>
      <c r="QOB22" s="1"/>
      <c r="QOC22" s="1"/>
      <c r="QOD22" s="1"/>
      <c r="QOE22" s="1"/>
      <c r="QOF22" s="1"/>
      <c r="QOG22" s="1"/>
      <c r="QOH22" s="1"/>
      <c r="QOI22" s="1"/>
      <c r="QOJ22" s="1"/>
      <c r="QOK22" s="1"/>
      <c r="QOL22" s="1"/>
      <c r="QOM22" s="1"/>
      <c r="QON22" s="1"/>
      <c r="QOO22" s="1"/>
      <c r="QOP22" s="1"/>
      <c r="QOQ22" s="1"/>
      <c r="QOR22" s="1"/>
      <c r="QOS22" s="1"/>
      <c r="QOT22" s="1"/>
      <c r="QOU22" s="1"/>
      <c r="QOV22" s="1"/>
      <c r="QOW22" s="1"/>
      <c r="QOX22" s="1"/>
      <c r="QOY22" s="1"/>
      <c r="QOZ22" s="1"/>
      <c r="QPA22" s="1"/>
      <c r="QPB22" s="1"/>
      <c r="QPC22" s="1"/>
      <c r="QPD22" s="1"/>
      <c r="QPE22" s="1"/>
      <c r="QPF22" s="1"/>
      <c r="QPG22" s="1"/>
      <c r="QPH22" s="1"/>
      <c r="QPI22" s="1"/>
      <c r="QPJ22" s="1"/>
      <c r="QPK22" s="1"/>
      <c r="QPL22" s="1"/>
      <c r="QPM22" s="1"/>
      <c r="QPN22" s="1"/>
      <c r="QPO22" s="1"/>
      <c r="QPP22" s="1"/>
      <c r="QPQ22" s="1"/>
      <c r="QPR22" s="1"/>
      <c r="QPS22" s="1"/>
      <c r="QPT22" s="1"/>
      <c r="QPU22" s="1"/>
      <c r="QPV22" s="1"/>
      <c r="QPW22" s="1"/>
      <c r="QPX22" s="1"/>
      <c r="QPY22" s="1"/>
      <c r="QPZ22" s="1"/>
      <c r="QQA22" s="1"/>
      <c r="QQB22" s="1"/>
      <c r="QQC22" s="1"/>
      <c r="QQD22" s="1"/>
      <c r="QQE22" s="1"/>
      <c r="QQF22" s="1"/>
      <c r="QQG22" s="1"/>
      <c r="QQH22" s="1"/>
      <c r="QQI22" s="1"/>
      <c r="QQJ22" s="1"/>
      <c r="QQK22" s="1"/>
      <c r="QQL22" s="1"/>
      <c r="QQM22" s="1"/>
      <c r="QQN22" s="1"/>
      <c r="QQO22" s="1"/>
      <c r="QQP22" s="1"/>
      <c r="QQQ22" s="1"/>
      <c r="QQR22" s="1"/>
      <c r="QQS22" s="1"/>
      <c r="QQT22" s="1"/>
      <c r="QQU22" s="1"/>
      <c r="QQV22" s="1"/>
      <c r="QQW22" s="1"/>
      <c r="QQX22" s="1"/>
      <c r="QQY22" s="1"/>
      <c r="QQZ22" s="1"/>
      <c r="QRA22" s="1"/>
      <c r="QRB22" s="1"/>
      <c r="QRC22" s="1"/>
      <c r="QRD22" s="1"/>
      <c r="QRE22" s="1"/>
      <c r="QRF22" s="1"/>
      <c r="QRG22" s="1"/>
      <c r="QRH22" s="1"/>
      <c r="QRI22" s="1"/>
      <c r="QRJ22" s="1"/>
      <c r="QRK22" s="1"/>
      <c r="QRL22" s="1"/>
      <c r="QRM22" s="1"/>
      <c r="QRN22" s="1"/>
      <c r="QRO22" s="1"/>
      <c r="QRP22" s="1"/>
      <c r="QRQ22" s="1"/>
      <c r="QRR22" s="1"/>
      <c r="QRS22" s="1"/>
      <c r="QRT22" s="1"/>
      <c r="QRU22" s="1"/>
      <c r="QRV22" s="1"/>
      <c r="QRW22" s="1"/>
      <c r="QRX22" s="1"/>
      <c r="QRY22" s="1"/>
      <c r="QRZ22" s="1"/>
      <c r="QSA22" s="1"/>
      <c r="QSB22" s="1"/>
      <c r="QSC22" s="1"/>
      <c r="QSD22" s="1"/>
      <c r="QSE22" s="1"/>
      <c r="QSF22" s="1"/>
      <c r="QSG22" s="1"/>
      <c r="QSH22" s="1"/>
      <c r="QSI22" s="1"/>
      <c r="QSJ22" s="1"/>
      <c r="QSK22" s="1"/>
      <c r="QSL22" s="1"/>
      <c r="QSM22" s="1"/>
      <c r="QSN22" s="1"/>
      <c r="QSO22" s="1"/>
      <c r="QSP22" s="1"/>
      <c r="QSQ22" s="1"/>
      <c r="QSR22" s="1"/>
      <c r="QSS22" s="1"/>
      <c r="QST22" s="1"/>
      <c r="QSU22" s="1"/>
      <c r="QSV22" s="1"/>
      <c r="QSW22" s="1"/>
      <c r="QSX22" s="1"/>
      <c r="QSY22" s="1"/>
      <c r="QSZ22" s="1"/>
      <c r="QTA22" s="1"/>
      <c r="QTB22" s="1"/>
      <c r="QTC22" s="1"/>
      <c r="QTD22" s="1"/>
      <c r="QTE22" s="1"/>
      <c r="QTF22" s="1"/>
      <c r="QTG22" s="1"/>
      <c r="QTH22" s="1"/>
      <c r="QTI22" s="1"/>
      <c r="QTJ22" s="1"/>
      <c r="QTK22" s="1"/>
      <c r="QTL22" s="1"/>
      <c r="QTM22" s="1"/>
      <c r="QTN22" s="1"/>
      <c r="QTO22" s="1"/>
      <c r="QTP22" s="1"/>
      <c r="QTQ22" s="1"/>
      <c r="QTR22" s="1"/>
      <c r="QTS22" s="1"/>
      <c r="QTT22" s="1"/>
      <c r="QTU22" s="1"/>
      <c r="QTV22" s="1"/>
      <c r="QTW22" s="1"/>
      <c r="QTX22" s="1"/>
      <c r="QTY22" s="1"/>
      <c r="QTZ22" s="1"/>
      <c r="QUA22" s="1"/>
      <c r="QUB22" s="1"/>
      <c r="QUC22" s="1"/>
      <c r="QUD22" s="1"/>
      <c r="QUE22" s="1"/>
      <c r="QUF22" s="1"/>
      <c r="QUG22" s="1"/>
      <c r="QUH22" s="1"/>
      <c r="QUI22" s="1"/>
      <c r="QUJ22" s="1"/>
      <c r="QUK22" s="1"/>
      <c r="QUL22" s="1"/>
      <c r="QUM22" s="1"/>
      <c r="QUN22" s="1"/>
      <c r="QUO22" s="1"/>
      <c r="QUP22" s="1"/>
      <c r="QUQ22" s="1"/>
      <c r="QUR22" s="1"/>
      <c r="QUS22" s="1"/>
      <c r="QUT22" s="1"/>
      <c r="QUU22" s="1"/>
      <c r="QUV22" s="1"/>
      <c r="QUW22" s="1"/>
      <c r="QUX22" s="1"/>
      <c r="QUY22" s="1"/>
      <c r="QUZ22" s="1"/>
      <c r="QVA22" s="1"/>
      <c r="QVB22" s="1"/>
      <c r="QVC22" s="1"/>
      <c r="QVD22" s="1"/>
      <c r="QVE22" s="1"/>
      <c r="QVF22" s="1"/>
      <c r="QVG22" s="1"/>
      <c r="QVH22" s="1"/>
      <c r="QVI22" s="1"/>
      <c r="QVJ22" s="1"/>
      <c r="QVK22" s="1"/>
      <c r="QVL22" s="1"/>
      <c r="QVM22" s="1"/>
      <c r="QVN22" s="1"/>
      <c r="QVO22" s="1"/>
      <c r="QVP22" s="1"/>
      <c r="QVQ22" s="1"/>
      <c r="QVR22" s="1"/>
      <c r="QVS22" s="1"/>
      <c r="QVT22" s="1"/>
      <c r="QVU22" s="1"/>
      <c r="QVV22" s="1"/>
      <c r="QVW22" s="1"/>
      <c r="QVX22" s="1"/>
      <c r="QVY22" s="1"/>
      <c r="QVZ22" s="1"/>
      <c r="QWA22" s="1"/>
      <c r="QWB22" s="1"/>
      <c r="QWC22" s="1"/>
      <c r="QWD22" s="1"/>
      <c r="QWE22" s="1"/>
      <c r="QWF22" s="1"/>
      <c r="QWG22" s="1"/>
      <c r="QWH22" s="1"/>
      <c r="QWI22" s="1"/>
      <c r="QWJ22" s="1"/>
      <c r="QWK22" s="1"/>
      <c r="QWL22" s="1"/>
      <c r="QWM22" s="1"/>
      <c r="QWN22" s="1"/>
      <c r="QWO22" s="1"/>
      <c r="QWP22" s="1"/>
      <c r="QWQ22" s="1"/>
      <c r="QWR22" s="1"/>
      <c r="QWS22" s="1"/>
      <c r="QWT22" s="1"/>
      <c r="QWU22" s="1"/>
      <c r="QWV22" s="1"/>
      <c r="QWW22" s="1"/>
      <c r="QWX22" s="1"/>
      <c r="QWY22" s="1"/>
      <c r="QWZ22" s="1"/>
      <c r="QXA22" s="1"/>
      <c r="QXB22" s="1"/>
      <c r="QXC22" s="1"/>
      <c r="QXD22" s="1"/>
      <c r="QXE22" s="1"/>
      <c r="QXF22" s="1"/>
      <c r="QXG22" s="1"/>
      <c r="QXH22" s="1"/>
      <c r="QXI22" s="1"/>
      <c r="QXJ22" s="1"/>
      <c r="QXK22" s="1"/>
      <c r="QXL22" s="1"/>
      <c r="QXM22" s="1"/>
      <c r="QXN22" s="1"/>
      <c r="QXO22" s="1"/>
      <c r="QXP22" s="1"/>
      <c r="QXQ22" s="1"/>
      <c r="QXR22" s="1"/>
      <c r="QXS22" s="1"/>
      <c r="QXT22" s="1"/>
      <c r="QXU22" s="1"/>
      <c r="QXV22" s="1"/>
      <c r="QXW22" s="1"/>
      <c r="QXX22" s="1"/>
      <c r="QXY22" s="1"/>
      <c r="QXZ22" s="1"/>
      <c r="QYA22" s="1"/>
      <c r="QYB22" s="1"/>
      <c r="QYC22" s="1"/>
      <c r="QYD22" s="1"/>
      <c r="QYE22" s="1"/>
      <c r="QYF22" s="1"/>
      <c r="QYG22" s="1"/>
      <c r="QYH22" s="1"/>
      <c r="QYI22" s="1"/>
      <c r="QYJ22" s="1"/>
      <c r="QYK22" s="1"/>
      <c r="QYL22" s="1"/>
      <c r="QYM22" s="1"/>
      <c r="QYN22" s="1"/>
      <c r="QYO22" s="1"/>
      <c r="QYP22" s="1"/>
      <c r="QYQ22" s="1"/>
      <c r="QYR22" s="1"/>
      <c r="QYS22" s="1"/>
      <c r="QYT22" s="1"/>
      <c r="QYU22" s="1"/>
      <c r="QYV22" s="1"/>
      <c r="QYW22" s="1"/>
      <c r="QYX22" s="1"/>
      <c r="QYY22" s="1"/>
      <c r="QYZ22" s="1"/>
      <c r="QZA22" s="1"/>
      <c r="QZB22" s="1"/>
      <c r="QZC22" s="1"/>
      <c r="QZD22" s="1"/>
      <c r="QZE22" s="1"/>
      <c r="QZF22" s="1"/>
      <c r="QZG22" s="1"/>
      <c r="QZH22" s="1"/>
      <c r="QZI22" s="1"/>
      <c r="QZJ22" s="1"/>
      <c r="QZK22" s="1"/>
      <c r="QZL22" s="1"/>
      <c r="QZM22" s="1"/>
      <c r="QZN22" s="1"/>
      <c r="QZO22" s="1"/>
      <c r="QZP22" s="1"/>
      <c r="QZQ22" s="1"/>
      <c r="QZR22" s="1"/>
      <c r="QZS22" s="1"/>
      <c r="QZT22" s="1"/>
      <c r="QZU22" s="1"/>
      <c r="QZV22" s="1"/>
      <c r="QZW22" s="1"/>
      <c r="QZX22" s="1"/>
      <c r="QZY22" s="1"/>
      <c r="QZZ22" s="1"/>
      <c r="RAA22" s="1"/>
      <c r="RAB22" s="1"/>
      <c r="RAC22" s="1"/>
      <c r="RAD22" s="1"/>
      <c r="RAE22" s="1"/>
      <c r="RAF22" s="1"/>
      <c r="RAG22" s="1"/>
      <c r="RAH22" s="1"/>
      <c r="RAI22" s="1"/>
      <c r="RAJ22" s="1"/>
      <c r="RAK22" s="1"/>
      <c r="RAL22" s="1"/>
      <c r="RAM22" s="1"/>
      <c r="RAN22" s="1"/>
      <c r="RAO22" s="1"/>
      <c r="RAP22" s="1"/>
      <c r="RAQ22" s="1"/>
      <c r="RAR22" s="1"/>
      <c r="RAS22" s="1"/>
      <c r="RAT22" s="1"/>
      <c r="RAU22" s="1"/>
      <c r="RAV22" s="1"/>
      <c r="RAW22" s="1"/>
      <c r="RAX22" s="1"/>
      <c r="RAY22" s="1"/>
      <c r="RAZ22" s="1"/>
      <c r="RBA22" s="1"/>
      <c r="RBB22" s="1"/>
      <c r="RBC22" s="1"/>
      <c r="RBD22" s="1"/>
      <c r="RBE22" s="1"/>
      <c r="RBF22" s="1"/>
      <c r="RBG22" s="1"/>
      <c r="RBH22" s="1"/>
      <c r="RBI22" s="1"/>
      <c r="RBJ22" s="1"/>
      <c r="RBK22" s="1"/>
      <c r="RBL22" s="1"/>
      <c r="RBM22" s="1"/>
      <c r="RBN22" s="1"/>
      <c r="RBO22" s="1"/>
      <c r="RBP22" s="1"/>
      <c r="RBQ22" s="1"/>
      <c r="RBR22" s="1"/>
      <c r="RBS22" s="1"/>
      <c r="RBT22" s="1"/>
      <c r="RBU22" s="1"/>
      <c r="RBV22" s="1"/>
      <c r="RBW22" s="1"/>
      <c r="RBX22" s="1"/>
      <c r="RBY22" s="1"/>
      <c r="RBZ22" s="1"/>
      <c r="RCA22" s="1"/>
      <c r="RCB22" s="1"/>
      <c r="RCC22" s="1"/>
      <c r="RCD22" s="1"/>
      <c r="RCE22" s="1"/>
      <c r="RCF22" s="1"/>
      <c r="RCG22" s="1"/>
      <c r="RCH22" s="1"/>
      <c r="RCI22" s="1"/>
      <c r="RCJ22" s="1"/>
      <c r="RCK22" s="1"/>
      <c r="RCL22" s="1"/>
      <c r="RCM22" s="1"/>
      <c r="RCN22" s="1"/>
      <c r="RCO22" s="1"/>
      <c r="RCP22" s="1"/>
      <c r="RCQ22" s="1"/>
      <c r="RCR22" s="1"/>
      <c r="RCS22" s="1"/>
      <c r="RCT22" s="1"/>
      <c r="RCU22" s="1"/>
      <c r="RCV22" s="1"/>
      <c r="RCW22" s="1"/>
      <c r="RCX22" s="1"/>
      <c r="RCY22" s="1"/>
      <c r="RCZ22" s="1"/>
      <c r="RDA22" s="1"/>
      <c r="RDB22" s="1"/>
      <c r="RDC22" s="1"/>
      <c r="RDD22" s="1"/>
      <c r="RDE22" s="1"/>
      <c r="RDF22" s="1"/>
      <c r="RDG22" s="1"/>
      <c r="RDH22" s="1"/>
      <c r="RDI22" s="1"/>
      <c r="RDJ22" s="1"/>
      <c r="RDK22" s="1"/>
      <c r="RDL22" s="1"/>
      <c r="RDM22" s="1"/>
      <c r="RDN22" s="1"/>
      <c r="RDO22" s="1"/>
      <c r="RDP22" s="1"/>
      <c r="RDQ22" s="1"/>
      <c r="RDR22" s="1"/>
      <c r="RDS22" s="1"/>
      <c r="RDT22" s="1"/>
      <c r="RDU22" s="1"/>
      <c r="RDV22" s="1"/>
      <c r="RDW22" s="1"/>
      <c r="RDX22" s="1"/>
      <c r="RDY22" s="1"/>
      <c r="RDZ22" s="1"/>
      <c r="REA22" s="1"/>
      <c r="REB22" s="1"/>
      <c r="REC22" s="1"/>
      <c r="RED22" s="1"/>
      <c r="REE22" s="1"/>
      <c r="REF22" s="1"/>
      <c r="REG22" s="1"/>
      <c r="REH22" s="1"/>
      <c r="REI22" s="1"/>
      <c r="REJ22" s="1"/>
      <c r="REK22" s="1"/>
      <c r="REL22" s="1"/>
      <c r="REM22" s="1"/>
      <c r="REN22" s="1"/>
      <c r="REO22" s="1"/>
      <c r="REP22" s="1"/>
      <c r="REQ22" s="1"/>
      <c r="RER22" s="1"/>
      <c r="RES22" s="1"/>
      <c r="RET22" s="1"/>
      <c r="REU22" s="1"/>
      <c r="REV22" s="1"/>
      <c r="REW22" s="1"/>
      <c r="REX22" s="1"/>
      <c r="REY22" s="1"/>
      <c r="REZ22" s="1"/>
      <c r="RFA22" s="1"/>
      <c r="RFB22" s="1"/>
      <c r="RFC22" s="1"/>
      <c r="RFD22" s="1"/>
      <c r="RFE22" s="1"/>
      <c r="RFF22" s="1"/>
      <c r="RFG22" s="1"/>
      <c r="RFH22" s="1"/>
      <c r="RFI22" s="1"/>
      <c r="RFJ22" s="1"/>
      <c r="RFK22" s="1"/>
      <c r="RFL22" s="1"/>
      <c r="RFM22" s="1"/>
      <c r="RFN22" s="1"/>
      <c r="RFO22" s="1"/>
      <c r="RFP22" s="1"/>
      <c r="RFQ22" s="1"/>
      <c r="RFR22" s="1"/>
      <c r="RFS22" s="1"/>
      <c r="RFT22" s="1"/>
      <c r="RFU22" s="1"/>
      <c r="RFV22" s="1"/>
      <c r="RFW22" s="1"/>
      <c r="RFX22" s="1"/>
      <c r="RFY22" s="1"/>
      <c r="RFZ22" s="1"/>
      <c r="RGA22" s="1"/>
      <c r="RGB22" s="1"/>
      <c r="RGC22" s="1"/>
      <c r="RGD22" s="1"/>
      <c r="RGE22" s="1"/>
      <c r="RGF22" s="1"/>
      <c r="RGG22" s="1"/>
      <c r="RGH22" s="1"/>
      <c r="RGI22" s="1"/>
      <c r="RGJ22" s="1"/>
      <c r="RGK22" s="1"/>
      <c r="RGL22" s="1"/>
      <c r="RGM22" s="1"/>
      <c r="RGN22" s="1"/>
      <c r="RGO22" s="1"/>
      <c r="RGP22" s="1"/>
      <c r="RGQ22" s="1"/>
      <c r="RGR22" s="1"/>
      <c r="RGS22" s="1"/>
      <c r="RGT22" s="1"/>
      <c r="RGU22" s="1"/>
      <c r="RGV22" s="1"/>
      <c r="RGW22" s="1"/>
      <c r="RGX22" s="1"/>
      <c r="RGY22" s="1"/>
      <c r="RGZ22" s="1"/>
      <c r="RHA22" s="1"/>
      <c r="RHB22" s="1"/>
      <c r="RHC22" s="1"/>
      <c r="RHD22" s="1"/>
      <c r="RHE22" s="1"/>
      <c r="RHF22" s="1"/>
      <c r="RHG22" s="1"/>
      <c r="RHH22" s="1"/>
      <c r="RHI22" s="1"/>
      <c r="RHJ22" s="1"/>
      <c r="RHK22" s="1"/>
      <c r="RHL22" s="1"/>
      <c r="RHM22" s="1"/>
      <c r="RHN22" s="1"/>
      <c r="RHO22" s="1"/>
      <c r="RHP22" s="1"/>
      <c r="RHQ22" s="1"/>
      <c r="RHR22" s="1"/>
      <c r="RHS22" s="1"/>
      <c r="RHT22" s="1"/>
      <c r="RHU22" s="1"/>
      <c r="RHV22" s="1"/>
      <c r="RHW22" s="1"/>
      <c r="RHX22" s="1"/>
      <c r="RHY22" s="1"/>
      <c r="RHZ22" s="1"/>
      <c r="RIA22" s="1"/>
      <c r="RIB22" s="1"/>
      <c r="RIC22" s="1"/>
      <c r="RID22" s="1"/>
      <c r="RIE22" s="1"/>
      <c r="RIF22" s="1"/>
      <c r="RIG22" s="1"/>
      <c r="RIH22" s="1"/>
      <c r="RII22" s="1"/>
      <c r="RIJ22" s="1"/>
      <c r="RIK22" s="1"/>
      <c r="RIL22" s="1"/>
      <c r="RIM22" s="1"/>
      <c r="RIN22" s="1"/>
      <c r="RIO22" s="1"/>
      <c r="RIP22" s="1"/>
      <c r="RIQ22" s="1"/>
      <c r="RIR22" s="1"/>
      <c r="RIS22" s="1"/>
      <c r="RIT22" s="1"/>
      <c r="RIU22" s="1"/>
      <c r="RIV22" s="1"/>
      <c r="RIW22" s="1"/>
      <c r="RIX22" s="1"/>
      <c r="RIY22" s="1"/>
      <c r="RIZ22" s="1"/>
      <c r="RJA22" s="1"/>
      <c r="RJB22" s="1"/>
      <c r="RJC22" s="1"/>
      <c r="RJD22" s="1"/>
      <c r="RJE22" s="1"/>
      <c r="RJF22" s="1"/>
      <c r="RJG22" s="1"/>
      <c r="RJH22" s="1"/>
      <c r="RJI22" s="1"/>
      <c r="RJJ22" s="1"/>
      <c r="RJK22" s="1"/>
      <c r="RJL22" s="1"/>
      <c r="RJM22" s="1"/>
      <c r="RJN22" s="1"/>
      <c r="RJO22" s="1"/>
      <c r="RJP22" s="1"/>
      <c r="RJQ22" s="1"/>
      <c r="RJR22" s="1"/>
      <c r="RJS22" s="1"/>
      <c r="RJT22" s="1"/>
      <c r="RJU22" s="1"/>
      <c r="RJV22" s="1"/>
      <c r="RJW22" s="1"/>
      <c r="RJX22" s="1"/>
      <c r="RJY22" s="1"/>
      <c r="RJZ22" s="1"/>
      <c r="RKA22" s="1"/>
      <c r="RKB22" s="1"/>
      <c r="RKC22" s="1"/>
      <c r="RKD22" s="1"/>
      <c r="RKE22" s="1"/>
      <c r="RKF22" s="1"/>
      <c r="RKG22" s="1"/>
      <c r="RKH22" s="1"/>
      <c r="RKI22" s="1"/>
      <c r="RKJ22" s="1"/>
      <c r="RKK22" s="1"/>
      <c r="RKL22" s="1"/>
      <c r="RKM22" s="1"/>
      <c r="RKN22" s="1"/>
      <c r="RKO22" s="1"/>
      <c r="RKP22" s="1"/>
      <c r="RKQ22" s="1"/>
      <c r="RKR22" s="1"/>
      <c r="RKS22" s="1"/>
      <c r="RKT22" s="1"/>
      <c r="RKU22" s="1"/>
      <c r="RKV22" s="1"/>
      <c r="RKW22" s="1"/>
      <c r="RKX22" s="1"/>
      <c r="RKY22" s="1"/>
      <c r="RKZ22" s="1"/>
      <c r="RLA22" s="1"/>
      <c r="RLB22" s="1"/>
      <c r="RLC22" s="1"/>
      <c r="RLD22" s="1"/>
      <c r="RLE22" s="1"/>
      <c r="RLF22" s="1"/>
      <c r="RLG22" s="1"/>
      <c r="RLH22" s="1"/>
      <c r="RLI22" s="1"/>
      <c r="RLJ22" s="1"/>
      <c r="RLK22" s="1"/>
      <c r="RLL22" s="1"/>
      <c r="RLM22" s="1"/>
      <c r="RLN22" s="1"/>
      <c r="RLO22" s="1"/>
      <c r="RLP22" s="1"/>
      <c r="RLQ22" s="1"/>
      <c r="RLR22" s="1"/>
      <c r="RLS22" s="1"/>
      <c r="RLT22" s="1"/>
      <c r="RLU22" s="1"/>
      <c r="RLV22" s="1"/>
      <c r="RLW22" s="1"/>
      <c r="RLX22" s="1"/>
      <c r="RLY22" s="1"/>
      <c r="RLZ22" s="1"/>
      <c r="RMA22" s="1"/>
      <c r="RMB22" s="1"/>
      <c r="RMC22" s="1"/>
      <c r="RMD22" s="1"/>
      <c r="RME22" s="1"/>
      <c r="RMF22" s="1"/>
      <c r="RMG22" s="1"/>
      <c r="RMH22" s="1"/>
      <c r="RMI22" s="1"/>
      <c r="RMJ22" s="1"/>
      <c r="RMK22" s="1"/>
      <c r="RML22" s="1"/>
      <c r="RMM22" s="1"/>
      <c r="RMN22" s="1"/>
      <c r="RMO22" s="1"/>
      <c r="RMP22" s="1"/>
      <c r="RMQ22" s="1"/>
      <c r="RMR22" s="1"/>
      <c r="RMS22" s="1"/>
      <c r="RMT22" s="1"/>
      <c r="RMU22" s="1"/>
      <c r="RMV22" s="1"/>
      <c r="RMW22" s="1"/>
      <c r="RMX22" s="1"/>
      <c r="RMY22" s="1"/>
      <c r="RMZ22" s="1"/>
      <c r="RNA22" s="1"/>
      <c r="RNB22" s="1"/>
      <c r="RNC22" s="1"/>
      <c r="RND22" s="1"/>
      <c r="RNE22" s="1"/>
      <c r="RNF22" s="1"/>
      <c r="RNG22" s="1"/>
      <c r="RNH22" s="1"/>
      <c r="RNI22" s="1"/>
      <c r="RNJ22" s="1"/>
      <c r="RNK22" s="1"/>
      <c r="RNL22" s="1"/>
      <c r="RNM22" s="1"/>
      <c r="RNN22" s="1"/>
      <c r="RNO22" s="1"/>
      <c r="RNP22" s="1"/>
      <c r="RNQ22" s="1"/>
      <c r="RNR22" s="1"/>
      <c r="RNS22" s="1"/>
      <c r="RNT22" s="1"/>
      <c r="RNU22" s="1"/>
      <c r="RNV22" s="1"/>
      <c r="RNW22" s="1"/>
      <c r="RNX22" s="1"/>
      <c r="RNY22" s="1"/>
      <c r="RNZ22" s="1"/>
      <c r="ROA22" s="1"/>
      <c r="ROB22" s="1"/>
      <c r="ROC22" s="1"/>
      <c r="ROD22" s="1"/>
      <c r="ROE22" s="1"/>
      <c r="ROF22" s="1"/>
      <c r="ROG22" s="1"/>
      <c r="ROH22" s="1"/>
      <c r="ROI22" s="1"/>
      <c r="ROJ22" s="1"/>
      <c r="ROK22" s="1"/>
      <c r="ROL22" s="1"/>
      <c r="ROM22" s="1"/>
      <c r="RON22" s="1"/>
      <c r="ROO22" s="1"/>
      <c r="ROP22" s="1"/>
      <c r="ROQ22" s="1"/>
      <c r="ROR22" s="1"/>
      <c r="ROS22" s="1"/>
      <c r="ROT22" s="1"/>
      <c r="ROU22" s="1"/>
      <c r="ROV22" s="1"/>
      <c r="ROW22" s="1"/>
      <c r="ROX22" s="1"/>
      <c r="ROY22" s="1"/>
      <c r="ROZ22" s="1"/>
      <c r="RPA22" s="1"/>
      <c r="RPB22" s="1"/>
      <c r="RPC22" s="1"/>
      <c r="RPD22" s="1"/>
      <c r="RPE22" s="1"/>
      <c r="RPF22" s="1"/>
      <c r="RPG22" s="1"/>
      <c r="RPH22" s="1"/>
      <c r="RPI22" s="1"/>
      <c r="RPJ22" s="1"/>
      <c r="RPK22" s="1"/>
      <c r="RPL22" s="1"/>
      <c r="RPM22" s="1"/>
      <c r="RPN22" s="1"/>
      <c r="RPO22" s="1"/>
      <c r="RPP22" s="1"/>
      <c r="RPQ22" s="1"/>
      <c r="RPR22" s="1"/>
      <c r="RPS22" s="1"/>
      <c r="RPT22" s="1"/>
      <c r="RPU22" s="1"/>
      <c r="RPV22" s="1"/>
      <c r="RPW22" s="1"/>
      <c r="RPX22" s="1"/>
      <c r="RPY22" s="1"/>
      <c r="RPZ22" s="1"/>
      <c r="RQA22" s="1"/>
      <c r="RQB22" s="1"/>
      <c r="RQC22" s="1"/>
      <c r="RQD22" s="1"/>
      <c r="RQE22" s="1"/>
      <c r="RQF22" s="1"/>
      <c r="RQG22" s="1"/>
      <c r="RQH22" s="1"/>
      <c r="RQI22" s="1"/>
      <c r="RQJ22" s="1"/>
      <c r="RQK22" s="1"/>
      <c r="RQL22" s="1"/>
      <c r="RQM22" s="1"/>
      <c r="RQN22" s="1"/>
      <c r="RQO22" s="1"/>
      <c r="RQP22" s="1"/>
      <c r="RQQ22" s="1"/>
      <c r="RQR22" s="1"/>
      <c r="RQS22" s="1"/>
      <c r="RQT22" s="1"/>
      <c r="RQU22" s="1"/>
      <c r="RQV22" s="1"/>
      <c r="RQW22" s="1"/>
      <c r="RQX22" s="1"/>
      <c r="RQY22" s="1"/>
      <c r="RQZ22" s="1"/>
      <c r="RRA22" s="1"/>
      <c r="RRB22" s="1"/>
      <c r="RRC22" s="1"/>
      <c r="RRD22" s="1"/>
      <c r="RRE22" s="1"/>
      <c r="RRF22" s="1"/>
      <c r="RRG22" s="1"/>
      <c r="RRH22" s="1"/>
      <c r="RRI22" s="1"/>
      <c r="RRJ22" s="1"/>
      <c r="RRK22" s="1"/>
      <c r="RRL22" s="1"/>
      <c r="RRM22" s="1"/>
      <c r="RRN22" s="1"/>
      <c r="RRO22" s="1"/>
      <c r="RRP22" s="1"/>
      <c r="RRQ22" s="1"/>
      <c r="RRR22" s="1"/>
      <c r="RRS22" s="1"/>
      <c r="RRT22" s="1"/>
      <c r="RRU22" s="1"/>
      <c r="RRV22" s="1"/>
      <c r="RRW22" s="1"/>
      <c r="RRX22" s="1"/>
      <c r="RRY22" s="1"/>
      <c r="RRZ22" s="1"/>
      <c r="RSA22" s="1"/>
      <c r="RSB22" s="1"/>
      <c r="RSC22" s="1"/>
      <c r="RSD22" s="1"/>
      <c r="RSE22" s="1"/>
      <c r="RSF22" s="1"/>
      <c r="RSG22" s="1"/>
      <c r="RSH22" s="1"/>
      <c r="RSI22" s="1"/>
      <c r="RSJ22" s="1"/>
      <c r="RSK22" s="1"/>
      <c r="RSL22" s="1"/>
      <c r="RSM22" s="1"/>
      <c r="RSN22" s="1"/>
      <c r="RSO22" s="1"/>
      <c r="RSP22" s="1"/>
      <c r="RSQ22" s="1"/>
      <c r="RSR22" s="1"/>
      <c r="RSS22" s="1"/>
      <c r="RST22" s="1"/>
      <c r="RSU22" s="1"/>
      <c r="RSV22" s="1"/>
      <c r="RSW22" s="1"/>
      <c r="RSX22" s="1"/>
      <c r="RSY22" s="1"/>
      <c r="RSZ22" s="1"/>
      <c r="RTA22" s="1"/>
      <c r="RTB22" s="1"/>
      <c r="RTC22" s="1"/>
      <c r="RTD22" s="1"/>
      <c r="RTE22" s="1"/>
      <c r="RTF22" s="1"/>
      <c r="RTG22" s="1"/>
      <c r="RTH22" s="1"/>
      <c r="RTI22" s="1"/>
      <c r="RTJ22" s="1"/>
      <c r="RTK22" s="1"/>
      <c r="RTL22" s="1"/>
      <c r="RTM22" s="1"/>
      <c r="RTN22" s="1"/>
      <c r="RTO22" s="1"/>
      <c r="RTP22" s="1"/>
      <c r="RTQ22" s="1"/>
      <c r="RTR22" s="1"/>
      <c r="RTS22" s="1"/>
      <c r="RTT22" s="1"/>
      <c r="RTU22" s="1"/>
      <c r="RTV22" s="1"/>
      <c r="RTW22" s="1"/>
      <c r="RTX22" s="1"/>
      <c r="RTY22" s="1"/>
      <c r="RTZ22" s="1"/>
      <c r="RUA22" s="1"/>
      <c r="RUB22" s="1"/>
      <c r="RUC22" s="1"/>
      <c r="RUD22" s="1"/>
      <c r="RUE22" s="1"/>
      <c r="RUF22" s="1"/>
      <c r="RUG22" s="1"/>
      <c r="RUH22" s="1"/>
      <c r="RUI22" s="1"/>
      <c r="RUJ22" s="1"/>
      <c r="RUK22" s="1"/>
      <c r="RUL22" s="1"/>
      <c r="RUM22" s="1"/>
      <c r="RUN22" s="1"/>
      <c r="RUO22" s="1"/>
      <c r="RUP22" s="1"/>
      <c r="RUQ22" s="1"/>
      <c r="RUR22" s="1"/>
      <c r="RUS22" s="1"/>
      <c r="RUT22" s="1"/>
      <c r="RUU22" s="1"/>
      <c r="RUV22" s="1"/>
      <c r="RUW22" s="1"/>
      <c r="RUX22" s="1"/>
      <c r="RUY22" s="1"/>
      <c r="RUZ22" s="1"/>
      <c r="RVA22" s="1"/>
      <c r="RVB22" s="1"/>
      <c r="RVC22" s="1"/>
      <c r="RVD22" s="1"/>
      <c r="RVE22" s="1"/>
      <c r="RVF22" s="1"/>
      <c r="RVG22" s="1"/>
      <c r="RVH22" s="1"/>
      <c r="RVI22" s="1"/>
      <c r="RVJ22" s="1"/>
      <c r="RVK22" s="1"/>
      <c r="RVL22" s="1"/>
      <c r="RVM22" s="1"/>
      <c r="RVN22" s="1"/>
      <c r="RVO22" s="1"/>
      <c r="RVP22" s="1"/>
      <c r="RVQ22" s="1"/>
      <c r="RVR22" s="1"/>
      <c r="RVS22" s="1"/>
      <c r="RVT22" s="1"/>
      <c r="RVU22" s="1"/>
      <c r="RVV22" s="1"/>
      <c r="RVW22" s="1"/>
      <c r="RVX22" s="1"/>
      <c r="RVY22" s="1"/>
      <c r="RVZ22" s="1"/>
      <c r="RWA22" s="1"/>
      <c r="RWB22" s="1"/>
      <c r="RWC22" s="1"/>
      <c r="RWD22" s="1"/>
      <c r="RWE22" s="1"/>
      <c r="RWF22" s="1"/>
      <c r="RWG22" s="1"/>
      <c r="RWH22" s="1"/>
      <c r="RWI22" s="1"/>
      <c r="RWJ22" s="1"/>
      <c r="RWK22" s="1"/>
      <c r="RWL22" s="1"/>
      <c r="RWM22" s="1"/>
      <c r="RWN22" s="1"/>
      <c r="RWO22" s="1"/>
      <c r="RWP22" s="1"/>
      <c r="RWQ22" s="1"/>
      <c r="RWR22" s="1"/>
      <c r="RWS22" s="1"/>
      <c r="RWT22" s="1"/>
      <c r="RWU22" s="1"/>
      <c r="RWV22" s="1"/>
      <c r="RWW22" s="1"/>
      <c r="RWX22" s="1"/>
      <c r="RWY22" s="1"/>
      <c r="RWZ22" s="1"/>
      <c r="RXA22" s="1"/>
      <c r="RXB22" s="1"/>
      <c r="RXC22" s="1"/>
      <c r="RXD22" s="1"/>
      <c r="RXE22" s="1"/>
      <c r="RXF22" s="1"/>
      <c r="RXG22" s="1"/>
      <c r="RXH22" s="1"/>
      <c r="RXI22" s="1"/>
      <c r="RXJ22" s="1"/>
      <c r="RXK22" s="1"/>
      <c r="RXL22" s="1"/>
      <c r="RXM22" s="1"/>
      <c r="RXN22" s="1"/>
      <c r="RXO22" s="1"/>
      <c r="RXP22" s="1"/>
      <c r="RXQ22" s="1"/>
      <c r="RXR22" s="1"/>
      <c r="RXS22" s="1"/>
      <c r="RXT22" s="1"/>
      <c r="RXU22" s="1"/>
      <c r="RXV22" s="1"/>
      <c r="RXW22" s="1"/>
      <c r="RXX22" s="1"/>
      <c r="RXY22" s="1"/>
      <c r="RXZ22" s="1"/>
      <c r="RYA22" s="1"/>
      <c r="RYB22" s="1"/>
      <c r="RYC22" s="1"/>
      <c r="RYD22" s="1"/>
      <c r="RYE22" s="1"/>
      <c r="RYF22" s="1"/>
      <c r="RYG22" s="1"/>
      <c r="RYH22" s="1"/>
      <c r="RYI22" s="1"/>
      <c r="RYJ22" s="1"/>
      <c r="RYK22" s="1"/>
      <c r="RYL22" s="1"/>
      <c r="RYM22" s="1"/>
      <c r="RYN22" s="1"/>
      <c r="RYO22" s="1"/>
      <c r="RYP22" s="1"/>
      <c r="RYQ22" s="1"/>
      <c r="RYR22" s="1"/>
      <c r="RYS22" s="1"/>
      <c r="RYT22" s="1"/>
      <c r="RYU22" s="1"/>
      <c r="RYV22" s="1"/>
      <c r="RYW22" s="1"/>
      <c r="RYX22" s="1"/>
      <c r="RYY22" s="1"/>
      <c r="RYZ22" s="1"/>
      <c r="RZA22" s="1"/>
      <c r="RZB22" s="1"/>
      <c r="RZC22" s="1"/>
      <c r="RZD22" s="1"/>
      <c r="RZE22" s="1"/>
      <c r="RZF22" s="1"/>
      <c r="RZG22" s="1"/>
      <c r="RZH22" s="1"/>
      <c r="RZI22" s="1"/>
      <c r="RZJ22" s="1"/>
      <c r="RZK22" s="1"/>
      <c r="RZL22" s="1"/>
      <c r="RZM22" s="1"/>
      <c r="RZN22" s="1"/>
      <c r="RZO22" s="1"/>
      <c r="RZP22" s="1"/>
      <c r="RZQ22" s="1"/>
      <c r="RZR22" s="1"/>
      <c r="RZS22" s="1"/>
      <c r="RZT22" s="1"/>
      <c r="RZU22" s="1"/>
      <c r="RZV22" s="1"/>
      <c r="RZW22" s="1"/>
      <c r="RZX22" s="1"/>
      <c r="RZY22" s="1"/>
      <c r="RZZ22" s="1"/>
      <c r="SAA22" s="1"/>
      <c r="SAB22" s="1"/>
      <c r="SAC22" s="1"/>
      <c r="SAD22" s="1"/>
      <c r="SAE22" s="1"/>
      <c r="SAF22" s="1"/>
      <c r="SAG22" s="1"/>
      <c r="SAH22" s="1"/>
      <c r="SAI22" s="1"/>
      <c r="SAJ22" s="1"/>
      <c r="SAK22" s="1"/>
      <c r="SAL22" s="1"/>
      <c r="SAM22" s="1"/>
      <c r="SAN22" s="1"/>
      <c r="SAO22" s="1"/>
      <c r="SAP22" s="1"/>
      <c r="SAQ22" s="1"/>
      <c r="SAR22" s="1"/>
      <c r="SAS22" s="1"/>
      <c r="SAT22" s="1"/>
      <c r="SAU22" s="1"/>
      <c r="SAV22" s="1"/>
      <c r="SAW22" s="1"/>
      <c r="SAX22" s="1"/>
      <c r="SAY22" s="1"/>
      <c r="SAZ22" s="1"/>
      <c r="SBA22" s="1"/>
      <c r="SBB22" s="1"/>
      <c r="SBC22" s="1"/>
      <c r="SBD22" s="1"/>
      <c r="SBE22" s="1"/>
      <c r="SBF22" s="1"/>
      <c r="SBG22" s="1"/>
      <c r="SBH22" s="1"/>
      <c r="SBI22" s="1"/>
      <c r="SBJ22" s="1"/>
      <c r="SBK22" s="1"/>
      <c r="SBL22" s="1"/>
      <c r="SBM22" s="1"/>
      <c r="SBN22" s="1"/>
      <c r="SBO22" s="1"/>
      <c r="SBP22" s="1"/>
      <c r="SBQ22" s="1"/>
      <c r="SBR22" s="1"/>
      <c r="SBS22" s="1"/>
      <c r="SBT22" s="1"/>
      <c r="SBU22" s="1"/>
      <c r="SBV22" s="1"/>
      <c r="SBW22" s="1"/>
      <c r="SBX22" s="1"/>
      <c r="SBY22" s="1"/>
      <c r="SBZ22" s="1"/>
      <c r="SCA22" s="1"/>
      <c r="SCB22" s="1"/>
      <c r="SCC22" s="1"/>
      <c r="SCD22" s="1"/>
      <c r="SCE22" s="1"/>
      <c r="SCF22" s="1"/>
      <c r="SCG22" s="1"/>
      <c r="SCH22" s="1"/>
      <c r="SCI22" s="1"/>
      <c r="SCJ22" s="1"/>
      <c r="SCK22" s="1"/>
      <c r="SCL22" s="1"/>
      <c r="SCM22" s="1"/>
      <c r="SCN22" s="1"/>
      <c r="SCO22" s="1"/>
      <c r="SCP22" s="1"/>
      <c r="SCQ22" s="1"/>
      <c r="SCR22" s="1"/>
      <c r="SCS22" s="1"/>
      <c r="SCT22" s="1"/>
      <c r="SCU22" s="1"/>
      <c r="SCV22" s="1"/>
      <c r="SCW22" s="1"/>
      <c r="SCX22" s="1"/>
      <c r="SCY22" s="1"/>
      <c r="SCZ22" s="1"/>
      <c r="SDA22" s="1"/>
      <c r="SDB22" s="1"/>
      <c r="SDC22" s="1"/>
      <c r="SDD22" s="1"/>
      <c r="SDE22" s="1"/>
      <c r="SDF22" s="1"/>
      <c r="SDG22" s="1"/>
      <c r="SDH22" s="1"/>
      <c r="SDI22" s="1"/>
      <c r="SDJ22" s="1"/>
      <c r="SDK22" s="1"/>
      <c r="SDL22" s="1"/>
      <c r="SDM22" s="1"/>
      <c r="SDN22" s="1"/>
      <c r="SDO22" s="1"/>
      <c r="SDP22" s="1"/>
      <c r="SDQ22" s="1"/>
      <c r="SDR22" s="1"/>
      <c r="SDS22" s="1"/>
      <c r="SDT22" s="1"/>
      <c r="SDU22" s="1"/>
      <c r="SDV22" s="1"/>
      <c r="SDW22" s="1"/>
      <c r="SDX22" s="1"/>
      <c r="SDY22" s="1"/>
      <c r="SDZ22" s="1"/>
      <c r="SEA22" s="1"/>
      <c r="SEB22" s="1"/>
      <c r="SEC22" s="1"/>
      <c r="SED22" s="1"/>
      <c r="SEE22" s="1"/>
      <c r="SEF22" s="1"/>
      <c r="SEG22" s="1"/>
      <c r="SEH22" s="1"/>
      <c r="SEI22" s="1"/>
      <c r="SEJ22" s="1"/>
      <c r="SEK22" s="1"/>
      <c r="SEL22" s="1"/>
      <c r="SEM22" s="1"/>
      <c r="SEN22" s="1"/>
      <c r="SEO22" s="1"/>
      <c r="SEP22" s="1"/>
      <c r="SEQ22" s="1"/>
      <c r="SER22" s="1"/>
      <c r="SES22" s="1"/>
      <c r="SET22" s="1"/>
      <c r="SEU22" s="1"/>
      <c r="SEV22" s="1"/>
      <c r="SEW22" s="1"/>
      <c r="SEX22" s="1"/>
      <c r="SEY22" s="1"/>
      <c r="SEZ22" s="1"/>
      <c r="SFA22" s="1"/>
      <c r="SFB22" s="1"/>
      <c r="SFC22" s="1"/>
      <c r="SFD22" s="1"/>
      <c r="SFE22" s="1"/>
      <c r="SFF22" s="1"/>
      <c r="SFG22" s="1"/>
      <c r="SFH22" s="1"/>
      <c r="SFI22" s="1"/>
      <c r="SFJ22" s="1"/>
      <c r="SFK22" s="1"/>
      <c r="SFL22" s="1"/>
      <c r="SFM22" s="1"/>
      <c r="SFN22" s="1"/>
      <c r="SFO22" s="1"/>
      <c r="SFP22" s="1"/>
      <c r="SFQ22" s="1"/>
      <c r="SFR22" s="1"/>
      <c r="SFS22" s="1"/>
      <c r="SFT22" s="1"/>
      <c r="SFU22" s="1"/>
      <c r="SFV22" s="1"/>
      <c r="SFW22" s="1"/>
      <c r="SFX22" s="1"/>
      <c r="SFY22" s="1"/>
      <c r="SFZ22" s="1"/>
      <c r="SGA22" s="1"/>
      <c r="SGB22" s="1"/>
      <c r="SGC22" s="1"/>
      <c r="SGD22" s="1"/>
      <c r="SGE22" s="1"/>
      <c r="SGF22" s="1"/>
      <c r="SGG22" s="1"/>
      <c r="SGH22" s="1"/>
      <c r="SGI22" s="1"/>
      <c r="SGJ22" s="1"/>
      <c r="SGK22" s="1"/>
      <c r="SGL22" s="1"/>
      <c r="SGM22" s="1"/>
      <c r="SGN22" s="1"/>
      <c r="SGO22" s="1"/>
      <c r="SGP22" s="1"/>
      <c r="SGQ22" s="1"/>
      <c r="SGR22" s="1"/>
      <c r="SGS22" s="1"/>
      <c r="SGT22" s="1"/>
      <c r="SGU22" s="1"/>
      <c r="SGV22" s="1"/>
      <c r="SGW22" s="1"/>
      <c r="SGX22" s="1"/>
      <c r="SGY22" s="1"/>
      <c r="SGZ22" s="1"/>
      <c r="SHA22" s="1"/>
      <c r="SHB22" s="1"/>
      <c r="SHC22" s="1"/>
      <c r="SHD22" s="1"/>
      <c r="SHE22" s="1"/>
      <c r="SHF22" s="1"/>
      <c r="SHG22" s="1"/>
      <c r="SHH22" s="1"/>
      <c r="SHI22" s="1"/>
      <c r="SHJ22" s="1"/>
      <c r="SHK22" s="1"/>
      <c r="SHL22" s="1"/>
      <c r="SHM22" s="1"/>
      <c r="SHN22" s="1"/>
      <c r="SHO22" s="1"/>
      <c r="SHP22" s="1"/>
      <c r="SHQ22" s="1"/>
      <c r="SHR22" s="1"/>
      <c r="SHS22" s="1"/>
      <c r="SHT22" s="1"/>
      <c r="SHU22" s="1"/>
      <c r="SHV22" s="1"/>
      <c r="SHW22" s="1"/>
      <c r="SHX22" s="1"/>
      <c r="SHY22" s="1"/>
      <c r="SHZ22" s="1"/>
      <c r="SIA22" s="1"/>
      <c r="SIB22" s="1"/>
      <c r="SIC22" s="1"/>
      <c r="SID22" s="1"/>
      <c r="SIE22" s="1"/>
      <c r="SIF22" s="1"/>
      <c r="SIG22" s="1"/>
      <c r="SIH22" s="1"/>
      <c r="SII22" s="1"/>
      <c r="SIJ22" s="1"/>
      <c r="SIK22" s="1"/>
      <c r="SIL22" s="1"/>
      <c r="SIM22" s="1"/>
      <c r="SIN22" s="1"/>
      <c r="SIO22" s="1"/>
      <c r="SIP22" s="1"/>
      <c r="SIQ22" s="1"/>
      <c r="SIR22" s="1"/>
      <c r="SIS22" s="1"/>
      <c r="SIT22" s="1"/>
      <c r="SIU22" s="1"/>
      <c r="SIV22" s="1"/>
      <c r="SIW22" s="1"/>
      <c r="SIX22" s="1"/>
      <c r="SIY22" s="1"/>
      <c r="SIZ22" s="1"/>
      <c r="SJA22" s="1"/>
      <c r="SJB22" s="1"/>
      <c r="SJC22" s="1"/>
      <c r="SJD22" s="1"/>
      <c r="SJE22" s="1"/>
      <c r="SJF22" s="1"/>
      <c r="SJG22" s="1"/>
      <c r="SJH22" s="1"/>
      <c r="SJI22" s="1"/>
      <c r="SJJ22" s="1"/>
      <c r="SJK22" s="1"/>
      <c r="SJL22" s="1"/>
      <c r="SJM22" s="1"/>
      <c r="SJN22" s="1"/>
      <c r="SJO22" s="1"/>
      <c r="SJP22" s="1"/>
      <c r="SJQ22" s="1"/>
      <c r="SJR22" s="1"/>
      <c r="SJS22" s="1"/>
      <c r="SJT22" s="1"/>
      <c r="SJU22" s="1"/>
      <c r="SJV22" s="1"/>
      <c r="SJW22" s="1"/>
      <c r="SJX22" s="1"/>
      <c r="SJY22" s="1"/>
      <c r="SJZ22" s="1"/>
      <c r="SKA22" s="1"/>
      <c r="SKB22" s="1"/>
      <c r="SKC22" s="1"/>
      <c r="SKD22" s="1"/>
      <c r="SKE22" s="1"/>
      <c r="SKF22" s="1"/>
      <c r="SKG22" s="1"/>
      <c r="SKH22" s="1"/>
      <c r="SKI22" s="1"/>
      <c r="SKJ22" s="1"/>
      <c r="SKK22" s="1"/>
      <c r="SKL22" s="1"/>
      <c r="SKM22" s="1"/>
      <c r="SKN22" s="1"/>
      <c r="SKO22" s="1"/>
      <c r="SKP22" s="1"/>
      <c r="SKQ22" s="1"/>
      <c r="SKR22" s="1"/>
      <c r="SKS22" s="1"/>
      <c r="SKT22" s="1"/>
      <c r="SKU22" s="1"/>
      <c r="SKV22" s="1"/>
      <c r="SKW22" s="1"/>
      <c r="SKX22" s="1"/>
      <c r="SKY22" s="1"/>
      <c r="SKZ22" s="1"/>
      <c r="SLA22" s="1"/>
      <c r="SLB22" s="1"/>
      <c r="SLC22" s="1"/>
      <c r="SLD22" s="1"/>
      <c r="SLE22" s="1"/>
      <c r="SLF22" s="1"/>
      <c r="SLG22" s="1"/>
      <c r="SLH22" s="1"/>
      <c r="SLI22" s="1"/>
      <c r="SLJ22" s="1"/>
      <c r="SLK22" s="1"/>
      <c r="SLL22" s="1"/>
      <c r="SLM22" s="1"/>
      <c r="SLN22" s="1"/>
      <c r="SLO22" s="1"/>
      <c r="SLP22" s="1"/>
      <c r="SLQ22" s="1"/>
      <c r="SLR22" s="1"/>
      <c r="SLS22" s="1"/>
      <c r="SLT22" s="1"/>
      <c r="SLU22" s="1"/>
      <c r="SLV22" s="1"/>
      <c r="SLW22" s="1"/>
      <c r="SLX22" s="1"/>
      <c r="SLY22" s="1"/>
      <c r="SLZ22" s="1"/>
      <c r="SMA22" s="1"/>
      <c r="SMB22" s="1"/>
      <c r="SMC22" s="1"/>
      <c r="SMD22" s="1"/>
      <c r="SME22" s="1"/>
      <c r="SMF22" s="1"/>
      <c r="SMG22" s="1"/>
      <c r="SMH22" s="1"/>
      <c r="SMI22" s="1"/>
      <c r="SMJ22" s="1"/>
      <c r="SMK22" s="1"/>
      <c r="SML22" s="1"/>
      <c r="SMM22" s="1"/>
      <c r="SMN22" s="1"/>
      <c r="SMO22" s="1"/>
      <c r="SMP22" s="1"/>
      <c r="SMQ22" s="1"/>
      <c r="SMR22" s="1"/>
      <c r="SMS22" s="1"/>
      <c r="SMT22" s="1"/>
      <c r="SMU22" s="1"/>
      <c r="SMV22" s="1"/>
      <c r="SMW22" s="1"/>
      <c r="SMX22" s="1"/>
      <c r="SMY22" s="1"/>
      <c r="SMZ22" s="1"/>
      <c r="SNA22" s="1"/>
      <c r="SNB22" s="1"/>
      <c r="SNC22" s="1"/>
      <c r="SND22" s="1"/>
      <c r="SNE22" s="1"/>
      <c r="SNF22" s="1"/>
      <c r="SNG22" s="1"/>
      <c r="SNH22" s="1"/>
      <c r="SNI22" s="1"/>
      <c r="SNJ22" s="1"/>
      <c r="SNK22" s="1"/>
      <c r="SNL22" s="1"/>
      <c r="SNM22" s="1"/>
      <c r="SNN22" s="1"/>
      <c r="SNO22" s="1"/>
      <c r="SNP22" s="1"/>
      <c r="SNQ22" s="1"/>
      <c r="SNR22" s="1"/>
      <c r="SNS22" s="1"/>
      <c r="SNT22" s="1"/>
      <c r="SNU22" s="1"/>
      <c r="SNV22" s="1"/>
      <c r="SNW22" s="1"/>
      <c r="SNX22" s="1"/>
      <c r="SNY22" s="1"/>
      <c r="SNZ22" s="1"/>
      <c r="SOA22" s="1"/>
      <c r="SOB22" s="1"/>
      <c r="SOC22" s="1"/>
      <c r="SOD22" s="1"/>
      <c r="SOE22" s="1"/>
      <c r="SOF22" s="1"/>
      <c r="SOG22" s="1"/>
      <c r="SOH22" s="1"/>
      <c r="SOI22" s="1"/>
      <c r="SOJ22" s="1"/>
      <c r="SOK22" s="1"/>
      <c r="SOL22" s="1"/>
      <c r="SOM22" s="1"/>
      <c r="SON22" s="1"/>
      <c r="SOO22" s="1"/>
      <c r="SOP22" s="1"/>
      <c r="SOQ22" s="1"/>
      <c r="SOR22" s="1"/>
      <c r="SOS22" s="1"/>
      <c r="SOT22" s="1"/>
      <c r="SOU22" s="1"/>
      <c r="SOV22" s="1"/>
      <c r="SOW22" s="1"/>
      <c r="SOX22" s="1"/>
      <c r="SOY22" s="1"/>
      <c r="SOZ22" s="1"/>
      <c r="SPA22" s="1"/>
      <c r="SPB22" s="1"/>
      <c r="SPC22" s="1"/>
      <c r="SPD22" s="1"/>
      <c r="SPE22" s="1"/>
      <c r="SPF22" s="1"/>
      <c r="SPG22" s="1"/>
      <c r="SPH22" s="1"/>
      <c r="SPI22" s="1"/>
      <c r="SPJ22" s="1"/>
      <c r="SPK22" s="1"/>
      <c r="SPL22" s="1"/>
      <c r="SPM22" s="1"/>
      <c r="SPN22" s="1"/>
      <c r="SPO22" s="1"/>
      <c r="SPP22" s="1"/>
      <c r="SPQ22" s="1"/>
      <c r="SPR22" s="1"/>
      <c r="SPS22" s="1"/>
      <c r="SPT22" s="1"/>
      <c r="SPU22" s="1"/>
      <c r="SPV22" s="1"/>
      <c r="SPW22" s="1"/>
      <c r="SPX22" s="1"/>
      <c r="SPY22" s="1"/>
      <c r="SPZ22" s="1"/>
      <c r="SQA22" s="1"/>
      <c r="SQB22" s="1"/>
      <c r="SQC22" s="1"/>
      <c r="SQD22" s="1"/>
      <c r="SQE22" s="1"/>
      <c r="SQF22" s="1"/>
      <c r="SQG22" s="1"/>
      <c r="SQH22" s="1"/>
      <c r="SQI22" s="1"/>
      <c r="SQJ22" s="1"/>
      <c r="SQK22" s="1"/>
      <c r="SQL22" s="1"/>
      <c r="SQM22" s="1"/>
      <c r="SQN22" s="1"/>
      <c r="SQO22" s="1"/>
      <c r="SQP22" s="1"/>
      <c r="SQQ22" s="1"/>
      <c r="SQR22" s="1"/>
      <c r="SQS22" s="1"/>
      <c r="SQT22" s="1"/>
      <c r="SQU22" s="1"/>
      <c r="SQV22" s="1"/>
      <c r="SQW22" s="1"/>
      <c r="SQX22" s="1"/>
      <c r="SQY22" s="1"/>
      <c r="SQZ22" s="1"/>
      <c r="SRA22" s="1"/>
      <c r="SRB22" s="1"/>
      <c r="SRC22" s="1"/>
      <c r="SRD22" s="1"/>
      <c r="SRE22" s="1"/>
      <c r="SRF22" s="1"/>
      <c r="SRG22" s="1"/>
      <c r="SRH22" s="1"/>
      <c r="SRI22" s="1"/>
      <c r="SRJ22" s="1"/>
      <c r="SRK22" s="1"/>
      <c r="SRL22" s="1"/>
      <c r="SRM22" s="1"/>
      <c r="SRN22" s="1"/>
      <c r="SRO22" s="1"/>
      <c r="SRP22" s="1"/>
      <c r="SRQ22" s="1"/>
      <c r="SRR22" s="1"/>
      <c r="SRS22" s="1"/>
      <c r="SRT22" s="1"/>
      <c r="SRU22" s="1"/>
      <c r="SRV22" s="1"/>
      <c r="SRW22" s="1"/>
      <c r="SRX22" s="1"/>
      <c r="SRY22" s="1"/>
      <c r="SRZ22" s="1"/>
      <c r="SSA22" s="1"/>
      <c r="SSB22" s="1"/>
      <c r="SSC22" s="1"/>
      <c r="SSD22" s="1"/>
      <c r="SSE22" s="1"/>
      <c r="SSF22" s="1"/>
      <c r="SSG22" s="1"/>
      <c r="SSH22" s="1"/>
      <c r="SSI22" s="1"/>
      <c r="SSJ22" s="1"/>
      <c r="SSK22" s="1"/>
      <c r="SSL22" s="1"/>
      <c r="SSM22" s="1"/>
      <c r="SSN22" s="1"/>
      <c r="SSO22" s="1"/>
      <c r="SSP22" s="1"/>
      <c r="SSQ22" s="1"/>
      <c r="SSR22" s="1"/>
      <c r="SSS22" s="1"/>
      <c r="SST22" s="1"/>
      <c r="SSU22" s="1"/>
      <c r="SSV22" s="1"/>
      <c r="SSW22" s="1"/>
      <c r="SSX22" s="1"/>
      <c r="SSY22" s="1"/>
      <c r="SSZ22" s="1"/>
      <c r="STA22" s="1"/>
      <c r="STB22" s="1"/>
      <c r="STC22" s="1"/>
      <c r="STD22" s="1"/>
      <c r="STE22" s="1"/>
      <c r="STF22" s="1"/>
      <c r="STG22" s="1"/>
      <c r="STH22" s="1"/>
      <c r="STI22" s="1"/>
      <c r="STJ22" s="1"/>
      <c r="STK22" s="1"/>
      <c r="STL22" s="1"/>
      <c r="STM22" s="1"/>
      <c r="STN22" s="1"/>
      <c r="STO22" s="1"/>
      <c r="STP22" s="1"/>
      <c r="STQ22" s="1"/>
      <c r="STR22" s="1"/>
      <c r="STS22" s="1"/>
      <c r="STT22" s="1"/>
      <c r="STU22" s="1"/>
      <c r="STV22" s="1"/>
      <c r="STW22" s="1"/>
      <c r="STX22" s="1"/>
      <c r="STY22" s="1"/>
      <c r="STZ22" s="1"/>
      <c r="SUA22" s="1"/>
      <c r="SUB22" s="1"/>
      <c r="SUC22" s="1"/>
      <c r="SUD22" s="1"/>
      <c r="SUE22" s="1"/>
      <c r="SUF22" s="1"/>
      <c r="SUG22" s="1"/>
      <c r="SUH22" s="1"/>
      <c r="SUI22" s="1"/>
      <c r="SUJ22" s="1"/>
      <c r="SUK22" s="1"/>
      <c r="SUL22" s="1"/>
      <c r="SUM22" s="1"/>
      <c r="SUN22" s="1"/>
      <c r="SUO22" s="1"/>
      <c r="SUP22" s="1"/>
      <c r="SUQ22" s="1"/>
      <c r="SUR22" s="1"/>
      <c r="SUS22" s="1"/>
      <c r="SUT22" s="1"/>
      <c r="SUU22" s="1"/>
      <c r="SUV22" s="1"/>
      <c r="SUW22" s="1"/>
      <c r="SUX22" s="1"/>
      <c r="SUY22" s="1"/>
      <c r="SUZ22" s="1"/>
      <c r="SVA22" s="1"/>
      <c r="SVB22" s="1"/>
      <c r="SVC22" s="1"/>
      <c r="SVD22" s="1"/>
      <c r="SVE22" s="1"/>
      <c r="SVF22" s="1"/>
      <c r="SVG22" s="1"/>
      <c r="SVH22" s="1"/>
      <c r="SVI22" s="1"/>
      <c r="SVJ22" s="1"/>
      <c r="SVK22" s="1"/>
      <c r="SVL22" s="1"/>
      <c r="SVM22" s="1"/>
      <c r="SVN22" s="1"/>
      <c r="SVO22" s="1"/>
      <c r="SVP22" s="1"/>
      <c r="SVQ22" s="1"/>
      <c r="SVR22" s="1"/>
      <c r="SVS22" s="1"/>
      <c r="SVT22" s="1"/>
      <c r="SVU22" s="1"/>
      <c r="SVV22" s="1"/>
      <c r="SVW22" s="1"/>
      <c r="SVX22" s="1"/>
      <c r="SVY22" s="1"/>
      <c r="SVZ22" s="1"/>
      <c r="SWA22" s="1"/>
      <c r="SWB22" s="1"/>
      <c r="SWC22" s="1"/>
      <c r="SWD22" s="1"/>
      <c r="SWE22" s="1"/>
      <c r="SWF22" s="1"/>
      <c r="SWG22" s="1"/>
      <c r="SWH22" s="1"/>
      <c r="SWI22" s="1"/>
      <c r="SWJ22" s="1"/>
      <c r="SWK22" s="1"/>
      <c r="SWL22" s="1"/>
      <c r="SWM22" s="1"/>
      <c r="SWN22" s="1"/>
      <c r="SWO22" s="1"/>
      <c r="SWP22" s="1"/>
      <c r="SWQ22" s="1"/>
      <c r="SWR22" s="1"/>
      <c r="SWS22" s="1"/>
      <c r="SWT22" s="1"/>
      <c r="SWU22" s="1"/>
      <c r="SWV22" s="1"/>
      <c r="SWW22" s="1"/>
      <c r="SWX22" s="1"/>
      <c r="SWY22" s="1"/>
      <c r="SWZ22" s="1"/>
      <c r="SXA22" s="1"/>
      <c r="SXB22" s="1"/>
      <c r="SXC22" s="1"/>
      <c r="SXD22" s="1"/>
      <c r="SXE22" s="1"/>
      <c r="SXF22" s="1"/>
      <c r="SXG22" s="1"/>
      <c r="SXH22" s="1"/>
      <c r="SXI22" s="1"/>
      <c r="SXJ22" s="1"/>
      <c r="SXK22" s="1"/>
      <c r="SXL22" s="1"/>
      <c r="SXM22" s="1"/>
      <c r="SXN22" s="1"/>
      <c r="SXO22" s="1"/>
      <c r="SXP22" s="1"/>
      <c r="SXQ22" s="1"/>
      <c r="SXR22" s="1"/>
      <c r="SXS22" s="1"/>
      <c r="SXT22" s="1"/>
      <c r="SXU22" s="1"/>
      <c r="SXV22" s="1"/>
      <c r="SXW22" s="1"/>
      <c r="SXX22" s="1"/>
      <c r="SXY22" s="1"/>
      <c r="SXZ22" s="1"/>
      <c r="SYA22" s="1"/>
      <c r="SYB22" s="1"/>
      <c r="SYC22" s="1"/>
      <c r="SYD22" s="1"/>
      <c r="SYE22" s="1"/>
      <c r="SYF22" s="1"/>
      <c r="SYG22" s="1"/>
      <c r="SYH22" s="1"/>
      <c r="SYI22" s="1"/>
      <c r="SYJ22" s="1"/>
      <c r="SYK22" s="1"/>
      <c r="SYL22" s="1"/>
      <c r="SYM22" s="1"/>
      <c r="SYN22" s="1"/>
      <c r="SYO22" s="1"/>
      <c r="SYP22" s="1"/>
      <c r="SYQ22" s="1"/>
      <c r="SYR22" s="1"/>
      <c r="SYS22" s="1"/>
      <c r="SYT22" s="1"/>
      <c r="SYU22" s="1"/>
      <c r="SYV22" s="1"/>
      <c r="SYW22" s="1"/>
      <c r="SYX22" s="1"/>
      <c r="SYY22" s="1"/>
      <c r="SYZ22" s="1"/>
      <c r="SZA22" s="1"/>
      <c r="SZB22" s="1"/>
      <c r="SZC22" s="1"/>
      <c r="SZD22" s="1"/>
      <c r="SZE22" s="1"/>
      <c r="SZF22" s="1"/>
      <c r="SZG22" s="1"/>
      <c r="SZH22" s="1"/>
      <c r="SZI22" s="1"/>
      <c r="SZJ22" s="1"/>
      <c r="SZK22" s="1"/>
      <c r="SZL22" s="1"/>
      <c r="SZM22" s="1"/>
      <c r="SZN22" s="1"/>
      <c r="SZO22" s="1"/>
      <c r="SZP22" s="1"/>
      <c r="SZQ22" s="1"/>
      <c r="SZR22" s="1"/>
      <c r="SZS22" s="1"/>
      <c r="SZT22" s="1"/>
      <c r="SZU22" s="1"/>
      <c r="SZV22" s="1"/>
      <c r="SZW22" s="1"/>
      <c r="SZX22" s="1"/>
      <c r="SZY22" s="1"/>
      <c r="SZZ22" s="1"/>
      <c r="TAA22" s="1"/>
      <c r="TAB22" s="1"/>
      <c r="TAC22" s="1"/>
      <c r="TAD22" s="1"/>
      <c r="TAE22" s="1"/>
      <c r="TAF22" s="1"/>
      <c r="TAG22" s="1"/>
      <c r="TAH22" s="1"/>
      <c r="TAI22" s="1"/>
      <c r="TAJ22" s="1"/>
      <c r="TAK22" s="1"/>
      <c r="TAL22" s="1"/>
      <c r="TAM22" s="1"/>
      <c r="TAN22" s="1"/>
      <c r="TAO22" s="1"/>
      <c r="TAP22" s="1"/>
      <c r="TAQ22" s="1"/>
      <c r="TAR22" s="1"/>
      <c r="TAS22" s="1"/>
      <c r="TAT22" s="1"/>
      <c r="TAU22" s="1"/>
      <c r="TAV22" s="1"/>
      <c r="TAW22" s="1"/>
      <c r="TAX22" s="1"/>
      <c r="TAY22" s="1"/>
      <c r="TAZ22" s="1"/>
      <c r="TBA22" s="1"/>
      <c r="TBB22" s="1"/>
      <c r="TBC22" s="1"/>
      <c r="TBD22" s="1"/>
      <c r="TBE22" s="1"/>
      <c r="TBF22" s="1"/>
      <c r="TBG22" s="1"/>
      <c r="TBH22" s="1"/>
      <c r="TBI22" s="1"/>
      <c r="TBJ22" s="1"/>
      <c r="TBK22" s="1"/>
      <c r="TBL22" s="1"/>
      <c r="TBM22" s="1"/>
      <c r="TBN22" s="1"/>
      <c r="TBO22" s="1"/>
      <c r="TBP22" s="1"/>
      <c r="TBQ22" s="1"/>
      <c r="TBR22" s="1"/>
      <c r="TBS22" s="1"/>
      <c r="TBT22" s="1"/>
      <c r="TBU22" s="1"/>
      <c r="TBV22" s="1"/>
      <c r="TBW22" s="1"/>
      <c r="TBX22" s="1"/>
      <c r="TBY22" s="1"/>
      <c r="TBZ22" s="1"/>
      <c r="TCA22" s="1"/>
      <c r="TCB22" s="1"/>
      <c r="TCC22" s="1"/>
      <c r="TCD22" s="1"/>
      <c r="TCE22" s="1"/>
      <c r="TCF22" s="1"/>
      <c r="TCG22" s="1"/>
      <c r="TCH22" s="1"/>
      <c r="TCI22" s="1"/>
      <c r="TCJ22" s="1"/>
      <c r="TCK22" s="1"/>
      <c r="TCL22" s="1"/>
      <c r="TCM22" s="1"/>
      <c r="TCN22" s="1"/>
      <c r="TCO22" s="1"/>
      <c r="TCP22" s="1"/>
      <c r="TCQ22" s="1"/>
      <c r="TCR22" s="1"/>
      <c r="TCS22" s="1"/>
      <c r="TCT22" s="1"/>
      <c r="TCU22" s="1"/>
      <c r="TCV22" s="1"/>
      <c r="TCW22" s="1"/>
      <c r="TCX22" s="1"/>
      <c r="TCY22" s="1"/>
      <c r="TCZ22" s="1"/>
      <c r="TDA22" s="1"/>
      <c r="TDB22" s="1"/>
      <c r="TDC22" s="1"/>
      <c r="TDD22" s="1"/>
      <c r="TDE22" s="1"/>
      <c r="TDF22" s="1"/>
      <c r="TDG22" s="1"/>
      <c r="TDH22" s="1"/>
      <c r="TDI22" s="1"/>
      <c r="TDJ22" s="1"/>
      <c r="TDK22" s="1"/>
      <c r="TDL22" s="1"/>
      <c r="TDM22" s="1"/>
      <c r="TDN22" s="1"/>
      <c r="TDO22" s="1"/>
      <c r="TDP22" s="1"/>
      <c r="TDQ22" s="1"/>
      <c r="TDR22" s="1"/>
      <c r="TDS22" s="1"/>
      <c r="TDT22" s="1"/>
      <c r="TDU22" s="1"/>
      <c r="TDV22" s="1"/>
      <c r="TDW22" s="1"/>
      <c r="TDX22" s="1"/>
      <c r="TDY22" s="1"/>
      <c r="TDZ22" s="1"/>
      <c r="TEA22" s="1"/>
      <c r="TEB22" s="1"/>
      <c r="TEC22" s="1"/>
      <c r="TED22" s="1"/>
      <c r="TEE22" s="1"/>
      <c r="TEF22" s="1"/>
      <c r="TEG22" s="1"/>
      <c r="TEH22" s="1"/>
      <c r="TEI22" s="1"/>
      <c r="TEJ22" s="1"/>
      <c r="TEK22" s="1"/>
      <c r="TEL22" s="1"/>
      <c r="TEM22" s="1"/>
      <c r="TEN22" s="1"/>
      <c r="TEO22" s="1"/>
      <c r="TEP22" s="1"/>
      <c r="TEQ22" s="1"/>
      <c r="TER22" s="1"/>
      <c r="TES22" s="1"/>
      <c r="TET22" s="1"/>
      <c r="TEU22" s="1"/>
      <c r="TEV22" s="1"/>
      <c r="TEW22" s="1"/>
      <c r="TEX22" s="1"/>
      <c r="TEY22" s="1"/>
      <c r="TEZ22" s="1"/>
      <c r="TFA22" s="1"/>
      <c r="TFB22" s="1"/>
      <c r="TFC22" s="1"/>
      <c r="TFD22" s="1"/>
      <c r="TFE22" s="1"/>
      <c r="TFF22" s="1"/>
      <c r="TFG22" s="1"/>
      <c r="TFH22" s="1"/>
      <c r="TFI22" s="1"/>
      <c r="TFJ22" s="1"/>
      <c r="TFK22" s="1"/>
      <c r="TFL22" s="1"/>
      <c r="TFM22" s="1"/>
      <c r="TFN22" s="1"/>
      <c r="TFO22" s="1"/>
      <c r="TFP22" s="1"/>
      <c r="TFQ22" s="1"/>
      <c r="TFR22" s="1"/>
      <c r="TFS22" s="1"/>
      <c r="TFT22" s="1"/>
      <c r="TFU22" s="1"/>
      <c r="TFV22" s="1"/>
      <c r="TFW22" s="1"/>
      <c r="TFX22" s="1"/>
      <c r="TFY22" s="1"/>
      <c r="TFZ22" s="1"/>
      <c r="TGA22" s="1"/>
      <c r="TGB22" s="1"/>
      <c r="TGC22" s="1"/>
      <c r="TGD22" s="1"/>
      <c r="TGE22" s="1"/>
      <c r="TGF22" s="1"/>
      <c r="TGG22" s="1"/>
      <c r="TGH22" s="1"/>
      <c r="TGI22" s="1"/>
      <c r="TGJ22" s="1"/>
      <c r="TGK22" s="1"/>
      <c r="TGL22" s="1"/>
      <c r="TGM22" s="1"/>
      <c r="TGN22" s="1"/>
      <c r="TGO22" s="1"/>
      <c r="TGP22" s="1"/>
      <c r="TGQ22" s="1"/>
      <c r="TGR22" s="1"/>
      <c r="TGS22" s="1"/>
      <c r="TGT22" s="1"/>
      <c r="TGU22" s="1"/>
      <c r="TGV22" s="1"/>
      <c r="TGW22" s="1"/>
      <c r="TGX22" s="1"/>
      <c r="TGY22" s="1"/>
      <c r="TGZ22" s="1"/>
      <c r="THA22" s="1"/>
      <c r="THB22" s="1"/>
      <c r="THC22" s="1"/>
      <c r="THD22" s="1"/>
      <c r="THE22" s="1"/>
      <c r="THF22" s="1"/>
      <c r="THG22" s="1"/>
      <c r="THH22" s="1"/>
      <c r="THI22" s="1"/>
      <c r="THJ22" s="1"/>
      <c r="THK22" s="1"/>
      <c r="THL22" s="1"/>
      <c r="THM22" s="1"/>
      <c r="THN22" s="1"/>
      <c r="THO22" s="1"/>
      <c r="THP22" s="1"/>
      <c r="THQ22" s="1"/>
      <c r="THR22" s="1"/>
      <c r="THS22" s="1"/>
      <c r="THT22" s="1"/>
      <c r="THU22" s="1"/>
      <c r="THV22" s="1"/>
      <c r="THW22" s="1"/>
      <c r="THX22" s="1"/>
      <c r="THY22" s="1"/>
      <c r="THZ22" s="1"/>
      <c r="TIA22" s="1"/>
      <c r="TIB22" s="1"/>
      <c r="TIC22" s="1"/>
      <c r="TID22" s="1"/>
      <c r="TIE22" s="1"/>
      <c r="TIF22" s="1"/>
      <c r="TIG22" s="1"/>
      <c r="TIH22" s="1"/>
      <c r="TII22" s="1"/>
      <c r="TIJ22" s="1"/>
      <c r="TIK22" s="1"/>
      <c r="TIL22" s="1"/>
      <c r="TIM22" s="1"/>
      <c r="TIN22" s="1"/>
      <c r="TIO22" s="1"/>
      <c r="TIP22" s="1"/>
      <c r="TIQ22" s="1"/>
      <c r="TIR22" s="1"/>
      <c r="TIS22" s="1"/>
      <c r="TIT22" s="1"/>
      <c r="TIU22" s="1"/>
      <c r="TIV22" s="1"/>
      <c r="TIW22" s="1"/>
      <c r="TIX22" s="1"/>
      <c r="TIY22" s="1"/>
      <c r="TIZ22" s="1"/>
      <c r="TJA22" s="1"/>
      <c r="TJB22" s="1"/>
      <c r="TJC22" s="1"/>
      <c r="TJD22" s="1"/>
      <c r="TJE22" s="1"/>
      <c r="TJF22" s="1"/>
      <c r="TJG22" s="1"/>
      <c r="TJH22" s="1"/>
      <c r="TJI22" s="1"/>
      <c r="TJJ22" s="1"/>
      <c r="TJK22" s="1"/>
      <c r="TJL22" s="1"/>
      <c r="TJM22" s="1"/>
      <c r="TJN22" s="1"/>
      <c r="TJO22" s="1"/>
      <c r="TJP22" s="1"/>
      <c r="TJQ22" s="1"/>
      <c r="TJR22" s="1"/>
      <c r="TJS22" s="1"/>
      <c r="TJT22" s="1"/>
      <c r="TJU22" s="1"/>
      <c r="TJV22" s="1"/>
      <c r="TJW22" s="1"/>
      <c r="TJX22" s="1"/>
      <c r="TJY22" s="1"/>
      <c r="TJZ22" s="1"/>
      <c r="TKA22" s="1"/>
      <c r="TKB22" s="1"/>
      <c r="TKC22" s="1"/>
      <c r="TKD22" s="1"/>
      <c r="TKE22" s="1"/>
      <c r="TKF22" s="1"/>
      <c r="TKG22" s="1"/>
      <c r="TKH22" s="1"/>
      <c r="TKI22" s="1"/>
      <c r="TKJ22" s="1"/>
      <c r="TKK22" s="1"/>
      <c r="TKL22" s="1"/>
      <c r="TKM22" s="1"/>
      <c r="TKN22" s="1"/>
      <c r="TKO22" s="1"/>
      <c r="TKP22" s="1"/>
      <c r="TKQ22" s="1"/>
      <c r="TKR22" s="1"/>
      <c r="TKS22" s="1"/>
      <c r="TKT22" s="1"/>
      <c r="TKU22" s="1"/>
      <c r="TKV22" s="1"/>
      <c r="TKW22" s="1"/>
      <c r="TKX22" s="1"/>
      <c r="TKY22" s="1"/>
      <c r="TKZ22" s="1"/>
      <c r="TLA22" s="1"/>
      <c r="TLB22" s="1"/>
      <c r="TLC22" s="1"/>
      <c r="TLD22" s="1"/>
      <c r="TLE22" s="1"/>
      <c r="TLF22" s="1"/>
      <c r="TLG22" s="1"/>
      <c r="TLH22" s="1"/>
      <c r="TLI22" s="1"/>
      <c r="TLJ22" s="1"/>
      <c r="TLK22" s="1"/>
      <c r="TLL22" s="1"/>
      <c r="TLM22" s="1"/>
      <c r="TLN22" s="1"/>
      <c r="TLO22" s="1"/>
      <c r="TLP22" s="1"/>
      <c r="TLQ22" s="1"/>
      <c r="TLR22" s="1"/>
      <c r="TLS22" s="1"/>
      <c r="TLT22" s="1"/>
      <c r="TLU22" s="1"/>
      <c r="TLV22" s="1"/>
      <c r="TLW22" s="1"/>
      <c r="TLX22" s="1"/>
      <c r="TLY22" s="1"/>
      <c r="TLZ22" s="1"/>
      <c r="TMA22" s="1"/>
      <c r="TMB22" s="1"/>
      <c r="TMC22" s="1"/>
      <c r="TMD22" s="1"/>
      <c r="TME22" s="1"/>
      <c r="TMF22" s="1"/>
      <c r="TMG22" s="1"/>
      <c r="TMH22" s="1"/>
      <c r="TMI22" s="1"/>
      <c r="TMJ22" s="1"/>
      <c r="TMK22" s="1"/>
      <c r="TML22" s="1"/>
      <c r="TMM22" s="1"/>
      <c r="TMN22" s="1"/>
      <c r="TMO22" s="1"/>
      <c r="TMP22" s="1"/>
      <c r="TMQ22" s="1"/>
      <c r="TMR22" s="1"/>
      <c r="TMS22" s="1"/>
      <c r="TMT22" s="1"/>
      <c r="TMU22" s="1"/>
      <c r="TMV22" s="1"/>
      <c r="TMW22" s="1"/>
      <c r="TMX22" s="1"/>
      <c r="TMY22" s="1"/>
      <c r="TMZ22" s="1"/>
      <c r="TNA22" s="1"/>
      <c r="TNB22" s="1"/>
      <c r="TNC22" s="1"/>
      <c r="TND22" s="1"/>
      <c r="TNE22" s="1"/>
      <c r="TNF22" s="1"/>
      <c r="TNG22" s="1"/>
      <c r="TNH22" s="1"/>
      <c r="TNI22" s="1"/>
      <c r="TNJ22" s="1"/>
      <c r="TNK22" s="1"/>
      <c r="TNL22" s="1"/>
      <c r="TNM22" s="1"/>
      <c r="TNN22" s="1"/>
      <c r="TNO22" s="1"/>
      <c r="TNP22" s="1"/>
      <c r="TNQ22" s="1"/>
      <c r="TNR22" s="1"/>
      <c r="TNS22" s="1"/>
      <c r="TNT22" s="1"/>
      <c r="TNU22" s="1"/>
      <c r="TNV22" s="1"/>
      <c r="TNW22" s="1"/>
      <c r="TNX22" s="1"/>
      <c r="TNY22" s="1"/>
      <c r="TNZ22" s="1"/>
      <c r="TOA22" s="1"/>
      <c r="TOB22" s="1"/>
      <c r="TOC22" s="1"/>
      <c r="TOD22" s="1"/>
      <c r="TOE22" s="1"/>
      <c r="TOF22" s="1"/>
      <c r="TOG22" s="1"/>
      <c r="TOH22" s="1"/>
      <c r="TOI22" s="1"/>
      <c r="TOJ22" s="1"/>
      <c r="TOK22" s="1"/>
      <c r="TOL22" s="1"/>
      <c r="TOM22" s="1"/>
      <c r="TON22" s="1"/>
      <c r="TOO22" s="1"/>
      <c r="TOP22" s="1"/>
      <c r="TOQ22" s="1"/>
      <c r="TOR22" s="1"/>
      <c r="TOS22" s="1"/>
      <c r="TOT22" s="1"/>
      <c r="TOU22" s="1"/>
      <c r="TOV22" s="1"/>
      <c r="TOW22" s="1"/>
      <c r="TOX22" s="1"/>
      <c r="TOY22" s="1"/>
      <c r="TOZ22" s="1"/>
      <c r="TPA22" s="1"/>
      <c r="TPB22" s="1"/>
      <c r="TPC22" s="1"/>
      <c r="TPD22" s="1"/>
      <c r="TPE22" s="1"/>
      <c r="TPF22" s="1"/>
      <c r="TPG22" s="1"/>
      <c r="TPH22" s="1"/>
      <c r="TPI22" s="1"/>
      <c r="TPJ22" s="1"/>
      <c r="TPK22" s="1"/>
      <c r="TPL22" s="1"/>
      <c r="TPM22" s="1"/>
      <c r="TPN22" s="1"/>
      <c r="TPO22" s="1"/>
      <c r="TPP22" s="1"/>
      <c r="TPQ22" s="1"/>
      <c r="TPR22" s="1"/>
      <c r="TPS22" s="1"/>
      <c r="TPT22" s="1"/>
      <c r="TPU22" s="1"/>
      <c r="TPV22" s="1"/>
      <c r="TPW22" s="1"/>
      <c r="TPX22" s="1"/>
      <c r="TPY22" s="1"/>
      <c r="TPZ22" s="1"/>
      <c r="TQA22" s="1"/>
      <c r="TQB22" s="1"/>
      <c r="TQC22" s="1"/>
      <c r="TQD22" s="1"/>
      <c r="TQE22" s="1"/>
      <c r="TQF22" s="1"/>
      <c r="TQG22" s="1"/>
      <c r="TQH22" s="1"/>
      <c r="TQI22" s="1"/>
      <c r="TQJ22" s="1"/>
      <c r="TQK22" s="1"/>
      <c r="TQL22" s="1"/>
      <c r="TQM22" s="1"/>
      <c r="TQN22" s="1"/>
      <c r="TQO22" s="1"/>
      <c r="TQP22" s="1"/>
      <c r="TQQ22" s="1"/>
      <c r="TQR22" s="1"/>
      <c r="TQS22" s="1"/>
      <c r="TQT22" s="1"/>
      <c r="TQU22" s="1"/>
      <c r="TQV22" s="1"/>
      <c r="TQW22" s="1"/>
      <c r="TQX22" s="1"/>
      <c r="TQY22" s="1"/>
      <c r="TQZ22" s="1"/>
      <c r="TRA22" s="1"/>
      <c r="TRB22" s="1"/>
      <c r="TRC22" s="1"/>
      <c r="TRD22" s="1"/>
      <c r="TRE22" s="1"/>
      <c r="TRF22" s="1"/>
      <c r="TRG22" s="1"/>
      <c r="TRH22" s="1"/>
      <c r="TRI22" s="1"/>
      <c r="TRJ22" s="1"/>
      <c r="TRK22" s="1"/>
      <c r="TRL22" s="1"/>
      <c r="TRM22" s="1"/>
      <c r="TRN22" s="1"/>
      <c r="TRO22" s="1"/>
      <c r="TRP22" s="1"/>
      <c r="TRQ22" s="1"/>
      <c r="TRR22" s="1"/>
      <c r="TRS22" s="1"/>
      <c r="TRT22" s="1"/>
      <c r="TRU22" s="1"/>
      <c r="TRV22" s="1"/>
      <c r="TRW22" s="1"/>
      <c r="TRX22" s="1"/>
      <c r="TRY22" s="1"/>
      <c r="TRZ22" s="1"/>
      <c r="TSA22" s="1"/>
      <c r="TSB22" s="1"/>
      <c r="TSC22" s="1"/>
      <c r="TSD22" s="1"/>
      <c r="TSE22" s="1"/>
      <c r="TSF22" s="1"/>
      <c r="TSG22" s="1"/>
      <c r="TSH22" s="1"/>
      <c r="TSI22" s="1"/>
      <c r="TSJ22" s="1"/>
      <c r="TSK22" s="1"/>
      <c r="TSL22" s="1"/>
      <c r="TSM22" s="1"/>
      <c r="TSN22" s="1"/>
      <c r="TSO22" s="1"/>
      <c r="TSP22" s="1"/>
      <c r="TSQ22" s="1"/>
      <c r="TSR22" s="1"/>
      <c r="TSS22" s="1"/>
      <c r="TST22" s="1"/>
      <c r="TSU22" s="1"/>
      <c r="TSV22" s="1"/>
      <c r="TSW22" s="1"/>
      <c r="TSX22" s="1"/>
      <c r="TSY22" s="1"/>
      <c r="TSZ22" s="1"/>
      <c r="TTA22" s="1"/>
      <c r="TTB22" s="1"/>
      <c r="TTC22" s="1"/>
      <c r="TTD22" s="1"/>
      <c r="TTE22" s="1"/>
      <c r="TTF22" s="1"/>
      <c r="TTG22" s="1"/>
      <c r="TTH22" s="1"/>
      <c r="TTI22" s="1"/>
      <c r="TTJ22" s="1"/>
      <c r="TTK22" s="1"/>
      <c r="TTL22" s="1"/>
      <c r="TTM22" s="1"/>
      <c r="TTN22" s="1"/>
      <c r="TTO22" s="1"/>
      <c r="TTP22" s="1"/>
      <c r="TTQ22" s="1"/>
      <c r="TTR22" s="1"/>
      <c r="TTS22" s="1"/>
      <c r="TTT22" s="1"/>
      <c r="TTU22" s="1"/>
      <c r="TTV22" s="1"/>
      <c r="TTW22" s="1"/>
      <c r="TTX22" s="1"/>
      <c r="TTY22" s="1"/>
      <c r="TTZ22" s="1"/>
      <c r="TUA22" s="1"/>
      <c r="TUB22" s="1"/>
      <c r="TUC22" s="1"/>
      <c r="TUD22" s="1"/>
      <c r="TUE22" s="1"/>
      <c r="TUF22" s="1"/>
      <c r="TUG22" s="1"/>
      <c r="TUH22" s="1"/>
      <c r="TUI22" s="1"/>
      <c r="TUJ22" s="1"/>
      <c r="TUK22" s="1"/>
      <c r="TUL22" s="1"/>
      <c r="TUM22" s="1"/>
      <c r="TUN22" s="1"/>
      <c r="TUO22" s="1"/>
      <c r="TUP22" s="1"/>
      <c r="TUQ22" s="1"/>
      <c r="TUR22" s="1"/>
      <c r="TUS22" s="1"/>
      <c r="TUT22" s="1"/>
      <c r="TUU22" s="1"/>
      <c r="TUV22" s="1"/>
      <c r="TUW22" s="1"/>
      <c r="TUX22" s="1"/>
      <c r="TUY22" s="1"/>
      <c r="TUZ22" s="1"/>
      <c r="TVA22" s="1"/>
      <c r="TVB22" s="1"/>
      <c r="TVC22" s="1"/>
      <c r="TVD22" s="1"/>
      <c r="TVE22" s="1"/>
      <c r="TVF22" s="1"/>
      <c r="TVG22" s="1"/>
      <c r="TVH22" s="1"/>
      <c r="TVI22" s="1"/>
      <c r="TVJ22" s="1"/>
      <c r="TVK22" s="1"/>
      <c r="TVL22" s="1"/>
      <c r="TVM22" s="1"/>
      <c r="TVN22" s="1"/>
      <c r="TVO22" s="1"/>
      <c r="TVP22" s="1"/>
      <c r="TVQ22" s="1"/>
      <c r="TVR22" s="1"/>
      <c r="TVS22" s="1"/>
      <c r="TVT22" s="1"/>
      <c r="TVU22" s="1"/>
      <c r="TVV22" s="1"/>
      <c r="TVW22" s="1"/>
      <c r="TVX22" s="1"/>
      <c r="TVY22" s="1"/>
      <c r="TVZ22" s="1"/>
      <c r="TWA22" s="1"/>
      <c r="TWB22" s="1"/>
      <c r="TWC22" s="1"/>
      <c r="TWD22" s="1"/>
      <c r="TWE22" s="1"/>
      <c r="TWF22" s="1"/>
      <c r="TWG22" s="1"/>
      <c r="TWH22" s="1"/>
      <c r="TWI22" s="1"/>
      <c r="TWJ22" s="1"/>
      <c r="TWK22" s="1"/>
      <c r="TWL22" s="1"/>
      <c r="TWM22" s="1"/>
      <c r="TWN22" s="1"/>
      <c r="TWO22" s="1"/>
      <c r="TWP22" s="1"/>
      <c r="TWQ22" s="1"/>
      <c r="TWR22" s="1"/>
      <c r="TWS22" s="1"/>
      <c r="TWT22" s="1"/>
      <c r="TWU22" s="1"/>
      <c r="TWV22" s="1"/>
      <c r="TWW22" s="1"/>
      <c r="TWX22" s="1"/>
      <c r="TWY22" s="1"/>
      <c r="TWZ22" s="1"/>
      <c r="TXA22" s="1"/>
      <c r="TXB22" s="1"/>
      <c r="TXC22" s="1"/>
      <c r="TXD22" s="1"/>
      <c r="TXE22" s="1"/>
      <c r="TXF22" s="1"/>
      <c r="TXG22" s="1"/>
      <c r="TXH22" s="1"/>
      <c r="TXI22" s="1"/>
      <c r="TXJ22" s="1"/>
      <c r="TXK22" s="1"/>
      <c r="TXL22" s="1"/>
      <c r="TXM22" s="1"/>
      <c r="TXN22" s="1"/>
      <c r="TXO22" s="1"/>
      <c r="TXP22" s="1"/>
      <c r="TXQ22" s="1"/>
      <c r="TXR22" s="1"/>
      <c r="TXS22" s="1"/>
      <c r="TXT22" s="1"/>
      <c r="TXU22" s="1"/>
      <c r="TXV22" s="1"/>
      <c r="TXW22" s="1"/>
      <c r="TXX22" s="1"/>
      <c r="TXY22" s="1"/>
      <c r="TXZ22" s="1"/>
      <c r="TYA22" s="1"/>
      <c r="TYB22" s="1"/>
      <c r="TYC22" s="1"/>
      <c r="TYD22" s="1"/>
      <c r="TYE22" s="1"/>
      <c r="TYF22" s="1"/>
      <c r="TYG22" s="1"/>
      <c r="TYH22" s="1"/>
      <c r="TYI22" s="1"/>
      <c r="TYJ22" s="1"/>
      <c r="TYK22" s="1"/>
      <c r="TYL22" s="1"/>
      <c r="TYM22" s="1"/>
      <c r="TYN22" s="1"/>
      <c r="TYO22" s="1"/>
      <c r="TYP22" s="1"/>
      <c r="TYQ22" s="1"/>
      <c r="TYR22" s="1"/>
      <c r="TYS22" s="1"/>
      <c r="TYT22" s="1"/>
      <c r="TYU22" s="1"/>
      <c r="TYV22" s="1"/>
      <c r="TYW22" s="1"/>
      <c r="TYX22" s="1"/>
      <c r="TYY22" s="1"/>
      <c r="TYZ22" s="1"/>
      <c r="TZA22" s="1"/>
      <c r="TZB22" s="1"/>
      <c r="TZC22" s="1"/>
      <c r="TZD22" s="1"/>
      <c r="TZE22" s="1"/>
      <c r="TZF22" s="1"/>
      <c r="TZG22" s="1"/>
      <c r="TZH22" s="1"/>
      <c r="TZI22" s="1"/>
      <c r="TZJ22" s="1"/>
      <c r="TZK22" s="1"/>
      <c r="TZL22" s="1"/>
      <c r="TZM22" s="1"/>
      <c r="TZN22" s="1"/>
      <c r="TZO22" s="1"/>
      <c r="TZP22" s="1"/>
      <c r="TZQ22" s="1"/>
      <c r="TZR22" s="1"/>
      <c r="TZS22" s="1"/>
      <c r="TZT22" s="1"/>
      <c r="TZU22" s="1"/>
      <c r="TZV22" s="1"/>
      <c r="TZW22" s="1"/>
      <c r="TZX22" s="1"/>
      <c r="TZY22" s="1"/>
      <c r="TZZ22" s="1"/>
      <c r="UAA22" s="1"/>
      <c r="UAB22" s="1"/>
      <c r="UAC22" s="1"/>
      <c r="UAD22" s="1"/>
      <c r="UAE22" s="1"/>
      <c r="UAF22" s="1"/>
      <c r="UAG22" s="1"/>
      <c r="UAH22" s="1"/>
      <c r="UAI22" s="1"/>
      <c r="UAJ22" s="1"/>
      <c r="UAK22" s="1"/>
      <c r="UAL22" s="1"/>
      <c r="UAM22" s="1"/>
      <c r="UAN22" s="1"/>
      <c r="UAO22" s="1"/>
      <c r="UAP22" s="1"/>
      <c r="UAQ22" s="1"/>
      <c r="UAR22" s="1"/>
      <c r="UAS22" s="1"/>
      <c r="UAT22" s="1"/>
      <c r="UAU22" s="1"/>
      <c r="UAV22" s="1"/>
      <c r="UAW22" s="1"/>
      <c r="UAX22" s="1"/>
      <c r="UAY22" s="1"/>
      <c r="UAZ22" s="1"/>
      <c r="UBA22" s="1"/>
      <c r="UBB22" s="1"/>
      <c r="UBC22" s="1"/>
      <c r="UBD22" s="1"/>
      <c r="UBE22" s="1"/>
      <c r="UBF22" s="1"/>
      <c r="UBG22" s="1"/>
      <c r="UBH22" s="1"/>
      <c r="UBI22" s="1"/>
      <c r="UBJ22" s="1"/>
      <c r="UBK22" s="1"/>
      <c r="UBL22" s="1"/>
      <c r="UBM22" s="1"/>
      <c r="UBN22" s="1"/>
      <c r="UBO22" s="1"/>
      <c r="UBP22" s="1"/>
      <c r="UBQ22" s="1"/>
      <c r="UBR22" s="1"/>
      <c r="UBS22" s="1"/>
      <c r="UBT22" s="1"/>
      <c r="UBU22" s="1"/>
      <c r="UBV22" s="1"/>
      <c r="UBW22" s="1"/>
      <c r="UBX22" s="1"/>
      <c r="UBY22" s="1"/>
      <c r="UBZ22" s="1"/>
      <c r="UCA22" s="1"/>
      <c r="UCB22" s="1"/>
      <c r="UCC22" s="1"/>
      <c r="UCD22" s="1"/>
      <c r="UCE22" s="1"/>
      <c r="UCF22" s="1"/>
      <c r="UCG22" s="1"/>
      <c r="UCH22" s="1"/>
      <c r="UCI22" s="1"/>
      <c r="UCJ22" s="1"/>
      <c r="UCK22" s="1"/>
      <c r="UCL22" s="1"/>
      <c r="UCM22" s="1"/>
      <c r="UCN22" s="1"/>
      <c r="UCO22" s="1"/>
      <c r="UCP22" s="1"/>
      <c r="UCQ22" s="1"/>
      <c r="UCR22" s="1"/>
      <c r="UCS22" s="1"/>
      <c r="UCT22" s="1"/>
      <c r="UCU22" s="1"/>
      <c r="UCV22" s="1"/>
      <c r="UCW22" s="1"/>
      <c r="UCX22" s="1"/>
      <c r="UCY22" s="1"/>
      <c r="UCZ22" s="1"/>
      <c r="UDA22" s="1"/>
      <c r="UDB22" s="1"/>
      <c r="UDC22" s="1"/>
      <c r="UDD22" s="1"/>
      <c r="UDE22" s="1"/>
      <c r="UDF22" s="1"/>
      <c r="UDG22" s="1"/>
      <c r="UDH22" s="1"/>
      <c r="UDI22" s="1"/>
      <c r="UDJ22" s="1"/>
      <c r="UDK22" s="1"/>
      <c r="UDL22" s="1"/>
      <c r="UDM22" s="1"/>
      <c r="UDN22" s="1"/>
      <c r="UDO22" s="1"/>
      <c r="UDP22" s="1"/>
      <c r="UDQ22" s="1"/>
      <c r="UDR22" s="1"/>
      <c r="UDS22" s="1"/>
      <c r="UDT22" s="1"/>
      <c r="UDU22" s="1"/>
      <c r="UDV22" s="1"/>
      <c r="UDW22" s="1"/>
      <c r="UDX22" s="1"/>
      <c r="UDY22" s="1"/>
      <c r="UDZ22" s="1"/>
      <c r="UEA22" s="1"/>
      <c r="UEB22" s="1"/>
      <c r="UEC22" s="1"/>
      <c r="UED22" s="1"/>
      <c r="UEE22" s="1"/>
      <c r="UEF22" s="1"/>
      <c r="UEG22" s="1"/>
      <c r="UEH22" s="1"/>
      <c r="UEI22" s="1"/>
      <c r="UEJ22" s="1"/>
      <c r="UEK22" s="1"/>
      <c r="UEL22" s="1"/>
      <c r="UEM22" s="1"/>
      <c r="UEN22" s="1"/>
      <c r="UEO22" s="1"/>
      <c r="UEP22" s="1"/>
      <c r="UEQ22" s="1"/>
      <c r="UER22" s="1"/>
      <c r="UES22" s="1"/>
      <c r="UET22" s="1"/>
      <c r="UEU22" s="1"/>
      <c r="UEV22" s="1"/>
      <c r="UEW22" s="1"/>
      <c r="UEX22" s="1"/>
      <c r="UEY22" s="1"/>
      <c r="UEZ22" s="1"/>
      <c r="UFA22" s="1"/>
      <c r="UFB22" s="1"/>
      <c r="UFC22" s="1"/>
      <c r="UFD22" s="1"/>
      <c r="UFE22" s="1"/>
      <c r="UFF22" s="1"/>
      <c r="UFG22" s="1"/>
      <c r="UFH22" s="1"/>
      <c r="UFI22" s="1"/>
      <c r="UFJ22" s="1"/>
      <c r="UFK22" s="1"/>
      <c r="UFL22" s="1"/>
      <c r="UFM22" s="1"/>
      <c r="UFN22" s="1"/>
      <c r="UFO22" s="1"/>
      <c r="UFP22" s="1"/>
      <c r="UFQ22" s="1"/>
      <c r="UFR22" s="1"/>
      <c r="UFS22" s="1"/>
      <c r="UFT22" s="1"/>
      <c r="UFU22" s="1"/>
      <c r="UFV22" s="1"/>
      <c r="UFW22" s="1"/>
      <c r="UFX22" s="1"/>
      <c r="UFY22" s="1"/>
      <c r="UFZ22" s="1"/>
      <c r="UGA22" s="1"/>
      <c r="UGB22" s="1"/>
      <c r="UGC22" s="1"/>
      <c r="UGD22" s="1"/>
      <c r="UGE22" s="1"/>
      <c r="UGF22" s="1"/>
      <c r="UGG22" s="1"/>
      <c r="UGH22" s="1"/>
      <c r="UGI22" s="1"/>
      <c r="UGJ22" s="1"/>
      <c r="UGK22" s="1"/>
      <c r="UGL22" s="1"/>
      <c r="UGM22" s="1"/>
      <c r="UGN22" s="1"/>
      <c r="UGO22" s="1"/>
      <c r="UGP22" s="1"/>
      <c r="UGQ22" s="1"/>
      <c r="UGR22" s="1"/>
      <c r="UGS22" s="1"/>
      <c r="UGT22" s="1"/>
      <c r="UGU22" s="1"/>
      <c r="UGV22" s="1"/>
      <c r="UGW22" s="1"/>
      <c r="UGX22" s="1"/>
      <c r="UGY22" s="1"/>
      <c r="UGZ22" s="1"/>
      <c r="UHA22" s="1"/>
      <c r="UHB22" s="1"/>
      <c r="UHC22" s="1"/>
      <c r="UHD22" s="1"/>
      <c r="UHE22" s="1"/>
      <c r="UHF22" s="1"/>
      <c r="UHG22" s="1"/>
      <c r="UHH22" s="1"/>
      <c r="UHI22" s="1"/>
      <c r="UHJ22" s="1"/>
      <c r="UHK22" s="1"/>
      <c r="UHL22" s="1"/>
      <c r="UHM22" s="1"/>
      <c r="UHN22" s="1"/>
      <c r="UHO22" s="1"/>
      <c r="UHP22" s="1"/>
      <c r="UHQ22" s="1"/>
      <c r="UHR22" s="1"/>
      <c r="UHS22" s="1"/>
      <c r="UHT22" s="1"/>
      <c r="UHU22" s="1"/>
      <c r="UHV22" s="1"/>
      <c r="UHW22" s="1"/>
      <c r="UHX22" s="1"/>
      <c r="UHY22" s="1"/>
      <c r="UHZ22" s="1"/>
      <c r="UIA22" s="1"/>
      <c r="UIB22" s="1"/>
      <c r="UIC22" s="1"/>
      <c r="UID22" s="1"/>
      <c r="UIE22" s="1"/>
      <c r="UIF22" s="1"/>
      <c r="UIG22" s="1"/>
      <c r="UIH22" s="1"/>
      <c r="UII22" s="1"/>
      <c r="UIJ22" s="1"/>
      <c r="UIK22" s="1"/>
      <c r="UIL22" s="1"/>
      <c r="UIM22" s="1"/>
      <c r="UIN22" s="1"/>
      <c r="UIO22" s="1"/>
      <c r="UIP22" s="1"/>
      <c r="UIQ22" s="1"/>
      <c r="UIR22" s="1"/>
      <c r="UIS22" s="1"/>
      <c r="UIT22" s="1"/>
      <c r="UIU22" s="1"/>
      <c r="UIV22" s="1"/>
      <c r="UIW22" s="1"/>
      <c r="UIX22" s="1"/>
      <c r="UIY22" s="1"/>
      <c r="UIZ22" s="1"/>
      <c r="UJA22" s="1"/>
      <c r="UJB22" s="1"/>
      <c r="UJC22" s="1"/>
      <c r="UJD22" s="1"/>
      <c r="UJE22" s="1"/>
      <c r="UJF22" s="1"/>
      <c r="UJG22" s="1"/>
      <c r="UJH22" s="1"/>
      <c r="UJI22" s="1"/>
      <c r="UJJ22" s="1"/>
      <c r="UJK22" s="1"/>
      <c r="UJL22" s="1"/>
      <c r="UJM22" s="1"/>
      <c r="UJN22" s="1"/>
      <c r="UJO22" s="1"/>
      <c r="UJP22" s="1"/>
      <c r="UJQ22" s="1"/>
      <c r="UJR22" s="1"/>
      <c r="UJS22" s="1"/>
      <c r="UJT22" s="1"/>
      <c r="UJU22" s="1"/>
      <c r="UJV22" s="1"/>
      <c r="UJW22" s="1"/>
      <c r="UJX22" s="1"/>
      <c r="UJY22" s="1"/>
      <c r="UJZ22" s="1"/>
      <c r="UKA22" s="1"/>
      <c r="UKB22" s="1"/>
      <c r="UKC22" s="1"/>
      <c r="UKD22" s="1"/>
      <c r="UKE22" s="1"/>
      <c r="UKF22" s="1"/>
      <c r="UKG22" s="1"/>
      <c r="UKH22" s="1"/>
      <c r="UKI22" s="1"/>
      <c r="UKJ22" s="1"/>
      <c r="UKK22" s="1"/>
      <c r="UKL22" s="1"/>
      <c r="UKM22" s="1"/>
      <c r="UKN22" s="1"/>
      <c r="UKO22" s="1"/>
      <c r="UKP22" s="1"/>
      <c r="UKQ22" s="1"/>
      <c r="UKR22" s="1"/>
      <c r="UKS22" s="1"/>
      <c r="UKT22" s="1"/>
      <c r="UKU22" s="1"/>
      <c r="UKV22" s="1"/>
      <c r="UKW22" s="1"/>
      <c r="UKX22" s="1"/>
      <c r="UKY22" s="1"/>
      <c r="UKZ22" s="1"/>
      <c r="ULA22" s="1"/>
      <c r="ULB22" s="1"/>
      <c r="ULC22" s="1"/>
      <c r="ULD22" s="1"/>
      <c r="ULE22" s="1"/>
      <c r="ULF22" s="1"/>
      <c r="ULG22" s="1"/>
      <c r="ULH22" s="1"/>
      <c r="ULI22" s="1"/>
      <c r="ULJ22" s="1"/>
      <c r="ULK22" s="1"/>
      <c r="ULL22" s="1"/>
      <c r="ULM22" s="1"/>
      <c r="ULN22" s="1"/>
      <c r="ULO22" s="1"/>
      <c r="ULP22" s="1"/>
      <c r="ULQ22" s="1"/>
      <c r="ULR22" s="1"/>
      <c r="ULS22" s="1"/>
      <c r="ULT22" s="1"/>
      <c r="ULU22" s="1"/>
      <c r="ULV22" s="1"/>
      <c r="ULW22" s="1"/>
      <c r="ULX22" s="1"/>
      <c r="ULY22" s="1"/>
      <c r="ULZ22" s="1"/>
      <c r="UMA22" s="1"/>
      <c r="UMB22" s="1"/>
      <c r="UMC22" s="1"/>
      <c r="UMD22" s="1"/>
      <c r="UME22" s="1"/>
      <c r="UMF22" s="1"/>
      <c r="UMG22" s="1"/>
      <c r="UMH22" s="1"/>
      <c r="UMI22" s="1"/>
      <c r="UMJ22" s="1"/>
      <c r="UMK22" s="1"/>
      <c r="UML22" s="1"/>
      <c r="UMM22" s="1"/>
      <c r="UMN22" s="1"/>
      <c r="UMO22" s="1"/>
      <c r="UMP22" s="1"/>
      <c r="UMQ22" s="1"/>
      <c r="UMR22" s="1"/>
      <c r="UMS22" s="1"/>
      <c r="UMT22" s="1"/>
      <c r="UMU22" s="1"/>
      <c r="UMV22" s="1"/>
      <c r="UMW22" s="1"/>
      <c r="UMX22" s="1"/>
      <c r="UMY22" s="1"/>
      <c r="UMZ22" s="1"/>
      <c r="UNA22" s="1"/>
      <c r="UNB22" s="1"/>
      <c r="UNC22" s="1"/>
      <c r="UND22" s="1"/>
      <c r="UNE22" s="1"/>
      <c r="UNF22" s="1"/>
      <c r="UNG22" s="1"/>
      <c r="UNH22" s="1"/>
      <c r="UNI22" s="1"/>
      <c r="UNJ22" s="1"/>
      <c r="UNK22" s="1"/>
      <c r="UNL22" s="1"/>
      <c r="UNM22" s="1"/>
      <c r="UNN22" s="1"/>
      <c r="UNO22" s="1"/>
      <c r="UNP22" s="1"/>
      <c r="UNQ22" s="1"/>
      <c r="UNR22" s="1"/>
      <c r="UNS22" s="1"/>
      <c r="UNT22" s="1"/>
      <c r="UNU22" s="1"/>
      <c r="UNV22" s="1"/>
      <c r="UNW22" s="1"/>
      <c r="UNX22" s="1"/>
      <c r="UNY22" s="1"/>
      <c r="UNZ22" s="1"/>
      <c r="UOA22" s="1"/>
      <c r="UOB22" s="1"/>
      <c r="UOC22" s="1"/>
      <c r="UOD22" s="1"/>
      <c r="UOE22" s="1"/>
      <c r="UOF22" s="1"/>
      <c r="UOG22" s="1"/>
      <c r="UOH22" s="1"/>
      <c r="UOI22" s="1"/>
      <c r="UOJ22" s="1"/>
      <c r="UOK22" s="1"/>
      <c r="UOL22" s="1"/>
      <c r="UOM22" s="1"/>
      <c r="UON22" s="1"/>
      <c r="UOO22" s="1"/>
      <c r="UOP22" s="1"/>
      <c r="UOQ22" s="1"/>
      <c r="UOR22" s="1"/>
      <c r="UOS22" s="1"/>
      <c r="UOT22" s="1"/>
      <c r="UOU22" s="1"/>
      <c r="UOV22" s="1"/>
      <c r="UOW22" s="1"/>
      <c r="UOX22" s="1"/>
      <c r="UOY22" s="1"/>
      <c r="UOZ22" s="1"/>
      <c r="UPA22" s="1"/>
      <c r="UPB22" s="1"/>
      <c r="UPC22" s="1"/>
      <c r="UPD22" s="1"/>
      <c r="UPE22" s="1"/>
      <c r="UPF22" s="1"/>
      <c r="UPG22" s="1"/>
      <c r="UPH22" s="1"/>
      <c r="UPI22" s="1"/>
      <c r="UPJ22" s="1"/>
      <c r="UPK22" s="1"/>
      <c r="UPL22" s="1"/>
      <c r="UPM22" s="1"/>
      <c r="UPN22" s="1"/>
      <c r="UPO22" s="1"/>
      <c r="UPP22" s="1"/>
      <c r="UPQ22" s="1"/>
      <c r="UPR22" s="1"/>
      <c r="UPS22" s="1"/>
      <c r="UPT22" s="1"/>
      <c r="UPU22" s="1"/>
      <c r="UPV22" s="1"/>
      <c r="UPW22" s="1"/>
      <c r="UPX22" s="1"/>
      <c r="UPY22" s="1"/>
      <c r="UPZ22" s="1"/>
      <c r="UQA22" s="1"/>
      <c r="UQB22" s="1"/>
      <c r="UQC22" s="1"/>
      <c r="UQD22" s="1"/>
      <c r="UQE22" s="1"/>
      <c r="UQF22" s="1"/>
      <c r="UQG22" s="1"/>
      <c r="UQH22" s="1"/>
      <c r="UQI22" s="1"/>
      <c r="UQJ22" s="1"/>
      <c r="UQK22" s="1"/>
      <c r="UQL22" s="1"/>
      <c r="UQM22" s="1"/>
      <c r="UQN22" s="1"/>
      <c r="UQO22" s="1"/>
      <c r="UQP22" s="1"/>
      <c r="UQQ22" s="1"/>
      <c r="UQR22" s="1"/>
      <c r="UQS22" s="1"/>
      <c r="UQT22" s="1"/>
      <c r="UQU22" s="1"/>
      <c r="UQV22" s="1"/>
      <c r="UQW22" s="1"/>
      <c r="UQX22" s="1"/>
      <c r="UQY22" s="1"/>
      <c r="UQZ22" s="1"/>
      <c r="URA22" s="1"/>
      <c r="URB22" s="1"/>
      <c r="URC22" s="1"/>
      <c r="URD22" s="1"/>
      <c r="URE22" s="1"/>
      <c r="URF22" s="1"/>
      <c r="URG22" s="1"/>
      <c r="URH22" s="1"/>
      <c r="URI22" s="1"/>
      <c r="URJ22" s="1"/>
      <c r="URK22" s="1"/>
      <c r="URL22" s="1"/>
      <c r="URM22" s="1"/>
      <c r="URN22" s="1"/>
      <c r="URO22" s="1"/>
      <c r="URP22" s="1"/>
      <c r="URQ22" s="1"/>
      <c r="URR22" s="1"/>
      <c r="URS22" s="1"/>
      <c r="URT22" s="1"/>
      <c r="URU22" s="1"/>
      <c r="URV22" s="1"/>
      <c r="URW22" s="1"/>
      <c r="URX22" s="1"/>
      <c r="URY22" s="1"/>
      <c r="URZ22" s="1"/>
      <c r="USA22" s="1"/>
      <c r="USB22" s="1"/>
      <c r="USC22" s="1"/>
      <c r="USD22" s="1"/>
      <c r="USE22" s="1"/>
      <c r="USF22" s="1"/>
      <c r="USG22" s="1"/>
      <c r="USH22" s="1"/>
      <c r="USI22" s="1"/>
      <c r="USJ22" s="1"/>
      <c r="USK22" s="1"/>
      <c r="USL22" s="1"/>
      <c r="USM22" s="1"/>
      <c r="USN22" s="1"/>
      <c r="USO22" s="1"/>
      <c r="USP22" s="1"/>
      <c r="USQ22" s="1"/>
      <c r="USR22" s="1"/>
      <c r="USS22" s="1"/>
      <c r="UST22" s="1"/>
      <c r="USU22" s="1"/>
      <c r="USV22" s="1"/>
      <c r="USW22" s="1"/>
      <c r="USX22" s="1"/>
      <c r="USY22" s="1"/>
      <c r="USZ22" s="1"/>
      <c r="UTA22" s="1"/>
      <c r="UTB22" s="1"/>
      <c r="UTC22" s="1"/>
      <c r="UTD22" s="1"/>
      <c r="UTE22" s="1"/>
      <c r="UTF22" s="1"/>
      <c r="UTG22" s="1"/>
      <c r="UTH22" s="1"/>
      <c r="UTI22" s="1"/>
      <c r="UTJ22" s="1"/>
      <c r="UTK22" s="1"/>
      <c r="UTL22" s="1"/>
      <c r="UTM22" s="1"/>
      <c r="UTN22" s="1"/>
      <c r="UTO22" s="1"/>
      <c r="UTP22" s="1"/>
      <c r="UTQ22" s="1"/>
      <c r="UTR22" s="1"/>
      <c r="UTS22" s="1"/>
      <c r="UTT22" s="1"/>
      <c r="UTU22" s="1"/>
      <c r="UTV22" s="1"/>
      <c r="UTW22" s="1"/>
      <c r="UTX22" s="1"/>
      <c r="UTY22" s="1"/>
      <c r="UTZ22" s="1"/>
      <c r="UUA22" s="1"/>
      <c r="UUB22" s="1"/>
      <c r="UUC22" s="1"/>
      <c r="UUD22" s="1"/>
      <c r="UUE22" s="1"/>
      <c r="UUF22" s="1"/>
      <c r="UUG22" s="1"/>
      <c r="UUH22" s="1"/>
      <c r="UUI22" s="1"/>
      <c r="UUJ22" s="1"/>
      <c r="UUK22" s="1"/>
      <c r="UUL22" s="1"/>
      <c r="UUM22" s="1"/>
      <c r="UUN22" s="1"/>
      <c r="UUO22" s="1"/>
      <c r="UUP22" s="1"/>
      <c r="UUQ22" s="1"/>
      <c r="UUR22" s="1"/>
      <c r="UUS22" s="1"/>
      <c r="UUT22" s="1"/>
      <c r="UUU22" s="1"/>
      <c r="UUV22" s="1"/>
      <c r="UUW22" s="1"/>
      <c r="UUX22" s="1"/>
      <c r="UUY22" s="1"/>
      <c r="UUZ22" s="1"/>
      <c r="UVA22" s="1"/>
      <c r="UVB22" s="1"/>
      <c r="UVC22" s="1"/>
      <c r="UVD22" s="1"/>
      <c r="UVE22" s="1"/>
      <c r="UVF22" s="1"/>
      <c r="UVG22" s="1"/>
      <c r="UVH22" s="1"/>
      <c r="UVI22" s="1"/>
      <c r="UVJ22" s="1"/>
      <c r="UVK22" s="1"/>
      <c r="UVL22" s="1"/>
      <c r="UVM22" s="1"/>
      <c r="UVN22" s="1"/>
      <c r="UVO22" s="1"/>
      <c r="UVP22" s="1"/>
      <c r="UVQ22" s="1"/>
      <c r="UVR22" s="1"/>
      <c r="UVS22" s="1"/>
      <c r="UVT22" s="1"/>
      <c r="UVU22" s="1"/>
      <c r="UVV22" s="1"/>
      <c r="UVW22" s="1"/>
      <c r="UVX22" s="1"/>
      <c r="UVY22" s="1"/>
      <c r="UVZ22" s="1"/>
      <c r="UWA22" s="1"/>
      <c r="UWB22" s="1"/>
      <c r="UWC22" s="1"/>
      <c r="UWD22" s="1"/>
      <c r="UWE22" s="1"/>
      <c r="UWF22" s="1"/>
      <c r="UWG22" s="1"/>
      <c r="UWH22" s="1"/>
      <c r="UWI22" s="1"/>
      <c r="UWJ22" s="1"/>
      <c r="UWK22" s="1"/>
      <c r="UWL22" s="1"/>
      <c r="UWM22" s="1"/>
      <c r="UWN22" s="1"/>
      <c r="UWO22" s="1"/>
      <c r="UWP22" s="1"/>
      <c r="UWQ22" s="1"/>
      <c r="UWR22" s="1"/>
      <c r="UWS22" s="1"/>
      <c r="UWT22" s="1"/>
      <c r="UWU22" s="1"/>
      <c r="UWV22" s="1"/>
      <c r="UWW22" s="1"/>
      <c r="UWX22" s="1"/>
      <c r="UWY22" s="1"/>
      <c r="UWZ22" s="1"/>
      <c r="UXA22" s="1"/>
      <c r="UXB22" s="1"/>
      <c r="UXC22" s="1"/>
      <c r="UXD22" s="1"/>
      <c r="UXE22" s="1"/>
      <c r="UXF22" s="1"/>
      <c r="UXG22" s="1"/>
      <c r="UXH22" s="1"/>
      <c r="UXI22" s="1"/>
      <c r="UXJ22" s="1"/>
      <c r="UXK22" s="1"/>
      <c r="UXL22" s="1"/>
      <c r="UXM22" s="1"/>
      <c r="UXN22" s="1"/>
      <c r="UXO22" s="1"/>
      <c r="UXP22" s="1"/>
      <c r="UXQ22" s="1"/>
      <c r="UXR22" s="1"/>
      <c r="UXS22" s="1"/>
      <c r="UXT22" s="1"/>
      <c r="UXU22" s="1"/>
      <c r="UXV22" s="1"/>
      <c r="UXW22" s="1"/>
      <c r="UXX22" s="1"/>
      <c r="UXY22" s="1"/>
      <c r="UXZ22" s="1"/>
      <c r="UYA22" s="1"/>
      <c r="UYB22" s="1"/>
      <c r="UYC22" s="1"/>
      <c r="UYD22" s="1"/>
      <c r="UYE22" s="1"/>
      <c r="UYF22" s="1"/>
      <c r="UYG22" s="1"/>
      <c r="UYH22" s="1"/>
      <c r="UYI22" s="1"/>
      <c r="UYJ22" s="1"/>
      <c r="UYK22" s="1"/>
      <c r="UYL22" s="1"/>
      <c r="UYM22" s="1"/>
      <c r="UYN22" s="1"/>
      <c r="UYO22" s="1"/>
      <c r="UYP22" s="1"/>
      <c r="UYQ22" s="1"/>
      <c r="UYR22" s="1"/>
      <c r="UYS22" s="1"/>
      <c r="UYT22" s="1"/>
      <c r="UYU22" s="1"/>
      <c r="UYV22" s="1"/>
      <c r="UYW22" s="1"/>
      <c r="UYX22" s="1"/>
      <c r="UYY22" s="1"/>
      <c r="UYZ22" s="1"/>
      <c r="UZA22" s="1"/>
      <c r="UZB22" s="1"/>
      <c r="UZC22" s="1"/>
      <c r="UZD22" s="1"/>
      <c r="UZE22" s="1"/>
      <c r="UZF22" s="1"/>
      <c r="UZG22" s="1"/>
      <c r="UZH22" s="1"/>
      <c r="UZI22" s="1"/>
      <c r="UZJ22" s="1"/>
      <c r="UZK22" s="1"/>
      <c r="UZL22" s="1"/>
      <c r="UZM22" s="1"/>
      <c r="UZN22" s="1"/>
      <c r="UZO22" s="1"/>
      <c r="UZP22" s="1"/>
      <c r="UZQ22" s="1"/>
      <c r="UZR22" s="1"/>
      <c r="UZS22" s="1"/>
      <c r="UZT22" s="1"/>
      <c r="UZU22" s="1"/>
      <c r="UZV22" s="1"/>
      <c r="UZW22" s="1"/>
      <c r="UZX22" s="1"/>
      <c r="UZY22" s="1"/>
      <c r="UZZ22" s="1"/>
      <c r="VAA22" s="1"/>
      <c r="VAB22" s="1"/>
      <c r="VAC22" s="1"/>
      <c r="VAD22" s="1"/>
      <c r="VAE22" s="1"/>
      <c r="VAF22" s="1"/>
      <c r="VAG22" s="1"/>
      <c r="VAH22" s="1"/>
      <c r="VAI22" s="1"/>
      <c r="VAJ22" s="1"/>
      <c r="VAK22" s="1"/>
      <c r="VAL22" s="1"/>
      <c r="VAM22" s="1"/>
      <c r="VAN22" s="1"/>
      <c r="VAO22" s="1"/>
      <c r="VAP22" s="1"/>
      <c r="VAQ22" s="1"/>
      <c r="VAR22" s="1"/>
      <c r="VAS22" s="1"/>
      <c r="VAT22" s="1"/>
      <c r="VAU22" s="1"/>
      <c r="VAV22" s="1"/>
      <c r="VAW22" s="1"/>
      <c r="VAX22" s="1"/>
      <c r="VAY22" s="1"/>
      <c r="VAZ22" s="1"/>
      <c r="VBA22" s="1"/>
      <c r="VBB22" s="1"/>
      <c r="VBC22" s="1"/>
      <c r="VBD22" s="1"/>
      <c r="VBE22" s="1"/>
      <c r="VBF22" s="1"/>
      <c r="VBG22" s="1"/>
      <c r="VBH22" s="1"/>
      <c r="VBI22" s="1"/>
      <c r="VBJ22" s="1"/>
      <c r="VBK22" s="1"/>
      <c r="VBL22" s="1"/>
      <c r="VBM22" s="1"/>
      <c r="VBN22" s="1"/>
      <c r="VBO22" s="1"/>
      <c r="VBP22" s="1"/>
      <c r="VBQ22" s="1"/>
      <c r="VBR22" s="1"/>
      <c r="VBS22" s="1"/>
      <c r="VBT22" s="1"/>
      <c r="VBU22" s="1"/>
      <c r="VBV22" s="1"/>
      <c r="VBW22" s="1"/>
      <c r="VBX22" s="1"/>
      <c r="VBY22" s="1"/>
      <c r="VBZ22" s="1"/>
      <c r="VCA22" s="1"/>
      <c r="VCB22" s="1"/>
      <c r="VCC22" s="1"/>
      <c r="VCD22" s="1"/>
      <c r="VCE22" s="1"/>
      <c r="VCF22" s="1"/>
      <c r="VCG22" s="1"/>
      <c r="VCH22" s="1"/>
      <c r="VCI22" s="1"/>
      <c r="VCJ22" s="1"/>
      <c r="VCK22" s="1"/>
      <c r="VCL22" s="1"/>
      <c r="VCM22" s="1"/>
      <c r="VCN22" s="1"/>
      <c r="VCO22" s="1"/>
      <c r="VCP22" s="1"/>
      <c r="VCQ22" s="1"/>
      <c r="VCR22" s="1"/>
      <c r="VCS22" s="1"/>
      <c r="VCT22" s="1"/>
      <c r="VCU22" s="1"/>
      <c r="VCV22" s="1"/>
      <c r="VCW22" s="1"/>
      <c r="VCX22" s="1"/>
      <c r="VCY22" s="1"/>
      <c r="VCZ22" s="1"/>
      <c r="VDA22" s="1"/>
      <c r="VDB22" s="1"/>
      <c r="VDC22" s="1"/>
      <c r="VDD22" s="1"/>
      <c r="VDE22" s="1"/>
      <c r="VDF22" s="1"/>
      <c r="VDG22" s="1"/>
      <c r="VDH22" s="1"/>
      <c r="VDI22" s="1"/>
      <c r="VDJ22" s="1"/>
      <c r="VDK22" s="1"/>
      <c r="VDL22" s="1"/>
      <c r="VDM22" s="1"/>
      <c r="VDN22" s="1"/>
      <c r="VDO22" s="1"/>
      <c r="VDP22" s="1"/>
      <c r="VDQ22" s="1"/>
      <c r="VDR22" s="1"/>
      <c r="VDS22" s="1"/>
      <c r="VDT22" s="1"/>
      <c r="VDU22" s="1"/>
      <c r="VDV22" s="1"/>
      <c r="VDW22" s="1"/>
      <c r="VDX22" s="1"/>
      <c r="VDY22" s="1"/>
      <c r="VDZ22" s="1"/>
      <c r="VEA22" s="1"/>
      <c r="VEB22" s="1"/>
      <c r="VEC22" s="1"/>
      <c r="VED22" s="1"/>
      <c r="VEE22" s="1"/>
      <c r="VEF22" s="1"/>
      <c r="VEG22" s="1"/>
      <c r="VEH22" s="1"/>
      <c r="VEI22" s="1"/>
      <c r="VEJ22" s="1"/>
      <c r="VEK22" s="1"/>
      <c r="VEL22" s="1"/>
      <c r="VEM22" s="1"/>
      <c r="VEN22" s="1"/>
      <c r="VEO22" s="1"/>
      <c r="VEP22" s="1"/>
      <c r="VEQ22" s="1"/>
      <c r="VER22" s="1"/>
      <c r="VES22" s="1"/>
      <c r="VET22" s="1"/>
      <c r="VEU22" s="1"/>
      <c r="VEV22" s="1"/>
      <c r="VEW22" s="1"/>
      <c r="VEX22" s="1"/>
      <c r="VEY22" s="1"/>
      <c r="VEZ22" s="1"/>
      <c r="VFA22" s="1"/>
      <c r="VFB22" s="1"/>
      <c r="VFC22" s="1"/>
      <c r="VFD22" s="1"/>
      <c r="VFE22" s="1"/>
      <c r="VFF22" s="1"/>
      <c r="VFG22" s="1"/>
      <c r="VFH22" s="1"/>
      <c r="VFI22" s="1"/>
      <c r="VFJ22" s="1"/>
      <c r="VFK22" s="1"/>
      <c r="VFL22" s="1"/>
      <c r="VFM22" s="1"/>
      <c r="VFN22" s="1"/>
      <c r="VFO22" s="1"/>
      <c r="VFP22" s="1"/>
      <c r="VFQ22" s="1"/>
      <c r="VFR22" s="1"/>
      <c r="VFS22" s="1"/>
      <c r="VFT22" s="1"/>
      <c r="VFU22" s="1"/>
      <c r="VFV22" s="1"/>
      <c r="VFW22" s="1"/>
      <c r="VFX22" s="1"/>
      <c r="VFY22" s="1"/>
      <c r="VFZ22" s="1"/>
      <c r="VGA22" s="1"/>
      <c r="VGB22" s="1"/>
      <c r="VGC22" s="1"/>
      <c r="VGD22" s="1"/>
      <c r="VGE22" s="1"/>
      <c r="VGF22" s="1"/>
      <c r="VGG22" s="1"/>
      <c r="VGH22" s="1"/>
      <c r="VGI22" s="1"/>
      <c r="VGJ22" s="1"/>
      <c r="VGK22" s="1"/>
      <c r="VGL22" s="1"/>
      <c r="VGM22" s="1"/>
      <c r="VGN22" s="1"/>
      <c r="VGO22" s="1"/>
      <c r="VGP22" s="1"/>
      <c r="VGQ22" s="1"/>
      <c r="VGR22" s="1"/>
      <c r="VGS22" s="1"/>
      <c r="VGT22" s="1"/>
      <c r="VGU22" s="1"/>
      <c r="VGV22" s="1"/>
      <c r="VGW22" s="1"/>
      <c r="VGX22" s="1"/>
      <c r="VGY22" s="1"/>
      <c r="VGZ22" s="1"/>
      <c r="VHA22" s="1"/>
      <c r="VHB22" s="1"/>
      <c r="VHC22" s="1"/>
      <c r="VHD22" s="1"/>
      <c r="VHE22" s="1"/>
      <c r="VHF22" s="1"/>
      <c r="VHG22" s="1"/>
      <c r="VHH22" s="1"/>
      <c r="VHI22" s="1"/>
      <c r="VHJ22" s="1"/>
      <c r="VHK22" s="1"/>
      <c r="VHL22" s="1"/>
      <c r="VHM22" s="1"/>
      <c r="VHN22" s="1"/>
      <c r="VHO22" s="1"/>
      <c r="VHP22" s="1"/>
      <c r="VHQ22" s="1"/>
      <c r="VHR22" s="1"/>
      <c r="VHS22" s="1"/>
      <c r="VHT22" s="1"/>
      <c r="VHU22" s="1"/>
      <c r="VHV22" s="1"/>
      <c r="VHW22" s="1"/>
      <c r="VHX22" s="1"/>
      <c r="VHY22" s="1"/>
      <c r="VHZ22" s="1"/>
      <c r="VIA22" s="1"/>
      <c r="VIB22" s="1"/>
      <c r="VIC22" s="1"/>
      <c r="VID22" s="1"/>
      <c r="VIE22" s="1"/>
      <c r="VIF22" s="1"/>
      <c r="VIG22" s="1"/>
      <c r="VIH22" s="1"/>
      <c r="VII22" s="1"/>
      <c r="VIJ22" s="1"/>
      <c r="VIK22" s="1"/>
      <c r="VIL22" s="1"/>
      <c r="VIM22" s="1"/>
      <c r="VIN22" s="1"/>
      <c r="VIO22" s="1"/>
      <c r="VIP22" s="1"/>
      <c r="VIQ22" s="1"/>
      <c r="VIR22" s="1"/>
      <c r="VIS22" s="1"/>
      <c r="VIT22" s="1"/>
      <c r="VIU22" s="1"/>
      <c r="VIV22" s="1"/>
      <c r="VIW22" s="1"/>
      <c r="VIX22" s="1"/>
      <c r="VIY22" s="1"/>
      <c r="VIZ22" s="1"/>
      <c r="VJA22" s="1"/>
      <c r="VJB22" s="1"/>
      <c r="VJC22" s="1"/>
      <c r="VJD22" s="1"/>
      <c r="VJE22" s="1"/>
      <c r="VJF22" s="1"/>
      <c r="VJG22" s="1"/>
      <c r="VJH22" s="1"/>
      <c r="VJI22" s="1"/>
      <c r="VJJ22" s="1"/>
      <c r="VJK22" s="1"/>
      <c r="VJL22" s="1"/>
      <c r="VJM22" s="1"/>
      <c r="VJN22" s="1"/>
      <c r="VJO22" s="1"/>
      <c r="VJP22" s="1"/>
      <c r="VJQ22" s="1"/>
      <c r="VJR22" s="1"/>
      <c r="VJS22" s="1"/>
      <c r="VJT22" s="1"/>
      <c r="VJU22" s="1"/>
      <c r="VJV22" s="1"/>
      <c r="VJW22" s="1"/>
      <c r="VJX22" s="1"/>
      <c r="VJY22" s="1"/>
      <c r="VJZ22" s="1"/>
      <c r="VKA22" s="1"/>
      <c r="VKB22" s="1"/>
      <c r="VKC22" s="1"/>
      <c r="VKD22" s="1"/>
      <c r="VKE22" s="1"/>
      <c r="VKF22" s="1"/>
      <c r="VKG22" s="1"/>
      <c r="VKH22" s="1"/>
      <c r="VKI22" s="1"/>
      <c r="VKJ22" s="1"/>
      <c r="VKK22" s="1"/>
      <c r="VKL22" s="1"/>
      <c r="VKM22" s="1"/>
      <c r="VKN22" s="1"/>
      <c r="VKO22" s="1"/>
      <c r="VKP22" s="1"/>
      <c r="VKQ22" s="1"/>
      <c r="VKR22" s="1"/>
      <c r="VKS22" s="1"/>
      <c r="VKT22" s="1"/>
      <c r="VKU22" s="1"/>
      <c r="VKV22" s="1"/>
      <c r="VKW22" s="1"/>
      <c r="VKX22" s="1"/>
      <c r="VKY22" s="1"/>
      <c r="VKZ22" s="1"/>
      <c r="VLA22" s="1"/>
      <c r="VLB22" s="1"/>
      <c r="VLC22" s="1"/>
      <c r="VLD22" s="1"/>
      <c r="VLE22" s="1"/>
      <c r="VLF22" s="1"/>
      <c r="VLG22" s="1"/>
      <c r="VLH22" s="1"/>
      <c r="VLI22" s="1"/>
      <c r="VLJ22" s="1"/>
      <c r="VLK22" s="1"/>
      <c r="VLL22" s="1"/>
      <c r="VLM22" s="1"/>
      <c r="VLN22" s="1"/>
      <c r="VLO22" s="1"/>
      <c r="VLP22" s="1"/>
      <c r="VLQ22" s="1"/>
      <c r="VLR22" s="1"/>
      <c r="VLS22" s="1"/>
      <c r="VLT22" s="1"/>
      <c r="VLU22" s="1"/>
      <c r="VLV22" s="1"/>
      <c r="VLW22" s="1"/>
      <c r="VLX22" s="1"/>
      <c r="VLY22" s="1"/>
      <c r="VLZ22" s="1"/>
      <c r="VMA22" s="1"/>
      <c r="VMB22" s="1"/>
      <c r="VMC22" s="1"/>
      <c r="VMD22" s="1"/>
      <c r="VME22" s="1"/>
      <c r="VMF22" s="1"/>
      <c r="VMG22" s="1"/>
      <c r="VMH22" s="1"/>
      <c r="VMI22" s="1"/>
      <c r="VMJ22" s="1"/>
      <c r="VMK22" s="1"/>
      <c r="VML22" s="1"/>
      <c r="VMM22" s="1"/>
      <c r="VMN22" s="1"/>
      <c r="VMO22" s="1"/>
      <c r="VMP22" s="1"/>
      <c r="VMQ22" s="1"/>
      <c r="VMR22" s="1"/>
      <c r="VMS22" s="1"/>
      <c r="VMT22" s="1"/>
      <c r="VMU22" s="1"/>
      <c r="VMV22" s="1"/>
      <c r="VMW22" s="1"/>
      <c r="VMX22" s="1"/>
      <c r="VMY22" s="1"/>
      <c r="VMZ22" s="1"/>
      <c r="VNA22" s="1"/>
      <c r="VNB22" s="1"/>
      <c r="VNC22" s="1"/>
      <c r="VND22" s="1"/>
      <c r="VNE22" s="1"/>
      <c r="VNF22" s="1"/>
      <c r="VNG22" s="1"/>
      <c r="VNH22" s="1"/>
      <c r="VNI22" s="1"/>
      <c r="VNJ22" s="1"/>
      <c r="VNK22" s="1"/>
      <c r="VNL22" s="1"/>
      <c r="VNM22" s="1"/>
      <c r="VNN22" s="1"/>
      <c r="VNO22" s="1"/>
      <c r="VNP22" s="1"/>
      <c r="VNQ22" s="1"/>
      <c r="VNR22" s="1"/>
      <c r="VNS22" s="1"/>
      <c r="VNT22" s="1"/>
      <c r="VNU22" s="1"/>
      <c r="VNV22" s="1"/>
      <c r="VNW22" s="1"/>
      <c r="VNX22" s="1"/>
      <c r="VNY22" s="1"/>
      <c r="VNZ22" s="1"/>
      <c r="VOA22" s="1"/>
      <c r="VOB22" s="1"/>
      <c r="VOC22" s="1"/>
      <c r="VOD22" s="1"/>
      <c r="VOE22" s="1"/>
      <c r="VOF22" s="1"/>
      <c r="VOG22" s="1"/>
      <c r="VOH22" s="1"/>
      <c r="VOI22" s="1"/>
      <c r="VOJ22" s="1"/>
      <c r="VOK22" s="1"/>
      <c r="VOL22" s="1"/>
      <c r="VOM22" s="1"/>
      <c r="VON22" s="1"/>
      <c r="VOO22" s="1"/>
      <c r="VOP22" s="1"/>
      <c r="VOQ22" s="1"/>
      <c r="VOR22" s="1"/>
      <c r="VOS22" s="1"/>
      <c r="VOT22" s="1"/>
      <c r="VOU22" s="1"/>
      <c r="VOV22" s="1"/>
      <c r="VOW22" s="1"/>
      <c r="VOX22" s="1"/>
      <c r="VOY22" s="1"/>
      <c r="VOZ22" s="1"/>
      <c r="VPA22" s="1"/>
      <c r="VPB22" s="1"/>
      <c r="VPC22" s="1"/>
      <c r="VPD22" s="1"/>
      <c r="VPE22" s="1"/>
      <c r="VPF22" s="1"/>
      <c r="VPG22" s="1"/>
      <c r="VPH22" s="1"/>
      <c r="VPI22" s="1"/>
      <c r="VPJ22" s="1"/>
      <c r="VPK22" s="1"/>
      <c r="VPL22" s="1"/>
      <c r="VPM22" s="1"/>
      <c r="VPN22" s="1"/>
      <c r="VPO22" s="1"/>
      <c r="VPP22" s="1"/>
      <c r="VPQ22" s="1"/>
      <c r="VPR22" s="1"/>
      <c r="VPS22" s="1"/>
      <c r="VPT22" s="1"/>
      <c r="VPU22" s="1"/>
      <c r="VPV22" s="1"/>
      <c r="VPW22" s="1"/>
      <c r="VPX22" s="1"/>
      <c r="VPY22" s="1"/>
      <c r="VPZ22" s="1"/>
      <c r="VQA22" s="1"/>
      <c r="VQB22" s="1"/>
      <c r="VQC22" s="1"/>
      <c r="VQD22" s="1"/>
      <c r="VQE22" s="1"/>
      <c r="VQF22" s="1"/>
      <c r="VQG22" s="1"/>
      <c r="VQH22" s="1"/>
      <c r="VQI22" s="1"/>
      <c r="VQJ22" s="1"/>
      <c r="VQK22" s="1"/>
      <c r="VQL22" s="1"/>
      <c r="VQM22" s="1"/>
      <c r="VQN22" s="1"/>
      <c r="VQO22" s="1"/>
      <c r="VQP22" s="1"/>
      <c r="VQQ22" s="1"/>
      <c r="VQR22" s="1"/>
      <c r="VQS22" s="1"/>
      <c r="VQT22" s="1"/>
      <c r="VQU22" s="1"/>
      <c r="VQV22" s="1"/>
      <c r="VQW22" s="1"/>
      <c r="VQX22" s="1"/>
      <c r="VQY22" s="1"/>
      <c r="VQZ22" s="1"/>
      <c r="VRA22" s="1"/>
      <c r="VRB22" s="1"/>
      <c r="VRC22" s="1"/>
      <c r="VRD22" s="1"/>
      <c r="VRE22" s="1"/>
      <c r="VRF22" s="1"/>
      <c r="VRG22" s="1"/>
      <c r="VRH22" s="1"/>
      <c r="VRI22" s="1"/>
      <c r="VRJ22" s="1"/>
      <c r="VRK22" s="1"/>
      <c r="VRL22" s="1"/>
      <c r="VRM22" s="1"/>
      <c r="VRN22" s="1"/>
      <c r="VRO22" s="1"/>
      <c r="VRP22" s="1"/>
      <c r="VRQ22" s="1"/>
      <c r="VRR22" s="1"/>
      <c r="VRS22" s="1"/>
      <c r="VRT22" s="1"/>
      <c r="VRU22" s="1"/>
      <c r="VRV22" s="1"/>
      <c r="VRW22" s="1"/>
      <c r="VRX22" s="1"/>
      <c r="VRY22" s="1"/>
      <c r="VRZ22" s="1"/>
      <c r="VSA22" s="1"/>
      <c r="VSB22" s="1"/>
      <c r="VSC22" s="1"/>
      <c r="VSD22" s="1"/>
      <c r="VSE22" s="1"/>
      <c r="VSF22" s="1"/>
      <c r="VSG22" s="1"/>
      <c r="VSH22" s="1"/>
      <c r="VSI22" s="1"/>
      <c r="VSJ22" s="1"/>
      <c r="VSK22" s="1"/>
      <c r="VSL22" s="1"/>
      <c r="VSM22" s="1"/>
      <c r="VSN22" s="1"/>
      <c r="VSO22" s="1"/>
      <c r="VSP22" s="1"/>
      <c r="VSQ22" s="1"/>
      <c r="VSR22" s="1"/>
      <c r="VSS22" s="1"/>
      <c r="VST22" s="1"/>
      <c r="VSU22" s="1"/>
      <c r="VSV22" s="1"/>
      <c r="VSW22" s="1"/>
      <c r="VSX22" s="1"/>
      <c r="VSY22" s="1"/>
      <c r="VSZ22" s="1"/>
      <c r="VTA22" s="1"/>
      <c r="VTB22" s="1"/>
      <c r="VTC22" s="1"/>
      <c r="VTD22" s="1"/>
      <c r="VTE22" s="1"/>
      <c r="VTF22" s="1"/>
      <c r="VTG22" s="1"/>
      <c r="VTH22" s="1"/>
      <c r="VTI22" s="1"/>
      <c r="VTJ22" s="1"/>
      <c r="VTK22" s="1"/>
      <c r="VTL22" s="1"/>
      <c r="VTM22" s="1"/>
      <c r="VTN22" s="1"/>
      <c r="VTO22" s="1"/>
      <c r="VTP22" s="1"/>
      <c r="VTQ22" s="1"/>
      <c r="VTR22" s="1"/>
      <c r="VTS22" s="1"/>
      <c r="VTT22" s="1"/>
      <c r="VTU22" s="1"/>
      <c r="VTV22" s="1"/>
      <c r="VTW22" s="1"/>
      <c r="VTX22" s="1"/>
      <c r="VTY22" s="1"/>
      <c r="VTZ22" s="1"/>
      <c r="VUA22" s="1"/>
      <c r="VUB22" s="1"/>
      <c r="VUC22" s="1"/>
      <c r="VUD22" s="1"/>
      <c r="VUE22" s="1"/>
      <c r="VUF22" s="1"/>
      <c r="VUG22" s="1"/>
      <c r="VUH22" s="1"/>
      <c r="VUI22" s="1"/>
      <c r="VUJ22" s="1"/>
      <c r="VUK22" s="1"/>
      <c r="VUL22" s="1"/>
      <c r="VUM22" s="1"/>
      <c r="VUN22" s="1"/>
      <c r="VUO22" s="1"/>
      <c r="VUP22" s="1"/>
      <c r="VUQ22" s="1"/>
      <c r="VUR22" s="1"/>
      <c r="VUS22" s="1"/>
      <c r="VUT22" s="1"/>
      <c r="VUU22" s="1"/>
      <c r="VUV22" s="1"/>
      <c r="VUW22" s="1"/>
      <c r="VUX22" s="1"/>
      <c r="VUY22" s="1"/>
      <c r="VUZ22" s="1"/>
      <c r="VVA22" s="1"/>
      <c r="VVB22" s="1"/>
      <c r="VVC22" s="1"/>
      <c r="VVD22" s="1"/>
      <c r="VVE22" s="1"/>
      <c r="VVF22" s="1"/>
      <c r="VVG22" s="1"/>
      <c r="VVH22" s="1"/>
      <c r="VVI22" s="1"/>
      <c r="VVJ22" s="1"/>
      <c r="VVK22" s="1"/>
      <c r="VVL22" s="1"/>
      <c r="VVM22" s="1"/>
      <c r="VVN22" s="1"/>
      <c r="VVO22" s="1"/>
      <c r="VVP22" s="1"/>
      <c r="VVQ22" s="1"/>
      <c r="VVR22" s="1"/>
      <c r="VVS22" s="1"/>
      <c r="VVT22" s="1"/>
      <c r="VVU22" s="1"/>
      <c r="VVV22" s="1"/>
      <c r="VVW22" s="1"/>
      <c r="VVX22" s="1"/>
      <c r="VVY22" s="1"/>
      <c r="VVZ22" s="1"/>
      <c r="VWA22" s="1"/>
      <c r="VWB22" s="1"/>
      <c r="VWC22" s="1"/>
      <c r="VWD22" s="1"/>
      <c r="VWE22" s="1"/>
      <c r="VWF22" s="1"/>
      <c r="VWG22" s="1"/>
      <c r="VWH22" s="1"/>
      <c r="VWI22" s="1"/>
      <c r="VWJ22" s="1"/>
      <c r="VWK22" s="1"/>
      <c r="VWL22" s="1"/>
      <c r="VWM22" s="1"/>
      <c r="VWN22" s="1"/>
      <c r="VWO22" s="1"/>
      <c r="VWP22" s="1"/>
      <c r="VWQ22" s="1"/>
      <c r="VWR22" s="1"/>
      <c r="VWS22" s="1"/>
      <c r="VWT22" s="1"/>
      <c r="VWU22" s="1"/>
      <c r="VWV22" s="1"/>
      <c r="VWW22" s="1"/>
      <c r="VWX22" s="1"/>
      <c r="VWY22" s="1"/>
      <c r="VWZ22" s="1"/>
      <c r="VXA22" s="1"/>
      <c r="VXB22" s="1"/>
      <c r="VXC22" s="1"/>
      <c r="VXD22" s="1"/>
      <c r="VXE22" s="1"/>
      <c r="VXF22" s="1"/>
      <c r="VXG22" s="1"/>
      <c r="VXH22" s="1"/>
      <c r="VXI22" s="1"/>
      <c r="VXJ22" s="1"/>
      <c r="VXK22" s="1"/>
      <c r="VXL22" s="1"/>
      <c r="VXM22" s="1"/>
      <c r="VXN22" s="1"/>
      <c r="VXO22" s="1"/>
      <c r="VXP22" s="1"/>
      <c r="VXQ22" s="1"/>
      <c r="VXR22" s="1"/>
      <c r="VXS22" s="1"/>
      <c r="VXT22" s="1"/>
      <c r="VXU22" s="1"/>
      <c r="VXV22" s="1"/>
      <c r="VXW22" s="1"/>
      <c r="VXX22" s="1"/>
      <c r="VXY22" s="1"/>
      <c r="VXZ22" s="1"/>
      <c r="VYA22" s="1"/>
      <c r="VYB22" s="1"/>
      <c r="VYC22" s="1"/>
      <c r="VYD22" s="1"/>
      <c r="VYE22" s="1"/>
      <c r="VYF22" s="1"/>
      <c r="VYG22" s="1"/>
      <c r="VYH22" s="1"/>
      <c r="VYI22" s="1"/>
      <c r="VYJ22" s="1"/>
      <c r="VYK22" s="1"/>
      <c r="VYL22" s="1"/>
      <c r="VYM22" s="1"/>
      <c r="VYN22" s="1"/>
      <c r="VYO22" s="1"/>
      <c r="VYP22" s="1"/>
      <c r="VYQ22" s="1"/>
      <c r="VYR22" s="1"/>
      <c r="VYS22" s="1"/>
      <c r="VYT22" s="1"/>
      <c r="VYU22" s="1"/>
      <c r="VYV22" s="1"/>
      <c r="VYW22" s="1"/>
      <c r="VYX22" s="1"/>
      <c r="VYY22" s="1"/>
      <c r="VYZ22" s="1"/>
      <c r="VZA22" s="1"/>
      <c r="VZB22" s="1"/>
      <c r="VZC22" s="1"/>
      <c r="VZD22" s="1"/>
      <c r="VZE22" s="1"/>
      <c r="VZF22" s="1"/>
      <c r="VZG22" s="1"/>
      <c r="VZH22" s="1"/>
      <c r="VZI22" s="1"/>
      <c r="VZJ22" s="1"/>
      <c r="VZK22" s="1"/>
      <c r="VZL22" s="1"/>
      <c r="VZM22" s="1"/>
      <c r="VZN22" s="1"/>
      <c r="VZO22" s="1"/>
      <c r="VZP22" s="1"/>
      <c r="VZQ22" s="1"/>
      <c r="VZR22" s="1"/>
      <c r="VZS22" s="1"/>
      <c r="VZT22" s="1"/>
      <c r="VZU22" s="1"/>
      <c r="VZV22" s="1"/>
      <c r="VZW22" s="1"/>
      <c r="VZX22" s="1"/>
      <c r="VZY22" s="1"/>
      <c r="VZZ22" s="1"/>
      <c r="WAA22" s="1"/>
      <c r="WAB22" s="1"/>
      <c r="WAC22" s="1"/>
      <c r="WAD22" s="1"/>
      <c r="WAE22" s="1"/>
      <c r="WAF22" s="1"/>
      <c r="WAG22" s="1"/>
      <c r="WAH22" s="1"/>
      <c r="WAI22" s="1"/>
      <c r="WAJ22" s="1"/>
      <c r="WAK22" s="1"/>
      <c r="WAL22" s="1"/>
      <c r="WAM22" s="1"/>
      <c r="WAN22" s="1"/>
      <c r="WAO22" s="1"/>
      <c r="WAP22" s="1"/>
      <c r="WAQ22" s="1"/>
      <c r="WAR22" s="1"/>
      <c r="WAS22" s="1"/>
      <c r="WAT22" s="1"/>
      <c r="WAU22" s="1"/>
      <c r="WAV22" s="1"/>
      <c r="WAW22" s="1"/>
      <c r="WAX22" s="1"/>
      <c r="WAY22" s="1"/>
      <c r="WAZ22" s="1"/>
      <c r="WBA22" s="1"/>
      <c r="WBB22" s="1"/>
      <c r="WBC22" s="1"/>
      <c r="WBD22" s="1"/>
      <c r="WBE22" s="1"/>
      <c r="WBF22" s="1"/>
      <c r="WBG22" s="1"/>
      <c r="WBH22" s="1"/>
      <c r="WBI22" s="1"/>
      <c r="WBJ22" s="1"/>
      <c r="WBK22" s="1"/>
      <c r="WBL22" s="1"/>
      <c r="WBM22" s="1"/>
      <c r="WBN22" s="1"/>
      <c r="WBO22" s="1"/>
      <c r="WBP22" s="1"/>
      <c r="WBQ22" s="1"/>
      <c r="WBR22" s="1"/>
      <c r="WBS22" s="1"/>
      <c r="WBT22" s="1"/>
      <c r="WBU22" s="1"/>
      <c r="WBV22" s="1"/>
      <c r="WBW22" s="1"/>
      <c r="WBX22" s="1"/>
      <c r="WBY22" s="1"/>
      <c r="WBZ22" s="1"/>
      <c r="WCA22" s="1"/>
      <c r="WCB22" s="1"/>
      <c r="WCC22" s="1"/>
      <c r="WCD22" s="1"/>
      <c r="WCE22" s="1"/>
      <c r="WCF22" s="1"/>
      <c r="WCG22" s="1"/>
      <c r="WCH22" s="1"/>
      <c r="WCI22" s="1"/>
      <c r="WCJ22" s="1"/>
      <c r="WCK22" s="1"/>
      <c r="WCL22" s="1"/>
      <c r="WCM22" s="1"/>
      <c r="WCN22" s="1"/>
      <c r="WCO22" s="1"/>
      <c r="WCP22" s="1"/>
      <c r="WCQ22" s="1"/>
      <c r="WCR22" s="1"/>
      <c r="WCS22" s="1"/>
      <c r="WCT22" s="1"/>
      <c r="WCU22" s="1"/>
      <c r="WCV22" s="1"/>
      <c r="WCW22" s="1"/>
      <c r="WCX22" s="1"/>
      <c r="WCY22" s="1"/>
      <c r="WCZ22" s="1"/>
      <c r="WDA22" s="1"/>
      <c r="WDB22" s="1"/>
      <c r="WDC22" s="1"/>
      <c r="WDD22" s="1"/>
      <c r="WDE22" s="1"/>
      <c r="WDF22" s="1"/>
      <c r="WDG22" s="1"/>
      <c r="WDH22" s="1"/>
      <c r="WDI22" s="1"/>
      <c r="WDJ22" s="1"/>
      <c r="WDK22" s="1"/>
      <c r="WDL22" s="1"/>
      <c r="WDM22" s="1"/>
      <c r="WDN22" s="1"/>
      <c r="WDO22" s="1"/>
      <c r="WDP22" s="1"/>
      <c r="WDQ22" s="1"/>
      <c r="WDR22" s="1"/>
      <c r="WDS22" s="1"/>
      <c r="WDT22" s="1"/>
      <c r="WDU22" s="1"/>
      <c r="WDV22" s="1"/>
      <c r="WDW22" s="1"/>
      <c r="WDX22" s="1"/>
      <c r="WDY22" s="1"/>
      <c r="WDZ22" s="1"/>
      <c r="WEA22" s="1"/>
      <c r="WEB22" s="1"/>
      <c r="WEC22" s="1"/>
      <c r="WED22" s="1"/>
      <c r="WEE22" s="1"/>
      <c r="WEF22" s="1"/>
      <c r="WEG22" s="1"/>
      <c r="WEH22" s="1"/>
      <c r="WEI22" s="1"/>
      <c r="WEJ22" s="1"/>
      <c r="WEK22" s="1"/>
      <c r="WEL22" s="1"/>
      <c r="WEM22" s="1"/>
      <c r="WEN22" s="1"/>
      <c r="WEO22" s="1"/>
      <c r="WEP22" s="1"/>
      <c r="WEQ22" s="1"/>
      <c r="WER22" s="1"/>
      <c r="WES22" s="1"/>
      <c r="WET22" s="1"/>
      <c r="WEU22" s="1"/>
      <c r="WEV22" s="1"/>
      <c r="WEW22" s="1"/>
      <c r="WEX22" s="1"/>
      <c r="WEY22" s="1"/>
      <c r="WEZ22" s="1"/>
      <c r="WFA22" s="1"/>
      <c r="WFB22" s="1"/>
      <c r="WFC22" s="1"/>
      <c r="WFD22" s="1"/>
      <c r="WFE22" s="1"/>
      <c r="WFF22" s="1"/>
      <c r="WFG22" s="1"/>
      <c r="WFH22" s="1"/>
      <c r="WFI22" s="1"/>
      <c r="WFJ22" s="1"/>
      <c r="WFK22" s="1"/>
      <c r="WFL22" s="1"/>
      <c r="WFM22" s="1"/>
      <c r="WFN22" s="1"/>
      <c r="WFO22" s="1"/>
      <c r="WFP22" s="1"/>
      <c r="WFQ22" s="1"/>
      <c r="WFR22" s="1"/>
      <c r="WFS22" s="1"/>
      <c r="WFT22" s="1"/>
      <c r="WFU22" s="1"/>
      <c r="WFV22" s="1"/>
      <c r="WFW22" s="1"/>
      <c r="WFX22" s="1"/>
      <c r="WFY22" s="1"/>
      <c r="WFZ22" s="1"/>
      <c r="WGA22" s="1"/>
      <c r="WGB22" s="1"/>
      <c r="WGC22" s="1"/>
      <c r="WGD22" s="1"/>
      <c r="WGE22" s="1"/>
      <c r="WGF22" s="1"/>
      <c r="WGG22" s="1"/>
      <c r="WGH22" s="1"/>
      <c r="WGI22" s="1"/>
      <c r="WGJ22" s="1"/>
      <c r="WGK22" s="1"/>
      <c r="WGL22" s="1"/>
      <c r="WGM22" s="1"/>
      <c r="WGN22" s="1"/>
      <c r="WGO22" s="1"/>
      <c r="WGP22" s="1"/>
      <c r="WGQ22" s="1"/>
      <c r="WGR22" s="1"/>
      <c r="WGS22" s="1"/>
      <c r="WGT22" s="1"/>
      <c r="WGU22" s="1"/>
      <c r="WGV22" s="1"/>
      <c r="WGW22" s="1"/>
      <c r="WGX22" s="1"/>
      <c r="WGY22" s="1"/>
      <c r="WGZ22" s="1"/>
      <c r="WHA22" s="1"/>
      <c r="WHB22" s="1"/>
      <c r="WHC22" s="1"/>
      <c r="WHD22" s="1"/>
      <c r="WHE22" s="1"/>
      <c r="WHF22" s="1"/>
      <c r="WHG22" s="1"/>
      <c r="WHH22" s="1"/>
      <c r="WHI22" s="1"/>
      <c r="WHJ22" s="1"/>
      <c r="WHK22" s="1"/>
      <c r="WHL22" s="1"/>
      <c r="WHM22" s="1"/>
      <c r="WHN22" s="1"/>
      <c r="WHO22" s="1"/>
      <c r="WHP22" s="1"/>
      <c r="WHQ22" s="1"/>
      <c r="WHR22" s="1"/>
      <c r="WHS22" s="1"/>
      <c r="WHT22" s="1"/>
      <c r="WHU22" s="1"/>
      <c r="WHV22" s="1"/>
      <c r="WHW22" s="1"/>
      <c r="WHX22" s="1"/>
      <c r="WHY22" s="1"/>
      <c r="WHZ22" s="1"/>
      <c r="WIA22" s="1"/>
      <c r="WIB22" s="1"/>
      <c r="WIC22" s="1"/>
      <c r="WID22" s="1"/>
      <c r="WIE22" s="1"/>
      <c r="WIF22" s="1"/>
      <c r="WIG22" s="1"/>
      <c r="WIH22" s="1"/>
      <c r="WII22" s="1"/>
      <c r="WIJ22" s="1"/>
      <c r="WIK22" s="1"/>
      <c r="WIL22" s="1"/>
      <c r="WIM22" s="1"/>
      <c r="WIN22" s="1"/>
      <c r="WIO22" s="1"/>
      <c r="WIP22" s="1"/>
      <c r="WIQ22" s="1"/>
      <c r="WIR22" s="1"/>
      <c r="WIS22" s="1"/>
      <c r="WIT22" s="1"/>
      <c r="WIU22" s="1"/>
      <c r="WIV22" s="1"/>
      <c r="WIW22" s="1"/>
      <c r="WIX22" s="1"/>
      <c r="WIY22" s="1"/>
      <c r="WIZ22" s="1"/>
      <c r="WJA22" s="1"/>
      <c r="WJB22" s="1"/>
      <c r="WJC22" s="1"/>
      <c r="WJD22" s="1"/>
      <c r="WJE22" s="1"/>
      <c r="WJF22" s="1"/>
      <c r="WJG22" s="1"/>
      <c r="WJH22" s="1"/>
      <c r="WJI22" s="1"/>
      <c r="WJJ22" s="1"/>
      <c r="WJK22" s="1"/>
      <c r="WJL22" s="1"/>
      <c r="WJM22" s="1"/>
      <c r="WJN22" s="1"/>
      <c r="WJO22" s="1"/>
      <c r="WJP22" s="1"/>
      <c r="WJQ22" s="1"/>
      <c r="WJR22" s="1"/>
      <c r="WJS22" s="1"/>
      <c r="WJT22" s="1"/>
      <c r="WJU22" s="1"/>
      <c r="WJV22" s="1"/>
      <c r="WJW22" s="1"/>
      <c r="WJX22" s="1"/>
      <c r="WJY22" s="1"/>
      <c r="WJZ22" s="1"/>
      <c r="WKA22" s="1"/>
      <c r="WKB22" s="1"/>
      <c r="WKC22" s="1"/>
      <c r="WKD22" s="1"/>
      <c r="WKE22" s="1"/>
      <c r="WKF22" s="1"/>
      <c r="WKG22" s="1"/>
      <c r="WKH22" s="1"/>
      <c r="WKI22" s="1"/>
      <c r="WKJ22" s="1"/>
      <c r="WKK22" s="1"/>
      <c r="WKL22" s="1"/>
      <c r="WKM22" s="1"/>
      <c r="WKN22" s="1"/>
      <c r="WKO22" s="1"/>
      <c r="WKP22" s="1"/>
      <c r="WKQ22" s="1"/>
      <c r="WKR22" s="1"/>
      <c r="WKS22" s="1"/>
      <c r="WKT22" s="1"/>
      <c r="WKU22" s="1"/>
      <c r="WKV22" s="1"/>
      <c r="WKW22" s="1"/>
      <c r="WKX22" s="1"/>
      <c r="WKY22" s="1"/>
      <c r="WKZ22" s="1"/>
      <c r="WLA22" s="1"/>
      <c r="WLB22" s="1"/>
      <c r="WLC22" s="1"/>
      <c r="WLD22" s="1"/>
      <c r="WLE22" s="1"/>
      <c r="WLF22" s="1"/>
      <c r="WLG22" s="1"/>
      <c r="WLH22" s="1"/>
      <c r="WLI22" s="1"/>
      <c r="WLJ22" s="1"/>
      <c r="WLK22" s="1"/>
      <c r="WLL22" s="1"/>
      <c r="WLM22" s="1"/>
      <c r="WLN22" s="1"/>
      <c r="WLO22" s="1"/>
      <c r="WLP22" s="1"/>
      <c r="WLQ22" s="1"/>
      <c r="WLR22" s="1"/>
      <c r="WLS22" s="1"/>
      <c r="WLT22" s="1"/>
      <c r="WLU22" s="1"/>
      <c r="WLV22" s="1"/>
      <c r="WLW22" s="1"/>
      <c r="WLX22" s="1"/>
      <c r="WLY22" s="1"/>
      <c r="WLZ22" s="1"/>
      <c r="WMA22" s="1"/>
      <c r="WMB22" s="1"/>
      <c r="WMC22" s="1"/>
      <c r="WMD22" s="1"/>
      <c r="WME22" s="1"/>
      <c r="WMF22" s="1"/>
      <c r="WMG22" s="1"/>
      <c r="WMH22" s="1"/>
      <c r="WMI22" s="1"/>
      <c r="WMJ22" s="1"/>
      <c r="WMK22" s="1"/>
      <c r="WML22" s="1"/>
      <c r="WMM22" s="1"/>
      <c r="WMN22" s="1"/>
      <c r="WMO22" s="1"/>
      <c r="WMP22" s="1"/>
      <c r="WMQ22" s="1"/>
      <c r="WMR22" s="1"/>
      <c r="WMS22" s="1"/>
      <c r="WMT22" s="1"/>
      <c r="WMU22" s="1"/>
      <c r="WMV22" s="1"/>
      <c r="WMW22" s="1"/>
      <c r="WMX22" s="1"/>
      <c r="WMY22" s="1"/>
      <c r="WMZ22" s="1"/>
      <c r="WNA22" s="1"/>
      <c r="WNB22" s="1"/>
      <c r="WNC22" s="1"/>
      <c r="WND22" s="1"/>
      <c r="WNE22" s="1"/>
      <c r="WNF22" s="1"/>
      <c r="WNG22" s="1"/>
      <c r="WNH22" s="1"/>
      <c r="WNI22" s="1"/>
      <c r="WNJ22" s="1"/>
      <c r="WNK22" s="1"/>
      <c r="WNL22" s="1"/>
      <c r="WNM22" s="1"/>
      <c r="WNN22" s="1"/>
      <c r="WNO22" s="1"/>
      <c r="WNP22" s="1"/>
      <c r="WNQ22" s="1"/>
      <c r="WNR22" s="1"/>
      <c r="WNS22" s="1"/>
      <c r="WNT22" s="1"/>
      <c r="WNU22" s="1"/>
      <c r="WNV22" s="1"/>
      <c r="WNW22" s="1"/>
      <c r="WNX22" s="1"/>
      <c r="WNY22" s="1"/>
      <c r="WNZ22" s="1"/>
      <c r="WOA22" s="1"/>
      <c r="WOB22" s="1"/>
      <c r="WOC22" s="1"/>
      <c r="WOD22" s="1"/>
      <c r="WOE22" s="1"/>
      <c r="WOF22" s="1"/>
      <c r="WOG22" s="1"/>
      <c r="WOH22" s="1"/>
      <c r="WOI22" s="1"/>
      <c r="WOJ22" s="1"/>
      <c r="WOK22" s="1"/>
      <c r="WOL22" s="1"/>
      <c r="WOM22" s="1"/>
      <c r="WON22" s="1"/>
      <c r="WOO22" s="1"/>
      <c r="WOP22" s="1"/>
      <c r="WOQ22" s="1"/>
      <c r="WOR22" s="1"/>
      <c r="WOS22" s="1"/>
      <c r="WOT22" s="1"/>
      <c r="WOU22" s="1"/>
      <c r="WOV22" s="1"/>
      <c r="WOW22" s="1"/>
      <c r="WOX22" s="1"/>
      <c r="WOY22" s="1"/>
      <c r="WOZ22" s="1"/>
      <c r="WPA22" s="1"/>
      <c r="WPB22" s="1"/>
      <c r="WPC22" s="1"/>
      <c r="WPD22" s="1"/>
      <c r="WPE22" s="1"/>
      <c r="WPF22" s="1"/>
      <c r="WPG22" s="1"/>
      <c r="WPH22" s="1"/>
      <c r="WPI22" s="1"/>
      <c r="WPJ22" s="1"/>
      <c r="WPK22" s="1"/>
      <c r="WPL22" s="1"/>
      <c r="WPM22" s="1"/>
      <c r="WPN22" s="1"/>
      <c r="WPO22" s="1"/>
      <c r="WPP22" s="1"/>
      <c r="WPQ22" s="1"/>
      <c r="WPR22" s="1"/>
      <c r="WPS22" s="1"/>
      <c r="WPT22" s="1"/>
      <c r="WPU22" s="1"/>
      <c r="WPV22" s="1"/>
      <c r="WPW22" s="1"/>
      <c r="WPX22" s="1"/>
      <c r="WPY22" s="1"/>
      <c r="WPZ22" s="1"/>
      <c r="WQA22" s="1"/>
      <c r="WQB22" s="1"/>
      <c r="WQC22" s="1"/>
      <c r="WQD22" s="1"/>
      <c r="WQE22" s="1"/>
      <c r="WQF22" s="1"/>
      <c r="WQG22" s="1"/>
      <c r="WQH22" s="1"/>
      <c r="WQI22" s="1"/>
      <c r="WQJ22" s="1"/>
      <c r="WQK22" s="1"/>
      <c r="WQL22" s="1"/>
      <c r="WQM22" s="1"/>
      <c r="WQN22" s="1"/>
      <c r="WQO22" s="1"/>
      <c r="WQP22" s="1"/>
      <c r="WQQ22" s="1"/>
      <c r="WQR22" s="1"/>
      <c r="WQS22" s="1"/>
      <c r="WQT22" s="1"/>
      <c r="WQU22" s="1"/>
      <c r="WQV22" s="1"/>
      <c r="WQW22" s="1"/>
      <c r="WQX22" s="1"/>
      <c r="WQY22" s="1"/>
      <c r="WQZ22" s="1"/>
      <c r="WRA22" s="1"/>
      <c r="WRB22" s="1"/>
      <c r="WRC22" s="1"/>
      <c r="WRD22" s="1"/>
      <c r="WRE22" s="1"/>
      <c r="WRF22" s="1"/>
      <c r="WRG22" s="1"/>
      <c r="WRH22" s="1"/>
      <c r="WRI22" s="1"/>
      <c r="WRJ22" s="1"/>
      <c r="WRK22" s="1"/>
      <c r="WRL22" s="1"/>
      <c r="WRM22" s="1"/>
      <c r="WRN22" s="1"/>
      <c r="WRO22" s="1"/>
      <c r="WRP22" s="1"/>
      <c r="WRQ22" s="1"/>
      <c r="WRR22" s="1"/>
      <c r="WRS22" s="1"/>
      <c r="WRT22" s="1"/>
      <c r="WRU22" s="1"/>
      <c r="WRV22" s="1"/>
      <c r="WRW22" s="1"/>
      <c r="WRX22" s="1"/>
      <c r="WRY22" s="1"/>
      <c r="WRZ22" s="1"/>
      <c r="WSA22" s="1"/>
      <c r="WSB22" s="1"/>
      <c r="WSC22" s="1"/>
      <c r="WSD22" s="1"/>
      <c r="WSE22" s="1"/>
      <c r="WSF22" s="1"/>
      <c r="WSG22" s="1"/>
      <c r="WSH22" s="1"/>
      <c r="WSI22" s="1"/>
      <c r="WSJ22" s="1"/>
      <c r="WSK22" s="1"/>
      <c r="WSL22" s="1"/>
      <c r="WSM22" s="1"/>
      <c r="WSN22" s="1"/>
      <c r="WSO22" s="1"/>
      <c r="WSP22" s="1"/>
      <c r="WSQ22" s="1"/>
      <c r="WSR22" s="1"/>
      <c r="WSS22" s="1"/>
      <c r="WST22" s="1"/>
      <c r="WSU22" s="1"/>
      <c r="WSV22" s="1"/>
      <c r="WSW22" s="1"/>
      <c r="WSX22" s="1"/>
      <c r="WSY22" s="1"/>
      <c r="WSZ22" s="1"/>
      <c r="WTA22" s="1"/>
      <c r="WTB22" s="1"/>
      <c r="WTC22" s="1"/>
      <c r="WTD22" s="1"/>
      <c r="WTE22" s="1"/>
      <c r="WTF22" s="1"/>
      <c r="WTG22" s="1"/>
      <c r="WTH22" s="1"/>
      <c r="WTI22" s="1"/>
      <c r="WTJ22" s="1"/>
      <c r="WTK22" s="1"/>
      <c r="WTL22" s="1"/>
      <c r="WTM22" s="1"/>
      <c r="WTN22" s="1"/>
      <c r="WTO22" s="1"/>
      <c r="WTP22" s="1"/>
      <c r="WTQ22" s="1"/>
      <c r="WTR22" s="1"/>
      <c r="WTS22" s="1"/>
      <c r="WTT22" s="1"/>
      <c r="WTU22" s="1"/>
      <c r="WTV22" s="1"/>
      <c r="WTW22" s="1"/>
      <c r="WTX22" s="1"/>
      <c r="WTY22" s="1"/>
      <c r="WTZ22" s="1"/>
      <c r="WUA22" s="1"/>
      <c r="WUB22" s="1"/>
      <c r="WUC22" s="1"/>
      <c r="WUD22" s="1"/>
      <c r="WUE22" s="1"/>
      <c r="WUF22" s="1"/>
      <c r="WUG22" s="1"/>
      <c r="WUH22" s="1"/>
      <c r="WUI22" s="1"/>
      <c r="WUJ22" s="1"/>
      <c r="WUK22" s="1"/>
      <c r="WUL22" s="1"/>
      <c r="WUM22" s="1"/>
      <c r="WUN22" s="1"/>
      <c r="WUO22" s="1"/>
      <c r="WUP22" s="1"/>
      <c r="WUQ22" s="1"/>
      <c r="WUR22" s="1"/>
      <c r="WUS22" s="1"/>
      <c r="WUT22" s="1"/>
      <c r="WUU22" s="1"/>
      <c r="WUV22" s="1"/>
      <c r="WUW22" s="1"/>
      <c r="WUX22" s="1"/>
      <c r="WUY22" s="1"/>
      <c r="WUZ22" s="1"/>
      <c r="WVA22" s="1"/>
      <c r="WVB22" s="1"/>
      <c r="WVC22" s="1"/>
      <c r="WVD22" s="1"/>
      <c r="WVE22" s="1"/>
      <c r="WVF22" s="1"/>
      <c r="WVG22" s="1"/>
      <c r="WVH22" s="1"/>
      <c r="WVI22" s="1"/>
      <c r="WVJ22" s="1"/>
      <c r="WVK22" s="1"/>
      <c r="WVL22" s="1"/>
      <c r="WVM22" s="1"/>
      <c r="WVN22" s="1"/>
      <c r="WVO22" s="1"/>
      <c r="WVP22" s="1"/>
      <c r="WVQ22" s="1"/>
      <c r="WVR22" s="1"/>
      <c r="WVS22" s="1"/>
      <c r="WVT22" s="1"/>
      <c r="WVU22" s="1"/>
      <c r="WVV22" s="1"/>
      <c r="WVW22" s="1"/>
      <c r="WVX22" s="1"/>
      <c r="WVY22" s="1"/>
      <c r="WVZ22" s="1"/>
      <c r="WWA22" s="1"/>
      <c r="WWB22" s="1"/>
      <c r="WWC22" s="1"/>
      <c r="WWD22" s="1"/>
      <c r="WWE22" s="1"/>
      <c r="WWF22" s="1"/>
      <c r="WWG22" s="1"/>
      <c r="WWH22" s="1"/>
      <c r="WWI22" s="1"/>
      <c r="WWJ22" s="1"/>
      <c r="WWK22" s="1"/>
      <c r="WWL22" s="1"/>
      <c r="WWM22" s="1"/>
      <c r="WWN22" s="1"/>
      <c r="WWO22" s="1"/>
      <c r="WWP22" s="1"/>
      <c r="WWQ22" s="1"/>
      <c r="WWR22" s="1"/>
      <c r="WWS22" s="1"/>
      <c r="WWT22" s="1"/>
      <c r="WWU22" s="1"/>
      <c r="WWV22" s="1"/>
      <c r="WWW22" s="1"/>
      <c r="WWX22" s="1"/>
      <c r="WWY22" s="1"/>
      <c r="WWZ22" s="1"/>
      <c r="WXA22" s="1"/>
      <c r="WXB22" s="1"/>
      <c r="WXC22" s="1"/>
      <c r="WXD22" s="1"/>
      <c r="WXE22" s="1"/>
      <c r="WXF22" s="1"/>
      <c r="WXG22" s="1"/>
      <c r="WXH22" s="1"/>
      <c r="WXI22" s="1"/>
      <c r="WXJ22" s="1"/>
      <c r="WXK22" s="1"/>
      <c r="WXL22" s="1"/>
      <c r="WXM22" s="1"/>
      <c r="WXN22" s="1"/>
      <c r="WXO22" s="1"/>
      <c r="WXP22" s="1"/>
      <c r="WXQ22" s="1"/>
      <c r="WXR22" s="1"/>
      <c r="WXS22" s="1"/>
      <c r="WXT22" s="1"/>
      <c r="WXU22" s="1"/>
      <c r="WXV22" s="1"/>
      <c r="WXW22" s="1"/>
      <c r="WXX22" s="1"/>
      <c r="WXY22" s="1"/>
      <c r="WXZ22" s="1"/>
      <c r="WYA22" s="1"/>
      <c r="WYB22" s="1"/>
      <c r="WYC22" s="1"/>
      <c r="WYD22" s="1"/>
      <c r="WYE22" s="1"/>
      <c r="WYF22" s="1"/>
      <c r="WYG22" s="1"/>
      <c r="WYH22" s="1"/>
      <c r="WYI22" s="1"/>
      <c r="WYJ22" s="1"/>
      <c r="WYK22" s="1"/>
      <c r="WYL22" s="1"/>
      <c r="WYM22" s="1"/>
      <c r="WYN22" s="1"/>
      <c r="WYO22" s="1"/>
      <c r="WYP22" s="1"/>
      <c r="WYQ22" s="1"/>
      <c r="WYR22" s="1"/>
      <c r="WYS22" s="1"/>
      <c r="WYT22" s="1"/>
      <c r="WYU22" s="1"/>
      <c r="WYV22" s="1"/>
      <c r="WYW22" s="1"/>
      <c r="WYX22" s="1"/>
      <c r="WYY22" s="1"/>
      <c r="WYZ22" s="1"/>
      <c r="WZA22" s="1"/>
      <c r="WZB22" s="1"/>
      <c r="WZC22" s="1"/>
      <c r="WZD22" s="1"/>
      <c r="WZE22" s="1"/>
      <c r="WZF22" s="1"/>
      <c r="WZG22" s="1"/>
      <c r="WZH22" s="1"/>
      <c r="WZI22" s="1"/>
      <c r="WZJ22" s="1"/>
      <c r="WZK22" s="1"/>
      <c r="WZL22" s="1"/>
      <c r="WZM22" s="1"/>
      <c r="WZN22" s="1"/>
      <c r="WZO22" s="1"/>
      <c r="WZP22" s="1"/>
      <c r="WZQ22" s="1"/>
      <c r="WZR22" s="1"/>
      <c r="WZS22" s="1"/>
      <c r="WZT22" s="1"/>
      <c r="WZU22" s="1"/>
      <c r="WZV22" s="1"/>
      <c r="WZW22" s="1"/>
      <c r="WZX22" s="1"/>
      <c r="WZY22" s="1"/>
      <c r="WZZ22" s="1"/>
      <c r="XAA22" s="1"/>
      <c r="XAB22" s="1"/>
      <c r="XAC22" s="1"/>
      <c r="XAD22" s="1"/>
      <c r="XAE22" s="1"/>
      <c r="XAF22" s="1"/>
      <c r="XAG22" s="1"/>
      <c r="XAH22" s="1"/>
      <c r="XAI22" s="1"/>
      <c r="XAJ22" s="1"/>
      <c r="XAK22" s="1"/>
      <c r="XAL22" s="1"/>
      <c r="XAM22" s="1"/>
      <c r="XAN22" s="1"/>
      <c r="XAO22" s="1"/>
      <c r="XAP22" s="1"/>
      <c r="XAQ22" s="1"/>
      <c r="XAR22" s="1"/>
      <c r="XAS22" s="1"/>
      <c r="XAT22" s="1"/>
      <c r="XAU22" s="1"/>
      <c r="XAV22" s="1"/>
      <c r="XAW22" s="1"/>
      <c r="XAX22" s="1"/>
      <c r="XAY22" s="1"/>
      <c r="XAZ22" s="1"/>
      <c r="XBA22" s="1"/>
      <c r="XBB22" s="1"/>
      <c r="XBC22" s="1"/>
      <c r="XBD22" s="1"/>
      <c r="XBE22" s="1"/>
      <c r="XBF22" s="1"/>
      <c r="XBG22" s="1"/>
      <c r="XBH22" s="1"/>
      <c r="XBI22" s="1"/>
      <c r="XBJ22" s="1"/>
      <c r="XBK22" s="1"/>
      <c r="XBL22" s="1"/>
      <c r="XBM22" s="1"/>
      <c r="XBN22" s="1"/>
      <c r="XBO22" s="1"/>
      <c r="XBP22" s="1"/>
      <c r="XBQ22" s="1"/>
      <c r="XBR22" s="1"/>
      <c r="XBS22" s="1"/>
      <c r="XBT22" s="1"/>
      <c r="XBU22" s="1"/>
      <c r="XBV22" s="1"/>
      <c r="XBW22" s="1"/>
      <c r="XBX22" s="1"/>
      <c r="XBY22" s="1"/>
      <c r="XBZ22" s="1"/>
      <c r="XCA22" s="1"/>
      <c r="XCB22" s="1"/>
      <c r="XCC22" s="1"/>
      <c r="XCD22" s="1"/>
      <c r="XCE22" s="1"/>
      <c r="XCF22" s="1"/>
      <c r="XCG22" s="1"/>
      <c r="XCH22" s="1"/>
      <c r="XCI22" s="1"/>
      <c r="XCJ22" s="1"/>
      <c r="XCK22" s="1"/>
      <c r="XCL22" s="1"/>
      <c r="XCM22" s="1"/>
      <c r="XCN22" s="1"/>
      <c r="XCO22" s="1"/>
      <c r="XCP22" s="1"/>
      <c r="XCQ22" s="1"/>
      <c r="XCR22" s="1"/>
      <c r="XCS22" s="1"/>
      <c r="XCT22" s="1"/>
      <c r="XCU22" s="1"/>
      <c r="XCV22" s="1"/>
      <c r="XCW22" s="1"/>
      <c r="XCX22" s="1"/>
      <c r="XCY22" s="1"/>
      <c r="XCZ22" s="1"/>
      <c r="XDA22" s="1"/>
      <c r="XDB22" s="1"/>
      <c r="XDC22" s="1"/>
      <c r="XDD22" s="1"/>
      <c r="XDE22" s="1"/>
      <c r="XDF22" s="1"/>
      <c r="XDG22" s="1"/>
      <c r="XDH22" s="1"/>
      <c r="XDI22" s="1"/>
      <c r="XDJ22" s="1"/>
      <c r="XDK22" s="1"/>
      <c r="XDL22" s="1"/>
      <c r="XDM22" s="1"/>
      <c r="XDN22" s="1"/>
      <c r="XDO22" s="1"/>
      <c r="XDP22" s="1"/>
      <c r="XDQ22" s="1"/>
      <c r="XDR22" s="1"/>
      <c r="XDS22" s="1"/>
      <c r="XDT22" s="1"/>
      <c r="XDU22" s="1"/>
      <c r="XDV22" s="1"/>
      <c r="XDW22" s="1"/>
      <c r="XDX22" s="1"/>
      <c r="XDY22" s="1"/>
      <c r="XDZ22" s="1"/>
      <c r="XEA22" s="1"/>
      <c r="XEB22" s="1"/>
      <c r="XEC22" s="1"/>
      <c r="XED22" s="1"/>
      <c r="XEE22" s="1"/>
      <c r="XEF22" s="1"/>
      <c r="XEG22" s="1"/>
      <c r="XEH22" s="1"/>
      <c r="XEI22" s="1"/>
      <c r="XEJ22" s="1"/>
      <c r="XEK22" s="1"/>
      <c r="XEL22" s="1"/>
    </row>
    <row r="23" spans="2:16366" x14ac:dyDescent="0.25">
      <c r="C23" s="27" t="s">
        <v>136</v>
      </c>
      <c r="D23" s="54"/>
      <c r="E23" s="27">
        <f>((E9+E10+E11)-(D9+D10+D11))/(D9+D10+D11)</f>
        <v>5.1251644398500044E-2</v>
      </c>
      <c r="F23" s="27">
        <f t="shared" ref="F23:X23" si="19">((F9+F10+F11)-(E9+E10+E11))/(E9+E10+E11)</f>
        <v>7.7120404126112013E-2</v>
      </c>
      <c r="G23" s="27">
        <f t="shared" si="19"/>
        <v>3.908547141640175E-2</v>
      </c>
      <c r="H23" s="27">
        <f t="shared" si="19"/>
        <v>0.64057458699906555</v>
      </c>
      <c r="I23" s="27">
        <f t="shared" si="19"/>
        <v>0.25432801281724043</v>
      </c>
      <c r="J23" s="27">
        <f t="shared" si="19"/>
        <v>4.1389138581859929E-3</v>
      </c>
      <c r="K23" s="27">
        <f t="shared" si="19"/>
        <v>5.3749770692104591E-2</v>
      </c>
      <c r="L23" s="27">
        <f t="shared" si="19"/>
        <v>9.5141700404858295E-2</v>
      </c>
      <c r="M23" s="27">
        <f t="shared" si="19"/>
        <v>0.10412815773259396</v>
      </c>
      <c r="N23" s="27">
        <f t="shared" si="19"/>
        <v>0.13616071428571427</v>
      </c>
      <c r="O23" s="63">
        <f t="shared" si="19"/>
        <v>-2.0000000000000014E-2</v>
      </c>
      <c r="P23" s="27">
        <f t="shared" si="19"/>
        <v>0</v>
      </c>
      <c r="Q23" s="27">
        <f t="shared" si="19"/>
        <v>0</v>
      </c>
      <c r="R23" s="27">
        <f t="shared" si="19"/>
        <v>0</v>
      </c>
      <c r="S23" s="27">
        <f t="shared" si="19"/>
        <v>0</v>
      </c>
      <c r="T23" s="27">
        <f t="shared" si="19"/>
        <v>0</v>
      </c>
      <c r="U23" s="27">
        <f t="shared" si="19"/>
        <v>0</v>
      </c>
      <c r="V23" s="27">
        <f t="shared" si="19"/>
        <v>0</v>
      </c>
      <c r="W23" s="27">
        <f t="shared" si="19"/>
        <v>0</v>
      </c>
      <c r="X23" s="27">
        <f t="shared" si="19"/>
        <v>0</v>
      </c>
      <c r="Z23" s="3" t="s">
        <v>2</v>
      </c>
      <c r="AA23" s="23">
        <v>40.645161999999999</v>
      </c>
    </row>
    <row r="24" spans="2:16366" s="11" customFormat="1" x14ac:dyDescent="0.25">
      <c r="B24" s="12"/>
      <c r="C24" s="3" t="s">
        <v>156</v>
      </c>
      <c r="D24" s="54">
        <f t="shared" ref="D24:X24" si="20">D8/D6</f>
        <v>0.58646183639522476</v>
      </c>
      <c r="E24" s="54">
        <f t="shared" si="20"/>
        <v>0.60224911464942588</v>
      </c>
      <c r="F24" s="54">
        <f t="shared" si="20"/>
        <v>0.60384116231728469</v>
      </c>
      <c r="G24" s="54">
        <f t="shared" si="20"/>
        <v>0.60926748303585732</v>
      </c>
      <c r="H24" s="54">
        <f t="shared" si="20"/>
        <v>0.60512162035338579</v>
      </c>
      <c r="I24" s="54">
        <f t="shared" si="20"/>
        <v>0.62853232265045256</v>
      </c>
      <c r="J24" s="54">
        <f t="shared" si="20"/>
        <v>0.62682002744685061</v>
      </c>
      <c r="K24" s="54">
        <f t="shared" si="20"/>
        <v>0.58165829145728642</v>
      </c>
      <c r="L24" s="54">
        <f t="shared" si="20"/>
        <v>0.61545215100965756</v>
      </c>
      <c r="M24" s="54">
        <f t="shared" si="20"/>
        <v>0.61926121372031662</v>
      </c>
      <c r="N24" s="54">
        <f t="shared" si="20"/>
        <v>0.6149949341438703</v>
      </c>
      <c r="O24" s="55">
        <f t="shared" si="20"/>
        <v>0.61999999999999988</v>
      </c>
      <c r="P24" s="54">
        <f t="shared" si="20"/>
        <v>0.61999999999999988</v>
      </c>
      <c r="Q24" s="54">
        <f t="shared" si="20"/>
        <v>0.61999999999999988</v>
      </c>
      <c r="R24" s="54">
        <f t="shared" si="20"/>
        <v>0.61999999999999988</v>
      </c>
      <c r="S24" s="54">
        <f t="shared" si="20"/>
        <v>0.61999999999999988</v>
      </c>
      <c r="T24" s="54">
        <f t="shared" si="20"/>
        <v>0.61999999999999988</v>
      </c>
      <c r="U24" s="54">
        <f t="shared" si="20"/>
        <v>0.61999999999999988</v>
      </c>
      <c r="V24" s="54">
        <f t="shared" si="20"/>
        <v>0.61999999999999988</v>
      </c>
      <c r="W24" s="54">
        <f t="shared" si="20"/>
        <v>0.61999999999999988</v>
      </c>
      <c r="X24" s="54">
        <f t="shared" si="20"/>
        <v>0.61999999999999988</v>
      </c>
      <c r="Z24" s="20" t="s">
        <v>87</v>
      </c>
      <c r="AA24" s="81">
        <f>AA22/AA23</f>
        <v>83.52357908992154</v>
      </c>
    </row>
    <row r="25" spans="2:16366" x14ac:dyDescent="0.25">
      <c r="C25" s="3" t="s">
        <v>155</v>
      </c>
      <c r="D25" s="11">
        <f t="shared" ref="D25:X25" si="21">D12/D6</f>
        <v>0.10023593528968261</v>
      </c>
      <c r="E25" s="11">
        <f t="shared" si="21"/>
        <v>0.13284581160480788</v>
      </c>
      <c r="F25" s="11">
        <f t="shared" si="21"/>
        <v>0.12998881608169319</v>
      </c>
      <c r="G25" s="11">
        <f t="shared" si="21"/>
        <v>0.14532893907222924</v>
      </c>
      <c r="H25" s="11">
        <f t="shared" si="21"/>
        <v>0.12878405241918275</v>
      </c>
      <c r="I25" s="11">
        <f t="shared" si="21"/>
        <v>0.16107958660435781</v>
      </c>
      <c r="J25" s="11">
        <f t="shared" si="21"/>
        <v>0.17417678758557828</v>
      </c>
      <c r="K25" s="11">
        <f t="shared" si="21"/>
        <v>0.11620603015075377</v>
      </c>
      <c r="L25" s="11">
        <f t="shared" si="21"/>
        <v>0.14047410008779632</v>
      </c>
      <c r="M25" s="11">
        <f t="shared" si="21"/>
        <v>0.14643799472295516</v>
      </c>
      <c r="N25" s="11">
        <f t="shared" si="21"/>
        <v>9.9290780141843976E-2</v>
      </c>
      <c r="O25" s="12">
        <f t="shared" si="21"/>
        <v>0.11409736308316425</v>
      </c>
      <c r="P25" s="11">
        <f t="shared" si="21"/>
        <v>0.11409736308316425</v>
      </c>
      <c r="Q25" s="11">
        <f t="shared" si="21"/>
        <v>0.11409736308316425</v>
      </c>
      <c r="R25" s="11">
        <f t="shared" si="21"/>
        <v>0.11409736308316425</v>
      </c>
      <c r="S25" s="11">
        <f t="shared" si="21"/>
        <v>0.11409736308316425</v>
      </c>
      <c r="T25" s="11">
        <f t="shared" si="21"/>
        <v>0.11409736308316425</v>
      </c>
      <c r="U25" s="11">
        <f t="shared" si="21"/>
        <v>0.11409736308316425</v>
      </c>
      <c r="V25" s="11">
        <f t="shared" si="21"/>
        <v>0.11409736308316425</v>
      </c>
      <c r="W25" s="11">
        <f t="shared" si="21"/>
        <v>0.11409736308316425</v>
      </c>
      <c r="X25" s="11">
        <f t="shared" si="21"/>
        <v>0.11409736308316425</v>
      </c>
      <c r="Z25" s="1" t="s">
        <v>88</v>
      </c>
      <c r="AA25" s="27">
        <f>(AA24-Modell!B4)/Modell!B4</f>
        <v>-0.29217305855998693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6</vt:i4>
      </vt:variant>
    </vt:vector>
  </HeadingPairs>
  <TitlesOfParts>
    <vt:vector size="6" baseType="lpstr">
      <vt:lpstr>Info</vt:lpstr>
      <vt:lpstr>Modell</vt:lpstr>
      <vt:lpstr>Segment</vt:lpstr>
      <vt:lpstr>SOTP</vt:lpstr>
      <vt:lpstr>Nøkkeltall</vt:lpstr>
      <vt:lpstr>Nedsideberegning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 hodt</dc:creator>
  <cp:lastModifiedBy>August Hodt</cp:lastModifiedBy>
  <dcterms:created xsi:type="dcterms:W3CDTF">2025-01-14T15:01:10Z</dcterms:created>
  <dcterms:modified xsi:type="dcterms:W3CDTF">2026-10-02T13:56:51Z</dcterms:modified>
</cp:coreProperties>
</file>