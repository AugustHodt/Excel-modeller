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7DF55E7E-6A82-F549-A5A7-35614736BAC8}" xr6:coauthVersionLast="47" xr6:coauthVersionMax="47" xr10:uidLastSave="{00000000-0000-0000-0000-000000000000}"/>
  <bookViews>
    <workbookView xWindow="0" yWindow="740" windowWidth="25060" windowHeight="26500" activeTab="1" xr2:uid="{59E7E053-0337-3F47-9975-1F1A44F3F134}"/>
  </bookViews>
  <sheets>
    <sheet name="Info" sheetId="1" r:id="rId1"/>
    <sheet name="Modell" sheetId="2" r:id="rId2"/>
    <sheet name="Segment" sheetId="4" r:id="rId3"/>
    <sheet name="SOTP" sheetId="6" r:id="rId4"/>
    <sheet name="Nøkkeltall" sheetId="3" r:id="rId5"/>
    <sheet name="Nedsideberegning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3" i="2" l="1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A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B12" i="2"/>
  <c r="U21" i="2"/>
  <c r="B8" i="2"/>
  <c r="U74" i="2"/>
  <c r="U89" i="2"/>
  <c r="U79" i="2"/>
  <c r="U75" i="2"/>
  <c r="U95" i="2" s="1"/>
  <c r="U68" i="2"/>
  <c r="U64" i="2"/>
  <c r="U53" i="2"/>
  <c r="U48" i="2"/>
  <c r="U8" i="2"/>
  <c r="U12" i="2" s="1"/>
  <c r="U6" i="2"/>
  <c r="AK4" i="2"/>
  <c r="AL4" i="2" s="1"/>
  <c r="AM4" i="2" s="1"/>
  <c r="AN4" i="2" s="1"/>
  <c r="AO4" i="2" s="1"/>
  <c r="AP4" i="2" s="1"/>
  <c r="AQ4" i="2" s="1"/>
  <c r="AR4" i="2" s="1"/>
  <c r="AS4" i="2" s="1"/>
  <c r="AT4" i="2" s="1"/>
  <c r="U30" i="2"/>
  <c r="U29" i="2"/>
  <c r="D13" i="6"/>
  <c r="O10" i="5"/>
  <c r="O11" i="5"/>
  <c r="O9" i="5"/>
  <c r="P9" i="5" s="1"/>
  <c r="Q9" i="5" s="1"/>
  <c r="R9" i="5" s="1"/>
  <c r="S9" i="5" s="1"/>
  <c r="T9" i="5" s="1"/>
  <c r="U9" i="5" s="1"/>
  <c r="V9" i="5" s="1"/>
  <c r="W9" i="5" s="1"/>
  <c r="X9" i="5" s="1"/>
  <c r="P10" i="5"/>
  <c r="Q10" i="5" s="1"/>
  <c r="R10" i="5" s="1"/>
  <c r="S10" i="5" s="1"/>
  <c r="T10" i="5" s="1"/>
  <c r="U10" i="5" s="1"/>
  <c r="V10" i="5" s="1"/>
  <c r="W10" i="5" s="1"/>
  <c r="X10" i="5" s="1"/>
  <c r="P11" i="5"/>
  <c r="Q11" i="5" s="1"/>
  <c r="R11" i="5" s="1"/>
  <c r="S11" i="5" s="1"/>
  <c r="T11" i="5" s="1"/>
  <c r="U11" i="5" s="1"/>
  <c r="V11" i="5" s="1"/>
  <c r="W11" i="5" s="1"/>
  <c r="X11" i="5" s="1"/>
  <c r="P4" i="5"/>
  <c r="Q4" i="5" s="1"/>
  <c r="R4" i="5" s="1"/>
  <c r="S4" i="5" s="1"/>
  <c r="T4" i="5" s="1"/>
  <c r="U4" i="5" s="1"/>
  <c r="V4" i="5" s="1"/>
  <c r="W4" i="5" s="1"/>
  <c r="X4" i="5" s="1"/>
  <c r="O4" i="5"/>
  <c r="N23" i="5"/>
  <c r="M23" i="5"/>
  <c r="L23" i="5"/>
  <c r="K23" i="5"/>
  <c r="J23" i="5"/>
  <c r="I23" i="5"/>
  <c r="H23" i="5"/>
  <c r="G23" i="5"/>
  <c r="F23" i="5"/>
  <c r="E23" i="5"/>
  <c r="K21" i="5"/>
  <c r="J21" i="5"/>
  <c r="I21" i="5"/>
  <c r="O13" i="5"/>
  <c r="P13" i="5" s="1"/>
  <c r="Q13" i="5" s="1"/>
  <c r="R13" i="5" s="1"/>
  <c r="S13" i="5" s="1"/>
  <c r="T13" i="5" s="1"/>
  <c r="U13" i="5" s="1"/>
  <c r="V13" i="5" s="1"/>
  <c r="W13" i="5" s="1"/>
  <c r="X13" i="5" s="1"/>
  <c r="K8" i="5"/>
  <c r="I7" i="5"/>
  <c r="I8" i="5" s="1"/>
  <c r="H7" i="5"/>
  <c r="N6" i="5"/>
  <c r="N21" i="5" s="1"/>
  <c r="M6" i="5"/>
  <c r="M8" i="5" s="1"/>
  <c r="L6" i="5"/>
  <c r="K6" i="5"/>
  <c r="J6" i="5"/>
  <c r="J8" i="5" s="1"/>
  <c r="I6" i="5"/>
  <c r="H6" i="5"/>
  <c r="H8" i="5" s="1"/>
  <c r="H12" i="5" s="1"/>
  <c r="G6" i="5"/>
  <c r="G8" i="5" s="1"/>
  <c r="F6" i="5"/>
  <c r="F21" i="5" s="1"/>
  <c r="E6" i="5"/>
  <c r="D6" i="5"/>
  <c r="D8" i="5" s="1"/>
  <c r="O6" i="5"/>
  <c r="G15" i="6"/>
  <c r="H15" i="6" s="1"/>
  <c r="M26" i="1"/>
  <c r="M25" i="1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AK10" i="2"/>
  <c r="AK11" i="2"/>
  <c r="AL11" i="2" s="1"/>
  <c r="AM11" i="2" s="1"/>
  <c r="AN11" i="2" s="1"/>
  <c r="AO11" i="2" s="1"/>
  <c r="AP11" i="2" s="1"/>
  <c r="AQ11" i="2" s="1"/>
  <c r="AR11" i="2" s="1"/>
  <c r="AS11" i="2" s="1"/>
  <c r="AT11" i="2" s="1"/>
  <c r="AK9" i="2"/>
  <c r="AL9" i="2" s="1"/>
  <c r="AM9" i="2" s="1"/>
  <c r="AN9" i="2" s="1"/>
  <c r="AO9" i="2" s="1"/>
  <c r="AP9" i="2" s="1"/>
  <c r="AQ9" i="2" s="1"/>
  <c r="AR9" i="2" s="1"/>
  <c r="AS9" i="2" s="1"/>
  <c r="AT9" i="2" s="1"/>
  <c r="AK5" i="2"/>
  <c r="AL5" i="2" s="1"/>
  <c r="AM5" i="2" s="1"/>
  <c r="AN5" i="2" s="1"/>
  <c r="AO5" i="2" s="1"/>
  <c r="AP5" i="2" s="1"/>
  <c r="AQ5" i="2" s="1"/>
  <c r="AR5" i="2" s="1"/>
  <c r="AS5" i="2" s="1"/>
  <c r="AT5" i="2" s="1"/>
  <c r="AC89" i="2"/>
  <c r="AC79" i="2"/>
  <c r="AC75" i="2"/>
  <c r="AC95" i="2" s="1"/>
  <c r="Z89" i="2"/>
  <c r="Z79" i="2"/>
  <c r="Z75" i="2"/>
  <c r="Z95" i="2" s="1"/>
  <c r="Z64" i="2"/>
  <c r="Z53" i="2"/>
  <c r="Z48" i="2"/>
  <c r="AA89" i="2"/>
  <c r="AA79" i="2"/>
  <c r="AA75" i="2"/>
  <c r="AA95" i="2" s="1"/>
  <c r="AB89" i="2"/>
  <c r="AB79" i="2"/>
  <c r="AB75" i="2"/>
  <c r="AB95" i="2" s="1"/>
  <c r="AC64" i="2"/>
  <c r="AC53" i="2"/>
  <c r="AC48" i="2"/>
  <c r="AB64" i="2"/>
  <c r="AB53" i="2"/>
  <c r="AB48" i="2"/>
  <c r="AA64" i="2"/>
  <c r="AA53" i="2"/>
  <c r="AA65" i="2" s="1"/>
  <c r="AA48" i="2"/>
  <c r="AE64" i="2"/>
  <c r="AD64" i="2"/>
  <c r="AE53" i="2"/>
  <c r="AD53" i="2"/>
  <c r="AE48" i="2"/>
  <c r="AD48" i="2"/>
  <c r="AF65" i="2"/>
  <c r="AJ89" i="2"/>
  <c r="AJ79" i="2"/>
  <c r="AJ75" i="2"/>
  <c r="AJ95" i="2" s="1"/>
  <c r="AH64" i="2"/>
  <c r="AH53" i="2"/>
  <c r="AH48" i="2"/>
  <c r="AI64" i="2"/>
  <c r="AI53" i="2"/>
  <c r="AI48" i="2"/>
  <c r="AJ64" i="2"/>
  <c r="AJ53" i="2"/>
  <c r="AJ48" i="2"/>
  <c r="T89" i="2"/>
  <c r="T79" i="2"/>
  <c r="T75" i="2"/>
  <c r="T95" i="2" s="1"/>
  <c r="T64" i="2"/>
  <c r="T53" i="2"/>
  <c r="T48" i="2"/>
  <c r="T6" i="2"/>
  <c r="T8" i="2" s="1"/>
  <c r="S74" i="2"/>
  <c r="S48" i="2"/>
  <c r="U12" i="4"/>
  <c r="G11" i="6"/>
  <c r="H11" i="6" s="1"/>
  <c r="G12" i="6"/>
  <c r="H12" i="6" s="1"/>
  <c r="U93" i="2" l="1"/>
  <c r="U65" i="2"/>
  <c r="U15" i="2"/>
  <c r="U17" i="2" s="1"/>
  <c r="U19" i="2" s="1"/>
  <c r="U25" i="2"/>
  <c r="U24" i="2"/>
  <c r="H13" i="6"/>
  <c r="G13" i="6"/>
  <c r="AC65" i="2"/>
  <c r="AJ65" i="2"/>
  <c r="AL10" i="2"/>
  <c r="AM10" i="2" s="1"/>
  <c r="AN10" i="2" s="1"/>
  <c r="AO10" i="2" s="1"/>
  <c r="AP10" i="2" s="1"/>
  <c r="AQ10" i="2" s="1"/>
  <c r="AR10" i="2" s="1"/>
  <c r="AS10" i="2" s="1"/>
  <c r="AT10" i="2" s="1"/>
  <c r="H25" i="5"/>
  <c r="H15" i="5"/>
  <c r="H17" i="5" s="1"/>
  <c r="H19" i="5" s="1"/>
  <c r="Q23" i="5"/>
  <c r="G24" i="5"/>
  <c r="G12" i="5"/>
  <c r="P23" i="5"/>
  <c r="O23" i="5"/>
  <c r="I24" i="5"/>
  <c r="I12" i="5"/>
  <c r="H24" i="5"/>
  <c r="O7" i="5"/>
  <c r="O8" i="5" s="1"/>
  <c r="O21" i="5"/>
  <c r="J12" i="5"/>
  <c r="J24" i="5"/>
  <c r="D24" i="5"/>
  <c r="D12" i="5"/>
  <c r="L21" i="5"/>
  <c r="L8" i="5"/>
  <c r="K24" i="5"/>
  <c r="K12" i="5"/>
  <c r="E21" i="5"/>
  <c r="M24" i="5"/>
  <c r="M12" i="5"/>
  <c r="G21" i="5"/>
  <c r="P5" i="5"/>
  <c r="Q5" i="5" s="1"/>
  <c r="R5" i="5" s="1"/>
  <c r="S5" i="5" s="1"/>
  <c r="T5" i="5" s="1"/>
  <c r="U5" i="5" s="1"/>
  <c r="V5" i="5" s="1"/>
  <c r="W5" i="5" s="1"/>
  <c r="X5" i="5" s="1"/>
  <c r="H21" i="5"/>
  <c r="E8" i="5"/>
  <c r="F8" i="5"/>
  <c r="M21" i="5"/>
  <c r="N8" i="5"/>
  <c r="T29" i="2"/>
  <c r="Z65" i="2"/>
  <c r="AH65" i="2"/>
  <c r="AB65" i="2"/>
  <c r="AC93" i="2"/>
  <c r="AA93" i="2"/>
  <c r="Z93" i="2"/>
  <c r="AD65" i="2"/>
  <c r="AE65" i="2"/>
  <c r="AB93" i="2"/>
  <c r="AI65" i="2"/>
  <c r="AG65" i="2"/>
  <c r="AJ93" i="2"/>
  <c r="T93" i="2"/>
  <c r="T65" i="2"/>
  <c r="T12" i="2"/>
  <c r="T24" i="2"/>
  <c r="AA23" i="4"/>
  <c r="Z22" i="4"/>
  <c r="Y22" i="4"/>
  <c r="X22" i="4"/>
  <c r="W22" i="4"/>
  <c r="AA21" i="4"/>
  <c r="Z20" i="4"/>
  <c r="Y20" i="4"/>
  <c r="X20" i="4"/>
  <c r="W20" i="4"/>
  <c r="AA19" i="4"/>
  <c r="AA16" i="4"/>
  <c r="AA13" i="4"/>
  <c r="Z12" i="4"/>
  <c r="Y12" i="4"/>
  <c r="X12" i="4"/>
  <c r="W12" i="4"/>
  <c r="AA11" i="4"/>
  <c r="Z10" i="4"/>
  <c r="Y10" i="4"/>
  <c r="X10" i="4"/>
  <c r="W10" i="4"/>
  <c r="AA9" i="4"/>
  <c r="AA6" i="4"/>
  <c r="AA7" i="4" s="1"/>
  <c r="P6" i="5" l="1"/>
  <c r="O24" i="5"/>
  <c r="O12" i="5"/>
  <c r="G25" i="5"/>
  <c r="G15" i="5"/>
  <c r="G17" i="5" s="1"/>
  <c r="G19" i="5" s="1"/>
  <c r="M15" i="5"/>
  <c r="M17" i="5" s="1"/>
  <c r="M19" i="5" s="1"/>
  <c r="M25" i="5"/>
  <c r="N24" i="5"/>
  <c r="N12" i="5"/>
  <c r="J15" i="5"/>
  <c r="J17" i="5" s="1"/>
  <c r="J19" i="5" s="1"/>
  <c r="J25" i="5"/>
  <c r="E24" i="5"/>
  <c r="E12" i="5"/>
  <c r="P21" i="5"/>
  <c r="P7" i="5"/>
  <c r="P8" i="5" s="1"/>
  <c r="L24" i="5"/>
  <c r="L12" i="5"/>
  <c r="D15" i="5"/>
  <c r="D17" i="5" s="1"/>
  <c r="D19" i="5" s="1"/>
  <c r="D25" i="5"/>
  <c r="I25" i="5"/>
  <c r="I15" i="5"/>
  <c r="I17" i="5" s="1"/>
  <c r="I19" i="5" s="1"/>
  <c r="R23" i="5"/>
  <c r="F24" i="5"/>
  <c r="F12" i="5"/>
  <c r="K15" i="5"/>
  <c r="K17" i="5" s="1"/>
  <c r="K19" i="5" s="1"/>
  <c r="K25" i="5"/>
  <c r="Q6" i="5"/>
  <c r="AA10" i="4"/>
  <c r="T15" i="2"/>
  <c r="T25" i="2"/>
  <c r="AA22" i="4"/>
  <c r="AA20" i="4"/>
  <c r="AA12" i="4"/>
  <c r="P12" i="5" l="1"/>
  <c r="P24" i="5"/>
  <c r="N15" i="5"/>
  <c r="N17" i="5" s="1"/>
  <c r="N19" i="5" s="1"/>
  <c r="N25" i="5"/>
  <c r="O25" i="5"/>
  <c r="O15" i="5"/>
  <c r="S23" i="5"/>
  <c r="R6" i="5"/>
  <c r="Q7" i="5"/>
  <c r="Q8" i="5" s="1"/>
  <c r="Q21" i="5"/>
  <c r="E15" i="5"/>
  <c r="E17" i="5" s="1"/>
  <c r="E19" i="5" s="1"/>
  <c r="E25" i="5"/>
  <c r="F15" i="5"/>
  <c r="F17" i="5" s="1"/>
  <c r="F19" i="5" s="1"/>
  <c r="F25" i="5"/>
  <c r="L25" i="5"/>
  <c r="L15" i="5"/>
  <c r="L17" i="5" s="1"/>
  <c r="L19" i="5" s="1"/>
  <c r="T17" i="2"/>
  <c r="T19" i="2" s="1"/>
  <c r="T68" i="2"/>
  <c r="AJ6" i="2"/>
  <c r="R74" i="2"/>
  <c r="R75" i="2" s="1"/>
  <c r="R95" i="2" s="1"/>
  <c r="S89" i="2"/>
  <c r="R89" i="2"/>
  <c r="S79" i="2"/>
  <c r="R79" i="2"/>
  <c r="S75" i="2"/>
  <c r="S95" i="2" s="1"/>
  <c r="T12" i="4"/>
  <c r="R64" i="2"/>
  <c r="S64" i="2"/>
  <c r="R53" i="2"/>
  <c r="R65" i="2" s="1"/>
  <c r="S53" i="2"/>
  <c r="R48" i="2"/>
  <c r="R6" i="2"/>
  <c r="S6" i="2"/>
  <c r="AG6" i="2"/>
  <c r="Q74" i="2"/>
  <c r="Q75" i="2" s="1"/>
  <c r="Q89" i="2"/>
  <c r="Q79" i="2"/>
  <c r="Q64" i="2"/>
  <c r="Q53" i="2"/>
  <c r="Q48" i="2"/>
  <c r="Q6" i="2"/>
  <c r="S12" i="4"/>
  <c r="G16" i="6" l="1"/>
  <c r="Q24" i="5"/>
  <c r="Q12" i="5"/>
  <c r="S6" i="5"/>
  <c r="T23" i="5"/>
  <c r="O16" i="5"/>
  <c r="O17" i="5" s="1"/>
  <c r="O19" i="5" s="1"/>
  <c r="R21" i="5"/>
  <c r="R7" i="5"/>
  <c r="R8" i="5" s="1"/>
  <c r="P25" i="5"/>
  <c r="P15" i="5"/>
  <c r="AJ8" i="2"/>
  <c r="AJ12" i="2" s="1"/>
  <c r="AJ29" i="2"/>
  <c r="AG8" i="2"/>
  <c r="AG24" i="2" s="1"/>
  <c r="AG29" i="2"/>
  <c r="R8" i="2"/>
  <c r="R24" i="2" s="1"/>
  <c r="R29" i="2"/>
  <c r="Q8" i="2"/>
  <c r="Q24" i="2" s="1"/>
  <c r="Q29" i="2"/>
  <c r="S8" i="2"/>
  <c r="S12" i="2" s="1"/>
  <c r="S29" i="2"/>
  <c r="AG12" i="2"/>
  <c r="Q93" i="2"/>
  <c r="S93" i="2"/>
  <c r="S65" i="2"/>
  <c r="R93" i="2"/>
  <c r="Q95" i="2"/>
  <c r="Q65" i="2"/>
  <c r="H16" i="6" l="1"/>
  <c r="H17" i="6" s="1"/>
  <c r="G17" i="6"/>
  <c r="S24" i="2"/>
  <c r="AJ24" i="2"/>
  <c r="R24" i="5"/>
  <c r="R12" i="5"/>
  <c r="P16" i="5"/>
  <c r="P17" i="5" s="1"/>
  <c r="P19" i="5" s="1"/>
  <c r="Q25" i="5"/>
  <c r="Q15" i="5"/>
  <c r="U23" i="5"/>
  <c r="T6" i="5"/>
  <c r="S7" i="5"/>
  <c r="S21" i="5"/>
  <c r="S8" i="5"/>
  <c r="R12" i="2"/>
  <c r="Q12" i="2"/>
  <c r="S15" i="2"/>
  <c r="S25" i="2"/>
  <c r="R25" i="2"/>
  <c r="R15" i="2"/>
  <c r="Z6" i="2"/>
  <c r="AA6" i="2"/>
  <c r="AB6" i="2"/>
  <c r="AC6" i="2"/>
  <c r="S22" i="4"/>
  <c r="T22" i="4"/>
  <c r="U22" i="4"/>
  <c r="S20" i="4"/>
  <c r="T20" i="4"/>
  <c r="U20" i="4"/>
  <c r="S10" i="4"/>
  <c r="T10" i="4"/>
  <c r="U10" i="4"/>
  <c r="P74" i="2"/>
  <c r="P75" i="2" s="1"/>
  <c r="P89" i="2"/>
  <c r="P79" i="2"/>
  <c r="P64" i="2"/>
  <c r="P53" i="2"/>
  <c r="P48" i="2"/>
  <c r="V23" i="5" l="1"/>
  <c r="S24" i="5"/>
  <c r="S12" i="5"/>
  <c r="Q16" i="5"/>
  <c r="Q17" i="5" s="1"/>
  <c r="Q19" i="5" s="1"/>
  <c r="T7" i="5"/>
  <c r="T8" i="5" s="1"/>
  <c r="T21" i="5"/>
  <c r="R15" i="5"/>
  <c r="R25" i="5"/>
  <c r="U6" i="5"/>
  <c r="AA8" i="2"/>
  <c r="AA12" i="2" s="1"/>
  <c r="AA25" i="2" s="1"/>
  <c r="AA29" i="2"/>
  <c r="Z8" i="2"/>
  <c r="Z24" i="2" s="1"/>
  <c r="Z29" i="2"/>
  <c r="AC8" i="2"/>
  <c r="AC12" i="2" s="1"/>
  <c r="AC29" i="2"/>
  <c r="AB8" i="2"/>
  <c r="AB24" i="2" s="1"/>
  <c r="AB29" i="2"/>
  <c r="AA24" i="2"/>
  <c r="R17" i="2"/>
  <c r="R19" i="2" s="1"/>
  <c r="R68" i="2"/>
  <c r="S68" i="2"/>
  <c r="S17" i="2"/>
  <c r="S19" i="2" s="1"/>
  <c r="AA21" i="2"/>
  <c r="AB21" i="2"/>
  <c r="AC21" i="2"/>
  <c r="P65" i="2"/>
  <c r="Q25" i="2"/>
  <c r="P93" i="2"/>
  <c r="P95" i="2"/>
  <c r="AD89" i="2"/>
  <c r="AD74" i="2"/>
  <c r="AD75" i="2" s="1"/>
  <c r="AE74" i="2"/>
  <c r="AE75" i="2" s="1"/>
  <c r="AD7" i="2"/>
  <c r="AD6" i="2"/>
  <c r="AD29" i="2" s="1"/>
  <c r="AE7" i="2"/>
  <c r="AE6" i="2"/>
  <c r="AF6" i="2"/>
  <c r="AH89" i="2"/>
  <c r="AI89" i="2"/>
  <c r="AG89" i="2"/>
  <c r="AF89" i="2"/>
  <c r="AF74" i="2"/>
  <c r="AF75" i="2" s="1"/>
  <c r="AF95" i="2" s="1"/>
  <c r="AG74" i="2"/>
  <c r="AG75" i="2" s="1"/>
  <c r="AH74" i="2"/>
  <c r="AH75" i="2" s="1"/>
  <c r="AH95" i="2" s="1"/>
  <c r="AE89" i="2"/>
  <c r="AD79" i="2"/>
  <c r="AE79" i="2"/>
  <c r="AF79" i="2"/>
  <c r="AG79" i="2"/>
  <c r="AH79" i="2"/>
  <c r="AI79" i="2"/>
  <c r="AI74" i="2"/>
  <c r="AI75" i="2" s="1"/>
  <c r="AI95" i="2" s="1"/>
  <c r="K74" i="2"/>
  <c r="K75" i="2" s="1"/>
  <c r="K95" i="2" s="1"/>
  <c r="N89" i="2"/>
  <c r="M89" i="2"/>
  <c r="L89" i="2"/>
  <c r="K89" i="2"/>
  <c r="J89" i="2"/>
  <c r="I89" i="2"/>
  <c r="H89" i="2"/>
  <c r="G89" i="2"/>
  <c r="F89" i="2"/>
  <c r="E89" i="2"/>
  <c r="D89" i="2"/>
  <c r="N79" i="2"/>
  <c r="M79" i="2"/>
  <c r="L79" i="2"/>
  <c r="K79" i="2"/>
  <c r="J79" i="2"/>
  <c r="I79" i="2"/>
  <c r="H79" i="2"/>
  <c r="G79" i="2"/>
  <c r="F79" i="2"/>
  <c r="E79" i="2"/>
  <c r="D79" i="2"/>
  <c r="N75" i="2"/>
  <c r="N95" i="2" s="1"/>
  <c r="M75" i="2"/>
  <c r="M95" i="2" s="1"/>
  <c r="L75" i="2"/>
  <c r="L95" i="2" s="1"/>
  <c r="J75" i="2"/>
  <c r="J95" i="2" s="1"/>
  <c r="I75" i="2"/>
  <c r="I95" i="2" s="1"/>
  <c r="H75" i="2"/>
  <c r="G75" i="2"/>
  <c r="G95" i="2" s="1"/>
  <c r="F75" i="2"/>
  <c r="E75" i="2"/>
  <c r="E95" i="2" s="1"/>
  <c r="D75" i="2"/>
  <c r="D95" i="2" s="1"/>
  <c r="O74" i="2"/>
  <c r="O75" i="2" s="1"/>
  <c r="O95" i="2" s="1"/>
  <c r="O89" i="2"/>
  <c r="O79" i="2"/>
  <c r="R22" i="4"/>
  <c r="R20" i="4"/>
  <c r="R12" i="4"/>
  <c r="R10" i="4"/>
  <c r="V9" i="4"/>
  <c r="Q11" i="4"/>
  <c r="Q12" i="4" s="1"/>
  <c r="V23" i="4"/>
  <c r="V21" i="4"/>
  <c r="V18" i="4"/>
  <c r="V16" i="4"/>
  <c r="V13" i="4"/>
  <c r="V11" i="4"/>
  <c r="V6" i="4"/>
  <c r="V7" i="4" s="1"/>
  <c r="Q23" i="4"/>
  <c r="Q13" i="4"/>
  <c r="Q10" i="4"/>
  <c r="Q9" i="4"/>
  <c r="Q8" i="4"/>
  <c r="Q7" i="4"/>
  <c r="Q6" i="4"/>
  <c r="Q21" i="4"/>
  <c r="Q22" i="4" s="1"/>
  <c r="Q19" i="4"/>
  <c r="Q20" i="4" s="1"/>
  <c r="Q18" i="4"/>
  <c r="Q16" i="4"/>
  <c r="Q17" i="4" s="1"/>
  <c r="L17" i="4"/>
  <c r="L23" i="4"/>
  <c r="L21" i="4"/>
  <c r="L22" i="4" s="1"/>
  <c r="L19" i="4"/>
  <c r="L20" i="4" s="1"/>
  <c r="L18" i="4"/>
  <c r="L16" i="4"/>
  <c r="G23" i="4"/>
  <c r="G21" i="4"/>
  <c r="G22" i="4" s="1"/>
  <c r="G19" i="4"/>
  <c r="G18" i="4"/>
  <c r="G16" i="4"/>
  <c r="G20" i="4" s="1"/>
  <c r="L8" i="4"/>
  <c r="G8" i="4"/>
  <c r="L7" i="4"/>
  <c r="L6" i="4"/>
  <c r="L12" i="4" s="1"/>
  <c r="L13" i="4"/>
  <c r="L11" i="4"/>
  <c r="L9" i="4"/>
  <c r="G13" i="4"/>
  <c r="G12" i="4"/>
  <c r="G11" i="4"/>
  <c r="G10" i="4"/>
  <c r="G9" i="4"/>
  <c r="G6" i="4"/>
  <c r="Z12" i="2" l="1"/>
  <c r="Z15" i="2" s="1"/>
  <c r="T24" i="5"/>
  <c r="T12" i="5"/>
  <c r="U7" i="5"/>
  <c r="U21" i="5"/>
  <c r="U8" i="5"/>
  <c r="S15" i="5"/>
  <c r="S25" i="5"/>
  <c r="R16" i="5"/>
  <c r="R17" i="5" s="1"/>
  <c r="R19" i="5" s="1"/>
  <c r="V6" i="5"/>
  <c r="W23" i="5"/>
  <c r="X23" i="5"/>
  <c r="AB12" i="2"/>
  <c r="AB25" i="2" s="1"/>
  <c r="AE8" i="2"/>
  <c r="AE24" i="2" s="1"/>
  <c r="AE29" i="2"/>
  <c r="AF8" i="2"/>
  <c r="AF29" i="2"/>
  <c r="AC24" i="2"/>
  <c r="AD8" i="2"/>
  <c r="AD24" i="2" s="1"/>
  <c r="Z17" i="2"/>
  <c r="Z26" i="2" s="1"/>
  <c r="Z68" i="2"/>
  <c r="AA15" i="2"/>
  <c r="Z25" i="2"/>
  <c r="AF24" i="2"/>
  <c r="AF12" i="2"/>
  <c r="AF15" i="2" s="1"/>
  <c r="AD21" i="2"/>
  <c r="AD93" i="2"/>
  <c r="V17" i="4"/>
  <c r="AA17" i="4"/>
  <c r="Q15" i="2"/>
  <c r="AC15" i="2"/>
  <c r="AC25" i="2"/>
  <c r="AG93" i="2"/>
  <c r="AE21" i="2"/>
  <c r="AE93" i="2"/>
  <c r="V19" i="4"/>
  <c r="V20" i="4" s="1"/>
  <c r="AH93" i="2"/>
  <c r="AF93" i="2"/>
  <c r="AI93" i="2"/>
  <c r="AF21" i="2"/>
  <c r="AG95" i="2"/>
  <c r="AE95" i="2"/>
  <c r="AD95" i="2"/>
  <c r="E93" i="2"/>
  <c r="H93" i="2"/>
  <c r="F93" i="2"/>
  <c r="F95" i="2"/>
  <c r="L93" i="2"/>
  <c r="D93" i="2"/>
  <c r="M93" i="2"/>
  <c r="N93" i="2"/>
  <c r="G93" i="2"/>
  <c r="I93" i="2"/>
  <c r="J93" i="2"/>
  <c r="H95" i="2"/>
  <c r="K93" i="2"/>
  <c r="O93" i="2"/>
  <c r="V22" i="4"/>
  <c r="V10" i="4"/>
  <c r="V12" i="4"/>
  <c r="L10" i="4"/>
  <c r="AE12" i="2" l="1"/>
  <c r="AB15" i="2"/>
  <c r="AB17" i="2" s="1"/>
  <c r="S16" i="5"/>
  <c r="S17" i="5" s="1"/>
  <c r="S19" i="5" s="1"/>
  <c r="U24" i="5"/>
  <c r="U12" i="5"/>
  <c r="X6" i="5"/>
  <c r="W6" i="5"/>
  <c r="V21" i="5"/>
  <c r="V8" i="5"/>
  <c r="V7" i="5"/>
  <c r="T15" i="5"/>
  <c r="T25" i="5"/>
  <c r="Z19" i="2"/>
  <c r="AD12" i="2"/>
  <c r="AD15" i="2" s="1"/>
  <c r="AD68" i="2" s="1"/>
  <c r="AB68" i="2"/>
  <c r="AA17" i="2"/>
  <c r="AA68" i="2"/>
  <c r="AC17" i="2"/>
  <c r="AC19" i="2" s="1"/>
  <c r="AC68" i="2"/>
  <c r="Q17" i="2"/>
  <c r="Q19" i="2" s="1"/>
  <c r="Q68" i="2"/>
  <c r="AF17" i="2"/>
  <c r="AF68" i="2"/>
  <c r="AF25" i="2"/>
  <c r="AE15" i="2"/>
  <c r="AE25" i="2"/>
  <c r="AD25" i="2" l="1"/>
  <c r="AD17" i="2"/>
  <c r="AD19" i="2" s="1"/>
  <c r="V24" i="5"/>
  <c r="V12" i="5"/>
  <c r="W7" i="5"/>
  <c r="W8" i="5" s="1"/>
  <c r="W21" i="5"/>
  <c r="X21" i="5"/>
  <c r="X7" i="5"/>
  <c r="X8" i="5" s="1"/>
  <c r="U25" i="5"/>
  <c r="U15" i="5"/>
  <c r="T16" i="5"/>
  <c r="T17" i="5" s="1"/>
  <c r="T19" i="5" s="1"/>
  <c r="AC26" i="2"/>
  <c r="AA19" i="2"/>
  <c r="AA26" i="2"/>
  <c r="AB19" i="2"/>
  <c r="AB26" i="2"/>
  <c r="AD26" i="2"/>
  <c r="AF19" i="2"/>
  <c r="AF26" i="2"/>
  <c r="AE68" i="2"/>
  <c r="AE17" i="2"/>
  <c r="X24" i="5" l="1"/>
  <c r="X12" i="5"/>
  <c r="W24" i="5"/>
  <c r="W12" i="5"/>
  <c r="U16" i="5"/>
  <c r="U17" i="5" s="1"/>
  <c r="U19" i="5" s="1"/>
  <c r="V15" i="5"/>
  <c r="V25" i="5"/>
  <c r="AE19" i="2"/>
  <c r="AE26" i="2"/>
  <c r="P6" i="2"/>
  <c r="V16" i="5" l="1"/>
  <c r="V17" i="5" s="1"/>
  <c r="V19" i="5" s="1"/>
  <c r="W25" i="5"/>
  <c r="W15" i="5"/>
  <c r="X25" i="5"/>
  <c r="X15" i="5"/>
  <c r="P8" i="2"/>
  <c r="P12" i="2" s="1"/>
  <c r="P29" i="2"/>
  <c r="T21" i="2"/>
  <c r="E53" i="2"/>
  <c r="K53" i="2"/>
  <c r="H64" i="2"/>
  <c r="D48" i="2"/>
  <c r="E48" i="2"/>
  <c r="F48" i="2"/>
  <c r="G48" i="2"/>
  <c r="H48" i="2"/>
  <c r="I48" i="2"/>
  <c r="J48" i="2"/>
  <c r="K48" i="2"/>
  <c r="L48" i="2"/>
  <c r="M48" i="2"/>
  <c r="D53" i="2"/>
  <c r="F53" i="2"/>
  <c r="G53" i="2"/>
  <c r="H53" i="2"/>
  <c r="I53" i="2"/>
  <c r="J53" i="2"/>
  <c r="L53" i="2"/>
  <c r="M53" i="2"/>
  <c r="D64" i="2"/>
  <c r="E64" i="2"/>
  <c r="F64" i="2"/>
  <c r="G64" i="2"/>
  <c r="I64" i="2"/>
  <c r="J64" i="2"/>
  <c r="K64" i="2"/>
  <c r="L64" i="2"/>
  <c r="M64" i="2"/>
  <c r="P24" i="2" l="1"/>
  <c r="W16" i="5"/>
  <c r="W17" i="5" s="1"/>
  <c r="W19" i="5" s="1"/>
  <c r="X16" i="5"/>
  <c r="X17" i="5" s="1"/>
  <c r="X19" i="5" s="1"/>
  <c r="P25" i="2"/>
  <c r="P15" i="2"/>
  <c r="M65" i="2"/>
  <c r="G65" i="2"/>
  <c r="I65" i="2"/>
  <c r="E65" i="2"/>
  <c r="D65" i="2"/>
  <c r="F65" i="2"/>
  <c r="H65" i="2"/>
  <c r="L65" i="2"/>
  <c r="K65" i="2"/>
  <c r="J65" i="2"/>
  <c r="O6" i="2"/>
  <c r="O8" i="2" l="1"/>
  <c r="O29" i="2"/>
  <c r="O24" i="2"/>
  <c r="O12" i="2"/>
  <c r="S21" i="2"/>
  <c r="P17" i="2"/>
  <c r="P19" i="2" s="1"/>
  <c r="P68" i="2"/>
  <c r="O64" i="2"/>
  <c r="O53" i="2"/>
  <c r="O48" i="2"/>
  <c r="AK13" i="2"/>
  <c r="AL13" i="2" s="1"/>
  <c r="AM13" i="2" s="1"/>
  <c r="AN13" i="2" s="1"/>
  <c r="AO13" i="2" s="1"/>
  <c r="AP13" i="2" s="1"/>
  <c r="AQ13" i="2" s="1"/>
  <c r="AR13" i="2" s="1"/>
  <c r="AS13" i="2" s="1"/>
  <c r="AT13" i="2" s="1"/>
  <c r="O65" i="2" l="1"/>
  <c r="E6" i="2"/>
  <c r="F6" i="2"/>
  <c r="G6" i="2"/>
  <c r="K6" i="2"/>
  <c r="I6" i="2"/>
  <c r="M6" i="2"/>
  <c r="N64" i="2"/>
  <c r="N53" i="2"/>
  <c r="N48" i="2"/>
  <c r="J6" i="2"/>
  <c r="N6" i="2"/>
  <c r="B6" i="2"/>
  <c r="B14" i="2" s="1"/>
  <c r="J8" i="2" l="1"/>
  <c r="J29" i="2"/>
  <c r="N8" i="2"/>
  <c r="N24" i="2" s="1"/>
  <c r="N29" i="2"/>
  <c r="G8" i="2"/>
  <c r="G12" i="2" s="1"/>
  <c r="G25" i="2" s="1"/>
  <c r="G29" i="2"/>
  <c r="F8" i="2"/>
  <c r="F12" i="2" s="1"/>
  <c r="F29" i="2"/>
  <c r="E8" i="2"/>
  <c r="E29" i="2"/>
  <c r="M8" i="2"/>
  <c r="M29" i="2"/>
  <c r="I8" i="2"/>
  <c r="I12" i="2" s="1"/>
  <c r="I15" i="2" s="1"/>
  <c r="I29" i="2"/>
  <c r="K8" i="2"/>
  <c r="K24" i="2" s="1"/>
  <c r="K29" i="2"/>
  <c r="E24" i="2"/>
  <c r="E12" i="2"/>
  <c r="E25" i="2" s="1"/>
  <c r="J24" i="2"/>
  <c r="J12" i="2"/>
  <c r="M24" i="2"/>
  <c r="M12" i="2"/>
  <c r="I24" i="2"/>
  <c r="R21" i="2"/>
  <c r="Q21" i="2"/>
  <c r="N21" i="2"/>
  <c r="D6" i="2"/>
  <c r="L6" i="2"/>
  <c r="AI6" i="2"/>
  <c r="H6" i="2"/>
  <c r="AH6" i="2"/>
  <c r="B9" i="2"/>
  <c r="O21" i="2"/>
  <c r="O15" i="2"/>
  <c r="O68" i="2" s="1"/>
  <c r="N65" i="2"/>
  <c r="J21" i="2"/>
  <c r="K21" i="2"/>
  <c r="I21" i="2"/>
  <c r="M21" i="2"/>
  <c r="K12" i="2" l="1"/>
  <c r="K25" i="2" s="1"/>
  <c r="N12" i="2"/>
  <c r="L8" i="2"/>
  <c r="L29" i="2"/>
  <c r="F24" i="2"/>
  <c r="G24" i="2"/>
  <c r="H8" i="2"/>
  <c r="H12" i="2" s="1"/>
  <c r="H29" i="2"/>
  <c r="AI8" i="2"/>
  <c r="AI24" i="2" s="1"/>
  <c r="AI29" i="2"/>
  <c r="D8" i="2"/>
  <c r="D12" i="2" s="1"/>
  <c r="D25" i="2" s="1"/>
  <c r="D29" i="2"/>
  <c r="AH8" i="2"/>
  <c r="AH24" i="2" s="1"/>
  <c r="AH29" i="2"/>
  <c r="AI12" i="2"/>
  <c r="D24" i="2"/>
  <c r="K15" i="2"/>
  <c r="K17" i="2" s="1"/>
  <c r="K19" i="2" s="1"/>
  <c r="E15" i="2"/>
  <c r="E17" i="2" s="1"/>
  <c r="E19" i="2" s="1"/>
  <c r="L24" i="2"/>
  <c r="L12" i="2"/>
  <c r="L25" i="2" s="1"/>
  <c r="G15" i="2"/>
  <c r="G68" i="2" s="1"/>
  <c r="Y17" i="5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DH17" i="5" s="1"/>
  <c r="DI17" i="5" s="1"/>
  <c r="DJ17" i="5" s="1"/>
  <c r="DK17" i="5" s="1"/>
  <c r="DL17" i="5" s="1"/>
  <c r="DM17" i="5" s="1"/>
  <c r="DN17" i="5" s="1"/>
  <c r="DO17" i="5" s="1"/>
  <c r="DP17" i="5" s="1"/>
  <c r="DQ17" i="5" s="1"/>
  <c r="DR17" i="5" s="1"/>
  <c r="DS17" i="5" s="1"/>
  <c r="DT17" i="5" s="1"/>
  <c r="DU17" i="5" s="1"/>
  <c r="DV17" i="5" s="1"/>
  <c r="DW17" i="5" s="1"/>
  <c r="DX17" i="5" s="1"/>
  <c r="DY17" i="5" s="1"/>
  <c r="DZ17" i="5" s="1"/>
  <c r="EA17" i="5" s="1"/>
  <c r="EB17" i="5" s="1"/>
  <c r="EC17" i="5" s="1"/>
  <c r="ED17" i="5" s="1"/>
  <c r="EE17" i="5" s="1"/>
  <c r="EF17" i="5" s="1"/>
  <c r="EG17" i="5" s="1"/>
  <c r="EH17" i="5" s="1"/>
  <c r="EI17" i="5" s="1"/>
  <c r="EJ17" i="5" s="1"/>
  <c r="EK17" i="5" s="1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AJ21" i="2"/>
  <c r="P21" i="2"/>
  <c r="AG21" i="2"/>
  <c r="I17" i="2"/>
  <c r="I19" i="2" s="1"/>
  <c r="I68" i="2"/>
  <c r="L21" i="2"/>
  <c r="H21" i="2"/>
  <c r="AH21" i="2"/>
  <c r="AG25" i="2"/>
  <c r="AG15" i="2"/>
  <c r="AI21" i="2"/>
  <c r="O25" i="2"/>
  <c r="N15" i="2"/>
  <c r="N25" i="2"/>
  <c r="J15" i="2"/>
  <c r="J25" i="2"/>
  <c r="F25" i="2"/>
  <c r="F15" i="2"/>
  <c r="I25" i="2"/>
  <c r="M15" i="2"/>
  <c r="M25" i="2"/>
  <c r="H24" i="2" l="1"/>
  <c r="G17" i="2"/>
  <c r="G19" i="2" s="1"/>
  <c r="H15" i="2"/>
  <c r="H17" i="2" s="1"/>
  <c r="H19" i="2" s="1"/>
  <c r="H25" i="2"/>
  <c r="AH12" i="2"/>
  <c r="AH25" i="2" s="1"/>
  <c r="K68" i="2"/>
  <c r="E68" i="2"/>
  <c r="AA22" i="5"/>
  <c r="AA24" i="5" s="1"/>
  <c r="AA25" i="5" s="1"/>
  <c r="D15" i="2"/>
  <c r="D17" i="2" s="1"/>
  <c r="D19" i="2" s="1"/>
  <c r="M17" i="2"/>
  <c r="M19" i="2" s="1"/>
  <c r="M68" i="2"/>
  <c r="N17" i="2"/>
  <c r="N19" i="2" s="1"/>
  <c r="N68" i="2"/>
  <c r="AG17" i="2"/>
  <c r="AG68" i="2"/>
  <c r="J17" i="2"/>
  <c r="J19" i="2" s="1"/>
  <c r="J68" i="2"/>
  <c r="F17" i="2"/>
  <c r="F19" i="2" s="1"/>
  <c r="F68" i="2"/>
  <c r="O17" i="2"/>
  <c r="O19" i="2" s="1"/>
  <c r="AK6" i="2"/>
  <c r="L15" i="2"/>
  <c r="AI15" i="2"/>
  <c r="AI25" i="2"/>
  <c r="H68" i="2" l="1"/>
  <c r="AH15" i="2"/>
  <c r="AK7" i="2"/>
  <c r="AK8" i="2" s="1"/>
  <c r="D68" i="2"/>
  <c r="A7" i="5"/>
  <c r="A6" i="5"/>
  <c r="AG19" i="2"/>
  <c r="AK21" i="2"/>
  <c r="AI17" i="2"/>
  <c r="AI68" i="2"/>
  <c r="AH17" i="2"/>
  <c r="AH68" i="2"/>
  <c r="L17" i="2"/>
  <c r="L19" i="2" s="1"/>
  <c r="L68" i="2"/>
  <c r="AJ15" i="2"/>
  <c r="AJ68" i="2" s="1"/>
  <c r="AJ25" i="2"/>
  <c r="AL6" i="2"/>
  <c r="AK12" i="2" l="1"/>
  <c r="AK24" i="2"/>
  <c r="AL7" i="2"/>
  <c r="AL8" i="2" s="1"/>
  <c r="AI19" i="2"/>
  <c r="AH19" i="2"/>
  <c r="AL21" i="2"/>
  <c r="AM6" i="2"/>
  <c r="AK25" i="2"/>
  <c r="AK15" i="2"/>
  <c r="AJ17" i="2"/>
  <c r="AJ26" i="2" s="1"/>
  <c r="F8" i="3" l="1"/>
  <c r="AK28" i="2"/>
  <c r="A4" i="6" s="1"/>
  <c r="AL24" i="2"/>
  <c r="AL12" i="2"/>
  <c r="AL25" i="2" s="1"/>
  <c r="AM7" i="2"/>
  <c r="AM8" i="2" s="1"/>
  <c r="AJ19" i="2"/>
  <c r="AM21" i="2"/>
  <c r="AK16" i="2"/>
  <c r="AK17" i="2" s="1"/>
  <c r="AN6" i="2"/>
  <c r="AK29" i="2" l="1"/>
  <c r="F7" i="3"/>
  <c r="G8" i="3"/>
  <c r="AL28" i="2"/>
  <c r="AL15" i="2"/>
  <c r="AL16" i="2" s="1"/>
  <c r="AL17" i="2" s="1"/>
  <c r="AL19" i="2" s="1"/>
  <c r="G9" i="3" s="1"/>
  <c r="AM24" i="2"/>
  <c r="AM12" i="2"/>
  <c r="AN7" i="2"/>
  <c r="AN8" i="2" s="1"/>
  <c r="AK19" i="2"/>
  <c r="F9" i="3" s="1"/>
  <c r="AO6" i="2"/>
  <c r="AN21" i="2"/>
  <c r="H8" i="3" l="1"/>
  <c r="AM28" i="2"/>
  <c r="AM15" i="2"/>
  <c r="AM16" i="2" s="1"/>
  <c r="AM17" i="2" s="1"/>
  <c r="AL29" i="2"/>
  <c r="G7" i="3"/>
  <c r="AM25" i="2"/>
  <c r="AN24" i="2"/>
  <c r="AN12" i="2"/>
  <c r="AO7" i="2"/>
  <c r="AO8" i="2" s="1"/>
  <c r="AO21" i="2"/>
  <c r="AP6" i="2"/>
  <c r="AN25" i="2" l="1"/>
  <c r="AN28" i="2"/>
  <c r="AN29" i="2" s="1"/>
  <c r="AM29" i="2"/>
  <c r="H7" i="3"/>
  <c r="AN15" i="2"/>
  <c r="AN16" i="2" s="1"/>
  <c r="AN17" i="2" s="1"/>
  <c r="AO24" i="2"/>
  <c r="AO12" i="2"/>
  <c r="AO15" i="2" s="1"/>
  <c r="AP7" i="2"/>
  <c r="AP8" i="2" s="1"/>
  <c r="AM19" i="2"/>
  <c r="H9" i="3" s="1"/>
  <c r="AP21" i="2"/>
  <c r="AQ6" i="2"/>
  <c r="AO25" i="2" l="1"/>
  <c r="AO28" i="2"/>
  <c r="AO29" i="2" s="1"/>
  <c r="AP24" i="2"/>
  <c r="AP12" i="2"/>
  <c r="AP28" i="2" s="1"/>
  <c r="AP29" i="2" s="1"/>
  <c r="AQ7" i="2"/>
  <c r="AQ8" i="2" s="1"/>
  <c r="AN19" i="2"/>
  <c r="AO16" i="2"/>
  <c r="AO17" i="2" s="1"/>
  <c r="AO19" i="2" s="1"/>
  <c r="AR6" i="2"/>
  <c r="AQ21" i="2"/>
  <c r="AP15" i="2" l="1"/>
  <c r="AP16" i="2" s="1"/>
  <c r="AP17" i="2" s="1"/>
  <c r="AP19" i="2" s="1"/>
  <c r="AP25" i="2"/>
  <c r="AQ24" i="2"/>
  <c r="AQ12" i="2"/>
  <c r="AR7" i="2"/>
  <c r="AR8" i="2" s="1"/>
  <c r="AR21" i="2"/>
  <c r="AQ25" i="2"/>
  <c r="AS6" i="2"/>
  <c r="AQ15" i="2" l="1"/>
  <c r="AQ28" i="2"/>
  <c r="AQ29" i="2" s="1"/>
  <c r="AR24" i="2"/>
  <c r="AR12" i="2"/>
  <c r="AR28" i="2" s="1"/>
  <c r="AR29" i="2" s="1"/>
  <c r="AS7" i="2"/>
  <c r="AS8" i="2" s="1"/>
  <c r="AS21" i="2"/>
  <c r="AT6" i="2"/>
  <c r="AQ16" i="2"/>
  <c r="AQ17" i="2" s="1"/>
  <c r="AQ19" i="2" s="1"/>
  <c r="AR15" i="2" l="1"/>
  <c r="AR25" i="2"/>
  <c r="AS12" i="2"/>
  <c r="AS28" i="2" s="1"/>
  <c r="AS29" i="2" s="1"/>
  <c r="AS24" i="2"/>
  <c r="AT7" i="2"/>
  <c r="AT8" i="2" s="1"/>
  <c r="AR16" i="2"/>
  <c r="AR17" i="2" s="1"/>
  <c r="AR19" i="2" s="1"/>
  <c r="AT21" i="2"/>
  <c r="AS25" i="2"/>
  <c r="AS15" i="2" l="1"/>
  <c r="AT24" i="2"/>
  <c r="AT12" i="2"/>
  <c r="AT28" i="2" s="1"/>
  <c r="AT29" i="2" s="1"/>
  <c r="AS16" i="2"/>
  <c r="AS17" i="2" s="1"/>
  <c r="AS19" i="2" s="1"/>
  <c r="AT15" i="2"/>
  <c r="AT25" i="2"/>
  <c r="AT16" i="2" l="1"/>
  <c r="AT17" i="2" s="1"/>
  <c r="AU17" i="2" s="1"/>
  <c r="AT19" i="2" l="1"/>
  <c r="AV17" i="2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AW22" i="2" s="1"/>
  <c r="AW24" i="2" l="1"/>
  <c r="AW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tc={3DE9D668-B8E0-E444-82E1-9C0634559C68}</author>
  </authors>
  <commentList>
    <comment ref="AD3" authorId="0" shapeId="0" xr:uid="{3DE9D668-B8E0-E444-82E1-9C0634559C6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tc={E5AC6F7C-3B31-4F42-8D30-536EDA8ABC8C}</author>
  </authors>
  <commentList>
    <comment ref="H3" authorId="0" shapeId="0" xr:uid="{E5AC6F7C-3B31-4F42-8D30-536EDA8AB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sharedStrings.xml><?xml version="1.0" encoding="utf-8"?>
<sst xmlns="http://schemas.openxmlformats.org/spreadsheetml/2006/main" count="266" uniqueCount="177">
  <si>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</si>
  <si>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</si>
  <si>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</si>
  <si>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</si>
  <si>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</si>
  <si>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</si>
  <si>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</si>
  <si>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</si>
  <si>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</si>
  <si>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</si>
  <si>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</si>
  <si>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</si>
  <si>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</si>
  <si>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</si>
  <si>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</si>
  <si>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</si>
  <si>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</si>
  <si>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</si>
  <si>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</si>
  <si>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Kid interiør</t>
  </si>
  <si>
    <t>Hemtex</t>
  </si>
  <si>
    <t>Revenue</t>
  </si>
  <si>
    <t>Total revenue</t>
  </si>
  <si>
    <t>Purchased goods/Change in inventory</t>
  </si>
  <si>
    <t>Employee benefits</t>
  </si>
  <si>
    <t>D/A</t>
  </si>
  <si>
    <t>Other opex</t>
  </si>
  <si>
    <t>Operating profit (EBIT)</t>
  </si>
  <si>
    <t>Net financial</t>
  </si>
  <si>
    <t>Share of JV</t>
  </si>
  <si>
    <t>PTP</t>
  </si>
  <si>
    <t>Tax</t>
  </si>
  <si>
    <t>Net income</t>
  </si>
  <si>
    <t>EPS</t>
  </si>
  <si>
    <t>Revenue y/y</t>
  </si>
  <si>
    <t>Goodwill</t>
  </si>
  <si>
    <t>Trademark</t>
  </si>
  <si>
    <t>Other intang assets</t>
  </si>
  <si>
    <t>Deferred tax assets</t>
  </si>
  <si>
    <t>Right of use assets</t>
  </si>
  <si>
    <t>Fixture and fittings, tools. Office machins</t>
  </si>
  <si>
    <t>Investments in JV</t>
  </si>
  <si>
    <t>Loans to assosciated JV</t>
  </si>
  <si>
    <t>Inventories</t>
  </si>
  <si>
    <t>Trade receivables</t>
  </si>
  <si>
    <t>Other receivables</t>
  </si>
  <si>
    <t>Derivatives</t>
  </si>
  <si>
    <t>Cash</t>
  </si>
  <si>
    <t>Total assets</t>
  </si>
  <si>
    <t>Share capital</t>
  </si>
  <si>
    <t>Share premium</t>
  </si>
  <si>
    <t>Other paid-in Equity</t>
  </si>
  <si>
    <t>other Equity</t>
  </si>
  <si>
    <t>Total Equity</t>
  </si>
  <si>
    <t>Deferred tax</t>
  </si>
  <si>
    <t>Trade payable</t>
  </si>
  <si>
    <t>Tax payable</t>
  </si>
  <si>
    <t>Public duties payable</t>
  </si>
  <si>
    <t>Total Liabilities</t>
  </si>
  <si>
    <t>Total E/L</t>
  </si>
  <si>
    <t>CFFO</t>
  </si>
  <si>
    <t>CFFI</t>
  </si>
  <si>
    <t>CFFF</t>
  </si>
  <si>
    <t>Liabilties to financial institutuions</t>
  </si>
  <si>
    <t>Liabilities to financial institutions</t>
  </si>
  <si>
    <t>Other short-term liabilities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</si>
  <si>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</si>
  <si>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</si>
  <si>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</si>
  <si>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</si>
  <si>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</si>
  <si>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</si>
  <si>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</si>
  <si>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</si>
  <si>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</si>
  <si>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</si>
  <si>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</si>
  <si>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</si>
  <si>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</si>
  <si>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</si>
  <si>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Press releases</t>
  </si>
  <si>
    <t>other revenue</t>
  </si>
  <si>
    <t>EV/EBIT</t>
  </si>
  <si>
    <t>P/E</t>
  </si>
  <si>
    <t>Discount</t>
  </si>
  <si>
    <t>TV</t>
  </si>
  <si>
    <t>NPV</t>
  </si>
  <si>
    <t>NPV/Share</t>
  </si>
  <si>
    <t>Opp/nedside</t>
  </si>
  <si>
    <t>NOKm</t>
  </si>
  <si>
    <t>NOK million</t>
  </si>
  <si>
    <t>Balanse NOK million</t>
  </si>
  <si>
    <t>Lease long-term liabilties</t>
  </si>
  <si>
    <t>Lease short-term liabilities</t>
  </si>
  <si>
    <t>Growth %</t>
  </si>
  <si>
    <t>LFL inc online sales</t>
  </si>
  <si>
    <t>Gross profit</t>
  </si>
  <si>
    <t>Gross margin %</t>
  </si>
  <si>
    <t>EBITDA</t>
  </si>
  <si>
    <t>EBITDA %</t>
  </si>
  <si>
    <t>Shopping days</t>
  </si>
  <si>
    <t>Physical stores</t>
  </si>
  <si>
    <t>Q125</t>
  </si>
  <si>
    <t>Q225</t>
  </si>
  <si>
    <t>Q325</t>
  </si>
  <si>
    <t>Q425</t>
  </si>
  <si>
    <t>Cash flow NOK millioner</t>
  </si>
  <si>
    <t>19.02.25: Anders Lorentzon, sheriff over Hemtex, kjøper 4 950 aksjer, eier 4 950</t>
  </si>
  <si>
    <t>11.02.25: Marianne Fulford blir ny CEO, hun vil tre inn 1.mai 2025</t>
  </si>
  <si>
    <t>03.12.24: Kid selger varehus og kontorbygg i Vserige til STB nordic real estate. Solgt for 600 mill</t>
  </si>
  <si>
    <t>22.11.24: Kaja Myhra kjøper 600 aksjer, eier 600 etter dette</t>
  </si>
  <si>
    <t>12.11.24: Mads Kigen, CFO, kjøper 1 500 aksjer, eier 2 000 etter dette</t>
  </si>
  <si>
    <t>01.11.24: Andere Fjeld slutter som CEO</t>
  </si>
  <si>
    <t>Model PTP</t>
  </si>
  <si>
    <t>Reprted PTP</t>
  </si>
  <si>
    <t>Taxes paid</t>
  </si>
  <si>
    <t>Effexct of exchange fluctuations</t>
  </si>
  <si>
    <t>WC</t>
  </si>
  <si>
    <t>Capex</t>
  </si>
  <si>
    <t>Loans to associated comp</t>
  </si>
  <si>
    <t>Proceeds from long term loans</t>
  </si>
  <si>
    <t>Proceeds from revovlning credit</t>
  </si>
  <si>
    <t>Repayment of revolving credit</t>
  </si>
  <si>
    <t>Repayment of term loans</t>
  </si>
  <si>
    <t>Overdraft facility</t>
  </si>
  <si>
    <t>Lease payment for principal portion</t>
  </si>
  <si>
    <t>Dividend</t>
  </si>
  <si>
    <t>FX</t>
  </si>
  <si>
    <t>CIC</t>
  </si>
  <si>
    <t>FCF</t>
  </si>
  <si>
    <t>FY 2019</t>
  </si>
  <si>
    <t>FY 2020</t>
  </si>
  <si>
    <t>FY 2021</t>
  </si>
  <si>
    <t>Net interest expense</t>
  </si>
  <si>
    <t>Net ineterest</t>
  </si>
  <si>
    <t>Like-for-like y/y</t>
  </si>
  <si>
    <t>Opex y/y</t>
  </si>
  <si>
    <t>19.05.25: Jon Brannsten, styremedlem, kjøper 1 000 aksjer til 149,60</t>
  </si>
  <si>
    <t>FY 2015</t>
  </si>
  <si>
    <t>FY 2016</t>
  </si>
  <si>
    <t>FY 2017</t>
  </si>
  <si>
    <t>FY 2018</t>
  </si>
  <si>
    <t>ROE</t>
  </si>
  <si>
    <t xml:space="preserve">Shares </t>
  </si>
  <si>
    <t>Nedside</t>
  </si>
  <si>
    <t>0 vekst og konstante marginer</t>
  </si>
  <si>
    <t>Q126</t>
  </si>
  <si>
    <t>Q226</t>
  </si>
  <si>
    <t>Q326</t>
  </si>
  <si>
    <t>Q426</t>
  </si>
  <si>
    <t>SOTP 26E valuation</t>
  </si>
  <si>
    <t>EBITDA 26E</t>
  </si>
  <si>
    <t>EV/EBITDA (x)</t>
  </si>
  <si>
    <t>EV</t>
  </si>
  <si>
    <t>Per share</t>
  </si>
  <si>
    <t>EBIT margin</t>
  </si>
  <si>
    <t>Gross margin</t>
  </si>
  <si>
    <t>Gearing</t>
  </si>
  <si>
    <t>EBITDA LTM</t>
  </si>
  <si>
    <t>EBITDA margin</t>
  </si>
  <si>
    <t>EV/EBITDA</t>
  </si>
  <si>
    <t>13.01.26: DNB AM solgte 314 121 aksjer og flagger under 5%</t>
  </si>
  <si>
    <t>07.11.25: Mads Kigen, CFO, kjøpte 1 100 aksjer på 133,6 NOK</t>
  </si>
  <si>
    <t>07.11.25: Marianne Fulford, CEO, kjøpte 1 350 aksjer til 133,35 NOK</t>
  </si>
  <si>
    <t>06.11.25: Josephine Gisaeus kjøpte 1 480 aksjer til 133,6 NOK</t>
  </si>
  <si>
    <t>Antall butikker totalt</t>
  </si>
  <si>
    <t>Antall butikker &lt; 600 sqm</t>
  </si>
  <si>
    <t>Antall butikker &gt; 600 sqm</t>
  </si>
  <si>
    <t>%</t>
  </si>
  <si>
    <t>Enterprise value</t>
  </si>
  <si>
    <t>Debt</t>
  </si>
  <si>
    <t>Equity value</t>
  </si>
  <si>
    <t>26E EBITDA</t>
  </si>
  <si>
    <t>Share of online sales</t>
  </si>
  <si>
    <t>P/B</t>
  </si>
  <si>
    <t>07.09.26: Salt Value flagger 5%</t>
  </si>
  <si>
    <t>KID jobber aktivt med å ekspandere alle sine butikker til å at de er minst 600 kvadratmeter, på denne måten får de stilt ut hele sortimentet sitt på en god måte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</si>
</sst>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\ %"/>
    <numFmt numFmtId="167" formatCode="0.0%"/>
  </numFmts>
  <fonts count="13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2E4A2E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2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4" fillId="0" borderId="0" xfId="0" applyFont="1"/>
    <xf numFmtId="10" fontId="2" fillId="0" borderId="0" xfId="0" applyNumberFormat="1" applyFont="1"/>
    <xf numFmtId="10" fontId="2" fillId="0" borderId="1" xfId="0" applyNumberFormat="1" applyFont="1" applyBorder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1" fillId="0" borderId="1" xfId="0" applyNumberFormat="1" applyFont="1" applyBorder="1"/>
    <xf numFmtId="165" fontId="2" fillId="0" borderId="0" xfId="0" applyNumberFormat="1" applyFont="1"/>
    <xf numFmtId="3" fontId="1" fillId="0" borderId="0" xfId="0" applyNumberFormat="1" applyFont="1"/>
    <xf numFmtId="2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2" fillId="0" borderId="2" xfId="0" applyFont="1" applyBorder="1"/>
    <xf numFmtId="164" fontId="2" fillId="0" borderId="0" xfId="0" applyNumberFormat="1" applyFont="1"/>
    <xf numFmtId="9" fontId="2" fillId="0" borderId="0" xfId="0" applyNumberFormat="1" applyFont="1"/>
    <xf numFmtId="164" fontId="1" fillId="0" borderId="0" xfId="0" applyNumberFormat="1" applyFont="1"/>
    <xf numFmtId="165" fontId="2" fillId="0" borderId="2" xfId="0" applyNumberFormat="1" applyFont="1" applyBorder="1"/>
    <xf numFmtId="166" fontId="1" fillId="0" borderId="0" xfId="0" applyNumberFormat="1" applyFont="1"/>
    <xf numFmtId="164" fontId="6" fillId="0" borderId="3" xfId="0" applyNumberFormat="1" applyFont="1" applyBorder="1"/>
    <xf numFmtId="0" fontId="7" fillId="0" borderId="3" xfId="0" applyFont="1" applyBorder="1"/>
    <xf numFmtId="3" fontId="5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4" fillId="0" borderId="2" xfId="0" applyFont="1" applyBorder="1"/>
    <xf numFmtId="165" fontId="3" fillId="0" borderId="1" xfId="0" applyNumberFormat="1" applyFont="1" applyBorder="1"/>
    <xf numFmtId="0" fontId="10" fillId="0" borderId="0" xfId="0" applyFont="1"/>
    <xf numFmtId="166" fontId="9" fillId="0" borderId="4" xfId="0" applyNumberFormat="1" applyFont="1" applyBorder="1"/>
    <xf numFmtId="0" fontId="8" fillId="0" borderId="6" xfId="0" applyFont="1" applyBorder="1" applyAlignment="1">
      <alignment horizontal="right"/>
    </xf>
    <xf numFmtId="0" fontId="4" fillId="0" borderId="6" xfId="0" applyFont="1" applyBorder="1"/>
    <xf numFmtId="0" fontId="8" fillId="0" borderId="6" xfId="0" applyFont="1" applyBorder="1"/>
    <xf numFmtId="166" fontId="9" fillId="0" borderId="6" xfId="0" applyNumberFormat="1" applyFont="1" applyBorder="1"/>
    <xf numFmtId="0" fontId="4" fillId="0" borderId="5" xfId="0" applyFont="1" applyBorder="1"/>
    <xf numFmtId="0" fontId="4" fillId="0" borderId="1" xfId="0" applyFont="1" applyBorder="1"/>
    <xf numFmtId="166" fontId="9" fillId="0" borderId="1" xfId="0" applyNumberFormat="1" applyFont="1" applyBorder="1"/>
    <xf numFmtId="0" fontId="4" fillId="0" borderId="7" xfId="0" applyFont="1" applyBorder="1"/>
    <xf numFmtId="3" fontId="8" fillId="0" borderId="0" xfId="0" applyNumberFormat="1" applyFont="1"/>
    <xf numFmtId="3" fontId="8" fillId="0" borderId="6" xfId="0" applyNumberFormat="1" applyFont="1" applyBorder="1"/>
    <xf numFmtId="1" fontId="8" fillId="0" borderId="0" xfId="0" applyNumberFormat="1" applyFont="1"/>
    <xf numFmtId="1" fontId="8" fillId="0" borderId="6" xfId="0" applyNumberFormat="1" applyFont="1" applyBorder="1"/>
    <xf numFmtId="1" fontId="8" fillId="0" borderId="1" xfId="0" applyNumberFormat="1" applyFont="1" applyBorder="1"/>
    <xf numFmtId="3" fontId="8" fillId="0" borderId="1" xfId="0" applyNumberFormat="1" applyFont="1" applyBorder="1"/>
    <xf numFmtId="1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0" fontId="4" fillId="0" borderId="3" xfId="0" applyFont="1" applyBorder="1"/>
    <xf numFmtId="1" fontId="8" fillId="0" borderId="3" xfId="0" applyNumberFormat="1" applyFont="1" applyBorder="1"/>
    <xf numFmtId="1" fontId="4" fillId="0" borderId="3" xfId="0" applyNumberFormat="1" applyFont="1" applyBorder="1"/>
    <xf numFmtId="0" fontId="8" fillId="0" borderId="3" xfId="0" applyFont="1" applyBorder="1"/>
    <xf numFmtId="3" fontId="4" fillId="0" borderId="3" xfId="0" applyNumberFormat="1" applyFont="1" applyBorder="1"/>
    <xf numFmtId="4" fontId="2" fillId="0" borderId="0" xfId="0" applyNumberFormat="1" applyFont="1"/>
    <xf numFmtId="166" fontId="2" fillId="0" borderId="2" xfId="0" applyNumberFormat="1" applyFont="1" applyBorder="1"/>
    <xf numFmtId="166" fontId="1" fillId="0" borderId="1" xfId="0" applyNumberFormat="1" applyFont="1" applyBorder="1"/>
    <xf numFmtId="1" fontId="2" fillId="0" borderId="1" xfId="0" applyNumberFormat="1" applyFont="1" applyBorder="1"/>
    <xf numFmtId="1" fontId="5" fillId="0" borderId="0" xfId="0" applyNumberFormat="1" applyFont="1"/>
    <xf numFmtId="1" fontId="1" fillId="0" borderId="0" xfId="0" applyNumberFormat="1" applyFont="1"/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8" fillId="0" borderId="2" xfId="0" applyFont="1" applyBorder="1"/>
    <xf numFmtId="0" fontId="4" fillId="0" borderId="2" xfId="0" applyFont="1" applyBorder="1" applyAlignment="1">
      <alignment horizontal="left"/>
    </xf>
    <xf numFmtId="10" fontId="8" fillId="0" borderId="0" xfId="0" applyNumberFormat="1" applyFont="1" applyAlignment="1">
      <alignment horizontal="left"/>
    </xf>
    <xf numFmtId="0" fontId="0" fillId="2" borderId="0" xfId="0" applyFill="1"/>
    <xf numFmtId="0" fontId="0" fillId="0" borderId="3" xfId="0" applyBorder="1"/>
    <xf numFmtId="2" fontId="1" fillId="0" borderId="0" xfId="0" applyNumberFormat="1" applyFont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177800</xdr:colOff>
      <xdr:row>27</xdr:row>
      <xdr:rowOff>54881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CD618A40-D426-5AB7-0964-A672392AB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283200" cy="6711092"/>
        </a:xfrm>
        <a:prstGeom prst="rect">
          <a:avLst/>
        </a:prstGeom>
      </xdr:spPr>
    </xdr:pic>
    <xdr:clientData/>
  </xdr:twoCellAnchor>
  <xdr:twoCellAnchor editAs="oneCell">
    <xdr:from>
      <xdr:col>9</xdr:col>
      <xdr:colOff>831145</xdr:colOff>
      <xdr:row>1</xdr:row>
      <xdr:rowOff>38100</xdr:rowOff>
    </xdr:from>
    <xdr:to>
      <xdr:col>16</xdr:col>
      <xdr:colOff>42334</xdr:colOff>
      <xdr:row>20</xdr:row>
      <xdr:rowOff>189089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FE50062D-EA54-DB99-1181-5FEA39DCC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65256" y="277989"/>
          <a:ext cx="6323189" cy="470887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ugusthodt/Desktop/Aksjemodellering/Elimp%20modell.xlsx" TargetMode="External"/><Relationship Id="rId1" Type="http://schemas.openxmlformats.org/officeDocument/2006/relationships/externalLinkPath" Target="Elimp%20mod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Modell"/>
      <sheetName val="Segementer"/>
      <sheetName val="SOTP"/>
      <sheetName val="Nøkkeltall"/>
      <sheetName val="Nedsideberegning"/>
    </sheetNames>
    <sheetDataSet>
      <sheetData sheetId="0"/>
      <sheetData sheetId="1">
        <row r="5">
          <cell r="B5">
            <v>50.782200000000003</v>
          </cell>
        </row>
      </sheetData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9261F7E-5B7F-A049-BBBB-1E3C27E4599A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3" dT="2025-07-18T20:01:31.33" personId="{79261F7E-5B7F-A049-BBBB-1E3C27E4599A}" id="{3DE9D668-B8E0-E444-82E1-9C0634559C68}">
    <text>Kid kjøper Hemtex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3" dT="2025-07-18T20:01:31.33" personId="{79261F7E-5B7F-A049-BBBB-1E3C27E4599A}" id="{E5AC6F7C-3B31-4F42-8D30-536EDA8ABC8C}">
    <text>Kid kjøper Hemtex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B047A8-5E7C-B24A-9237-237443F4FA1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a90a6e-dc98-4d84-b18e-7a846cd2efc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F3DF-A903-9D43-9470-5629624CD829}">
  <dimension ref="A1:Q48"/>
  <sheetViews>
    <sheetView showGridLines="0" zoomScale="90" zoomScaleNormal="90" workbookViewId="0">
      <selection activeCell="K36" sqref="K36"/>
    </sheetView>
  </sheetViews>
  <sheetFormatPr baseColWidth="10" defaultRowHeight="19" x14ac:dyDescent="0.25"/>
  <cols>
    <col min="1" max="1" width="12.83203125" style="3" bestFit="1" customWidth="1"/>
    <col min="2" max="10" width="10.83203125" style="3"/>
    <col min="11" max="11" width="27.83203125" style="3" customWidth="1"/>
    <col min="12" max="16384" width="10.83203125" style="3"/>
  </cols>
  <sheetData>
    <row r="1" spans="8:14" x14ac:dyDescent="0.25">
      <c r="H1" s="3" t="s">
        <v>146</v>
      </c>
      <c r="K1" s="3" t="s">
        <v>176</v>
      </c>
      <c r="N1" s="1"/>
    </row>
    <row r="23" spans="11:17" ht="21" x14ac:dyDescent="0.25">
      <c r="K23" s="10"/>
      <c r="L23" s="10"/>
      <c r="M23" s="10"/>
      <c r="N23" s="10"/>
      <c r="O23" s="10"/>
      <c r="P23" s="10"/>
      <c r="Q23" s="10"/>
    </row>
    <row r="24" spans="11:17" ht="21" x14ac:dyDescent="0.25">
      <c r="K24" s="76" t="s">
        <v>165</v>
      </c>
      <c r="L24" s="77">
        <v>286</v>
      </c>
      <c r="M24" s="35" t="s">
        <v>168</v>
      </c>
      <c r="N24" s="10"/>
      <c r="O24" s="10"/>
      <c r="P24" s="10"/>
      <c r="Q24" s="10"/>
    </row>
    <row r="25" spans="11:17" ht="21" x14ac:dyDescent="0.25">
      <c r="K25" s="10" t="s">
        <v>167</v>
      </c>
      <c r="L25" s="75">
        <v>69</v>
      </c>
      <c r="M25" s="78">
        <f>L25/L24</f>
        <v>0.24125874125874125</v>
      </c>
      <c r="N25" s="10"/>
      <c r="O25" s="10"/>
      <c r="P25" s="10"/>
      <c r="Q25" s="10"/>
    </row>
    <row r="26" spans="11:17" ht="21" x14ac:dyDescent="0.25">
      <c r="K26" s="75" t="s">
        <v>166</v>
      </c>
      <c r="L26" s="75">
        <v>207</v>
      </c>
      <c r="M26" s="78">
        <f>L26/L24</f>
        <v>0.72377622377622375</v>
      </c>
      <c r="N26" s="10"/>
      <c r="O26" s="10"/>
      <c r="P26" s="10"/>
      <c r="Q26" s="10"/>
    </row>
    <row r="27" spans="11:17" ht="21" x14ac:dyDescent="0.25">
      <c r="K27" s="67"/>
      <c r="L27" s="67"/>
      <c r="M27" s="68"/>
      <c r="N27" s="10"/>
      <c r="O27" s="10"/>
      <c r="P27" s="10"/>
      <c r="Q27" s="10"/>
    </row>
    <row r="28" spans="11:17" ht="21" x14ac:dyDescent="0.25">
      <c r="K28" s="67"/>
      <c r="L28" s="67"/>
      <c r="M28" s="68"/>
      <c r="N28" s="10"/>
      <c r="O28" s="10"/>
      <c r="P28" s="10"/>
      <c r="Q28" s="10"/>
    </row>
    <row r="29" spans="11:17" ht="21" x14ac:dyDescent="0.25">
      <c r="K29" s="67"/>
      <c r="L29" s="67"/>
      <c r="M29" s="68"/>
      <c r="N29" s="10"/>
      <c r="O29" s="10"/>
    </row>
    <row r="30" spans="11:17" ht="21" x14ac:dyDescent="0.25">
      <c r="K30" s="67"/>
      <c r="L30" s="67"/>
      <c r="M30" s="68"/>
      <c r="N30" s="10"/>
      <c r="O30" s="10"/>
    </row>
    <row r="31" spans="11:17" ht="21" x14ac:dyDescent="0.25">
      <c r="K31" s="67"/>
      <c r="L31" s="67"/>
      <c r="M31" s="68"/>
      <c r="N31" s="10"/>
      <c r="O31" s="10"/>
      <c r="P31" s="10"/>
      <c r="Q31" s="10"/>
    </row>
    <row r="32" spans="11:17" ht="21" x14ac:dyDescent="0.25">
      <c r="K32" s="72"/>
      <c r="L32" s="72"/>
      <c r="M32" s="73"/>
      <c r="N32" s="10"/>
      <c r="O32" s="10"/>
      <c r="P32" s="10"/>
      <c r="Q32" s="10"/>
    </row>
    <row r="33" spans="1:17" ht="21" x14ac:dyDescent="0.25">
      <c r="K33" s="72"/>
      <c r="L33" s="72"/>
      <c r="M33" s="73"/>
      <c r="N33" s="10"/>
      <c r="O33" s="10"/>
      <c r="P33" s="10"/>
      <c r="Q33" s="10"/>
    </row>
    <row r="34" spans="1:17" ht="21" x14ac:dyDescent="0.25">
      <c r="K34" s="72"/>
      <c r="L34" s="72"/>
      <c r="M34" s="73"/>
      <c r="N34" s="10"/>
      <c r="O34" s="10"/>
      <c r="P34" s="10"/>
      <c r="Q34" s="10"/>
    </row>
    <row r="35" spans="1:17" ht="21" x14ac:dyDescent="0.25">
      <c r="K35" s="10"/>
      <c r="L35" s="10"/>
      <c r="M35" s="10"/>
      <c r="N35" s="10"/>
      <c r="O35" s="10"/>
      <c r="P35" s="10"/>
      <c r="Q35" s="10"/>
    </row>
    <row r="36" spans="1:17" ht="21" x14ac:dyDescent="0.25">
      <c r="A36" s="1" t="s">
        <v>80</v>
      </c>
      <c r="K36" s="71"/>
      <c r="L36" s="72"/>
      <c r="M36" s="73"/>
      <c r="N36" s="10"/>
      <c r="O36" s="10"/>
      <c r="P36" s="10"/>
      <c r="Q36" s="10"/>
    </row>
    <row r="37" spans="1:17" ht="21" x14ac:dyDescent="0.25">
      <c r="A37" s="3" t="s">
        <v>175</v>
      </c>
      <c r="K37" s="74"/>
      <c r="L37" s="69"/>
      <c r="M37" s="70"/>
      <c r="N37" s="10"/>
      <c r="O37" s="10"/>
      <c r="P37" s="10"/>
      <c r="Q37" s="10"/>
    </row>
    <row r="38" spans="1:17" ht="21" x14ac:dyDescent="0.25">
      <c r="A38" s="3" t="s">
        <v>161</v>
      </c>
      <c r="K38" s="10"/>
      <c r="L38" s="10"/>
      <c r="M38" s="10"/>
      <c r="N38" s="10"/>
      <c r="O38" s="10"/>
      <c r="P38" s="10"/>
      <c r="Q38" s="10"/>
    </row>
    <row r="39" spans="1:17" ht="21" x14ac:dyDescent="0.25">
      <c r="A39" s="3" t="s">
        <v>162</v>
      </c>
      <c r="K39" s="10"/>
      <c r="L39" s="10"/>
      <c r="M39" s="10"/>
      <c r="N39" s="10"/>
      <c r="O39" s="10"/>
      <c r="P39" s="10"/>
      <c r="Q39" s="10"/>
    </row>
    <row r="40" spans="1:17" ht="21" x14ac:dyDescent="0.25">
      <c r="A40" s="3" t="s">
        <v>163</v>
      </c>
      <c r="K40" s="10"/>
      <c r="L40" s="10"/>
      <c r="M40" s="10"/>
      <c r="N40" s="10"/>
      <c r="O40" s="10"/>
      <c r="P40" s="10"/>
      <c r="Q40" s="10"/>
    </row>
    <row r="41" spans="1:17" ht="21" x14ac:dyDescent="0.25">
      <c r="A41" s="3" t="s">
        <v>164</v>
      </c>
      <c r="K41" s="10"/>
      <c r="L41" s="10"/>
      <c r="M41" s="10"/>
      <c r="N41" s="10"/>
      <c r="O41" s="10"/>
      <c r="P41" s="10"/>
      <c r="Q41" s="10"/>
    </row>
    <row r="42" spans="1:17" ht="21" x14ac:dyDescent="0.25">
      <c r="A42" s="3" t="s">
        <v>137</v>
      </c>
      <c r="K42" s="10"/>
      <c r="L42" s="10"/>
      <c r="M42" s="10"/>
      <c r="N42" s="10"/>
      <c r="O42" s="10"/>
      <c r="P42" s="10"/>
      <c r="Q42" s="10"/>
    </row>
    <row r="43" spans="1:17" ht="21" x14ac:dyDescent="0.25">
      <c r="A43" s="3" t="s">
        <v>107</v>
      </c>
      <c r="K43" s="10"/>
      <c r="L43" s="10"/>
      <c r="M43" s="10"/>
      <c r="N43" s="10"/>
      <c r="O43" s="10"/>
      <c r="P43" s="10"/>
      <c r="Q43" s="10"/>
    </row>
    <row r="44" spans="1:17" x14ac:dyDescent="0.25">
      <c r="A44" s="3" t="s">
        <v>108</v>
      </c>
    </row>
    <row r="45" spans="1:17" x14ac:dyDescent="0.25">
      <c r="A45" s="3" t="s">
        <v>109</v>
      </c>
    </row>
    <row r="46" spans="1:17" x14ac:dyDescent="0.25">
      <c r="A46" s="3" t="s">
        <v>110</v>
      </c>
    </row>
    <row r="47" spans="1:17" x14ac:dyDescent="0.25">
      <c r="A47" s="3" t="s">
        <v>111</v>
      </c>
    </row>
    <row r="48" spans="1:17" x14ac:dyDescent="0.25">
      <c r="A48" s="3" t="s">
        <v>112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4289-3A77-D440-A429-4F2F309015F1}">
  <dimension ref="A3:EC96"/>
  <sheetViews>
    <sheetView showGridLines="0" tabSelected="1" workbookViewId="0">
      <pane xSplit="3" ySplit="3" topLeftCell="S4" activePane="bottomRight" state="frozen"/>
      <selection pane="topRight" activeCell="D1" sqref="D1"/>
      <selection pane="bottomLeft" activeCell="A4" sqref="A4"/>
      <selection pane="bottomRight" activeCell="V16" sqref="V16"/>
    </sheetView>
  </sheetViews>
  <sheetFormatPr baseColWidth="10" defaultRowHeight="19" x14ac:dyDescent="0.25"/>
  <cols>
    <col min="1" max="1" width="16.33203125" style="3" bestFit="1" customWidth="1"/>
    <col min="2" max="2" width="10.83203125" style="2"/>
    <col min="3" max="3" width="38.6640625" style="3" customWidth="1"/>
    <col min="4" max="13" width="10.83203125" style="3"/>
    <col min="14" max="14" width="11.5" style="3" bestFit="1" customWidth="1"/>
    <col min="15" max="19" width="10.83203125" style="3"/>
    <col min="20" max="20" width="11.6640625" style="3" bestFit="1" customWidth="1"/>
    <col min="21" max="23" width="10.83203125" style="3"/>
    <col min="24" max="24" width="0" style="3" hidden="1" customWidth="1"/>
    <col min="25" max="36" width="10.83203125" style="3"/>
    <col min="37" max="37" width="10.83203125" style="2"/>
    <col min="38" max="44" width="10.83203125" style="3"/>
    <col min="45" max="46" width="11.5" style="3" bestFit="1" customWidth="1"/>
    <col min="47" max="47" width="10.83203125" style="3"/>
    <col min="48" max="48" width="14.1640625" style="3" bestFit="1" customWidth="1"/>
    <col min="49" max="49" width="16.33203125" style="3" bestFit="1" customWidth="1"/>
    <col min="50" max="16384" width="10.83203125" style="3"/>
  </cols>
  <sheetData>
    <row r="3" spans="1:73" x14ac:dyDescent="0.25">
      <c r="A3" s="1" t="s">
        <v>0</v>
      </c>
      <c r="C3" s="3" t="s">
        <v>90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 t="s">
        <v>18</v>
      </c>
      <c r="P3" s="8" t="s">
        <v>102</v>
      </c>
      <c r="Q3" s="8" t="s">
        <v>103</v>
      </c>
      <c r="R3" s="8" t="s">
        <v>104</v>
      </c>
      <c r="S3" s="8" t="s">
        <v>105</v>
      </c>
      <c r="T3" s="8" t="s">
        <v>146</v>
      </c>
      <c r="U3" s="8" t="s">
        <v>147</v>
      </c>
      <c r="V3" s="8" t="s">
        <v>148</v>
      </c>
      <c r="W3" s="8" t="s">
        <v>149</v>
      </c>
      <c r="X3" s="8"/>
      <c r="Z3" s="8" t="s">
        <v>138</v>
      </c>
      <c r="AA3" s="8" t="s">
        <v>139</v>
      </c>
      <c r="AB3" s="8" t="s">
        <v>140</v>
      </c>
      <c r="AC3" s="8" t="s">
        <v>141</v>
      </c>
      <c r="AD3" s="8" t="s">
        <v>130</v>
      </c>
      <c r="AE3" s="8" t="s">
        <v>131</v>
      </c>
      <c r="AF3" s="8" t="s">
        <v>132</v>
      </c>
      <c r="AG3" s="8" t="s">
        <v>66</v>
      </c>
      <c r="AH3" s="8" t="s">
        <v>67</v>
      </c>
      <c r="AI3" s="8" t="s">
        <v>68</v>
      </c>
      <c r="AJ3" s="8" t="s">
        <v>69</v>
      </c>
      <c r="AK3" s="9" t="s">
        <v>70</v>
      </c>
      <c r="AL3" s="8" t="s">
        <v>71</v>
      </c>
      <c r="AM3" s="8" t="s">
        <v>72</v>
      </c>
      <c r="AN3" s="8" t="s">
        <v>73</v>
      </c>
      <c r="AO3" s="8" t="s">
        <v>74</v>
      </c>
      <c r="AP3" s="8" t="s">
        <v>75</v>
      </c>
      <c r="AQ3" s="8" t="s">
        <v>76</v>
      </c>
      <c r="AR3" s="8" t="s">
        <v>77</v>
      </c>
      <c r="AS3" s="8" t="s">
        <v>78</v>
      </c>
      <c r="AT3" s="8" t="s">
        <v>79</v>
      </c>
    </row>
    <row r="4" spans="1:73" s="14" customFormat="1" x14ac:dyDescent="0.25">
      <c r="A4" s="3" t="s">
        <v>1</v>
      </c>
      <c r="B4" s="2">
        <v>118</v>
      </c>
      <c r="C4" s="3" t="s">
        <v>21</v>
      </c>
      <c r="D4" s="14">
        <v>605</v>
      </c>
      <c r="E4" s="14">
        <v>730</v>
      </c>
      <c r="F4" s="14">
        <v>735</v>
      </c>
      <c r="G4" s="14">
        <v>1109</v>
      </c>
      <c r="H4" s="14">
        <v>605</v>
      </c>
      <c r="I4" s="14">
        <v>724</v>
      </c>
      <c r="J4" s="14">
        <v>831</v>
      </c>
      <c r="K4" s="14">
        <v>1253</v>
      </c>
      <c r="L4" s="14">
        <v>696</v>
      </c>
      <c r="M4" s="14">
        <v>798</v>
      </c>
      <c r="N4" s="14">
        <v>887</v>
      </c>
      <c r="O4" s="14">
        <v>1404</v>
      </c>
      <c r="P4" s="14">
        <v>733.7</v>
      </c>
      <c r="Q4" s="53">
        <v>856.4</v>
      </c>
      <c r="R4" s="14">
        <v>902</v>
      </c>
      <c r="S4" s="14">
        <v>1452</v>
      </c>
      <c r="T4" s="14">
        <v>800.45699999999999</v>
      </c>
      <c r="U4" s="14">
        <v>914.79399999999998</v>
      </c>
      <c r="Z4" s="14">
        <v>1188.433</v>
      </c>
      <c r="AA4" s="14">
        <v>1293.932</v>
      </c>
      <c r="AB4" s="14">
        <v>1381.675</v>
      </c>
      <c r="AC4" s="14">
        <v>1466.729</v>
      </c>
      <c r="AD4" s="14">
        <v>2342.1799999999998</v>
      </c>
      <c r="AE4" s="14">
        <v>2994.6579999999999</v>
      </c>
      <c r="AF4" s="14">
        <v>3097.096</v>
      </c>
      <c r="AG4" s="14">
        <v>3179</v>
      </c>
      <c r="AH4" s="14">
        <v>3413</v>
      </c>
      <c r="AI4" s="14">
        <v>3785</v>
      </c>
      <c r="AJ4" s="14">
        <v>3944</v>
      </c>
      <c r="AK4" s="15">
        <f>AJ4*1.075</f>
        <v>4239.8</v>
      </c>
      <c r="AL4" s="14">
        <f t="shared" ref="AL4:AT4" si="0">AK4*1.065</f>
        <v>4515.3869999999997</v>
      </c>
      <c r="AM4" s="14">
        <f t="shared" si="0"/>
        <v>4808.8871549999994</v>
      </c>
      <c r="AN4" s="14">
        <f t="shared" si="0"/>
        <v>5121.4648200749989</v>
      </c>
      <c r="AO4" s="14">
        <f t="shared" si="0"/>
        <v>5454.3600333798731</v>
      </c>
      <c r="AP4" s="14">
        <f t="shared" si="0"/>
        <v>5808.8934355495649</v>
      </c>
      <c r="AQ4" s="14">
        <f t="shared" si="0"/>
        <v>6186.4715088602861</v>
      </c>
      <c r="AR4" s="14">
        <f t="shared" si="0"/>
        <v>6588.5921569362044</v>
      </c>
      <c r="AS4" s="14">
        <f t="shared" si="0"/>
        <v>7016.8506471370574</v>
      </c>
      <c r="AT4" s="14">
        <f t="shared" si="0"/>
        <v>7472.9459392009658</v>
      </c>
    </row>
    <row r="5" spans="1:73" s="53" customFormat="1" x14ac:dyDescent="0.25">
      <c r="A5" s="53" t="s">
        <v>2</v>
      </c>
      <c r="B5" s="6">
        <v>40.645161999999999</v>
      </c>
      <c r="C5" s="53" t="s">
        <v>81</v>
      </c>
      <c r="D5" s="53">
        <v>0.69899999999999995</v>
      </c>
      <c r="E5" s="53">
        <v>1.7949999999999999</v>
      </c>
      <c r="F5" s="53">
        <v>1.532</v>
      </c>
      <c r="G5" s="53">
        <v>1.2010000000000001</v>
      </c>
      <c r="H5" s="53">
        <v>0.623</v>
      </c>
      <c r="I5" s="53">
        <v>0.95199999999999996</v>
      </c>
      <c r="J5" s="53">
        <v>1.0069999999999999</v>
      </c>
      <c r="K5" s="53">
        <v>1.661</v>
      </c>
      <c r="L5" s="53">
        <v>0.84399999999999997</v>
      </c>
      <c r="M5" s="53">
        <v>1.333</v>
      </c>
      <c r="N5" s="53">
        <v>1.304</v>
      </c>
      <c r="O5" s="53">
        <v>1.357</v>
      </c>
      <c r="P5" s="53">
        <v>0</v>
      </c>
      <c r="Q5" s="53">
        <v>1.3</v>
      </c>
      <c r="R5" s="53">
        <v>1</v>
      </c>
      <c r="S5" s="53">
        <v>2</v>
      </c>
      <c r="T5" s="53">
        <v>1.355</v>
      </c>
      <c r="U5" s="14">
        <v>4.1929999999999996</v>
      </c>
      <c r="V5" s="14"/>
      <c r="W5" s="14"/>
      <c r="X5" s="14"/>
      <c r="Y5" s="14"/>
      <c r="Z5" s="53">
        <v>1.3</v>
      </c>
      <c r="AA5" s="53">
        <v>1.6</v>
      </c>
      <c r="AB5" s="53">
        <v>0.66700000000000004</v>
      </c>
      <c r="AC5" s="53">
        <v>0.33600000000000002</v>
      </c>
      <c r="AD5" s="53">
        <v>2</v>
      </c>
      <c r="AE5" s="53">
        <v>1.6</v>
      </c>
      <c r="AF5" s="53">
        <v>10</v>
      </c>
      <c r="AG5" s="53">
        <v>5</v>
      </c>
      <c r="AH5" s="53">
        <v>4</v>
      </c>
      <c r="AI5" s="53">
        <v>5</v>
      </c>
      <c r="AJ5" s="53">
        <v>4</v>
      </c>
      <c r="AK5" s="64">
        <f>AJ5*1.065</f>
        <v>4.26</v>
      </c>
      <c r="AL5" s="53">
        <f t="shared" ref="AL5:AT5" si="1">AK5*1.065</f>
        <v>4.5368999999999993</v>
      </c>
      <c r="AM5" s="53">
        <f t="shared" si="1"/>
        <v>4.8317984999999988</v>
      </c>
      <c r="AN5" s="53">
        <f t="shared" si="1"/>
        <v>5.1458654024999984</v>
      </c>
      <c r="AO5" s="53">
        <f t="shared" si="1"/>
        <v>5.4803466536624983</v>
      </c>
      <c r="AP5" s="53">
        <f t="shared" si="1"/>
        <v>5.8365691861505606</v>
      </c>
      <c r="AQ5" s="53">
        <f t="shared" si="1"/>
        <v>6.2159461832503471</v>
      </c>
      <c r="AR5" s="53">
        <f t="shared" si="1"/>
        <v>6.6199826851616193</v>
      </c>
      <c r="AS5" s="53">
        <f t="shared" si="1"/>
        <v>7.0502815596971242</v>
      </c>
      <c r="AT5" s="53">
        <f t="shared" si="1"/>
        <v>7.5085498610774373</v>
      </c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</row>
    <row r="6" spans="1:73" x14ac:dyDescent="0.25">
      <c r="A6" s="3" t="s">
        <v>3</v>
      </c>
      <c r="B6" s="7">
        <f>B4*B5</f>
        <v>4796.1291160000001</v>
      </c>
      <c r="C6" s="1" t="s">
        <v>22</v>
      </c>
      <c r="D6" s="18">
        <f t="shared" ref="D6:N6" si="2">SUM(D4:D5)</f>
        <v>605.69899999999996</v>
      </c>
      <c r="E6" s="18">
        <f t="shared" si="2"/>
        <v>731.79499999999996</v>
      </c>
      <c r="F6" s="18">
        <f t="shared" si="2"/>
        <v>736.53200000000004</v>
      </c>
      <c r="G6" s="18">
        <f t="shared" si="2"/>
        <v>1110.201</v>
      </c>
      <c r="H6" s="18">
        <f t="shared" si="2"/>
        <v>605.62300000000005</v>
      </c>
      <c r="I6" s="18">
        <f t="shared" si="2"/>
        <v>724.952</v>
      </c>
      <c r="J6" s="18">
        <f t="shared" si="2"/>
        <v>832.00699999999995</v>
      </c>
      <c r="K6" s="18">
        <f t="shared" si="2"/>
        <v>1254.6610000000001</v>
      </c>
      <c r="L6" s="18">
        <f t="shared" si="2"/>
        <v>696.84400000000005</v>
      </c>
      <c r="M6" s="18">
        <f t="shared" si="2"/>
        <v>799.33299999999997</v>
      </c>
      <c r="N6" s="18">
        <f t="shared" si="2"/>
        <v>888.30399999999997</v>
      </c>
      <c r="O6" s="18">
        <f>SUM(O4:O5)</f>
        <v>1405.357</v>
      </c>
      <c r="P6" s="18">
        <f>SUM(P4:P5)</f>
        <v>733.7</v>
      </c>
      <c r="Q6" s="18">
        <f>SUM(Q4:Q5)</f>
        <v>857.69999999999993</v>
      </c>
      <c r="R6" s="18">
        <f t="shared" ref="R6:S6" si="3">SUM(R4:R5)</f>
        <v>903</v>
      </c>
      <c r="S6" s="18">
        <f t="shared" si="3"/>
        <v>1454</v>
      </c>
      <c r="T6" s="18">
        <f t="shared" ref="T6:U6" si="4">SUM(T4:T5)</f>
        <v>801.81200000000001</v>
      </c>
      <c r="U6" s="18">
        <f t="shared" si="4"/>
        <v>918.98699999999997</v>
      </c>
      <c r="V6" s="18"/>
      <c r="W6" s="18"/>
      <c r="X6" s="18"/>
      <c r="Y6" s="18"/>
      <c r="Z6" s="18">
        <f t="shared" ref="Z6:AF6" si="5">SUM(Z4:Z5)</f>
        <v>1189.7329999999999</v>
      </c>
      <c r="AA6" s="18">
        <f t="shared" si="5"/>
        <v>1295.5319999999999</v>
      </c>
      <c r="AB6" s="18">
        <f t="shared" si="5"/>
        <v>1382.3419999999999</v>
      </c>
      <c r="AC6" s="18">
        <f t="shared" si="5"/>
        <v>1467.0650000000001</v>
      </c>
      <c r="AD6" s="18">
        <f t="shared" si="5"/>
        <v>2344.1799999999998</v>
      </c>
      <c r="AE6" s="18">
        <f t="shared" si="5"/>
        <v>2996.2579999999998</v>
      </c>
      <c r="AF6" s="18">
        <f t="shared" si="5"/>
        <v>3107.096</v>
      </c>
      <c r="AG6" s="18">
        <f>SUM(AG4:AG5)</f>
        <v>3184</v>
      </c>
      <c r="AH6" s="18">
        <f t="shared" ref="AH6" si="6">SUM(AH4:AH5)</f>
        <v>3417</v>
      </c>
      <c r="AI6" s="18">
        <f>SUM(AI4:AI5)</f>
        <v>3790</v>
      </c>
      <c r="AJ6" s="18">
        <f>SUM(AJ4:AJ5)</f>
        <v>3948</v>
      </c>
      <c r="AK6" s="16">
        <f t="shared" ref="AK6:AT6" si="7">SUM(AK4:AK5)</f>
        <v>4244.0600000000004</v>
      </c>
      <c r="AL6" s="18">
        <f t="shared" si="7"/>
        <v>4519.9238999999998</v>
      </c>
      <c r="AM6" s="18">
        <f t="shared" si="7"/>
        <v>4813.7189534999998</v>
      </c>
      <c r="AN6" s="18">
        <f t="shared" si="7"/>
        <v>5126.6106854774989</v>
      </c>
      <c r="AO6" s="18">
        <f t="shared" si="7"/>
        <v>5459.8403800335354</v>
      </c>
      <c r="AP6" s="18">
        <f t="shared" si="7"/>
        <v>5814.7300047357157</v>
      </c>
      <c r="AQ6" s="18">
        <f t="shared" si="7"/>
        <v>6192.6874550435368</v>
      </c>
      <c r="AR6" s="18">
        <f t="shared" si="7"/>
        <v>6595.2121396213661</v>
      </c>
      <c r="AS6" s="18">
        <f t="shared" si="7"/>
        <v>7023.9009286967548</v>
      </c>
      <c r="AT6" s="18">
        <f t="shared" si="7"/>
        <v>7480.4544890620436</v>
      </c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</row>
    <row r="7" spans="1:73" s="14" customFormat="1" x14ac:dyDescent="0.25">
      <c r="A7" s="3" t="s">
        <v>4</v>
      </c>
      <c r="B7" s="15">
        <v>0</v>
      </c>
      <c r="C7" s="3" t="s">
        <v>23</v>
      </c>
      <c r="D7" s="14">
        <v>-234.501</v>
      </c>
      <c r="E7" s="14">
        <v>-292.08199999999999</v>
      </c>
      <c r="F7" s="14">
        <v>-326.89800000000002</v>
      </c>
      <c r="G7" s="14">
        <v>-478.13200000000001</v>
      </c>
      <c r="H7" s="14">
        <v>-266.19799999999998</v>
      </c>
      <c r="I7" s="14">
        <v>-273.82799999999997</v>
      </c>
      <c r="J7" s="14">
        <v>-315.14800000000002</v>
      </c>
      <c r="K7" s="14">
        <v>-459.10599999999999</v>
      </c>
      <c r="L7" s="14">
        <v>-268.238</v>
      </c>
      <c r="M7" s="14">
        <v>-293.37099999999998</v>
      </c>
      <c r="N7" s="14">
        <v>-336.30799999999999</v>
      </c>
      <c r="O7" s="14">
        <v>-545.30700000000002</v>
      </c>
      <c r="P7" s="14">
        <v>-289.38299999999998</v>
      </c>
      <c r="Q7" s="14">
        <v>-322.53800000000001</v>
      </c>
      <c r="R7" s="14">
        <v>-344.77699999999999</v>
      </c>
      <c r="S7" s="14">
        <v>-563.58600000000001</v>
      </c>
      <c r="T7" s="14">
        <v>-310.899</v>
      </c>
      <c r="U7" s="14">
        <v>-336.62599999999998</v>
      </c>
      <c r="Z7" s="14">
        <v>-492</v>
      </c>
      <c r="AA7" s="14">
        <v>-515.29899999999998</v>
      </c>
      <c r="AB7" s="14">
        <v>-547.62699999999995</v>
      </c>
      <c r="AC7" s="14">
        <v>-573.23</v>
      </c>
      <c r="AD7" s="14">
        <f>-1019.79+94.124</f>
        <v>-925.66599999999994</v>
      </c>
      <c r="AE7" s="14">
        <f>-1128.69+15.677</f>
        <v>-1113.0130000000001</v>
      </c>
      <c r="AF7" s="14">
        <v>-1159.5060000000001</v>
      </c>
      <c r="AG7" s="14">
        <v>-1332</v>
      </c>
      <c r="AH7" s="14">
        <v>-1314</v>
      </c>
      <c r="AI7" s="14">
        <v>-1443</v>
      </c>
      <c r="AJ7" s="14">
        <v>-1520</v>
      </c>
      <c r="AK7" s="15">
        <f>AK6*-0.38</f>
        <v>-1612.7428000000002</v>
      </c>
      <c r="AL7" s="14">
        <f t="shared" ref="AL7:AT7" si="8">AL6*-0.38</f>
        <v>-1717.5710819999999</v>
      </c>
      <c r="AM7" s="14">
        <f t="shared" si="8"/>
        <v>-1829.2132023299998</v>
      </c>
      <c r="AN7" s="14">
        <f t="shared" si="8"/>
        <v>-1948.1120604814496</v>
      </c>
      <c r="AO7" s="14">
        <f t="shared" si="8"/>
        <v>-2074.7393444127433</v>
      </c>
      <c r="AP7" s="14">
        <f t="shared" si="8"/>
        <v>-2209.5974017995718</v>
      </c>
      <c r="AQ7" s="14">
        <f t="shared" si="8"/>
        <v>-2353.2212329165441</v>
      </c>
      <c r="AR7" s="14">
        <f t="shared" si="8"/>
        <v>-2506.180613056119</v>
      </c>
      <c r="AS7" s="14">
        <f t="shared" si="8"/>
        <v>-2669.082352904767</v>
      </c>
      <c r="AT7" s="14">
        <f t="shared" si="8"/>
        <v>-2842.5727058435768</v>
      </c>
    </row>
    <row r="8" spans="1:73" s="14" customFormat="1" x14ac:dyDescent="0.25">
      <c r="A8" s="3" t="s">
        <v>5</v>
      </c>
      <c r="B8" s="7">
        <f>U56+U58</f>
        <v>1081.2089999999998</v>
      </c>
      <c r="C8" s="3" t="s">
        <v>96</v>
      </c>
      <c r="D8" s="14">
        <f t="shared" ref="D8:R8" si="9">SUM(D6:D7)</f>
        <v>371.19799999999998</v>
      </c>
      <c r="E8" s="14">
        <f t="shared" si="9"/>
        <v>439.71299999999997</v>
      </c>
      <c r="F8" s="14">
        <f t="shared" si="9"/>
        <v>409.63400000000001</v>
      </c>
      <c r="G8" s="14">
        <f t="shared" si="9"/>
        <v>632.06899999999996</v>
      </c>
      <c r="H8" s="14">
        <f t="shared" si="9"/>
        <v>339.42500000000007</v>
      </c>
      <c r="I8" s="14">
        <f t="shared" si="9"/>
        <v>451.12400000000002</v>
      </c>
      <c r="J8" s="14">
        <f t="shared" si="9"/>
        <v>516.85899999999992</v>
      </c>
      <c r="K8" s="14">
        <f t="shared" si="9"/>
        <v>795.55500000000006</v>
      </c>
      <c r="L8" s="14">
        <f t="shared" si="9"/>
        <v>428.60600000000005</v>
      </c>
      <c r="M8" s="14">
        <f t="shared" si="9"/>
        <v>505.96199999999999</v>
      </c>
      <c r="N8" s="14">
        <f t="shared" si="9"/>
        <v>551.99599999999998</v>
      </c>
      <c r="O8" s="14">
        <f t="shared" si="9"/>
        <v>860.05</v>
      </c>
      <c r="P8" s="14">
        <f t="shared" si="9"/>
        <v>444.31700000000006</v>
      </c>
      <c r="Q8" s="14">
        <f t="shared" si="9"/>
        <v>535.16199999999992</v>
      </c>
      <c r="R8" s="14">
        <f t="shared" si="9"/>
        <v>558.22299999999996</v>
      </c>
      <c r="S8" s="14">
        <f>SUM(S6:S7)</f>
        <v>890.41399999999999</v>
      </c>
      <c r="T8" s="14">
        <f>SUM(T6:T7)</f>
        <v>490.91300000000001</v>
      </c>
      <c r="U8" s="14">
        <f>SUM(U6:U7)</f>
        <v>582.36099999999999</v>
      </c>
      <c r="Z8" s="14">
        <f>SUM(Z6:Z7)</f>
        <v>697.73299999999995</v>
      </c>
      <c r="AA8" s="14">
        <f t="shared" ref="AA8:AT8" si="10">SUM(AA6:AA7)</f>
        <v>780.23299999999995</v>
      </c>
      <c r="AB8" s="14">
        <f t="shared" si="10"/>
        <v>834.71499999999992</v>
      </c>
      <c r="AC8" s="14">
        <f t="shared" si="10"/>
        <v>893.83500000000004</v>
      </c>
      <c r="AD8" s="14">
        <f t="shared" si="10"/>
        <v>1418.5139999999999</v>
      </c>
      <c r="AE8" s="14">
        <f t="shared" si="10"/>
        <v>1883.2449999999997</v>
      </c>
      <c r="AF8" s="14">
        <f t="shared" si="10"/>
        <v>1947.59</v>
      </c>
      <c r="AG8" s="14">
        <f t="shared" si="10"/>
        <v>1852</v>
      </c>
      <c r="AH8" s="14">
        <f t="shared" si="10"/>
        <v>2103</v>
      </c>
      <c r="AI8" s="14">
        <f t="shared" si="10"/>
        <v>2347</v>
      </c>
      <c r="AJ8" s="14">
        <f t="shared" si="10"/>
        <v>2428</v>
      </c>
      <c r="AK8" s="15">
        <f t="shared" si="10"/>
        <v>2631.3172000000004</v>
      </c>
      <c r="AL8" s="14">
        <f t="shared" si="10"/>
        <v>2802.3528179999998</v>
      </c>
      <c r="AM8" s="14">
        <f t="shared" si="10"/>
        <v>2984.5057511699997</v>
      </c>
      <c r="AN8" s="14">
        <f t="shared" si="10"/>
        <v>3178.4986249960493</v>
      </c>
      <c r="AO8" s="14">
        <f t="shared" si="10"/>
        <v>3385.1010356207921</v>
      </c>
      <c r="AP8" s="14">
        <f t="shared" si="10"/>
        <v>3605.1326029361439</v>
      </c>
      <c r="AQ8" s="14">
        <f t="shared" si="10"/>
        <v>3839.4662221269928</v>
      </c>
      <c r="AR8" s="14">
        <f t="shared" si="10"/>
        <v>4089.0315265652471</v>
      </c>
      <c r="AS8" s="14">
        <f t="shared" si="10"/>
        <v>4354.8185757919873</v>
      </c>
      <c r="AT8" s="14">
        <f t="shared" si="10"/>
        <v>4637.8817832184668</v>
      </c>
    </row>
    <row r="9" spans="1:73" x14ac:dyDescent="0.25">
      <c r="A9" s="4" t="s">
        <v>6</v>
      </c>
      <c r="B9" s="36">
        <f>B6-B7+B8</f>
        <v>5877.3381159999999</v>
      </c>
      <c r="C9" s="3" t="s">
        <v>24</v>
      </c>
      <c r="D9" s="14">
        <v>-153.13399999999999</v>
      </c>
      <c r="E9" s="14">
        <v>-155.88800000000001</v>
      </c>
      <c r="F9" s="14">
        <v>-144.47999999999999</v>
      </c>
      <c r="G9" s="14">
        <v>-176.39</v>
      </c>
      <c r="H9" s="14">
        <v>-160.85499999999999</v>
      </c>
      <c r="I9" s="14">
        <v>-162.33099999999999</v>
      </c>
      <c r="J9" s="14">
        <v>-161.495</v>
      </c>
      <c r="K9" s="14">
        <v>-220.04</v>
      </c>
      <c r="L9" s="14">
        <v>-178.47</v>
      </c>
      <c r="M9" s="14">
        <v>-179.554</v>
      </c>
      <c r="N9" s="14">
        <v>-188.32900000000001</v>
      </c>
      <c r="O9" s="14">
        <v>-236.15799999999999</v>
      </c>
      <c r="P9" s="14">
        <v>-191.529</v>
      </c>
      <c r="Q9" s="53">
        <v>-198.69800000000001</v>
      </c>
      <c r="R9" s="14">
        <v>-183.22300000000001</v>
      </c>
      <c r="S9" s="14">
        <v>-218.33600000000001</v>
      </c>
      <c r="T9" s="14">
        <v>-201.37100000000001</v>
      </c>
      <c r="U9" s="14">
        <v>-200.048</v>
      </c>
      <c r="V9" s="14"/>
      <c r="W9" s="14"/>
      <c r="X9" s="14"/>
      <c r="Y9" s="14"/>
      <c r="Z9" s="14">
        <v>-271.34199999999998</v>
      </c>
      <c r="AA9" s="14">
        <v>-289.54700000000003</v>
      </c>
      <c r="AB9" s="14">
        <v>-306.471</v>
      </c>
      <c r="AC9" s="14">
        <v>-310.89800000000002</v>
      </c>
      <c r="AD9" s="14">
        <v>-503.49400000000003</v>
      </c>
      <c r="AE9" s="14">
        <v>-607.11900000000003</v>
      </c>
      <c r="AF9" s="14">
        <v>-617.29999999999995</v>
      </c>
      <c r="AG9" s="14">
        <v>-630</v>
      </c>
      <c r="AH9" s="14">
        <v>-705</v>
      </c>
      <c r="AI9" s="14">
        <v>-783</v>
      </c>
      <c r="AJ9" s="14">
        <v>-792</v>
      </c>
      <c r="AK9" s="15">
        <f>AJ9*1.03</f>
        <v>-815.76</v>
      </c>
      <c r="AL9" s="14">
        <f>AK9*1.055</f>
        <v>-860.62679999999989</v>
      </c>
      <c r="AM9" s="14">
        <f t="shared" ref="AM9:AT9" si="11">AL9*1.055</f>
        <v>-907.96127399999978</v>
      </c>
      <c r="AN9" s="14">
        <f t="shared" si="11"/>
        <v>-957.89914406999969</v>
      </c>
      <c r="AO9" s="14">
        <f t="shared" si="11"/>
        <v>-1010.5835969938496</v>
      </c>
      <c r="AP9" s="14">
        <f t="shared" si="11"/>
        <v>-1066.1656948285113</v>
      </c>
      <c r="AQ9" s="14">
        <f t="shared" si="11"/>
        <v>-1124.8048080440794</v>
      </c>
      <c r="AR9" s="14">
        <f t="shared" si="11"/>
        <v>-1186.6690724865036</v>
      </c>
      <c r="AS9" s="14">
        <f t="shared" si="11"/>
        <v>-1251.9358714732612</v>
      </c>
      <c r="AT9" s="14">
        <f t="shared" si="11"/>
        <v>-1320.7923444042904</v>
      </c>
    </row>
    <row r="10" spans="1:73" x14ac:dyDescent="0.25">
      <c r="C10" s="3" t="s">
        <v>25</v>
      </c>
      <c r="D10" s="14">
        <v>-86.667000000000002</v>
      </c>
      <c r="E10" s="14">
        <v>-87.798000000000002</v>
      </c>
      <c r="F10" s="14">
        <v>-86.421999999999997</v>
      </c>
      <c r="G10" s="14">
        <v>-87.408000000000001</v>
      </c>
      <c r="H10" s="14">
        <v>-95.817999999999998</v>
      </c>
      <c r="I10" s="14">
        <v>-100.833</v>
      </c>
      <c r="J10" s="14">
        <v>-101.774</v>
      </c>
      <c r="K10" s="14">
        <v>-105.711</v>
      </c>
      <c r="L10" s="14">
        <v>-114.974</v>
      </c>
      <c r="M10" s="14">
        <v>-118.16</v>
      </c>
      <c r="N10" s="14">
        <v>-118.19499999999999</v>
      </c>
      <c r="O10" s="14">
        <v>-120.334</v>
      </c>
      <c r="P10" s="14">
        <v>-131.66300000000001</v>
      </c>
      <c r="Q10" s="53">
        <v>-155.571</v>
      </c>
      <c r="R10" s="14">
        <v>-131.929</v>
      </c>
      <c r="S10" s="14">
        <v>-136.09200000000001</v>
      </c>
      <c r="T10" s="14">
        <v>-143.62100000000001</v>
      </c>
      <c r="U10" s="14">
        <v>-139.386</v>
      </c>
      <c r="V10" s="14"/>
      <c r="W10" s="14"/>
      <c r="X10" s="14"/>
      <c r="Y10" s="14"/>
      <c r="Z10" s="14">
        <v>-24.446999999999999</v>
      </c>
      <c r="AA10" s="14">
        <v>-28.952999999999999</v>
      </c>
      <c r="AB10" s="14">
        <v>-34.838999999999999</v>
      </c>
      <c r="AC10" s="14">
        <v>-37</v>
      </c>
      <c r="AD10" s="14">
        <v>-264.97399999999999</v>
      </c>
      <c r="AE10" s="14">
        <v>-340.84</v>
      </c>
      <c r="AF10" s="14">
        <v>-336.37599999999998</v>
      </c>
      <c r="AG10" s="14">
        <v>-348</v>
      </c>
      <c r="AH10" s="14">
        <v>-404</v>
      </c>
      <c r="AI10" s="14">
        <v>-472</v>
      </c>
      <c r="AJ10" s="14">
        <v>-555</v>
      </c>
      <c r="AK10" s="15">
        <f t="shared" ref="AK10:AK11" si="12">AJ10*1.03</f>
        <v>-571.65</v>
      </c>
      <c r="AL10" s="14">
        <f t="shared" ref="AL10:AT11" si="13">AK10*1.055</f>
        <v>-603.09074999999996</v>
      </c>
      <c r="AM10" s="14">
        <f t="shared" si="13"/>
        <v>-636.26074124999991</v>
      </c>
      <c r="AN10" s="14">
        <f t="shared" si="13"/>
        <v>-671.25508201874982</v>
      </c>
      <c r="AO10" s="14">
        <f t="shared" si="13"/>
        <v>-708.17411152978104</v>
      </c>
      <c r="AP10" s="14">
        <f t="shared" si="13"/>
        <v>-747.12368766391899</v>
      </c>
      <c r="AQ10" s="14">
        <f t="shared" si="13"/>
        <v>-788.21549048543443</v>
      </c>
      <c r="AR10" s="14">
        <f t="shared" si="13"/>
        <v>-831.5673424621333</v>
      </c>
      <c r="AS10" s="14">
        <f t="shared" si="13"/>
        <v>-877.30354629755061</v>
      </c>
      <c r="AT10" s="14">
        <f t="shared" si="13"/>
        <v>-925.5552413439159</v>
      </c>
    </row>
    <row r="11" spans="1:73" x14ac:dyDescent="0.25">
      <c r="C11" s="3" t="s">
        <v>26</v>
      </c>
      <c r="D11" s="14">
        <v>-107.256</v>
      </c>
      <c r="E11" s="14">
        <v>-116.28100000000001</v>
      </c>
      <c r="F11" s="14">
        <v>-122.143</v>
      </c>
      <c r="G11" s="14">
        <v>-158.51900000000001</v>
      </c>
      <c r="H11" s="14">
        <v>-122.32899999999999</v>
      </c>
      <c r="I11" s="14">
        <v>-122.31100000000001</v>
      </c>
      <c r="J11" s="14">
        <v>-113.923</v>
      </c>
      <c r="K11" s="14">
        <v>-155.80799999999999</v>
      </c>
      <c r="L11" s="14">
        <v>-126.113</v>
      </c>
      <c r="M11" s="14">
        <v>-124.739</v>
      </c>
      <c r="N11" s="14">
        <v>-127.19499999999999</v>
      </c>
      <c r="O11" s="14">
        <v>-159.03700000000001</v>
      </c>
      <c r="P11" s="14">
        <v>-138.291</v>
      </c>
      <c r="Q11" s="53">
        <v>-147.35300000000001</v>
      </c>
      <c r="R11" s="14">
        <v>-170.26499999999999</v>
      </c>
      <c r="S11" s="14">
        <v>-232.721</v>
      </c>
      <c r="T11" s="14">
        <v>-156.86000000000001</v>
      </c>
      <c r="U11" s="14">
        <v>-164.56200000000001</v>
      </c>
      <c r="V11" s="14"/>
      <c r="W11" s="14"/>
      <c r="X11" s="14"/>
      <c r="Y11" s="14"/>
      <c r="Z11" s="14">
        <v>-282.69</v>
      </c>
      <c r="AA11" s="14">
        <v>-289.62700000000001</v>
      </c>
      <c r="AB11" s="14">
        <v>-313.71600000000001</v>
      </c>
      <c r="AC11" s="14">
        <v>-332.73</v>
      </c>
      <c r="AD11" s="14">
        <v>-348.15300000000002</v>
      </c>
      <c r="AE11" s="14">
        <v>-452.65</v>
      </c>
      <c r="AF11" s="14">
        <v>-452.73</v>
      </c>
      <c r="AG11" s="14">
        <v>-504</v>
      </c>
      <c r="AH11" s="14">
        <v>-514</v>
      </c>
      <c r="AI11" s="14">
        <v>-537</v>
      </c>
      <c r="AJ11" s="14">
        <v>-689</v>
      </c>
      <c r="AK11" s="15">
        <f t="shared" si="12"/>
        <v>-709.67000000000007</v>
      </c>
      <c r="AL11" s="14">
        <f t="shared" si="13"/>
        <v>-748.70185000000004</v>
      </c>
      <c r="AM11" s="14">
        <f t="shared" si="13"/>
        <v>-789.88045175000002</v>
      </c>
      <c r="AN11" s="14">
        <f t="shared" si="13"/>
        <v>-833.32387659624999</v>
      </c>
      <c r="AO11" s="14">
        <f t="shared" si="13"/>
        <v>-879.15668980904366</v>
      </c>
      <c r="AP11" s="14">
        <f t="shared" si="13"/>
        <v>-927.51030774854098</v>
      </c>
      <c r="AQ11" s="14">
        <f t="shared" si="13"/>
        <v>-978.52337467471068</v>
      </c>
      <c r="AR11" s="14">
        <f t="shared" si="13"/>
        <v>-1032.3421602818198</v>
      </c>
      <c r="AS11" s="14">
        <f t="shared" si="13"/>
        <v>-1089.1209790973198</v>
      </c>
      <c r="AT11" s="14">
        <f t="shared" si="13"/>
        <v>-1149.0226329476723</v>
      </c>
    </row>
    <row r="12" spans="1:73" x14ac:dyDescent="0.25">
      <c r="A12" s="3" t="s">
        <v>157</v>
      </c>
      <c r="B12" s="6">
        <f>B8/U30</f>
        <v>1.085878276589334</v>
      </c>
      <c r="C12" s="1" t="s">
        <v>27</v>
      </c>
      <c r="D12" s="18">
        <f t="shared" ref="D12:R12" si="14">SUM(D8:D11)</f>
        <v>24.140999999999991</v>
      </c>
      <c r="E12" s="18">
        <f t="shared" si="14"/>
        <v>79.745999999999924</v>
      </c>
      <c r="F12" s="18">
        <f t="shared" si="14"/>
        <v>56.588999999999999</v>
      </c>
      <c r="G12" s="18">
        <f t="shared" si="14"/>
        <v>209.75199999999995</v>
      </c>
      <c r="H12" s="18">
        <f t="shared" si="14"/>
        <v>-39.576999999999913</v>
      </c>
      <c r="I12" s="18">
        <f t="shared" si="14"/>
        <v>65.649000000000001</v>
      </c>
      <c r="J12" s="18">
        <f t="shared" si="14"/>
        <v>139.66699999999992</v>
      </c>
      <c r="K12" s="18">
        <f t="shared" si="14"/>
        <v>313.99600000000009</v>
      </c>
      <c r="L12" s="18">
        <f t="shared" si="14"/>
        <v>9.049000000000035</v>
      </c>
      <c r="M12" s="18">
        <f t="shared" si="14"/>
        <v>83.509000000000015</v>
      </c>
      <c r="N12" s="18">
        <f t="shared" si="14"/>
        <v>118.27699999999999</v>
      </c>
      <c r="O12" s="18">
        <f t="shared" si="14"/>
        <v>344.52099999999996</v>
      </c>
      <c r="P12" s="18">
        <f t="shared" si="14"/>
        <v>-17.16599999999994</v>
      </c>
      <c r="Q12" s="18">
        <f t="shared" si="14"/>
        <v>33.539999999999935</v>
      </c>
      <c r="R12" s="18">
        <f t="shared" si="14"/>
        <v>72.805999999999955</v>
      </c>
      <c r="S12" s="18">
        <f>SUM(S8:S11)</f>
        <v>303.26499999999999</v>
      </c>
      <c r="T12" s="18">
        <f>SUM(T8:T11)</f>
        <v>-10.938999999999993</v>
      </c>
      <c r="U12" s="18">
        <f>SUM(U8:U11)</f>
        <v>78.364999999999981</v>
      </c>
      <c r="V12" s="14"/>
      <c r="W12" s="14"/>
      <c r="X12" s="14"/>
      <c r="Y12" s="14"/>
      <c r="Z12" s="18">
        <f>SUM(Z8:Z11)</f>
        <v>119.25399999999996</v>
      </c>
      <c r="AA12" s="18">
        <f t="shared" ref="AA12:AT12" si="15">SUM(AA8:AA11)</f>
        <v>172.10599999999994</v>
      </c>
      <c r="AB12" s="18">
        <f t="shared" si="15"/>
        <v>179.68899999999991</v>
      </c>
      <c r="AC12" s="18">
        <f t="shared" si="15"/>
        <v>213.20699999999999</v>
      </c>
      <c r="AD12" s="18">
        <f t="shared" si="15"/>
        <v>301.8929999999998</v>
      </c>
      <c r="AE12" s="18">
        <f t="shared" si="15"/>
        <v>482.63599999999985</v>
      </c>
      <c r="AF12" s="18">
        <f t="shared" si="15"/>
        <v>541.18399999999997</v>
      </c>
      <c r="AG12" s="18">
        <f t="shared" si="15"/>
        <v>370</v>
      </c>
      <c r="AH12" s="18">
        <f t="shared" si="15"/>
        <v>480</v>
      </c>
      <c r="AI12" s="18">
        <f t="shared" si="15"/>
        <v>555</v>
      </c>
      <c r="AJ12" s="18">
        <f t="shared" si="15"/>
        <v>392</v>
      </c>
      <c r="AK12" s="16">
        <f t="shared" si="15"/>
        <v>534.23720000000048</v>
      </c>
      <c r="AL12" s="18">
        <f t="shared" si="15"/>
        <v>589.93341799999996</v>
      </c>
      <c r="AM12" s="18">
        <f t="shared" si="15"/>
        <v>650.40328417000001</v>
      </c>
      <c r="AN12" s="18">
        <f t="shared" si="15"/>
        <v>716.02052231104983</v>
      </c>
      <c r="AO12" s="18">
        <f t="shared" si="15"/>
        <v>787.18663728811816</v>
      </c>
      <c r="AP12" s="18">
        <f t="shared" si="15"/>
        <v>864.33291269517258</v>
      </c>
      <c r="AQ12" s="18">
        <f t="shared" si="15"/>
        <v>947.92254892276821</v>
      </c>
      <c r="AR12" s="18">
        <f t="shared" si="15"/>
        <v>1038.4529513347902</v>
      </c>
      <c r="AS12" s="18">
        <f t="shared" si="15"/>
        <v>1136.4581789238555</v>
      </c>
      <c r="AT12" s="18">
        <f t="shared" si="15"/>
        <v>1242.5115645225883</v>
      </c>
    </row>
    <row r="13" spans="1:73" x14ac:dyDescent="0.25">
      <c r="C13" s="3" t="s">
        <v>28</v>
      </c>
      <c r="D13" s="14">
        <v>-11.571</v>
      </c>
      <c r="E13" s="14">
        <v>-10.733000000000001</v>
      </c>
      <c r="F13" s="14">
        <v>-12.446</v>
      </c>
      <c r="G13" s="14">
        <v>-12.779</v>
      </c>
      <c r="H13" s="14">
        <v>-17.902999999999999</v>
      </c>
      <c r="I13" s="14">
        <v>-20.542000000000002</v>
      </c>
      <c r="J13" s="14">
        <v>-20.231000000000002</v>
      </c>
      <c r="K13" s="14">
        <v>-17.954000000000001</v>
      </c>
      <c r="L13" s="14">
        <v>-19.890999999999998</v>
      </c>
      <c r="M13" s="14">
        <v>-23.117999999999999</v>
      </c>
      <c r="N13" s="14">
        <v>-25.006</v>
      </c>
      <c r="O13" s="53">
        <v>-22.454000000000001</v>
      </c>
      <c r="P13" s="53">
        <v>-21.974</v>
      </c>
      <c r="Q13" s="53">
        <v>-40.656999999999996</v>
      </c>
      <c r="R13" s="14">
        <v>4.5</v>
      </c>
      <c r="S13" s="14">
        <v>-23.18</v>
      </c>
      <c r="T13" s="14">
        <v>-36</v>
      </c>
      <c r="U13" s="14">
        <v>-28.571999999999999</v>
      </c>
      <c r="V13" s="14"/>
      <c r="W13" s="14"/>
      <c r="X13" s="14"/>
      <c r="Y13" s="14"/>
      <c r="Z13" s="14">
        <v>-20.2</v>
      </c>
      <c r="AA13" s="14">
        <v>-12.6</v>
      </c>
      <c r="AB13" s="14">
        <v>-12.6</v>
      </c>
      <c r="AC13" s="14">
        <v>-12.7</v>
      </c>
      <c r="AD13" s="14">
        <v>-40.942999999999998</v>
      </c>
      <c r="AE13" s="14">
        <v>-28.434999999999999</v>
      </c>
      <c r="AF13" s="14">
        <v>-56</v>
      </c>
      <c r="AG13" s="14">
        <v>-48</v>
      </c>
      <c r="AH13" s="14">
        <v>-77</v>
      </c>
      <c r="AI13" s="14">
        <v>-90</v>
      </c>
      <c r="AJ13" s="14">
        <v>-81</v>
      </c>
      <c r="AK13" s="15">
        <f>AJ13*1.05</f>
        <v>-85.05</v>
      </c>
      <c r="AL13" s="14">
        <f t="shared" ref="AL13:AT13" si="16">AK13*1.05</f>
        <v>-89.302499999999995</v>
      </c>
      <c r="AM13" s="14">
        <f t="shared" si="16"/>
        <v>-93.767624999999995</v>
      </c>
      <c r="AN13" s="14">
        <f t="shared" si="16"/>
        <v>-98.456006250000002</v>
      </c>
      <c r="AO13" s="14">
        <f t="shared" si="16"/>
        <v>-103.3788065625</v>
      </c>
      <c r="AP13" s="14">
        <f t="shared" si="16"/>
        <v>-108.54774689062501</v>
      </c>
      <c r="AQ13" s="14">
        <f t="shared" si="16"/>
        <v>-113.97513423515626</v>
      </c>
      <c r="AR13" s="14">
        <f t="shared" si="16"/>
        <v>-119.67389094691409</v>
      </c>
      <c r="AS13" s="14">
        <f t="shared" si="16"/>
        <v>-125.65758549425979</v>
      </c>
      <c r="AT13" s="14">
        <f t="shared" si="16"/>
        <v>-131.94046476897279</v>
      </c>
      <c r="AU13" s="14"/>
      <c r="AV13" s="14"/>
    </row>
    <row r="14" spans="1:73" x14ac:dyDescent="0.25">
      <c r="A14" s="3" t="s">
        <v>174</v>
      </c>
      <c r="B14" s="6">
        <f>B6/U53</f>
        <v>3.555577469988576</v>
      </c>
      <c r="C14" s="3" t="s">
        <v>29</v>
      </c>
      <c r="D14" s="14">
        <v>-0.68799999999999994</v>
      </c>
      <c r="E14" s="14">
        <v>-1.1859999999999999</v>
      </c>
      <c r="F14" s="14">
        <v>-2.5299999999999998</v>
      </c>
      <c r="G14" s="14">
        <v>1.6180000000000001</v>
      </c>
      <c r="H14" s="14">
        <v>-0.35799999999999998</v>
      </c>
      <c r="I14" s="14">
        <v>0.10199999999999999</v>
      </c>
      <c r="J14" s="14">
        <v>-1.3320000000000001</v>
      </c>
      <c r="K14" s="14">
        <v>0.38800000000000001</v>
      </c>
      <c r="L14" s="14">
        <v>-0.59</v>
      </c>
      <c r="M14" s="14">
        <v>-0.91900000000000004</v>
      </c>
      <c r="N14" s="14">
        <v>-0.69499999999999995</v>
      </c>
      <c r="O14" s="53">
        <v>35.530999999999999</v>
      </c>
      <c r="P14" s="53">
        <v>0.38300000000000001</v>
      </c>
      <c r="Q14" s="3">
        <v>3.1</v>
      </c>
      <c r="R14" s="14">
        <v>-28.3</v>
      </c>
      <c r="S14" s="14">
        <v>0.27600000000000002</v>
      </c>
      <c r="T14" s="14">
        <v>-0.23100000000000001</v>
      </c>
      <c r="U14" s="14">
        <v>-1</v>
      </c>
      <c r="V14" s="14"/>
      <c r="W14" s="14"/>
      <c r="X14" s="14"/>
      <c r="Y14" s="14"/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-3</v>
      </c>
      <c r="AH14" s="14">
        <v>-1</v>
      </c>
      <c r="AI14" s="14">
        <v>33</v>
      </c>
      <c r="AJ14" s="14">
        <v>-25</v>
      </c>
      <c r="AK14" s="15">
        <v>-2.5</v>
      </c>
      <c r="AL14" s="14">
        <v>-2.5</v>
      </c>
      <c r="AM14" s="14">
        <v>-2.5</v>
      </c>
      <c r="AN14" s="14">
        <v>-2.5</v>
      </c>
      <c r="AO14" s="14">
        <v>-2.5</v>
      </c>
      <c r="AP14" s="14">
        <v>-2.5</v>
      </c>
      <c r="AQ14" s="14">
        <v>-2.5</v>
      </c>
      <c r="AR14" s="14">
        <v>-2.5</v>
      </c>
      <c r="AS14" s="14">
        <v>-2.5</v>
      </c>
      <c r="AT14" s="14">
        <v>-2.5</v>
      </c>
      <c r="AU14" s="14"/>
      <c r="AV14" s="14"/>
    </row>
    <row r="15" spans="1:73" x14ac:dyDescent="0.25">
      <c r="C15" s="3" t="s">
        <v>30</v>
      </c>
      <c r="D15" s="14">
        <f t="shared" ref="D15:O15" si="17">SUM(D12:D14)</f>
        <v>11.881999999999991</v>
      </c>
      <c r="E15" s="14">
        <f t="shared" si="17"/>
        <v>67.826999999999913</v>
      </c>
      <c r="F15" s="14">
        <f t="shared" si="17"/>
        <v>41.613</v>
      </c>
      <c r="G15" s="14">
        <f t="shared" si="17"/>
        <v>198.59099999999995</v>
      </c>
      <c r="H15" s="14">
        <f t="shared" si="17"/>
        <v>-57.837999999999909</v>
      </c>
      <c r="I15" s="14">
        <f t="shared" si="17"/>
        <v>45.208999999999996</v>
      </c>
      <c r="J15" s="14">
        <f t="shared" si="17"/>
        <v>118.10399999999993</v>
      </c>
      <c r="K15" s="14">
        <f t="shared" si="17"/>
        <v>296.43000000000006</v>
      </c>
      <c r="L15" s="14">
        <f t="shared" si="17"/>
        <v>-11.431999999999963</v>
      </c>
      <c r="M15" s="14">
        <f t="shared" si="17"/>
        <v>59.472000000000023</v>
      </c>
      <c r="N15" s="14">
        <f t="shared" si="17"/>
        <v>92.575999999999993</v>
      </c>
      <c r="O15" s="14">
        <f t="shared" si="17"/>
        <v>357.59799999999996</v>
      </c>
      <c r="P15" s="14">
        <f t="shared" ref="P15:S15" si="18">SUM(P12:P14)</f>
        <v>-38.756999999999941</v>
      </c>
      <c r="Q15" s="14">
        <f t="shared" si="18"/>
        <v>-4.0170000000000616</v>
      </c>
      <c r="R15" s="14">
        <f t="shared" si="18"/>
        <v>49.005999999999958</v>
      </c>
      <c r="S15" s="14">
        <f t="shared" si="18"/>
        <v>280.36099999999999</v>
      </c>
      <c r="T15" s="14">
        <f t="shared" ref="T15:U15" si="19">SUM(T12:T14)</f>
        <v>-47.169999999999995</v>
      </c>
      <c r="U15" s="14">
        <f t="shared" si="19"/>
        <v>48.792999999999978</v>
      </c>
      <c r="V15" s="14"/>
      <c r="W15" s="14"/>
      <c r="X15" s="14"/>
      <c r="Y15" s="14"/>
      <c r="Z15" s="14">
        <f t="shared" ref="Z15:AA15" si="20">SUM(Z12:Z14)</f>
        <v>99.053999999999959</v>
      </c>
      <c r="AA15" s="14">
        <f t="shared" si="20"/>
        <v>159.50599999999994</v>
      </c>
      <c r="AB15" s="14">
        <f t="shared" ref="AB15:AC15" si="21">SUM(AB12:AB14)</f>
        <v>167.08899999999991</v>
      </c>
      <c r="AC15" s="14">
        <f t="shared" si="21"/>
        <v>200.50700000000001</v>
      </c>
      <c r="AD15" s="14">
        <f t="shared" ref="AD15:AI15" si="22">SUM(AD12:AD14)</f>
        <v>260.94999999999982</v>
      </c>
      <c r="AE15" s="14">
        <f t="shared" si="22"/>
        <v>454.20099999999985</v>
      </c>
      <c r="AF15" s="14">
        <f t="shared" si="22"/>
        <v>485.18399999999997</v>
      </c>
      <c r="AG15" s="14">
        <f t="shared" si="22"/>
        <v>319</v>
      </c>
      <c r="AH15" s="14">
        <f t="shared" si="22"/>
        <v>402</v>
      </c>
      <c r="AI15" s="14">
        <f t="shared" si="22"/>
        <v>498</v>
      </c>
      <c r="AJ15" s="14">
        <f t="shared" ref="AJ15:AT15" si="23">SUM(AJ12:AJ14)</f>
        <v>286</v>
      </c>
      <c r="AK15" s="15">
        <f t="shared" si="23"/>
        <v>446.68720000000047</v>
      </c>
      <c r="AL15" s="14">
        <f t="shared" si="23"/>
        <v>498.13091799999995</v>
      </c>
      <c r="AM15" s="14">
        <f t="shared" si="23"/>
        <v>554.13565917000005</v>
      </c>
      <c r="AN15" s="14">
        <f t="shared" si="23"/>
        <v>615.06451606104986</v>
      </c>
      <c r="AO15" s="14">
        <f t="shared" si="23"/>
        <v>681.30783072561815</v>
      </c>
      <c r="AP15" s="14">
        <f t="shared" si="23"/>
        <v>753.28516580454755</v>
      </c>
      <c r="AQ15" s="14">
        <f t="shared" si="23"/>
        <v>831.44741468761197</v>
      </c>
      <c r="AR15" s="14">
        <f t="shared" si="23"/>
        <v>916.27906038787614</v>
      </c>
      <c r="AS15" s="14">
        <f t="shared" si="23"/>
        <v>1008.3005934295957</v>
      </c>
      <c r="AT15" s="14">
        <f t="shared" si="23"/>
        <v>1108.0710997536155</v>
      </c>
      <c r="AU15" s="14"/>
      <c r="AV15" s="14"/>
    </row>
    <row r="16" spans="1:73" x14ac:dyDescent="0.25">
      <c r="C16" s="3" t="s">
        <v>31</v>
      </c>
      <c r="D16" s="14">
        <v>-2.8010000000000002</v>
      </c>
      <c r="E16" s="14">
        <v>-15.909000000000001</v>
      </c>
      <c r="F16" s="14">
        <v>-11.801</v>
      </c>
      <c r="G16" s="14">
        <v>-39.156999999999996</v>
      </c>
      <c r="H16" s="14">
        <v>10.795</v>
      </c>
      <c r="I16" s="14">
        <v>-8.8740000000000006</v>
      </c>
      <c r="J16" s="14">
        <v>-27.370999999999999</v>
      </c>
      <c r="K16" s="14">
        <v>-63.250999999999998</v>
      </c>
      <c r="L16" s="14">
        <v>1.8</v>
      </c>
      <c r="M16" s="14">
        <v>-10.891</v>
      </c>
      <c r="N16" s="14">
        <v>-22.283000000000001</v>
      </c>
      <c r="O16" s="14">
        <v>-68.183000000000007</v>
      </c>
      <c r="P16" s="14">
        <v>7.782</v>
      </c>
      <c r="Q16" s="53">
        <v>1.2729999999999999</v>
      </c>
      <c r="R16" s="14">
        <v>-9</v>
      </c>
      <c r="S16" s="14">
        <v>-58.7</v>
      </c>
      <c r="T16" s="14">
        <v>8.3170000000000002</v>
      </c>
      <c r="U16" s="14">
        <v>-12</v>
      </c>
      <c r="V16" s="14"/>
      <c r="W16" s="14"/>
      <c r="X16" s="14"/>
      <c r="Y16" s="14"/>
      <c r="Z16" s="14">
        <v>2.2999999999999998</v>
      </c>
      <c r="AA16" s="14">
        <v>-25.4</v>
      </c>
      <c r="AB16" s="14">
        <v>-25.7</v>
      </c>
      <c r="AC16" s="14">
        <v>-31.6</v>
      </c>
      <c r="AD16" s="14">
        <v>-53</v>
      </c>
      <c r="AE16" s="14">
        <v>-98.195999999999998</v>
      </c>
      <c r="AF16" s="14">
        <v>-100.741</v>
      </c>
      <c r="AG16" s="14">
        <v>-70</v>
      </c>
      <c r="AH16" s="14">
        <v>-89</v>
      </c>
      <c r="AI16" s="14">
        <v>-100</v>
      </c>
      <c r="AJ16" s="14">
        <v>-59</v>
      </c>
      <c r="AK16" s="15">
        <f t="shared" ref="AK16:AT16" si="24">AK15*-0.22</f>
        <v>-98.271184000000105</v>
      </c>
      <c r="AL16" s="14">
        <f t="shared" si="24"/>
        <v>-109.58880195999998</v>
      </c>
      <c r="AM16" s="14">
        <f t="shared" si="24"/>
        <v>-121.90984501740002</v>
      </c>
      <c r="AN16" s="14">
        <f t="shared" si="24"/>
        <v>-135.31419353343097</v>
      </c>
      <c r="AO16" s="14">
        <f t="shared" si="24"/>
        <v>-149.88772275963601</v>
      </c>
      <c r="AP16" s="14">
        <f t="shared" si="24"/>
        <v>-165.72273647700047</v>
      </c>
      <c r="AQ16" s="14">
        <f t="shared" si="24"/>
        <v>-182.91843123127464</v>
      </c>
      <c r="AR16" s="14">
        <f t="shared" si="24"/>
        <v>-201.58139328533275</v>
      </c>
      <c r="AS16" s="14">
        <f t="shared" si="24"/>
        <v>-221.82613055451105</v>
      </c>
      <c r="AT16" s="14">
        <f t="shared" si="24"/>
        <v>-243.7756419457954</v>
      </c>
    </row>
    <row r="17" spans="1:133" s="1" customFormat="1" x14ac:dyDescent="0.25">
      <c r="A17" s="3"/>
      <c r="B17" s="2"/>
      <c r="C17" s="1" t="s">
        <v>32</v>
      </c>
      <c r="D17" s="18">
        <f t="shared" ref="D17:O17" si="25">SUM(D15:D16)</f>
        <v>9.0809999999999906</v>
      </c>
      <c r="E17" s="18">
        <f t="shared" si="25"/>
        <v>51.917999999999914</v>
      </c>
      <c r="F17" s="18">
        <f t="shared" si="25"/>
        <v>29.811999999999998</v>
      </c>
      <c r="G17" s="18">
        <f t="shared" si="25"/>
        <v>159.43399999999997</v>
      </c>
      <c r="H17" s="18">
        <f t="shared" si="25"/>
        <v>-47.042999999999907</v>
      </c>
      <c r="I17" s="18">
        <f t="shared" si="25"/>
        <v>36.334999999999994</v>
      </c>
      <c r="J17" s="18">
        <f t="shared" si="25"/>
        <v>90.732999999999933</v>
      </c>
      <c r="K17" s="18">
        <f t="shared" si="25"/>
        <v>233.17900000000006</v>
      </c>
      <c r="L17" s="18">
        <f t="shared" si="25"/>
        <v>-9.6319999999999624</v>
      </c>
      <c r="M17" s="18">
        <f t="shared" si="25"/>
        <v>48.581000000000024</v>
      </c>
      <c r="N17" s="18">
        <f t="shared" si="25"/>
        <v>70.292999999999992</v>
      </c>
      <c r="O17" s="18">
        <f t="shared" si="25"/>
        <v>289.41499999999996</v>
      </c>
      <c r="P17" s="18">
        <f t="shared" ref="P17:S17" si="26">SUM(P15:P16)</f>
        <v>-30.974999999999941</v>
      </c>
      <c r="Q17" s="18">
        <f t="shared" si="26"/>
        <v>-2.7440000000000619</v>
      </c>
      <c r="R17" s="18">
        <f t="shared" si="26"/>
        <v>40.005999999999958</v>
      </c>
      <c r="S17" s="18">
        <f t="shared" si="26"/>
        <v>221.661</v>
      </c>
      <c r="T17" s="18">
        <f t="shared" ref="T17:U17" si="27">SUM(T15:T16)</f>
        <v>-38.852999999999994</v>
      </c>
      <c r="U17" s="18">
        <f t="shared" si="27"/>
        <v>36.792999999999978</v>
      </c>
      <c r="V17" s="14"/>
      <c r="W17" s="14"/>
      <c r="X17" s="14"/>
      <c r="Y17" s="14"/>
      <c r="Z17" s="18">
        <f t="shared" ref="Z17:AA17" si="28">SUM(Z15:Z16)</f>
        <v>101.35399999999996</v>
      </c>
      <c r="AA17" s="18">
        <f t="shared" si="28"/>
        <v>134.10599999999994</v>
      </c>
      <c r="AB17" s="18">
        <f t="shared" ref="AB17:AC17" si="29">SUM(AB15:AB16)</f>
        <v>141.38899999999992</v>
      </c>
      <c r="AC17" s="18">
        <f t="shared" si="29"/>
        <v>168.90700000000001</v>
      </c>
      <c r="AD17" s="18">
        <f t="shared" ref="AD17:AI17" si="30">SUM(AD15:AD16)</f>
        <v>207.94999999999982</v>
      </c>
      <c r="AE17" s="18">
        <f t="shared" si="30"/>
        <v>356.00499999999988</v>
      </c>
      <c r="AF17" s="18">
        <f t="shared" si="30"/>
        <v>384.44299999999998</v>
      </c>
      <c r="AG17" s="18">
        <f t="shared" si="30"/>
        <v>249</v>
      </c>
      <c r="AH17" s="18">
        <f t="shared" si="30"/>
        <v>313</v>
      </c>
      <c r="AI17" s="18">
        <f t="shared" si="30"/>
        <v>398</v>
      </c>
      <c r="AJ17" s="18">
        <f t="shared" ref="AJ17:AT17" si="31">SUM(AJ15:AJ16)</f>
        <v>227</v>
      </c>
      <c r="AK17" s="16">
        <f t="shared" si="31"/>
        <v>348.41601600000035</v>
      </c>
      <c r="AL17" s="18">
        <f t="shared" si="31"/>
        <v>388.54211604</v>
      </c>
      <c r="AM17" s="18">
        <f t="shared" si="31"/>
        <v>432.22581415260004</v>
      </c>
      <c r="AN17" s="18">
        <f t="shared" si="31"/>
        <v>479.75032252761889</v>
      </c>
      <c r="AO17" s="18">
        <f t="shared" si="31"/>
        <v>531.4201079659822</v>
      </c>
      <c r="AP17" s="18">
        <f t="shared" si="31"/>
        <v>587.56242932754708</v>
      </c>
      <c r="AQ17" s="18">
        <f t="shared" si="31"/>
        <v>648.5289834563373</v>
      </c>
      <c r="AR17" s="18">
        <f t="shared" si="31"/>
        <v>714.69766710254339</v>
      </c>
      <c r="AS17" s="18">
        <f t="shared" si="31"/>
        <v>786.47446287508455</v>
      </c>
      <c r="AT17" s="18">
        <f t="shared" si="31"/>
        <v>864.29545780782007</v>
      </c>
      <c r="AU17" s="18">
        <f>AT17*(1+$AW$21)</f>
        <v>855.65250322974191</v>
      </c>
      <c r="AV17" s="18">
        <f t="shared" ref="AV17:BZ17" si="32">AU17*(1+$AW$21)</f>
        <v>847.09597819744454</v>
      </c>
      <c r="AW17" s="18">
        <f t="shared" si="32"/>
        <v>838.62501841547009</v>
      </c>
      <c r="AX17" s="18">
        <f t="shared" si="32"/>
        <v>830.23876823131536</v>
      </c>
      <c r="AY17" s="18">
        <f t="shared" si="32"/>
        <v>821.93638054900225</v>
      </c>
      <c r="AZ17" s="18">
        <f t="shared" si="32"/>
        <v>813.7170167435122</v>
      </c>
      <c r="BA17" s="18">
        <f t="shared" si="32"/>
        <v>805.5798465760771</v>
      </c>
      <c r="BB17" s="18">
        <f t="shared" si="32"/>
        <v>797.52404811031636</v>
      </c>
      <c r="BC17" s="18">
        <f t="shared" si="32"/>
        <v>789.54880762921323</v>
      </c>
      <c r="BD17" s="18">
        <f t="shared" si="32"/>
        <v>781.65331955292106</v>
      </c>
      <c r="BE17" s="18">
        <f t="shared" si="32"/>
        <v>773.83678635739182</v>
      </c>
      <c r="BF17" s="18">
        <f t="shared" si="32"/>
        <v>766.09841849381792</v>
      </c>
      <c r="BG17" s="18">
        <f t="shared" si="32"/>
        <v>758.43743430887969</v>
      </c>
      <c r="BH17" s="18">
        <f t="shared" si="32"/>
        <v>750.85305996579086</v>
      </c>
      <c r="BI17" s="18">
        <f t="shared" si="32"/>
        <v>743.34452936613297</v>
      </c>
      <c r="BJ17" s="18">
        <f t="shared" si="32"/>
        <v>735.91108407247168</v>
      </c>
      <c r="BK17" s="18">
        <f t="shared" si="32"/>
        <v>728.55197323174696</v>
      </c>
      <c r="BL17" s="18">
        <f t="shared" si="32"/>
        <v>721.26645349942953</v>
      </c>
      <c r="BM17" s="18">
        <f t="shared" si="32"/>
        <v>714.05378896443528</v>
      </c>
      <c r="BN17" s="18">
        <f t="shared" si="32"/>
        <v>706.91325107479088</v>
      </c>
      <c r="BO17" s="18">
        <f t="shared" si="32"/>
        <v>699.84411856404301</v>
      </c>
      <c r="BP17" s="18">
        <f t="shared" si="32"/>
        <v>692.84567737840257</v>
      </c>
      <c r="BQ17" s="18">
        <f t="shared" si="32"/>
        <v>685.91722060461859</v>
      </c>
      <c r="BR17" s="18">
        <f t="shared" si="32"/>
        <v>679.0580483985724</v>
      </c>
      <c r="BS17" s="18">
        <f t="shared" si="32"/>
        <v>672.26746791458663</v>
      </c>
      <c r="BT17" s="18">
        <f t="shared" si="32"/>
        <v>665.54479323544081</v>
      </c>
      <c r="BU17" s="18">
        <f t="shared" si="32"/>
        <v>658.88934530308643</v>
      </c>
      <c r="BV17" s="18">
        <f t="shared" si="32"/>
        <v>652.30045185005554</v>
      </c>
      <c r="BW17" s="18">
        <f t="shared" si="32"/>
        <v>645.77744733155498</v>
      </c>
      <c r="BX17" s="18">
        <f t="shared" si="32"/>
        <v>639.31967285823941</v>
      </c>
      <c r="BY17" s="18">
        <f t="shared" si="32"/>
        <v>632.92647612965698</v>
      </c>
      <c r="BZ17" s="18">
        <f t="shared" si="32"/>
        <v>626.59721136836038</v>
      </c>
      <c r="CA17" s="18">
        <f t="shared" ref="CA17:DF17" si="33">BZ17*(1+$AW$21)</f>
        <v>620.3312392546768</v>
      </c>
      <c r="CB17" s="18">
        <f t="shared" si="33"/>
        <v>614.12792686213004</v>
      </c>
      <c r="CC17" s="18">
        <f t="shared" si="33"/>
        <v>607.98664759350868</v>
      </c>
      <c r="CD17" s="18">
        <f t="shared" si="33"/>
        <v>601.90678111757359</v>
      </c>
      <c r="CE17" s="18">
        <f t="shared" si="33"/>
        <v>595.88771330639781</v>
      </c>
      <c r="CF17" s="18">
        <f t="shared" si="33"/>
        <v>589.92883617333382</v>
      </c>
      <c r="CG17" s="18">
        <f t="shared" si="33"/>
        <v>584.02954781160042</v>
      </c>
      <c r="CH17" s="18">
        <f t="shared" si="33"/>
        <v>578.18925233348443</v>
      </c>
      <c r="CI17" s="18">
        <f t="shared" si="33"/>
        <v>572.40735981014961</v>
      </c>
      <c r="CJ17" s="18">
        <f t="shared" si="33"/>
        <v>566.68328621204807</v>
      </c>
      <c r="CK17" s="18">
        <f t="shared" si="33"/>
        <v>561.01645334992759</v>
      </c>
      <c r="CL17" s="18">
        <f t="shared" si="33"/>
        <v>555.40628881642829</v>
      </c>
      <c r="CM17" s="18">
        <f t="shared" si="33"/>
        <v>549.85222592826403</v>
      </c>
      <c r="CN17" s="18">
        <f t="shared" si="33"/>
        <v>544.35370366898144</v>
      </c>
      <c r="CO17" s="18">
        <f t="shared" si="33"/>
        <v>538.91016663229163</v>
      </c>
      <c r="CP17" s="18">
        <f t="shared" si="33"/>
        <v>533.52106496596866</v>
      </c>
      <c r="CQ17" s="18">
        <f t="shared" si="33"/>
        <v>528.18585431630902</v>
      </c>
      <c r="CR17" s="18">
        <f t="shared" si="33"/>
        <v>522.90399577314588</v>
      </c>
      <c r="CS17" s="18">
        <f t="shared" si="33"/>
        <v>517.67495581541436</v>
      </c>
      <c r="CT17" s="18">
        <f t="shared" si="33"/>
        <v>512.49820625726022</v>
      </c>
      <c r="CU17" s="18">
        <f t="shared" si="33"/>
        <v>507.37322419468762</v>
      </c>
      <c r="CV17" s="18">
        <f t="shared" si="33"/>
        <v>502.29949195274077</v>
      </c>
      <c r="CW17" s="18">
        <f t="shared" si="33"/>
        <v>497.27649703321333</v>
      </c>
      <c r="CX17" s="18">
        <f t="shared" si="33"/>
        <v>492.30373206288118</v>
      </c>
      <c r="CY17" s="18">
        <f t="shared" si="33"/>
        <v>487.38069474225239</v>
      </c>
      <c r="CZ17" s="18">
        <f t="shared" si="33"/>
        <v>482.50688779482988</v>
      </c>
      <c r="DA17" s="18">
        <f t="shared" si="33"/>
        <v>477.68181891688158</v>
      </c>
      <c r="DB17" s="18">
        <f t="shared" si="33"/>
        <v>472.90500072771277</v>
      </c>
      <c r="DC17" s="18">
        <f t="shared" si="33"/>
        <v>468.17595072043565</v>
      </c>
      <c r="DD17" s="18">
        <f t="shared" si="33"/>
        <v>463.49419121323132</v>
      </c>
      <c r="DE17" s="18">
        <f t="shared" si="33"/>
        <v>458.859249301099</v>
      </c>
      <c r="DF17" s="18">
        <f t="shared" si="33"/>
        <v>454.27065680808801</v>
      </c>
      <c r="DG17" s="18">
        <f t="shared" ref="DG17:EC17" si="34">DF17*(1+$AW$21)</f>
        <v>449.72795024000715</v>
      </c>
      <c r="DH17" s="18">
        <f t="shared" si="34"/>
        <v>445.23067073760706</v>
      </c>
      <c r="DI17" s="18">
        <f t="shared" si="34"/>
        <v>440.77836403023099</v>
      </c>
      <c r="DJ17" s="18">
        <f t="shared" si="34"/>
        <v>436.37058038992865</v>
      </c>
      <c r="DK17" s="18">
        <f t="shared" si="34"/>
        <v>432.00687458602937</v>
      </c>
      <c r="DL17" s="18">
        <f t="shared" si="34"/>
        <v>427.68680584016909</v>
      </c>
      <c r="DM17" s="18">
        <f t="shared" si="34"/>
        <v>423.40993778176738</v>
      </c>
      <c r="DN17" s="18">
        <f t="shared" si="34"/>
        <v>419.17583840394968</v>
      </c>
      <c r="DO17" s="18">
        <f t="shared" si="34"/>
        <v>414.98408001991021</v>
      </c>
      <c r="DP17" s="18">
        <f t="shared" si="34"/>
        <v>410.83423921971109</v>
      </c>
      <c r="DQ17" s="18">
        <f t="shared" si="34"/>
        <v>406.72589682751396</v>
      </c>
      <c r="DR17" s="18">
        <f t="shared" si="34"/>
        <v>402.65863785923881</v>
      </c>
      <c r="DS17" s="18">
        <f t="shared" si="34"/>
        <v>398.6320514806464</v>
      </c>
      <c r="DT17" s="18">
        <f t="shared" si="34"/>
        <v>394.6457309658399</v>
      </c>
      <c r="DU17" s="18">
        <f t="shared" si="34"/>
        <v>390.6992736561815</v>
      </c>
      <c r="DV17" s="18">
        <f t="shared" si="34"/>
        <v>386.79228091961966</v>
      </c>
      <c r="DW17" s="18">
        <f t="shared" si="34"/>
        <v>382.92435811042344</v>
      </c>
      <c r="DX17" s="18">
        <f t="shared" si="34"/>
        <v>379.09511452931918</v>
      </c>
      <c r="DY17" s="18">
        <f t="shared" si="34"/>
        <v>375.30416338402597</v>
      </c>
      <c r="DZ17" s="18">
        <f t="shared" si="34"/>
        <v>371.5511217501857</v>
      </c>
      <c r="EA17" s="18">
        <f t="shared" si="34"/>
        <v>367.83561053268386</v>
      </c>
      <c r="EB17" s="18">
        <f t="shared" si="34"/>
        <v>364.15725442735703</v>
      </c>
      <c r="EC17" s="18">
        <f t="shared" si="34"/>
        <v>360.51568188308346</v>
      </c>
    </row>
    <row r="18" spans="1:133" x14ac:dyDescent="0.25">
      <c r="C18" s="3" t="s">
        <v>143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1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Y18" s="14"/>
      <c r="Z18" s="17">
        <v>40.645161999999999</v>
      </c>
      <c r="AA18" s="17">
        <v>40.645161999999999</v>
      </c>
      <c r="AB18" s="17">
        <v>40.645161999999999</v>
      </c>
      <c r="AC18" s="17">
        <v>40.645161999999999</v>
      </c>
      <c r="AD18" s="17">
        <v>40.645161999999999</v>
      </c>
      <c r="AE18" s="17">
        <v>40.645161999999999</v>
      </c>
      <c r="AF18" s="17">
        <v>40.645161999999999</v>
      </c>
      <c r="AG18" s="17">
        <v>40.645161999999999</v>
      </c>
      <c r="AH18" s="17">
        <v>40.645161999999999</v>
      </c>
      <c r="AI18" s="17">
        <v>40.645161999999999</v>
      </c>
      <c r="AJ18" s="17">
        <v>40.645161999999999</v>
      </c>
      <c r="AK18" s="7">
        <v>40.645161999999999</v>
      </c>
      <c r="AL18" s="17">
        <v>40.645161999999999</v>
      </c>
      <c r="AM18" s="17">
        <v>40.645161999999999</v>
      </c>
      <c r="AN18" s="17">
        <v>40.645161999999999</v>
      </c>
      <c r="AO18" s="17">
        <v>40.645161999999999</v>
      </c>
      <c r="AP18" s="17">
        <v>40.645161999999999</v>
      </c>
      <c r="AQ18" s="17">
        <v>40.645161999999999</v>
      </c>
      <c r="AR18" s="17">
        <v>40.645161999999999</v>
      </c>
      <c r="AS18" s="17">
        <v>40.645161999999999</v>
      </c>
      <c r="AT18" s="17">
        <v>40.645161999999999</v>
      </c>
    </row>
    <row r="19" spans="1:133" x14ac:dyDescent="0.25">
      <c r="C19" s="3" t="s">
        <v>33</v>
      </c>
      <c r="D19" s="19">
        <f t="shared" ref="D19:I19" si="35">D17/D18</f>
        <v>0.22342142467041934</v>
      </c>
      <c r="E19" s="19">
        <f t="shared" si="35"/>
        <v>1.2773475967447223</v>
      </c>
      <c r="F19" s="19">
        <f t="shared" si="35"/>
        <v>0.73346982846322517</v>
      </c>
      <c r="G19" s="19">
        <f t="shared" si="35"/>
        <v>3.922582471193004</v>
      </c>
      <c r="H19" s="19">
        <f t="shared" si="35"/>
        <v>-1.1574071226484448</v>
      </c>
      <c r="I19" s="19">
        <f t="shared" si="35"/>
        <v>0.89395633359758764</v>
      </c>
      <c r="J19" s="19">
        <f>J17/J18</f>
        <v>2.2323198022928272</v>
      </c>
      <c r="K19" s="19">
        <f t="shared" ref="K19:O19" si="36">K17/K18</f>
        <v>5.7369435506247966</v>
      </c>
      <c r="L19" s="19">
        <f t="shared" si="36"/>
        <v>-0.23697777364006969</v>
      </c>
      <c r="M19" s="19">
        <f t="shared" si="36"/>
        <v>1.1952468045274374</v>
      </c>
      <c r="N19" s="19">
        <f>N17/N18</f>
        <v>1.7294309221845392</v>
      </c>
      <c r="O19" s="19">
        <f t="shared" si="36"/>
        <v>7.1205276534511039</v>
      </c>
      <c r="P19" s="19">
        <f t="shared" ref="P19:Q19" si="37">P17/P18</f>
        <v>-0.76208332002711521</v>
      </c>
      <c r="Q19" s="19">
        <f t="shared" si="37"/>
        <v>-6.7511109932347227E-2</v>
      </c>
      <c r="R19" s="19">
        <f t="shared" ref="R19:S19" si="38">R17/R18</f>
        <v>0.98427458598885542</v>
      </c>
      <c r="S19" s="19">
        <f t="shared" si="38"/>
        <v>5.4535641904933234</v>
      </c>
      <c r="T19" s="19">
        <f t="shared" ref="T19:U19" si="39">T17/T18</f>
        <v>-0.95590712616670082</v>
      </c>
      <c r="U19" s="19">
        <f t="shared" si="39"/>
        <v>0.90522458736909395</v>
      </c>
      <c r="Y19" s="61"/>
      <c r="Z19" s="19">
        <f t="shared" ref="Z19:AA19" si="40">Z17/Z18</f>
        <v>2.4936301151905842</v>
      </c>
      <c r="AA19" s="19">
        <f t="shared" si="40"/>
        <v>3.2994332757241795</v>
      </c>
      <c r="AB19" s="19">
        <f t="shared" ref="AB19:AC19" si="41">AB17/AB18</f>
        <v>3.4786181932304743</v>
      </c>
      <c r="AC19" s="19">
        <f t="shared" si="41"/>
        <v>4.1556483401394742</v>
      </c>
      <c r="AD19" s="19">
        <f t="shared" ref="AD19:AE19" si="42">AD17/AD18</f>
        <v>5.1162300693991529</v>
      </c>
      <c r="AE19" s="19">
        <f t="shared" si="42"/>
        <v>8.7588530216708183</v>
      </c>
      <c r="AF19" s="19">
        <f t="shared" ref="AF19:AG19" si="43">AF17/AF18</f>
        <v>9.4585180888195257</v>
      </c>
      <c r="AG19" s="19">
        <f t="shared" si="43"/>
        <v>6.126190369225248</v>
      </c>
      <c r="AH19" s="19">
        <f t="shared" ref="AH19" si="44">AH17/AH18</f>
        <v>7.7007935163353514</v>
      </c>
      <c r="AI19" s="19">
        <f t="shared" ref="AI19" si="45">AI17/AI18</f>
        <v>9.7920633210909589</v>
      </c>
      <c r="AJ19" s="19">
        <f t="shared" ref="AJ19" si="46">AJ17/AJ18</f>
        <v>5.5849205374061492</v>
      </c>
      <c r="AK19" s="5">
        <f t="shared" ref="AK19" si="47">AK17/AK18</f>
        <v>8.5721399265182008</v>
      </c>
      <c r="AL19" s="19">
        <f t="shared" ref="AL19" si="48">AL17/AL18</f>
        <v>9.5593693547094247</v>
      </c>
      <c r="AM19" s="19">
        <f t="shared" ref="AM19" si="49">AM17/AM18</f>
        <v>10.634126987920482</v>
      </c>
      <c r="AN19" s="19">
        <f t="shared" ref="AN19" si="50">AN17/AN18</f>
        <v>11.803380744985564</v>
      </c>
      <c r="AO19" s="19">
        <f t="shared" ref="AO19" si="51">AO17/AO18</f>
        <v>13.074621475637917</v>
      </c>
      <c r="AP19" s="19">
        <f t="shared" ref="AP19" si="52">AP17/AP18</f>
        <v>14.455900786606461</v>
      </c>
      <c r="AQ19" s="19">
        <f t="shared" ref="AQ19" si="53">AQ17/AQ18</f>
        <v>15.955871536601018</v>
      </c>
      <c r="AR19" s="19">
        <f t="shared" ref="AR19" si="54">AR17/AR18</f>
        <v>17.58383118518616</v>
      </c>
      <c r="AS19" s="19">
        <f t="shared" ref="AS19" si="55">AS17/AS18</f>
        <v>19.349768193200571</v>
      </c>
      <c r="AT19" s="19">
        <f t="shared" ref="AT19" si="56">AT17/AT18</f>
        <v>21.264411685893148</v>
      </c>
    </row>
    <row r="20" spans="1:133" x14ac:dyDescent="0.25">
      <c r="AV20" s="3" t="s">
        <v>84</v>
      </c>
      <c r="AW20" s="24">
        <v>0.08</v>
      </c>
    </row>
    <row r="21" spans="1:133" x14ac:dyDescent="0.25">
      <c r="C21" s="1" t="s">
        <v>34</v>
      </c>
      <c r="D21" s="27"/>
      <c r="E21" s="27"/>
      <c r="F21" s="27"/>
      <c r="G21" s="27"/>
      <c r="H21" s="27">
        <f t="shared" ref="H21:U21" si="57">(H6-D6)/D6</f>
        <v>-1.254748645777988E-4</v>
      </c>
      <c r="I21" s="27">
        <f t="shared" si="57"/>
        <v>-9.3509794409636048E-3</v>
      </c>
      <c r="J21" s="27">
        <f t="shared" si="57"/>
        <v>0.12962776905823495</v>
      </c>
      <c r="K21" s="27">
        <f t="shared" si="57"/>
        <v>0.13012058176852664</v>
      </c>
      <c r="L21" s="27">
        <f t="shared" si="57"/>
        <v>0.1506234076314803</v>
      </c>
      <c r="M21" s="27">
        <f t="shared" si="57"/>
        <v>0.10260127567066506</v>
      </c>
      <c r="N21" s="27">
        <f t="shared" si="57"/>
        <v>6.7664094172284639E-2</v>
      </c>
      <c r="O21" s="27">
        <f t="shared" si="57"/>
        <v>0.12010893779275829</v>
      </c>
      <c r="P21" s="27">
        <f t="shared" si="57"/>
        <v>5.2889886402121555E-2</v>
      </c>
      <c r="Q21" s="27">
        <f t="shared" si="57"/>
        <v>7.3019630116609682E-2</v>
      </c>
      <c r="R21" s="27">
        <f t="shared" si="57"/>
        <v>1.6543885876907034E-2</v>
      </c>
      <c r="S21" s="27">
        <f t="shared" si="57"/>
        <v>3.461255752097156E-2</v>
      </c>
      <c r="T21" s="27">
        <f t="shared" si="57"/>
        <v>9.2833583208395756E-2</v>
      </c>
      <c r="U21" s="27">
        <f t="shared" si="57"/>
        <v>7.1455054214760449E-2</v>
      </c>
      <c r="AA21" s="20">
        <f t="shared" ref="AA21:AT21" si="58">(AA6-Z6)/Z6</f>
        <v>8.8926675144759354E-2</v>
      </c>
      <c r="AB21" s="20">
        <f t="shared" si="58"/>
        <v>6.700722174365431E-2</v>
      </c>
      <c r="AC21" s="20">
        <f t="shared" si="58"/>
        <v>6.12894638229904E-2</v>
      </c>
      <c r="AD21" s="20">
        <f t="shared" si="58"/>
        <v>0.59787057833156665</v>
      </c>
      <c r="AE21" s="20">
        <f t="shared" si="58"/>
        <v>0.27816891194362209</v>
      </c>
      <c r="AF21" s="20">
        <f t="shared" si="58"/>
        <v>3.6992141531203324E-2</v>
      </c>
      <c r="AG21" s="20">
        <f t="shared" si="58"/>
        <v>2.4751085901433365E-2</v>
      </c>
      <c r="AH21" s="20">
        <f t="shared" si="58"/>
        <v>7.3178391959799E-2</v>
      </c>
      <c r="AI21" s="20">
        <f t="shared" si="58"/>
        <v>0.10916008194322505</v>
      </c>
      <c r="AJ21" s="20">
        <f t="shared" si="58"/>
        <v>4.1688654353562005E-2</v>
      </c>
      <c r="AK21" s="21">
        <f t="shared" si="58"/>
        <v>7.4989868287740735E-2</v>
      </c>
      <c r="AL21" s="20">
        <f t="shared" si="58"/>
        <v>6.499999999999985E-2</v>
      </c>
      <c r="AM21" s="20">
        <f t="shared" si="58"/>
        <v>6.5000000000000002E-2</v>
      </c>
      <c r="AN21" s="20">
        <f t="shared" si="58"/>
        <v>6.4999999999999822E-2</v>
      </c>
      <c r="AO21" s="20">
        <f t="shared" si="58"/>
        <v>6.4999999999999822E-2</v>
      </c>
      <c r="AP21" s="20">
        <f t="shared" si="58"/>
        <v>6.5000000000000085E-2</v>
      </c>
      <c r="AQ21" s="20">
        <f t="shared" si="58"/>
        <v>6.4999999999999919E-2</v>
      </c>
      <c r="AR21" s="20">
        <f t="shared" si="58"/>
        <v>6.4999999999999891E-2</v>
      </c>
      <c r="AS21" s="20">
        <f t="shared" si="58"/>
        <v>6.4999999999999988E-2</v>
      </c>
      <c r="AT21" s="20">
        <f t="shared" si="58"/>
        <v>6.4999999999999961E-2</v>
      </c>
      <c r="AV21" s="3" t="s">
        <v>85</v>
      </c>
      <c r="AW21" s="24">
        <v>-0.01</v>
      </c>
    </row>
    <row r="22" spans="1:133" s="27" customFormat="1" x14ac:dyDescent="0.25">
      <c r="A22" s="54"/>
      <c r="B22" s="55"/>
      <c r="C22" s="27" t="s">
        <v>135</v>
      </c>
      <c r="D22" s="27">
        <v>7.2999999999999995E-2</v>
      </c>
      <c r="E22" s="27">
        <v>5.6000000000000001E-2</v>
      </c>
      <c r="F22" s="27">
        <v>-4.0000000000000001E-3</v>
      </c>
      <c r="G22" s="27">
        <v>1.7999999999999999E-2</v>
      </c>
      <c r="H22" s="27">
        <v>-3.0000000000000001E-3</v>
      </c>
      <c r="I22" s="27">
        <v>-3.3000000000000002E-2</v>
      </c>
      <c r="J22" s="27">
        <v>0.129</v>
      </c>
      <c r="K22" s="27">
        <v>9.2999999999999999E-2</v>
      </c>
      <c r="L22" s="27">
        <v>0.13500000000000001</v>
      </c>
      <c r="M22" s="27">
        <v>9.1999999999999998E-2</v>
      </c>
      <c r="N22" s="27">
        <v>0.03</v>
      </c>
      <c r="O22" s="27">
        <v>0.10100000000000001</v>
      </c>
      <c r="P22" s="27">
        <v>2.9000000000000001E-2</v>
      </c>
      <c r="Q22" s="27">
        <v>4.5999999999999999E-2</v>
      </c>
      <c r="R22" s="27">
        <v>-1.7000000000000001E-2</v>
      </c>
      <c r="S22" s="27">
        <v>8.0000000000000002E-3</v>
      </c>
      <c r="T22" s="27">
        <v>6.0999999999999999E-2</v>
      </c>
      <c r="U22" s="27">
        <v>8.3000000000000004E-2</v>
      </c>
      <c r="V22" s="54"/>
      <c r="W22" s="54"/>
      <c r="X22" s="54"/>
      <c r="Y22" s="54"/>
      <c r="Z22" s="54"/>
      <c r="AA22" s="54"/>
      <c r="AB22" s="54"/>
      <c r="AC22" s="54"/>
      <c r="AD22" s="54"/>
      <c r="AJ22" s="27">
        <v>1.4E-2</v>
      </c>
      <c r="AK22" s="63"/>
      <c r="AV22" s="62" t="s">
        <v>86</v>
      </c>
      <c r="AW22" s="26">
        <f>NPV(AW20,AJ17:EC17)</f>
        <v>7657.5357315692663</v>
      </c>
    </row>
    <row r="23" spans="1:133" x14ac:dyDescent="0.25">
      <c r="C23" s="27" t="s">
        <v>136</v>
      </c>
      <c r="D23" s="27"/>
      <c r="E23" s="27"/>
      <c r="F23" s="27"/>
      <c r="G23" s="27"/>
      <c r="H23" s="27">
        <f t="shared" ref="H23:T23" si="59">((H9+H11)-(D9+D11))/(D9+D11)</f>
        <v>8.7537923883405602E-2</v>
      </c>
      <c r="I23" s="27">
        <f t="shared" si="59"/>
        <v>4.5828143543166243E-2</v>
      </c>
      <c r="J23" s="27">
        <f t="shared" si="59"/>
        <v>3.2986651564193697E-2</v>
      </c>
      <c r="K23" s="27">
        <f t="shared" si="59"/>
        <v>0.12223917541779995</v>
      </c>
      <c r="L23" s="27">
        <f t="shared" si="59"/>
        <v>7.5565709927114533E-2</v>
      </c>
      <c r="M23" s="27">
        <f t="shared" si="59"/>
        <v>6.9037598105690698E-2</v>
      </c>
      <c r="N23" s="27">
        <f t="shared" si="59"/>
        <v>0.14561865963735121</v>
      </c>
      <c r="O23" s="27">
        <f t="shared" si="59"/>
        <v>5.1475596517741321E-2</v>
      </c>
      <c r="P23" s="27">
        <f t="shared" si="59"/>
        <v>8.2857546218928921E-2</v>
      </c>
      <c r="Q23" s="27">
        <f t="shared" si="59"/>
        <v>0.13722957807113551</v>
      </c>
      <c r="R23" s="27">
        <f t="shared" si="59"/>
        <v>0.1203204827525006</v>
      </c>
      <c r="S23" s="27">
        <f t="shared" si="59"/>
        <v>0.14135300294791184</v>
      </c>
      <c r="T23" s="27">
        <f t="shared" si="59"/>
        <v>8.6140925353222972E-2</v>
      </c>
      <c r="U23" s="27">
        <f>((U9+U11)-(Q9+Q11))/(Q9+Q11)</f>
        <v>5.3630823202360248E-2</v>
      </c>
      <c r="V23" s="54"/>
      <c r="W23" s="54"/>
      <c r="X23" s="54"/>
      <c r="Y23" s="54"/>
      <c r="Z23" s="54"/>
      <c r="AA23" s="27">
        <f>((AA9+AA11)-(Z9+Z11))/(Z9+Z11)</f>
        <v>4.5380050249805168E-2</v>
      </c>
      <c r="AB23" s="27">
        <f t="shared" ref="AB23:AT23" si="60">((AB9+AB11)-(AA9+AA11))/(AA9+AA11)</f>
        <v>7.0812916325663847E-2</v>
      </c>
      <c r="AC23" s="27">
        <f t="shared" si="60"/>
        <v>3.7796664554400575E-2</v>
      </c>
      <c r="AD23" s="27">
        <f t="shared" si="60"/>
        <v>0.32319756132424321</v>
      </c>
      <c r="AE23" s="27">
        <f t="shared" si="60"/>
        <v>0.24437589752561795</v>
      </c>
      <c r="AF23" s="27">
        <f t="shared" si="60"/>
        <v>9.6822986896200648E-3</v>
      </c>
      <c r="AG23" s="27">
        <f t="shared" si="60"/>
        <v>5.9783370559703959E-2</v>
      </c>
      <c r="AH23" s="27">
        <f t="shared" si="60"/>
        <v>7.4955908289241618E-2</v>
      </c>
      <c r="AI23" s="27">
        <f t="shared" si="60"/>
        <v>8.2854799015586553E-2</v>
      </c>
      <c r="AJ23" s="27">
        <f t="shared" si="60"/>
        <v>0.12196969696969696</v>
      </c>
      <c r="AK23" s="63">
        <f t="shared" si="60"/>
        <v>3.0000000000000044E-2</v>
      </c>
      <c r="AL23" s="27">
        <f t="shared" si="60"/>
        <v>5.499999999999991E-2</v>
      </c>
      <c r="AM23" s="27">
        <f t="shared" si="60"/>
        <v>5.4999999999999924E-2</v>
      </c>
      <c r="AN23" s="27">
        <f t="shared" si="60"/>
        <v>5.5000000000000007E-2</v>
      </c>
      <c r="AO23" s="27">
        <f t="shared" si="60"/>
        <v>5.4999999999999841E-2</v>
      </c>
      <c r="AP23" s="27">
        <f t="shared" si="60"/>
        <v>5.4999999999999938E-2</v>
      </c>
      <c r="AQ23" s="27">
        <f t="shared" si="60"/>
        <v>5.5000000000000049E-2</v>
      </c>
      <c r="AR23" s="27">
        <f t="shared" si="60"/>
        <v>5.4999999999999993E-2</v>
      </c>
      <c r="AS23" s="27">
        <f t="shared" si="60"/>
        <v>5.4999999999999778E-2</v>
      </c>
      <c r="AT23" s="27">
        <f t="shared" si="60"/>
        <v>5.4999999999999861E-2</v>
      </c>
      <c r="AV23" s="3" t="s">
        <v>2</v>
      </c>
      <c r="AW23" s="23">
        <v>40.645161999999999</v>
      </c>
    </row>
    <row r="24" spans="1:133" x14ac:dyDescent="0.25">
      <c r="C24" s="3" t="s">
        <v>156</v>
      </c>
      <c r="D24" s="54">
        <f t="shared" ref="D24:T24" si="61">D8/D6</f>
        <v>0.6128423523895532</v>
      </c>
      <c r="E24" s="54">
        <f t="shared" si="61"/>
        <v>0.60086909585334691</v>
      </c>
      <c r="F24" s="54">
        <f t="shared" si="61"/>
        <v>0.55616592354439454</v>
      </c>
      <c r="G24" s="54">
        <f t="shared" si="61"/>
        <v>0.56932843692268331</v>
      </c>
      <c r="H24" s="54">
        <f t="shared" si="61"/>
        <v>0.56045592720223647</v>
      </c>
      <c r="I24" s="54">
        <f t="shared" si="61"/>
        <v>0.62228119930698866</v>
      </c>
      <c r="J24" s="54">
        <f t="shared" si="61"/>
        <v>0.62121953300873667</v>
      </c>
      <c r="K24" s="54">
        <f t="shared" si="61"/>
        <v>0.63407964382410864</v>
      </c>
      <c r="L24" s="54">
        <f t="shared" si="61"/>
        <v>0.61506736084403402</v>
      </c>
      <c r="M24" s="54">
        <f t="shared" si="61"/>
        <v>0.63298024728117064</v>
      </c>
      <c r="N24" s="54">
        <f t="shared" si="61"/>
        <v>0.62140438408472776</v>
      </c>
      <c r="O24" s="54">
        <f t="shared" si="61"/>
        <v>0.61197973184037935</v>
      </c>
      <c r="P24" s="54">
        <f t="shared" si="61"/>
        <v>0.60558402616873386</v>
      </c>
      <c r="Q24" s="54">
        <f t="shared" si="61"/>
        <v>0.62395009910225019</v>
      </c>
      <c r="R24" s="54">
        <f t="shared" si="61"/>
        <v>0.61818715393133994</v>
      </c>
      <c r="S24" s="54">
        <f t="shared" si="61"/>
        <v>0.61238927097661622</v>
      </c>
      <c r="T24" s="54">
        <f t="shared" si="61"/>
        <v>0.6122544935720593</v>
      </c>
      <c r="U24" s="54">
        <f t="shared" ref="U24" si="62">U8/U6</f>
        <v>0.63369884448855096</v>
      </c>
      <c r="Z24" s="54">
        <f t="shared" ref="Z24:AT24" si="63">Z8/Z6</f>
        <v>0.58646183639522476</v>
      </c>
      <c r="AA24" s="54">
        <f t="shared" si="63"/>
        <v>0.60224911464942588</v>
      </c>
      <c r="AB24" s="54">
        <f t="shared" si="63"/>
        <v>0.60384116231728469</v>
      </c>
      <c r="AC24" s="54">
        <f t="shared" si="63"/>
        <v>0.60926748303585732</v>
      </c>
      <c r="AD24" s="54">
        <f t="shared" si="63"/>
        <v>0.60512162035338579</v>
      </c>
      <c r="AE24" s="54">
        <f t="shared" si="63"/>
        <v>0.62853232265045256</v>
      </c>
      <c r="AF24" s="54">
        <f t="shared" si="63"/>
        <v>0.62682002744685061</v>
      </c>
      <c r="AG24" s="54">
        <f t="shared" si="63"/>
        <v>0.58165829145728642</v>
      </c>
      <c r="AH24" s="54">
        <f t="shared" si="63"/>
        <v>0.61545215100965756</v>
      </c>
      <c r="AI24" s="54">
        <f t="shared" si="63"/>
        <v>0.61926121372031662</v>
      </c>
      <c r="AJ24" s="54">
        <f t="shared" si="63"/>
        <v>0.6149949341438703</v>
      </c>
      <c r="AK24" s="55">
        <f t="shared" si="63"/>
        <v>0.62</v>
      </c>
      <c r="AL24" s="54">
        <f t="shared" si="63"/>
        <v>0.62</v>
      </c>
      <c r="AM24" s="54">
        <f t="shared" si="63"/>
        <v>0.62</v>
      </c>
      <c r="AN24" s="54">
        <f t="shared" si="63"/>
        <v>0.62</v>
      </c>
      <c r="AO24" s="54">
        <f t="shared" si="63"/>
        <v>0.62</v>
      </c>
      <c r="AP24" s="54">
        <f t="shared" si="63"/>
        <v>0.62</v>
      </c>
      <c r="AQ24" s="54">
        <f t="shared" si="63"/>
        <v>0.62</v>
      </c>
      <c r="AR24" s="54">
        <f t="shared" si="63"/>
        <v>0.62</v>
      </c>
      <c r="AS24" s="54">
        <f t="shared" si="63"/>
        <v>0.61999999999999988</v>
      </c>
      <c r="AT24" s="54">
        <f t="shared" si="63"/>
        <v>0.62</v>
      </c>
      <c r="AV24" s="1" t="s">
        <v>87</v>
      </c>
      <c r="AW24" s="25">
        <f>AW22/AW23</f>
        <v>188.39968534432873</v>
      </c>
    </row>
    <row r="25" spans="1:133" x14ac:dyDescent="0.25">
      <c r="C25" s="3" t="s">
        <v>155</v>
      </c>
      <c r="D25" s="54">
        <f t="shared" ref="D25:T25" si="64">D12/D6</f>
        <v>3.985643033916185E-2</v>
      </c>
      <c r="E25" s="54">
        <f t="shared" si="64"/>
        <v>0.1089731413852239</v>
      </c>
      <c r="F25" s="54">
        <f t="shared" si="64"/>
        <v>7.6831692309363334E-2</v>
      </c>
      <c r="G25" s="54">
        <f t="shared" si="64"/>
        <v>0.18893155383574681</v>
      </c>
      <c r="H25" s="54">
        <f t="shared" si="64"/>
        <v>-6.534923541543157E-2</v>
      </c>
      <c r="I25" s="54">
        <f t="shared" si="64"/>
        <v>9.0556340281839356E-2</v>
      </c>
      <c r="J25" s="54">
        <f t="shared" si="64"/>
        <v>0.16786757803720392</v>
      </c>
      <c r="K25" s="54">
        <f t="shared" si="64"/>
        <v>0.25026361702483785</v>
      </c>
      <c r="L25" s="54">
        <f t="shared" si="64"/>
        <v>1.2985689767006725E-2</v>
      </c>
      <c r="M25" s="54">
        <f t="shared" si="64"/>
        <v>0.10447335465944733</v>
      </c>
      <c r="N25" s="54">
        <f t="shared" si="64"/>
        <v>0.13314923719807634</v>
      </c>
      <c r="O25" s="54">
        <f t="shared" si="64"/>
        <v>0.24514838578382572</v>
      </c>
      <c r="P25" s="54">
        <f t="shared" si="64"/>
        <v>-2.339648357639354E-2</v>
      </c>
      <c r="Q25" s="54">
        <f t="shared" si="64"/>
        <v>3.9104582021685833E-2</v>
      </c>
      <c r="R25" s="54">
        <f t="shared" si="64"/>
        <v>8.0626799557032058E-2</v>
      </c>
      <c r="S25" s="54">
        <f t="shared" si="64"/>
        <v>0.20857290233837689</v>
      </c>
      <c r="T25" s="54">
        <f t="shared" si="64"/>
        <v>-1.3642848947134731E-2</v>
      </c>
      <c r="U25" s="54">
        <f t="shared" ref="U25" si="65">U12/U6</f>
        <v>8.5273241079579995E-2</v>
      </c>
      <c r="Z25" s="11">
        <f t="shared" ref="Z25:AT25" si="66">Z12/Z6</f>
        <v>0.10023593528968261</v>
      </c>
      <c r="AA25" s="11">
        <f t="shared" si="66"/>
        <v>0.13284581160480788</v>
      </c>
      <c r="AB25" s="11">
        <f t="shared" si="66"/>
        <v>0.12998881608169319</v>
      </c>
      <c r="AC25" s="11">
        <f t="shared" si="66"/>
        <v>0.14532893907222924</v>
      </c>
      <c r="AD25" s="11">
        <f t="shared" si="66"/>
        <v>0.12878405241918275</v>
      </c>
      <c r="AE25" s="11">
        <f t="shared" si="66"/>
        <v>0.16107958660435781</v>
      </c>
      <c r="AF25" s="11">
        <f t="shared" si="66"/>
        <v>0.17417678758557828</v>
      </c>
      <c r="AG25" s="11">
        <f t="shared" si="66"/>
        <v>0.11620603015075377</v>
      </c>
      <c r="AH25" s="11">
        <f t="shared" si="66"/>
        <v>0.14047410008779632</v>
      </c>
      <c r="AI25" s="11">
        <f t="shared" si="66"/>
        <v>0.14643799472295516</v>
      </c>
      <c r="AJ25" s="11">
        <f t="shared" si="66"/>
        <v>9.9290780141843976E-2</v>
      </c>
      <c r="AK25" s="12">
        <f t="shared" si="66"/>
        <v>0.12587880472943372</v>
      </c>
      <c r="AL25" s="11">
        <f t="shared" si="66"/>
        <v>0.13051844036577695</v>
      </c>
      <c r="AM25" s="11">
        <f t="shared" si="66"/>
        <v>0.13511451134825794</v>
      </c>
      <c r="AN25" s="11">
        <f t="shared" si="66"/>
        <v>0.13966742673465926</v>
      </c>
      <c r="AO25" s="11">
        <f t="shared" si="66"/>
        <v>0.14417759174184561</v>
      </c>
      <c r="AP25" s="11">
        <f t="shared" si="66"/>
        <v>0.14864540778182825</v>
      </c>
      <c r="AQ25" s="11">
        <f t="shared" si="66"/>
        <v>0.15307127249749181</v>
      </c>
      <c r="AR25" s="11">
        <f t="shared" si="66"/>
        <v>0.15745557979798483</v>
      </c>
      <c r="AS25" s="11">
        <f t="shared" si="66"/>
        <v>0.16179871989377831</v>
      </c>
      <c r="AT25" s="11">
        <f t="shared" si="66"/>
        <v>0.16610107933139553</v>
      </c>
      <c r="AV25" s="1" t="s">
        <v>88</v>
      </c>
      <c r="AW25" s="27">
        <f>(AW24-B4)/B4</f>
        <v>0.5966075029180401</v>
      </c>
    </row>
    <row r="26" spans="1:133" x14ac:dyDescent="0.25">
      <c r="C26" s="3" t="s">
        <v>142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Z26" s="11">
        <f>Z17/938.411</f>
        <v>0.10800598032205501</v>
      </c>
      <c r="AA26" s="11">
        <f>AA17/1002</f>
        <v>0.13383832335329335</v>
      </c>
      <c r="AB26" s="11">
        <f>AB17/1018</f>
        <v>0.13888899803536339</v>
      </c>
      <c r="AC26" s="11">
        <f>AC17/1090</f>
        <v>0.1549605504587156</v>
      </c>
      <c r="AD26" s="11">
        <f>AD17/1150</f>
        <v>0.18082608695652158</v>
      </c>
      <c r="AE26" s="11">
        <f>AE17/1184</f>
        <v>0.30067989864864852</v>
      </c>
      <c r="AF26" s="11">
        <f>AF17/1262</f>
        <v>0.30462995245641838</v>
      </c>
      <c r="AG26" s="11">
        <v>0.19539999999999999</v>
      </c>
      <c r="AH26" s="11">
        <v>0.23799999999999999</v>
      </c>
      <c r="AI26" s="11">
        <v>0.25919999999999999</v>
      </c>
      <c r="AJ26" s="11">
        <f>AJ17/S53</f>
        <v>0.15636160998730511</v>
      </c>
      <c r="AK26" s="12"/>
      <c r="AL26" s="11"/>
      <c r="AM26" s="11"/>
      <c r="AN26" s="11"/>
      <c r="AO26" s="11"/>
      <c r="AP26" s="11"/>
      <c r="AQ26" s="11"/>
      <c r="AR26" s="11"/>
      <c r="AS26" s="11"/>
      <c r="AT26" s="11"/>
      <c r="AV26" s="1"/>
      <c r="AW26" s="27"/>
    </row>
    <row r="27" spans="1:133" s="14" customFormat="1" x14ac:dyDescent="0.25">
      <c r="B27" s="15"/>
      <c r="C27" s="3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3"/>
      <c r="S27" s="3"/>
      <c r="T27" s="3"/>
      <c r="U27" s="3"/>
      <c r="W27" s="3"/>
      <c r="X27" s="3"/>
      <c r="Y27" s="3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2"/>
      <c r="AL27" s="11"/>
      <c r="AM27" s="3"/>
      <c r="AN27" s="11"/>
      <c r="AO27" s="11"/>
      <c r="AP27" s="11"/>
      <c r="AQ27" s="11"/>
      <c r="AR27" s="11"/>
      <c r="AS27" s="11"/>
      <c r="AT27" s="11"/>
      <c r="AV27" s="18"/>
      <c r="AW27" s="18"/>
    </row>
    <row r="28" spans="1:133" s="54" customFormat="1" x14ac:dyDescent="0.25">
      <c r="B28" s="55"/>
      <c r="C28" s="14" t="s">
        <v>98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>
        <v>115.3</v>
      </c>
      <c r="Q28" s="14">
        <v>189</v>
      </c>
      <c r="R28" s="14">
        <v>205</v>
      </c>
      <c r="S28" s="14">
        <v>440</v>
      </c>
      <c r="T28" s="14">
        <v>132.69999999999999</v>
      </c>
      <c r="U28" s="14">
        <v>218</v>
      </c>
      <c r="V28" s="14"/>
      <c r="W28" s="14"/>
      <c r="X28" s="14"/>
      <c r="Y28" s="14"/>
      <c r="Z28" s="14">
        <v>174.03800000000001</v>
      </c>
      <c r="AA28" s="14">
        <v>201.06299999999999</v>
      </c>
      <c r="AB28" s="14">
        <v>214.52799999999999</v>
      </c>
      <c r="AC28" s="14">
        <v>250.20599999999999</v>
      </c>
      <c r="AD28" s="14">
        <v>566.94899999999996</v>
      </c>
      <c r="AE28" s="14">
        <v>823.57</v>
      </c>
      <c r="AF28" s="14">
        <v>877.56700000000001</v>
      </c>
      <c r="AG28" s="14">
        <v>717.52099999999996</v>
      </c>
      <c r="AH28" s="14">
        <v>884.49300000000005</v>
      </c>
      <c r="AI28" s="14">
        <v>1026</v>
      </c>
      <c r="AJ28" s="14">
        <v>949.09400000000005</v>
      </c>
      <c r="AK28" s="15">
        <f>AK12-AK10</f>
        <v>1105.8872000000006</v>
      </c>
      <c r="AL28" s="14">
        <f t="shared" ref="AL28:AT28" si="67">AL12-AL10</f>
        <v>1193.0241679999999</v>
      </c>
      <c r="AM28" s="14">
        <f t="shared" si="67"/>
        <v>1286.6640254199999</v>
      </c>
      <c r="AN28" s="14">
        <f t="shared" si="67"/>
        <v>1387.2756043297995</v>
      </c>
      <c r="AO28" s="14">
        <f t="shared" si="67"/>
        <v>1495.3607488178991</v>
      </c>
      <c r="AP28" s="14">
        <f t="shared" si="67"/>
        <v>1611.4566003590917</v>
      </c>
      <c r="AQ28" s="14">
        <f t="shared" si="67"/>
        <v>1736.1380394082025</v>
      </c>
      <c r="AR28" s="14">
        <f t="shared" si="67"/>
        <v>1870.0202937969234</v>
      </c>
      <c r="AS28" s="14">
        <f t="shared" si="67"/>
        <v>2013.7617252214061</v>
      </c>
      <c r="AT28" s="14">
        <f t="shared" si="67"/>
        <v>2168.0668058665042</v>
      </c>
      <c r="AV28" s="27"/>
      <c r="AW28" s="27"/>
    </row>
    <row r="29" spans="1:133" s="53" customFormat="1" x14ac:dyDescent="0.25">
      <c r="B29" s="64"/>
      <c r="C29" s="54" t="s">
        <v>159</v>
      </c>
      <c r="D29" s="54">
        <f t="shared" ref="D29:U29" si="68">D28/D6</f>
        <v>0</v>
      </c>
      <c r="E29" s="54">
        <f t="shared" si="68"/>
        <v>0</v>
      </c>
      <c r="F29" s="54">
        <f t="shared" si="68"/>
        <v>0</v>
      </c>
      <c r="G29" s="54">
        <f t="shared" si="68"/>
        <v>0</v>
      </c>
      <c r="H29" s="54">
        <f t="shared" si="68"/>
        <v>0</v>
      </c>
      <c r="I29" s="54">
        <f t="shared" si="68"/>
        <v>0</v>
      </c>
      <c r="J29" s="54">
        <f t="shared" si="68"/>
        <v>0</v>
      </c>
      <c r="K29" s="54">
        <f t="shared" si="68"/>
        <v>0</v>
      </c>
      <c r="L29" s="54">
        <f t="shared" si="68"/>
        <v>0</v>
      </c>
      <c r="M29" s="54">
        <f t="shared" si="68"/>
        <v>0</v>
      </c>
      <c r="N29" s="54">
        <f t="shared" si="68"/>
        <v>0</v>
      </c>
      <c r="O29" s="54">
        <f t="shared" si="68"/>
        <v>0</v>
      </c>
      <c r="P29" s="54">
        <f t="shared" si="68"/>
        <v>0.15714869837808368</v>
      </c>
      <c r="Q29" s="54">
        <f t="shared" si="68"/>
        <v>0.22035676810073454</v>
      </c>
      <c r="R29" s="54">
        <f t="shared" si="68"/>
        <v>0.22702104097452935</v>
      </c>
      <c r="S29" s="54">
        <f t="shared" si="68"/>
        <v>0.30261348005502064</v>
      </c>
      <c r="T29" s="54">
        <f t="shared" si="68"/>
        <v>0.16550014217796688</v>
      </c>
      <c r="U29" s="54">
        <f t="shared" si="68"/>
        <v>0.23721771907546027</v>
      </c>
      <c r="V29" s="54"/>
      <c r="W29" s="54"/>
      <c r="X29" s="54"/>
      <c r="Y29" s="54"/>
      <c r="Z29" s="54">
        <f t="shared" ref="Z29:AT29" si="69">Z28/Z6</f>
        <v>0.14628324170212983</v>
      </c>
      <c r="AA29" s="54">
        <f t="shared" si="69"/>
        <v>0.15519724715406488</v>
      </c>
      <c r="AB29" s="54">
        <f t="shared" si="69"/>
        <v>0.15519169641087374</v>
      </c>
      <c r="AC29" s="54">
        <f t="shared" si="69"/>
        <v>0.17054868052881092</v>
      </c>
      <c r="AD29" s="54">
        <f t="shared" si="69"/>
        <v>0.24185386787704016</v>
      </c>
      <c r="AE29" s="54">
        <f t="shared" si="69"/>
        <v>0.27486618308570226</v>
      </c>
      <c r="AF29" s="54">
        <f t="shared" si="69"/>
        <v>0.28243961564110026</v>
      </c>
      <c r="AG29" s="54">
        <f t="shared" si="69"/>
        <v>0.2253520728643216</v>
      </c>
      <c r="AH29" s="54">
        <f t="shared" si="69"/>
        <v>0.25885074626865673</v>
      </c>
      <c r="AI29" s="54">
        <f t="shared" si="69"/>
        <v>0.27071240105540895</v>
      </c>
      <c r="AJ29" s="54">
        <f t="shared" si="69"/>
        <v>0.24039868287740629</v>
      </c>
      <c r="AK29" s="55">
        <f t="shared" si="69"/>
        <v>0.26057294194709796</v>
      </c>
      <c r="AL29" s="54">
        <f t="shared" si="69"/>
        <v>0.26394784390064618</v>
      </c>
      <c r="AM29" s="54">
        <f t="shared" si="69"/>
        <v>0.26729105663397346</v>
      </c>
      <c r="AN29" s="54">
        <f t="shared" si="69"/>
        <v>0.27060287769844316</v>
      </c>
      <c r="AO29" s="54">
        <f t="shared" si="69"/>
        <v>0.27388360185150951</v>
      </c>
      <c r="AP29" s="54">
        <f t="shared" si="69"/>
        <v>0.27713352108295075</v>
      </c>
      <c r="AQ29" s="54">
        <f t="shared" si="69"/>
        <v>0.2803529246408572</v>
      </c>
      <c r="AR29" s="54">
        <f t="shared" si="69"/>
        <v>0.28354209905737499</v>
      </c>
      <c r="AS29" s="54">
        <f t="shared" si="69"/>
        <v>0.28670132817420707</v>
      </c>
      <c r="AT29" s="54">
        <f t="shared" si="69"/>
        <v>0.28983089316787664</v>
      </c>
      <c r="AV29" s="66"/>
      <c r="AW29" s="66"/>
    </row>
    <row r="30" spans="1:133" x14ac:dyDescent="0.25">
      <c r="C30" s="53" t="s">
        <v>158</v>
      </c>
      <c r="D30" s="53"/>
      <c r="E30" s="53"/>
      <c r="F30" s="53"/>
      <c r="G30" s="53">
        <f>SUM(D28:G28)</f>
        <v>0</v>
      </c>
      <c r="H30" s="53">
        <f t="shared" ref="H30:S30" si="70">SUM(E28:H28)</f>
        <v>0</v>
      </c>
      <c r="I30" s="53">
        <f t="shared" si="70"/>
        <v>0</v>
      </c>
      <c r="J30" s="53">
        <f t="shared" si="70"/>
        <v>0</v>
      </c>
      <c r="K30" s="53">
        <f t="shared" si="70"/>
        <v>0</v>
      </c>
      <c r="L30" s="53">
        <f t="shared" si="70"/>
        <v>0</v>
      </c>
      <c r="M30" s="53">
        <f t="shared" si="70"/>
        <v>0</v>
      </c>
      <c r="N30" s="53">
        <f t="shared" si="70"/>
        <v>0</v>
      </c>
      <c r="O30" s="53">
        <f t="shared" si="70"/>
        <v>0</v>
      </c>
      <c r="P30" s="53">
        <f t="shared" si="70"/>
        <v>115.3</v>
      </c>
      <c r="Q30" s="53">
        <f t="shared" si="70"/>
        <v>304.3</v>
      </c>
      <c r="R30" s="53">
        <f t="shared" si="70"/>
        <v>509.3</v>
      </c>
      <c r="S30" s="53">
        <f t="shared" si="70"/>
        <v>949.3</v>
      </c>
      <c r="T30" s="53">
        <f>SUM(Q28:T28)</f>
        <v>966.7</v>
      </c>
      <c r="U30" s="53">
        <f>SUM(R28:U28)</f>
        <v>995.7</v>
      </c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64"/>
      <c r="AL30" s="53"/>
      <c r="AM30" s="53"/>
      <c r="AN30" s="53"/>
      <c r="AO30" s="53"/>
      <c r="AP30" s="53"/>
      <c r="AQ30" s="53"/>
      <c r="AR30" s="53"/>
      <c r="AS30" s="53"/>
      <c r="AT30" s="53"/>
    </row>
    <row r="31" spans="1:133" x14ac:dyDescent="0.25"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64"/>
      <c r="AL31" s="53"/>
      <c r="AM31" s="53"/>
      <c r="AN31" s="53"/>
      <c r="AO31" s="53"/>
      <c r="AP31" s="53"/>
      <c r="AQ31" s="53"/>
      <c r="AR31" s="53"/>
      <c r="AS31" s="53"/>
      <c r="AT31" s="53"/>
    </row>
    <row r="32" spans="1:133" s="54" customFormat="1" x14ac:dyDescent="0.25">
      <c r="B32" s="55"/>
      <c r="C32" s="54" t="s">
        <v>173</v>
      </c>
      <c r="Q32" s="54">
        <v>0.122</v>
      </c>
      <c r="U32" s="54">
        <v>0.159</v>
      </c>
      <c r="AK32" s="55"/>
    </row>
    <row r="33" spans="1:46" x14ac:dyDescent="0.25">
      <c r="AH33" s="11"/>
      <c r="AI33" s="11"/>
      <c r="AJ33" s="11"/>
      <c r="AK33" s="12"/>
      <c r="AL33" s="11"/>
      <c r="AM33" s="11"/>
      <c r="AN33" s="11"/>
      <c r="AO33" s="11"/>
      <c r="AP33" s="11"/>
      <c r="AQ33" s="11"/>
      <c r="AR33" s="11"/>
      <c r="AS33" s="11"/>
      <c r="AT33" s="11"/>
    </row>
    <row r="34" spans="1:46" s="14" customFormat="1" x14ac:dyDescent="0.25">
      <c r="A34" s="3"/>
      <c r="B34" s="2"/>
      <c r="C34" s="4" t="s">
        <v>91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11"/>
      <c r="AI34" s="11"/>
      <c r="AJ34" s="11"/>
      <c r="AK34" s="12"/>
      <c r="AL34" s="11"/>
      <c r="AM34" s="11"/>
      <c r="AN34" s="11"/>
      <c r="AO34" s="11"/>
      <c r="AP34" s="11"/>
      <c r="AQ34" s="11"/>
      <c r="AR34" s="11"/>
      <c r="AS34" s="11"/>
      <c r="AT34" s="11"/>
    </row>
    <row r="35" spans="1:46" s="14" customFormat="1" x14ac:dyDescent="0.25">
      <c r="A35" s="3"/>
      <c r="B35" s="2"/>
      <c r="C35" s="3" t="s">
        <v>35</v>
      </c>
      <c r="D35" s="14">
        <v>65</v>
      </c>
      <c r="E35" s="14">
        <v>67</v>
      </c>
      <c r="F35" s="14">
        <v>67</v>
      </c>
      <c r="G35" s="14">
        <v>65</v>
      </c>
      <c r="H35" s="14">
        <v>69.956999999999994</v>
      </c>
      <c r="I35" s="14">
        <v>68.662000000000006</v>
      </c>
      <c r="J35" s="14">
        <v>68</v>
      </c>
      <c r="K35" s="14">
        <v>70</v>
      </c>
      <c r="L35" s="14">
        <v>70.328000000000003</v>
      </c>
      <c r="M35" s="14">
        <v>69.5</v>
      </c>
      <c r="N35" s="14">
        <v>72.114999999999995</v>
      </c>
      <c r="O35" s="14">
        <v>71.298000000000002</v>
      </c>
      <c r="P35" s="14">
        <v>73</v>
      </c>
      <c r="Q35" s="14">
        <v>73.542000000000002</v>
      </c>
      <c r="R35" s="14">
        <v>73.465999999999994</v>
      </c>
      <c r="S35" s="14">
        <v>75.807000000000002</v>
      </c>
      <c r="T35" s="14">
        <v>70.971999999999994</v>
      </c>
      <c r="U35" s="14">
        <v>70.671000000000006</v>
      </c>
      <c r="Z35" s="14">
        <v>0</v>
      </c>
      <c r="AA35" s="14">
        <v>0</v>
      </c>
      <c r="AB35" s="14">
        <v>0</v>
      </c>
      <c r="AC35" s="14">
        <v>0</v>
      </c>
      <c r="AD35" s="14">
        <v>65.402000000000001</v>
      </c>
      <c r="AE35" s="14">
        <v>72.28</v>
      </c>
      <c r="AF35" s="14">
        <v>70.286000000000001</v>
      </c>
      <c r="AG35" s="14">
        <v>65</v>
      </c>
      <c r="AH35" s="14">
        <v>70</v>
      </c>
      <c r="AI35" s="14">
        <v>71.298000000000002</v>
      </c>
      <c r="AJ35" s="14">
        <v>75.807000000000002</v>
      </c>
      <c r="AK35" s="15"/>
    </row>
    <row r="36" spans="1:46" s="14" customFormat="1" x14ac:dyDescent="0.25">
      <c r="A36" s="3"/>
      <c r="B36" s="2"/>
      <c r="C36" s="3" t="s">
        <v>36</v>
      </c>
      <c r="D36" s="14">
        <v>1509.9</v>
      </c>
      <c r="E36" s="14">
        <v>1511</v>
      </c>
      <c r="F36" s="14">
        <v>1511.6</v>
      </c>
      <c r="G36" s="14">
        <v>1510</v>
      </c>
      <c r="H36" s="14">
        <v>1513.6959999999999</v>
      </c>
      <c r="I36" s="14">
        <v>1512.694</v>
      </c>
      <c r="J36" s="14">
        <v>1511.8</v>
      </c>
      <c r="K36" s="14">
        <v>1513.8510000000001</v>
      </c>
      <c r="L36" s="14">
        <v>1513.9739999999999</v>
      </c>
      <c r="M36" s="14">
        <v>1513.3309999999999</v>
      </c>
      <c r="N36" s="14">
        <v>1515.356</v>
      </c>
      <c r="O36" s="14">
        <v>1514.7239999999999</v>
      </c>
      <c r="P36" s="14">
        <v>1515.94</v>
      </c>
      <c r="Q36" s="14">
        <v>1516.46</v>
      </c>
      <c r="R36" s="14">
        <v>1516.4010000000001</v>
      </c>
      <c r="S36" s="14">
        <v>1518.211</v>
      </c>
      <c r="T36" s="14">
        <v>1514.472</v>
      </c>
      <c r="U36" s="14">
        <v>1514.204</v>
      </c>
      <c r="Z36" s="14">
        <v>1459.585</v>
      </c>
      <c r="AA36" s="14">
        <v>1463.0229999999999</v>
      </c>
      <c r="AB36" s="14">
        <v>1462.354</v>
      </c>
      <c r="AC36" s="14">
        <v>1459.585</v>
      </c>
      <c r="AD36" s="14">
        <v>1510.145</v>
      </c>
      <c r="AE36" s="14">
        <v>1515.4849999999999</v>
      </c>
      <c r="AF36" s="14">
        <v>1511.788</v>
      </c>
      <c r="AG36" s="14">
        <v>1510</v>
      </c>
      <c r="AH36" s="14">
        <v>1513.8510000000001</v>
      </c>
      <c r="AI36" s="14">
        <v>1514.7239999999999</v>
      </c>
      <c r="AJ36" s="14">
        <v>1518.211</v>
      </c>
      <c r="AK36" s="15"/>
    </row>
    <row r="37" spans="1:46" s="14" customFormat="1" x14ac:dyDescent="0.25">
      <c r="A37" s="3"/>
      <c r="B37" s="2"/>
      <c r="C37" s="3" t="s">
        <v>37</v>
      </c>
      <c r="D37" s="14">
        <v>21</v>
      </c>
      <c r="E37" s="14">
        <v>22</v>
      </c>
      <c r="F37" s="14">
        <v>24.5</v>
      </c>
      <c r="G37" s="14">
        <v>35</v>
      </c>
      <c r="H37" s="14">
        <v>34.655999999999999</v>
      </c>
      <c r="I37" s="14">
        <v>34.503999999999998</v>
      </c>
      <c r="J37" s="14">
        <v>42.6</v>
      </c>
      <c r="K37" s="14">
        <v>46.7</v>
      </c>
      <c r="L37" s="14">
        <v>46.276000000000003</v>
      </c>
      <c r="M37" s="14">
        <v>45.225999999999999</v>
      </c>
      <c r="N37" s="14">
        <v>44.774999999999999</v>
      </c>
      <c r="O37" s="14">
        <v>54.933999999999997</v>
      </c>
      <c r="P37" s="14">
        <v>57.128</v>
      </c>
      <c r="Q37" s="14">
        <v>63.752000000000002</v>
      </c>
      <c r="R37" s="14">
        <v>69.399000000000001</v>
      </c>
      <c r="S37" s="14">
        <v>81.837000000000003</v>
      </c>
      <c r="T37" s="14">
        <v>84.65</v>
      </c>
      <c r="U37" s="14">
        <v>86.542000000000002</v>
      </c>
      <c r="Z37" s="14">
        <v>0</v>
      </c>
      <c r="AA37" s="14">
        <v>0</v>
      </c>
      <c r="AB37" s="14">
        <v>8.423</v>
      </c>
      <c r="AC37" s="14">
        <v>9.8350000000000009</v>
      </c>
      <c r="AD37" s="14">
        <v>10.085000000000001</v>
      </c>
      <c r="AE37" s="14">
        <v>5.6230000000000002</v>
      </c>
      <c r="AF37" s="14">
        <v>19.096</v>
      </c>
      <c r="AG37" s="14">
        <v>35</v>
      </c>
      <c r="AH37" s="14">
        <v>46.7</v>
      </c>
      <c r="AI37" s="14">
        <v>54.933999999999997</v>
      </c>
      <c r="AJ37" s="14">
        <v>81.837000000000003</v>
      </c>
      <c r="AK37" s="15"/>
    </row>
    <row r="38" spans="1:46" s="14" customFormat="1" x14ac:dyDescent="0.25">
      <c r="A38" s="3"/>
      <c r="B38" s="2"/>
      <c r="C38" s="3" t="s">
        <v>38</v>
      </c>
      <c r="D38" s="14">
        <v>9.6</v>
      </c>
      <c r="E38" s="14">
        <v>6</v>
      </c>
      <c r="F38" s="14">
        <v>0</v>
      </c>
      <c r="G38" s="14">
        <v>2</v>
      </c>
      <c r="H38" s="14">
        <v>17.45</v>
      </c>
      <c r="I38" s="14">
        <v>0</v>
      </c>
      <c r="J38" s="14">
        <v>0</v>
      </c>
      <c r="K38" s="14">
        <v>7</v>
      </c>
      <c r="L38" s="14">
        <v>6.5620000000000003</v>
      </c>
      <c r="M38" s="14">
        <v>9.2319999999999993</v>
      </c>
      <c r="N38" s="14">
        <v>6.1109999999999998</v>
      </c>
      <c r="O38" s="14">
        <v>0</v>
      </c>
      <c r="P38" s="14">
        <v>0</v>
      </c>
      <c r="Q38" s="14">
        <v>13.406000000000001</v>
      </c>
      <c r="R38" s="14">
        <v>0</v>
      </c>
      <c r="S38" s="14">
        <v>0</v>
      </c>
      <c r="T38" s="14">
        <v>7.6379999999999999</v>
      </c>
      <c r="U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2.1850000000000001</v>
      </c>
      <c r="AE38" s="14">
        <v>15.81</v>
      </c>
      <c r="AF38" s="14">
        <v>22.968</v>
      </c>
      <c r="AG38" s="14">
        <v>2</v>
      </c>
      <c r="AH38" s="14">
        <v>7</v>
      </c>
      <c r="AI38" s="14">
        <v>0</v>
      </c>
      <c r="AJ38" s="14">
        <v>0</v>
      </c>
      <c r="AK38" s="15"/>
    </row>
    <row r="39" spans="1:46" s="14" customFormat="1" x14ac:dyDescent="0.25">
      <c r="A39" s="3"/>
      <c r="B39" s="2"/>
      <c r="C39" s="3" t="s">
        <v>39</v>
      </c>
      <c r="D39" s="14">
        <v>737.7</v>
      </c>
      <c r="E39" s="14">
        <v>777</v>
      </c>
      <c r="F39" s="14">
        <v>795.4</v>
      </c>
      <c r="G39" s="14">
        <v>761</v>
      </c>
      <c r="H39" s="14">
        <v>1067.1420000000001</v>
      </c>
      <c r="I39" s="14">
        <v>1042.4670000000001</v>
      </c>
      <c r="J39" s="14">
        <v>1039.5</v>
      </c>
      <c r="K39" s="14">
        <v>1050</v>
      </c>
      <c r="L39" s="14">
        <v>1182.5350000000001</v>
      </c>
      <c r="M39" s="14">
        <v>1199.1669999999999</v>
      </c>
      <c r="N39" s="14">
        <v>1181.866</v>
      </c>
      <c r="O39" s="14">
        <v>1198.9549999999999</v>
      </c>
      <c r="P39" s="14">
        <v>1212.1679999999999</v>
      </c>
      <c r="Q39" s="14">
        <v>1337.115</v>
      </c>
      <c r="R39" s="14">
        <v>1313.81</v>
      </c>
      <c r="S39" s="14">
        <v>1311.38</v>
      </c>
      <c r="T39" s="14">
        <v>1358.203</v>
      </c>
      <c r="U39" s="14">
        <v>1275.6420000000001</v>
      </c>
      <c r="Z39" s="14">
        <v>0</v>
      </c>
      <c r="AA39" s="14">
        <v>0</v>
      </c>
      <c r="AB39" s="14">
        <v>0</v>
      </c>
      <c r="AC39" s="14">
        <v>0</v>
      </c>
      <c r="AD39" s="14">
        <v>796.5</v>
      </c>
      <c r="AE39" s="14">
        <v>778.4</v>
      </c>
      <c r="AF39" s="14">
        <v>732.3</v>
      </c>
      <c r="AG39" s="14">
        <v>761</v>
      </c>
      <c r="AH39" s="14">
        <v>1050</v>
      </c>
      <c r="AI39" s="14">
        <v>1198.9549999999999</v>
      </c>
      <c r="AJ39" s="14">
        <v>1311.38</v>
      </c>
      <c r="AK39" s="15"/>
    </row>
    <row r="40" spans="1:46" s="14" customFormat="1" x14ac:dyDescent="0.25">
      <c r="A40" s="3"/>
      <c r="B40" s="2"/>
      <c r="C40" s="3" t="s">
        <v>40</v>
      </c>
      <c r="D40" s="14">
        <v>194.3</v>
      </c>
      <c r="E40" s="14">
        <v>200</v>
      </c>
      <c r="F40" s="14">
        <v>202</v>
      </c>
      <c r="G40" s="14">
        <v>237</v>
      </c>
      <c r="H40" s="14">
        <v>274.96600000000001</v>
      </c>
      <c r="I40" s="14">
        <v>308.31599999999997</v>
      </c>
      <c r="J40" s="14">
        <v>299.60000000000002</v>
      </c>
      <c r="K40" s="14">
        <v>303</v>
      </c>
      <c r="L40" s="14">
        <v>319.11099999999999</v>
      </c>
      <c r="M40" s="14">
        <v>328.86200000000002</v>
      </c>
      <c r="N40" s="14">
        <v>336.95499999999998</v>
      </c>
      <c r="O40" s="14">
        <v>383.495</v>
      </c>
      <c r="P40" s="14">
        <v>387.44499999999999</v>
      </c>
      <c r="Q40" s="14">
        <v>449.43799999999999</v>
      </c>
      <c r="R40" s="14">
        <v>454.70299999999997</v>
      </c>
      <c r="S40" s="14">
        <v>487.19400000000002</v>
      </c>
      <c r="T40" s="14">
        <v>476.53500000000003</v>
      </c>
      <c r="U40" s="14">
        <v>486.34899999999999</v>
      </c>
      <c r="Z40" s="14">
        <v>86.081000000000003</v>
      </c>
      <c r="AA40" s="14">
        <v>88.492000000000004</v>
      </c>
      <c r="AB40" s="14">
        <v>91.896000000000001</v>
      </c>
      <c r="AC40" s="14">
        <v>91.53</v>
      </c>
      <c r="AD40" s="14">
        <v>205.33799999999999</v>
      </c>
      <c r="AE40" s="14">
        <v>242.79499999999999</v>
      </c>
      <c r="AF40" s="14">
        <v>227.79900000000001</v>
      </c>
      <c r="AG40" s="14">
        <v>237</v>
      </c>
      <c r="AH40" s="14">
        <v>303</v>
      </c>
      <c r="AI40" s="14">
        <v>383.495</v>
      </c>
      <c r="AJ40" s="14">
        <v>487.19400000000002</v>
      </c>
      <c r="AK40" s="15"/>
    </row>
    <row r="41" spans="1:46" s="14" customFormat="1" x14ac:dyDescent="0.25">
      <c r="A41" s="3"/>
      <c r="B41" s="2"/>
      <c r="C41" s="3" t="s">
        <v>41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1</v>
      </c>
      <c r="L41" s="14">
        <v>0.42399999999999999</v>
      </c>
      <c r="M41" s="14">
        <v>0</v>
      </c>
      <c r="N41" s="14">
        <v>0</v>
      </c>
      <c r="O41" s="14">
        <v>34.331000000000003</v>
      </c>
      <c r="P41" s="14">
        <v>1.214</v>
      </c>
      <c r="Q41" s="14">
        <v>4.3659999999999997</v>
      </c>
      <c r="R41" s="14">
        <v>4</v>
      </c>
      <c r="S41" s="14">
        <v>4.375</v>
      </c>
      <c r="T41" s="14">
        <v>4.1449999999999996</v>
      </c>
      <c r="U41" s="14">
        <v>3.1059999999999999</v>
      </c>
      <c r="Z41" s="14">
        <v>0</v>
      </c>
      <c r="AA41" s="14">
        <v>0</v>
      </c>
      <c r="AB41" s="14">
        <v>0</v>
      </c>
      <c r="AC41" s="14">
        <v>0</v>
      </c>
      <c r="AD41" s="14">
        <v>0</v>
      </c>
      <c r="AE41" s="14">
        <v>0</v>
      </c>
      <c r="AF41" s="14">
        <v>0.03</v>
      </c>
      <c r="AG41" s="14">
        <v>0</v>
      </c>
      <c r="AH41" s="14">
        <v>1</v>
      </c>
      <c r="AI41" s="14">
        <v>34.331000000000003</v>
      </c>
      <c r="AJ41" s="14">
        <v>4.375</v>
      </c>
      <c r="AK41" s="15"/>
    </row>
    <row r="42" spans="1:46" s="14" customFormat="1" x14ac:dyDescent="0.25">
      <c r="A42" s="3"/>
      <c r="B42" s="2"/>
      <c r="C42" s="3" t="s">
        <v>42</v>
      </c>
      <c r="D42" s="14">
        <v>22.5</v>
      </c>
      <c r="E42" s="14">
        <v>31</v>
      </c>
      <c r="F42" s="14">
        <v>23</v>
      </c>
      <c r="G42" s="14">
        <v>24</v>
      </c>
      <c r="H42" s="14">
        <v>35.799999999999997</v>
      </c>
      <c r="I42" s="14">
        <v>37.024000000000001</v>
      </c>
      <c r="J42" s="14">
        <v>37.5</v>
      </c>
      <c r="K42" s="14">
        <v>51</v>
      </c>
      <c r="L42" s="14">
        <v>51.475999999999999</v>
      </c>
      <c r="M42" s="14">
        <v>70</v>
      </c>
      <c r="N42" s="14">
        <v>71.073999999999998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0.5</v>
      </c>
      <c r="U42" s="14">
        <v>0.5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24</v>
      </c>
      <c r="AH42" s="14">
        <v>51</v>
      </c>
      <c r="AI42" s="14">
        <v>0</v>
      </c>
      <c r="AJ42" s="14">
        <v>0</v>
      </c>
      <c r="AK42" s="15"/>
      <c r="AM42" s="11"/>
    </row>
    <row r="43" spans="1:46" s="14" customFormat="1" x14ac:dyDescent="0.25">
      <c r="A43" s="3"/>
      <c r="B43" s="2"/>
      <c r="C43" s="3" t="s">
        <v>43</v>
      </c>
      <c r="D43" s="14">
        <v>722.18799999999999</v>
      </c>
      <c r="E43" s="14">
        <v>779.6</v>
      </c>
      <c r="F43" s="14">
        <v>876.5</v>
      </c>
      <c r="G43" s="14">
        <v>669</v>
      </c>
      <c r="H43" s="14">
        <v>672.80600000000004</v>
      </c>
      <c r="I43" s="14">
        <v>666.04899999999998</v>
      </c>
      <c r="J43" s="14">
        <v>728.7</v>
      </c>
      <c r="K43" s="14">
        <v>576</v>
      </c>
      <c r="L43" s="14">
        <v>700</v>
      </c>
      <c r="M43" s="14">
        <v>759.88900000000001</v>
      </c>
      <c r="N43" s="14">
        <v>930.78499999999997</v>
      </c>
      <c r="O43" s="14">
        <v>775.91099999999994</v>
      </c>
      <c r="P43" s="14">
        <v>865.75099999999998</v>
      </c>
      <c r="Q43" s="14">
        <v>833.41499999999996</v>
      </c>
      <c r="R43" s="14">
        <v>992.25900000000001</v>
      </c>
      <c r="S43" s="14">
        <v>934.48400000000004</v>
      </c>
      <c r="T43" s="14">
        <v>972.05899999999997</v>
      </c>
      <c r="U43" s="14">
        <v>911.42100000000005</v>
      </c>
      <c r="Z43" s="14">
        <v>215.21100000000001</v>
      </c>
      <c r="AA43" s="14">
        <v>222.19</v>
      </c>
      <c r="AB43" s="14">
        <v>301.99700000000001</v>
      </c>
      <c r="AC43" s="14">
        <v>253.15700000000001</v>
      </c>
      <c r="AD43" s="14">
        <v>484.988</v>
      </c>
      <c r="AE43" s="14">
        <v>482.161</v>
      </c>
      <c r="AF43" s="14">
        <v>646.76400000000001</v>
      </c>
      <c r="AG43" s="14">
        <v>669</v>
      </c>
      <c r="AH43" s="14">
        <v>576</v>
      </c>
      <c r="AI43" s="14">
        <v>775.91099999999994</v>
      </c>
      <c r="AJ43" s="14">
        <v>934.48400000000004</v>
      </c>
      <c r="AK43" s="15"/>
    </row>
    <row r="44" spans="1:46" s="14" customFormat="1" x14ac:dyDescent="0.25">
      <c r="A44" s="3"/>
      <c r="B44" s="2"/>
      <c r="C44" s="3" t="s">
        <v>44</v>
      </c>
      <c r="D44" s="14">
        <v>16</v>
      </c>
      <c r="E44" s="14">
        <v>21</v>
      </c>
      <c r="F44" s="14">
        <v>16</v>
      </c>
      <c r="G44" s="14">
        <v>12</v>
      </c>
      <c r="H44" s="14">
        <v>15.3322</v>
      </c>
      <c r="I44" s="14">
        <v>32.841000000000001</v>
      </c>
      <c r="J44" s="14">
        <v>10.1</v>
      </c>
      <c r="K44" s="14">
        <v>33</v>
      </c>
      <c r="L44" s="14">
        <v>25.876000000000001</v>
      </c>
      <c r="M44" s="14">
        <v>27.274000000000001</v>
      </c>
      <c r="N44" s="14">
        <v>25.707999999999998</v>
      </c>
      <c r="O44" s="14">
        <v>31.510999999999999</v>
      </c>
      <c r="P44" s="14">
        <v>43.704000000000001</v>
      </c>
      <c r="Q44" s="14">
        <v>37.753999999999998</v>
      </c>
      <c r="R44" s="14">
        <v>27.991</v>
      </c>
      <c r="S44" s="14">
        <v>27.414999999999999</v>
      </c>
      <c r="T44" s="14">
        <v>35.844999999999999</v>
      </c>
      <c r="U44" s="14">
        <v>29.951000000000001</v>
      </c>
      <c r="Z44" s="14">
        <v>2.996</v>
      </c>
      <c r="AA44" s="14">
        <v>2.5270000000000001</v>
      </c>
      <c r="AB44" s="14">
        <v>3.5</v>
      </c>
      <c r="AC44" s="14">
        <v>2.9620000000000002</v>
      </c>
      <c r="AD44" s="14">
        <v>23.201000000000001</v>
      </c>
      <c r="AE44" s="14">
        <v>18.381</v>
      </c>
      <c r="AF44" s="14">
        <v>21.998999999999999</v>
      </c>
      <c r="AG44" s="14">
        <v>12</v>
      </c>
      <c r="AH44" s="14">
        <v>33</v>
      </c>
      <c r="AI44" s="14">
        <v>31.510999999999999</v>
      </c>
      <c r="AJ44" s="14">
        <v>27.414999999999999</v>
      </c>
      <c r="AK44" s="15"/>
    </row>
    <row r="45" spans="1:46" s="14" customFormat="1" x14ac:dyDescent="0.25">
      <c r="A45" s="3"/>
      <c r="B45" s="2"/>
      <c r="C45" s="3" t="s">
        <v>45</v>
      </c>
      <c r="D45" s="14">
        <v>35.299999999999997</v>
      </c>
      <c r="E45" s="14">
        <v>31</v>
      </c>
      <c r="F45" s="14">
        <v>33</v>
      </c>
      <c r="G45" s="14">
        <v>35</v>
      </c>
      <c r="H45" s="14">
        <v>16.495000000000001</v>
      </c>
      <c r="I45" s="14">
        <v>50.140999999999998</v>
      </c>
      <c r="J45" s="14">
        <v>27</v>
      </c>
      <c r="K45" s="14">
        <v>43</v>
      </c>
      <c r="L45" s="14">
        <v>41.942999999999998</v>
      </c>
      <c r="M45" s="14">
        <v>41.420999999999999</v>
      </c>
      <c r="N45" s="14">
        <v>31.038</v>
      </c>
      <c r="O45" s="14">
        <v>52.793999999999997</v>
      </c>
      <c r="P45" s="14">
        <v>64.260000000000005</v>
      </c>
      <c r="Q45" s="14">
        <v>84</v>
      </c>
      <c r="R45" s="14">
        <v>85.8</v>
      </c>
      <c r="S45" s="14">
        <v>113.864</v>
      </c>
      <c r="T45" s="14">
        <v>91.168000000000006</v>
      </c>
      <c r="U45" s="14">
        <v>96.322000000000003</v>
      </c>
      <c r="Z45" s="14">
        <v>23.321999999999999</v>
      </c>
      <c r="AA45" s="14">
        <v>26.434999999999999</v>
      </c>
      <c r="AB45" s="14">
        <v>28.506</v>
      </c>
      <c r="AC45" s="14">
        <v>24.823</v>
      </c>
      <c r="AD45" s="14">
        <v>25.815000000000001</v>
      </c>
      <c r="AE45" s="14">
        <v>32.725000000000001</v>
      </c>
      <c r="AF45" s="14">
        <v>25.023</v>
      </c>
      <c r="AG45" s="14">
        <v>35</v>
      </c>
      <c r="AH45" s="14">
        <v>43</v>
      </c>
      <c r="AI45" s="14">
        <v>52.793999999999997</v>
      </c>
      <c r="AJ45" s="14">
        <v>113.864</v>
      </c>
      <c r="AK45" s="15"/>
    </row>
    <row r="46" spans="1:46" s="14" customFormat="1" x14ac:dyDescent="0.25">
      <c r="A46" s="3"/>
      <c r="B46" s="2"/>
      <c r="C46" s="3" t="s">
        <v>46</v>
      </c>
      <c r="D46" s="14">
        <v>37.5</v>
      </c>
      <c r="E46" s="14">
        <v>120</v>
      </c>
      <c r="F46" s="14">
        <v>148</v>
      </c>
      <c r="G46" s="14">
        <v>59</v>
      </c>
      <c r="H46" s="14">
        <v>53.762999999999998</v>
      </c>
      <c r="I46" s="14">
        <v>79.614000000000004</v>
      </c>
      <c r="J46" s="14">
        <v>61.7</v>
      </c>
      <c r="K46" s="14">
        <v>29</v>
      </c>
      <c r="L46" s="14">
        <v>49.692999999999998</v>
      </c>
      <c r="M46" s="14">
        <v>42.438000000000002</v>
      </c>
      <c r="N46" s="14">
        <v>28.593</v>
      </c>
      <c r="O46" s="14">
        <v>76.057000000000002</v>
      </c>
      <c r="P46" s="14">
        <v>34.238999999999997</v>
      </c>
      <c r="Q46" s="14">
        <v>28.856000000000002</v>
      </c>
      <c r="R46" s="14">
        <v>30.164000000000001</v>
      </c>
      <c r="S46" s="14">
        <v>28.568999999999999</v>
      </c>
      <c r="T46" s="14">
        <v>53.719000000000001</v>
      </c>
      <c r="U46" s="14">
        <v>63.847999999999999</v>
      </c>
      <c r="Z46" s="14">
        <v>14.206</v>
      </c>
      <c r="AA46" s="14">
        <v>8.3719999999999999</v>
      </c>
      <c r="AB46" s="14">
        <v>4.18</v>
      </c>
      <c r="AC46" s="14">
        <v>8.9469999999999992</v>
      </c>
      <c r="AD46" s="14">
        <v>2.3050000000000002</v>
      </c>
      <c r="AE46" s="14">
        <v>0</v>
      </c>
      <c r="AF46" s="14">
        <v>17.439</v>
      </c>
      <c r="AG46" s="14">
        <v>59</v>
      </c>
      <c r="AH46" s="14">
        <v>29</v>
      </c>
      <c r="AI46" s="14">
        <v>76.057000000000002</v>
      </c>
      <c r="AJ46" s="14">
        <v>28.568999999999999</v>
      </c>
      <c r="AK46" s="15"/>
    </row>
    <row r="47" spans="1:46" s="14" customFormat="1" x14ac:dyDescent="0.25">
      <c r="A47" s="3"/>
      <c r="B47" s="2"/>
      <c r="C47" s="3" t="s">
        <v>47</v>
      </c>
      <c r="D47" s="14">
        <v>0</v>
      </c>
      <c r="E47" s="14">
        <v>4</v>
      </c>
      <c r="F47" s="14">
        <v>6</v>
      </c>
      <c r="G47" s="14">
        <v>76</v>
      </c>
      <c r="H47" s="14">
        <v>0</v>
      </c>
      <c r="I47" s="14">
        <v>0</v>
      </c>
      <c r="J47" s="14">
        <v>0</v>
      </c>
      <c r="K47" s="14">
        <v>225</v>
      </c>
      <c r="L47" s="14">
        <v>0</v>
      </c>
      <c r="M47" s="14">
        <v>0</v>
      </c>
      <c r="N47" s="14">
        <v>0</v>
      </c>
      <c r="O47" s="14">
        <v>228.53399999999999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Z47" s="14">
        <v>230.37299999999999</v>
      </c>
      <c r="AA47" s="14">
        <v>291.85199999999998</v>
      </c>
      <c r="AB47" s="14">
        <v>130.071</v>
      </c>
      <c r="AC47" s="14">
        <v>242.19200000000001</v>
      </c>
      <c r="AD47" s="14">
        <v>339.24099999999999</v>
      </c>
      <c r="AE47" s="14">
        <v>301.27600000000001</v>
      </c>
      <c r="AF47" s="14">
        <v>239.33099999999999</v>
      </c>
      <c r="AG47" s="14">
        <v>76</v>
      </c>
      <c r="AH47" s="14">
        <v>225</v>
      </c>
      <c r="AI47" s="14">
        <v>228.53399999999999</v>
      </c>
      <c r="AJ47" s="14">
        <v>0</v>
      </c>
      <c r="AK47" s="15"/>
    </row>
    <row r="48" spans="1:46" s="14" customFormat="1" x14ac:dyDescent="0.25">
      <c r="A48" s="3"/>
      <c r="B48" s="2"/>
      <c r="C48" s="1" t="s">
        <v>48</v>
      </c>
      <c r="D48" s="18">
        <f t="shared" ref="D48:M48" si="71">SUM(D35:D47)</f>
        <v>3370.9880000000003</v>
      </c>
      <c r="E48" s="18">
        <f t="shared" si="71"/>
        <v>3569.6</v>
      </c>
      <c r="F48" s="18">
        <f>SUM(F35:F47)</f>
        <v>3703</v>
      </c>
      <c r="G48" s="18">
        <f t="shared" si="71"/>
        <v>3485</v>
      </c>
      <c r="H48" s="18">
        <f t="shared" si="71"/>
        <v>3772.0631999999996</v>
      </c>
      <c r="I48" s="18">
        <f t="shared" si="71"/>
        <v>3832.3119999999999</v>
      </c>
      <c r="J48" s="18">
        <f t="shared" si="71"/>
        <v>3826.4999999999995</v>
      </c>
      <c r="K48" s="18">
        <f t="shared" si="71"/>
        <v>3948.5510000000004</v>
      </c>
      <c r="L48" s="18">
        <f t="shared" si="71"/>
        <v>4008.1980000000008</v>
      </c>
      <c r="M48" s="18">
        <f t="shared" si="71"/>
        <v>4106.3399999999992</v>
      </c>
      <c r="N48" s="18">
        <f>SUM(N35:N47)</f>
        <v>4244.3759999999993</v>
      </c>
      <c r="O48" s="18">
        <f>SUM(O35:O47)</f>
        <v>4422.5439999999999</v>
      </c>
      <c r="P48" s="18">
        <f>SUM(P35:P47)</f>
        <v>4254.8489999999993</v>
      </c>
      <c r="Q48" s="18">
        <f>SUM(Q35:Q47)</f>
        <v>4442.1039999999994</v>
      </c>
      <c r="R48" s="18">
        <f t="shared" ref="R48:U48" si="72">SUM(R35:R47)</f>
        <v>4567.9930000000004</v>
      </c>
      <c r="S48" s="18">
        <f t="shared" si="72"/>
        <v>4583.1360000000004</v>
      </c>
      <c r="T48" s="18">
        <f t="shared" si="72"/>
        <v>4669.9059999999999</v>
      </c>
      <c r="U48" s="18">
        <f t="shared" si="72"/>
        <v>4538.5560000000005</v>
      </c>
      <c r="Z48" s="18">
        <f>SUM(Z35:Z47)</f>
        <v>2031.7739999999999</v>
      </c>
      <c r="AA48" s="18">
        <f>SUM(AA35:AA47)</f>
        <v>2102.8910000000001</v>
      </c>
      <c r="AB48" s="18">
        <f>SUM(AB35:AB47)</f>
        <v>2030.9270000000001</v>
      </c>
      <c r="AC48" s="18">
        <f>SUM(AC35:AC47)</f>
        <v>2093.0309999999999</v>
      </c>
      <c r="AD48" s="18">
        <f t="shared" ref="AD48:AE48" si="73">SUM(AD35:AD47)</f>
        <v>3465.2049999999999</v>
      </c>
      <c r="AE48" s="18">
        <f t="shared" si="73"/>
        <v>3464.9359999999997</v>
      </c>
      <c r="AF48" s="18">
        <v>3534.8229999999999</v>
      </c>
      <c r="AG48" s="18">
        <v>3485</v>
      </c>
      <c r="AH48" s="18">
        <f t="shared" ref="AH48" si="74">SUM(AH35:AH47)</f>
        <v>3948.5510000000004</v>
      </c>
      <c r="AI48" s="18">
        <f>SUM(AI35:AI47)</f>
        <v>4422.5439999999999</v>
      </c>
      <c r="AJ48" s="18">
        <f t="shared" ref="AJ48" si="75">SUM(AJ35:AJ47)</f>
        <v>4583.1360000000004</v>
      </c>
      <c r="AK48" s="15"/>
    </row>
    <row r="49" spans="1:37" s="14" customFormat="1" x14ac:dyDescent="0.25">
      <c r="A49" s="3"/>
      <c r="B49" s="2"/>
      <c r="C49" s="3" t="s">
        <v>49</v>
      </c>
      <c r="D49" s="14">
        <v>48.7</v>
      </c>
      <c r="E49" s="14">
        <v>49</v>
      </c>
      <c r="F49" s="14">
        <v>48.77</v>
      </c>
      <c r="G49" s="14">
        <v>49</v>
      </c>
      <c r="H49" s="14">
        <v>48.77</v>
      </c>
      <c r="I49" s="14">
        <v>48.77</v>
      </c>
      <c r="J49" s="14">
        <v>48.77</v>
      </c>
      <c r="K49" s="14">
        <v>49</v>
      </c>
      <c r="L49" s="14">
        <v>48.77</v>
      </c>
      <c r="M49" s="14">
        <v>49</v>
      </c>
      <c r="N49" s="14">
        <v>48.77</v>
      </c>
      <c r="O49" s="14">
        <v>48.77</v>
      </c>
      <c r="P49" s="14">
        <v>48.77</v>
      </c>
      <c r="Q49" s="14">
        <v>48.77</v>
      </c>
      <c r="R49" s="14">
        <v>48.77</v>
      </c>
      <c r="S49" s="14">
        <v>48.7</v>
      </c>
      <c r="T49" s="14">
        <v>48.77</v>
      </c>
      <c r="U49" s="14">
        <v>48.77</v>
      </c>
      <c r="Z49" s="14">
        <v>48.774000000000001</v>
      </c>
      <c r="AA49" s="14">
        <v>48.774000000000001</v>
      </c>
      <c r="AB49" s="14">
        <v>48.774000000000001</v>
      </c>
      <c r="AC49" s="14">
        <v>48.774000000000001</v>
      </c>
      <c r="AD49" s="14">
        <v>48.774000000000001</v>
      </c>
      <c r="AE49" s="14">
        <v>48.774000000000001</v>
      </c>
      <c r="AF49" s="14">
        <v>48.774000000000001</v>
      </c>
      <c r="AG49" s="14">
        <v>49</v>
      </c>
      <c r="AH49" s="14">
        <v>49</v>
      </c>
      <c r="AI49" s="14">
        <v>48.77</v>
      </c>
      <c r="AJ49" s="14">
        <v>48.7</v>
      </c>
      <c r="AK49" s="15"/>
    </row>
    <row r="50" spans="1:37" s="14" customFormat="1" x14ac:dyDescent="0.25">
      <c r="A50" s="3"/>
      <c r="B50" s="2"/>
      <c r="C50" s="3" t="s">
        <v>50</v>
      </c>
      <c r="D50" s="14">
        <v>321</v>
      </c>
      <c r="E50" s="14">
        <v>321</v>
      </c>
      <c r="F50" s="14">
        <v>321</v>
      </c>
      <c r="G50" s="14">
        <v>321</v>
      </c>
      <c r="H50" s="14">
        <v>321.05</v>
      </c>
      <c r="I50" s="14">
        <v>321.05</v>
      </c>
      <c r="J50" s="14">
        <v>321</v>
      </c>
      <c r="K50" s="14">
        <v>321</v>
      </c>
      <c r="L50" s="14">
        <v>321.05</v>
      </c>
      <c r="M50" s="14">
        <v>321.05</v>
      </c>
      <c r="N50" s="14">
        <v>321.05</v>
      </c>
      <c r="O50" s="14">
        <v>321.05</v>
      </c>
      <c r="P50" s="14">
        <v>321</v>
      </c>
      <c r="Q50" s="14">
        <v>321</v>
      </c>
      <c r="R50" s="14">
        <v>321</v>
      </c>
      <c r="S50" s="14">
        <v>321.05</v>
      </c>
      <c r="T50" s="14">
        <v>321.05</v>
      </c>
      <c r="U50" s="14">
        <v>321.05</v>
      </c>
      <c r="Z50" s="14">
        <v>321.04899999999998</v>
      </c>
      <c r="AA50" s="14">
        <v>321.04899999999998</v>
      </c>
      <c r="AB50" s="14">
        <v>321.04899999999998</v>
      </c>
      <c r="AC50" s="14">
        <v>321.04899999999998</v>
      </c>
      <c r="AD50" s="14">
        <v>321.04899999999998</v>
      </c>
      <c r="AE50" s="14">
        <v>321.05</v>
      </c>
      <c r="AF50" s="14">
        <v>321.05</v>
      </c>
      <c r="AG50" s="14">
        <v>321</v>
      </c>
      <c r="AH50" s="14">
        <v>321</v>
      </c>
      <c r="AI50" s="14">
        <v>321.05</v>
      </c>
      <c r="AJ50" s="14">
        <v>321.05</v>
      </c>
      <c r="AK50" s="15"/>
    </row>
    <row r="51" spans="1:37" s="14" customFormat="1" x14ac:dyDescent="0.25">
      <c r="A51" s="3"/>
      <c r="B51" s="2"/>
      <c r="C51" s="3" t="s">
        <v>51</v>
      </c>
      <c r="D51" s="14">
        <v>64.599999999999994</v>
      </c>
      <c r="E51" s="14">
        <v>64.5</v>
      </c>
      <c r="F51" s="14">
        <v>64.599999999999994</v>
      </c>
      <c r="G51" s="14">
        <v>65</v>
      </c>
      <c r="H51" s="14">
        <v>64.617000000000004</v>
      </c>
      <c r="I51" s="14">
        <v>64.617000000000004</v>
      </c>
      <c r="J51" s="14">
        <v>64.599999999999994</v>
      </c>
      <c r="K51" s="14">
        <v>65</v>
      </c>
      <c r="L51" s="14">
        <v>64.617000000000004</v>
      </c>
      <c r="M51" s="14">
        <v>64.617000000000004</v>
      </c>
      <c r="N51" s="14">
        <v>64.617000000000004</v>
      </c>
      <c r="O51" s="14">
        <v>64.617000000000004</v>
      </c>
      <c r="P51" s="14">
        <v>64.617000000000004</v>
      </c>
      <c r="Q51" s="14">
        <v>64.617000000000004</v>
      </c>
      <c r="R51" s="14">
        <v>65</v>
      </c>
      <c r="S51" s="14">
        <v>64.617000000000004</v>
      </c>
      <c r="T51" s="14">
        <v>64.617000000000004</v>
      </c>
      <c r="U51" s="14">
        <v>64.617000000000004</v>
      </c>
      <c r="Z51" s="14">
        <v>64.617000000000004</v>
      </c>
      <c r="AA51" s="14">
        <v>64.617000000000004</v>
      </c>
      <c r="AB51" s="14">
        <v>64.617000000000004</v>
      </c>
      <c r="AC51" s="14">
        <v>64.617000000000004</v>
      </c>
      <c r="AD51" s="14">
        <v>64.617000000000004</v>
      </c>
      <c r="AE51" s="14">
        <v>64.617000000000004</v>
      </c>
      <c r="AF51" s="14">
        <v>64.617000000000004</v>
      </c>
      <c r="AG51" s="14">
        <v>65</v>
      </c>
      <c r="AH51" s="14">
        <v>65</v>
      </c>
      <c r="AI51" s="14">
        <v>64.617000000000004</v>
      </c>
      <c r="AJ51" s="14">
        <v>64.617000000000004</v>
      </c>
      <c r="AK51" s="15"/>
    </row>
    <row r="52" spans="1:37" s="14" customFormat="1" x14ac:dyDescent="0.25">
      <c r="A52" s="3"/>
      <c r="B52" s="2"/>
      <c r="C52" s="3" t="s">
        <v>52</v>
      </c>
      <c r="D52" s="14">
        <v>833.4</v>
      </c>
      <c r="E52" s="14">
        <v>808</v>
      </c>
      <c r="F52" s="14">
        <v>860.2</v>
      </c>
      <c r="G52" s="14">
        <v>839</v>
      </c>
      <c r="H52" s="14">
        <v>823.70399999999995</v>
      </c>
      <c r="I52" s="14">
        <v>747.13599999999997</v>
      </c>
      <c r="J52" s="14">
        <v>812</v>
      </c>
      <c r="K52" s="14">
        <v>881</v>
      </c>
      <c r="L52" s="14">
        <v>929.25900000000001</v>
      </c>
      <c r="M52" s="14">
        <v>818.59299999999996</v>
      </c>
      <c r="N52" s="14">
        <v>890.57</v>
      </c>
      <c r="O52" s="14">
        <v>1103.886</v>
      </c>
      <c r="P52" s="14">
        <v>1011.711</v>
      </c>
      <c r="Q52" s="14">
        <v>807</v>
      </c>
      <c r="R52" s="14">
        <v>861.46</v>
      </c>
      <c r="S52" s="14">
        <v>1017.396</v>
      </c>
      <c r="T52" s="14">
        <v>964.88599999999997</v>
      </c>
      <c r="U52" s="14">
        <v>914.46600000000001</v>
      </c>
      <c r="Z52" s="14">
        <v>510.53199999999998</v>
      </c>
      <c r="AA52" s="14">
        <v>567.85199999999998</v>
      </c>
      <c r="AB52" s="14">
        <v>584.077</v>
      </c>
      <c r="AC52" s="14">
        <v>656.24699999999996</v>
      </c>
      <c r="AD52" s="14">
        <v>715.721</v>
      </c>
      <c r="AE52" s="14">
        <v>750.16099999999994</v>
      </c>
      <c r="AF52" s="14">
        <v>828.22299999999996</v>
      </c>
      <c r="AG52" s="14">
        <v>839</v>
      </c>
      <c r="AH52" s="14">
        <v>881</v>
      </c>
      <c r="AI52" s="14">
        <v>1103.886</v>
      </c>
      <c r="AJ52" s="14">
        <v>1017.396</v>
      </c>
      <c r="AK52" s="15"/>
    </row>
    <row r="53" spans="1:37" s="14" customFormat="1" x14ac:dyDescent="0.25">
      <c r="A53" s="3"/>
      <c r="B53" s="2"/>
      <c r="C53" s="13" t="s">
        <v>53</v>
      </c>
      <c r="D53" s="30">
        <f t="shared" ref="D53:M53" si="76">SUM(D49:D52)</f>
        <v>1267.6999999999998</v>
      </c>
      <c r="E53" s="30">
        <f t="shared" si="76"/>
        <v>1242.5</v>
      </c>
      <c r="F53" s="30">
        <f t="shared" si="76"/>
        <v>1294.5700000000002</v>
      </c>
      <c r="G53" s="30">
        <f t="shared" si="76"/>
        <v>1274</v>
      </c>
      <c r="H53" s="30">
        <f t="shared" si="76"/>
        <v>1258.1410000000001</v>
      </c>
      <c r="I53" s="30">
        <f t="shared" si="76"/>
        <v>1181.5729999999999</v>
      </c>
      <c r="J53" s="30">
        <f t="shared" si="76"/>
        <v>1246.3699999999999</v>
      </c>
      <c r="K53" s="30">
        <f t="shared" si="76"/>
        <v>1316</v>
      </c>
      <c r="L53" s="30">
        <f t="shared" si="76"/>
        <v>1363.6959999999999</v>
      </c>
      <c r="M53" s="30">
        <f t="shared" si="76"/>
        <v>1253.26</v>
      </c>
      <c r="N53" s="30">
        <f>SUM(N49:N52)</f>
        <v>1325.0070000000001</v>
      </c>
      <c r="O53" s="30">
        <f>SUM(O49:O52)</f>
        <v>1538.3229999999999</v>
      </c>
      <c r="P53" s="30">
        <f>SUM(P49:P52)</f>
        <v>1446.098</v>
      </c>
      <c r="Q53" s="30">
        <f>SUM(Q49:Q52)</f>
        <v>1241.3869999999999</v>
      </c>
      <c r="R53" s="30">
        <f t="shared" ref="R53:U53" si="77">SUM(R49:R52)</f>
        <v>1296.23</v>
      </c>
      <c r="S53" s="30">
        <f t="shared" si="77"/>
        <v>1451.7629999999999</v>
      </c>
      <c r="T53" s="30">
        <f t="shared" si="77"/>
        <v>1399.3229999999999</v>
      </c>
      <c r="U53" s="30">
        <f t="shared" si="77"/>
        <v>1348.903</v>
      </c>
      <c r="Z53" s="30">
        <f>SUM(Z49:Z52)</f>
        <v>944.97199999999998</v>
      </c>
      <c r="AA53" s="30">
        <f>SUM(AA49:AA52)</f>
        <v>1002.2919999999999</v>
      </c>
      <c r="AB53" s="30">
        <f>SUM(AB49:AB52)</f>
        <v>1018.5170000000001</v>
      </c>
      <c r="AC53" s="30">
        <f>SUM(AC49:AC52)</f>
        <v>1090.6869999999999</v>
      </c>
      <c r="AD53" s="30">
        <f t="shared" ref="AD53:AE53" si="78">SUM(AD49:AD52)</f>
        <v>1150.1610000000001</v>
      </c>
      <c r="AE53" s="30">
        <f t="shared" si="78"/>
        <v>1184.6019999999999</v>
      </c>
      <c r="AF53" s="30">
        <v>1262.664</v>
      </c>
      <c r="AG53" s="30">
        <v>1274</v>
      </c>
      <c r="AH53" s="30">
        <f t="shared" ref="AH53" si="79">SUM(AH49:AH52)</f>
        <v>1316</v>
      </c>
      <c r="AI53" s="30">
        <f>SUM(AI49:AI52)</f>
        <v>1538.3229999999999</v>
      </c>
      <c r="AJ53" s="30">
        <f t="shared" ref="AJ53" si="80">SUM(AJ49:AJ52)</f>
        <v>1451.7629999999999</v>
      </c>
      <c r="AK53" s="15"/>
    </row>
    <row r="54" spans="1:37" s="14" customFormat="1" x14ac:dyDescent="0.25">
      <c r="A54" s="3"/>
      <c r="B54" s="2"/>
      <c r="C54" s="3" t="s">
        <v>54</v>
      </c>
      <c r="D54" s="14">
        <v>322.5</v>
      </c>
      <c r="E54" s="14">
        <v>345</v>
      </c>
      <c r="F54" s="14">
        <v>346</v>
      </c>
      <c r="G54" s="14">
        <v>323</v>
      </c>
      <c r="H54" s="14">
        <v>325.54300000000001</v>
      </c>
      <c r="I54" s="14">
        <v>316.30599999999998</v>
      </c>
      <c r="J54" s="14">
        <v>322.89999999999998</v>
      </c>
      <c r="K54" s="14">
        <v>312</v>
      </c>
      <c r="L54" s="14">
        <v>322.26400000000001</v>
      </c>
      <c r="M54" s="14">
        <v>319.57600000000002</v>
      </c>
      <c r="N54" s="14">
        <v>316.803</v>
      </c>
      <c r="O54" s="14">
        <v>322.62799999999999</v>
      </c>
      <c r="P54" s="14">
        <v>296.61799999999999</v>
      </c>
      <c r="Q54" s="14">
        <v>298.35899999999998</v>
      </c>
      <c r="R54" s="14">
        <v>289.23099999999999</v>
      </c>
      <c r="S54" s="14">
        <v>304.92599999999999</v>
      </c>
      <c r="T54" s="14">
        <v>315.80900000000003</v>
      </c>
      <c r="U54" s="14">
        <v>313.20600000000002</v>
      </c>
      <c r="Z54" s="14">
        <v>371.14299999999997</v>
      </c>
      <c r="AA54" s="14">
        <v>350.34899999999999</v>
      </c>
      <c r="AB54" s="14">
        <v>334.58499999999998</v>
      </c>
      <c r="AC54" s="14">
        <v>321.35199999999998</v>
      </c>
      <c r="AD54" s="14">
        <v>319.39800000000002</v>
      </c>
      <c r="AE54" s="14">
        <v>315.33600000000001</v>
      </c>
      <c r="AF54" s="14">
        <v>332.28</v>
      </c>
      <c r="AG54" s="14">
        <v>323</v>
      </c>
      <c r="AH54" s="14">
        <v>312</v>
      </c>
      <c r="AI54" s="14">
        <v>322.62799999999999</v>
      </c>
      <c r="AJ54" s="14">
        <v>304.92599999999999</v>
      </c>
      <c r="AK54" s="15"/>
    </row>
    <row r="55" spans="1:37" s="14" customFormat="1" x14ac:dyDescent="0.25">
      <c r="A55" s="3"/>
      <c r="B55" s="2"/>
      <c r="C55" s="3" t="s">
        <v>92</v>
      </c>
      <c r="D55" s="14">
        <v>500.3</v>
      </c>
      <c r="E55" s="14">
        <v>539</v>
      </c>
      <c r="F55" s="14">
        <v>554</v>
      </c>
      <c r="G55" s="14">
        <v>524</v>
      </c>
      <c r="H55" s="14">
        <v>786.32500000000005</v>
      </c>
      <c r="I55" s="14">
        <v>768.11300000000006</v>
      </c>
      <c r="J55" s="14">
        <v>767</v>
      </c>
      <c r="K55" s="14">
        <v>779</v>
      </c>
      <c r="L55" s="14">
        <v>879.31500000000005</v>
      </c>
      <c r="M55" s="14">
        <v>893.65200000000004</v>
      </c>
      <c r="N55" s="14">
        <v>876.68299999999999</v>
      </c>
      <c r="O55" s="14">
        <v>891.62</v>
      </c>
      <c r="P55" s="14">
        <v>887.88199999999995</v>
      </c>
      <c r="Q55" s="14">
        <v>1018.533</v>
      </c>
      <c r="R55" s="14">
        <v>991.93</v>
      </c>
      <c r="S55" s="14">
        <v>979.97799999999995</v>
      </c>
      <c r="T55" s="14">
        <v>1017.41</v>
      </c>
      <c r="U55" s="14">
        <v>944.91800000000001</v>
      </c>
      <c r="Z55" s="14">
        <v>0</v>
      </c>
      <c r="AA55" s="14">
        <v>0</v>
      </c>
      <c r="AB55" s="14">
        <v>0</v>
      </c>
      <c r="AC55" s="14">
        <v>0</v>
      </c>
      <c r="AD55" s="14">
        <v>584.84799999999996</v>
      </c>
      <c r="AE55" s="14">
        <v>585.13099999999997</v>
      </c>
      <c r="AF55" s="14">
        <v>517.54999999999995</v>
      </c>
      <c r="AG55" s="14">
        <v>524</v>
      </c>
      <c r="AH55" s="14">
        <v>779</v>
      </c>
      <c r="AI55" s="14">
        <v>891.62</v>
      </c>
      <c r="AJ55" s="14">
        <v>979.97799999999995</v>
      </c>
      <c r="AK55" s="15"/>
    </row>
    <row r="56" spans="1:37" s="14" customFormat="1" x14ac:dyDescent="0.25">
      <c r="A56" s="3"/>
      <c r="B56" s="2"/>
      <c r="C56" s="3" t="s">
        <v>63</v>
      </c>
      <c r="D56" s="14">
        <v>451.6</v>
      </c>
      <c r="E56" s="14">
        <v>521.6</v>
      </c>
      <c r="F56" s="14">
        <v>621.6</v>
      </c>
      <c r="G56" s="14">
        <v>522</v>
      </c>
      <c r="H56" s="14">
        <v>521.65</v>
      </c>
      <c r="I56" s="14">
        <v>511.654</v>
      </c>
      <c r="J56" s="14">
        <v>671.6</v>
      </c>
      <c r="K56" s="14">
        <v>492</v>
      </c>
      <c r="L56" s="14">
        <v>491.65199999999999</v>
      </c>
      <c r="M56" s="14">
        <v>681.54100000000005</v>
      </c>
      <c r="N56" s="14">
        <v>681.56399999999996</v>
      </c>
      <c r="O56" s="14">
        <v>461.66800000000001</v>
      </c>
      <c r="P56" s="14">
        <v>461.66899999999998</v>
      </c>
      <c r="Q56" s="14">
        <v>751.971</v>
      </c>
      <c r="R56" s="14">
        <v>751.97199999999998</v>
      </c>
      <c r="S56" s="14">
        <v>579.98400000000004</v>
      </c>
      <c r="T56" s="14">
        <v>829.99699999999996</v>
      </c>
      <c r="U56" s="14">
        <v>869.99699999999996</v>
      </c>
      <c r="Z56" s="14">
        <v>525.76099999999997</v>
      </c>
      <c r="AA56" s="14">
        <v>526.54399999999998</v>
      </c>
      <c r="AB56" s="14">
        <v>429.43299999999999</v>
      </c>
      <c r="AC56" s="14">
        <v>426.26400000000001</v>
      </c>
      <c r="AD56" s="14">
        <v>180</v>
      </c>
      <c r="AE56" s="14">
        <v>461.48</v>
      </c>
      <c r="AF56" s="14">
        <v>451.62799999999999</v>
      </c>
      <c r="AG56" s="14">
        <v>522</v>
      </c>
      <c r="AH56" s="14">
        <v>492</v>
      </c>
      <c r="AI56" s="14">
        <v>461.66800000000001</v>
      </c>
      <c r="AJ56" s="14">
        <v>579.98400000000004</v>
      </c>
      <c r="AK56" s="15"/>
    </row>
    <row r="57" spans="1:37" s="14" customFormat="1" x14ac:dyDescent="0.25">
      <c r="A57" s="3"/>
      <c r="B57" s="2"/>
      <c r="C57" s="3" t="s">
        <v>93</v>
      </c>
      <c r="D57" s="14">
        <v>248.6</v>
      </c>
      <c r="E57" s="14">
        <v>251.4</v>
      </c>
      <c r="F57" s="14">
        <v>259</v>
      </c>
      <c r="G57" s="14">
        <v>258</v>
      </c>
      <c r="H57" s="14">
        <v>302.97300000000001</v>
      </c>
      <c r="I57" s="14">
        <v>301.678</v>
      </c>
      <c r="J57" s="14">
        <v>302.3</v>
      </c>
      <c r="K57" s="14">
        <v>306</v>
      </c>
      <c r="L57" s="14">
        <v>341.85300000000001</v>
      </c>
      <c r="M57" s="14">
        <v>343</v>
      </c>
      <c r="N57" s="14">
        <v>351.76499999999999</v>
      </c>
      <c r="O57" s="14">
        <v>354.09300000000002</v>
      </c>
      <c r="P57" s="14">
        <v>377.23700000000002</v>
      </c>
      <c r="Q57" s="14">
        <v>392.59300000000002</v>
      </c>
      <c r="R57" s="14">
        <v>394.13799999999998</v>
      </c>
      <c r="S57" s="14">
        <v>402.98899999999998</v>
      </c>
      <c r="T57" s="14">
        <v>407.85899999999998</v>
      </c>
      <c r="U57" s="14">
        <v>391.79700000000003</v>
      </c>
      <c r="Z57" s="14">
        <v>0</v>
      </c>
      <c r="AA57" s="14">
        <v>0</v>
      </c>
      <c r="AB57" s="14">
        <v>0</v>
      </c>
      <c r="AC57" s="14">
        <v>1.609</v>
      </c>
      <c r="AD57" s="14">
        <v>217.42699999999999</v>
      </c>
      <c r="AE57" s="14">
        <v>234.113</v>
      </c>
      <c r="AF57" s="14">
        <v>249.73699999999999</v>
      </c>
      <c r="AG57" s="14">
        <v>258</v>
      </c>
      <c r="AH57" s="14">
        <v>306</v>
      </c>
      <c r="AI57" s="14">
        <v>354.09300000000002</v>
      </c>
      <c r="AJ57" s="14">
        <v>402.98899999999998</v>
      </c>
      <c r="AK57" s="15"/>
    </row>
    <row r="58" spans="1:37" s="14" customFormat="1" x14ac:dyDescent="0.25">
      <c r="A58" s="3"/>
      <c r="B58" s="2"/>
      <c r="C58" s="3" t="s">
        <v>64</v>
      </c>
      <c r="D58" s="14">
        <v>168.6</v>
      </c>
      <c r="E58" s="14">
        <v>167</v>
      </c>
      <c r="F58" s="14">
        <v>200.7</v>
      </c>
      <c r="G58" s="14">
        <v>30</v>
      </c>
      <c r="H58" s="14">
        <v>178.41900000000001</v>
      </c>
      <c r="I58" s="14">
        <v>331.06099999999998</v>
      </c>
      <c r="J58" s="14">
        <v>75.8</v>
      </c>
      <c r="K58" s="14">
        <v>30</v>
      </c>
      <c r="L58" s="14">
        <v>77.296000000000006</v>
      </c>
      <c r="M58" s="14">
        <v>74.477000000000004</v>
      </c>
      <c r="N58" s="14">
        <v>102.62</v>
      </c>
      <c r="O58" s="14">
        <v>30</v>
      </c>
      <c r="P58" s="14">
        <v>188.27600000000001</v>
      </c>
      <c r="Q58" s="14">
        <v>212.755</v>
      </c>
      <c r="R58" s="14">
        <v>295.95499999999998</v>
      </c>
      <c r="S58" s="14">
        <v>142.38800000000001</v>
      </c>
      <c r="T58" s="14">
        <v>183.79499999999999</v>
      </c>
      <c r="U58" s="14">
        <v>211.21199999999999</v>
      </c>
      <c r="Z58" s="14">
        <v>0</v>
      </c>
      <c r="AA58" s="14">
        <v>0</v>
      </c>
      <c r="AB58" s="14">
        <v>0</v>
      </c>
      <c r="AC58" s="14">
        <v>0</v>
      </c>
      <c r="AD58" s="14">
        <v>0</v>
      </c>
      <c r="AE58" s="14">
        <v>60.296999999999997</v>
      </c>
      <c r="AF58" s="14">
        <v>95</v>
      </c>
      <c r="AG58" s="14">
        <v>30</v>
      </c>
      <c r="AH58" s="14">
        <v>30</v>
      </c>
      <c r="AI58" s="14">
        <v>30</v>
      </c>
      <c r="AJ58" s="14">
        <v>142.38800000000001</v>
      </c>
      <c r="AK58" s="15"/>
    </row>
    <row r="59" spans="1:37" s="14" customFormat="1" x14ac:dyDescent="0.25">
      <c r="A59" s="3"/>
      <c r="B59" s="2"/>
      <c r="C59" s="3" t="s">
        <v>55</v>
      </c>
      <c r="D59" s="14">
        <v>127.5</v>
      </c>
      <c r="E59" s="14">
        <v>101</v>
      </c>
      <c r="F59" s="14">
        <v>113</v>
      </c>
      <c r="G59" s="14">
        <v>122</v>
      </c>
      <c r="H59" s="14">
        <v>134.25800000000001</v>
      </c>
      <c r="I59" s="14">
        <v>110.93</v>
      </c>
      <c r="J59" s="14">
        <v>152</v>
      </c>
      <c r="K59" s="14">
        <v>203</v>
      </c>
      <c r="L59" s="14">
        <v>187.08799999999999</v>
      </c>
      <c r="M59" s="14">
        <v>182.136</v>
      </c>
      <c r="N59" s="14">
        <v>213.386</v>
      </c>
      <c r="O59" s="14">
        <v>235.91</v>
      </c>
      <c r="P59" s="14">
        <v>166.18299999999999</v>
      </c>
      <c r="Q59" s="14">
        <v>133.80000000000001</v>
      </c>
      <c r="R59" s="14">
        <v>155</v>
      </c>
      <c r="S59" s="14">
        <v>193</v>
      </c>
      <c r="T59" s="14">
        <v>164.45</v>
      </c>
      <c r="U59" s="14">
        <v>144.39400000000001</v>
      </c>
      <c r="Z59" s="14">
        <v>38.784999999999997</v>
      </c>
      <c r="AA59" s="14">
        <v>40.625999999999998</v>
      </c>
      <c r="AB59" s="14">
        <v>45.161000000000001</v>
      </c>
      <c r="AC59" s="14">
        <v>37.665999999999997</v>
      </c>
      <c r="AD59" s="14">
        <v>145.12200000000001</v>
      </c>
      <c r="AE59" s="14">
        <v>92.316000000000003</v>
      </c>
      <c r="AF59" s="14">
        <v>159.751</v>
      </c>
      <c r="AG59" s="14">
        <v>122</v>
      </c>
      <c r="AH59" s="14">
        <v>203</v>
      </c>
      <c r="AI59" s="14">
        <v>235.91</v>
      </c>
      <c r="AJ59" s="14">
        <v>193</v>
      </c>
      <c r="AK59" s="15"/>
    </row>
    <row r="60" spans="1:37" s="14" customFormat="1" x14ac:dyDescent="0.25">
      <c r="A60" s="3"/>
      <c r="B60" s="2"/>
      <c r="C60" s="3" t="s">
        <v>56</v>
      </c>
      <c r="D60" s="14">
        <v>45.9</v>
      </c>
      <c r="E60" s="14">
        <v>12</v>
      </c>
      <c r="F60" s="14">
        <v>14</v>
      </c>
      <c r="G60" s="14">
        <v>58</v>
      </c>
      <c r="H60" s="14">
        <v>20.491</v>
      </c>
      <c r="I60" s="14">
        <v>0</v>
      </c>
      <c r="J60" s="14">
        <v>0</v>
      </c>
      <c r="K60" s="14">
        <v>56</v>
      </c>
      <c r="L60" s="14">
        <v>0</v>
      </c>
      <c r="M60" s="14">
        <v>0</v>
      </c>
      <c r="N60" s="14">
        <v>4.6180000000000003</v>
      </c>
      <c r="O60" s="14">
        <v>84.698999999999998</v>
      </c>
      <c r="P60" s="14">
        <v>7.6</v>
      </c>
      <c r="Q60" s="14">
        <v>16</v>
      </c>
      <c r="R60" s="14">
        <v>15.5</v>
      </c>
      <c r="S60" s="14">
        <v>52.7</v>
      </c>
      <c r="T60" s="14">
        <v>0</v>
      </c>
      <c r="U60" s="14">
        <v>0</v>
      </c>
      <c r="Z60" s="14">
        <v>21.739000000000001</v>
      </c>
      <c r="AA60" s="14">
        <v>40.848999999999997</v>
      </c>
      <c r="AB60" s="14">
        <v>40.414999999999999</v>
      </c>
      <c r="AC60" s="14">
        <v>46.216000000000001</v>
      </c>
      <c r="AD60" s="14">
        <v>51.238999999999997</v>
      </c>
      <c r="AE60" s="14">
        <v>87.010999999999996</v>
      </c>
      <c r="AF60" s="14">
        <v>90.334999999999994</v>
      </c>
      <c r="AG60" s="14">
        <v>58</v>
      </c>
      <c r="AH60" s="14">
        <v>56</v>
      </c>
      <c r="AI60" s="14">
        <v>84.698999999999998</v>
      </c>
      <c r="AJ60" s="14">
        <v>52.7</v>
      </c>
      <c r="AK60" s="15"/>
    </row>
    <row r="61" spans="1:37" s="14" customFormat="1" x14ac:dyDescent="0.25">
      <c r="A61" s="3"/>
      <c r="B61" s="2"/>
      <c r="C61" s="3" t="s">
        <v>57</v>
      </c>
      <c r="D61" s="14">
        <v>96.3</v>
      </c>
      <c r="E61" s="14">
        <v>100.6</v>
      </c>
      <c r="F61" s="14">
        <v>119</v>
      </c>
      <c r="G61" s="14">
        <v>167</v>
      </c>
      <c r="H61" s="14">
        <v>90</v>
      </c>
      <c r="I61" s="14">
        <v>100.84399999999999</v>
      </c>
      <c r="J61" s="14">
        <v>129</v>
      </c>
      <c r="K61" s="14">
        <v>210</v>
      </c>
      <c r="L61" s="14">
        <v>138.63999999999999</v>
      </c>
      <c r="M61" s="14">
        <v>127.35599999999999</v>
      </c>
      <c r="N61" s="14">
        <v>152.81100000000001</v>
      </c>
      <c r="O61" s="14">
        <v>228.10900000000001</v>
      </c>
      <c r="P61" s="14">
        <v>124.476</v>
      </c>
      <c r="Q61" s="14">
        <v>147.57499999999999</v>
      </c>
      <c r="R61" s="14">
        <v>171.5</v>
      </c>
      <c r="S61" s="14">
        <v>238.37799999999999</v>
      </c>
      <c r="T61" s="14">
        <v>134.73599999999999</v>
      </c>
      <c r="U61" s="14">
        <v>123.327</v>
      </c>
      <c r="Z61" s="14">
        <v>69.634</v>
      </c>
      <c r="AA61" s="14">
        <v>80.728999999999999</v>
      </c>
      <c r="AB61" s="14">
        <v>104.67400000000001</v>
      </c>
      <c r="AC61" s="14">
        <v>111.812</v>
      </c>
      <c r="AD61" s="14">
        <v>154.233</v>
      </c>
      <c r="AE61" s="14">
        <v>167.40199999999999</v>
      </c>
      <c r="AF61" s="14">
        <v>172.851</v>
      </c>
      <c r="AG61" s="14">
        <v>167</v>
      </c>
      <c r="AH61" s="14">
        <v>210</v>
      </c>
      <c r="AI61" s="14">
        <v>228.10900000000001</v>
      </c>
      <c r="AJ61" s="14">
        <v>238.37799999999999</v>
      </c>
      <c r="AK61" s="15"/>
    </row>
    <row r="62" spans="1:37" s="14" customFormat="1" x14ac:dyDescent="0.25">
      <c r="A62" s="3"/>
      <c r="B62" s="2"/>
      <c r="C62" s="3" t="s">
        <v>65</v>
      </c>
      <c r="D62" s="14">
        <v>131.80000000000001</v>
      </c>
      <c r="E62" s="14">
        <v>189</v>
      </c>
      <c r="F62" s="14">
        <v>181.6</v>
      </c>
      <c r="G62" s="14">
        <v>202</v>
      </c>
      <c r="H62" s="14">
        <v>192.554</v>
      </c>
      <c r="I62" s="14">
        <v>208.745</v>
      </c>
      <c r="J62" s="14">
        <v>155</v>
      </c>
      <c r="K62" s="14">
        <v>191.6</v>
      </c>
      <c r="L62" s="14">
        <v>199.797</v>
      </c>
      <c r="M62" s="14">
        <v>220.351</v>
      </c>
      <c r="N62" s="14">
        <v>207.12</v>
      </c>
      <c r="O62" s="14">
        <v>274.851</v>
      </c>
      <c r="P62" s="14">
        <v>259</v>
      </c>
      <c r="Q62" s="14">
        <v>169.434</v>
      </c>
      <c r="R62" s="14">
        <v>175.1</v>
      </c>
      <c r="S62" s="14">
        <v>231.46610000000001</v>
      </c>
      <c r="T62" s="14">
        <v>194.13200000000001</v>
      </c>
      <c r="U62" s="14">
        <v>184.02600000000001</v>
      </c>
      <c r="Z62" s="14">
        <v>59.74</v>
      </c>
      <c r="AA62" s="14">
        <v>61.502000000000002</v>
      </c>
      <c r="AB62" s="14">
        <v>58.139000000000003</v>
      </c>
      <c r="AC62" s="14">
        <v>57.387999999999998</v>
      </c>
      <c r="AD62" s="14">
        <v>160.511</v>
      </c>
      <c r="AE62" s="14">
        <v>198.88300000000001</v>
      </c>
      <c r="AF62" s="14">
        <v>197.86500000000001</v>
      </c>
      <c r="AG62" s="14">
        <v>202</v>
      </c>
      <c r="AH62" s="14">
        <v>191.6</v>
      </c>
      <c r="AI62" s="14">
        <v>274.851</v>
      </c>
      <c r="AJ62" s="14">
        <v>231.46610000000001</v>
      </c>
      <c r="AK62" s="15"/>
    </row>
    <row r="63" spans="1:37" s="14" customFormat="1" x14ac:dyDescent="0.25">
      <c r="A63" s="3"/>
      <c r="B63" s="2"/>
      <c r="C63" s="3" t="s">
        <v>46</v>
      </c>
      <c r="D63" s="14">
        <v>10</v>
      </c>
      <c r="E63" s="14">
        <v>1</v>
      </c>
      <c r="F63" s="14">
        <v>0.05</v>
      </c>
      <c r="G63" s="14">
        <v>7</v>
      </c>
      <c r="H63" s="14">
        <v>2.5</v>
      </c>
      <c r="I63" s="14">
        <v>1.4079999999999999</v>
      </c>
      <c r="J63" s="14">
        <v>3.4</v>
      </c>
      <c r="K63" s="14">
        <v>53.7</v>
      </c>
      <c r="L63" s="14">
        <v>6.7309999999999999</v>
      </c>
      <c r="M63" s="14">
        <v>11.143000000000001</v>
      </c>
      <c r="N63" s="14">
        <v>12</v>
      </c>
      <c r="O63" s="14">
        <v>0.16900000000000001</v>
      </c>
      <c r="P63" s="14">
        <v>39.5</v>
      </c>
      <c r="Q63" s="14">
        <v>59.491</v>
      </c>
      <c r="R63" s="14">
        <v>31.6</v>
      </c>
      <c r="S63" s="14">
        <v>5.9610000000000003</v>
      </c>
      <c r="T63" s="14">
        <v>22.401</v>
      </c>
      <c r="U63" s="14">
        <v>6.7750000000000004</v>
      </c>
      <c r="Z63" s="14">
        <v>0</v>
      </c>
      <c r="AA63" s="14">
        <v>0</v>
      </c>
      <c r="AB63" s="14">
        <v>0</v>
      </c>
      <c r="AC63" s="14">
        <v>0</v>
      </c>
      <c r="AD63" s="14">
        <v>11.787000000000001</v>
      </c>
      <c r="AE63" s="14">
        <v>78.364000000000004</v>
      </c>
      <c r="AF63" s="14">
        <v>5.1660000000000004</v>
      </c>
      <c r="AG63" s="14">
        <v>7</v>
      </c>
      <c r="AH63" s="14">
        <v>53.7</v>
      </c>
      <c r="AI63" s="14">
        <v>0.16900000000000001</v>
      </c>
      <c r="AJ63" s="14">
        <v>5.9610000000000003</v>
      </c>
      <c r="AK63" s="15"/>
    </row>
    <row r="64" spans="1:37" s="14" customFormat="1" x14ac:dyDescent="0.25">
      <c r="A64" s="3"/>
      <c r="B64" s="2"/>
      <c r="C64" s="13" t="s">
        <v>58</v>
      </c>
      <c r="D64" s="30">
        <f t="shared" ref="D64:M64" si="81">SUM(D54:D63)</f>
        <v>2103.1</v>
      </c>
      <c r="E64" s="30">
        <f t="shared" si="81"/>
        <v>2227.6</v>
      </c>
      <c r="F64" s="30">
        <f t="shared" si="81"/>
        <v>2408.9500000000003</v>
      </c>
      <c r="G64" s="30">
        <f t="shared" si="81"/>
        <v>2213</v>
      </c>
      <c r="H64" s="30">
        <f>SUM(H54:H63)</f>
        <v>2554.7129999999997</v>
      </c>
      <c r="I64" s="30">
        <f t="shared" si="81"/>
        <v>2650.739</v>
      </c>
      <c r="J64" s="30">
        <f t="shared" si="81"/>
        <v>2579.0000000000005</v>
      </c>
      <c r="K64" s="30">
        <f t="shared" si="81"/>
        <v>2633.2999999999997</v>
      </c>
      <c r="L64" s="30">
        <f t="shared" si="81"/>
        <v>2644.6360000000004</v>
      </c>
      <c r="M64" s="30">
        <f t="shared" si="81"/>
        <v>2853.2320000000004</v>
      </c>
      <c r="N64" s="30">
        <f>SUM(N54:N63)</f>
        <v>2919.3699999999994</v>
      </c>
      <c r="O64" s="30">
        <f>SUM(O54:O63)</f>
        <v>2883.7469999999998</v>
      </c>
      <c r="P64" s="30">
        <f>SUM(P54:P63)</f>
        <v>2808.4409999999998</v>
      </c>
      <c r="Q64" s="30">
        <f>SUM(Q54:Q63)</f>
        <v>3200.5110000000004</v>
      </c>
      <c r="R64" s="30">
        <f t="shared" ref="R64:S64" si="82">SUM(R54:R63)</f>
        <v>3271.9259999999999</v>
      </c>
      <c r="S64" s="30">
        <f t="shared" si="82"/>
        <v>3131.7700999999997</v>
      </c>
      <c r="T64" s="30">
        <f t="shared" ref="T64:U64" si="83">SUM(T54:T63)</f>
        <v>3270.5889999999995</v>
      </c>
      <c r="U64" s="30">
        <f t="shared" si="83"/>
        <v>3189.6520000000005</v>
      </c>
      <c r="Z64" s="30">
        <f>SUM(Z54:Z63)</f>
        <v>1086.8019999999999</v>
      </c>
      <c r="AA64" s="30">
        <f>SUM(AA54:AA63)</f>
        <v>1100.5989999999999</v>
      </c>
      <c r="AB64" s="30">
        <f>SUM(AB54:AB63)</f>
        <v>1012.407</v>
      </c>
      <c r="AC64" s="30">
        <f>SUM(AC54:AC63)</f>
        <v>1002.3070000000001</v>
      </c>
      <c r="AD64" s="30">
        <f t="shared" ref="AD64:AE64" si="84">SUM(AD54:AD63)</f>
        <v>1824.5650000000001</v>
      </c>
      <c r="AE64" s="30">
        <f t="shared" si="84"/>
        <v>2280.3330000000001</v>
      </c>
      <c r="AF64" s="30">
        <v>2272.163</v>
      </c>
      <c r="AG64" s="30">
        <v>2213</v>
      </c>
      <c r="AH64" s="30">
        <f t="shared" ref="AH64" si="85">SUM(AH54:AH63)</f>
        <v>2633.2999999999997</v>
      </c>
      <c r="AI64" s="30">
        <f>SUM(AI54:AI63)</f>
        <v>2883.7469999999998</v>
      </c>
      <c r="AJ64" s="30">
        <f t="shared" ref="AJ64" si="86">SUM(AJ54:AJ63)</f>
        <v>3131.7700999999997</v>
      </c>
      <c r="AK64" s="15"/>
    </row>
    <row r="65" spans="1:46" x14ac:dyDescent="0.25">
      <c r="C65" s="1" t="s">
        <v>59</v>
      </c>
      <c r="D65" s="18">
        <f t="shared" ref="D65:M65" si="87">D53+D64</f>
        <v>3370.7999999999997</v>
      </c>
      <c r="E65" s="18">
        <f t="shared" si="87"/>
        <v>3470.1</v>
      </c>
      <c r="F65" s="18">
        <f t="shared" si="87"/>
        <v>3703.5200000000004</v>
      </c>
      <c r="G65" s="18">
        <f t="shared" si="87"/>
        <v>3487</v>
      </c>
      <c r="H65" s="18">
        <f>H53+H64</f>
        <v>3812.8539999999998</v>
      </c>
      <c r="I65" s="18">
        <f t="shared" si="87"/>
        <v>3832.3119999999999</v>
      </c>
      <c r="J65" s="18">
        <f t="shared" si="87"/>
        <v>3825.3700000000003</v>
      </c>
      <c r="K65" s="18">
        <f t="shared" si="87"/>
        <v>3949.2999999999997</v>
      </c>
      <c r="L65" s="18">
        <f t="shared" si="87"/>
        <v>4008.3320000000003</v>
      </c>
      <c r="M65" s="18">
        <f t="shared" si="87"/>
        <v>4106.4920000000002</v>
      </c>
      <c r="N65" s="18">
        <f>N53+N64</f>
        <v>4244.3769999999995</v>
      </c>
      <c r="O65" s="18">
        <f>O53+O64</f>
        <v>4422.07</v>
      </c>
      <c r="P65" s="18">
        <f>P53+P64</f>
        <v>4254.5389999999998</v>
      </c>
      <c r="Q65" s="18">
        <f>Q53+Q64</f>
        <v>4441.8980000000001</v>
      </c>
      <c r="R65" s="18">
        <f t="shared" ref="R65:S65" si="88">R53+R64</f>
        <v>4568.1559999999999</v>
      </c>
      <c r="S65" s="18">
        <f t="shared" si="88"/>
        <v>4583.5330999999996</v>
      </c>
      <c r="T65" s="18">
        <f t="shared" ref="T65:U65" si="89">T53+T64</f>
        <v>4669.9119999999994</v>
      </c>
      <c r="U65" s="18">
        <f t="shared" si="89"/>
        <v>4538.5550000000003</v>
      </c>
      <c r="V65" s="14"/>
      <c r="W65" s="14"/>
      <c r="X65" s="14"/>
      <c r="Y65" s="14"/>
      <c r="Z65" s="18">
        <f>Z53+Z64</f>
        <v>2031.7739999999999</v>
      </c>
      <c r="AA65" s="18">
        <f>AA53+AA64</f>
        <v>2102.8909999999996</v>
      </c>
      <c r="AB65" s="18">
        <f>AB53+AB64</f>
        <v>2030.924</v>
      </c>
      <c r="AC65" s="18">
        <f>AC53+AC64</f>
        <v>2092.9940000000001</v>
      </c>
      <c r="AD65" s="18">
        <f t="shared" ref="AD65:AE65" si="90">AD53+AD64</f>
        <v>2974.7260000000001</v>
      </c>
      <c r="AE65" s="18">
        <f t="shared" si="90"/>
        <v>3464.9349999999999</v>
      </c>
      <c r="AF65" s="18">
        <f t="shared" ref="AF65" si="91">AF53+AF64</f>
        <v>3534.8270000000002</v>
      </c>
      <c r="AG65" s="18">
        <f t="shared" ref="AG65:AH65" si="92">AG53+AG64</f>
        <v>3487</v>
      </c>
      <c r="AH65" s="18">
        <f t="shared" si="92"/>
        <v>3949.2999999999997</v>
      </c>
      <c r="AI65" s="18">
        <f>AI53+AI64</f>
        <v>4422.07</v>
      </c>
      <c r="AJ65" s="18">
        <f t="shared" ref="AJ65" si="93">AJ53+AJ64</f>
        <v>4583.5330999999996</v>
      </c>
      <c r="AK65" s="15"/>
      <c r="AL65" s="14"/>
      <c r="AM65" s="14"/>
      <c r="AN65" s="14"/>
      <c r="AO65" s="14"/>
      <c r="AP65" s="14"/>
      <c r="AQ65" s="14"/>
      <c r="AR65" s="14"/>
      <c r="AS65" s="14"/>
      <c r="AT65" s="14"/>
    </row>
    <row r="66" spans="1:46" x14ac:dyDescent="0.25"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 spans="1:46" s="14" customFormat="1" x14ac:dyDescent="0.25">
      <c r="A67" s="3"/>
      <c r="B67" s="2"/>
      <c r="C67" s="4" t="s">
        <v>106</v>
      </c>
      <c r="N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2"/>
      <c r="AL67" s="3"/>
      <c r="AM67" s="3"/>
      <c r="AN67" s="3"/>
      <c r="AO67" s="3"/>
      <c r="AP67" s="3"/>
      <c r="AQ67" s="3"/>
      <c r="AR67" s="3"/>
      <c r="AS67" s="3"/>
      <c r="AT67" s="3"/>
    </row>
    <row r="68" spans="1:46" s="14" customFormat="1" x14ac:dyDescent="0.25">
      <c r="A68" s="3"/>
      <c r="B68" s="2"/>
      <c r="C68" s="3" t="s">
        <v>113</v>
      </c>
      <c r="D68" s="14">
        <f t="shared" ref="D68:U68" si="94">D15</f>
        <v>11.881999999999991</v>
      </c>
      <c r="E68" s="14">
        <f t="shared" si="94"/>
        <v>67.826999999999913</v>
      </c>
      <c r="F68" s="14">
        <f t="shared" si="94"/>
        <v>41.613</v>
      </c>
      <c r="G68" s="14">
        <f t="shared" si="94"/>
        <v>198.59099999999995</v>
      </c>
      <c r="H68" s="14">
        <f t="shared" si="94"/>
        <v>-57.837999999999909</v>
      </c>
      <c r="I68" s="14">
        <f t="shared" si="94"/>
        <v>45.208999999999996</v>
      </c>
      <c r="J68" s="14">
        <f t="shared" si="94"/>
        <v>118.10399999999993</v>
      </c>
      <c r="K68" s="14">
        <f t="shared" si="94"/>
        <v>296.43000000000006</v>
      </c>
      <c r="L68" s="14">
        <f t="shared" si="94"/>
        <v>-11.431999999999963</v>
      </c>
      <c r="M68" s="14">
        <f t="shared" si="94"/>
        <v>59.472000000000023</v>
      </c>
      <c r="N68" s="14">
        <f t="shared" si="94"/>
        <v>92.575999999999993</v>
      </c>
      <c r="O68" s="14">
        <f t="shared" si="94"/>
        <v>357.59799999999996</v>
      </c>
      <c r="P68" s="14">
        <f t="shared" si="94"/>
        <v>-38.756999999999941</v>
      </c>
      <c r="Q68" s="14">
        <f t="shared" si="94"/>
        <v>-4.0170000000000616</v>
      </c>
      <c r="R68" s="14">
        <f t="shared" si="94"/>
        <v>49.005999999999958</v>
      </c>
      <c r="S68" s="14">
        <f t="shared" si="94"/>
        <v>280.36099999999999</v>
      </c>
      <c r="T68" s="14">
        <f t="shared" si="94"/>
        <v>-47.169999999999995</v>
      </c>
      <c r="U68" s="14">
        <f t="shared" si="94"/>
        <v>48.792999999999978</v>
      </c>
      <c r="Z68" s="14">
        <f t="shared" ref="Z68:AJ68" si="95">Z15</f>
        <v>99.053999999999959</v>
      </c>
      <c r="AA68" s="14">
        <f t="shared" si="95"/>
        <v>159.50599999999994</v>
      </c>
      <c r="AB68" s="14">
        <f t="shared" si="95"/>
        <v>167.08899999999991</v>
      </c>
      <c r="AC68" s="14">
        <f t="shared" si="95"/>
        <v>200.50700000000001</v>
      </c>
      <c r="AD68" s="14">
        <f t="shared" si="95"/>
        <v>260.94999999999982</v>
      </c>
      <c r="AE68" s="14">
        <f t="shared" si="95"/>
        <v>454.20099999999985</v>
      </c>
      <c r="AF68" s="14">
        <f t="shared" si="95"/>
        <v>485.18399999999997</v>
      </c>
      <c r="AG68" s="14">
        <f t="shared" si="95"/>
        <v>319</v>
      </c>
      <c r="AH68" s="14">
        <f t="shared" si="95"/>
        <v>402</v>
      </c>
      <c r="AI68" s="14">
        <f t="shared" si="95"/>
        <v>498</v>
      </c>
      <c r="AJ68" s="14">
        <f t="shared" si="95"/>
        <v>286</v>
      </c>
      <c r="AK68" s="15"/>
    </row>
    <row r="69" spans="1:46" s="14" customFormat="1" x14ac:dyDescent="0.25">
      <c r="A69" s="3"/>
      <c r="B69" s="2"/>
      <c r="C69" s="3" t="s">
        <v>114</v>
      </c>
      <c r="D69" s="14">
        <v>11.481999999999999</v>
      </c>
      <c r="E69" s="14">
        <v>67.927000000000007</v>
      </c>
      <c r="F69" s="14">
        <v>41.314</v>
      </c>
      <c r="G69" s="14">
        <v>198.191</v>
      </c>
      <c r="H69" s="14">
        <v>-57.439</v>
      </c>
      <c r="I69" s="14">
        <v>45.32</v>
      </c>
      <c r="J69" s="14">
        <v>118.018</v>
      </c>
      <c r="K69" s="14">
        <v>296.63</v>
      </c>
      <c r="L69" s="14">
        <v>-10.946999999999999</v>
      </c>
      <c r="M69" s="14">
        <v>59.307000000000002</v>
      </c>
      <c r="N69" s="14">
        <v>92.507999999999996</v>
      </c>
      <c r="O69" s="14">
        <v>357</v>
      </c>
      <c r="P69" s="14">
        <v>-38</v>
      </c>
      <c r="Q69" s="14">
        <v>-4</v>
      </c>
      <c r="R69" s="14">
        <v>49</v>
      </c>
      <c r="S69" s="14">
        <v>280.89999999999998</v>
      </c>
      <c r="T69" s="14">
        <v>-47.213999999999999</v>
      </c>
      <c r="U69" s="14">
        <v>48.749000000000002</v>
      </c>
      <c r="Z69" s="14">
        <v>129.375</v>
      </c>
      <c r="AA69" s="14">
        <v>159.44</v>
      </c>
      <c r="AB69" s="14">
        <v>167.03</v>
      </c>
      <c r="AC69" s="14">
        <v>200.33199999999999</v>
      </c>
      <c r="AD69" s="14">
        <v>261</v>
      </c>
      <c r="AE69" s="14">
        <v>454</v>
      </c>
      <c r="AF69" s="14">
        <v>485.16699999999997</v>
      </c>
      <c r="AG69" s="14">
        <v>319</v>
      </c>
      <c r="AH69" s="14">
        <v>402.5</v>
      </c>
      <c r="AI69" s="14">
        <v>498</v>
      </c>
      <c r="AJ69" s="14">
        <v>287.85899999999998</v>
      </c>
      <c r="AK69" s="15"/>
    </row>
    <row r="70" spans="1:46" s="14" customFormat="1" x14ac:dyDescent="0.25">
      <c r="A70" s="3"/>
      <c r="B70" s="2"/>
      <c r="C70" s="3" t="s">
        <v>115</v>
      </c>
      <c r="D70" s="14">
        <v>-46.609000000000002</v>
      </c>
      <c r="E70" s="14">
        <v>-45.012999999999998</v>
      </c>
      <c r="F70" s="14">
        <v>-5.55</v>
      </c>
      <c r="G70" s="14">
        <v>-8.3989999999999991</v>
      </c>
      <c r="H70" s="14">
        <v>-48.398000000000003</v>
      </c>
      <c r="I70" s="14">
        <v>-8.9290000000000003</v>
      </c>
      <c r="J70" s="14">
        <v>-8.5129999999999999</v>
      </c>
      <c r="K70" s="14">
        <v>-25.198</v>
      </c>
      <c r="L70" s="14">
        <v>-37.612000000000002</v>
      </c>
      <c r="M70" s="14">
        <v>-8.8320000000000007</v>
      </c>
      <c r="N70" s="14">
        <v>-9.0169999999999995</v>
      </c>
      <c r="O70" s="14">
        <v>-26.238</v>
      </c>
      <c r="P70" s="14">
        <v>-46.5</v>
      </c>
      <c r="Q70" s="14">
        <v>-46.750999999999998</v>
      </c>
      <c r="R70" s="14">
        <v>-9</v>
      </c>
      <c r="S70" s="14">
        <v>-19.271000000000001</v>
      </c>
      <c r="T70" s="14">
        <v>-39.244999999999997</v>
      </c>
      <c r="U70" s="14">
        <v>-37.281999999999996</v>
      </c>
      <c r="Z70" s="14">
        <v>-26.942</v>
      </c>
      <c r="AA70" s="14">
        <v>-21.739000000000001</v>
      </c>
      <c r="AB70" s="14">
        <v>-40.848999999999997</v>
      </c>
      <c r="AC70" s="14">
        <v>-40.414999999999999</v>
      </c>
      <c r="AD70" s="14">
        <v>-49.7</v>
      </c>
      <c r="AE70" s="14">
        <v>-50</v>
      </c>
      <c r="AF70" s="14">
        <v>-105</v>
      </c>
      <c r="AG70" s="14">
        <v>-105.571</v>
      </c>
      <c r="AH70" s="14">
        <v>-91</v>
      </c>
      <c r="AI70" s="14">
        <v>-107</v>
      </c>
      <c r="AJ70" s="14">
        <v>-121.84</v>
      </c>
      <c r="AK70" s="15"/>
    </row>
    <row r="71" spans="1:46" s="14" customFormat="1" x14ac:dyDescent="0.25">
      <c r="A71" s="3"/>
      <c r="B71" s="2"/>
      <c r="C71" s="3" t="s">
        <v>25</v>
      </c>
      <c r="D71" s="14">
        <v>86.667000000000002</v>
      </c>
      <c r="E71" s="14">
        <v>87.798000000000002</v>
      </c>
      <c r="F71" s="14">
        <v>86.421999999999997</v>
      </c>
      <c r="G71" s="14">
        <v>87.408000000000001</v>
      </c>
      <c r="H71" s="14">
        <v>95.817999999999998</v>
      </c>
      <c r="I71" s="14">
        <v>100.833</v>
      </c>
      <c r="J71" s="14">
        <v>101.774</v>
      </c>
      <c r="K71" s="14">
        <v>105.711</v>
      </c>
      <c r="L71" s="14">
        <v>114.974</v>
      </c>
      <c r="M71" s="14">
        <v>118.16</v>
      </c>
      <c r="N71" s="14">
        <v>118.19499999999999</v>
      </c>
      <c r="O71" s="14">
        <v>120.334</v>
      </c>
      <c r="P71" s="14">
        <v>131.66300000000001</v>
      </c>
      <c r="Q71" s="14">
        <v>155.571</v>
      </c>
      <c r="R71" s="14">
        <v>131.929</v>
      </c>
      <c r="S71" s="14">
        <v>136.09200000000001</v>
      </c>
      <c r="T71" s="14">
        <v>143.62100000000001</v>
      </c>
      <c r="U71" s="14">
        <v>139.386</v>
      </c>
      <c r="Z71" s="14">
        <v>24.446999999999999</v>
      </c>
      <c r="AA71" s="14">
        <v>28.952999999999999</v>
      </c>
      <c r="AB71" s="14">
        <v>34.838999999999999</v>
      </c>
      <c r="AC71" s="14">
        <v>37.122999999999998</v>
      </c>
      <c r="AD71" s="14">
        <v>265.15199999999999</v>
      </c>
      <c r="AE71" s="14">
        <v>340.8</v>
      </c>
      <c r="AF71" s="14">
        <v>336.37599999999998</v>
      </c>
      <c r="AG71" s="14">
        <v>348.29599999999999</v>
      </c>
      <c r="AH71" s="14">
        <v>404.13600000000002</v>
      </c>
      <c r="AI71" s="14">
        <v>471.66199999999998</v>
      </c>
      <c r="AJ71" s="14">
        <v>555.25400000000002</v>
      </c>
      <c r="AK71" s="15"/>
    </row>
    <row r="72" spans="1:46" s="14" customFormat="1" x14ac:dyDescent="0.25">
      <c r="A72" s="3"/>
      <c r="B72" s="2"/>
      <c r="C72" s="3" t="s">
        <v>116</v>
      </c>
      <c r="D72" s="14">
        <v>-0.13</v>
      </c>
      <c r="E72" s="14">
        <v>-1.57</v>
      </c>
      <c r="F72" s="14">
        <v>-0.155</v>
      </c>
      <c r="G72" s="14">
        <v>3.1970000000000001</v>
      </c>
      <c r="H72" s="14">
        <v>11.778</v>
      </c>
      <c r="I72" s="14">
        <v>-6.5129999999999999</v>
      </c>
      <c r="J72" s="14">
        <v>0.747</v>
      </c>
      <c r="K72" s="14">
        <v>4</v>
      </c>
      <c r="L72" s="14">
        <v>0.24199999999999999</v>
      </c>
      <c r="M72" s="14">
        <v>1.3839999999999999</v>
      </c>
      <c r="N72" s="14">
        <v>-0.95099999999999996</v>
      </c>
      <c r="O72" s="14">
        <v>-2.2000000000000002</v>
      </c>
      <c r="P72" s="14">
        <v>0</v>
      </c>
      <c r="Q72" s="14">
        <v>3.4860000000000002</v>
      </c>
      <c r="R72" s="14">
        <v>-7.9</v>
      </c>
      <c r="S72" s="14">
        <v>-10.545999999999999</v>
      </c>
      <c r="T72" s="14">
        <v>5.5650000000000004</v>
      </c>
      <c r="U72" s="14">
        <v>-8.1349999999999998</v>
      </c>
      <c r="Z72" s="14">
        <v>0.76100000000000001</v>
      </c>
      <c r="AA72" s="14">
        <v>0</v>
      </c>
      <c r="AB72" s="14">
        <v>0</v>
      </c>
      <c r="AC72" s="14">
        <v>0</v>
      </c>
      <c r="AD72" s="14">
        <v>0</v>
      </c>
      <c r="AE72" s="14">
        <v>-23.146999999999998</v>
      </c>
      <c r="AF72" s="14">
        <v>16.861000000000001</v>
      </c>
      <c r="AG72" s="14">
        <v>1.3</v>
      </c>
      <c r="AH72" s="14">
        <v>79.742999999999995</v>
      </c>
      <c r="AI72" s="14">
        <v>97.6</v>
      </c>
      <c r="AJ72" s="14">
        <v>120.941</v>
      </c>
      <c r="AK72" s="15"/>
    </row>
    <row r="73" spans="1:46" s="14" customFormat="1" x14ac:dyDescent="0.25">
      <c r="A73" s="3"/>
      <c r="B73" s="2"/>
      <c r="C73" s="3" t="s">
        <v>133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Z73" s="14">
        <v>5.9960000000000004</v>
      </c>
      <c r="AA73" s="14">
        <v>12.67</v>
      </c>
      <c r="AB73" s="14">
        <v>13.736000000000001</v>
      </c>
      <c r="AC73" s="14">
        <v>14.669</v>
      </c>
      <c r="AD73" s="14">
        <v>0</v>
      </c>
      <c r="AE73" s="14">
        <v>0</v>
      </c>
      <c r="AF73" s="14">
        <v>0</v>
      </c>
      <c r="AG73" s="14">
        <v>0</v>
      </c>
      <c r="AH73" s="14">
        <v>10.1</v>
      </c>
      <c r="AI73" s="14">
        <v>-1.5</v>
      </c>
      <c r="AJ73" s="14">
        <v>-9.5440000000000005</v>
      </c>
      <c r="AK73" s="15"/>
    </row>
    <row r="74" spans="1:46" s="14" customFormat="1" x14ac:dyDescent="0.25">
      <c r="A74" s="3"/>
      <c r="B74" s="2"/>
      <c r="C74" s="3" t="s">
        <v>117</v>
      </c>
      <c r="D74" s="14">
        <v>-243.029</v>
      </c>
      <c r="E74" s="14">
        <v>-9.8230000000000004</v>
      </c>
      <c r="F74" s="14">
        <v>-71.786000000000001</v>
      </c>
      <c r="G74" s="14">
        <v>301.42599999999999</v>
      </c>
      <c r="H74" s="14">
        <v>-71.096999999999994</v>
      </c>
      <c r="I74" s="14">
        <v>-2.0169999999999999</v>
      </c>
      <c r="J74" s="14">
        <v>4.6509999999999998</v>
      </c>
      <c r="K74" s="14">
        <f>162.657-22.521+46.954+110.253</f>
        <v>297.34300000000002</v>
      </c>
      <c r="L74" s="14">
        <v>-193.72300000000001</v>
      </c>
      <c r="M74" s="14">
        <v>-58.823999999999998</v>
      </c>
      <c r="N74" s="14">
        <v>-90.343999999999994</v>
      </c>
      <c r="O74" s="14">
        <f>150.588-5.486+23.78+150.364</f>
        <v>319.24599999999998</v>
      </c>
      <c r="P74" s="14">
        <f>-84.315-11.615-72.3-134.979</f>
        <v>-303.209</v>
      </c>
      <c r="Q74" s="14">
        <f>34.4+6.256-31.435-12.1</f>
        <v>-2.8789999999999996</v>
      </c>
      <c r="R74" s="14">
        <f>-159.148+9.7+22+58</f>
        <v>-69.448000000000008</v>
      </c>
      <c r="S74" s="14">
        <f>68.909+1.1+38.216+119.371</f>
        <v>227.596</v>
      </c>
      <c r="T74" s="14">
        <v>-171.673</v>
      </c>
      <c r="U74" s="14">
        <f>58.684+5.821-18.18+20.215</f>
        <v>66.539999999999992</v>
      </c>
      <c r="Z74" s="14">
        <v>-4.9930000000000003</v>
      </c>
      <c r="AA74" s="14">
        <v>-7.3250000000000002</v>
      </c>
      <c r="AB74" s="14">
        <v>-56.61</v>
      </c>
      <c r="AC74" s="14">
        <v>53.506999999999998</v>
      </c>
      <c r="AD74" s="14">
        <f>-77.155-15.733+65.636+74.322</f>
        <v>47.069999999999993</v>
      </c>
      <c r="AE74" s="14">
        <f>22.777+8.685-61.333+57.193</f>
        <v>27.322000000000003</v>
      </c>
      <c r="AF74" s="14">
        <f>-180-4.4+71.228+15.515+39.283</f>
        <v>-58.374000000000009</v>
      </c>
      <c r="AG74" s="14">
        <f>-29.17+9.135-34.347-7+46.435</f>
        <v>-14.947000000000003</v>
      </c>
      <c r="AH74" s="14">
        <f>111.538-20.231+76.5-11.9</f>
        <v>155.90699999999998</v>
      </c>
      <c r="AI74" s="14">
        <f>-195.4+1.4+29.8+68.967</f>
        <v>-95.23299999999999</v>
      </c>
      <c r="AJ74" s="14">
        <v>-265.12799999999999</v>
      </c>
      <c r="AK74" s="15"/>
    </row>
    <row r="75" spans="1:46" s="14" customFormat="1" x14ac:dyDescent="0.25">
      <c r="A75" s="3"/>
      <c r="B75" s="2"/>
      <c r="C75" s="1" t="s">
        <v>60</v>
      </c>
      <c r="D75" s="18">
        <f t="shared" ref="D75:S75" si="96">SUM(D69:D74)</f>
        <v>-191.619</v>
      </c>
      <c r="E75" s="18">
        <f t="shared" si="96"/>
        <v>99.319000000000017</v>
      </c>
      <c r="F75" s="18">
        <f t="shared" si="96"/>
        <v>50.245000000000005</v>
      </c>
      <c r="G75" s="18">
        <f t="shared" si="96"/>
        <v>581.82299999999998</v>
      </c>
      <c r="H75" s="18">
        <f t="shared" si="96"/>
        <v>-69.337999999999994</v>
      </c>
      <c r="I75" s="18">
        <f t="shared" si="96"/>
        <v>128.69399999999999</v>
      </c>
      <c r="J75" s="18">
        <f t="shared" si="96"/>
        <v>216.67700000000002</v>
      </c>
      <c r="K75" s="18">
        <f t="shared" si="96"/>
        <v>678.4860000000001</v>
      </c>
      <c r="L75" s="18">
        <f t="shared" si="96"/>
        <v>-127.066</v>
      </c>
      <c r="M75" s="18">
        <f t="shared" si="96"/>
        <v>111.19499999999998</v>
      </c>
      <c r="N75" s="18">
        <f t="shared" si="96"/>
        <v>110.39099999999999</v>
      </c>
      <c r="O75" s="18">
        <f t="shared" si="96"/>
        <v>768.14200000000005</v>
      </c>
      <c r="P75" s="18">
        <f t="shared" si="96"/>
        <v>-256.04599999999999</v>
      </c>
      <c r="Q75" s="18">
        <f t="shared" si="96"/>
        <v>105.42699999999999</v>
      </c>
      <c r="R75" s="18">
        <f t="shared" si="96"/>
        <v>94.580999999999989</v>
      </c>
      <c r="S75" s="18">
        <f t="shared" si="96"/>
        <v>614.77099999999996</v>
      </c>
      <c r="T75" s="18">
        <f>SUM(T69:T74)</f>
        <v>-108.946</v>
      </c>
      <c r="U75" s="18">
        <f>SUM(U69:U74)</f>
        <v>209.25800000000001</v>
      </c>
      <c r="Z75" s="18">
        <f t="shared" ref="Z75:AE75" si="97">SUM(Z69:Z74)</f>
        <v>128.64400000000001</v>
      </c>
      <c r="AA75" s="18">
        <f t="shared" si="97"/>
        <v>171.999</v>
      </c>
      <c r="AB75" s="18">
        <f t="shared" si="97"/>
        <v>118.146</v>
      </c>
      <c r="AC75" s="18">
        <f t="shared" si="97"/>
        <v>265.21600000000001</v>
      </c>
      <c r="AD75" s="18">
        <f t="shared" si="97"/>
        <v>523.52199999999993</v>
      </c>
      <c r="AE75" s="18">
        <f t="shared" si="97"/>
        <v>748.97499999999991</v>
      </c>
      <c r="AF75" s="18">
        <f t="shared" ref="AF75:AH75" si="98">SUM(AF69:AF74)</f>
        <v>675.02999999999986</v>
      </c>
      <c r="AG75" s="18">
        <f t="shared" si="98"/>
        <v>548.07799999999997</v>
      </c>
      <c r="AH75" s="18">
        <f t="shared" si="98"/>
        <v>961.38599999999997</v>
      </c>
      <c r="AI75" s="18">
        <f>SUM(AI69:AI74)</f>
        <v>863.52900000000011</v>
      </c>
      <c r="AJ75" s="18">
        <f>SUM(AJ69:AJ74)</f>
        <v>567.54200000000014</v>
      </c>
      <c r="AK75" s="15"/>
    </row>
    <row r="76" spans="1:46" s="14" customFormat="1" x14ac:dyDescent="0.25">
      <c r="A76" s="3"/>
      <c r="B76" s="2"/>
      <c r="C76" s="3"/>
      <c r="AK76" s="15"/>
    </row>
    <row r="77" spans="1:46" s="14" customFormat="1" x14ac:dyDescent="0.25">
      <c r="A77" s="3"/>
      <c r="B77" s="2"/>
      <c r="C77" s="3" t="s">
        <v>118</v>
      </c>
      <c r="D77" s="14">
        <v>-15.614000000000001</v>
      </c>
      <c r="E77" s="14">
        <v>-22.498000000000001</v>
      </c>
      <c r="F77" s="14">
        <v>-23.402000000000001</v>
      </c>
      <c r="G77" s="14">
        <v>-57.75</v>
      </c>
      <c r="H77" s="14">
        <v>-57.168999999999997</v>
      </c>
      <c r="I77" s="14">
        <v>-58.481000000000002</v>
      </c>
      <c r="J77" s="14">
        <v>-25.827999999999999</v>
      </c>
      <c r="K77" s="14">
        <v>-22.218</v>
      </c>
      <c r="L77" s="14">
        <v>-48.234000000000002</v>
      </c>
      <c r="M77" s="14">
        <v>-43.215000000000003</v>
      </c>
      <c r="N77" s="14">
        <v>-28.856999999999999</v>
      </c>
      <c r="O77" s="14">
        <v>-88</v>
      </c>
      <c r="P77" s="14">
        <v>-38.334000000000003</v>
      </c>
      <c r="Q77" s="14">
        <v>-98.486000000000004</v>
      </c>
      <c r="R77" s="14">
        <v>-44</v>
      </c>
      <c r="S77" s="14">
        <v>-73.141000000000005</v>
      </c>
      <c r="T77" s="14">
        <v>-41.975000000000001</v>
      </c>
      <c r="U77" s="14">
        <v>-49.652000000000001</v>
      </c>
      <c r="Z77" s="14">
        <v>-40.637999999999998</v>
      </c>
      <c r="AA77" s="14">
        <v>-34.802999999999997</v>
      </c>
      <c r="AB77" s="14">
        <v>-47.073</v>
      </c>
      <c r="AC77" s="14">
        <v>-37.292999999999999</v>
      </c>
      <c r="AD77" s="14">
        <v>-98.088999999999999</v>
      </c>
      <c r="AE77" s="14">
        <v>-65.397999999999996</v>
      </c>
      <c r="AF77" s="14">
        <v>-92.614000000000004</v>
      </c>
      <c r="AG77" s="14">
        <v>-119.264</v>
      </c>
      <c r="AH77" s="14">
        <v>-163.697</v>
      </c>
      <c r="AI77" s="14">
        <v>-208.32599999999999</v>
      </c>
      <c r="AJ77" s="14">
        <v>-254.04300000000001</v>
      </c>
      <c r="AK77" s="15"/>
    </row>
    <row r="78" spans="1:46" s="14" customFormat="1" x14ac:dyDescent="0.25">
      <c r="A78" s="3"/>
      <c r="B78" s="2"/>
      <c r="C78" s="3" t="s">
        <v>119</v>
      </c>
      <c r="D78" s="14">
        <v>-22.5</v>
      </c>
      <c r="E78" s="14">
        <v>-8.6999999999999993</v>
      </c>
      <c r="F78" s="14">
        <v>16.187999999999999</v>
      </c>
      <c r="G78" s="14">
        <v>0.28100000000000003</v>
      </c>
      <c r="H78" s="14">
        <v>-12.785</v>
      </c>
      <c r="I78" s="14">
        <v>0</v>
      </c>
      <c r="J78" s="14">
        <v>0</v>
      </c>
      <c r="K78" s="14">
        <v>4</v>
      </c>
      <c r="L78" s="14">
        <v>0</v>
      </c>
      <c r="M78" s="14">
        <v>0</v>
      </c>
      <c r="N78" s="14">
        <v>0</v>
      </c>
      <c r="O78" s="14">
        <v>72</v>
      </c>
      <c r="P78" s="14">
        <v>33.5</v>
      </c>
      <c r="Q78" s="14">
        <v>0</v>
      </c>
      <c r="R78" s="14">
        <v>0</v>
      </c>
      <c r="S78" s="14">
        <v>-0.5</v>
      </c>
      <c r="T78" s="14">
        <v>0</v>
      </c>
      <c r="U78" s="14">
        <v>0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14">
        <v>0</v>
      </c>
      <c r="AF78" s="14">
        <v>0</v>
      </c>
      <c r="AG78" s="14">
        <v>-23.795000000000002</v>
      </c>
      <c r="AH78" s="14">
        <v>-17.785</v>
      </c>
      <c r="AI78" s="14">
        <v>72</v>
      </c>
      <c r="AJ78" s="14">
        <v>33</v>
      </c>
      <c r="AK78" s="15"/>
    </row>
    <row r="79" spans="1:46" s="14" customFormat="1" x14ac:dyDescent="0.25">
      <c r="A79" s="3"/>
      <c r="B79" s="2"/>
      <c r="C79" s="1" t="s">
        <v>61</v>
      </c>
      <c r="D79" s="18">
        <f t="shared" ref="D79:N79" si="99">SUM(D77:D78)</f>
        <v>-38.114000000000004</v>
      </c>
      <c r="E79" s="18">
        <f t="shared" si="99"/>
        <v>-31.198</v>
      </c>
      <c r="F79" s="18">
        <f t="shared" si="99"/>
        <v>-7.2140000000000022</v>
      </c>
      <c r="G79" s="18">
        <f t="shared" si="99"/>
        <v>-57.469000000000001</v>
      </c>
      <c r="H79" s="18">
        <f t="shared" si="99"/>
        <v>-69.953999999999994</v>
      </c>
      <c r="I79" s="18">
        <f t="shared" si="99"/>
        <v>-58.481000000000002</v>
      </c>
      <c r="J79" s="18">
        <f t="shared" si="99"/>
        <v>-25.827999999999999</v>
      </c>
      <c r="K79" s="18">
        <f t="shared" si="99"/>
        <v>-18.218</v>
      </c>
      <c r="L79" s="18">
        <f t="shared" si="99"/>
        <v>-48.234000000000002</v>
      </c>
      <c r="M79" s="18">
        <f t="shared" si="99"/>
        <v>-43.215000000000003</v>
      </c>
      <c r="N79" s="18">
        <f t="shared" si="99"/>
        <v>-28.856999999999999</v>
      </c>
      <c r="O79" s="18">
        <f>SUM(O77:O78)</f>
        <v>-16</v>
      </c>
      <c r="P79" s="18">
        <f>SUM(P77:P78)</f>
        <v>-4.8340000000000032</v>
      </c>
      <c r="Q79" s="18">
        <f>SUM(Q77:Q78)</f>
        <v>-98.486000000000004</v>
      </c>
      <c r="R79" s="18">
        <f t="shared" ref="R79:S79" si="100">SUM(R77:R78)</f>
        <v>-44</v>
      </c>
      <c r="S79" s="18">
        <f t="shared" si="100"/>
        <v>-73.641000000000005</v>
      </c>
      <c r="T79" s="18">
        <f>SUM(T77:T78)</f>
        <v>-41.975000000000001</v>
      </c>
      <c r="U79" s="18">
        <f>SUM(U77:U78)</f>
        <v>-49.652000000000001</v>
      </c>
      <c r="Z79" s="18">
        <f>SUM(Z77:Z78)</f>
        <v>-40.637999999999998</v>
      </c>
      <c r="AA79" s="18">
        <f>SUM(AA77:AA78)</f>
        <v>-34.802999999999997</v>
      </c>
      <c r="AB79" s="18">
        <f>SUM(AB77:AB78)</f>
        <v>-47.073</v>
      </c>
      <c r="AC79" s="18">
        <f>SUM(AC77:AC78)</f>
        <v>-37.292999999999999</v>
      </c>
      <c r="AD79" s="18">
        <f t="shared" ref="AD79:AH79" si="101">SUM(AD77:AD78)</f>
        <v>-98.088999999999999</v>
      </c>
      <c r="AE79" s="18">
        <f t="shared" si="101"/>
        <v>-65.397999999999996</v>
      </c>
      <c r="AF79" s="18">
        <f t="shared" si="101"/>
        <v>-92.614000000000004</v>
      </c>
      <c r="AG79" s="18">
        <f t="shared" si="101"/>
        <v>-143.059</v>
      </c>
      <c r="AH79" s="18">
        <f t="shared" si="101"/>
        <v>-181.482</v>
      </c>
      <c r="AI79" s="18">
        <f>SUM(AI77:AI78)</f>
        <v>-136.32599999999999</v>
      </c>
      <c r="AJ79" s="18">
        <f>SUM(AJ77:AJ78)</f>
        <v>-221.04300000000001</v>
      </c>
      <c r="AK79" s="15"/>
    </row>
    <row r="80" spans="1:46" s="14" customFormat="1" x14ac:dyDescent="0.25">
      <c r="A80" s="3"/>
      <c r="B80" s="2"/>
      <c r="C80" s="3"/>
      <c r="AK80" s="15"/>
    </row>
    <row r="81" spans="1:46" s="14" customFormat="1" x14ac:dyDescent="0.25">
      <c r="A81" s="3"/>
      <c r="B81" s="2"/>
      <c r="C81" s="3" t="s">
        <v>120</v>
      </c>
      <c r="D81" s="14">
        <v>0</v>
      </c>
      <c r="E81" s="14">
        <v>50</v>
      </c>
      <c r="F81" s="14">
        <v>0</v>
      </c>
      <c r="G81" s="14">
        <v>50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148</v>
      </c>
      <c r="T81" s="14">
        <v>0</v>
      </c>
      <c r="U81" s="14">
        <v>0</v>
      </c>
      <c r="Z81" s="14">
        <v>-95.936999999999998</v>
      </c>
      <c r="AA81" s="14">
        <v>0.78300000000000003</v>
      </c>
      <c r="AB81" s="14">
        <v>-97.111000000000004</v>
      </c>
      <c r="AC81" s="14">
        <v>-1.56</v>
      </c>
      <c r="AD81" s="14">
        <v>674.375</v>
      </c>
      <c r="AE81" s="14">
        <v>25</v>
      </c>
      <c r="AF81" s="14">
        <v>130</v>
      </c>
      <c r="AG81" s="14">
        <v>230</v>
      </c>
      <c r="AH81" s="14">
        <v>0</v>
      </c>
      <c r="AI81" s="14">
        <v>0</v>
      </c>
      <c r="AJ81" s="14">
        <v>148</v>
      </c>
      <c r="AK81" s="15"/>
    </row>
    <row r="82" spans="1:46" s="14" customFormat="1" x14ac:dyDescent="0.25">
      <c r="A82" s="3"/>
      <c r="B82" s="2"/>
      <c r="C82" s="3" t="s">
        <v>121</v>
      </c>
      <c r="D82" s="14">
        <v>0</v>
      </c>
      <c r="E82" s="14">
        <v>130</v>
      </c>
      <c r="F82" s="14">
        <v>0</v>
      </c>
      <c r="G82" s="14">
        <v>0</v>
      </c>
      <c r="H82" s="14">
        <v>0</v>
      </c>
      <c r="I82" s="14">
        <v>160</v>
      </c>
      <c r="J82" s="14">
        <v>0</v>
      </c>
      <c r="K82" s="14">
        <v>0</v>
      </c>
      <c r="L82" s="14">
        <v>0</v>
      </c>
      <c r="M82" s="14">
        <v>200</v>
      </c>
      <c r="N82" s="14">
        <v>0</v>
      </c>
      <c r="O82" s="14">
        <v>30</v>
      </c>
      <c r="P82" s="14">
        <v>0</v>
      </c>
      <c r="Q82" s="14">
        <v>300</v>
      </c>
      <c r="R82" s="14">
        <v>0</v>
      </c>
      <c r="S82" s="14">
        <v>0</v>
      </c>
      <c r="T82" s="14">
        <v>250</v>
      </c>
      <c r="U82" s="14">
        <v>50</v>
      </c>
      <c r="Z82" s="14">
        <v>169.45099999999999</v>
      </c>
      <c r="AA82" s="14">
        <v>0</v>
      </c>
      <c r="AB82" s="14">
        <v>0</v>
      </c>
      <c r="AC82" s="14">
        <v>0</v>
      </c>
      <c r="AD82" s="14">
        <v>0</v>
      </c>
      <c r="AE82" s="14">
        <v>0</v>
      </c>
      <c r="AF82" s="14">
        <v>0</v>
      </c>
      <c r="AG82" s="14">
        <v>0</v>
      </c>
      <c r="AH82" s="14">
        <v>160</v>
      </c>
      <c r="AI82" s="14">
        <v>230</v>
      </c>
      <c r="AJ82" s="14">
        <v>300</v>
      </c>
      <c r="AK82" s="15"/>
    </row>
    <row r="83" spans="1:46" s="14" customFormat="1" x14ac:dyDescent="0.25">
      <c r="A83" s="3"/>
      <c r="B83" s="2"/>
      <c r="C83" s="3" t="s">
        <v>122</v>
      </c>
      <c r="D83" s="14">
        <v>-65.117999999999995</v>
      </c>
      <c r="E83" s="14">
        <v>0</v>
      </c>
      <c r="F83" s="14">
        <v>0</v>
      </c>
      <c r="G83" s="14">
        <v>-130</v>
      </c>
      <c r="H83" s="14">
        <v>0</v>
      </c>
      <c r="I83" s="14">
        <v>0</v>
      </c>
      <c r="J83" s="14">
        <v>0</v>
      </c>
      <c r="K83" s="14">
        <v>-160</v>
      </c>
      <c r="L83" s="14">
        <v>0</v>
      </c>
      <c r="M83" s="14">
        <v>0</v>
      </c>
      <c r="N83" s="14">
        <v>0</v>
      </c>
      <c r="O83" s="14">
        <v>-230</v>
      </c>
      <c r="P83" s="14">
        <v>0</v>
      </c>
      <c r="Q83" s="14">
        <v>0</v>
      </c>
      <c r="R83" s="14">
        <v>0</v>
      </c>
      <c r="S83" s="14">
        <v>-300</v>
      </c>
      <c r="T83" s="14">
        <v>0</v>
      </c>
      <c r="U83" s="14">
        <v>0</v>
      </c>
      <c r="Z83" s="14">
        <v>0</v>
      </c>
      <c r="AA83" s="14">
        <v>0</v>
      </c>
      <c r="AB83" s="14">
        <v>0</v>
      </c>
      <c r="AC83" s="14">
        <v>0</v>
      </c>
      <c r="AD83" s="14">
        <v>0</v>
      </c>
      <c r="AE83" s="14">
        <v>-130</v>
      </c>
      <c r="AF83" s="14">
        <v>-65</v>
      </c>
      <c r="AG83" s="14">
        <v>-195.119</v>
      </c>
      <c r="AH83" s="14">
        <v>-160</v>
      </c>
      <c r="AI83" s="14">
        <v>-230</v>
      </c>
      <c r="AJ83" s="14">
        <v>-300</v>
      </c>
      <c r="AK83" s="15"/>
    </row>
    <row r="84" spans="1:46" s="14" customFormat="1" x14ac:dyDescent="0.25">
      <c r="A84" s="3"/>
      <c r="B84" s="2"/>
      <c r="C84" s="3" t="s">
        <v>123</v>
      </c>
      <c r="D84" s="14">
        <v>0</v>
      </c>
      <c r="E84" s="14">
        <v>-10</v>
      </c>
      <c r="F84" s="14">
        <v>0</v>
      </c>
      <c r="G84" s="14">
        <v>-20</v>
      </c>
      <c r="H84" s="14">
        <v>0</v>
      </c>
      <c r="I84" s="14">
        <v>-10</v>
      </c>
      <c r="J84" s="14">
        <v>0</v>
      </c>
      <c r="K84" s="14">
        <v>-20</v>
      </c>
      <c r="L84" s="14">
        <v>0</v>
      </c>
      <c r="M84" s="14">
        <v>-10</v>
      </c>
      <c r="N84" s="14">
        <v>0</v>
      </c>
      <c r="O84" s="14">
        <v>-20</v>
      </c>
      <c r="P84" s="14">
        <v>0</v>
      </c>
      <c r="Q84" s="14">
        <v>-10</v>
      </c>
      <c r="R84" s="14">
        <v>0</v>
      </c>
      <c r="S84" s="14">
        <v>-20</v>
      </c>
      <c r="T84" s="14">
        <v>0</v>
      </c>
      <c r="U84" s="14">
        <v>-10</v>
      </c>
      <c r="Z84" s="14">
        <v>0</v>
      </c>
      <c r="AA84" s="14">
        <v>0</v>
      </c>
      <c r="AB84" s="14">
        <v>-100</v>
      </c>
      <c r="AC84" s="14">
        <v>0</v>
      </c>
      <c r="AD84" s="14">
        <v>-627.37900000000002</v>
      </c>
      <c r="AE84" s="14">
        <v>-50</v>
      </c>
      <c r="AF84" s="14">
        <v>-38.283000000000001</v>
      </c>
      <c r="AG84" s="14">
        <v>-30</v>
      </c>
      <c r="AH84" s="14">
        <v>-30</v>
      </c>
      <c r="AI84" s="14">
        <v>-30</v>
      </c>
      <c r="AJ84" s="14">
        <v>-30</v>
      </c>
      <c r="AK84" s="15"/>
    </row>
    <row r="85" spans="1:46" s="14" customFormat="1" x14ac:dyDescent="0.25">
      <c r="A85" s="3"/>
      <c r="B85" s="2"/>
      <c r="C85" s="3" t="s">
        <v>124</v>
      </c>
      <c r="D85" s="14">
        <v>138.32900000000001</v>
      </c>
      <c r="E85" s="14">
        <v>3.17</v>
      </c>
      <c r="F85" s="14">
        <v>29.193999999999999</v>
      </c>
      <c r="G85" s="14">
        <v>-170.69399999999999</v>
      </c>
      <c r="H85" s="14">
        <v>148.41900000000001</v>
      </c>
      <c r="I85" s="14">
        <v>-7.3579999999999997</v>
      </c>
      <c r="J85" s="14">
        <v>-95.207999999999998</v>
      </c>
      <c r="K85" s="14">
        <v>-45.8</v>
      </c>
      <c r="L85" s="14">
        <v>47.295999999999999</v>
      </c>
      <c r="M85" s="14">
        <v>-2.819</v>
      </c>
      <c r="N85" s="14">
        <v>28.143000000000001</v>
      </c>
      <c r="O85" s="14">
        <v>-72.62</v>
      </c>
      <c r="P85" s="14">
        <v>158.27600000000001</v>
      </c>
      <c r="Q85" s="14">
        <v>24.478999999999999</v>
      </c>
      <c r="R85" s="14">
        <v>83.2</v>
      </c>
      <c r="S85" s="14">
        <v>-153.56700000000001</v>
      </c>
      <c r="T85" s="14">
        <v>41.406999999999996</v>
      </c>
      <c r="U85" s="14">
        <v>27.417000000000002</v>
      </c>
      <c r="Z85" s="14">
        <v>0</v>
      </c>
      <c r="AA85" s="14">
        <v>0</v>
      </c>
      <c r="AB85" s="14">
        <v>100</v>
      </c>
      <c r="AC85" s="14">
        <v>0</v>
      </c>
      <c r="AD85" s="14">
        <v>0</v>
      </c>
      <c r="AE85" s="14">
        <v>0</v>
      </c>
      <c r="AF85" s="14">
        <v>0</v>
      </c>
      <c r="AG85" s="14">
        <v>0</v>
      </c>
      <c r="AH85" s="14">
        <v>0</v>
      </c>
      <c r="AI85" s="14">
        <v>0</v>
      </c>
      <c r="AJ85" s="14">
        <v>112.389</v>
      </c>
      <c r="AK85" s="15"/>
    </row>
    <row r="86" spans="1:46" s="14" customFormat="1" x14ac:dyDescent="0.25">
      <c r="A86" s="3"/>
      <c r="B86" s="2"/>
      <c r="C86" s="3" t="s">
        <v>125</v>
      </c>
      <c r="D86" s="14">
        <v>-68.38</v>
      </c>
      <c r="E86" s="14">
        <v>-68.135000000000005</v>
      </c>
      <c r="F86" s="14">
        <v>-66.105000000000004</v>
      </c>
      <c r="G86" s="14">
        <v>-64.564999999999998</v>
      </c>
      <c r="H86" s="14">
        <v>-73.998999999999995</v>
      </c>
      <c r="I86" s="14">
        <v>-73.891000000000005</v>
      </c>
      <c r="J86" s="14">
        <v>-75.378</v>
      </c>
      <c r="K86" s="14">
        <v>-76.817999999999998</v>
      </c>
      <c r="L86" s="14">
        <v>-81.844999999999999</v>
      </c>
      <c r="M86" s="14">
        <v>-87.349000000000004</v>
      </c>
      <c r="N86" s="14">
        <v>-84.484999999999999</v>
      </c>
      <c r="O86" s="14">
        <v>-86.861999999999995</v>
      </c>
      <c r="P86" s="14">
        <v>-93</v>
      </c>
      <c r="Q86" s="14">
        <v>-97.185000000000002</v>
      </c>
      <c r="R86" s="14">
        <v>-97.978999999999999</v>
      </c>
      <c r="S86" s="14">
        <v>-99.677999999999997</v>
      </c>
      <c r="T86" s="14">
        <v>-104.536</v>
      </c>
      <c r="U86" s="14">
        <v>-98.745999999999995</v>
      </c>
      <c r="Z86" s="14">
        <v>0</v>
      </c>
      <c r="AA86" s="14">
        <v>0</v>
      </c>
      <c r="AB86" s="14">
        <v>0</v>
      </c>
      <c r="AC86" s="14">
        <v>0</v>
      </c>
      <c r="AD86" s="14">
        <v>-223.33500000000001</v>
      </c>
      <c r="AE86" s="14">
        <v>-274.95600000000002</v>
      </c>
      <c r="AF86" s="14">
        <v>-264.95100000000002</v>
      </c>
      <c r="AG86" s="14">
        <v>-263.35000000000002</v>
      </c>
      <c r="AH86" s="14">
        <v>-296.25</v>
      </c>
      <c r="AI86" s="14">
        <v>-340.54</v>
      </c>
      <c r="AJ86" s="14">
        <v>-387.88900000000001</v>
      </c>
      <c r="AK86" s="15"/>
    </row>
    <row r="87" spans="1:46" s="14" customFormat="1" x14ac:dyDescent="0.25">
      <c r="A87" s="3"/>
      <c r="B87" s="2"/>
      <c r="C87" s="3" t="s">
        <v>126</v>
      </c>
      <c r="D87" s="14">
        <v>0</v>
      </c>
      <c r="E87" s="14">
        <v>-162.58099999999999</v>
      </c>
      <c r="F87" s="14">
        <v>0</v>
      </c>
      <c r="G87" s="14">
        <v>-101.613</v>
      </c>
      <c r="H87" s="14">
        <v>0</v>
      </c>
      <c r="I87" s="14">
        <v>-121.935</v>
      </c>
      <c r="J87" s="14">
        <v>0</v>
      </c>
      <c r="K87" s="14">
        <v>-111.774</v>
      </c>
      <c r="L87" s="14">
        <v>0</v>
      </c>
      <c r="M87" s="14">
        <v>-142.25800000000001</v>
      </c>
      <c r="N87" s="14">
        <v>0</v>
      </c>
      <c r="O87" s="14">
        <v>-121.935</v>
      </c>
      <c r="P87" s="14">
        <v>0</v>
      </c>
      <c r="Q87" s="14">
        <v>-203</v>
      </c>
      <c r="R87" s="14">
        <v>0</v>
      </c>
      <c r="S87" s="14">
        <v>-101.613</v>
      </c>
      <c r="T87" s="14">
        <v>0</v>
      </c>
      <c r="U87" s="14">
        <v>-101.613</v>
      </c>
      <c r="Z87" s="14">
        <v>0</v>
      </c>
      <c r="AA87" s="14">
        <v>-60.968000000000004</v>
      </c>
      <c r="AB87" s="14">
        <v>-121.935</v>
      </c>
      <c r="AC87" s="14">
        <v>-101.613</v>
      </c>
      <c r="AD87" s="14">
        <v>-130</v>
      </c>
      <c r="AE87" s="14">
        <v>-284.47399999999999</v>
      </c>
      <c r="AF87" s="14">
        <v>-365.80700000000002</v>
      </c>
      <c r="AG87" s="14">
        <v>-264.19400000000002</v>
      </c>
      <c r="AH87" s="14">
        <v>-233.71</v>
      </c>
      <c r="AI87" s="14">
        <v>-264.19400000000002</v>
      </c>
      <c r="AJ87" s="14">
        <v>-304.839</v>
      </c>
      <c r="AK87" s="15"/>
    </row>
    <row r="88" spans="1:46" s="14" customFormat="1" x14ac:dyDescent="0.25">
      <c r="A88" s="3"/>
      <c r="B88" s="2"/>
      <c r="C88" s="3" t="s">
        <v>134</v>
      </c>
      <c r="D88" s="14">
        <v>-10.378</v>
      </c>
      <c r="E88" s="14">
        <v>-9.9700000000000006</v>
      </c>
      <c r="F88" s="14">
        <v>-10.627000000000001</v>
      </c>
      <c r="G88" s="14">
        <v>-12.599</v>
      </c>
      <c r="H88" s="14">
        <v>-20.794</v>
      </c>
      <c r="I88" s="14">
        <v>-20.247</v>
      </c>
      <c r="J88" s="14">
        <v>-18.789000000000001</v>
      </c>
      <c r="K88" s="14">
        <v>-19.542999999999999</v>
      </c>
      <c r="L88" s="14">
        <v>-21.984999999999999</v>
      </c>
      <c r="M88" s="14">
        <v>-22.939</v>
      </c>
      <c r="N88" s="14">
        <v>-24.911000000000001</v>
      </c>
      <c r="O88" s="14">
        <v>-27.765000000000001</v>
      </c>
      <c r="P88" s="14">
        <v>-23.6</v>
      </c>
      <c r="Q88" s="14">
        <v>-30</v>
      </c>
      <c r="R88" s="14">
        <v>-33.54</v>
      </c>
      <c r="S88" s="14">
        <v>-23.983000000000001</v>
      </c>
      <c r="T88" s="14">
        <v>-31.146999999999998</v>
      </c>
      <c r="U88" s="14">
        <v>-27.135000000000002</v>
      </c>
      <c r="Z88" s="14">
        <v>-29.456</v>
      </c>
      <c r="AA88" s="14">
        <v>-12.705</v>
      </c>
      <c r="AB88" s="14">
        <v>-14.516999999999999</v>
      </c>
      <c r="AC88" s="14">
        <v>-12.64</v>
      </c>
      <c r="AD88" s="14">
        <v>-26.17</v>
      </c>
      <c r="AE88" s="14">
        <v>-10.5</v>
      </c>
      <c r="AF88" s="14">
        <v>-39.283000000000001</v>
      </c>
      <c r="AG88" s="14">
        <v>-46.435000000000002</v>
      </c>
      <c r="AH88" s="14">
        <v>-79.742999999999995</v>
      </c>
      <c r="AI88" s="14">
        <v>-97</v>
      </c>
      <c r="AJ88" s="14">
        <v>-111.779</v>
      </c>
      <c r="AK88" s="15"/>
    </row>
    <row r="89" spans="1:46" s="14" customFormat="1" x14ac:dyDescent="0.25">
      <c r="A89" s="3"/>
      <c r="B89" s="2"/>
      <c r="C89" s="1" t="s">
        <v>62</v>
      </c>
      <c r="D89" s="18">
        <f t="shared" ref="D89:N89" si="102">SUM(D81:D88)</f>
        <v>-5.5469999999999828</v>
      </c>
      <c r="E89" s="18">
        <f t="shared" si="102"/>
        <v>-67.516000000000005</v>
      </c>
      <c r="F89" s="18">
        <f t="shared" si="102"/>
        <v>-47.538000000000004</v>
      </c>
      <c r="G89" s="18">
        <f t="shared" si="102"/>
        <v>-449.47099999999995</v>
      </c>
      <c r="H89" s="18">
        <f t="shared" si="102"/>
        <v>53.626000000000019</v>
      </c>
      <c r="I89" s="18">
        <f t="shared" si="102"/>
        <v>-73.431000000000012</v>
      </c>
      <c r="J89" s="18">
        <f t="shared" si="102"/>
        <v>-189.375</v>
      </c>
      <c r="K89" s="18">
        <f t="shared" si="102"/>
        <v>-433.935</v>
      </c>
      <c r="L89" s="18">
        <f t="shared" si="102"/>
        <v>-56.533999999999999</v>
      </c>
      <c r="M89" s="18">
        <f t="shared" si="102"/>
        <v>-65.365000000000009</v>
      </c>
      <c r="N89" s="18">
        <f t="shared" si="102"/>
        <v>-81.253</v>
      </c>
      <c r="O89" s="18">
        <f>SUM(O81:O88)</f>
        <v>-529.18200000000002</v>
      </c>
      <c r="P89" s="18">
        <f>SUM(P81:P88)</f>
        <v>41.676000000000009</v>
      </c>
      <c r="Q89" s="18">
        <f>SUM(Q81:Q88)</f>
        <v>-15.706000000000017</v>
      </c>
      <c r="R89" s="18">
        <f t="shared" ref="R89:S89" si="103">SUM(R81:R88)</f>
        <v>-48.318999999999996</v>
      </c>
      <c r="S89" s="18">
        <f t="shared" si="103"/>
        <v>-550.84099999999989</v>
      </c>
      <c r="T89" s="18">
        <f>SUM(T81:T88)</f>
        <v>155.72399999999999</v>
      </c>
      <c r="U89" s="18">
        <f>SUM(U81:U88)</f>
        <v>-160.077</v>
      </c>
      <c r="Z89" s="18">
        <f>SUM(Z81:Z88)</f>
        <v>44.057999999999993</v>
      </c>
      <c r="AA89" s="18">
        <f>SUM(AA81:AA88)</f>
        <v>-72.89</v>
      </c>
      <c r="AB89" s="18">
        <f>SUM(AB81:AB88)</f>
        <v>-233.56299999999999</v>
      </c>
      <c r="AC89" s="18">
        <f>SUM(AC81:AC88)</f>
        <v>-115.813</v>
      </c>
      <c r="AD89" s="18">
        <f>SUM(AD81:AD88)</f>
        <v>-332.50900000000007</v>
      </c>
      <c r="AE89" s="18">
        <f t="shared" ref="AE89" si="104">SUM(AE82:AE88)</f>
        <v>-749.93000000000006</v>
      </c>
      <c r="AF89" s="18">
        <f>SUM(AF81:AF88)</f>
        <v>-643.32400000000007</v>
      </c>
      <c r="AG89" s="18">
        <f>SUM(AG81:AG88)</f>
        <v>-569.09799999999996</v>
      </c>
      <c r="AH89" s="18">
        <f t="shared" ref="AH89:AI89" si="105">SUM(AH81:AH88)</f>
        <v>-639.70299999999997</v>
      </c>
      <c r="AI89" s="18">
        <f t="shared" si="105"/>
        <v>-731.73400000000004</v>
      </c>
      <c r="AJ89" s="18">
        <f>SUM(AJ81:AJ88)</f>
        <v>-574.11799999999994</v>
      </c>
      <c r="AK89" s="15"/>
    </row>
    <row r="90" spans="1:46" s="14" customFormat="1" x14ac:dyDescent="0.25">
      <c r="A90" s="3"/>
      <c r="B90" s="2"/>
      <c r="C90" s="3"/>
      <c r="AK90" s="15"/>
    </row>
    <row r="91" spans="1:46" s="14" customFormat="1" x14ac:dyDescent="0.25">
      <c r="A91" s="3"/>
      <c r="B91" s="2"/>
      <c r="C91" s="3" t="s">
        <v>127</v>
      </c>
      <c r="D91" s="14">
        <v>-4.0529999999999999</v>
      </c>
      <c r="E91" s="14">
        <v>3.431</v>
      </c>
      <c r="F91" s="14">
        <v>6.9509999999999996</v>
      </c>
      <c r="G91" s="14">
        <v>-5.64</v>
      </c>
      <c r="H91" s="14">
        <v>9.9429999999999996</v>
      </c>
      <c r="I91" s="14">
        <v>3.2210000000000001</v>
      </c>
      <c r="J91" s="14">
        <v>-1.472</v>
      </c>
      <c r="K91" s="14">
        <v>-2.6</v>
      </c>
      <c r="L91" s="14">
        <v>6.7690000000000001</v>
      </c>
      <c r="M91" s="14">
        <v>-2.6139999999999999</v>
      </c>
      <c r="N91" s="14">
        <v>-0.28199999999999997</v>
      </c>
      <c r="O91" s="14">
        <v>4.6959999999999997</v>
      </c>
      <c r="P91" s="14">
        <v>-9.3629999999999995</v>
      </c>
      <c r="Q91" s="14">
        <v>9.6</v>
      </c>
      <c r="R91" s="14">
        <v>-1.8</v>
      </c>
      <c r="S91" s="14">
        <v>9.6590000000000007</v>
      </c>
      <c r="T91" s="14">
        <v>-4.8019999999999996</v>
      </c>
      <c r="U91" s="14">
        <v>0.46899999999999997</v>
      </c>
      <c r="Z91" s="14">
        <v>-0.76100000000000001</v>
      </c>
      <c r="AA91" s="14">
        <v>-2.8290000000000002</v>
      </c>
      <c r="AB91" s="14">
        <v>0.71</v>
      </c>
      <c r="AC91" s="14">
        <v>-2.9000000000000001E-2</v>
      </c>
      <c r="AD91" s="14">
        <v>-1</v>
      </c>
      <c r="AH91" s="14">
        <v>9</v>
      </c>
      <c r="AI91" s="14">
        <v>8.5</v>
      </c>
      <c r="AJ91" s="14">
        <v>8.0670000000000002</v>
      </c>
      <c r="AK91" s="15"/>
    </row>
    <row r="92" spans="1:46" s="14" customFormat="1" x14ac:dyDescent="0.25">
      <c r="A92" s="3"/>
      <c r="B92" s="2"/>
      <c r="C92" s="3"/>
      <c r="AK92" s="15"/>
    </row>
    <row r="93" spans="1:46" s="14" customFormat="1" x14ac:dyDescent="0.25">
      <c r="A93" s="3"/>
      <c r="B93" s="2"/>
      <c r="C93" s="3" t="s">
        <v>128</v>
      </c>
      <c r="D93" s="14">
        <f t="shared" ref="D93:N93" si="106">D75+D79+D89+D91</f>
        <v>-239.33299999999997</v>
      </c>
      <c r="E93" s="14">
        <f t="shared" si="106"/>
        <v>4.036000000000004</v>
      </c>
      <c r="F93" s="14">
        <f t="shared" si="106"/>
        <v>2.4440000000000017</v>
      </c>
      <c r="G93" s="14">
        <f t="shared" si="106"/>
        <v>69.242999999999981</v>
      </c>
      <c r="H93" s="14">
        <f t="shared" si="106"/>
        <v>-75.722999999999956</v>
      </c>
      <c r="I93" s="14">
        <f t="shared" si="106"/>
        <v>2.9999999999823501E-3</v>
      </c>
      <c r="J93" s="14">
        <f t="shared" si="106"/>
        <v>2.0000000000179874E-3</v>
      </c>
      <c r="K93" s="14">
        <f t="shared" si="106"/>
        <v>223.73300000000015</v>
      </c>
      <c r="L93" s="14">
        <f t="shared" si="106"/>
        <v>-225.065</v>
      </c>
      <c r="M93" s="14">
        <f t="shared" si="106"/>
        <v>9.9999999996658318E-4</v>
      </c>
      <c r="N93" s="14">
        <f t="shared" si="106"/>
        <v>-1.000000000008272E-3</v>
      </c>
      <c r="O93" s="14">
        <f>O75+O79+O89+O91</f>
        <v>227.65600000000003</v>
      </c>
      <c r="P93" s="14">
        <f>P75+P79+P89+P91</f>
        <v>-228.56699999999998</v>
      </c>
      <c r="Q93" s="14">
        <f>Q75+Q79+Q89+Q91</f>
        <v>0.83499999999997065</v>
      </c>
      <c r="R93" s="14">
        <f t="shared" ref="R93:S93" si="107">R75+R79+R89+R91</f>
        <v>0.4619999999999933</v>
      </c>
      <c r="S93" s="14">
        <f t="shared" si="107"/>
        <v>-5.199999999989835E-2</v>
      </c>
      <c r="T93" s="14">
        <f>T75+T79+T89+T91</f>
        <v>9.9999999999766942E-4</v>
      </c>
      <c r="U93" s="14">
        <f>U75+U79+U89+U91</f>
        <v>-2.0000000000036655E-3</v>
      </c>
      <c r="Z93" s="14">
        <f>Z75+Z79+Z89+Z91</f>
        <v>131.303</v>
      </c>
      <c r="AA93" s="14">
        <f>AA75+AA79+AA89+AA91</f>
        <v>61.476999999999997</v>
      </c>
      <c r="AB93" s="14">
        <f>AB75+AB79+AB89+AB91</f>
        <v>-161.77999999999997</v>
      </c>
      <c r="AC93" s="14">
        <f>AC75+AC79+AC89+AC91</f>
        <v>112.081</v>
      </c>
      <c r="AD93" s="14">
        <f t="shared" ref="AD93:AI93" si="108">AD75+AD79+AD89+AD91</f>
        <v>91.923999999999864</v>
      </c>
      <c r="AE93" s="14">
        <f t="shared" si="108"/>
        <v>-66.353000000000179</v>
      </c>
      <c r="AF93" s="14">
        <f t="shared" si="108"/>
        <v>-60.908000000000243</v>
      </c>
      <c r="AG93" s="14">
        <f t="shared" si="108"/>
        <v>-164.07899999999995</v>
      </c>
      <c r="AH93" s="14">
        <f t="shared" si="108"/>
        <v>149.20100000000002</v>
      </c>
      <c r="AI93" s="14">
        <f t="shared" si="108"/>
        <v>3.9690000000000509</v>
      </c>
      <c r="AJ93" s="14">
        <f>AJ75+AJ79+AJ89+AJ91</f>
        <v>-219.55199999999979</v>
      </c>
      <c r="AK93" s="15"/>
    </row>
    <row r="94" spans="1:46" s="14" customFormat="1" x14ac:dyDescent="0.25">
      <c r="A94" s="3"/>
      <c r="B94" s="2"/>
      <c r="C94" s="3"/>
      <c r="AK94" s="15"/>
    </row>
    <row r="95" spans="1:46" x14ac:dyDescent="0.25">
      <c r="C95" s="3" t="s">
        <v>129</v>
      </c>
      <c r="D95" s="14">
        <f t="shared" ref="D95:N95" si="109">D75+D77</f>
        <v>-207.233</v>
      </c>
      <c r="E95" s="14">
        <f t="shared" si="109"/>
        <v>76.821000000000012</v>
      </c>
      <c r="F95" s="14">
        <f t="shared" si="109"/>
        <v>26.843000000000004</v>
      </c>
      <c r="G95" s="14">
        <f t="shared" si="109"/>
        <v>524.07299999999998</v>
      </c>
      <c r="H95" s="14">
        <f t="shared" si="109"/>
        <v>-126.50699999999999</v>
      </c>
      <c r="I95" s="14">
        <f t="shared" si="109"/>
        <v>70.212999999999994</v>
      </c>
      <c r="J95" s="14">
        <f t="shared" si="109"/>
        <v>190.84900000000002</v>
      </c>
      <c r="K95" s="14">
        <f t="shared" si="109"/>
        <v>656.26800000000014</v>
      </c>
      <c r="L95" s="14">
        <f t="shared" si="109"/>
        <v>-175.3</v>
      </c>
      <c r="M95" s="14">
        <f t="shared" si="109"/>
        <v>67.979999999999976</v>
      </c>
      <c r="N95" s="14">
        <f t="shared" si="109"/>
        <v>81.533999999999992</v>
      </c>
      <c r="O95" s="14">
        <f>O75+O77</f>
        <v>680.14200000000005</v>
      </c>
      <c r="P95" s="14">
        <f>P75+P77</f>
        <v>-294.38</v>
      </c>
      <c r="Q95" s="14">
        <f>Q75+Q77</f>
        <v>6.9409999999999883</v>
      </c>
      <c r="R95" s="14">
        <f t="shared" ref="R95:S95" si="110">R75+R77</f>
        <v>50.580999999999989</v>
      </c>
      <c r="S95" s="14">
        <f t="shared" si="110"/>
        <v>541.63</v>
      </c>
      <c r="T95" s="14">
        <f>T75+T77</f>
        <v>-150.92099999999999</v>
      </c>
      <c r="U95" s="14">
        <f>U75+U77</f>
        <v>159.60599999999999</v>
      </c>
      <c r="V95" s="14"/>
      <c r="W95" s="14"/>
      <c r="X95" s="14"/>
      <c r="Y95" s="14"/>
      <c r="Z95" s="14">
        <f>Z75+Z77</f>
        <v>88.006</v>
      </c>
      <c r="AA95" s="14">
        <f>AA75+AA77</f>
        <v>137.196</v>
      </c>
      <c r="AB95" s="14">
        <f>AB75+AB77</f>
        <v>71.073000000000008</v>
      </c>
      <c r="AC95" s="14">
        <f>AC75+AC77</f>
        <v>227.923</v>
      </c>
      <c r="AD95" s="14">
        <f t="shared" ref="AD95:AH95" si="111">AD75+AD77</f>
        <v>425.43299999999994</v>
      </c>
      <c r="AE95" s="14">
        <f t="shared" si="111"/>
        <v>683.57699999999988</v>
      </c>
      <c r="AF95" s="14">
        <f t="shared" si="111"/>
        <v>582.41599999999983</v>
      </c>
      <c r="AG95" s="14">
        <f t="shared" si="111"/>
        <v>428.81399999999996</v>
      </c>
      <c r="AH95" s="14">
        <f t="shared" si="111"/>
        <v>797.68899999999996</v>
      </c>
      <c r="AI95" s="14">
        <f>AI75+AI77</f>
        <v>655.20300000000009</v>
      </c>
      <c r="AJ95" s="14">
        <f>AJ75+AJ77</f>
        <v>313.49900000000014</v>
      </c>
      <c r="AK95" s="15"/>
      <c r="AL95" s="14"/>
      <c r="AM95" s="14"/>
      <c r="AN95" s="14"/>
      <c r="AO95" s="14"/>
      <c r="AP95" s="14"/>
      <c r="AQ95" s="14"/>
      <c r="AR95" s="14"/>
      <c r="AS95" s="14"/>
      <c r="AT95" s="14"/>
    </row>
    <row r="96" spans="1:46" x14ac:dyDescent="0.25">
      <c r="AD96" s="14"/>
      <c r="AE96" s="14"/>
      <c r="AF96" s="14"/>
      <c r="AG96" s="14"/>
      <c r="AH96" s="14"/>
      <c r="AI96" s="14"/>
    </row>
  </sheetData>
  <phoneticPr fontId="1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AD3C-6195-F841-BFBF-723B9173117A}">
  <dimension ref="B3:AA24"/>
  <sheetViews>
    <sheetView showGridLines="0" zoomScale="90" zoomScaleNormal="90" workbookViewId="0">
      <pane xSplit="2" ySplit="4" topLeftCell="N5" activePane="bottomRight" state="frozen"/>
      <selection pane="topRight" activeCell="C1" sqref="C1"/>
      <selection pane="bottomLeft" activeCell="A5" sqref="A5"/>
      <selection pane="bottomRight" activeCell="Z30" sqref="Z30"/>
    </sheetView>
  </sheetViews>
  <sheetFormatPr baseColWidth="10" defaultRowHeight="21" x14ac:dyDescent="0.25"/>
  <cols>
    <col min="1" max="1" width="4.33203125" style="10" customWidth="1"/>
    <col min="2" max="2" width="23.1640625" style="10" bestFit="1" customWidth="1"/>
    <col min="3" max="18" width="10.83203125" style="10"/>
    <col min="19" max="19" width="11.33203125" style="10" customWidth="1"/>
    <col min="20" max="20" width="10.83203125" style="10" customWidth="1"/>
    <col min="21" max="21" width="10.33203125" style="10" customWidth="1"/>
    <col min="22" max="16384" width="10.83203125" style="10"/>
  </cols>
  <sheetData>
    <row r="3" spans="2:27" x14ac:dyDescent="0.25">
      <c r="B3" s="31"/>
    </row>
    <row r="4" spans="2:27" x14ac:dyDescent="0.25">
      <c r="B4" s="31" t="s">
        <v>89</v>
      </c>
      <c r="C4" s="32" t="s">
        <v>7</v>
      </c>
      <c r="D4" s="32" t="s">
        <v>8</v>
      </c>
      <c r="E4" s="32" t="s">
        <v>9</v>
      </c>
      <c r="F4" s="32" t="s">
        <v>10</v>
      </c>
      <c r="G4" s="39">
        <v>2022</v>
      </c>
      <c r="H4" s="32" t="s">
        <v>11</v>
      </c>
      <c r="I4" s="32" t="s">
        <v>12</v>
      </c>
      <c r="J4" s="32" t="s">
        <v>13</v>
      </c>
      <c r="K4" s="32" t="s">
        <v>14</v>
      </c>
      <c r="L4" s="39">
        <v>2023</v>
      </c>
      <c r="M4" s="32" t="s">
        <v>15</v>
      </c>
      <c r="N4" s="32" t="s">
        <v>16</v>
      </c>
      <c r="O4" s="32" t="s">
        <v>17</v>
      </c>
      <c r="P4" s="32" t="s">
        <v>18</v>
      </c>
      <c r="Q4" s="39">
        <v>2024</v>
      </c>
      <c r="R4" s="32" t="s">
        <v>102</v>
      </c>
      <c r="S4" s="32" t="s">
        <v>103</v>
      </c>
      <c r="T4" s="32" t="s">
        <v>104</v>
      </c>
      <c r="U4" s="32" t="s">
        <v>105</v>
      </c>
      <c r="V4" s="41">
        <v>2025</v>
      </c>
      <c r="W4" s="32" t="s">
        <v>146</v>
      </c>
      <c r="X4" s="32" t="s">
        <v>147</v>
      </c>
      <c r="Y4" s="32" t="s">
        <v>148</v>
      </c>
      <c r="Z4" s="32" t="s">
        <v>149</v>
      </c>
      <c r="AA4" s="41">
        <v>2026</v>
      </c>
    </row>
    <row r="5" spans="2:27" ht="24" x14ac:dyDescent="0.3">
      <c r="B5" s="37" t="s">
        <v>19</v>
      </c>
      <c r="G5" s="40"/>
      <c r="L5" s="40"/>
      <c r="Q5" s="40"/>
      <c r="V5" s="40"/>
      <c r="AA5" s="40"/>
    </row>
    <row r="6" spans="2:27" x14ac:dyDescent="0.25">
      <c r="B6" s="31" t="s">
        <v>21</v>
      </c>
      <c r="C6" s="47">
        <v>366.8</v>
      </c>
      <c r="D6" s="47">
        <v>455.5</v>
      </c>
      <c r="E6" s="47">
        <v>457.9</v>
      </c>
      <c r="F6" s="47">
        <v>703.4</v>
      </c>
      <c r="G6" s="48">
        <f>SUM(C6:F6)</f>
        <v>1983.6</v>
      </c>
      <c r="H6" s="47">
        <v>385.9</v>
      </c>
      <c r="I6" s="47">
        <v>450.7</v>
      </c>
      <c r="J6" s="47">
        <v>517.79999999999995</v>
      </c>
      <c r="K6" s="47">
        <v>768.5</v>
      </c>
      <c r="L6" s="48">
        <f>SUM(H6:K6)</f>
        <v>2122.8999999999996</v>
      </c>
      <c r="M6" s="47">
        <v>437.7</v>
      </c>
      <c r="N6" s="47">
        <v>500.4</v>
      </c>
      <c r="O6" s="47">
        <v>562.9</v>
      </c>
      <c r="P6" s="47">
        <v>836.4</v>
      </c>
      <c r="Q6" s="48">
        <f>SUM(M6:P6)</f>
        <v>2337.4</v>
      </c>
      <c r="R6" s="47">
        <v>452.4</v>
      </c>
      <c r="S6" s="49">
        <v>535.9</v>
      </c>
      <c r="T6" s="49">
        <v>573.6</v>
      </c>
      <c r="U6" s="31">
        <v>873.6</v>
      </c>
      <c r="V6" s="48">
        <f>SUM(R6:U6)</f>
        <v>2435.5</v>
      </c>
      <c r="W6" s="47">
        <v>492.7</v>
      </c>
      <c r="X6" s="49">
        <v>574.29999999999995</v>
      </c>
      <c r="Y6" s="49"/>
      <c r="Z6" s="31"/>
      <c r="AA6" s="48">
        <f>SUM(W6:Z6)</f>
        <v>1067</v>
      </c>
    </row>
    <row r="7" spans="2:27" x14ac:dyDescent="0.25">
      <c r="B7" s="33" t="s">
        <v>94</v>
      </c>
      <c r="C7" s="34">
        <v>0.125</v>
      </c>
      <c r="D7" s="34">
        <v>8.8999999999999996E-2</v>
      </c>
      <c r="E7" s="34">
        <v>1.4E-2</v>
      </c>
      <c r="F7" s="34">
        <v>2.3E-2</v>
      </c>
      <c r="G7" s="42"/>
      <c r="H7" s="34">
        <v>5.1999999999999998E-2</v>
      </c>
      <c r="I7" s="34">
        <v>-1.0999999999999999E-2</v>
      </c>
      <c r="J7" s="34">
        <v>0.13100000000000001</v>
      </c>
      <c r="K7" s="34">
        <v>9.2999999999999999E-2</v>
      </c>
      <c r="L7" s="42">
        <f>(L6-G6)/G6</f>
        <v>7.0225851986287419E-2</v>
      </c>
      <c r="M7" s="34">
        <v>0.13400000000000001</v>
      </c>
      <c r="N7" s="34">
        <v>0.11</v>
      </c>
      <c r="O7" s="34">
        <v>8.6999999999999994E-2</v>
      </c>
      <c r="P7" s="34">
        <v>8.7999999999999995E-2</v>
      </c>
      <c r="Q7" s="42">
        <f>(Q6-L6)/L6</f>
        <v>0.10104102878138418</v>
      </c>
      <c r="R7" s="34">
        <v>3.3000000000000002E-2</v>
      </c>
      <c r="S7" s="34">
        <v>7.0999999999999994E-2</v>
      </c>
      <c r="T7" s="34">
        <v>1.9E-2</v>
      </c>
      <c r="U7" s="34">
        <v>4.3999999999999997E-2</v>
      </c>
      <c r="V7" s="42">
        <f>(V6-Q6)/Q6</f>
        <v>4.1969709934114786E-2</v>
      </c>
      <c r="W7" s="34">
        <v>8.8999999999999996E-2</v>
      </c>
      <c r="X7" s="34">
        <v>7.0999999999999994E-2</v>
      </c>
      <c r="Y7" s="34"/>
      <c r="Z7" s="34"/>
      <c r="AA7" s="42">
        <f>(AA6-V6)/V6</f>
        <v>-0.56189694107986043</v>
      </c>
    </row>
    <row r="8" spans="2:27" x14ac:dyDescent="0.25">
      <c r="B8" s="33" t="s">
        <v>95</v>
      </c>
      <c r="C8" s="34">
        <v>0.107</v>
      </c>
      <c r="D8" s="34">
        <v>5.8000000000000003E-2</v>
      </c>
      <c r="E8" s="34">
        <v>-0.01</v>
      </c>
      <c r="F8" s="34">
        <v>8.9999999999999993E-3</v>
      </c>
      <c r="G8" s="42">
        <f>AVERAGE(C8:F8)</f>
        <v>4.1000000000000002E-2</v>
      </c>
      <c r="H8" s="34">
        <v>3.5000000000000003E-2</v>
      </c>
      <c r="I8" s="34">
        <v>-0.02</v>
      </c>
      <c r="J8" s="34">
        <v>0.127</v>
      </c>
      <c r="K8" s="45">
        <v>8.5000000000000006E-2</v>
      </c>
      <c r="L8" s="42">
        <f>AVERAGE(H8:K8)</f>
        <v>5.6750000000000009E-2</v>
      </c>
      <c r="M8" s="34">
        <v>0.127</v>
      </c>
      <c r="N8" s="34">
        <v>9.5000000000000001E-2</v>
      </c>
      <c r="O8" s="34">
        <v>7.0000000000000007E-2</v>
      </c>
      <c r="P8" s="34">
        <v>6.7000000000000004E-2</v>
      </c>
      <c r="Q8" s="42">
        <f>AVERAGE(M8:P8)</f>
        <v>8.975000000000001E-2</v>
      </c>
      <c r="R8" s="34">
        <v>1.7999999999999999E-2</v>
      </c>
      <c r="S8" s="34">
        <v>5.7000000000000002E-2</v>
      </c>
      <c r="T8" s="34">
        <v>5.0000000000000001E-3</v>
      </c>
      <c r="U8" s="34">
        <v>0.04</v>
      </c>
      <c r="V8" s="42">
        <v>3.1E-2</v>
      </c>
      <c r="W8" s="34">
        <v>7.3999999999999996E-2</v>
      </c>
      <c r="X8" s="34">
        <v>6.7000000000000004E-2</v>
      </c>
      <c r="Y8" s="34"/>
      <c r="Z8" s="34"/>
      <c r="AA8" s="42"/>
    </row>
    <row r="9" spans="2:27" x14ac:dyDescent="0.25">
      <c r="B9" s="31" t="s">
        <v>96</v>
      </c>
      <c r="C9" s="47">
        <v>225</v>
      </c>
      <c r="D9" s="47">
        <v>273.3</v>
      </c>
      <c r="E9" s="47">
        <v>248.6</v>
      </c>
      <c r="F9" s="52">
        <v>408.7</v>
      </c>
      <c r="G9" s="48">
        <f>SUM(C9:F9)</f>
        <v>1155.5999999999999</v>
      </c>
      <c r="H9" s="47">
        <v>213.7</v>
      </c>
      <c r="I9" s="47">
        <v>284.3</v>
      </c>
      <c r="J9" s="47">
        <v>325.3</v>
      </c>
      <c r="K9" s="52">
        <v>503.3</v>
      </c>
      <c r="L9" s="48">
        <f>SUM(H9:K9)</f>
        <v>1326.6</v>
      </c>
      <c r="M9" s="47">
        <v>269.39999999999998</v>
      </c>
      <c r="N9" s="47">
        <v>316.60000000000002</v>
      </c>
      <c r="O9" s="47">
        <v>346.5</v>
      </c>
      <c r="P9" s="47">
        <v>512.6</v>
      </c>
      <c r="Q9" s="48">
        <f>SUM(M9:P9)</f>
        <v>1445.1</v>
      </c>
      <c r="R9" s="47">
        <v>274.3</v>
      </c>
      <c r="S9" s="49">
        <v>334.2</v>
      </c>
      <c r="T9" s="49">
        <v>353.6</v>
      </c>
      <c r="U9" s="49">
        <v>528.20000000000005</v>
      </c>
      <c r="V9" s="48">
        <f>SUM(R9:U9)</f>
        <v>1490.3000000000002</v>
      </c>
      <c r="W9" s="47">
        <v>299</v>
      </c>
      <c r="X9" s="49">
        <v>361.6</v>
      </c>
      <c r="Y9" s="49"/>
      <c r="Z9" s="49"/>
      <c r="AA9" s="48">
        <f>SUM(W9:Z9)</f>
        <v>660.6</v>
      </c>
    </row>
    <row r="10" spans="2:27" x14ac:dyDescent="0.25">
      <c r="B10" s="33" t="s">
        <v>97</v>
      </c>
      <c r="C10" s="34">
        <v>0.61399999999999999</v>
      </c>
      <c r="D10" s="34">
        <v>0.6</v>
      </c>
      <c r="E10" s="34">
        <v>0.54300000000000004</v>
      </c>
      <c r="F10" s="45">
        <v>0.58099999999999996</v>
      </c>
      <c r="G10" s="42">
        <f>G9/G6</f>
        <v>0.58257713248638832</v>
      </c>
      <c r="H10" s="34">
        <v>0.55400000000000005</v>
      </c>
      <c r="I10" s="34">
        <v>0.63100000000000001</v>
      </c>
      <c r="J10" s="34">
        <v>0.628</v>
      </c>
      <c r="K10" s="45">
        <v>0.65500000000000003</v>
      </c>
      <c r="L10" s="42">
        <f>L9/L6</f>
        <v>0.62489990107871318</v>
      </c>
      <c r="M10" s="34">
        <v>0.61499999999999999</v>
      </c>
      <c r="N10" s="34">
        <v>0.63300000000000001</v>
      </c>
      <c r="O10" s="34">
        <v>0.61599999999999999</v>
      </c>
      <c r="P10" s="45">
        <v>0.61299999999999999</v>
      </c>
      <c r="Q10" s="42">
        <f>Q9/Q6</f>
        <v>0.61825104817318377</v>
      </c>
      <c r="R10" s="38">
        <f>R9/R6</f>
        <v>0.60632183908045978</v>
      </c>
      <c r="S10" s="34">
        <f t="shared" ref="S10:U10" si="0">S9/S6</f>
        <v>0.62362381041239034</v>
      </c>
      <c r="T10" s="34">
        <f t="shared" si="0"/>
        <v>0.61645746164574622</v>
      </c>
      <c r="U10" s="45">
        <f t="shared" si="0"/>
        <v>0.6046245421245422</v>
      </c>
      <c r="V10" s="42">
        <f>V9/V6</f>
        <v>0.61190720591254366</v>
      </c>
      <c r="W10" s="38">
        <f>W9/W6</f>
        <v>0.60686015831134565</v>
      </c>
      <c r="X10" s="34">
        <f t="shared" ref="X10:Z10" si="1">X9/X6</f>
        <v>0.62963607870450988</v>
      </c>
      <c r="Y10" s="34" t="e">
        <f t="shared" si="1"/>
        <v>#DIV/0!</v>
      </c>
      <c r="Z10" s="45" t="e">
        <f t="shared" si="1"/>
        <v>#DIV/0!</v>
      </c>
      <c r="AA10" s="42">
        <f>AA9/AA6</f>
        <v>0.61911902530459229</v>
      </c>
    </row>
    <row r="11" spans="2:27" x14ac:dyDescent="0.25">
      <c r="B11" s="31" t="s">
        <v>98</v>
      </c>
      <c r="C11" s="49">
        <v>75.900000000000006</v>
      </c>
      <c r="D11" s="49">
        <v>118.1</v>
      </c>
      <c r="E11" s="49">
        <v>95.8</v>
      </c>
      <c r="F11" s="51">
        <v>208</v>
      </c>
      <c r="G11" s="50">
        <f>SUM(C11:F11)</f>
        <v>497.8</v>
      </c>
      <c r="H11" s="49">
        <v>52</v>
      </c>
      <c r="I11" s="49">
        <v>121.2</v>
      </c>
      <c r="J11" s="49">
        <v>166.9</v>
      </c>
      <c r="K11" s="51">
        <v>275.39999999999998</v>
      </c>
      <c r="L11" s="50">
        <f>SUM(H11:K11)</f>
        <v>615.5</v>
      </c>
      <c r="M11" s="49">
        <v>91.6</v>
      </c>
      <c r="N11" s="49">
        <v>146</v>
      </c>
      <c r="O11" s="49">
        <v>159.9</v>
      </c>
      <c r="P11" s="51">
        <v>287.89999999999998</v>
      </c>
      <c r="Q11" s="50">
        <f>SUM(M11:P11)</f>
        <v>685.4</v>
      </c>
      <c r="R11" s="49">
        <v>81.8</v>
      </c>
      <c r="S11" s="49">
        <v>132.80000000000001</v>
      </c>
      <c r="T11" s="49">
        <v>145.5</v>
      </c>
      <c r="U11" s="51">
        <v>266</v>
      </c>
      <c r="V11" s="50">
        <f>SUM(R11:U11)</f>
        <v>626.1</v>
      </c>
      <c r="W11" s="49">
        <v>91</v>
      </c>
      <c r="X11" s="49">
        <v>151.9</v>
      </c>
      <c r="Y11" s="49"/>
      <c r="Z11" s="51"/>
      <c r="AA11" s="50">
        <f>SUM(W11:Z11)</f>
        <v>242.9</v>
      </c>
    </row>
    <row r="12" spans="2:27" x14ac:dyDescent="0.25">
      <c r="B12" s="33" t="s">
        <v>99</v>
      </c>
      <c r="C12" s="34">
        <v>0.20699999999999999</v>
      </c>
      <c r="D12" s="34">
        <v>0.25900000000000001</v>
      </c>
      <c r="E12" s="34">
        <v>0.20899999999999999</v>
      </c>
      <c r="F12" s="45">
        <v>0.29599999999999999</v>
      </c>
      <c r="G12" s="42">
        <f>G11/G6</f>
        <v>0.25095785440613028</v>
      </c>
      <c r="H12" s="34">
        <v>0.13500000000000001</v>
      </c>
      <c r="I12" s="34">
        <v>0.26900000000000002</v>
      </c>
      <c r="J12" s="34">
        <v>0.32200000000000001</v>
      </c>
      <c r="K12" s="45">
        <v>0.35799999999999998</v>
      </c>
      <c r="L12" s="42">
        <f>L11/L6</f>
        <v>0.28993358142164027</v>
      </c>
      <c r="M12" s="34">
        <v>0.109</v>
      </c>
      <c r="N12" s="34">
        <v>0.29199999999999998</v>
      </c>
      <c r="O12" s="34">
        <v>0.28399999999999997</v>
      </c>
      <c r="P12" s="45">
        <v>0.34399999999999997</v>
      </c>
      <c r="Q12" s="42">
        <f t="shared" ref="Q12:Y12" si="2">Q11/Q6</f>
        <v>0.29323179601266364</v>
      </c>
      <c r="R12" s="38">
        <f t="shared" si="2"/>
        <v>0.18081343943412909</v>
      </c>
      <c r="S12" s="34">
        <f t="shared" si="2"/>
        <v>0.24780742675872366</v>
      </c>
      <c r="T12" s="34">
        <f t="shared" si="2"/>
        <v>0.2536610878661088</v>
      </c>
      <c r="U12" s="34">
        <f t="shared" si="2"/>
        <v>0.30448717948717946</v>
      </c>
      <c r="V12" s="42">
        <f t="shared" si="2"/>
        <v>0.25707246971874359</v>
      </c>
      <c r="W12" s="38">
        <f t="shared" si="2"/>
        <v>0.18469656992084432</v>
      </c>
      <c r="X12" s="34">
        <f t="shared" si="2"/>
        <v>0.26449590806198853</v>
      </c>
      <c r="Y12" s="34" t="e">
        <f t="shared" si="2"/>
        <v>#DIV/0!</v>
      </c>
      <c r="Z12" s="34" t="e">
        <f t="shared" ref="Z12" si="3">Z11/Z8</f>
        <v>#DIV/0!</v>
      </c>
      <c r="AA12" s="42">
        <f>AA11/AA6</f>
        <v>0.22764761012183693</v>
      </c>
    </row>
    <row r="13" spans="2:27" x14ac:dyDescent="0.25">
      <c r="B13" s="10" t="s">
        <v>100</v>
      </c>
      <c r="C13" s="10">
        <v>76</v>
      </c>
      <c r="D13" s="10">
        <v>72</v>
      </c>
      <c r="E13" s="10">
        <v>79</v>
      </c>
      <c r="F13" s="44">
        <v>81</v>
      </c>
      <c r="G13" s="40">
        <f>SUM(C13:F13)</f>
        <v>308</v>
      </c>
      <c r="H13" s="10">
        <v>77</v>
      </c>
      <c r="I13" s="10">
        <v>71</v>
      </c>
      <c r="J13" s="10">
        <v>79</v>
      </c>
      <c r="K13" s="44">
        <v>79</v>
      </c>
      <c r="L13" s="40">
        <f>SUM(H13:K13)</f>
        <v>306</v>
      </c>
      <c r="M13" s="10">
        <v>75</v>
      </c>
      <c r="N13" s="10">
        <v>73</v>
      </c>
      <c r="O13" s="10">
        <v>79</v>
      </c>
      <c r="P13" s="44">
        <v>80</v>
      </c>
      <c r="Q13" s="40">
        <f>SUM(M13:P13)</f>
        <v>307</v>
      </c>
      <c r="R13" s="10">
        <v>76</v>
      </c>
      <c r="S13" s="10">
        <v>71</v>
      </c>
      <c r="T13" s="10">
        <v>79</v>
      </c>
      <c r="U13" s="10">
        <v>80</v>
      </c>
      <c r="V13" s="40">
        <f>SUM(R13:U13)</f>
        <v>306</v>
      </c>
      <c r="W13" s="10">
        <v>76</v>
      </c>
      <c r="X13" s="10">
        <v>72</v>
      </c>
      <c r="AA13" s="40">
        <f>SUM(W13:Z13)</f>
        <v>148</v>
      </c>
    </row>
    <row r="14" spans="2:27" x14ac:dyDescent="0.25">
      <c r="B14" s="35" t="s">
        <v>101</v>
      </c>
      <c r="C14" s="35">
        <v>153</v>
      </c>
      <c r="D14" s="35">
        <v>155</v>
      </c>
      <c r="E14" s="35">
        <v>155</v>
      </c>
      <c r="F14" s="46">
        <v>156</v>
      </c>
      <c r="G14" s="43">
        <v>156</v>
      </c>
      <c r="H14" s="35">
        <v>155</v>
      </c>
      <c r="I14" s="35">
        <v>156</v>
      </c>
      <c r="J14" s="35">
        <v>156</v>
      </c>
      <c r="K14" s="46">
        <v>157</v>
      </c>
      <c r="L14" s="43">
        <v>157</v>
      </c>
      <c r="M14" s="35">
        <v>157</v>
      </c>
      <c r="N14" s="35">
        <v>158</v>
      </c>
      <c r="O14" s="35">
        <v>158</v>
      </c>
      <c r="P14" s="46">
        <v>158</v>
      </c>
      <c r="Q14" s="43">
        <v>158</v>
      </c>
      <c r="R14" s="35">
        <v>158</v>
      </c>
      <c r="S14" s="35">
        <v>159</v>
      </c>
      <c r="T14" s="35">
        <v>159</v>
      </c>
      <c r="U14" s="35">
        <v>160</v>
      </c>
      <c r="V14" s="43">
        <v>160</v>
      </c>
      <c r="W14" s="35">
        <v>162</v>
      </c>
      <c r="X14" s="35">
        <v>161</v>
      </c>
      <c r="Y14" s="35"/>
      <c r="Z14" s="35"/>
      <c r="AA14" s="43"/>
    </row>
    <row r="15" spans="2:27" ht="24" x14ac:dyDescent="0.3">
      <c r="B15" s="37" t="s">
        <v>20</v>
      </c>
      <c r="G15" s="40"/>
      <c r="L15" s="40"/>
      <c r="Q15" s="40"/>
      <c r="V15" s="40"/>
      <c r="AA15" s="40"/>
    </row>
    <row r="16" spans="2:27" x14ac:dyDescent="0.25">
      <c r="B16" s="31" t="s">
        <v>21</v>
      </c>
      <c r="C16" s="47">
        <v>237.8</v>
      </c>
      <c r="D16" s="47">
        <v>274.60000000000002</v>
      </c>
      <c r="E16" s="47">
        <v>276.8</v>
      </c>
      <c r="F16" s="47">
        <v>405.2</v>
      </c>
      <c r="G16" s="48">
        <f>SUM(C16:F16)</f>
        <v>1194.4000000000001</v>
      </c>
      <c r="H16" s="47">
        <v>219.5</v>
      </c>
      <c r="I16" s="47">
        <v>273.39999999999998</v>
      </c>
      <c r="J16" s="47">
        <v>313.10000000000002</v>
      </c>
      <c r="K16" s="47">
        <v>484.7</v>
      </c>
      <c r="L16" s="48">
        <f>SUM(H16:K16)</f>
        <v>1290.7</v>
      </c>
      <c r="M16" s="47">
        <v>258.8</v>
      </c>
      <c r="N16" s="47">
        <v>297.39999999999998</v>
      </c>
      <c r="O16" s="47">
        <v>324</v>
      </c>
      <c r="P16" s="47">
        <v>567.29999999999995</v>
      </c>
      <c r="Q16" s="48">
        <f>SUM(M16:P16)</f>
        <v>1447.5</v>
      </c>
      <c r="R16" s="47">
        <v>281.3</v>
      </c>
      <c r="S16" s="49">
        <v>320.39999999999998</v>
      </c>
      <c r="T16" s="49">
        <v>309.60000000000002</v>
      </c>
      <c r="U16" s="49">
        <v>579</v>
      </c>
      <c r="V16" s="48">
        <f>SUM(R16:U16)</f>
        <v>1490.3000000000002</v>
      </c>
      <c r="W16" s="47">
        <v>307.8</v>
      </c>
      <c r="X16" s="49">
        <v>338.3</v>
      </c>
      <c r="Y16" s="49"/>
      <c r="Z16" s="49"/>
      <c r="AA16" s="48">
        <f>SUM(W16:Z16)</f>
        <v>646.1</v>
      </c>
    </row>
    <row r="17" spans="2:27" x14ac:dyDescent="0.25">
      <c r="B17" s="33" t="s">
        <v>94</v>
      </c>
      <c r="C17" s="34">
        <v>4.8000000000000001E-2</v>
      </c>
      <c r="D17" s="34">
        <v>8.7999999999999995E-2</v>
      </c>
      <c r="E17" s="34">
        <v>-0.01</v>
      </c>
      <c r="F17" s="34">
        <v>1.7000000000000001E-2</v>
      </c>
      <c r="G17" s="42"/>
      <c r="H17" s="34">
        <v>-0.109</v>
      </c>
      <c r="I17" s="34">
        <v>-4.8000000000000001E-2</v>
      </c>
      <c r="J17" s="34">
        <v>0.105</v>
      </c>
      <c r="K17" s="45">
        <v>0.11899999999999999</v>
      </c>
      <c r="L17" s="42">
        <f>(L16-G16)/G16</f>
        <v>8.0626255860683144E-2</v>
      </c>
      <c r="M17" s="34">
        <v>0.14299999999999999</v>
      </c>
      <c r="N17" s="34">
        <v>9.9000000000000005E-2</v>
      </c>
      <c r="O17" s="34">
        <v>-2.3E-2</v>
      </c>
      <c r="P17" s="34">
        <v>0.16700000000000001</v>
      </c>
      <c r="Q17" s="42">
        <f>(Q16-L16)/L16</f>
        <v>0.12148446579375528</v>
      </c>
      <c r="R17" s="34">
        <v>6.0999999999999999E-2</v>
      </c>
      <c r="S17" s="34">
        <v>1.7000000000000001E-2</v>
      </c>
      <c r="T17" s="34">
        <v>-1.7999999999999999E-2</v>
      </c>
      <c r="U17" s="34">
        <v>-2.5999999999999999E-2</v>
      </c>
      <c r="V17" s="42">
        <f>(V16-Q16)/Q16</f>
        <v>2.9568221070811869E-2</v>
      </c>
      <c r="W17" s="34">
        <v>6.6000000000000003E-2</v>
      </c>
      <c r="X17" s="34">
        <v>0.125</v>
      </c>
      <c r="Y17" s="34"/>
      <c r="Z17" s="34"/>
      <c r="AA17" s="42">
        <f>(AA16-V16)/V16</f>
        <v>-0.56646312822921563</v>
      </c>
    </row>
    <row r="18" spans="2:27" x14ac:dyDescent="0.25">
      <c r="B18" s="10" t="s">
        <v>95</v>
      </c>
      <c r="C18" s="34">
        <v>0.02</v>
      </c>
      <c r="D18" s="34">
        <v>5.1999999999999998E-2</v>
      </c>
      <c r="E18" s="34">
        <v>8.0000000000000002E-3</v>
      </c>
      <c r="F18" s="45">
        <v>3.5000000000000003E-2</v>
      </c>
      <c r="G18" s="42">
        <f>AVERAGE(C18:F18)</f>
        <v>2.8749999999999998E-2</v>
      </c>
      <c r="H18" s="34">
        <v>-6.5000000000000002E-2</v>
      </c>
      <c r="I18" s="34">
        <v>-5.3999999999999999E-2</v>
      </c>
      <c r="J18" s="34">
        <v>0.13300000000000001</v>
      </c>
      <c r="K18" s="45">
        <v>0.107</v>
      </c>
      <c r="L18" s="42">
        <f>AVERAGE(H18:K18)</f>
        <v>3.0250000000000003E-2</v>
      </c>
      <c r="M18" s="34">
        <v>0.14899999999999999</v>
      </c>
      <c r="N18" s="34">
        <v>8.6999999999999994E-2</v>
      </c>
      <c r="O18" s="34">
        <v>-3.5000000000000003E-2</v>
      </c>
      <c r="P18" s="34">
        <v>0.157</v>
      </c>
      <c r="Q18" s="42">
        <f>AVERAGE(M18:P18)</f>
        <v>8.9499999999999996E-2</v>
      </c>
      <c r="R18" s="34">
        <v>4.7E-2</v>
      </c>
      <c r="S18" s="34">
        <v>2.7E-2</v>
      </c>
      <c r="T18" s="34">
        <v>-5.2999999999999999E-2</v>
      </c>
      <c r="U18" s="34">
        <v>-3.7999999999999999E-2</v>
      </c>
      <c r="V18" s="42">
        <f>AVERAGE(R18:U18)</f>
        <v>-4.2500000000000003E-3</v>
      </c>
      <c r="W18" s="34">
        <v>0.04</v>
      </c>
      <c r="X18" s="34">
        <v>0.114</v>
      </c>
      <c r="Y18" s="34"/>
      <c r="Z18" s="34"/>
      <c r="AA18" s="42"/>
    </row>
    <row r="19" spans="2:27" x14ac:dyDescent="0.25">
      <c r="B19" s="31" t="s">
        <v>96</v>
      </c>
      <c r="C19" s="49">
        <v>145.1</v>
      </c>
      <c r="D19" s="49">
        <v>164.7</v>
      </c>
      <c r="E19" s="49">
        <v>159.19999999999999</v>
      </c>
      <c r="F19" s="51">
        <v>221.8</v>
      </c>
      <c r="G19" s="50">
        <f>SUM(C19:F19)</f>
        <v>690.8</v>
      </c>
      <c r="H19" s="49">
        <v>125.5</v>
      </c>
      <c r="I19" s="49">
        <v>166</v>
      </c>
      <c r="J19" s="49">
        <v>190.4</v>
      </c>
      <c r="K19" s="51">
        <v>290.8</v>
      </c>
      <c r="L19" s="50">
        <f>SUM(H19:K19)</f>
        <v>772.7</v>
      </c>
      <c r="M19" s="49">
        <v>158.9</v>
      </c>
      <c r="N19" s="49">
        <v>187.8</v>
      </c>
      <c r="O19" s="49">
        <v>204.1</v>
      </c>
      <c r="P19" s="49">
        <v>290.8</v>
      </c>
      <c r="Q19" s="50">
        <f>SUM(M19:P19)</f>
        <v>841.60000000000014</v>
      </c>
      <c r="R19" s="49">
        <v>170</v>
      </c>
      <c r="S19" s="49">
        <v>199.6</v>
      </c>
      <c r="T19" s="49">
        <v>203.7</v>
      </c>
      <c r="U19" s="49">
        <v>360.7</v>
      </c>
      <c r="V19" s="50">
        <f>SUM(R19:U19)</f>
        <v>934</v>
      </c>
      <c r="W19" s="49">
        <v>190.6</v>
      </c>
      <c r="X19" s="49">
        <v>216.5</v>
      </c>
      <c r="Y19" s="49"/>
      <c r="Z19" s="49"/>
      <c r="AA19" s="50">
        <f>SUM(W19:Z19)</f>
        <v>407.1</v>
      </c>
    </row>
    <row r="20" spans="2:27" x14ac:dyDescent="0.25">
      <c r="B20" s="33" t="s">
        <v>97</v>
      </c>
      <c r="C20" s="34">
        <v>0.61</v>
      </c>
      <c r="D20" s="34">
        <v>0.6</v>
      </c>
      <c r="E20" s="34">
        <v>0.57499999999999996</v>
      </c>
      <c r="F20" s="45">
        <v>0.54700000000000004</v>
      </c>
      <c r="G20" s="42">
        <f>G19/G16</f>
        <v>0.57836570663094433</v>
      </c>
      <c r="H20" s="34">
        <v>0.57199999999999995</v>
      </c>
      <c r="I20" s="34">
        <v>0.60699999999999998</v>
      </c>
      <c r="J20" s="34">
        <v>0.60799999999999998</v>
      </c>
      <c r="K20" s="45">
        <v>0.6</v>
      </c>
      <c r="L20" s="42">
        <f>L19/L16</f>
        <v>0.59866738978848688</v>
      </c>
      <c r="M20" s="34">
        <v>0.61399999999999999</v>
      </c>
      <c r="N20" s="34">
        <v>0.63200000000000001</v>
      </c>
      <c r="O20" s="34">
        <v>0.63</v>
      </c>
      <c r="P20" s="45">
        <v>0.6</v>
      </c>
      <c r="Q20" s="42">
        <f>Q19/Q16</f>
        <v>0.58141623488773753</v>
      </c>
      <c r="R20" s="38">
        <f>R19/R16</f>
        <v>0.60433700675435476</v>
      </c>
      <c r="S20" s="34">
        <f t="shared" ref="S20:U20" si="4">S19/S16</f>
        <v>0.62297128589263429</v>
      </c>
      <c r="T20" s="34">
        <f t="shared" si="4"/>
        <v>0.65794573643410847</v>
      </c>
      <c r="U20" s="45">
        <f t="shared" si="4"/>
        <v>0.62297063903281513</v>
      </c>
      <c r="V20" s="42">
        <f>V19/V16</f>
        <v>0.62671945245923633</v>
      </c>
      <c r="W20" s="38">
        <f>W19/W16</f>
        <v>0.61923326835607528</v>
      </c>
      <c r="X20" s="34">
        <f t="shared" ref="X20:Z20" si="5">X19/X16</f>
        <v>0.63996452852497776</v>
      </c>
      <c r="Y20" s="34" t="e">
        <f t="shared" si="5"/>
        <v>#DIV/0!</v>
      </c>
      <c r="Z20" s="45" t="e">
        <f t="shared" si="5"/>
        <v>#DIV/0!</v>
      </c>
      <c r="AA20" s="42">
        <f>AA19/AA16</f>
        <v>0.63008822163751743</v>
      </c>
    </row>
    <row r="21" spans="2:27" x14ac:dyDescent="0.25">
      <c r="B21" s="31" t="s">
        <v>98</v>
      </c>
      <c r="C21" s="49">
        <v>34.5</v>
      </c>
      <c r="D21" s="49">
        <v>49.6</v>
      </c>
      <c r="E21" s="49">
        <v>46.9</v>
      </c>
      <c r="F21" s="51">
        <v>88.8</v>
      </c>
      <c r="G21" s="50">
        <f>SUM(C21:F21)</f>
        <v>219.8</v>
      </c>
      <c r="H21" s="49">
        <v>4.5999999999999996</v>
      </c>
      <c r="I21" s="49">
        <v>45.4</v>
      </c>
      <c r="J21" s="49">
        <v>74.5</v>
      </c>
      <c r="K21" s="51">
        <v>144.5</v>
      </c>
      <c r="L21" s="50">
        <f>SUM(H21:K21)</f>
        <v>269</v>
      </c>
      <c r="M21" s="49">
        <v>33</v>
      </c>
      <c r="N21" s="49">
        <v>55.5</v>
      </c>
      <c r="O21" s="49">
        <v>76.5</v>
      </c>
      <c r="P21" s="51">
        <v>144.5</v>
      </c>
      <c r="Q21" s="50">
        <f>SUM(M21:P21)</f>
        <v>309.5</v>
      </c>
      <c r="R21" s="49">
        <v>33.6</v>
      </c>
      <c r="S21" s="49">
        <v>56.3</v>
      </c>
      <c r="T21" s="49">
        <v>59.2</v>
      </c>
      <c r="U21" s="51">
        <v>174</v>
      </c>
      <c r="V21" s="50">
        <f>SUM(R21:U21)</f>
        <v>323.10000000000002</v>
      </c>
      <c r="W21" s="49">
        <v>41.7</v>
      </c>
      <c r="X21" s="49">
        <v>65.900000000000006</v>
      </c>
      <c r="Y21" s="49"/>
      <c r="Z21" s="51"/>
      <c r="AA21" s="50">
        <f>SUM(W21:Z21)</f>
        <v>107.60000000000001</v>
      </c>
    </row>
    <row r="22" spans="2:27" x14ac:dyDescent="0.25">
      <c r="B22" s="33" t="s">
        <v>99</v>
      </c>
      <c r="C22" s="34">
        <v>0.14499999999999999</v>
      </c>
      <c r="D22" s="34">
        <v>0.17899999999999999</v>
      </c>
      <c r="E22" s="34">
        <v>0.16800000000000001</v>
      </c>
      <c r="F22" s="45">
        <v>0.218</v>
      </c>
      <c r="G22" s="42">
        <f>G21/G16</f>
        <v>0.18402545210984594</v>
      </c>
      <c r="H22" s="34">
        <v>2.1000000000000001E-2</v>
      </c>
      <c r="I22" s="34">
        <v>0.16600000000000001</v>
      </c>
      <c r="J22" s="34">
        <v>0.23699999999999999</v>
      </c>
      <c r="K22" s="45">
        <v>0.29699999999999999</v>
      </c>
      <c r="L22" s="42">
        <f>L21/L16</f>
        <v>0.20841403889362362</v>
      </c>
      <c r="M22" s="34">
        <v>0.127</v>
      </c>
      <c r="N22" s="34">
        <v>0.186</v>
      </c>
      <c r="O22" s="34">
        <v>0.23499999999999999</v>
      </c>
      <c r="P22" s="45">
        <v>0.311</v>
      </c>
      <c r="Q22" s="42">
        <f>Q21/Q16</f>
        <v>0.21381692573402417</v>
      </c>
      <c r="R22" s="38">
        <f>R21/R16</f>
        <v>0.11944543192321365</v>
      </c>
      <c r="S22" s="34">
        <f t="shared" ref="S22:U22" si="6">S21/S16</f>
        <v>0.17571785268414483</v>
      </c>
      <c r="T22" s="34">
        <f t="shared" si="6"/>
        <v>0.19121447028423771</v>
      </c>
      <c r="U22" s="45">
        <f t="shared" si="6"/>
        <v>0.30051813471502592</v>
      </c>
      <c r="V22" s="42">
        <f>V21/V16</f>
        <v>0.21680198617727972</v>
      </c>
      <c r="W22" s="38">
        <f>W21/W16</f>
        <v>0.13547758284600389</v>
      </c>
      <c r="X22" s="34">
        <f t="shared" ref="X22:Z22" si="7">X21/X16</f>
        <v>0.19479751699674847</v>
      </c>
      <c r="Y22" s="34" t="e">
        <f t="shared" si="7"/>
        <v>#DIV/0!</v>
      </c>
      <c r="Z22" s="45" t="e">
        <f t="shared" si="7"/>
        <v>#DIV/0!</v>
      </c>
      <c r="AA22" s="42">
        <f>AA21/AA16</f>
        <v>0.16653768766444824</v>
      </c>
    </row>
    <row r="23" spans="2:27" x14ac:dyDescent="0.25">
      <c r="B23" s="10" t="s">
        <v>100</v>
      </c>
      <c r="C23" s="10">
        <v>89</v>
      </c>
      <c r="D23" s="10">
        <v>90</v>
      </c>
      <c r="E23" s="10">
        <v>92</v>
      </c>
      <c r="F23" s="44">
        <v>91</v>
      </c>
      <c r="G23" s="40">
        <f>SUM(C23:F23)</f>
        <v>362</v>
      </c>
      <c r="H23" s="10">
        <v>89</v>
      </c>
      <c r="I23" s="10">
        <v>90</v>
      </c>
      <c r="J23" s="10">
        <v>92</v>
      </c>
      <c r="K23" s="44">
        <v>91</v>
      </c>
      <c r="L23" s="40">
        <f>SUM(H23:K23)</f>
        <v>362</v>
      </c>
      <c r="M23" s="10">
        <v>90</v>
      </c>
      <c r="N23" s="10">
        <v>90</v>
      </c>
      <c r="O23" s="10">
        <v>92</v>
      </c>
      <c r="P23" s="44">
        <v>91</v>
      </c>
      <c r="Q23" s="40">
        <f>SUM(M23:P23)</f>
        <v>363</v>
      </c>
      <c r="R23" s="10">
        <v>89</v>
      </c>
      <c r="S23" s="10">
        <v>90</v>
      </c>
      <c r="T23" s="10">
        <v>92</v>
      </c>
      <c r="U23" s="10">
        <v>91</v>
      </c>
      <c r="V23" s="40">
        <f>SUM(R23:U23)</f>
        <v>362</v>
      </c>
      <c r="W23" s="10">
        <v>89</v>
      </c>
      <c r="X23" s="10">
        <v>90</v>
      </c>
      <c r="AA23" s="40">
        <f>SUM(W23:Z23)</f>
        <v>179</v>
      </c>
    </row>
    <row r="24" spans="2:27" x14ac:dyDescent="0.25">
      <c r="B24" s="35" t="s">
        <v>101</v>
      </c>
      <c r="C24" s="35">
        <v>119</v>
      </c>
      <c r="D24" s="35">
        <v>118</v>
      </c>
      <c r="E24" s="35">
        <v>117</v>
      </c>
      <c r="F24" s="35">
        <v>119</v>
      </c>
      <c r="G24" s="43">
        <v>156</v>
      </c>
      <c r="H24" s="35">
        <v>118</v>
      </c>
      <c r="I24" s="35">
        <v>117</v>
      </c>
      <c r="J24" s="35">
        <v>117</v>
      </c>
      <c r="K24" s="35">
        <v>119</v>
      </c>
      <c r="L24" s="43">
        <v>119</v>
      </c>
      <c r="M24" s="35">
        <v>118</v>
      </c>
      <c r="N24" s="35">
        <v>117</v>
      </c>
      <c r="O24" s="35">
        <v>117</v>
      </c>
      <c r="P24" s="46">
        <v>119</v>
      </c>
      <c r="Q24" s="43">
        <v>119</v>
      </c>
      <c r="R24" s="35">
        <v>131</v>
      </c>
      <c r="S24" s="35">
        <v>123</v>
      </c>
      <c r="T24" s="35">
        <v>123</v>
      </c>
      <c r="U24" s="35">
        <v>123</v>
      </c>
      <c r="V24" s="43">
        <v>123</v>
      </c>
      <c r="W24" s="35">
        <v>124</v>
      </c>
      <c r="X24" s="35">
        <v>122</v>
      </c>
      <c r="Y24" s="35"/>
      <c r="Z24" s="35"/>
      <c r="AA24" s="43">
        <v>134</v>
      </c>
    </row>
  </sheetData>
  <pageMargins left="0.7" right="0.7" top="0.75" bottom="0.75" header="0.3" footer="0.3"/>
  <ignoredErrors>
    <ignoredError sqref="Q20 Q22 Q10 Q12 V10 V12 L10 L12 L20 L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DE5F-C05A-9449-AD7D-5E01A9523E07}">
  <dimension ref="A3:H17"/>
  <sheetViews>
    <sheetView showGridLines="0" workbookViewId="0">
      <selection activeCell="I18" sqref="I18"/>
    </sheetView>
  </sheetViews>
  <sheetFormatPr baseColWidth="10" defaultRowHeight="16" x14ac:dyDescent="0.2"/>
  <cols>
    <col min="3" max="3" width="21.33203125" customWidth="1"/>
    <col min="4" max="4" width="13.83203125" bestFit="1" customWidth="1"/>
    <col min="5" max="5" width="16.6640625" bestFit="1" customWidth="1"/>
    <col min="8" max="8" width="12.33203125" customWidth="1"/>
  </cols>
  <sheetData>
    <row r="3" spans="1:8" ht="21" x14ac:dyDescent="0.25">
      <c r="A3" s="10" t="s">
        <v>172</v>
      </c>
    </row>
    <row r="4" spans="1:8" ht="21" x14ac:dyDescent="0.25">
      <c r="A4" s="82">
        <f>Modell!AK28</f>
        <v>1105.8872000000006</v>
      </c>
    </row>
    <row r="7" spans="1:8" ht="21" x14ac:dyDescent="0.25">
      <c r="C7" s="31" t="s">
        <v>150</v>
      </c>
      <c r="D7" s="10"/>
      <c r="E7" s="10"/>
      <c r="F7" s="10"/>
      <c r="G7" s="10"/>
      <c r="H7" s="10"/>
    </row>
    <row r="8" spans="1:8" ht="21" x14ac:dyDescent="0.25">
      <c r="C8" s="10"/>
      <c r="D8" s="10"/>
      <c r="E8" s="10"/>
      <c r="F8" s="10"/>
      <c r="G8" s="10"/>
      <c r="H8" s="10"/>
    </row>
    <row r="9" spans="1:8" ht="21" x14ac:dyDescent="0.25">
      <c r="C9" s="10" t="s">
        <v>89</v>
      </c>
      <c r="D9" s="10"/>
      <c r="E9" s="10"/>
      <c r="F9" s="10"/>
      <c r="G9" s="10"/>
      <c r="H9" s="10"/>
    </row>
    <row r="10" spans="1:8" ht="21" x14ac:dyDescent="0.25">
      <c r="C10" s="56"/>
      <c r="D10" s="56" t="s">
        <v>151</v>
      </c>
      <c r="E10" s="56" t="s">
        <v>152</v>
      </c>
      <c r="F10" s="56"/>
      <c r="G10" s="56" t="s">
        <v>153</v>
      </c>
      <c r="H10" s="56" t="s">
        <v>154</v>
      </c>
    </row>
    <row r="11" spans="1:8" ht="21" x14ac:dyDescent="0.25">
      <c r="C11" s="56" t="s">
        <v>19</v>
      </c>
      <c r="D11" s="56">
        <v>675</v>
      </c>
      <c r="E11" s="56">
        <v>8</v>
      </c>
      <c r="F11" s="56"/>
      <c r="G11" s="60">
        <f>D11*E11</f>
        <v>5400</v>
      </c>
      <c r="H11" s="58">
        <f>G11/[1]Modell!$B$5</f>
        <v>106.33647222845799</v>
      </c>
    </row>
    <row r="12" spans="1:8" ht="21" x14ac:dyDescent="0.25">
      <c r="C12" s="56" t="s">
        <v>20</v>
      </c>
      <c r="D12" s="56">
        <v>450</v>
      </c>
      <c r="E12" s="56">
        <v>7.5</v>
      </c>
      <c r="F12" s="56"/>
      <c r="G12" s="60">
        <f>D12*E12</f>
        <v>3375</v>
      </c>
      <c r="H12" s="58">
        <f>G12/[1]Modell!$B$5</f>
        <v>66.460295142786251</v>
      </c>
    </row>
    <row r="13" spans="1:8" ht="21" x14ac:dyDescent="0.25">
      <c r="C13" s="59" t="s">
        <v>169</v>
      </c>
      <c r="D13" s="60">
        <f>SUM(D11:D12)</f>
        <v>1125</v>
      </c>
      <c r="E13" s="80"/>
      <c r="F13" s="80"/>
      <c r="G13" s="60">
        <f>SUM(G11:G12)</f>
        <v>8775</v>
      </c>
      <c r="H13" s="57">
        <f>SUM(H11:H12)</f>
        <v>172.79676737124424</v>
      </c>
    </row>
    <row r="14" spans="1:8" x14ac:dyDescent="0.2">
      <c r="C14" s="79"/>
      <c r="D14" s="79"/>
      <c r="E14" s="79"/>
      <c r="F14" s="79"/>
      <c r="G14" s="79"/>
      <c r="H14" s="79"/>
    </row>
    <row r="15" spans="1:8" ht="21" x14ac:dyDescent="0.25">
      <c r="C15" s="56" t="s">
        <v>47</v>
      </c>
      <c r="D15" s="56"/>
      <c r="E15" s="56"/>
      <c r="F15" s="56"/>
      <c r="G15" s="60">
        <f>Modell!B7</f>
        <v>0</v>
      </c>
      <c r="H15" s="58">
        <f>G15</f>
        <v>0</v>
      </c>
    </row>
    <row r="16" spans="1:8" ht="21" x14ac:dyDescent="0.25">
      <c r="C16" s="56" t="s">
        <v>170</v>
      </c>
      <c r="D16" s="56"/>
      <c r="E16" s="56"/>
      <c r="F16" s="56"/>
      <c r="G16" s="58">
        <f>Modell!B8</f>
        <v>1081.2089999999998</v>
      </c>
      <c r="H16" s="58">
        <f>-G16/Modell!B5</f>
        <v>-26.601173345058875</v>
      </c>
    </row>
    <row r="17" spans="3:8" ht="21" x14ac:dyDescent="0.25">
      <c r="C17" s="59" t="s">
        <v>171</v>
      </c>
      <c r="D17" s="56"/>
      <c r="E17" s="56"/>
      <c r="F17" s="56"/>
      <c r="G17" s="60">
        <f>G13-G16</f>
        <v>7693.7910000000002</v>
      </c>
      <c r="H17" s="57">
        <f>SUM(H13:H16)</f>
        <v>146.19559402618538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3376-C1F0-5343-A8A6-E5C01798CC5F}">
  <dimension ref="E6:H9"/>
  <sheetViews>
    <sheetView showGridLines="0" workbookViewId="0">
      <selection activeCell="D15" sqref="D15"/>
    </sheetView>
  </sheetViews>
  <sheetFormatPr baseColWidth="10" defaultRowHeight="16" x14ac:dyDescent="0.2"/>
  <cols>
    <col min="5" max="5" width="59.5" bestFit="1" customWidth="1"/>
    <col min="6" max="9" width="27.83203125" bestFit="1" customWidth="1"/>
  </cols>
  <sheetData>
    <row r="6" spans="5:8" ht="92" x14ac:dyDescent="1">
      <c r="E6" s="29"/>
      <c r="F6" s="29">
        <v>2026</v>
      </c>
      <c r="G6" s="29">
        <v>2027</v>
      </c>
      <c r="H6" s="29">
        <v>2028</v>
      </c>
    </row>
    <row r="7" spans="5:8" ht="92" x14ac:dyDescent="1">
      <c r="E7" s="29" t="s">
        <v>160</v>
      </c>
      <c r="F7" s="28">
        <f>Modell!$B$9/Modell!AK28</f>
        <v>5.3145909600906824</v>
      </c>
      <c r="G7" s="28">
        <f>Modell!$B$9/Modell!AL28</f>
        <v>4.9264199952066692</v>
      </c>
      <c r="H7" s="28">
        <f>Modell!$B$9/Modell!AM28</f>
        <v>4.5678887416483782</v>
      </c>
    </row>
    <row r="8" spans="5:8" ht="92" x14ac:dyDescent="1">
      <c r="E8" s="29" t="s">
        <v>82</v>
      </c>
      <c r="F8" s="28">
        <f>Modell!$B$9/Modell!AK12</f>
        <v>11.001364405174321</v>
      </c>
      <c r="G8" s="28">
        <f>Modell!$B$9/Modell!AL12</f>
        <v>9.962714327873524</v>
      </c>
      <c r="H8" s="28">
        <f>Modell!$B$9/Modell!AM12</f>
        <v>9.0364520891069233</v>
      </c>
    </row>
    <row r="9" spans="5:8" ht="92" x14ac:dyDescent="1">
      <c r="E9" s="29" t="s">
        <v>83</v>
      </c>
      <c r="F9" s="28">
        <f>Modell!$B$4/Modell!AK19</f>
        <v>13.765524246164375</v>
      </c>
      <c r="G9" s="28">
        <f>Modell!$B$4/Modell!AL19</f>
        <v>12.343910526050266</v>
      </c>
      <c r="H9" s="28">
        <f>Modell!$B$4/Modell!AM19</f>
        <v>11.096350469957578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533B-A779-0B43-9EF3-0831BBE9198B}">
  <dimension ref="A3:XEL25"/>
  <sheetViews>
    <sheetView showGridLines="0" workbookViewId="0">
      <pane xSplit="3" ySplit="3" topLeftCell="V4" activePane="bottomRight" state="frozen"/>
      <selection pane="topRight" activeCell="D1" sqref="D1"/>
      <selection pane="bottomLeft" activeCell="A4" sqref="A4"/>
      <selection pane="bottomRight" activeCell="P24" sqref="P24"/>
    </sheetView>
  </sheetViews>
  <sheetFormatPr baseColWidth="10" defaultRowHeight="19" x14ac:dyDescent="0.25"/>
  <cols>
    <col min="1" max="1" width="10.83203125" style="3"/>
    <col min="2" max="2" width="19.5" style="2" customWidth="1"/>
    <col min="3" max="3" width="36.83203125" style="3" customWidth="1"/>
    <col min="4" max="14" width="11" style="3" bestFit="1" customWidth="1"/>
    <col min="15" max="15" width="11" style="2" bestFit="1" customWidth="1"/>
    <col min="16" max="24" width="11" style="3" bestFit="1" customWidth="1"/>
    <col min="25" max="25" width="10.83203125" style="3"/>
    <col min="26" max="26" width="14.1640625" style="3" bestFit="1" customWidth="1"/>
    <col min="27" max="27" width="12.1640625" style="3" bestFit="1" customWidth="1"/>
    <col min="28" max="16384" width="10.83203125" style="3"/>
  </cols>
  <sheetData>
    <row r="3" spans="1:16366" x14ac:dyDescent="0.25">
      <c r="A3" s="1" t="s">
        <v>144</v>
      </c>
      <c r="D3" s="8" t="s">
        <v>138</v>
      </c>
      <c r="E3" s="8" t="s">
        <v>139</v>
      </c>
      <c r="F3" s="8" t="s">
        <v>140</v>
      </c>
      <c r="G3" s="8" t="s">
        <v>141</v>
      </c>
      <c r="H3" s="8" t="s">
        <v>130</v>
      </c>
      <c r="I3" s="8" t="s">
        <v>131</v>
      </c>
      <c r="J3" s="8" t="s">
        <v>132</v>
      </c>
      <c r="K3" s="8" t="s">
        <v>66</v>
      </c>
      <c r="L3" s="8" t="s">
        <v>67</v>
      </c>
      <c r="M3" s="8" t="s">
        <v>68</v>
      </c>
      <c r="N3" s="8" t="s">
        <v>69</v>
      </c>
      <c r="O3" s="9" t="s">
        <v>70</v>
      </c>
      <c r="P3" s="8" t="s">
        <v>71</v>
      </c>
      <c r="Q3" s="8" t="s">
        <v>72</v>
      </c>
      <c r="R3" s="8" t="s">
        <v>73</v>
      </c>
      <c r="S3" s="8" t="s">
        <v>74</v>
      </c>
      <c r="T3" s="8" t="s">
        <v>75</v>
      </c>
      <c r="U3" s="8" t="s">
        <v>76</v>
      </c>
      <c r="V3" s="8" t="s">
        <v>77</v>
      </c>
      <c r="W3" s="8" t="s">
        <v>78</v>
      </c>
      <c r="X3" s="8" t="s">
        <v>79</v>
      </c>
    </row>
    <row r="4" spans="1:16366" x14ac:dyDescent="0.25">
      <c r="A4" s="1" t="s">
        <v>144</v>
      </c>
      <c r="C4" s="3" t="s">
        <v>21</v>
      </c>
      <c r="D4" s="14">
        <v>1188.433</v>
      </c>
      <c r="E4" s="14">
        <v>1293.932</v>
      </c>
      <c r="F4" s="14">
        <v>1381.675</v>
      </c>
      <c r="G4" s="14">
        <v>1466.729</v>
      </c>
      <c r="H4" s="14">
        <v>2342.1799999999998</v>
      </c>
      <c r="I4" s="14">
        <v>2994.6579999999999</v>
      </c>
      <c r="J4" s="14">
        <v>3097.096</v>
      </c>
      <c r="K4" s="14">
        <v>3179</v>
      </c>
      <c r="L4" s="14">
        <v>3413</v>
      </c>
      <c r="M4" s="14">
        <v>3785</v>
      </c>
      <c r="N4" s="14">
        <v>3944</v>
      </c>
      <c r="O4" s="15">
        <f>N4</f>
        <v>3944</v>
      </c>
      <c r="P4" s="14">
        <f t="shared" ref="P4:X4" si="0">O4</f>
        <v>3944</v>
      </c>
      <c r="Q4" s="14">
        <f t="shared" si="0"/>
        <v>3944</v>
      </c>
      <c r="R4" s="14">
        <f t="shared" si="0"/>
        <v>3944</v>
      </c>
      <c r="S4" s="14">
        <f t="shared" si="0"/>
        <v>3944</v>
      </c>
      <c r="T4" s="14">
        <f t="shared" si="0"/>
        <v>3944</v>
      </c>
      <c r="U4" s="14">
        <f t="shared" si="0"/>
        <v>3944</v>
      </c>
      <c r="V4" s="14">
        <f t="shared" si="0"/>
        <v>3944</v>
      </c>
      <c r="W4" s="14">
        <f t="shared" si="0"/>
        <v>3944</v>
      </c>
      <c r="X4" s="14">
        <f t="shared" si="0"/>
        <v>3944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</row>
    <row r="5" spans="1:16366" x14ac:dyDescent="0.25">
      <c r="A5" s="1" t="s">
        <v>145</v>
      </c>
      <c r="C5" s="53" t="s">
        <v>81</v>
      </c>
      <c r="D5" s="53">
        <v>1.3</v>
      </c>
      <c r="E5" s="53">
        <v>1.6</v>
      </c>
      <c r="F5" s="53">
        <v>0.66700000000000004</v>
      </c>
      <c r="G5" s="53">
        <v>0.33600000000000002</v>
      </c>
      <c r="H5" s="53">
        <v>2</v>
      </c>
      <c r="I5" s="53">
        <v>1.6</v>
      </c>
      <c r="J5" s="53">
        <v>10</v>
      </c>
      <c r="K5" s="53">
        <v>5</v>
      </c>
      <c r="L5" s="53">
        <v>4</v>
      </c>
      <c r="M5" s="53">
        <v>5</v>
      </c>
      <c r="N5" s="53">
        <v>4</v>
      </c>
      <c r="O5" s="64">
        <v>0</v>
      </c>
      <c r="P5" s="53">
        <f t="shared" ref="P5:X5" si="1">O5*1.065</f>
        <v>0</v>
      </c>
      <c r="Q5" s="53">
        <f t="shared" si="1"/>
        <v>0</v>
      </c>
      <c r="R5" s="53">
        <f t="shared" si="1"/>
        <v>0</v>
      </c>
      <c r="S5" s="53">
        <f t="shared" si="1"/>
        <v>0</v>
      </c>
      <c r="T5" s="53">
        <f t="shared" si="1"/>
        <v>0</v>
      </c>
      <c r="U5" s="53">
        <f t="shared" si="1"/>
        <v>0</v>
      </c>
      <c r="V5" s="53">
        <f t="shared" si="1"/>
        <v>0</v>
      </c>
      <c r="W5" s="53">
        <f t="shared" si="1"/>
        <v>0</v>
      </c>
      <c r="X5" s="53">
        <f t="shared" si="1"/>
        <v>0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</row>
    <row r="6" spans="1:16366" x14ac:dyDescent="0.25">
      <c r="A6" s="25">
        <f>AA24</f>
        <v>83.52357908992154</v>
      </c>
      <c r="C6" s="1" t="s">
        <v>22</v>
      </c>
      <c r="D6" s="18">
        <f t="shared" ref="D6:J6" si="2">SUM(D4:D5)</f>
        <v>1189.7329999999999</v>
      </c>
      <c r="E6" s="18">
        <f t="shared" si="2"/>
        <v>1295.5319999999999</v>
      </c>
      <c r="F6" s="18">
        <f t="shared" si="2"/>
        <v>1382.3419999999999</v>
      </c>
      <c r="G6" s="18">
        <f t="shared" si="2"/>
        <v>1467.0650000000001</v>
      </c>
      <c r="H6" s="18">
        <f t="shared" si="2"/>
        <v>2344.1799999999998</v>
      </c>
      <c r="I6" s="18">
        <f t="shared" si="2"/>
        <v>2996.2579999999998</v>
      </c>
      <c r="J6" s="18">
        <f t="shared" si="2"/>
        <v>3107.096</v>
      </c>
      <c r="K6" s="18">
        <f>SUM(K4:K5)</f>
        <v>3184</v>
      </c>
      <c r="L6" s="18">
        <f t="shared" ref="L6" si="3">SUM(L4:L5)</f>
        <v>3417</v>
      </c>
      <c r="M6" s="18">
        <f>SUM(M4:M5)</f>
        <v>3790</v>
      </c>
      <c r="N6" s="18">
        <f>SUM(N4:N5)</f>
        <v>3948</v>
      </c>
      <c r="O6" s="16">
        <f t="shared" ref="O6:X6" si="4">SUM(O4:O5)</f>
        <v>3944</v>
      </c>
      <c r="P6" s="18">
        <f t="shared" si="4"/>
        <v>3944</v>
      </c>
      <c r="Q6" s="18">
        <f t="shared" si="4"/>
        <v>3944</v>
      </c>
      <c r="R6" s="18">
        <f t="shared" si="4"/>
        <v>3944</v>
      </c>
      <c r="S6" s="18">
        <f t="shared" si="4"/>
        <v>3944</v>
      </c>
      <c r="T6" s="18">
        <f t="shared" si="4"/>
        <v>3944</v>
      </c>
      <c r="U6" s="18">
        <f t="shared" si="4"/>
        <v>3944</v>
      </c>
      <c r="V6" s="18">
        <f t="shared" si="4"/>
        <v>3944</v>
      </c>
      <c r="W6" s="18">
        <f t="shared" si="4"/>
        <v>3944</v>
      </c>
      <c r="X6" s="18">
        <f t="shared" si="4"/>
        <v>3944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 spans="1:16366" x14ac:dyDescent="0.25">
      <c r="A7" s="27">
        <f>AA25</f>
        <v>-0.29217305855998693</v>
      </c>
      <c r="C7" s="3" t="s">
        <v>23</v>
      </c>
      <c r="D7" s="14">
        <v>-492</v>
      </c>
      <c r="E7" s="14">
        <v>-515.29899999999998</v>
      </c>
      <c r="F7" s="14">
        <v>-547.62699999999995</v>
      </c>
      <c r="G7" s="14">
        <v>-573.23</v>
      </c>
      <c r="H7" s="14">
        <f>-1019.79+94.124</f>
        <v>-925.66599999999994</v>
      </c>
      <c r="I7" s="14">
        <f>-1128.69+15.677</f>
        <v>-1113.0130000000001</v>
      </c>
      <c r="J7" s="14">
        <v>-1159.5060000000001</v>
      </c>
      <c r="K7" s="14">
        <v>-1332</v>
      </c>
      <c r="L7" s="14">
        <v>-1314</v>
      </c>
      <c r="M7" s="14">
        <v>-1443</v>
      </c>
      <c r="N7" s="14">
        <v>-1520</v>
      </c>
      <c r="O7" s="15">
        <f>O6*-0.38</f>
        <v>-1498.72</v>
      </c>
      <c r="P7" s="14">
        <f t="shared" ref="P7:X7" si="5">P6*-0.38</f>
        <v>-1498.72</v>
      </c>
      <c r="Q7" s="14">
        <f t="shared" si="5"/>
        <v>-1498.72</v>
      </c>
      <c r="R7" s="14">
        <f t="shared" si="5"/>
        <v>-1498.72</v>
      </c>
      <c r="S7" s="14">
        <f t="shared" si="5"/>
        <v>-1498.72</v>
      </c>
      <c r="T7" s="14">
        <f t="shared" si="5"/>
        <v>-1498.72</v>
      </c>
      <c r="U7" s="14">
        <f t="shared" si="5"/>
        <v>-1498.72</v>
      </c>
      <c r="V7" s="14">
        <f t="shared" si="5"/>
        <v>-1498.72</v>
      </c>
      <c r="W7" s="14">
        <f t="shared" si="5"/>
        <v>-1498.72</v>
      </c>
      <c r="X7" s="14">
        <f t="shared" si="5"/>
        <v>-1498.72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</row>
    <row r="8" spans="1:16366" x14ac:dyDescent="0.25">
      <c r="C8" s="3" t="s">
        <v>96</v>
      </c>
      <c r="D8" s="14">
        <f>SUM(D6:D7)</f>
        <v>697.73299999999995</v>
      </c>
      <c r="E8" s="14">
        <f t="shared" ref="E8:X8" si="6">SUM(E6:E7)</f>
        <v>780.23299999999995</v>
      </c>
      <c r="F8" s="14">
        <f t="shared" si="6"/>
        <v>834.71499999999992</v>
      </c>
      <c r="G8" s="14">
        <f t="shared" si="6"/>
        <v>893.83500000000004</v>
      </c>
      <c r="H8" s="14">
        <f t="shared" si="6"/>
        <v>1418.5139999999999</v>
      </c>
      <c r="I8" s="14">
        <f t="shared" si="6"/>
        <v>1883.2449999999997</v>
      </c>
      <c r="J8" s="14">
        <f t="shared" si="6"/>
        <v>1947.59</v>
      </c>
      <c r="K8" s="14">
        <f t="shared" si="6"/>
        <v>1852</v>
      </c>
      <c r="L8" s="14">
        <f t="shared" si="6"/>
        <v>2103</v>
      </c>
      <c r="M8" s="14">
        <f t="shared" si="6"/>
        <v>2347</v>
      </c>
      <c r="N8" s="14">
        <f t="shared" si="6"/>
        <v>2428</v>
      </c>
      <c r="O8" s="15">
        <f t="shared" si="6"/>
        <v>2445.2799999999997</v>
      </c>
      <c r="P8" s="14">
        <f t="shared" si="6"/>
        <v>2445.2799999999997</v>
      </c>
      <c r="Q8" s="14">
        <f t="shared" si="6"/>
        <v>2445.2799999999997</v>
      </c>
      <c r="R8" s="14">
        <f t="shared" si="6"/>
        <v>2445.2799999999997</v>
      </c>
      <c r="S8" s="14">
        <f t="shared" si="6"/>
        <v>2445.2799999999997</v>
      </c>
      <c r="T8" s="14">
        <f t="shared" si="6"/>
        <v>2445.2799999999997</v>
      </c>
      <c r="U8" s="14">
        <f t="shared" si="6"/>
        <v>2445.2799999999997</v>
      </c>
      <c r="V8" s="14">
        <f t="shared" si="6"/>
        <v>2445.2799999999997</v>
      </c>
      <c r="W8" s="14">
        <f t="shared" si="6"/>
        <v>2445.2799999999997</v>
      </c>
      <c r="X8" s="14">
        <f t="shared" si="6"/>
        <v>2445.2799999999997</v>
      </c>
    </row>
    <row r="9" spans="1:16366" x14ac:dyDescent="0.25">
      <c r="C9" s="3" t="s">
        <v>24</v>
      </c>
      <c r="D9" s="14">
        <v>-271.34199999999998</v>
      </c>
      <c r="E9" s="14">
        <v>-289.54700000000003</v>
      </c>
      <c r="F9" s="14">
        <v>-306.471</v>
      </c>
      <c r="G9" s="14">
        <v>-310.89800000000002</v>
      </c>
      <c r="H9" s="14">
        <v>-503.49400000000003</v>
      </c>
      <c r="I9" s="14">
        <v>-607.11900000000003</v>
      </c>
      <c r="J9" s="14">
        <v>-617.29999999999995</v>
      </c>
      <c r="K9" s="14">
        <v>-630</v>
      </c>
      <c r="L9" s="14">
        <v>-705</v>
      </c>
      <c r="M9" s="14">
        <v>-783</v>
      </c>
      <c r="N9" s="14">
        <v>-792</v>
      </c>
      <c r="O9" s="15">
        <f>N9*0.98</f>
        <v>-776.16</v>
      </c>
      <c r="P9" s="14">
        <f t="shared" ref="P9:X9" si="7">O9*1</f>
        <v>-776.16</v>
      </c>
      <c r="Q9" s="14">
        <f t="shared" si="7"/>
        <v>-776.16</v>
      </c>
      <c r="R9" s="14">
        <f t="shared" si="7"/>
        <v>-776.16</v>
      </c>
      <c r="S9" s="14">
        <f t="shared" si="7"/>
        <v>-776.16</v>
      </c>
      <c r="T9" s="14">
        <f t="shared" si="7"/>
        <v>-776.16</v>
      </c>
      <c r="U9" s="14">
        <f t="shared" si="7"/>
        <v>-776.16</v>
      </c>
      <c r="V9" s="14">
        <f t="shared" si="7"/>
        <v>-776.16</v>
      </c>
      <c r="W9" s="14">
        <f t="shared" si="7"/>
        <v>-776.16</v>
      </c>
      <c r="X9" s="14">
        <f t="shared" si="7"/>
        <v>-776.16</v>
      </c>
    </row>
    <row r="10" spans="1:16366" x14ac:dyDescent="0.25">
      <c r="C10" s="3" t="s">
        <v>25</v>
      </c>
      <c r="D10" s="14">
        <v>-24.446999999999999</v>
      </c>
      <c r="E10" s="14">
        <v>-28.952999999999999</v>
      </c>
      <c r="F10" s="14">
        <v>-34.838999999999999</v>
      </c>
      <c r="G10" s="14">
        <v>-37</v>
      </c>
      <c r="H10" s="14">
        <v>-264.97399999999999</v>
      </c>
      <c r="I10" s="14">
        <v>-340.84</v>
      </c>
      <c r="J10" s="14">
        <v>-336.37599999999998</v>
      </c>
      <c r="K10" s="14">
        <v>-348</v>
      </c>
      <c r="L10" s="14">
        <v>-404</v>
      </c>
      <c r="M10" s="14">
        <v>-472</v>
      </c>
      <c r="N10" s="14">
        <v>-555</v>
      </c>
      <c r="O10" s="15">
        <f t="shared" ref="O10:O11" si="8">N10*0.98</f>
        <v>-543.9</v>
      </c>
      <c r="P10" s="14">
        <f t="shared" ref="P10:X11" si="9">O10*1</f>
        <v>-543.9</v>
      </c>
      <c r="Q10" s="14">
        <f t="shared" si="9"/>
        <v>-543.9</v>
      </c>
      <c r="R10" s="14">
        <f t="shared" si="9"/>
        <v>-543.9</v>
      </c>
      <c r="S10" s="14">
        <f t="shared" si="9"/>
        <v>-543.9</v>
      </c>
      <c r="T10" s="14">
        <f t="shared" si="9"/>
        <v>-543.9</v>
      </c>
      <c r="U10" s="14">
        <f t="shared" si="9"/>
        <v>-543.9</v>
      </c>
      <c r="V10" s="14">
        <f t="shared" si="9"/>
        <v>-543.9</v>
      </c>
      <c r="W10" s="14">
        <f t="shared" si="9"/>
        <v>-543.9</v>
      </c>
      <c r="X10" s="14">
        <f t="shared" si="9"/>
        <v>-543.9</v>
      </c>
    </row>
    <row r="11" spans="1:16366" x14ac:dyDescent="0.25">
      <c r="C11" s="3" t="s">
        <v>26</v>
      </c>
      <c r="D11" s="14">
        <v>-282.69</v>
      </c>
      <c r="E11" s="14">
        <v>-289.62700000000001</v>
      </c>
      <c r="F11" s="14">
        <v>-313.71600000000001</v>
      </c>
      <c r="G11" s="14">
        <v>-332.73</v>
      </c>
      <c r="H11" s="14">
        <v>-348.15300000000002</v>
      </c>
      <c r="I11" s="14">
        <v>-452.65</v>
      </c>
      <c r="J11" s="14">
        <v>-452.73</v>
      </c>
      <c r="K11" s="14">
        <v>-504</v>
      </c>
      <c r="L11" s="14">
        <v>-514</v>
      </c>
      <c r="M11" s="14">
        <v>-537</v>
      </c>
      <c r="N11" s="14">
        <v>-689</v>
      </c>
      <c r="O11" s="15">
        <f t="shared" si="8"/>
        <v>-675.22</v>
      </c>
      <c r="P11" s="14">
        <f t="shared" si="9"/>
        <v>-675.22</v>
      </c>
      <c r="Q11" s="14">
        <f t="shared" si="9"/>
        <v>-675.22</v>
      </c>
      <c r="R11" s="14">
        <f t="shared" si="9"/>
        <v>-675.22</v>
      </c>
      <c r="S11" s="14">
        <f t="shared" si="9"/>
        <v>-675.22</v>
      </c>
      <c r="T11" s="14">
        <f t="shared" si="9"/>
        <v>-675.22</v>
      </c>
      <c r="U11" s="14">
        <f t="shared" si="9"/>
        <v>-675.22</v>
      </c>
      <c r="V11" s="14">
        <f t="shared" si="9"/>
        <v>-675.22</v>
      </c>
      <c r="W11" s="14">
        <f t="shared" si="9"/>
        <v>-675.22</v>
      </c>
      <c r="X11" s="14">
        <f t="shared" si="9"/>
        <v>-675.22</v>
      </c>
    </row>
    <row r="12" spans="1:16366" x14ac:dyDescent="0.25">
      <c r="C12" s="1" t="s">
        <v>27</v>
      </c>
      <c r="D12" s="18">
        <f>SUM(D8:D11)</f>
        <v>119.25399999999996</v>
      </c>
      <c r="E12" s="18">
        <f t="shared" ref="E12:X12" si="10">SUM(E8:E11)</f>
        <v>172.10599999999994</v>
      </c>
      <c r="F12" s="18">
        <f t="shared" si="10"/>
        <v>179.68899999999991</v>
      </c>
      <c r="G12" s="18">
        <f t="shared" si="10"/>
        <v>213.20699999999999</v>
      </c>
      <c r="H12" s="18">
        <f t="shared" si="10"/>
        <v>301.8929999999998</v>
      </c>
      <c r="I12" s="18">
        <f t="shared" si="10"/>
        <v>482.63599999999985</v>
      </c>
      <c r="J12" s="18">
        <f t="shared" si="10"/>
        <v>541.18399999999997</v>
      </c>
      <c r="K12" s="18">
        <f t="shared" si="10"/>
        <v>370</v>
      </c>
      <c r="L12" s="18">
        <f t="shared" si="10"/>
        <v>480</v>
      </c>
      <c r="M12" s="18">
        <f t="shared" si="10"/>
        <v>555</v>
      </c>
      <c r="N12" s="18">
        <f t="shared" si="10"/>
        <v>392</v>
      </c>
      <c r="O12" s="16">
        <f t="shared" si="10"/>
        <v>449.99999999999977</v>
      </c>
      <c r="P12" s="18">
        <f t="shared" si="10"/>
        <v>449.99999999999977</v>
      </c>
      <c r="Q12" s="18">
        <f t="shared" si="10"/>
        <v>449.99999999999977</v>
      </c>
      <c r="R12" s="18">
        <f t="shared" si="10"/>
        <v>449.99999999999977</v>
      </c>
      <c r="S12" s="18">
        <f t="shared" si="10"/>
        <v>449.99999999999977</v>
      </c>
      <c r="T12" s="18">
        <f t="shared" si="10"/>
        <v>449.99999999999977</v>
      </c>
      <c r="U12" s="18">
        <f t="shared" si="10"/>
        <v>449.99999999999977</v>
      </c>
      <c r="V12" s="18">
        <f t="shared" si="10"/>
        <v>449.99999999999977</v>
      </c>
      <c r="W12" s="18">
        <f t="shared" si="10"/>
        <v>449.99999999999977</v>
      </c>
      <c r="X12" s="18">
        <f t="shared" si="10"/>
        <v>449.99999999999977</v>
      </c>
    </row>
    <row r="13" spans="1:16366" x14ac:dyDescent="0.25">
      <c r="C13" s="3" t="s">
        <v>28</v>
      </c>
      <c r="D13" s="14">
        <v>-20.2</v>
      </c>
      <c r="E13" s="14">
        <v>-12.6</v>
      </c>
      <c r="F13" s="14">
        <v>-12.6</v>
      </c>
      <c r="G13" s="14">
        <v>-12.7</v>
      </c>
      <c r="H13" s="14">
        <v>-40.942999999999998</v>
      </c>
      <c r="I13" s="14">
        <v>-28.434999999999999</v>
      </c>
      <c r="J13" s="14">
        <v>-56</v>
      </c>
      <c r="K13" s="14">
        <v>-48</v>
      </c>
      <c r="L13" s="14">
        <v>-77</v>
      </c>
      <c r="M13" s="14">
        <v>-90</v>
      </c>
      <c r="N13" s="14">
        <v>-81</v>
      </c>
      <c r="O13" s="15">
        <f>N13*1.05</f>
        <v>-85.05</v>
      </c>
      <c r="P13" s="14">
        <f t="shared" ref="P13:X13" si="11">O13*1.05</f>
        <v>-89.302499999999995</v>
      </c>
      <c r="Q13" s="14">
        <f t="shared" si="11"/>
        <v>-93.767624999999995</v>
      </c>
      <c r="R13" s="14">
        <f t="shared" si="11"/>
        <v>-98.456006250000002</v>
      </c>
      <c r="S13" s="14">
        <f t="shared" si="11"/>
        <v>-103.3788065625</v>
      </c>
      <c r="T13" s="14">
        <f t="shared" si="11"/>
        <v>-108.54774689062501</v>
      </c>
      <c r="U13" s="14">
        <f t="shared" si="11"/>
        <v>-113.97513423515626</v>
      </c>
      <c r="V13" s="14">
        <f t="shared" si="11"/>
        <v>-119.67389094691409</v>
      </c>
      <c r="W13" s="14">
        <f t="shared" si="11"/>
        <v>-125.65758549425979</v>
      </c>
      <c r="X13" s="14">
        <f t="shared" si="11"/>
        <v>-131.94046476897279</v>
      </c>
      <c r="Y13" s="14"/>
      <c r="Z13" s="14"/>
    </row>
    <row r="14" spans="1:16366" x14ac:dyDescent="0.25">
      <c r="C14" s="3" t="s">
        <v>29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-3</v>
      </c>
      <c r="L14" s="14">
        <v>-1</v>
      </c>
      <c r="M14" s="14">
        <v>33</v>
      </c>
      <c r="N14" s="14">
        <v>-25</v>
      </c>
      <c r="O14" s="15">
        <v>-2.5</v>
      </c>
      <c r="P14" s="14">
        <v>-2.5</v>
      </c>
      <c r="Q14" s="14">
        <v>-2.5</v>
      </c>
      <c r="R14" s="14">
        <v>-2.5</v>
      </c>
      <c r="S14" s="14">
        <v>-2.5</v>
      </c>
      <c r="T14" s="14">
        <v>-2.5</v>
      </c>
      <c r="U14" s="14">
        <v>-2.5</v>
      </c>
      <c r="V14" s="14">
        <v>-2.5</v>
      </c>
      <c r="W14" s="14">
        <v>-2.5</v>
      </c>
      <c r="X14" s="14">
        <v>-2.5</v>
      </c>
      <c r="Y14" s="14"/>
      <c r="Z14" s="14"/>
    </row>
    <row r="15" spans="1:16366" x14ac:dyDescent="0.25">
      <c r="C15" s="3" t="s">
        <v>30</v>
      </c>
      <c r="D15" s="14">
        <f t="shared" ref="D15:X15" si="12">SUM(D12:D14)</f>
        <v>99.053999999999959</v>
      </c>
      <c r="E15" s="14">
        <f t="shared" si="12"/>
        <v>159.50599999999994</v>
      </c>
      <c r="F15" s="14">
        <f t="shared" si="12"/>
        <v>167.08899999999991</v>
      </c>
      <c r="G15" s="14">
        <f t="shared" si="12"/>
        <v>200.50700000000001</v>
      </c>
      <c r="H15" s="14">
        <f t="shared" si="12"/>
        <v>260.94999999999982</v>
      </c>
      <c r="I15" s="14">
        <f t="shared" si="12"/>
        <v>454.20099999999985</v>
      </c>
      <c r="J15" s="14">
        <f t="shared" si="12"/>
        <v>485.18399999999997</v>
      </c>
      <c r="K15" s="14">
        <f t="shared" si="12"/>
        <v>319</v>
      </c>
      <c r="L15" s="14">
        <f t="shared" si="12"/>
        <v>402</v>
      </c>
      <c r="M15" s="14">
        <f t="shared" si="12"/>
        <v>498</v>
      </c>
      <c r="N15" s="14">
        <f t="shared" si="12"/>
        <v>286</v>
      </c>
      <c r="O15" s="15">
        <f t="shared" si="12"/>
        <v>362.44999999999976</v>
      </c>
      <c r="P15" s="14">
        <f t="shared" si="12"/>
        <v>358.19749999999976</v>
      </c>
      <c r="Q15" s="14">
        <f t="shared" si="12"/>
        <v>353.73237499999976</v>
      </c>
      <c r="R15" s="14">
        <f t="shared" si="12"/>
        <v>349.0439937499998</v>
      </c>
      <c r="S15" s="14">
        <f t="shared" si="12"/>
        <v>344.12119343749976</v>
      </c>
      <c r="T15" s="14">
        <f t="shared" si="12"/>
        <v>338.95225310937474</v>
      </c>
      <c r="U15" s="14">
        <f t="shared" si="12"/>
        <v>333.52486576484353</v>
      </c>
      <c r="V15" s="14">
        <f t="shared" si="12"/>
        <v>327.8261090530857</v>
      </c>
      <c r="W15" s="14">
        <f t="shared" si="12"/>
        <v>321.84241450573995</v>
      </c>
      <c r="X15" s="14">
        <f t="shared" si="12"/>
        <v>315.55953523102698</v>
      </c>
      <c r="Y15" s="14"/>
      <c r="Z15" s="14"/>
    </row>
    <row r="16" spans="1:16366" x14ac:dyDescent="0.25">
      <c r="C16" s="3" t="s">
        <v>31</v>
      </c>
      <c r="D16" s="14">
        <v>2.2999999999999998</v>
      </c>
      <c r="E16" s="14">
        <v>-25.4</v>
      </c>
      <c r="F16" s="14">
        <v>-25.7</v>
      </c>
      <c r="G16" s="14">
        <v>-31.6</v>
      </c>
      <c r="H16" s="14">
        <v>-53</v>
      </c>
      <c r="I16" s="14">
        <v>-98.195999999999998</v>
      </c>
      <c r="J16" s="14">
        <v>-100.741</v>
      </c>
      <c r="K16" s="14">
        <v>-70</v>
      </c>
      <c r="L16" s="14">
        <v>-89</v>
      </c>
      <c r="M16" s="14">
        <v>-100</v>
      </c>
      <c r="N16" s="14">
        <v>-59</v>
      </c>
      <c r="O16" s="15">
        <f t="shared" ref="O16:X16" si="13">O15*-0.22</f>
        <v>-79.738999999999947</v>
      </c>
      <c r="P16" s="14">
        <f t="shared" si="13"/>
        <v>-78.803449999999955</v>
      </c>
      <c r="Q16" s="14">
        <f t="shared" si="13"/>
        <v>-77.821122499999944</v>
      </c>
      <c r="R16" s="14">
        <f t="shared" si="13"/>
        <v>-76.789678624999951</v>
      </c>
      <c r="S16" s="14">
        <f t="shared" si="13"/>
        <v>-75.706662556249952</v>
      </c>
      <c r="T16" s="14">
        <f t="shared" si="13"/>
        <v>-74.569495684062446</v>
      </c>
      <c r="U16" s="14">
        <f t="shared" si="13"/>
        <v>-73.375470468265576</v>
      </c>
      <c r="V16" s="14">
        <f t="shared" si="13"/>
        <v>-72.121743991678855</v>
      </c>
      <c r="W16" s="14">
        <f t="shared" si="13"/>
        <v>-70.805331191262795</v>
      </c>
      <c r="X16" s="14">
        <f t="shared" si="13"/>
        <v>-69.423097750825931</v>
      </c>
    </row>
    <row r="17" spans="2:16366" x14ac:dyDescent="0.25">
      <c r="C17" s="1" t="s">
        <v>32</v>
      </c>
      <c r="D17" s="18">
        <f t="shared" ref="D17:X17" si="14">SUM(D15:D16)</f>
        <v>101.35399999999996</v>
      </c>
      <c r="E17" s="18">
        <f t="shared" si="14"/>
        <v>134.10599999999994</v>
      </c>
      <c r="F17" s="18">
        <f t="shared" si="14"/>
        <v>141.38899999999992</v>
      </c>
      <c r="G17" s="18">
        <f t="shared" si="14"/>
        <v>168.90700000000001</v>
      </c>
      <c r="H17" s="18">
        <f t="shared" si="14"/>
        <v>207.94999999999982</v>
      </c>
      <c r="I17" s="18">
        <f t="shared" si="14"/>
        <v>356.00499999999988</v>
      </c>
      <c r="J17" s="18">
        <f t="shared" si="14"/>
        <v>384.44299999999998</v>
      </c>
      <c r="K17" s="18">
        <f t="shared" si="14"/>
        <v>249</v>
      </c>
      <c r="L17" s="18">
        <f t="shared" si="14"/>
        <v>313</v>
      </c>
      <c r="M17" s="18">
        <f t="shared" si="14"/>
        <v>398</v>
      </c>
      <c r="N17" s="18">
        <f t="shared" si="14"/>
        <v>227</v>
      </c>
      <c r="O17" s="16">
        <f t="shared" si="14"/>
        <v>282.71099999999979</v>
      </c>
      <c r="P17" s="18">
        <f t="shared" si="14"/>
        <v>279.39404999999982</v>
      </c>
      <c r="Q17" s="18">
        <f t="shared" si="14"/>
        <v>275.91125249999982</v>
      </c>
      <c r="R17" s="18">
        <f t="shared" si="14"/>
        <v>272.25431512499983</v>
      </c>
      <c r="S17" s="18">
        <f t="shared" si="14"/>
        <v>268.41453088124979</v>
      </c>
      <c r="T17" s="18">
        <f t="shared" si="14"/>
        <v>264.38275742531232</v>
      </c>
      <c r="U17" s="18">
        <f t="shared" si="14"/>
        <v>260.14939529657795</v>
      </c>
      <c r="V17" s="18">
        <f t="shared" si="14"/>
        <v>255.70436506140686</v>
      </c>
      <c r="W17" s="18">
        <f t="shared" si="14"/>
        <v>251.03708331447717</v>
      </c>
      <c r="X17" s="18">
        <f t="shared" si="14"/>
        <v>246.13643748020104</v>
      </c>
      <c r="Y17" s="18">
        <f>X17*(1+$AA$21)</f>
        <v>248.59780185500304</v>
      </c>
      <c r="Z17" s="18">
        <f t="shared" ref="Z17:CK17" si="15">Y17*(1+$AA$21)</f>
        <v>251.08377987355308</v>
      </c>
      <c r="AA17" s="18">
        <f t="shared" si="15"/>
        <v>253.59461767228862</v>
      </c>
      <c r="AB17" s="18">
        <f t="shared" si="15"/>
        <v>256.13056384901154</v>
      </c>
      <c r="AC17" s="18">
        <f t="shared" si="15"/>
        <v>258.69186948750166</v>
      </c>
      <c r="AD17" s="18">
        <f t="shared" si="15"/>
        <v>261.27878818237667</v>
      </c>
      <c r="AE17" s="18">
        <f t="shared" si="15"/>
        <v>263.89157606420042</v>
      </c>
      <c r="AF17" s="18">
        <f t="shared" si="15"/>
        <v>266.53049182484244</v>
      </c>
      <c r="AG17" s="18">
        <f t="shared" si="15"/>
        <v>269.19579674309085</v>
      </c>
      <c r="AH17" s="18">
        <f t="shared" si="15"/>
        <v>271.88775471052179</v>
      </c>
      <c r="AI17" s="18">
        <f t="shared" si="15"/>
        <v>274.60663225762698</v>
      </c>
      <c r="AJ17" s="18">
        <f t="shared" si="15"/>
        <v>277.35269858020325</v>
      </c>
      <c r="AK17" s="18">
        <f t="shared" si="15"/>
        <v>280.1262255660053</v>
      </c>
      <c r="AL17" s="18">
        <f t="shared" si="15"/>
        <v>282.92748782166535</v>
      </c>
      <c r="AM17" s="18">
        <f t="shared" si="15"/>
        <v>285.75676269988202</v>
      </c>
      <c r="AN17" s="18">
        <f t="shared" si="15"/>
        <v>288.61433032688086</v>
      </c>
      <c r="AO17" s="18">
        <f t="shared" si="15"/>
        <v>291.50047363014966</v>
      </c>
      <c r="AP17" s="18">
        <f t="shared" si="15"/>
        <v>294.41547836645117</v>
      </c>
      <c r="AQ17" s="18">
        <f t="shared" si="15"/>
        <v>297.35963315011566</v>
      </c>
      <c r="AR17" s="18">
        <f t="shared" si="15"/>
        <v>300.3332294816168</v>
      </c>
      <c r="AS17" s="18">
        <f t="shared" si="15"/>
        <v>303.33656177643297</v>
      </c>
      <c r="AT17" s="18">
        <f t="shared" si="15"/>
        <v>306.3699273941973</v>
      </c>
      <c r="AU17" s="18">
        <f t="shared" si="15"/>
        <v>309.43362666813925</v>
      </c>
      <c r="AV17" s="18">
        <f t="shared" si="15"/>
        <v>312.52796293482066</v>
      </c>
      <c r="AW17" s="18">
        <f t="shared" si="15"/>
        <v>315.65324256416886</v>
      </c>
      <c r="AX17" s="18">
        <f t="shared" si="15"/>
        <v>318.80977498981053</v>
      </c>
      <c r="AY17" s="18">
        <f t="shared" si="15"/>
        <v>321.99787273970867</v>
      </c>
      <c r="AZ17" s="18">
        <f t="shared" si="15"/>
        <v>325.21785146710573</v>
      </c>
      <c r="BA17" s="18">
        <f t="shared" si="15"/>
        <v>328.4700299817768</v>
      </c>
      <c r="BB17" s="18">
        <f t="shared" si="15"/>
        <v>331.75473028159456</v>
      </c>
      <c r="BC17" s="18">
        <f t="shared" si="15"/>
        <v>335.07227758441053</v>
      </c>
      <c r="BD17" s="18">
        <f t="shared" si="15"/>
        <v>338.42300036025466</v>
      </c>
      <c r="BE17" s="18">
        <f t="shared" si="15"/>
        <v>341.80723036385723</v>
      </c>
      <c r="BF17" s="18">
        <f t="shared" si="15"/>
        <v>345.22530266749578</v>
      </c>
      <c r="BG17" s="18">
        <f t="shared" si="15"/>
        <v>348.67755569417074</v>
      </c>
      <c r="BH17" s="18">
        <f t="shared" si="15"/>
        <v>352.16433125111246</v>
      </c>
      <c r="BI17" s="18">
        <f t="shared" si="15"/>
        <v>355.68597456362357</v>
      </c>
      <c r="BJ17" s="18">
        <f t="shared" si="15"/>
        <v>359.24283430925982</v>
      </c>
      <c r="BK17" s="18">
        <f t="shared" si="15"/>
        <v>362.83526265235241</v>
      </c>
      <c r="BL17" s="18">
        <f t="shared" si="15"/>
        <v>366.46361527887592</v>
      </c>
      <c r="BM17" s="18">
        <f t="shared" si="15"/>
        <v>370.12825143166469</v>
      </c>
      <c r="BN17" s="18">
        <f t="shared" si="15"/>
        <v>373.82953394598132</v>
      </c>
      <c r="BO17" s="18">
        <f t="shared" si="15"/>
        <v>377.56782928544112</v>
      </c>
      <c r="BP17" s="18">
        <f t="shared" si="15"/>
        <v>381.34350757829554</v>
      </c>
      <c r="BQ17" s="18">
        <f t="shared" si="15"/>
        <v>385.15694265407848</v>
      </c>
      <c r="BR17" s="18">
        <f t="shared" si="15"/>
        <v>389.00851208061925</v>
      </c>
      <c r="BS17" s="18">
        <f t="shared" si="15"/>
        <v>392.89859720142545</v>
      </c>
      <c r="BT17" s="18">
        <f t="shared" si="15"/>
        <v>396.82758317343968</v>
      </c>
      <c r="BU17" s="18">
        <f t="shared" si="15"/>
        <v>400.79585900517407</v>
      </c>
      <c r="BV17" s="18">
        <f t="shared" si="15"/>
        <v>404.80381759522584</v>
      </c>
      <c r="BW17" s="18">
        <f t="shared" si="15"/>
        <v>408.85185577117812</v>
      </c>
      <c r="BX17" s="18">
        <f t="shared" si="15"/>
        <v>412.9403743288899</v>
      </c>
      <c r="BY17" s="18">
        <f t="shared" si="15"/>
        <v>417.06977807217879</v>
      </c>
      <c r="BZ17" s="18">
        <f t="shared" si="15"/>
        <v>421.2404758529006</v>
      </c>
      <c r="CA17" s="18">
        <f t="shared" si="15"/>
        <v>425.45288061142963</v>
      </c>
      <c r="CB17" s="18">
        <f t="shared" si="15"/>
        <v>429.70740941754394</v>
      </c>
      <c r="CC17" s="18">
        <f t="shared" si="15"/>
        <v>434.0044835117194</v>
      </c>
      <c r="CD17" s="18">
        <f t="shared" si="15"/>
        <v>438.34452834683663</v>
      </c>
      <c r="CE17" s="18">
        <f t="shared" si="15"/>
        <v>442.72797363030497</v>
      </c>
      <c r="CF17" s="18">
        <f t="shared" si="15"/>
        <v>447.15525336660801</v>
      </c>
      <c r="CG17" s="18">
        <f t="shared" si="15"/>
        <v>451.62680590027406</v>
      </c>
      <c r="CH17" s="18">
        <f t="shared" si="15"/>
        <v>456.14307395927682</v>
      </c>
      <c r="CI17" s="18">
        <f t="shared" si="15"/>
        <v>460.70450469886958</v>
      </c>
      <c r="CJ17" s="18">
        <f t="shared" si="15"/>
        <v>465.31154974585826</v>
      </c>
      <c r="CK17" s="18">
        <f t="shared" si="15"/>
        <v>469.96466524331686</v>
      </c>
      <c r="CL17" s="18">
        <f t="shared" ref="CL17:EU17" si="16">CK17*(1+$AA$21)</f>
        <v>474.66431189575002</v>
      </c>
      <c r="CM17" s="18">
        <f t="shared" si="16"/>
        <v>479.4109550147075</v>
      </c>
      <c r="CN17" s="18">
        <f t="shared" si="16"/>
        <v>484.20506456485458</v>
      </c>
      <c r="CO17" s="18">
        <f t="shared" si="16"/>
        <v>489.04711521050314</v>
      </c>
      <c r="CP17" s="18">
        <f t="shared" si="16"/>
        <v>493.93758636260816</v>
      </c>
      <c r="CQ17" s="18">
        <f t="shared" si="16"/>
        <v>498.87696222623424</v>
      </c>
      <c r="CR17" s="18">
        <f t="shared" si="16"/>
        <v>503.86573184849658</v>
      </c>
      <c r="CS17" s="18">
        <f t="shared" si="16"/>
        <v>508.90438916698156</v>
      </c>
      <c r="CT17" s="18">
        <f t="shared" si="16"/>
        <v>513.99343305865136</v>
      </c>
      <c r="CU17" s="18">
        <f t="shared" si="16"/>
        <v>519.13336738923783</v>
      </c>
      <c r="CV17" s="18">
        <f t="shared" si="16"/>
        <v>524.32470106313019</v>
      </c>
      <c r="CW17" s="18">
        <f t="shared" si="16"/>
        <v>529.5679480737615</v>
      </c>
      <c r="CX17" s="18">
        <f t="shared" si="16"/>
        <v>534.86362755449909</v>
      </c>
      <c r="CY17" s="18">
        <f t="shared" si="16"/>
        <v>540.21226383004409</v>
      </c>
      <c r="CZ17" s="18">
        <f t="shared" si="16"/>
        <v>545.61438646834449</v>
      </c>
      <c r="DA17" s="18">
        <f t="shared" si="16"/>
        <v>551.07053033302793</v>
      </c>
      <c r="DB17" s="18">
        <f t="shared" si="16"/>
        <v>556.5812356363582</v>
      </c>
      <c r="DC17" s="18">
        <f t="shared" si="16"/>
        <v>562.14704799272181</v>
      </c>
      <c r="DD17" s="18">
        <f t="shared" si="16"/>
        <v>567.76851847264902</v>
      </c>
      <c r="DE17" s="18">
        <f t="shared" si="16"/>
        <v>573.44620365737546</v>
      </c>
      <c r="DF17" s="18">
        <f t="shared" si="16"/>
        <v>579.18066569394921</v>
      </c>
      <c r="DG17" s="18">
        <f t="shared" si="16"/>
        <v>584.97247235088867</v>
      </c>
      <c r="DH17" s="18">
        <f t="shared" si="16"/>
        <v>590.82219707439754</v>
      </c>
      <c r="DI17" s="18">
        <f t="shared" si="16"/>
        <v>596.7304190451415</v>
      </c>
      <c r="DJ17" s="18">
        <f t="shared" si="16"/>
        <v>602.69772323559289</v>
      </c>
      <c r="DK17" s="18">
        <f t="shared" si="16"/>
        <v>608.72470046794888</v>
      </c>
      <c r="DL17" s="18">
        <f t="shared" si="16"/>
        <v>614.81194747262839</v>
      </c>
      <c r="DM17" s="18">
        <f t="shared" si="16"/>
        <v>620.96006694735468</v>
      </c>
      <c r="DN17" s="18">
        <f t="shared" si="16"/>
        <v>627.16966761682818</v>
      </c>
      <c r="DO17" s="18">
        <f t="shared" si="16"/>
        <v>633.44136429299647</v>
      </c>
      <c r="DP17" s="18">
        <f t="shared" si="16"/>
        <v>639.77577793592638</v>
      </c>
      <c r="DQ17" s="18">
        <f t="shared" si="16"/>
        <v>646.17353571528565</v>
      </c>
      <c r="DR17" s="18">
        <f t="shared" si="16"/>
        <v>652.63527107243851</v>
      </c>
      <c r="DS17" s="18">
        <f t="shared" si="16"/>
        <v>659.1616237831629</v>
      </c>
      <c r="DT17" s="18">
        <f t="shared" si="16"/>
        <v>665.75324002099455</v>
      </c>
      <c r="DU17" s="18">
        <f t="shared" si="16"/>
        <v>672.41077242120446</v>
      </c>
      <c r="DV17" s="18">
        <f t="shared" si="16"/>
        <v>679.13488014541656</v>
      </c>
      <c r="DW17" s="18">
        <f t="shared" si="16"/>
        <v>685.92622894687076</v>
      </c>
      <c r="DX17" s="18">
        <f t="shared" si="16"/>
        <v>692.78549123633945</v>
      </c>
      <c r="DY17" s="18">
        <f t="shared" si="16"/>
        <v>699.71334614870284</v>
      </c>
      <c r="DZ17" s="18">
        <f t="shared" si="16"/>
        <v>706.71047961018985</v>
      </c>
      <c r="EA17" s="18">
        <f t="shared" si="16"/>
        <v>713.77758440629179</v>
      </c>
      <c r="EB17" s="18">
        <f t="shared" si="16"/>
        <v>720.91536025035475</v>
      </c>
      <c r="EC17" s="18">
        <f t="shared" si="16"/>
        <v>728.12451385285829</v>
      </c>
      <c r="ED17" s="18">
        <f t="shared" si="16"/>
        <v>735.40575899138685</v>
      </c>
      <c r="EE17" s="18">
        <f t="shared" si="16"/>
        <v>742.7598165813007</v>
      </c>
      <c r="EF17" s="18">
        <f t="shared" si="16"/>
        <v>750.18741474711373</v>
      </c>
      <c r="EG17" s="18">
        <f t="shared" si="16"/>
        <v>757.68928889458493</v>
      </c>
      <c r="EH17" s="18">
        <f t="shared" si="16"/>
        <v>765.26618178353078</v>
      </c>
      <c r="EI17" s="18">
        <f t="shared" si="16"/>
        <v>772.91884360136612</v>
      </c>
      <c r="EJ17" s="18">
        <f t="shared" si="16"/>
        <v>780.64803203737983</v>
      </c>
      <c r="EK17" s="18">
        <f t="shared" si="16"/>
        <v>788.45451235775363</v>
      </c>
      <c r="EL17" s="18">
        <f t="shared" si="16"/>
        <v>796.33905748133122</v>
      </c>
      <c r="EM17" s="18">
        <f t="shared" si="16"/>
        <v>804.3024480561445</v>
      </c>
      <c r="EN17" s="18">
        <f t="shared" si="16"/>
        <v>812.34547253670598</v>
      </c>
      <c r="EO17" s="18">
        <f t="shared" si="16"/>
        <v>820.46892726207307</v>
      </c>
      <c r="EP17" s="18">
        <f t="shared" si="16"/>
        <v>828.67361653469379</v>
      </c>
      <c r="EQ17" s="18">
        <f t="shared" si="16"/>
        <v>836.96035270004074</v>
      </c>
      <c r="ER17" s="18">
        <f t="shared" si="16"/>
        <v>845.32995622704118</v>
      </c>
      <c r="ES17" s="18">
        <f t="shared" si="16"/>
        <v>853.78325578931162</v>
      </c>
      <c r="ET17" s="18">
        <f t="shared" si="16"/>
        <v>862.32108834720475</v>
      </c>
      <c r="EU17" s="18">
        <f t="shared" si="16"/>
        <v>870.94429923067685</v>
      </c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2:16366" x14ac:dyDescent="0.25">
      <c r="C18" s="3" t="s">
        <v>143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V18" s="17">
        <v>40.645161999999999</v>
      </c>
      <c r="W18" s="17">
        <v>40.645161999999999</v>
      </c>
      <c r="X18" s="17">
        <v>40.645161999999999</v>
      </c>
    </row>
    <row r="19" spans="2:16366" x14ac:dyDescent="0.25">
      <c r="C19" s="3" t="s">
        <v>33</v>
      </c>
      <c r="D19" s="19">
        <f t="shared" ref="D19:X19" si="17">D17/D18</f>
        <v>2.4936301151905842</v>
      </c>
      <c r="E19" s="19">
        <f t="shared" si="17"/>
        <v>3.2994332757241795</v>
      </c>
      <c r="F19" s="19">
        <f t="shared" si="17"/>
        <v>3.4786181932304743</v>
      </c>
      <c r="G19" s="19">
        <f t="shared" si="17"/>
        <v>4.1556483401394742</v>
      </c>
      <c r="H19" s="19">
        <f t="shared" si="17"/>
        <v>5.1162300693991529</v>
      </c>
      <c r="I19" s="19">
        <f t="shared" si="17"/>
        <v>8.7588530216708183</v>
      </c>
      <c r="J19" s="19">
        <f t="shared" si="17"/>
        <v>9.4585180888195257</v>
      </c>
      <c r="K19" s="19">
        <f t="shared" si="17"/>
        <v>6.126190369225248</v>
      </c>
      <c r="L19" s="19">
        <f t="shared" si="17"/>
        <v>7.7007935163353514</v>
      </c>
      <c r="M19" s="19">
        <f t="shared" si="17"/>
        <v>9.7920633210909589</v>
      </c>
      <c r="N19" s="19">
        <f t="shared" si="17"/>
        <v>5.5849205374061492</v>
      </c>
      <c r="O19" s="5">
        <f t="shared" si="17"/>
        <v>6.9555879737913155</v>
      </c>
      <c r="P19" s="19">
        <f t="shared" si="17"/>
        <v>6.8739804752162099</v>
      </c>
      <c r="Q19" s="19">
        <f t="shared" si="17"/>
        <v>6.7882926017123468</v>
      </c>
      <c r="R19" s="19">
        <f t="shared" si="17"/>
        <v>6.6983203345332916</v>
      </c>
      <c r="S19" s="19">
        <f t="shared" si="17"/>
        <v>6.6038494539952826</v>
      </c>
      <c r="T19" s="19">
        <f t="shared" si="17"/>
        <v>6.5046550294303742</v>
      </c>
      <c r="U19" s="19">
        <f t="shared" si="17"/>
        <v>6.4005008836372204</v>
      </c>
      <c r="V19" s="19">
        <f t="shared" si="17"/>
        <v>6.2911390305544082</v>
      </c>
      <c r="W19" s="19">
        <f t="shared" si="17"/>
        <v>6.1763090848174542</v>
      </c>
      <c r="X19" s="19">
        <f t="shared" si="17"/>
        <v>6.0557376417936544</v>
      </c>
    </row>
    <row r="20" spans="2:16366" x14ac:dyDescent="0.25">
      <c r="Z20" s="3" t="s">
        <v>84</v>
      </c>
      <c r="AA20" s="24">
        <v>0.08</v>
      </c>
    </row>
    <row r="21" spans="2:16366" x14ac:dyDescent="0.25">
      <c r="C21" s="1" t="s">
        <v>34</v>
      </c>
      <c r="E21" s="20">
        <f t="shared" ref="E21:X21" si="18">(E6-D6)/D6</f>
        <v>8.8926675144759354E-2</v>
      </c>
      <c r="F21" s="20">
        <f t="shared" si="18"/>
        <v>6.700722174365431E-2</v>
      </c>
      <c r="G21" s="20">
        <f t="shared" si="18"/>
        <v>6.12894638229904E-2</v>
      </c>
      <c r="H21" s="20">
        <f t="shared" si="18"/>
        <v>0.59787057833156665</v>
      </c>
      <c r="I21" s="20">
        <f t="shared" si="18"/>
        <v>0.27816891194362209</v>
      </c>
      <c r="J21" s="20">
        <f t="shared" si="18"/>
        <v>3.6992141531203324E-2</v>
      </c>
      <c r="K21" s="20">
        <f t="shared" si="18"/>
        <v>2.4751085901433365E-2</v>
      </c>
      <c r="L21" s="20">
        <f t="shared" si="18"/>
        <v>7.3178391959799E-2</v>
      </c>
      <c r="M21" s="20">
        <f t="shared" si="18"/>
        <v>0.10916008194322505</v>
      </c>
      <c r="N21" s="20">
        <f t="shared" si="18"/>
        <v>4.1688654353562005E-2</v>
      </c>
      <c r="O21" s="21">
        <f t="shared" si="18"/>
        <v>-1.0131712259371835E-3</v>
      </c>
      <c r="P21" s="20">
        <f t="shared" si="18"/>
        <v>0</v>
      </c>
      <c r="Q21" s="20">
        <f t="shared" si="18"/>
        <v>0</v>
      </c>
      <c r="R21" s="20">
        <f t="shared" si="18"/>
        <v>0</v>
      </c>
      <c r="S21" s="20">
        <f t="shared" si="18"/>
        <v>0</v>
      </c>
      <c r="T21" s="20">
        <f t="shared" si="18"/>
        <v>0</v>
      </c>
      <c r="U21" s="20">
        <f t="shared" si="18"/>
        <v>0</v>
      </c>
      <c r="V21" s="20">
        <f t="shared" si="18"/>
        <v>0</v>
      </c>
      <c r="W21" s="20">
        <f t="shared" si="18"/>
        <v>0</v>
      </c>
      <c r="X21" s="20">
        <f t="shared" si="18"/>
        <v>0</v>
      </c>
      <c r="Z21" s="3" t="s">
        <v>85</v>
      </c>
      <c r="AA21" s="24">
        <v>0.01</v>
      </c>
    </row>
    <row r="22" spans="2:16366" x14ac:dyDescent="0.25">
      <c r="C22" s="27" t="s">
        <v>135</v>
      </c>
      <c r="D22" s="54"/>
      <c r="E22" s="54"/>
      <c r="F22" s="54"/>
      <c r="G22" s="54"/>
      <c r="H22" s="54"/>
      <c r="I22" s="27"/>
      <c r="J22" s="27"/>
      <c r="K22" s="27"/>
      <c r="L22" s="27"/>
      <c r="M22" s="27"/>
      <c r="N22" s="27">
        <v>1.4E-2</v>
      </c>
      <c r="O22" s="63"/>
      <c r="P22" s="27"/>
      <c r="Q22" s="27"/>
      <c r="R22" s="27"/>
      <c r="S22" s="27"/>
      <c r="T22" s="27"/>
      <c r="U22" s="27"/>
      <c r="V22" s="27"/>
      <c r="W22" s="27"/>
      <c r="X22" s="27"/>
      <c r="Y22" s="1"/>
      <c r="Z22" s="22" t="s">
        <v>86</v>
      </c>
      <c r="AA22" s="26">
        <f>NPV(AA20,N17:DG17)</f>
        <v>3394.8294029296735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2:16366" x14ac:dyDescent="0.25">
      <c r="C23" s="27" t="s">
        <v>136</v>
      </c>
      <c r="D23" s="54"/>
      <c r="E23" s="27">
        <f>((E9+E10+E11)-(D9+D10+D11))/(D9+D10+D11)</f>
        <v>5.1251644398500044E-2</v>
      </c>
      <c r="F23" s="27">
        <f t="shared" ref="F23:X23" si="19">((F9+F10+F11)-(E9+E10+E11))/(E9+E10+E11)</f>
        <v>7.7120404126112013E-2</v>
      </c>
      <c r="G23" s="27">
        <f t="shared" si="19"/>
        <v>3.908547141640175E-2</v>
      </c>
      <c r="H23" s="27">
        <f t="shared" si="19"/>
        <v>0.64057458699906555</v>
      </c>
      <c r="I23" s="27">
        <f t="shared" si="19"/>
        <v>0.25432801281724043</v>
      </c>
      <c r="J23" s="27">
        <f t="shared" si="19"/>
        <v>4.1389138581859929E-3</v>
      </c>
      <c r="K23" s="27">
        <f t="shared" si="19"/>
        <v>5.3749770692104591E-2</v>
      </c>
      <c r="L23" s="27">
        <f t="shared" si="19"/>
        <v>9.5141700404858295E-2</v>
      </c>
      <c r="M23" s="27">
        <f t="shared" si="19"/>
        <v>0.10412815773259396</v>
      </c>
      <c r="N23" s="27">
        <f t="shared" si="19"/>
        <v>0.13616071428571427</v>
      </c>
      <c r="O23" s="63">
        <f t="shared" si="19"/>
        <v>-2.0000000000000014E-2</v>
      </c>
      <c r="P23" s="27">
        <f t="shared" si="19"/>
        <v>0</v>
      </c>
      <c r="Q23" s="27">
        <f t="shared" si="19"/>
        <v>0</v>
      </c>
      <c r="R23" s="27">
        <f t="shared" si="19"/>
        <v>0</v>
      </c>
      <c r="S23" s="27">
        <f t="shared" si="19"/>
        <v>0</v>
      </c>
      <c r="T23" s="27">
        <f t="shared" si="19"/>
        <v>0</v>
      </c>
      <c r="U23" s="27">
        <f t="shared" si="19"/>
        <v>0</v>
      </c>
      <c r="V23" s="27">
        <f t="shared" si="19"/>
        <v>0</v>
      </c>
      <c r="W23" s="27">
        <f t="shared" si="19"/>
        <v>0</v>
      </c>
      <c r="X23" s="27">
        <f t="shared" si="19"/>
        <v>0</v>
      </c>
      <c r="Z23" s="3" t="s">
        <v>2</v>
      </c>
      <c r="AA23" s="23">
        <v>40.645161999999999</v>
      </c>
    </row>
    <row r="24" spans="2:16366" s="11" customFormat="1" x14ac:dyDescent="0.25">
      <c r="B24" s="12"/>
      <c r="C24" s="3" t="s">
        <v>156</v>
      </c>
      <c r="D24" s="54">
        <f t="shared" ref="D24:X24" si="20">D8/D6</f>
        <v>0.58646183639522476</v>
      </c>
      <c r="E24" s="54">
        <f t="shared" si="20"/>
        <v>0.60224911464942588</v>
      </c>
      <c r="F24" s="54">
        <f t="shared" si="20"/>
        <v>0.60384116231728469</v>
      </c>
      <c r="G24" s="54">
        <f t="shared" si="20"/>
        <v>0.60926748303585732</v>
      </c>
      <c r="H24" s="54">
        <f t="shared" si="20"/>
        <v>0.60512162035338579</v>
      </c>
      <c r="I24" s="54">
        <f t="shared" si="20"/>
        <v>0.62853232265045256</v>
      </c>
      <c r="J24" s="54">
        <f t="shared" si="20"/>
        <v>0.62682002744685061</v>
      </c>
      <c r="K24" s="54">
        <f t="shared" si="20"/>
        <v>0.58165829145728642</v>
      </c>
      <c r="L24" s="54">
        <f t="shared" si="20"/>
        <v>0.61545215100965756</v>
      </c>
      <c r="M24" s="54">
        <f t="shared" si="20"/>
        <v>0.61926121372031662</v>
      </c>
      <c r="N24" s="54">
        <f t="shared" si="20"/>
        <v>0.6149949341438703</v>
      </c>
      <c r="O24" s="55">
        <f t="shared" si="20"/>
        <v>0.61999999999999988</v>
      </c>
      <c r="P24" s="54">
        <f t="shared" si="20"/>
        <v>0.61999999999999988</v>
      </c>
      <c r="Q24" s="54">
        <f t="shared" si="20"/>
        <v>0.61999999999999988</v>
      </c>
      <c r="R24" s="54">
        <f t="shared" si="20"/>
        <v>0.61999999999999988</v>
      </c>
      <c r="S24" s="54">
        <f t="shared" si="20"/>
        <v>0.61999999999999988</v>
      </c>
      <c r="T24" s="54">
        <f t="shared" si="20"/>
        <v>0.61999999999999988</v>
      </c>
      <c r="U24" s="54">
        <f t="shared" si="20"/>
        <v>0.61999999999999988</v>
      </c>
      <c r="V24" s="54">
        <f t="shared" si="20"/>
        <v>0.61999999999999988</v>
      </c>
      <c r="W24" s="54">
        <f t="shared" si="20"/>
        <v>0.61999999999999988</v>
      </c>
      <c r="X24" s="54">
        <f t="shared" si="20"/>
        <v>0.61999999999999988</v>
      </c>
      <c r="Z24" s="20" t="s">
        <v>87</v>
      </c>
      <c r="AA24" s="81">
        <f>AA22/AA23</f>
        <v>83.52357908992154</v>
      </c>
    </row>
    <row r="25" spans="2:16366" x14ac:dyDescent="0.25">
      <c r="C25" s="3" t="s">
        <v>155</v>
      </c>
      <c r="D25" s="11">
        <f t="shared" ref="D25:X25" si="21">D12/D6</f>
        <v>0.10023593528968261</v>
      </c>
      <c r="E25" s="11">
        <f t="shared" si="21"/>
        <v>0.13284581160480788</v>
      </c>
      <c r="F25" s="11">
        <f t="shared" si="21"/>
        <v>0.12998881608169319</v>
      </c>
      <c r="G25" s="11">
        <f t="shared" si="21"/>
        <v>0.14532893907222924</v>
      </c>
      <c r="H25" s="11">
        <f t="shared" si="21"/>
        <v>0.12878405241918275</v>
      </c>
      <c r="I25" s="11">
        <f t="shared" si="21"/>
        <v>0.16107958660435781</v>
      </c>
      <c r="J25" s="11">
        <f t="shared" si="21"/>
        <v>0.17417678758557828</v>
      </c>
      <c r="K25" s="11">
        <f t="shared" si="21"/>
        <v>0.11620603015075377</v>
      </c>
      <c r="L25" s="11">
        <f t="shared" si="21"/>
        <v>0.14047410008779632</v>
      </c>
      <c r="M25" s="11">
        <f t="shared" si="21"/>
        <v>0.14643799472295516</v>
      </c>
      <c r="N25" s="11">
        <f t="shared" si="21"/>
        <v>9.9290780141843976E-2</v>
      </c>
      <c r="O25" s="12">
        <f t="shared" si="21"/>
        <v>0.11409736308316425</v>
      </c>
      <c r="P25" s="11">
        <f t="shared" si="21"/>
        <v>0.11409736308316425</v>
      </c>
      <c r="Q25" s="11">
        <f t="shared" si="21"/>
        <v>0.11409736308316425</v>
      </c>
      <c r="R25" s="11">
        <f t="shared" si="21"/>
        <v>0.11409736308316425</v>
      </c>
      <c r="S25" s="11">
        <f t="shared" si="21"/>
        <v>0.11409736308316425</v>
      </c>
      <c r="T25" s="11">
        <f t="shared" si="21"/>
        <v>0.11409736308316425</v>
      </c>
      <c r="U25" s="11">
        <f t="shared" si="21"/>
        <v>0.11409736308316425</v>
      </c>
      <c r="V25" s="11">
        <f t="shared" si="21"/>
        <v>0.11409736308316425</v>
      </c>
      <c r="W25" s="11">
        <f t="shared" si="21"/>
        <v>0.11409736308316425</v>
      </c>
      <c r="X25" s="11">
        <f t="shared" si="21"/>
        <v>0.11409736308316425</v>
      </c>
      <c r="Z25" s="1" t="s">
        <v>88</v>
      </c>
      <c r="AA25" s="27">
        <f>(AA24-Modell!B4)/Modell!B4</f>
        <v>-0.29217305855998693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2025-01-14T15:01:10Z</dcterms:created>
  <dcterms:modified xsi:type="dcterms:W3CDTF">2026-09-15T09:49:32Z</dcterms:modified>
</cp:coreProperties>
</file>