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ugusthodt/Desktop/Aksjemodellering/"/>
    </mc:Choice>
  </mc:AlternateContent>
  <xr:revisionPtr revIDLastSave="0" documentId="13_ncr:1_{41FDDA14-8D30-8148-8ADC-8F61D98FEEA5}" xr6:coauthVersionLast="47" xr6:coauthVersionMax="47" xr10:uidLastSave="{00000000-0000-0000-0000-000000000000}"/>
  <bookViews>
    <workbookView xWindow="23920" yWindow="500" windowWidth="26880" windowHeight="26740" activeTab="1" xr2:uid="{5AE0DF26-B7DD-1242-A60E-253C73A930AF}"/>
  </bookViews>
  <sheets>
    <sheet name="Info" sheetId="1" r:id="rId1"/>
    <sheet name="Modell" sheetId="2" r:id="rId2"/>
    <sheet name="Nøkkeltall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7" i="2" l="1"/>
  <c r="AD8" i="2"/>
  <c r="AD9" i="2"/>
  <c r="AC8" i="2"/>
  <c r="AE8" i="2" s="1"/>
  <c r="AF8" i="2" s="1"/>
  <c r="AG8" i="2" s="1"/>
  <c r="AH8" i="2" s="1"/>
  <c r="AI8" i="2" s="1"/>
  <c r="AJ8" i="2" s="1"/>
  <c r="AK8" i="2" s="1"/>
  <c r="AL8" i="2" s="1"/>
  <c r="AC9" i="2"/>
  <c r="AC7" i="2"/>
  <c r="AE7" i="2"/>
  <c r="AF7" i="2" s="1"/>
  <c r="AG7" i="2" s="1"/>
  <c r="AH7" i="2" s="1"/>
  <c r="AI7" i="2" s="1"/>
  <c r="AJ7" i="2" s="1"/>
  <c r="AK7" i="2" s="1"/>
  <c r="AL7" i="2" s="1"/>
  <c r="AB8" i="2"/>
  <c r="AB9" i="2"/>
  <c r="AB7" i="2"/>
  <c r="AC5" i="2"/>
  <c r="AD5" i="2"/>
  <c r="AE5" i="2"/>
  <c r="AF5" i="2"/>
  <c r="AG5" i="2"/>
  <c r="AH5" i="2"/>
  <c r="AI5" i="2"/>
  <c r="AJ5" i="2"/>
  <c r="AK5" i="2"/>
  <c r="AL5" i="2"/>
  <c r="AB5" i="2"/>
  <c r="AC10" i="2"/>
  <c r="AD4" i="2"/>
  <c r="AE4" i="2"/>
  <c r="AC4" i="2"/>
  <c r="AB4" i="2"/>
  <c r="AC20" i="2" s="1"/>
  <c r="W22" i="2"/>
  <c r="X22" i="2"/>
  <c r="Y22" i="2"/>
  <c r="Z22" i="2"/>
  <c r="AA22" i="2"/>
  <c r="H22" i="2"/>
  <c r="I22" i="2"/>
  <c r="J22" i="2"/>
  <c r="K22" i="2"/>
  <c r="L22" i="2"/>
  <c r="M22" i="2"/>
  <c r="N22" i="2"/>
  <c r="O22" i="2"/>
  <c r="P22" i="2"/>
  <c r="AC6" i="2"/>
  <c r="AC23" i="2" s="1"/>
  <c r="AD6" i="2"/>
  <c r="AD23" i="2" s="1"/>
  <c r="AE6" i="2"/>
  <c r="AE23" i="2" s="1"/>
  <c r="E64" i="2"/>
  <c r="E56" i="2"/>
  <c r="E58" i="2" s="1"/>
  <c r="E53" i="2"/>
  <c r="E54" i="2" s="1"/>
  <c r="F53" i="2"/>
  <c r="F54" i="2" s="1"/>
  <c r="G53" i="2"/>
  <c r="G54" i="2" s="1"/>
  <c r="D56" i="2"/>
  <c r="D58" i="2" s="1"/>
  <c r="D53" i="2"/>
  <c r="D54" i="2" s="1"/>
  <c r="H56" i="2"/>
  <c r="H53" i="2"/>
  <c r="H54" i="2" s="1"/>
  <c r="H70" i="2" s="1"/>
  <c r="I53" i="2"/>
  <c r="I54" i="2" s="1"/>
  <c r="I70" i="2" s="1"/>
  <c r="M53" i="2"/>
  <c r="J53" i="2"/>
  <c r="N56" i="2"/>
  <c r="N58" i="2" s="1"/>
  <c r="N53" i="2"/>
  <c r="N54" i="2" s="1"/>
  <c r="K56" i="2"/>
  <c r="K58" i="2" s="1"/>
  <c r="K53" i="2"/>
  <c r="O56" i="2"/>
  <c r="O58" i="2" s="1"/>
  <c r="O53" i="2"/>
  <c r="AD20" i="2"/>
  <c r="V60" i="2"/>
  <c r="V64" i="2" s="1"/>
  <c r="V56" i="2"/>
  <c r="V58" i="2" s="1"/>
  <c r="V53" i="2"/>
  <c r="V54" i="2" s="1"/>
  <c r="V51" i="2"/>
  <c r="W60" i="2"/>
  <c r="W64" i="2" s="1"/>
  <c r="W56" i="2"/>
  <c r="W53" i="2"/>
  <c r="W51" i="2"/>
  <c r="W54" i="2" s="1"/>
  <c r="V13" i="2"/>
  <c r="V11" i="2"/>
  <c r="V12" i="2" s="1"/>
  <c r="V6" i="2"/>
  <c r="V23" i="2" s="1"/>
  <c r="W13" i="2"/>
  <c r="W11" i="2"/>
  <c r="W12" i="2" s="1"/>
  <c r="W6" i="2"/>
  <c r="W23" i="2" s="1"/>
  <c r="X62" i="2"/>
  <c r="X64" i="2" s="1"/>
  <c r="X56" i="2"/>
  <c r="X53" i="2"/>
  <c r="X51" i="2"/>
  <c r="Y56" i="2"/>
  <c r="Y58" i="2" s="1"/>
  <c r="Y53" i="2"/>
  <c r="Y51" i="2"/>
  <c r="X11" i="2"/>
  <c r="X12" i="2" s="1"/>
  <c r="X6" i="2"/>
  <c r="X23" i="2" s="1"/>
  <c r="Y13" i="2"/>
  <c r="Y11" i="2"/>
  <c r="Y12" i="2" s="1"/>
  <c r="Y6" i="2"/>
  <c r="Y23" i="2" s="1"/>
  <c r="Z56" i="2"/>
  <c r="Z53" i="2"/>
  <c r="Z51" i="2"/>
  <c r="Z54" i="2" s="1"/>
  <c r="Z64" i="2"/>
  <c r="Y64" i="2"/>
  <c r="AA64" i="2"/>
  <c r="Z58" i="2"/>
  <c r="X58" i="2"/>
  <c r="AA58" i="2"/>
  <c r="AA56" i="2"/>
  <c r="AA51" i="2"/>
  <c r="AA53" i="2"/>
  <c r="W20" i="2"/>
  <c r="X20" i="2"/>
  <c r="Y20" i="2"/>
  <c r="Z20" i="2"/>
  <c r="AA20" i="2"/>
  <c r="Z13" i="2"/>
  <c r="Z11" i="2"/>
  <c r="Z12" i="2" s="1"/>
  <c r="Z14" i="2" s="1"/>
  <c r="Z16" i="2" s="1"/>
  <c r="Z18" i="2" s="1"/>
  <c r="Z6" i="2"/>
  <c r="Z23" i="2" s="1"/>
  <c r="AA13" i="2"/>
  <c r="D11" i="2"/>
  <c r="D12" i="2" s="1"/>
  <c r="E11" i="2"/>
  <c r="E12" i="2" s="1"/>
  <c r="E47" i="2" s="1"/>
  <c r="F11" i="2"/>
  <c r="F12" i="2" s="1"/>
  <c r="F14" i="2" s="1"/>
  <c r="F16" i="2" s="1"/>
  <c r="F18" i="2" s="1"/>
  <c r="G11" i="2"/>
  <c r="H11" i="2"/>
  <c r="H12" i="2" s="1"/>
  <c r="H14" i="2" s="1"/>
  <c r="H16" i="2" s="1"/>
  <c r="H18" i="2" s="1"/>
  <c r="I11" i="2"/>
  <c r="I12" i="2" s="1"/>
  <c r="I14" i="2" s="1"/>
  <c r="I16" i="2" s="1"/>
  <c r="I18" i="2" s="1"/>
  <c r="J11" i="2"/>
  <c r="J12" i="2" s="1"/>
  <c r="J24" i="2" s="1"/>
  <c r="K11" i="2"/>
  <c r="K12" i="2" s="1"/>
  <c r="K24" i="2" s="1"/>
  <c r="L11" i="2"/>
  <c r="L12" i="2" s="1"/>
  <c r="L24" i="2" s="1"/>
  <c r="M11" i="2"/>
  <c r="N11" i="2"/>
  <c r="N12" i="2" s="1"/>
  <c r="O11" i="2"/>
  <c r="O12" i="2" s="1"/>
  <c r="O14" i="2" s="1"/>
  <c r="O16" i="2" s="1"/>
  <c r="O18" i="2" s="1"/>
  <c r="P11" i="2"/>
  <c r="P12" i="2"/>
  <c r="AA11" i="2"/>
  <c r="AA12" i="2" s="1"/>
  <c r="AA24" i="2" s="1"/>
  <c r="AA6" i="2"/>
  <c r="AA23" i="2" s="1"/>
  <c r="P24" i="2"/>
  <c r="L53" i="2"/>
  <c r="L54" i="2" s="1"/>
  <c r="F58" i="2"/>
  <c r="G58" i="2"/>
  <c r="H58" i="2"/>
  <c r="I58" i="2"/>
  <c r="J58" i="2"/>
  <c r="L58" i="2"/>
  <c r="M58" i="2"/>
  <c r="D64" i="2"/>
  <c r="F64" i="2"/>
  <c r="G64" i="2"/>
  <c r="H64" i="2"/>
  <c r="I64" i="2"/>
  <c r="J64" i="2"/>
  <c r="K64" i="2"/>
  <c r="L64" i="2"/>
  <c r="M64" i="2"/>
  <c r="N64" i="2"/>
  <c r="O64" i="2"/>
  <c r="P64" i="2"/>
  <c r="P56" i="2"/>
  <c r="P58" i="2" s="1"/>
  <c r="J54" i="2"/>
  <c r="J70" i="2" s="1"/>
  <c r="K54" i="2"/>
  <c r="M54" i="2"/>
  <c r="M70" i="2" s="1"/>
  <c r="O54" i="2"/>
  <c r="O70" i="2" s="1"/>
  <c r="P53" i="2"/>
  <c r="P54" i="2" s="1"/>
  <c r="D43" i="2"/>
  <c r="D44" i="2" s="1"/>
  <c r="E43" i="2"/>
  <c r="E44" i="2" s="1"/>
  <c r="F44" i="2"/>
  <c r="G43" i="2"/>
  <c r="G44" i="2" s="1"/>
  <c r="H43" i="2"/>
  <c r="H44" i="2" s="1"/>
  <c r="I43" i="2"/>
  <c r="I44" i="2" s="1"/>
  <c r="J43" i="2"/>
  <c r="J44" i="2" s="1"/>
  <c r="K43" i="2"/>
  <c r="K44" i="2" s="1"/>
  <c r="L43" i="2"/>
  <c r="L44" i="2" s="1"/>
  <c r="M43" i="2"/>
  <c r="M44" i="2" s="1"/>
  <c r="N43" i="2"/>
  <c r="N44" i="2" s="1"/>
  <c r="O43" i="2"/>
  <c r="O44" i="2" s="1"/>
  <c r="D34" i="2"/>
  <c r="E34" i="2"/>
  <c r="F34" i="2"/>
  <c r="G34" i="2"/>
  <c r="H34" i="2"/>
  <c r="I34" i="2"/>
  <c r="J34" i="2"/>
  <c r="K34" i="2"/>
  <c r="L34" i="2"/>
  <c r="M34" i="2"/>
  <c r="N34" i="2"/>
  <c r="O34" i="2"/>
  <c r="P43" i="2"/>
  <c r="P44" i="2" s="1"/>
  <c r="P34" i="2"/>
  <c r="H20" i="2"/>
  <c r="I20" i="2"/>
  <c r="J20" i="2"/>
  <c r="K20" i="2"/>
  <c r="L20" i="2"/>
  <c r="M20" i="2"/>
  <c r="N20" i="2"/>
  <c r="O20" i="2"/>
  <c r="P20" i="2"/>
  <c r="G12" i="2"/>
  <c r="M12" i="2"/>
  <c r="M47" i="2" s="1"/>
  <c r="D6" i="2"/>
  <c r="D23" i="2" s="1"/>
  <c r="E6" i="2"/>
  <c r="E23" i="2" s="1"/>
  <c r="F6" i="2"/>
  <c r="F23" i="2" s="1"/>
  <c r="G6" i="2"/>
  <c r="G23" i="2" s="1"/>
  <c r="H6" i="2"/>
  <c r="H23" i="2" s="1"/>
  <c r="I6" i="2"/>
  <c r="I23" i="2" s="1"/>
  <c r="J6" i="2"/>
  <c r="J23" i="2" s="1"/>
  <c r="K6" i="2"/>
  <c r="K23" i="2" s="1"/>
  <c r="L6" i="2"/>
  <c r="L23" i="2" s="1"/>
  <c r="M6" i="2"/>
  <c r="M23" i="2" s="1"/>
  <c r="N6" i="2"/>
  <c r="N23" i="2" s="1"/>
  <c r="O6" i="2"/>
  <c r="O23" i="2" s="1"/>
  <c r="P6" i="2"/>
  <c r="P23" i="2" s="1"/>
  <c r="B6" i="2"/>
  <c r="B9" i="2" s="1"/>
  <c r="AE9" i="2" l="1"/>
  <c r="AF9" i="2" s="1"/>
  <c r="AG9" i="2" s="1"/>
  <c r="AH9" i="2" s="1"/>
  <c r="AI9" i="2" s="1"/>
  <c r="AJ9" i="2" s="1"/>
  <c r="AK9" i="2" s="1"/>
  <c r="AL9" i="2" s="1"/>
  <c r="AC11" i="2"/>
  <c r="AC12" i="2" s="1"/>
  <c r="AD11" i="2"/>
  <c r="AD12" i="2" s="1"/>
  <c r="AD24" i="2" s="1"/>
  <c r="AC24" i="2"/>
  <c r="AC14" i="2"/>
  <c r="AC15" i="2" s="1"/>
  <c r="AC16" i="2" s="1"/>
  <c r="AC18" i="2" s="1"/>
  <c r="E6" i="3" s="1"/>
  <c r="AF4" i="2"/>
  <c r="AE20" i="2"/>
  <c r="AB11" i="2"/>
  <c r="AB20" i="2"/>
  <c r="AB6" i="2"/>
  <c r="AB23" i="2" s="1"/>
  <c r="AB12" i="2"/>
  <c r="AB14" i="2" s="1"/>
  <c r="X54" i="2"/>
  <c r="X70" i="2" s="1"/>
  <c r="AA54" i="2"/>
  <c r="E5" i="3"/>
  <c r="P70" i="2"/>
  <c r="N70" i="2"/>
  <c r="K70" i="2"/>
  <c r="AA68" i="2"/>
  <c r="AA70" i="2"/>
  <c r="Z68" i="2"/>
  <c r="Z70" i="2"/>
  <c r="X68" i="2"/>
  <c r="W70" i="2"/>
  <c r="Y54" i="2"/>
  <c r="Y68" i="2" s="1"/>
  <c r="AA14" i="2"/>
  <c r="AA16" i="2" s="1"/>
  <c r="AA18" i="2" s="1"/>
  <c r="AA47" i="2"/>
  <c r="Z24" i="2"/>
  <c r="Z47" i="2"/>
  <c r="V68" i="2"/>
  <c r="V70" i="2"/>
  <c r="W58" i="2"/>
  <c r="W68" i="2" s="1"/>
  <c r="V14" i="2"/>
  <c r="V16" i="2" s="1"/>
  <c r="V18" i="2" s="1"/>
  <c r="V47" i="2"/>
  <c r="V24" i="2"/>
  <c r="W14" i="2"/>
  <c r="W16" i="2" s="1"/>
  <c r="W18" i="2" s="1"/>
  <c r="W24" i="2"/>
  <c r="W47" i="2"/>
  <c r="X47" i="2"/>
  <c r="X14" i="2"/>
  <c r="X16" i="2" s="1"/>
  <c r="X18" i="2" s="1"/>
  <c r="X24" i="2"/>
  <c r="Y47" i="2"/>
  <c r="Y24" i="2"/>
  <c r="Y14" i="2"/>
  <c r="Y16" i="2" s="1"/>
  <c r="Y18" i="2" s="1"/>
  <c r="D68" i="2"/>
  <c r="N68" i="2"/>
  <c r="D24" i="2"/>
  <c r="D14" i="2"/>
  <c r="D16" i="2" s="1"/>
  <c r="D18" i="2" s="1"/>
  <c r="M14" i="2"/>
  <c r="M16" i="2" s="1"/>
  <c r="M18" i="2" s="1"/>
  <c r="K14" i="2"/>
  <c r="K16" i="2" s="1"/>
  <c r="K18" i="2" s="1"/>
  <c r="E14" i="2"/>
  <c r="E16" i="2" s="1"/>
  <c r="E18" i="2" s="1"/>
  <c r="G68" i="2"/>
  <c r="O68" i="2"/>
  <c r="F68" i="2"/>
  <c r="M68" i="2"/>
  <c r="E68" i="2"/>
  <c r="P14" i="2"/>
  <c r="P16" i="2" s="1"/>
  <c r="P18" i="2" s="1"/>
  <c r="P47" i="2"/>
  <c r="N47" i="2"/>
  <c r="N14" i="2"/>
  <c r="N16" i="2" s="1"/>
  <c r="N18" i="2" s="1"/>
  <c r="N24" i="2"/>
  <c r="G14" i="2"/>
  <c r="G16" i="2" s="1"/>
  <c r="G18" i="2" s="1"/>
  <c r="G47" i="2"/>
  <c r="G24" i="2"/>
  <c r="L70" i="2"/>
  <c r="L68" i="2"/>
  <c r="I24" i="2"/>
  <c r="L47" i="2"/>
  <c r="D47" i="2"/>
  <c r="H24" i="2"/>
  <c r="K47" i="2"/>
  <c r="J47" i="2"/>
  <c r="P68" i="2"/>
  <c r="O24" i="2"/>
  <c r="F24" i="2"/>
  <c r="I47" i="2"/>
  <c r="G70" i="2"/>
  <c r="E24" i="2"/>
  <c r="H47" i="2"/>
  <c r="F70" i="2"/>
  <c r="M24" i="2"/>
  <c r="O47" i="2"/>
  <c r="E70" i="2"/>
  <c r="J14" i="2"/>
  <c r="J16" i="2" s="1"/>
  <c r="J18" i="2" s="1"/>
  <c r="F47" i="2"/>
  <c r="D70" i="2"/>
  <c r="K68" i="2"/>
  <c r="J68" i="2"/>
  <c r="I68" i="2"/>
  <c r="H68" i="2"/>
  <c r="L14" i="2"/>
  <c r="L16" i="2" s="1"/>
  <c r="L18" i="2" s="1"/>
  <c r="AD14" i="2" l="1"/>
  <c r="AD15" i="2" s="1"/>
  <c r="F5" i="3"/>
  <c r="AC22" i="2"/>
  <c r="AD22" i="2"/>
  <c r="AE11" i="2"/>
  <c r="AD16" i="2"/>
  <c r="AD18" i="2" s="1"/>
  <c r="F6" i="3" s="1"/>
  <c r="AF20" i="2"/>
  <c r="AG4" i="2"/>
  <c r="AF6" i="2"/>
  <c r="AF23" i="2" s="1"/>
  <c r="AB15" i="2"/>
  <c r="AB16" i="2" s="1"/>
  <c r="AB22" i="2"/>
  <c r="D5" i="3"/>
  <c r="AB24" i="2"/>
  <c r="Y70" i="2"/>
  <c r="AB18" i="2" l="1"/>
  <c r="D6" i="3" s="1"/>
  <c r="AE22" i="2"/>
  <c r="AE12" i="2"/>
  <c r="AF11" i="2"/>
  <c r="AG6" i="2"/>
  <c r="AG23" i="2" s="1"/>
  <c r="AG20" i="2"/>
  <c r="AH4" i="2"/>
  <c r="AG11" i="2" l="1"/>
  <c r="AF22" i="2"/>
  <c r="AF12" i="2"/>
  <c r="AE24" i="2"/>
  <c r="AE14" i="2"/>
  <c r="AE15" i="2" s="1"/>
  <c r="AE16" i="2" s="1"/>
  <c r="AH6" i="2"/>
  <c r="AH23" i="2" s="1"/>
  <c r="AH20" i="2"/>
  <c r="AI4" i="2"/>
  <c r="AE18" i="2" l="1"/>
  <c r="AF14" i="2"/>
  <c r="AF15" i="2" s="1"/>
  <c r="AF16" i="2" s="1"/>
  <c r="AF18" i="2" s="1"/>
  <c r="AF24" i="2"/>
  <c r="AG22" i="2"/>
  <c r="AG12" i="2"/>
  <c r="AH11" i="2"/>
  <c r="AI6" i="2"/>
  <c r="AI23" i="2" s="1"/>
  <c r="AI20" i="2"/>
  <c r="AJ4" i="2"/>
  <c r="AI11" i="2" l="1"/>
  <c r="AH22" i="2"/>
  <c r="AH12" i="2"/>
  <c r="AG14" i="2"/>
  <c r="AG15" i="2" s="1"/>
  <c r="AG16" i="2" s="1"/>
  <c r="AG24" i="2"/>
  <c r="AJ6" i="2"/>
  <c r="AJ23" i="2" s="1"/>
  <c r="AJ20" i="2"/>
  <c r="AK4" i="2"/>
  <c r="AG18" i="2" l="1"/>
  <c r="AH24" i="2"/>
  <c r="AH14" i="2"/>
  <c r="AH15" i="2" s="1"/>
  <c r="AH16" i="2" s="1"/>
  <c r="AH18" i="2" s="1"/>
  <c r="AI22" i="2"/>
  <c r="AI12" i="2"/>
  <c r="AJ11" i="2"/>
  <c r="AL4" i="2"/>
  <c r="AK6" i="2"/>
  <c r="AK23" i="2" s="1"/>
  <c r="AK20" i="2"/>
  <c r="AL11" i="2" l="1"/>
  <c r="AK11" i="2"/>
  <c r="AJ22" i="2"/>
  <c r="AJ12" i="2"/>
  <c r="AI24" i="2"/>
  <c r="AI14" i="2"/>
  <c r="AI15" i="2" s="1"/>
  <c r="AI16" i="2" s="1"/>
  <c r="AI18" i="2" s="1"/>
  <c r="AL20" i="2"/>
  <c r="AL6" i="2"/>
  <c r="AL23" i="2" s="1"/>
  <c r="AL12" i="2"/>
  <c r="AJ14" i="2" l="1"/>
  <c r="AJ15" i="2" s="1"/>
  <c r="AJ16" i="2" s="1"/>
  <c r="AJ18" i="2" s="1"/>
  <c r="AJ24" i="2"/>
  <c r="AK22" i="2"/>
  <c r="AK12" i="2"/>
  <c r="AL22" i="2"/>
  <c r="AL14" i="2"/>
  <c r="AL24" i="2"/>
  <c r="AK14" i="2" l="1"/>
  <c r="AK15" i="2" s="1"/>
  <c r="AK16" i="2" s="1"/>
  <c r="AK18" i="2" s="1"/>
  <c r="AK24" i="2"/>
  <c r="AL15" i="2"/>
  <c r="AL16" i="2" s="1"/>
  <c r="AL18" i="2" l="1"/>
  <c r="AM16" i="2"/>
  <c r="AN16" i="2" s="1"/>
  <c r="AO16" i="2" s="1"/>
  <c r="AP16" i="2" s="1"/>
  <c r="AQ16" i="2" s="1"/>
  <c r="AR16" i="2" s="1"/>
  <c r="AS16" i="2" s="1"/>
  <c r="AT16" i="2" s="1"/>
  <c r="AU16" i="2" s="1"/>
  <c r="AV16" i="2" s="1"/>
  <c r="AW16" i="2" s="1"/>
  <c r="AX16" i="2" s="1"/>
  <c r="AY16" i="2" s="1"/>
  <c r="AZ16" i="2" s="1"/>
  <c r="BA16" i="2" s="1"/>
  <c r="BB16" i="2" s="1"/>
  <c r="BC16" i="2" s="1"/>
  <c r="BD16" i="2" s="1"/>
  <c r="BE16" i="2" s="1"/>
  <c r="BF16" i="2" s="1"/>
  <c r="BG16" i="2" s="1"/>
  <c r="BH16" i="2" s="1"/>
  <c r="BI16" i="2" s="1"/>
  <c r="BJ16" i="2" s="1"/>
  <c r="BK16" i="2" s="1"/>
  <c r="BL16" i="2" s="1"/>
  <c r="BM16" i="2" s="1"/>
  <c r="BN16" i="2" s="1"/>
  <c r="BO16" i="2" s="1"/>
  <c r="BP16" i="2" s="1"/>
  <c r="BQ16" i="2" s="1"/>
  <c r="BR16" i="2" s="1"/>
  <c r="BS16" i="2" s="1"/>
  <c r="BT16" i="2" s="1"/>
  <c r="BU16" i="2" s="1"/>
  <c r="BV16" i="2" s="1"/>
  <c r="BW16" i="2" s="1"/>
  <c r="BX16" i="2" s="1"/>
  <c r="BY16" i="2" s="1"/>
  <c r="BZ16" i="2" s="1"/>
  <c r="CA16" i="2" s="1"/>
  <c r="CB16" i="2" s="1"/>
  <c r="CC16" i="2" s="1"/>
  <c r="CD16" i="2" s="1"/>
  <c r="CE16" i="2" s="1"/>
  <c r="CF16" i="2" s="1"/>
  <c r="CG16" i="2" s="1"/>
  <c r="CH16" i="2" s="1"/>
  <c r="CI16" i="2" s="1"/>
  <c r="CJ16" i="2" s="1"/>
  <c r="CK16" i="2" s="1"/>
  <c r="CL16" i="2" s="1"/>
  <c r="CM16" i="2" s="1"/>
  <c r="CN16" i="2" s="1"/>
  <c r="CO16" i="2" s="1"/>
  <c r="CP16" i="2" s="1"/>
  <c r="CQ16" i="2" s="1"/>
  <c r="CR16" i="2" s="1"/>
  <c r="CS16" i="2" s="1"/>
  <c r="CT16" i="2" s="1"/>
  <c r="CU16" i="2" s="1"/>
  <c r="CV16" i="2" s="1"/>
  <c r="CW16" i="2" s="1"/>
  <c r="CX16" i="2" s="1"/>
  <c r="CY16" i="2" s="1"/>
  <c r="CZ16" i="2" s="1"/>
  <c r="DA16" i="2" s="1"/>
  <c r="DB16" i="2" s="1"/>
  <c r="DC16" i="2" s="1"/>
  <c r="DD16" i="2" s="1"/>
  <c r="DE16" i="2" s="1"/>
  <c r="DF16" i="2" s="1"/>
  <c r="DG16" i="2" s="1"/>
  <c r="DH16" i="2" s="1"/>
  <c r="DI16" i="2" s="1"/>
  <c r="DJ16" i="2" s="1"/>
  <c r="DK16" i="2" s="1"/>
  <c r="DL16" i="2" s="1"/>
  <c r="DM16" i="2" s="1"/>
  <c r="DN16" i="2" s="1"/>
  <c r="DO16" i="2" s="1"/>
  <c r="DP16" i="2" s="1"/>
  <c r="DQ16" i="2" s="1"/>
  <c r="DR16" i="2" s="1"/>
  <c r="DS16" i="2" s="1"/>
  <c r="DT16" i="2" s="1"/>
  <c r="DU16" i="2" s="1"/>
  <c r="DV16" i="2" s="1"/>
  <c r="DW16" i="2" s="1"/>
  <c r="DX16" i="2" s="1"/>
  <c r="DY16" i="2" s="1"/>
  <c r="DZ16" i="2" s="1"/>
  <c r="EA16" i="2" s="1"/>
  <c r="EB16" i="2" s="1"/>
  <c r="EC16" i="2" s="1"/>
  <c r="ED16" i="2" s="1"/>
  <c r="EE16" i="2" s="1"/>
  <c r="EF16" i="2" s="1"/>
  <c r="EG16" i="2" s="1"/>
  <c r="EH16" i="2" s="1"/>
  <c r="EI16" i="2" s="1"/>
  <c r="EJ16" i="2" s="1"/>
  <c r="EK16" i="2" s="1"/>
  <c r="EL16" i="2" s="1"/>
  <c r="EM16" i="2" s="1"/>
  <c r="EN16" i="2" s="1"/>
  <c r="EO16" i="2" s="1"/>
  <c r="EP16" i="2" s="1"/>
  <c r="EQ16" i="2" s="1"/>
  <c r="ER16" i="2" s="1"/>
  <c r="ES16" i="2" s="1"/>
  <c r="ET16" i="2" s="1"/>
  <c r="EU16" i="2" s="1"/>
  <c r="EV16" i="2" s="1"/>
  <c r="EW16" i="2" s="1"/>
  <c r="EX16" i="2" s="1"/>
  <c r="EY16" i="2" s="1"/>
  <c r="EZ16" i="2" s="1"/>
  <c r="FA16" i="2" s="1"/>
  <c r="FB16" i="2" s="1"/>
  <c r="FC16" i="2" s="1"/>
  <c r="FD16" i="2" s="1"/>
  <c r="FE16" i="2" s="1"/>
  <c r="FF16" i="2" s="1"/>
  <c r="FG16" i="2" s="1"/>
  <c r="FH16" i="2" s="1"/>
  <c r="FI16" i="2" s="1"/>
  <c r="FJ16" i="2" s="1"/>
  <c r="FK16" i="2" s="1"/>
  <c r="FL16" i="2" s="1"/>
  <c r="FM16" i="2" s="1"/>
  <c r="FN16" i="2" s="1"/>
  <c r="FO16" i="2" s="1"/>
  <c r="FP16" i="2" s="1"/>
  <c r="FQ16" i="2" s="1"/>
  <c r="FR16" i="2" s="1"/>
  <c r="FS16" i="2" s="1"/>
  <c r="FT16" i="2" s="1"/>
  <c r="FU16" i="2" s="1"/>
  <c r="FV16" i="2" s="1"/>
  <c r="FW16" i="2" s="1"/>
  <c r="AO23" i="2" s="1"/>
  <c r="AO25" i="2" s="1"/>
  <c r="AO26" i="2" s="1"/>
</calcChain>
</file>

<file path=xl/sharedStrings.xml><?xml version="1.0" encoding="utf-8"?>
<sst xmlns="http://schemas.openxmlformats.org/spreadsheetml/2006/main" count="108" uniqueCount="106">
  <si>
    <t>Kapitalstruktur</t>
  </si>
  <si>
    <t>Price</t>
  </si>
  <si>
    <t>S/O</t>
  </si>
  <si>
    <t>Q122</t>
  </si>
  <si>
    <t>Q222</t>
  </si>
  <si>
    <t>Q322</t>
  </si>
  <si>
    <t>Q422</t>
  </si>
  <si>
    <t>Q123</t>
  </si>
  <si>
    <t>Q223</t>
  </si>
  <si>
    <t>Q323</t>
  </si>
  <si>
    <t>Q423</t>
  </si>
  <si>
    <t>Q124</t>
  </si>
  <si>
    <t>Q224</t>
  </si>
  <si>
    <t>Q324</t>
  </si>
  <si>
    <t>Q424</t>
  </si>
  <si>
    <t>FY 2022</t>
  </si>
  <si>
    <t>FY 2023</t>
  </si>
  <si>
    <t>FY 2024</t>
  </si>
  <si>
    <t>FY 2025</t>
  </si>
  <si>
    <t>FY 2026</t>
  </si>
  <si>
    <t>FY 2027</t>
  </si>
  <si>
    <t>FY 2028</t>
  </si>
  <si>
    <t>FY 2029</t>
  </si>
  <si>
    <t>FY 2030</t>
  </si>
  <si>
    <t>FY 2031</t>
  </si>
  <si>
    <t>FY 2032</t>
  </si>
  <si>
    <t>FY 2033</t>
  </si>
  <si>
    <t>FY 2034</t>
  </si>
  <si>
    <t>FY 2035</t>
  </si>
  <si>
    <t>Revenue y/y</t>
  </si>
  <si>
    <t>EBIT margin</t>
  </si>
  <si>
    <t>EV/EBIT</t>
  </si>
  <si>
    <t>P/E</t>
  </si>
  <si>
    <t>Q225</t>
  </si>
  <si>
    <t>FY 2019</t>
  </si>
  <si>
    <t>FY 2020</t>
  </si>
  <si>
    <t>FY 2021</t>
  </si>
  <si>
    <t>Q325</t>
  </si>
  <si>
    <t>Q425</t>
  </si>
  <si>
    <t>Q125</t>
  </si>
  <si>
    <t>SEK million</t>
  </si>
  <si>
    <t>MC SEKm</t>
  </si>
  <si>
    <t>Cash SEKm</t>
  </si>
  <si>
    <t>Debt SEKm</t>
  </si>
  <si>
    <t>EV SEKm</t>
  </si>
  <si>
    <t>Balanse SEKm</t>
  </si>
  <si>
    <t>Cash flow SEKm</t>
  </si>
  <si>
    <t>like-for-like</t>
  </si>
  <si>
    <t>Revenue</t>
  </si>
  <si>
    <t>COGS</t>
  </si>
  <si>
    <t>Gross profit</t>
  </si>
  <si>
    <t>Other external costs</t>
  </si>
  <si>
    <t>Personnel costs</t>
  </si>
  <si>
    <t>D/A/I</t>
  </si>
  <si>
    <t>Share of income of equity accounted comps</t>
  </si>
  <si>
    <t>Total opex</t>
  </si>
  <si>
    <t>Operating income (EBIT)</t>
  </si>
  <si>
    <t>Net financial items</t>
  </si>
  <si>
    <t>PTP</t>
  </si>
  <si>
    <t>Income tax</t>
  </si>
  <si>
    <t>Net income</t>
  </si>
  <si>
    <t>Share</t>
  </si>
  <si>
    <t>EPS</t>
  </si>
  <si>
    <t>Gross margin</t>
  </si>
  <si>
    <t>Intangible fixed assets</t>
  </si>
  <si>
    <t>tangible fixed assets</t>
  </si>
  <si>
    <t>Financial fixed assets</t>
  </si>
  <si>
    <t>Inventories</t>
  </si>
  <si>
    <t>Current receivables</t>
  </si>
  <si>
    <t>Cash</t>
  </si>
  <si>
    <t>Total assets</t>
  </si>
  <si>
    <t>Total equity</t>
  </si>
  <si>
    <t>Lease liabilties</t>
  </si>
  <si>
    <t>Deferred tax liabilties</t>
  </si>
  <si>
    <t>Long-term liabilities</t>
  </si>
  <si>
    <t>Borrowing from credit institutions</t>
  </si>
  <si>
    <t>Lease liabilities</t>
  </si>
  <si>
    <t>Accounts payables</t>
  </si>
  <si>
    <t>Other current liabilities</t>
  </si>
  <si>
    <t>Total debt</t>
  </si>
  <si>
    <t>Total E/D</t>
  </si>
  <si>
    <t>Model EBIT</t>
  </si>
  <si>
    <t>Reported EBIT</t>
  </si>
  <si>
    <t>Other non-cash items</t>
  </si>
  <si>
    <t>Financial items</t>
  </si>
  <si>
    <t>Tax paid</t>
  </si>
  <si>
    <t>WC</t>
  </si>
  <si>
    <t>CFFO</t>
  </si>
  <si>
    <t>Capex</t>
  </si>
  <si>
    <t>Sale of tangible assets</t>
  </si>
  <si>
    <t>CFFI</t>
  </si>
  <si>
    <t>Change in overdraft facilities</t>
  </si>
  <si>
    <t>Amort of lease liabilities</t>
  </si>
  <si>
    <t>Issue of warrants</t>
  </si>
  <si>
    <t>Dividend</t>
  </si>
  <si>
    <t>CFFF</t>
  </si>
  <si>
    <t>FX</t>
  </si>
  <si>
    <t>CIC</t>
  </si>
  <si>
    <t>FCF</t>
  </si>
  <si>
    <t>Stores</t>
  </si>
  <si>
    <t>Opex y/y</t>
  </si>
  <si>
    <t>Discount</t>
  </si>
  <si>
    <t>TV</t>
  </si>
  <si>
    <t>NPV</t>
  </si>
  <si>
    <t>NPV/Share</t>
  </si>
  <si>
    <t>Opp/nedside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</si>
</sst>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kr&quot;\ #,##0.00_);[Red]\(&quot;kr&quot;\ #,##0.00\)"/>
    <numFmt numFmtId="164" formatCode="#,##0.0"/>
    <numFmt numFmtId="165" formatCode="0.0"/>
    <numFmt numFmtId="166" formatCode="0.0\ %"/>
  </numFmts>
  <fonts count="8" x14ac:knownFonts="1"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2" fillId="0" borderId="1" xfId="0" applyFont="1" applyBorder="1"/>
    <xf numFmtId="164" fontId="2" fillId="0" borderId="1" xfId="0" applyNumberFormat="1" applyFont="1" applyBorder="1"/>
    <xf numFmtId="164" fontId="3" fillId="0" borderId="1" xfId="0" applyNumberFormat="1" applyFont="1" applyBorder="1"/>
    <xf numFmtId="0" fontId="2" fillId="0" borderId="0" xfId="0" applyFont="1" applyAlignment="1">
      <alignment horizontal="right"/>
    </xf>
    <xf numFmtId="165" fontId="2" fillId="0" borderId="1" xfId="0" applyNumberFormat="1" applyFont="1" applyBorder="1"/>
    <xf numFmtId="165" fontId="2" fillId="0" borderId="0" xfId="0" applyNumberFormat="1" applyFont="1"/>
    <xf numFmtId="166" fontId="2" fillId="0" borderId="0" xfId="0" applyNumberFormat="1" applyFont="1"/>
    <xf numFmtId="0" fontId="4" fillId="0" borderId="0" xfId="0" applyFont="1"/>
    <xf numFmtId="3" fontId="1" fillId="0" borderId="0" xfId="0" applyNumberFormat="1" applyFont="1"/>
    <xf numFmtId="3" fontId="1" fillId="0" borderId="1" xfId="0" applyNumberFormat="1" applyFont="1" applyBorder="1"/>
    <xf numFmtId="3" fontId="2" fillId="0" borderId="0" xfId="0" applyNumberFormat="1" applyFont="1"/>
    <xf numFmtId="3" fontId="2" fillId="0" borderId="1" xfId="0" applyNumberFormat="1" applyFont="1" applyBorder="1"/>
    <xf numFmtId="3" fontId="4" fillId="0" borderId="0" xfId="0" applyNumberFormat="1" applyFont="1"/>
    <xf numFmtId="0" fontId="2" fillId="0" borderId="1" xfId="0" applyFont="1" applyBorder="1" applyAlignment="1">
      <alignment horizontal="right"/>
    </xf>
    <xf numFmtId="10" fontId="1" fillId="0" borderId="0" xfId="0" applyNumberFormat="1" applyFont="1"/>
    <xf numFmtId="2" fontId="2" fillId="0" borderId="0" xfId="0" applyNumberFormat="1" applyFont="1"/>
    <xf numFmtId="10" fontId="2" fillId="0" borderId="0" xfId="0" applyNumberFormat="1" applyFont="1"/>
    <xf numFmtId="10" fontId="1" fillId="0" borderId="1" xfId="0" applyNumberFormat="1" applyFont="1" applyBorder="1"/>
    <xf numFmtId="166" fontId="2" fillId="0" borderId="1" xfId="0" applyNumberFormat="1" applyFont="1" applyBorder="1"/>
    <xf numFmtId="0" fontId="5" fillId="0" borderId="2" xfId="0" applyFont="1" applyBorder="1"/>
    <xf numFmtId="0" fontId="2" fillId="0" borderId="0" xfId="0" applyNumberFormat="1" applyFont="1"/>
    <xf numFmtId="2" fontId="2" fillId="0" borderId="1" xfId="0" applyNumberFormat="1" applyFont="1" applyBorder="1"/>
    <xf numFmtId="0" fontId="1" fillId="0" borderId="1" xfId="0" applyFont="1" applyBorder="1"/>
    <xf numFmtId="0" fontId="2" fillId="0" borderId="1" xfId="0" applyNumberFormat="1" applyFont="1" applyBorder="1"/>
    <xf numFmtId="3" fontId="4" fillId="0" borderId="1" xfId="0" applyNumberFormat="1" applyFont="1" applyBorder="1"/>
    <xf numFmtId="3" fontId="2" fillId="0" borderId="0" xfId="0" applyNumberFormat="1" applyFont="1" applyBorder="1"/>
    <xf numFmtId="0" fontId="2" fillId="0" borderId="3" xfId="0" applyFont="1" applyBorder="1"/>
    <xf numFmtId="9" fontId="2" fillId="0" borderId="0" xfId="0" applyNumberFormat="1" applyFont="1"/>
    <xf numFmtId="164" fontId="2" fillId="0" borderId="0" xfId="0" applyNumberFormat="1" applyFont="1" applyBorder="1"/>
    <xf numFmtId="0" fontId="2" fillId="0" borderId="0" xfId="0" applyFont="1" applyBorder="1"/>
    <xf numFmtId="1" fontId="1" fillId="0" borderId="0" xfId="0" applyNumberFormat="1" applyFont="1"/>
    <xf numFmtId="165" fontId="6" fillId="0" borderId="2" xfId="0" applyNumberFormat="1" applyFont="1" applyBorder="1"/>
    <xf numFmtId="8" fontId="2" fillId="0" borderId="3" xfId="0" applyNumberFormat="1" applyFont="1" applyBorder="1"/>
    <xf numFmtId="166" fontId="1" fillId="0" borderId="0" xfId="0" applyNumberFormat="1" applyFont="1"/>
    <xf numFmtId="166" fontId="1" fillId="0" borderId="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558800</xdr:colOff>
      <xdr:row>0</xdr:row>
      <xdr:rowOff>25400</xdr:rowOff>
    </xdr:from>
    <xdr:to>
      <xdr:col>17</xdr:col>
      <xdr:colOff>76200</xdr:colOff>
      <xdr:row>13</xdr:row>
      <xdr:rowOff>173854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3041F22-BB0F-4355-6D9C-B1B856AFD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7300" y="25400"/>
          <a:ext cx="7772400" cy="32853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– 2022-tema">
  <a:themeElements>
    <a:clrScheme name="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FABC2-1253-924E-8CB2-F0C03750A097}">
  <dimension ref="A5:A8"/>
  <sheetViews>
    <sheetView showGridLines="0" workbookViewId="0">
      <selection activeCell="G23" sqref="G23"/>
    </sheetView>
  </sheetViews>
  <sheetFormatPr baseColWidth="10" defaultRowHeight="19" x14ac:dyDescent="0.25"/>
  <cols>
    <col min="1" max="16384" width="10.83203125" style="2"/>
  </cols>
  <sheetData>
    <row r="5" spans="1:1" x14ac:dyDescent="0.25">
      <c r="A5" s="1"/>
    </row>
    <row r="6" spans="1:1" x14ac:dyDescent="0.25">
      <c r="A6" s="1"/>
    </row>
    <row r="7" spans="1:1" x14ac:dyDescent="0.25">
      <c r="A7" s="1"/>
    </row>
    <row r="8" spans="1:1" x14ac:dyDescent="0.25">
      <c r="A8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D41D6-FA1C-5144-915F-9569A5873643}">
  <dimension ref="A1:FW70"/>
  <sheetViews>
    <sheetView showGridLines="0" tabSelected="1" workbookViewId="0">
      <pane xSplit="3" ySplit="3" topLeftCell="V4" activePane="bottomRight" state="frozen"/>
      <selection pane="topRight" activeCell="D1" sqref="D1"/>
      <selection pane="bottomLeft" activeCell="A4" sqref="A4"/>
      <selection pane="bottomRight" activeCell="B5" sqref="B5"/>
    </sheetView>
  </sheetViews>
  <sheetFormatPr baseColWidth="10" defaultRowHeight="19" x14ac:dyDescent="0.25"/>
  <cols>
    <col min="1" max="1" width="16.33203125" style="2" bestFit="1" customWidth="1"/>
    <col min="2" max="2" width="10.83203125" style="4"/>
    <col min="3" max="3" width="33" style="2" customWidth="1"/>
    <col min="4" max="4" width="10.83203125" style="2"/>
    <col min="5" max="5" width="10.33203125" style="2" customWidth="1"/>
    <col min="6" max="6" width="12.5" style="2" customWidth="1"/>
    <col min="7" max="7" width="10.5" style="2" customWidth="1"/>
    <col min="8" max="8" width="10.83203125" style="2" customWidth="1"/>
    <col min="9" max="9" width="9" style="2" customWidth="1"/>
    <col min="10" max="10" width="11" style="2" customWidth="1"/>
    <col min="11" max="12" width="10" style="2" customWidth="1"/>
    <col min="13" max="13" width="11.1640625" style="2" customWidth="1"/>
    <col min="14" max="14" width="11.33203125" style="2" customWidth="1"/>
    <col min="15" max="15" width="10.33203125" style="2" customWidth="1"/>
    <col min="16" max="16" width="10.83203125" style="4"/>
    <col min="17" max="27" width="10.83203125" style="2"/>
    <col min="28" max="28" width="10.83203125" style="4"/>
    <col min="29" max="39" width="10.83203125" style="2"/>
    <col min="40" max="40" width="14.1640625" style="2" bestFit="1" customWidth="1"/>
    <col min="41" max="41" width="12.1640625" style="2" bestFit="1" customWidth="1"/>
    <col min="42" max="16384" width="10.83203125" style="2"/>
  </cols>
  <sheetData>
    <row r="1" spans="1:179" x14ac:dyDescent="0.25"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X1" s="1"/>
    </row>
    <row r="3" spans="1:179" x14ac:dyDescent="0.25">
      <c r="A3" s="1" t="s">
        <v>0</v>
      </c>
      <c r="C3" s="2" t="s">
        <v>40</v>
      </c>
      <c r="D3" s="7" t="s">
        <v>3</v>
      </c>
      <c r="E3" s="7" t="s">
        <v>4</v>
      </c>
      <c r="F3" s="7" t="s">
        <v>5</v>
      </c>
      <c r="G3" s="7" t="s">
        <v>6</v>
      </c>
      <c r="H3" s="7" t="s">
        <v>7</v>
      </c>
      <c r="I3" s="7" t="s">
        <v>8</v>
      </c>
      <c r="J3" s="7" t="s">
        <v>9</v>
      </c>
      <c r="K3" s="7" t="s">
        <v>10</v>
      </c>
      <c r="L3" s="7" t="s">
        <v>11</v>
      </c>
      <c r="M3" s="7" t="s">
        <v>12</v>
      </c>
      <c r="N3" s="7" t="s">
        <v>13</v>
      </c>
      <c r="O3" s="7" t="s">
        <v>14</v>
      </c>
      <c r="P3" s="17" t="s">
        <v>39</v>
      </c>
      <c r="Q3" s="7" t="s">
        <v>33</v>
      </c>
      <c r="R3" s="7" t="s">
        <v>37</v>
      </c>
      <c r="S3" s="7" t="s">
        <v>38</v>
      </c>
      <c r="V3" s="7" t="s">
        <v>34</v>
      </c>
      <c r="W3" s="7" t="s">
        <v>35</v>
      </c>
      <c r="X3" s="7" t="s">
        <v>36</v>
      </c>
      <c r="Y3" s="7" t="s">
        <v>15</v>
      </c>
      <c r="Z3" s="7" t="s">
        <v>16</v>
      </c>
      <c r="AA3" s="7" t="s">
        <v>17</v>
      </c>
      <c r="AB3" s="17" t="s">
        <v>18</v>
      </c>
      <c r="AC3" s="7" t="s">
        <v>19</v>
      </c>
      <c r="AD3" s="7" t="s">
        <v>20</v>
      </c>
      <c r="AE3" s="7" t="s">
        <v>21</v>
      </c>
      <c r="AF3" s="7" t="s">
        <v>22</v>
      </c>
      <c r="AG3" s="7" t="s">
        <v>23</v>
      </c>
      <c r="AH3" s="7" t="s">
        <v>24</v>
      </c>
      <c r="AI3" s="7" t="s">
        <v>25</v>
      </c>
      <c r="AJ3" s="7" t="s">
        <v>26</v>
      </c>
      <c r="AK3" s="7" t="s">
        <v>27</v>
      </c>
      <c r="AL3" s="7" t="s">
        <v>28</v>
      </c>
    </row>
    <row r="4" spans="1:179" x14ac:dyDescent="0.25">
      <c r="A4" s="2" t="s">
        <v>1</v>
      </c>
      <c r="B4" s="4">
        <v>52</v>
      </c>
      <c r="C4" s="1" t="s">
        <v>48</v>
      </c>
      <c r="D4" s="12">
        <v>1281</v>
      </c>
      <c r="E4" s="12">
        <v>2553</v>
      </c>
      <c r="F4" s="12">
        <v>2281</v>
      </c>
      <c r="G4" s="12">
        <v>1182</v>
      </c>
      <c r="H4" s="12">
        <v>964</v>
      </c>
      <c r="I4" s="12">
        <v>2207</v>
      </c>
      <c r="J4" s="12">
        <v>1972</v>
      </c>
      <c r="K4" s="12">
        <v>1009</v>
      </c>
      <c r="L4" s="12">
        <v>872</v>
      </c>
      <c r="M4" s="12">
        <v>2090</v>
      </c>
      <c r="N4" s="12">
        <v>1973</v>
      </c>
      <c r="O4" s="12">
        <v>1080</v>
      </c>
      <c r="P4" s="26">
        <v>944</v>
      </c>
      <c r="V4" s="12">
        <v>5287</v>
      </c>
      <c r="W4" s="12">
        <v>6827</v>
      </c>
      <c r="X4" s="12">
        <v>7671</v>
      </c>
      <c r="Y4" s="12">
        <v>7298</v>
      </c>
      <c r="Z4" s="12">
        <v>6152</v>
      </c>
      <c r="AA4" s="12">
        <v>6016</v>
      </c>
      <c r="AB4" s="13">
        <f>AA4*1.03</f>
        <v>6196.4800000000005</v>
      </c>
      <c r="AC4" s="12">
        <f>AB4*1.05</f>
        <v>6506.304000000001</v>
      </c>
      <c r="AD4" s="12">
        <f t="shared" ref="AD4:AL4" si="0">AC4*1.05</f>
        <v>6831.619200000001</v>
      </c>
      <c r="AE4" s="12">
        <f t="shared" si="0"/>
        <v>7173.2001600000012</v>
      </c>
      <c r="AF4" s="12">
        <f t="shared" si="0"/>
        <v>7531.860168000002</v>
      </c>
      <c r="AG4" s="12">
        <f t="shared" si="0"/>
        <v>7908.4531764000021</v>
      </c>
      <c r="AH4" s="12">
        <f t="shared" si="0"/>
        <v>8303.875835220002</v>
      </c>
      <c r="AI4" s="12">
        <f t="shared" si="0"/>
        <v>8719.0696269810032</v>
      </c>
      <c r="AJ4" s="12">
        <f t="shared" si="0"/>
        <v>9155.0231083300532</v>
      </c>
      <c r="AK4" s="12">
        <f t="shared" si="0"/>
        <v>9612.7742637465562</v>
      </c>
      <c r="AL4" s="12">
        <f t="shared" si="0"/>
        <v>10093.412976933885</v>
      </c>
    </row>
    <row r="5" spans="1:179" x14ac:dyDescent="0.25">
      <c r="A5" s="2" t="s">
        <v>2</v>
      </c>
      <c r="B5" s="5">
        <v>58.625</v>
      </c>
      <c r="C5" s="2" t="s">
        <v>49</v>
      </c>
      <c r="D5" s="14">
        <v>-819</v>
      </c>
      <c r="E5" s="14">
        <v>-1730</v>
      </c>
      <c r="F5" s="14">
        <v>-1491</v>
      </c>
      <c r="G5" s="14">
        <v>-758</v>
      </c>
      <c r="H5" s="14">
        <v>-625</v>
      </c>
      <c r="I5" s="14">
        <v>-1498</v>
      </c>
      <c r="J5" s="14">
        <v>-1292</v>
      </c>
      <c r="K5" s="14">
        <v>-654</v>
      </c>
      <c r="L5" s="14">
        <v>-573</v>
      </c>
      <c r="M5" s="14">
        <v>-1382</v>
      </c>
      <c r="N5" s="14">
        <v>-1260</v>
      </c>
      <c r="O5" s="14">
        <v>-696</v>
      </c>
      <c r="P5" s="4">
        <v>-604</v>
      </c>
      <c r="V5" s="14">
        <v>-3587</v>
      </c>
      <c r="W5" s="14">
        <v>-4584</v>
      </c>
      <c r="X5" s="14">
        <v>-5038</v>
      </c>
      <c r="Y5" s="14">
        <v>-4799</v>
      </c>
      <c r="Z5" s="14">
        <v>-4069</v>
      </c>
      <c r="AA5" s="14">
        <v>-3910</v>
      </c>
      <c r="AB5" s="15">
        <f>AB4*-0.64</f>
        <v>-3965.7472000000002</v>
      </c>
      <c r="AC5" s="29">
        <f t="shared" ref="AC5:AL5" si="1">AC4*-0.64</f>
        <v>-4164.034560000001</v>
      </c>
      <c r="AD5" s="29">
        <f t="shared" si="1"/>
        <v>-4372.236288000001</v>
      </c>
      <c r="AE5" s="29">
        <f t="shared" si="1"/>
        <v>-4590.8481024000012</v>
      </c>
      <c r="AF5" s="29">
        <f t="shared" si="1"/>
        <v>-4820.3905075200009</v>
      </c>
      <c r="AG5" s="29">
        <f t="shared" si="1"/>
        <v>-5061.4100328960012</v>
      </c>
      <c r="AH5" s="29">
        <f t="shared" si="1"/>
        <v>-5314.4805345408013</v>
      </c>
      <c r="AI5" s="29">
        <f t="shared" si="1"/>
        <v>-5580.2045612678421</v>
      </c>
      <c r="AJ5" s="29">
        <f t="shared" si="1"/>
        <v>-5859.214789331234</v>
      </c>
      <c r="AK5" s="29">
        <f t="shared" si="1"/>
        <v>-6152.1755287977958</v>
      </c>
      <c r="AL5" s="29">
        <f t="shared" si="1"/>
        <v>-6459.7843052376866</v>
      </c>
    </row>
    <row r="6" spans="1:179" x14ac:dyDescent="0.25">
      <c r="A6" s="2" t="s">
        <v>41</v>
      </c>
      <c r="B6" s="5">
        <f>B4*B5</f>
        <v>3048.5</v>
      </c>
      <c r="C6" s="2" t="s">
        <v>50</v>
      </c>
      <c r="D6" s="2">
        <f t="shared" ref="D6:O6" si="2">SUM(D4:D5)</f>
        <v>462</v>
      </c>
      <c r="E6" s="2">
        <f t="shared" si="2"/>
        <v>823</v>
      </c>
      <c r="F6" s="2">
        <f t="shared" si="2"/>
        <v>790</v>
      </c>
      <c r="G6" s="2">
        <f t="shared" si="2"/>
        <v>424</v>
      </c>
      <c r="H6" s="2">
        <f t="shared" si="2"/>
        <v>339</v>
      </c>
      <c r="I6" s="2">
        <f t="shared" si="2"/>
        <v>709</v>
      </c>
      <c r="J6" s="2">
        <f t="shared" si="2"/>
        <v>680</v>
      </c>
      <c r="K6" s="2">
        <f t="shared" si="2"/>
        <v>355</v>
      </c>
      <c r="L6" s="2">
        <f t="shared" si="2"/>
        <v>299</v>
      </c>
      <c r="M6" s="2">
        <f t="shared" si="2"/>
        <v>708</v>
      </c>
      <c r="N6" s="2">
        <f t="shared" si="2"/>
        <v>713</v>
      </c>
      <c r="O6" s="2">
        <f t="shared" si="2"/>
        <v>384</v>
      </c>
      <c r="P6" s="4">
        <f>SUM(P4:P5)</f>
        <v>340</v>
      </c>
      <c r="V6" s="14">
        <f>SUM(V4:V5)</f>
        <v>1700</v>
      </c>
      <c r="W6" s="14">
        <f>SUM(W4:W5)</f>
        <v>2243</v>
      </c>
      <c r="X6" s="14">
        <f>SUM(X4:X5)</f>
        <v>2633</v>
      </c>
      <c r="Y6" s="14">
        <f>SUM(Y4:Y5)</f>
        <v>2499</v>
      </c>
      <c r="Z6" s="14">
        <f>SUM(Z4:Z5)</f>
        <v>2083</v>
      </c>
      <c r="AA6" s="14">
        <f>SUM(AA4:AA5)</f>
        <v>2106</v>
      </c>
      <c r="AB6" s="15">
        <f t="shared" ref="AB6:AL6" si="3">SUM(AB4:AB5)</f>
        <v>2230.7328000000002</v>
      </c>
      <c r="AC6" s="14">
        <f t="shared" si="3"/>
        <v>2342.26944</v>
      </c>
      <c r="AD6" s="14">
        <f t="shared" si="3"/>
        <v>2459.382912</v>
      </c>
      <c r="AE6" s="14">
        <f t="shared" si="3"/>
        <v>2582.3520576000001</v>
      </c>
      <c r="AF6" s="14">
        <f t="shared" si="3"/>
        <v>2711.469660480001</v>
      </c>
      <c r="AG6" s="14">
        <f t="shared" si="3"/>
        <v>2847.0431435040009</v>
      </c>
      <c r="AH6" s="14">
        <f t="shared" si="3"/>
        <v>2989.3953006792008</v>
      </c>
      <c r="AI6" s="14">
        <f t="shared" si="3"/>
        <v>3138.8650657131611</v>
      </c>
      <c r="AJ6" s="14">
        <f t="shared" si="3"/>
        <v>3295.8083189988192</v>
      </c>
      <c r="AK6" s="14">
        <f t="shared" si="3"/>
        <v>3460.5987349487605</v>
      </c>
      <c r="AL6" s="14">
        <f t="shared" si="3"/>
        <v>3633.6286716961986</v>
      </c>
    </row>
    <row r="7" spans="1:179" x14ac:dyDescent="0.25">
      <c r="A7" s="2" t="s">
        <v>42</v>
      </c>
      <c r="B7" s="5">
        <v>14</v>
      </c>
      <c r="C7" s="2" t="s">
        <v>51</v>
      </c>
      <c r="D7" s="14">
        <v>-152</v>
      </c>
      <c r="E7" s="14">
        <v>-195</v>
      </c>
      <c r="F7" s="14">
        <v>-155</v>
      </c>
      <c r="G7" s="14">
        <v>-107</v>
      </c>
      <c r="H7" s="14">
        <v>-135</v>
      </c>
      <c r="I7" s="14">
        <v>-161</v>
      </c>
      <c r="J7" s="14">
        <v>-109</v>
      </c>
      <c r="K7" s="14">
        <v>-82</v>
      </c>
      <c r="L7" s="14">
        <v>-121</v>
      </c>
      <c r="M7" s="14">
        <v>-145</v>
      </c>
      <c r="N7" s="14">
        <v>-104</v>
      </c>
      <c r="O7" s="14">
        <v>-88</v>
      </c>
      <c r="P7" s="4">
        <v>-115</v>
      </c>
      <c r="V7" s="14">
        <v>-354</v>
      </c>
      <c r="W7" s="14">
        <v>-400</v>
      </c>
      <c r="X7" s="14">
        <v>-481</v>
      </c>
      <c r="Y7" s="14">
        <v>-609</v>
      </c>
      <c r="Z7" s="14">
        <v>-488</v>
      </c>
      <c r="AA7" s="14">
        <v>-458</v>
      </c>
      <c r="AB7" s="15">
        <f>AA7*1.03</f>
        <v>-471.74</v>
      </c>
      <c r="AC7" s="14">
        <f>AB7*1.02</f>
        <v>-481.1748</v>
      </c>
      <c r="AD7" s="14">
        <f>AC7*1.02</f>
        <v>-490.79829599999999</v>
      </c>
      <c r="AE7" s="14">
        <f t="shared" ref="AD7:AL7" si="4">AD7*1.04</f>
        <v>-510.43022783999999</v>
      </c>
      <c r="AF7" s="14">
        <f t="shared" si="4"/>
        <v>-530.84743695359998</v>
      </c>
      <c r="AG7" s="14">
        <f t="shared" si="4"/>
        <v>-552.08133443174404</v>
      </c>
      <c r="AH7" s="14">
        <f t="shared" si="4"/>
        <v>-574.16458780901382</v>
      </c>
      <c r="AI7" s="14">
        <f t="shared" si="4"/>
        <v>-597.13117132137438</v>
      </c>
      <c r="AJ7" s="14">
        <f t="shared" si="4"/>
        <v>-621.01641817422933</v>
      </c>
      <c r="AK7" s="14">
        <f t="shared" si="4"/>
        <v>-645.85707490119853</v>
      </c>
      <c r="AL7" s="14">
        <f t="shared" si="4"/>
        <v>-671.69135789724646</v>
      </c>
    </row>
    <row r="8" spans="1:179" x14ac:dyDescent="0.25">
      <c r="A8" s="2" t="s">
        <v>43</v>
      </c>
      <c r="B8" s="5">
        <v>778</v>
      </c>
      <c r="C8" s="2" t="s">
        <v>52</v>
      </c>
      <c r="D8" s="14">
        <v>-183</v>
      </c>
      <c r="E8" s="14">
        <v>-238</v>
      </c>
      <c r="F8" s="14">
        <v>-206</v>
      </c>
      <c r="G8" s="14">
        <v>-200</v>
      </c>
      <c r="H8" s="14">
        <v>-187</v>
      </c>
      <c r="I8" s="14">
        <v>-225</v>
      </c>
      <c r="J8" s="14">
        <v>-204</v>
      </c>
      <c r="K8" s="14">
        <v>-195</v>
      </c>
      <c r="L8" s="14">
        <v>-173</v>
      </c>
      <c r="M8" s="14">
        <v>-214</v>
      </c>
      <c r="N8" s="14">
        <v>-204</v>
      </c>
      <c r="O8" s="14">
        <v>-194</v>
      </c>
      <c r="P8" s="4">
        <v>-182</v>
      </c>
      <c r="V8" s="14">
        <v>-652</v>
      </c>
      <c r="W8" s="14">
        <v>-707</v>
      </c>
      <c r="X8" s="14">
        <v>-782</v>
      </c>
      <c r="Y8" s="14">
        <v>-827</v>
      </c>
      <c r="Z8" s="14">
        <v>-811</v>
      </c>
      <c r="AA8" s="14">
        <v>-786</v>
      </c>
      <c r="AB8" s="15">
        <f t="shared" ref="AB8:AC9" si="5">AA8*1.03</f>
        <v>-809.58</v>
      </c>
      <c r="AC8" s="14">
        <f t="shared" ref="AC8:AD9" si="6">AB8*1.02</f>
        <v>-825.77160000000003</v>
      </c>
      <c r="AD8" s="14">
        <f t="shared" si="6"/>
        <v>-842.28703200000007</v>
      </c>
      <c r="AE8" s="14">
        <f t="shared" ref="AD8:AL8" si="7">AD8*1.04</f>
        <v>-875.97851328000013</v>
      </c>
      <c r="AF8" s="14">
        <f t="shared" si="7"/>
        <v>-911.01765381120015</v>
      </c>
      <c r="AG8" s="14">
        <f t="shared" si="7"/>
        <v>-947.45835996364815</v>
      </c>
      <c r="AH8" s="14">
        <f t="shared" si="7"/>
        <v>-985.35669436219416</v>
      </c>
      <c r="AI8" s="14">
        <f t="shared" si="7"/>
        <v>-1024.7709621366819</v>
      </c>
      <c r="AJ8" s="14">
        <f t="shared" si="7"/>
        <v>-1065.7618006221492</v>
      </c>
      <c r="AK8" s="14">
        <f t="shared" si="7"/>
        <v>-1108.3922726470353</v>
      </c>
      <c r="AL8" s="14">
        <f t="shared" si="7"/>
        <v>-1152.7279635529167</v>
      </c>
    </row>
    <row r="9" spans="1:179" x14ac:dyDescent="0.25">
      <c r="A9" s="3" t="s">
        <v>44</v>
      </c>
      <c r="B9" s="6">
        <f>B6-B7+B8</f>
        <v>3812.5</v>
      </c>
      <c r="C9" s="2" t="s">
        <v>53</v>
      </c>
      <c r="D9" s="14">
        <v>-145</v>
      </c>
      <c r="E9" s="14">
        <v>-150</v>
      </c>
      <c r="F9" s="14">
        <v>-156</v>
      </c>
      <c r="G9" s="14">
        <v>-159</v>
      </c>
      <c r="H9" s="14">
        <v>-156</v>
      </c>
      <c r="I9" s="14">
        <v>-163</v>
      </c>
      <c r="J9" s="14">
        <v>-171</v>
      </c>
      <c r="K9" s="14">
        <v>-168</v>
      </c>
      <c r="L9" s="14">
        <v>-167</v>
      </c>
      <c r="M9" s="14">
        <v>-171</v>
      </c>
      <c r="N9" s="14">
        <v>-169</v>
      </c>
      <c r="O9" s="14">
        <v>-169</v>
      </c>
      <c r="P9" s="4">
        <v>-165</v>
      </c>
      <c r="V9" s="14">
        <v>-464</v>
      </c>
      <c r="W9" s="14">
        <v>-470</v>
      </c>
      <c r="X9" s="14">
        <v>-519</v>
      </c>
      <c r="Y9" s="14">
        <v>-609</v>
      </c>
      <c r="Z9" s="14">
        <v>-658</v>
      </c>
      <c r="AA9" s="14">
        <v>-676</v>
      </c>
      <c r="AB9" s="15">
        <f t="shared" si="5"/>
        <v>-696.28</v>
      </c>
      <c r="AC9" s="14">
        <f t="shared" si="6"/>
        <v>-710.2056</v>
      </c>
      <c r="AD9" s="14">
        <f t="shared" si="6"/>
        <v>-724.40971200000001</v>
      </c>
      <c r="AE9" s="14">
        <f t="shared" ref="AD9:AL9" si="8">AD9*1.04</f>
        <v>-753.3861004800001</v>
      </c>
      <c r="AF9" s="14">
        <f t="shared" si="8"/>
        <v>-783.5215444992001</v>
      </c>
      <c r="AG9" s="14">
        <f t="shared" si="8"/>
        <v>-814.86240627916811</v>
      </c>
      <c r="AH9" s="14">
        <f t="shared" si="8"/>
        <v>-847.4569025303349</v>
      </c>
      <c r="AI9" s="14">
        <f t="shared" si="8"/>
        <v>-881.35517863154837</v>
      </c>
      <c r="AJ9" s="14">
        <f t="shared" si="8"/>
        <v>-916.60938577681031</v>
      </c>
      <c r="AK9" s="14">
        <f t="shared" si="8"/>
        <v>-953.27376120788279</v>
      </c>
      <c r="AL9" s="14">
        <f t="shared" si="8"/>
        <v>-991.40471165619817</v>
      </c>
    </row>
    <row r="10" spans="1:179" x14ac:dyDescent="0.25">
      <c r="C10" s="2" t="s">
        <v>54</v>
      </c>
      <c r="D10" s="14">
        <v>0</v>
      </c>
      <c r="E10" s="14">
        <v>0</v>
      </c>
      <c r="F10" s="14">
        <v>0</v>
      </c>
      <c r="G10" s="14">
        <v>0</v>
      </c>
      <c r="H10" s="14">
        <v>-1</v>
      </c>
      <c r="I10" s="14">
        <v>-1</v>
      </c>
      <c r="J10" s="14">
        <v>-1</v>
      </c>
      <c r="K10" s="14">
        <v>-1</v>
      </c>
      <c r="L10" s="14">
        <v>-1</v>
      </c>
      <c r="M10" s="14">
        <v>-8</v>
      </c>
      <c r="N10" s="14">
        <v>0</v>
      </c>
      <c r="O10" s="14">
        <v>0</v>
      </c>
      <c r="P10" s="4">
        <v>0</v>
      </c>
      <c r="V10" s="14">
        <v>0</v>
      </c>
      <c r="W10" s="14">
        <v>0</v>
      </c>
      <c r="X10" s="14">
        <v>0</v>
      </c>
      <c r="Y10" s="14">
        <v>0</v>
      </c>
      <c r="Z10" s="14">
        <v>-3</v>
      </c>
      <c r="AA10" s="14">
        <v>-9</v>
      </c>
      <c r="AB10" s="15">
        <v>0</v>
      </c>
      <c r="AC10" s="14">
        <f t="shared" ref="AC8:AL10" si="9">AB10*1.04</f>
        <v>0</v>
      </c>
      <c r="AD10" s="14">
        <v>0</v>
      </c>
      <c r="AE10" s="14">
        <v>0</v>
      </c>
      <c r="AF10" s="14">
        <v>0</v>
      </c>
      <c r="AG10" s="14">
        <v>0</v>
      </c>
      <c r="AH10" s="14">
        <v>0</v>
      </c>
      <c r="AI10" s="14">
        <v>0</v>
      </c>
      <c r="AJ10" s="14">
        <v>0</v>
      </c>
      <c r="AK10" s="14">
        <v>0</v>
      </c>
      <c r="AL10" s="14">
        <v>0</v>
      </c>
    </row>
    <row r="11" spans="1:179" x14ac:dyDescent="0.25">
      <c r="C11" s="2" t="s">
        <v>55</v>
      </c>
      <c r="D11" s="2">
        <f t="shared" ref="D11:O11" si="10">D5+D7+D8+D9+D10</f>
        <v>-1299</v>
      </c>
      <c r="E11" s="2">
        <f t="shared" si="10"/>
        <v>-2313</v>
      </c>
      <c r="F11" s="2">
        <f t="shared" si="10"/>
        <v>-2008</v>
      </c>
      <c r="G11" s="2">
        <f t="shared" si="10"/>
        <v>-1224</v>
      </c>
      <c r="H11" s="2">
        <f t="shared" si="10"/>
        <v>-1104</v>
      </c>
      <c r="I11" s="2">
        <f t="shared" si="10"/>
        <v>-2048</v>
      </c>
      <c r="J11" s="2">
        <f t="shared" si="10"/>
        <v>-1777</v>
      </c>
      <c r="K11" s="2">
        <f t="shared" si="10"/>
        <v>-1100</v>
      </c>
      <c r="L11" s="2">
        <f t="shared" si="10"/>
        <v>-1035</v>
      </c>
      <c r="M11" s="2">
        <f t="shared" si="10"/>
        <v>-1920</v>
      </c>
      <c r="N11" s="2">
        <f t="shared" si="10"/>
        <v>-1737</v>
      </c>
      <c r="O11" s="2">
        <f t="shared" si="10"/>
        <v>-1147</v>
      </c>
      <c r="P11" s="4">
        <f>P5+P7+P8+P9+P10</f>
        <v>-1066</v>
      </c>
      <c r="V11" s="14">
        <f>V5+V7+V8+V9+V10</f>
        <v>-5057</v>
      </c>
      <c r="W11" s="14">
        <f>W5+W7+W8+W9+W10</f>
        <v>-6161</v>
      </c>
      <c r="X11" s="14">
        <f>X5+X7+X8+X9+X10</f>
        <v>-6820</v>
      </c>
      <c r="Y11" s="14">
        <f>Y5+Y7+Y8+Y9+Y10</f>
        <v>-6844</v>
      </c>
      <c r="Z11" s="14">
        <f>Z5+Z7+Z8+Z9+Z10</f>
        <v>-6029</v>
      </c>
      <c r="AA11" s="14">
        <f>AA5+AA7+AA8+AA9+AA10</f>
        <v>-5839</v>
      </c>
      <c r="AB11" s="15">
        <f t="shared" ref="AB11:AL11" si="11">AB5+AB7+AB8+AB9+AB10</f>
        <v>-5943.3472000000002</v>
      </c>
      <c r="AC11" s="14">
        <f t="shared" si="11"/>
        <v>-6181.186560000001</v>
      </c>
      <c r="AD11" s="14">
        <f t="shared" si="11"/>
        <v>-6429.7313280000008</v>
      </c>
      <c r="AE11" s="14">
        <f t="shared" si="11"/>
        <v>-6730.6429440000011</v>
      </c>
      <c r="AF11" s="14">
        <f t="shared" si="11"/>
        <v>-7045.7771427840007</v>
      </c>
      <c r="AG11" s="14">
        <f t="shared" si="11"/>
        <v>-7375.8121335705609</v>
      </c>
      <c r="AH11" s="14">
        <f t="shared" si="11"/>
        <v>-7721.4587192423442</v>
      </c>
      <c r="AI11" s="14">
        <f t="shared" si="11"/>
        <v>-8083.4618733574471</v>
      </c>
      <c r="AJ11" s="14">
        <f t="shared" si="11"/>
        <v>-8462.6023939044226</v>
      </c>
      <c r="AK11" s="14">
        <f t="shared" si="11"/>
        <v>-8859.6986375539127</v>
      </c>
      <c r="AL11" s="14">
        <f t="shared" si="11"/>
        <v>-9275.6083383440473</v>
      </c>
    </row>
    <row r="12" spans="1:179" x14ac:dyDescent="0.25">
      <c r="C12" s="1" t="s">
        <v>56</v>
      </c>
      <c r="D12" s="1">
        <f>D4+D11</f>
        <v>-18</v>
      </c>
      <c r="E12" s="1">
        <f>E4+E11</f>
        <v>240</v>
      </c>
      <c r="F12" s="1">
        <f>F4+F11</f>
        <v>273</v>
      </c>
      <c r="G12" s="1">
        <f>G4+G11</f>
        <v>-42</v>
      </c>
      <c r="H12" s="1">
        <f>H4+H11</f>
        <v>-140</v>
      </c>
      <c r="I12" s="1">
        <f>I4+I11</f>
        <v>159</v>
      </c>
      <c r="J12" s="1">
        <f>J4+J11</f>
        <v>195</v>
      </c>
      <c r="K12" s="1">
        <f>K4+K11</f>
        <v>-91</v>
      </c>
      <c r="L12" s="1">
        <f>L4+L11</f>
        <v>-163</v>
      </c>
      <c r="M12" s="1">
        <f>M4+M11</f>
        <v>170</v>
      </c>
      <c r="N12" s="1">
        <f>N4+N11</f>
        <v>236</v>
      </c>
      <c r="O12" s="1">
        <f>O4+O11</f>
        <v>-67</v>
      </c>
      <c r="P12" s="26">
        <f>P4+P11</f>
        <v>-122</v>
      </c>
      <c r="V12" s="12">
        <f>V4+V11</f>
        <v>230</v>
      </c>
      <c r="W12" s="12">
        <f>W4+W11</f>
        <v>666</v>
      </c>
      <c r="X12" s="12">
        <f>X4+X11</f>
        <v>851</v>
      </c>
      <c r="Y12" s="12">
        <f>Y4+Y11</f>
        <v>454</v>
      </c>
      <c r="Z12" s="12">
        <f>Z4+Z11</f>
        <v>123</v>
      </c>
      <c r="AA12" s="12">
        <f>AA4+AA11</f>
        <v>177</v>
      </c>
      <c r="AB12" s="13">
        <f t="shared" ref="AB12:AL12" si="12">AB4+AB11</f>
        <v>253.13280000000032</v>
      </c>
      <c r="AC12" s="12">
        <f t="shared" si="12"/>
        <v>325.11743999999999</v>
      </c>
      <c r="AD12" s="12">
        <f t="shared" si="12"/>
        <v>401.88787200000024</v>
      </c>
      <c r="AE12" s="12">
        <f t="shared" si="12"/>
        <v>442.55721600000015</v>
      </c>
      <c r="AF12" s="12">
        <f t="shared" si="12"/>
        <v>486.08302521600126</v>
      </c>
      <c r="AG12" s="12">
        <f t="shared" si="12"/>
        <v>532.64104282944118</v>
      </c>
      <c r="AH12" s="12">
        <f t="shared" si="12"/>
        <v>582.41711597765789</v>
      </c>
      <c r="AI12" s="12">
        <f t="shared" si="12"/>
        <v>635.60775362355616</v>
      </c>
      <c r="AJ12" s="12">
        <f t="shared" si="12"/>
        <v>692.42071442563065</v>
      </c>
      <c r="AK12" s="12">
        <f t="shared" si="12"/>
        <v>753.07562619264354</v>
      </c>
      <c r="AL12" s="12">
        <f t="shared" si="12"/>
        <v>817.80463858983785</v>
      </c>
    </row>
    <row r="13" spans="1:179" x14ac:dyDescent="0.25">
      <c r="C13" s="2" t="s">
        <v>57</v>
      </c>
      <c r="D13" s="14">
        <v>-14</v>
      </c>
      <c r="E13" s="14">
        <v>-11</v>
      </c>
      <c r="F13" s="14">
        <v>-5</v>
      </c>
      <c r="G13" s="14">
        <v>-19</v>
      </c>
      <c r="H13" s="14">
        <v>-33</v>
      </c>
      <c r="I13" s="14">
        <v>-24</v>
      </c>
      <c r="J13" s="14">
        <v>-25</v>
      </c>
      <c r="K13" s="14">
        <v>-27</v>
      </c>
      <c r="L13" s="14">
        <v>-28</v>
      </c>
      <c r="M13" s="14">
        <v>-29</v>
      </c>
      <c r="N13" s="14">
        <v>-20</v>
      </c>
      <c r="O13" s="14">
        <v>-17</v>
      </c>
      <c r="P13" s="4">
        <v>-27</v>
      </c>
      <c r="V13" s="14">
        <f>14-69</f>
        <v>-55</v>
      </c>
      <c r="W13" s="14">
        <f>-42</f>
        <v>-42</v>
      </c>
      <c r="X13" s="14">
        <v>-52</v>
      </c>
      <c r="Y13" s="14">
        <f>40-91</f>
        <v>-51</v>
      </c>
      <c r="Z13" s="14">
        <f>45-154</f>
        <v>-109</v>
      </c>
      <c r="AA13" s="14">
        <f>28-122</f>
        <v>-94</v>
      </c>
      <c r="AB13" s="15">
        <v>0</v>
      </c>
      <c r="AC13" s="14">
        <v>0</v>
      </c>
      <c r="AD13" s="14">
        <v>0</v>
      </c>
      <c r="AE13" s="14">
        <v>0</v>
      </c>
      <c r="AF13" s="14">
        <v>0</v>
      </c>
      <c r="AG13" s="14">
        <v>0</v>
      </c>
      <c r="AH13" s="14">
        <v>0</v>
      </c>
      <c r="AI13" s="14">
        <v>0</v>
      </c>
      <c r="AJ13" s="14">
        <v>0</v>
      </c>
      <c r="AK13" s="14">
        <v>0</v>
      </c>
      <c r="AL13" s="14">
        <v>0</v>
      </c>
    </row>
    <row r="14" spans="1:179" x14ac:dyDescent="0.25">
      <c r="C14" s="2" t="s">
        <v>58</v>
      </c>
      <c r="D14" s="2">
        <f t="shared" ref="D14:O14" si="13">SUM(D12:D13)</f>
        <v>-32</v>
      </c>
      <c r="E14" s="2">
        <f t="shared" si="13"/>
        <v>229</v>
      </c>
      <c r="F14" s="2">
        <f t="shared" si="13"/>
        <v>268</v>
      </c>
      <c r="G14" s="2">
        <f t="shared" si="13"/>
        <v>-61</v>
      </c>
      <c r="H14" s="2">
        <f t="shared" si="13"/>
        <v>-173</v>
      </c>
      <c r="I14" s="2">
        <f t="shared" si="13"/>
        <v>135</v>
      </c>
      <c r="J14" s="2">
        <f t="shared" si="13"/>
        <v>170</v>
      </c>
      <c r="K14" s="2">
        <f t="shared" si="13"/>
        <v>-118</v>
      </c>
      <c r="L14" s="2">
        <f t="shared" si="13"/>
        <v>-191</v>
      </c>
      <c r="M14" s="2">
        <f t="shared" si="13"/>
        <v>141</v>
      </c>
      <c r="N14" s="2">
        <f t="shared" si="13"/>
        <v>216</v>
      </c>
      <c r="O14" s="2">
        <f t="shared" si="13"/>
        <v>-84</v>
      </c>
      <c r="P14" s="4">
        <f>SUM(P12:P13)</f>
        <v>-149</v>
      </c>
      <c r="V14" s="14">
        <f>SUM(V12:V13)</f>
        <v>175</v>
      </c>
      <c r="W14" s="14">
        <f>SUM(W12:W13)</f>
        <v>624</v>
      </c>
      <c r="X14" s="14">
        <f>SUM(X12:X13)</f>
        <v>799</v>
      </c>
      <c r="Y14" s="14">
        <f>SUM(Y12:Y13)</f>
        <v>403</v>
      </c>
      <c r="Z14" s="14">
        <f>SUM(Z12:Z13)</f>
        <v>14</v>
      </c>
      <c r="AA14" s="14">
        <f>SUM(AA12:AA13)</f>
        <v>83</v>
      </c>
      <c r="AB14" s="15">
        <f t="shared" ref="AB14:AL14" si="14">SUM(AB12:AB13)</f>
        <v>253.13280000000032</v>
      </c>
      <c r="AC14" s="14">
        <f t="shared" si="14"/>
        <v>325.11743999999999</v>
      </c>
      <c r="AD14" s="14">
        <f t="shared" si="14"/>
        <v>401.88787200000024</v>
      </c>
      <c r="AE14" s="14">
        <f t="shared" si="14"/>
        <v>442.55721600000015</v>
      </c>
      <c r="AF14" s="14">
        <f t="shared" si="14"/>
        <v>486.08302521600126</v>
      </c>
      <c r="AG14" s="14">
        <f t="shared" si="14"/>
        <v>532.64104282944118</v>
      </c>
      <c r="AH14" s="14">
        <f t="shared" si="14"/>
        <v>582.41711597765789</v>
      </c>
      <c r="AI14" s="14">
        <f t="shared" si="14"/>
        <v>635.60775362355616</v>
      </c>
      <c r="AJ14" s="14">
        <f t="shared" si="14"/>
        <v>692.42071442563065</v>
      </c>
      <c r="AK14" s="14">
        <f t="shared" si="14"/>
        <v>753.07562619264354</v>
      </c>
      <c r="AL14" s="14">
        <f t="shared" si="14"/>
        <v>817.80463858983785</v>
      </c>
    </row>
    <row r="15" spans="1:179" x14ac:dyDescent="0.25">
      <c r="C15" s="2" t="s">
        <v>59</v>
      </c>
      <c r="D15" s="14">
        <v>10</v>
      </c>
      <c r="E15" s="14">
        <v>-46</v>
      </c>
      <c r="F15" s="14">
        <v>-54</v>
      </c>
      <c r="G15" s="14">
        <v>1</v>
      </c>
      <c r="H15" s="14">
        <v>39</v>
      </c>
      <c r="I15" s="14">
        <v>-16</v>
      </c>
      <c r="J15" s="14">
        <v>-33</v>
      </c>
      <c r="K15" s="14">
        <v>22</v>
      </c>
      <c r="L15" s="14">
        <v>43</v>
      </c>
      <c r="M15" s="14">
        <v>-33</v>
      </c>
      <c r="N15" s="14">
        <v>-46</v>
      </c>
      <c r="O15" s="14">
        <v>19</v>
      </c>
      <c r="P15" s="4">
        <v>38</v>
      </c>
      <c r="V15" s="14">
        <v>-33</v>
      </c>
      <c r="W15" s="14">
        <v>-139</v>
      </c>
      <c r="X15" s="14">
        <v>-177</v>
      </c>
      <c r="Y15" s="14">
        <v>-89</v>
      </c>
      <c r="Z15" s="14">
        <v>12</v>
      </c>
      <c r="AA15" s="14">
        <v>-17</v>
      </c>
      <c r="AB15" s="15">
        <f>AB14*-0.22</f>
        <v>-55.689216000000073</v>
      </c>
      <c r="AC15" s="29">
        <f t="shared" ref="AC15:AL15" si="15">AC14*-0.22</f>
        <v>-71.525836799999993</v>
      </c>
      <c r="AD15" s="29">
        <f t="shared" si="15"/>
        <v>-88.41533184000005</v>
      </c>
      <c r="AE15" s="29">
        <f t="shared" si="15"/>
        <v>-97.362587520000034</v>
      </c>
      <c r="AF15" s="29">
        <f t="shared" si="15"/>
        <v>-106.93826554752027</v>
      </c>
      <c r="AG15" s="29">
        <f t="shared" si="15"/>
        <v>-117.18102942247705</v>
      </c>
      <c r="AH15" s="29">
        <f t="shared" si="15"/>
        <v>-128.13176551508474</v>
      </c>
      <c r="AI15" s="29">
        <f t="shared" si="15"/>
        <v>-139.83370579718235</v>
      </c>
      <c r="AJ15" s="29">
        <f t="shared" si="15"/>
        <v>-152.33255717363875</v>
      </c>
      <c r="AK15" s="29">
        <f t="shared" si="15"/>
        <v>-165.67663776238157</v>
      </c>
      <c r="AL15" s="29">
        <f t="shared" si="15"/>
        <v>-179.91702048976433</v>
      </c>
    </row>
    <row r="16" spans="1:179" x14ac:dyDescent="0.25">
      <c r="C16" s="1" t="s">
        <v>60</v>
      </c>
      <c r="D16" s="1">
        <f t="shared" ref="D16:O16" si="16">SUM(D14:D15)</f>
        <v>-22</v>
      </c>
      <c r="E16" s="1">
        <f t="shared" si="16"/>
        <v>183</v>
      </c>
      <c r="F16" s="1">
        <f t="shared" si="16"/>
        <v>214</v>
      </c>
      <c r="G16" s="1">
        <f t="shared" si="16"/>
        <v>-60</v>
      </c>
      <c r="H16" s="1">
        <f t="shared" si="16"/>
        <v>-134</v>
      </c>
      <c r="I16" s="1">
        <f t="shared" si="16"/>
        <v>119</v>
      </c>
      <c r="J16" s="1">
        <f t="shared" si="16"/>
        <v>137</v>
      </c>
      <c r="K16" s="1">
        <f t="shared" si="16"/>
        <v>-96</v>
      </c>
      <c r="L16" s="1">
        <f t="shared" si="16"/>
        <v>-148</v>
      </c>
      <c r="M16" s="1">
        <f t="shared" si="16"/>
        <v>108</v>
      </c>
      <c r="N16" s="1">
        <f t="shared" si="16"/>
        <v>170</v>
      </c>
      <c r="O16" s="1">
        <f t="shared" si="16"/>
        <v>-65</v>
      </c>
      <c r="P16" s="26">
        <f>SUM(P14:P15)</f>
        <v>-111</v>
      </c>
      <c r="V16" s="12">
        <f>SUM(V14:V15)</f>
        <v>142</v>
      </c>
      <c r="W16" s="12">
        <f>SUM(W14:W15)</f>
        <v>485</v>
      </c>
      <c r="X16" s="12">
        <f>SUM(X14:X15)</f>
        <v>622</v>
      </c>
      <c r="Y16" s="12">
        <f>SUM(Y14:Y15)</f>
        <v>314</v>
      </c>
      <c r="Z16" s="12">
        <f>SUM(Z14:Z15)</f>
        <v>26</v>
      </c>
      <c r="AA16" s="12">
        <f>SUM(AA14:AA15)</f>
        <v>66</v>
      </c>
      <c r="AB16" s="13">
        <f t="shared" ref="AB16:AL16" si="17">SUM(AB14:AB15)</f>
        <v>197.44358400000024</v>
      </c>
      <c r="AC16" s="12">
        <f t="shared" si="17"/>
        <v>253.59160320000001</v>
      </c>
      <c r="AD16" s="12">
        <f t="shared" si="17"/>
        <v>313.47254016000022</v>
      </c>
      <c r="AE16" s="12">
        <f t="shared" si="17"/>
        <v>345.19462848000012</v>
      </c>
      <c r="AF16" s="12">
        <f t="shared" si="17"/>
        <v>379.14475966848102</v>
      </c>
      <c r="AG16" s="12">
        <f t="shared" si="17"/>
        <v>415.46001340696409</v>
      </c>
      <c r="AH16" s="12">
        <f t="shared" si="17"/>
        <v>454.28535046257315</v>
      </c>
      <c r="AI16" s="12">
        <f t="shared" si="17"/>
        <v>495.77404782637382</v>
      </c>
      <c r="AJ16" s="12">
        <f t="shared" si="17"/>
        <v>540.0881572519919</v>
      </c>
      <c r="AK16" s="12">
        <f t="shared" si="17"/>
        <v>587.39898843026197</v>
      </c>
      <c r="AL16" s="12">
        <f t="shared" si="17"/>
        <v>637.8876181000735</v>
      </c>
      <c r="AM16" s="34">
        <f>AL16*(1+$AO$22)</f>
        <v>631.5087419190728</v>
      </c>
      <c r="AN16" s="34">
        <f t="shared" ref="AN16:CY16" si="18">AM16*(1+$AO$22)</f>
        <v>625.19365449988209</v>
      </c>
      <c r="AO16" s="34">
        <f t="shared" si="18"/>
        <v>618.9417179548833</v>
      </c>
      <c r="AP16" s="34">
        <f t="shared" si="18"/>
        <v>612.75230077533445</v>
      </c>
      <c r="AQ16" s="34">
        <f t="shared" si="18"/>
        <v>606.62477776758112</v>
      </c>
      <c r="AR16" s="34">
        <f t="shared" si="18"/>
        <v>600.55852998990531</v>
      </c>
      <c r="AS16" s="34">
        <f t="shared" si="18"/>
        <v>594.55294469000626</v>
      </c>
      <c r="AT16" s="34">
        <f t="shared" si="18"/>
        <v>588.60741524310617</v>
      </c>
      <c r="AU16" s="34">
        <f t="shared" si="18"/>
        <v>582.72134109067508</v>
      </c>
      <c r="AV16" s="34">
        <f t="shared" si="18"/>
        <v>576.8941276797683</v>
      </c>
      <c r="AW16" s="34">
        <f t="shared" si="18"/>
        <v>571.1251864029706</v>
      </c>
      <c r="AX16" s="34">
        <f t="shared" si="18"/>
        <v>565.41393453894091</v>
      </c>
      <c r="AY16" s="34">
        <f t="shared" si="18"/>
        <v>559.75979519355144</v>
      </c>
      <c r="AZ16" s="34">
        <f t="shared" si="18"/>
        <v>554.1621972416159</v>
      </c>
      <c r="BA16" s="34">
        <f t="shared" si="18"/>
        <v>548.62057526919978</v>
      </c>
      <c r="BB16" s="34">
        <f t="shared" si="18"/>
        <v>543.13436951650772</v>
      </c>
      <c r="BC16" s="34">
        <f t="shared" si="18"/>
        <v>537.70302582134264</v>
      </c>
      <c r="BD16" s="34">
        <f t="shared" si="18"/>
        <v>532.32599556312925</v>
      </c>
      <c r="BE16" s="34">
        <f t="shared" si="18"/>
        <v>527.00273560749793</v>
      </c>
      <c r="BF16" s="34">
        <f t="shared" si="18"/>
        <v>521.73270825142299</v>
      </c>
      <c r="BG16" s="34">
        <f t="shared" si="18"/>
        <v>516.51538116890879</v>
      </c>
      <c r="BH16" s="34">
        <f t="shared" si="18"/>
        <v>511.35022735721969</v>
      </c>
      <c r="BI16" s="34">
        <f t="shared" si="18"/>
        <v>506.23672508364751</v>
      </c>
      <c r="BJ16" s="34">
        <f t="shared" si="18"/>
        <v>501.17435783281104</v>
      </c>
      <c r="BK16" s="34">
        <f t="shared" si="18"/>
        <v>496.16261425448295</v>
      </c>
      <c r="BL16" s="34">
        <f t="shared" si="18"/>
        <v>491.2009881119381</v>
      </c>
      <c r="BM16" s="34">
        <f t="shared" si="18"/>
        <v>486.28897823081871</v>
      </c>
      <c r="BN16" s="34">
        <f t="shared" si="18"/>
        <v>481.42608844851054</v>
      </c>
      <c r="BO16" s="34">
        <f t="shared" si="18"/>
        <v>476.61182756402542</v>
      </c>
      <c r="BP16" s="34">
        <f t="shared" si="18"/>
        <v>471.84570928838514</v>
      </c>
      <c r="BQ16" s="34">
        <f t="shared" si="18"/>
        <v>467.12725219550128</v>
      </c>
      <c r="BR16" s="34">
        <f t="shared" si="18"/>
        <v>462.45597967354627</v>
      </c>
      <c r="BS16" s="34">
        <f t="shared" si="18"/>
        <v>457.8314198768108</v>
      </c>
      <c r="BT16" s="34">
        <f t="shared" si="18"/>
        <v>453.25310567804269</v>
      </c>
      <c r="BU16" s="34">
        <f t="shared" si="18"/>
        <v>448.72057462126224</v>
      </c>
      <c r="BV16" s="34">
        <f t="shared" si="18"/>
        <v>444.23336887504962</v>
      </c>
      <c r="BW16" s="34">
        <f t="shared" si="18"/>
        <v>439.7910351862991</v>
      </c>
      <c r="BX16" s="34">
        <f t="shared" si="18"/>
        <v>435.39312483443609</v>
      </c>
      <c r="BY16" s="34">
        <f t="shared" si="18"/>
        <v>431.03919358609176</v>
      </c>
      <c r="BZ16" s="34">
        <f t="shared" si="18"/>
        <v>426.72880165023082</v>
      </c>
      <c r="CA16" s="34">
        <f t="shared" si="18"/>
        <v>422.46151363372849</v>
      </c>
      <c r="CB16" s="34">
        <f t="shared" si="18"/>
        <v>418.23689849739122</v>
      </c>
      <c r="CC16" s="34">
        <f t="shared" si="18"/>
        <v>414.05452951241733</v>
      </c>
      <c r="CD16" s="34">
        <f t="shared" si="18"/>
        <v>409.91398421729315</v>
      </c>
      <c r="CE16" s="34">
        <f t="shared" si="18"/>
        <v>405.81484437512023</v>
      </c>
      <c r="CF16" s="34">
        <f t="shared" si="18"/>
        <v>401.75669593136905</v>
      </c>
      <c r="CG16" s="34">
        <f t="shared" si="18"/>
        <v>397.73912897205537</v>
      </c>
      <c r="CH16" s="34">
        <f t="shared" si="18"/>
        <v>393.7617376823348</v>
      </c>
      <c r="CI16" s="34">
        <f t="shared" si="18"/>
        <v>389.82412030551143</v>
      </c>
      <c r="CJ16" s="34">
        <f t="shared" si="18"/>
        <v>385.92587910245629</v>
      </c>
      <c r="CK16" s="34">
        <f t="shared" si="18"/>
        <v>382.06662031143173</v>
      </c>
      <c r="CL16" s="34">
        <f t="shared" si="18"/>
        <v>378.24595410831739</v>
      </c>
      <c r="CM16" s="34">
        <f t="shared" si="18"/>
        <v>374.46349456723419</v>
      </c>
      <c r="CN16" s="34">
        <f t="shared" si="18"/>
        <v>370.71885962156188</v>
      </c>
      <c r="CO16" s="34">
        <f t="shared" si="18"/>
        <v>367.01167102534623</v>
      </c>
      <c r="CP16" s="34">
        <f t="shared" si="18"/>
        <v>363.34155431509276</v>
      </c>
      <c r="CQ16" s="34">
        <f t="shared" si="18"/>
        <v>359.70813877194183</v>
      </c>
      <c r="CR16" s="34">
        <f t="shared" si="18"/>
        <v>356.11105738422242</v>
      </c>
      <c r="CS16" s="34">
        <f t="shared" si="18"/>
        <v>352.54994681038022</v>
      </c>
      <c r="CT16" s="34">
        <f t="shared" si="18"/>
        <v>349.0244473422764</v>
      </c>
      <c r="CU16" s="34">
        <f t="shared" si="18"/>
        <v>345.53420286885364</v>
      </c>
      <c r="CV16" s="34">
        <f t="shared" si="18"/>
        <v>342.07886084016508</v>
      </c>
      <c r="CW16" s="34">
        <f t="shared" si="18"/>
        <v>338.65807223176341</v>
      </c>
      <c r="CX16" s="34">
        <f t="shared" si="18"/>
        <v>335.27149150944575</v>
      </c>
      <c r="CY16" s="34">
        <f t="shared" si="18"/>
        <v>331.9187765943513</v>
      </c>
      <c r="CZ16" s="34">
        <f t="shared" ref="CZ16:FK16" si="19">CY16*(1+$AO$22)</f>
        <v>328.59958882840778</v>
      </c>
      <c r="DA16" s="34">
        <f t="shared" si="19"/>
        <v>325.31359294012367</v>
      </c>
      <c r="DB16" s="34">
        <f t="shared" si="19"/>
        <v>322.06045701072242</v>
      </c>
      <c r="DC16" s="34">
        <f t="shared" si="19"/>
        <v>318.83985244061518</v>
      </c>
      <c r="DD16" s="34">
        <f t="shared" si="19"/>
        <v>315.65145391620899</v>
      </c>
      <c r="DE16" s="34">
        <f t="shared" si="19"/>
        <v>312.49493937704688</v>
      </c>
      <c r="DF16" s="34">
        <f t="shared" si="19"/>
        <v>309.36998998327641</v>
      </c>
      <c r="DG16" s="34">
        <f t="shared" si="19"/>
        <v>306.27629008344366</v>
      </c>
      <c r="DH16" s="34">
        <f t="shared" si="19"/>
        <v>303.2135271826092</v>
      </c>
      <c r="DI16" s="34">
        <f t="shared" si="19"/>
        <v>300.18139191078308</v>
      </c>
      <c r="DJ16" s="34">
        <f t="shared" si="19"/>
        <v>297.17957799167522</v>
      </c>
      <c r="DK16" s="34">
        <f t="shared" si="19"/>
        <v>294.20778221175846</v>
      </c>
      <c r="DL16" s="34">
        <f t="shared" si="19"/>
        <v>291.26570438964086</v>
      </c>
      <c r="DM16" s="34">
        <f t="shared" si="19"/>
        <v>288.35304734574447</v>
      </c>
      <c r="DN16" s="34">
        <f t="shared" si="19"/>
        <v>285.46951687228704</v>
      </c>
      <c r="DO16" s="34">
        <f t="shared" si="19"/>
        <v>282.61482170356419</v>
      </c>
      <c r="DP16" s="34">
        <f t="shared" si="19"/>
        <v>279.78867348652852</v>
      </c>
      <c r="DQ16" s="34">
        <f t="shared" si="19"/>
        <v>276.99078675166322</v>
      </c>
      <c r="DR16" s="34">
        <f t="shared" si="19"/>
        <v>274.2208788841466</v>
      </c>
      <c r="DS16" s="34">
        <f t="shared" si="19"/>
        <v>271.47867009530512</v>
      </c>
      <c r="DT16" s="34">
        <f t="shared" si="19"/>
        <v>268.76388339435209</v>
      </c>
      <c r="DU16" s="34">
        <f t="shared" si="19"/>
        <v>266.07624456040855</v>
      </c>
      <c r="DV16" s="34">
        <f t="shared" si="19"/>
        <v>263.41548211480449</v>
      </c>
      <c r="DW16" s="34">
        <f t="shared" si="19"/>
        <v>260.78132729365643</v>
      </c>
      <c r="DX16" s="34">
        <f t="shared" si="19"/>
        <v>258.17351402071989</v>
      </c>
      <c r="DY16" s="34">
        <f t="shared" si="19"/>
        <v>255.59177888051269</v>
      </c>
      <c r="DZ16" s="34">
        <f t="shared" si="19"/>
        <v>253.03586109170757</v>
      </c>
      <c r="EA16" s="34">
        <f t="shared" si="19"/>
        <v>250.50550248079048</v>
      </c>
      <c r="EB16" s="34">
        <f t="shared" si="19"/>
        <v>248.00044745598257</v>
      </c>
      <c r="EC16" s="34">
        <f t="shared" si="19"/>
        <v>245.52044298142275</v>
      </c>
      <c r="ED16" s="34">
        <f t="shared" si="19"/>
        <v>243.06523855160853</v>
      </c>
      <c r="EE16" s="34">
        <f t="shared" si="19"/>
        <v>240.63458616609245</v>
      </c>
      <c r="EF16" s="34">
        <f t="shared" si="19"/>
        <v>238.22824030443152</v>
      </c>
      <c r="EG16" s="34">
        <f t="shared" si="19"/>
        <v>235.84595790138721</v>
      </c>
      <c r="EH16" s="34">
        <f t="shared" si="19"/>
        <v>233.48749832237334</v>
      </c>
      <c r="EI16" s="34">
        <f t="shared" si="19"/>
        <v>231.15262333914961</v>
      </c>
      <c r="EJ16" s="34">
        <f t="shared" si="19"/>
        <v>228.84109710575811</v>
      </c>
      <c r="EK16" s="34">
        <f t="shared" si="19"/>
        <v>226.55268613470054</v>
      </c>
      <c r="EL16" s="34">
        <f t="shared" si="19"/>
        <v>224.28715927335352</v>
      </c>
      <c r="EM16" s="34">
        <f t="shared" si="19"/>
        <v>222.04428768061999</v>
      </c>
      <c r="EN16" s="34">
        <f t="shared" si="19"/>
        <v>219.82384480381378</v>
      </c>
      <c r="EO16" s="34">
        <f t="shared" si="19"/>
        <v>217.62560635577566</v>
      </c>
      <c r="EP16" s="34">
        <f t="shared" si="19"/>
        <v>215.4493502922179</v>
      </c>
      <c r="EQ16" s="34">
        <f t="shared" si="19"/>
        <v>213.29485678929572</v>
      </c>
      <c r="ER16" s="34">
        <f t="shared" si="19"/>
        <v>211.16190822140277</v>
      </c>
      <c r="ES16" s="34">
        <f t="shared" si="19"/>
        <v>209.05028913918875</v>
      </c>
      <c r="ET16" s="34">
        <f t="shared" si="19"/>
        <v>206.95978624779687</v>
      </c>
      <c r="EU16" s="34">
        <f t="shared" si="19"/>
        <v>204.89018838531891</v>
      </c>
      <c r="EV16" s="34">
        <f t="shared" si="19"/>
        <v>202.8412865014657</v>
      </c>
      <c r="EW16" s="34">
        <f t="shared" si="19"/>
        <v>200.81287363645103</v>
      </c>
      <c r="EX16" s="34">
        <f t="shared" si="19"/>
        <v>198.80474490008652</v>
      </c>
      <c r="EY16" s="34">
        <f t="shared" si="19"/>
        <v>196.81669745108564</v>
      </c>
      <c r="EZ16" s="34">
        <f t="shared" si="19"/>
        <v>194.84853047657478</v>
      </c>
      <c r="FA16" s="34">
        <f t="shared" si="19"/>
        <v>192.90004517180904</v>
      </c>
      <c r="FB16" s="34">
        <f t="shared" si="19"/>
        <v>190.97104472009096</v>
      </c>
      <c r="FC16" s="34">
        <f t="shared" si="19"/>
        <v>189.06133427289004</v>
      </c>
      <c r="FD16" s="34">
        <f t="shared" si="19"/>
        <v>187.17072093016114</v>
      </c>
      <c r="FE16" s="34">
        <f t="shared" si="19"/>
        <v>185.29901372085953</v>
      </c>
      <c r="FF16" s="34">
        <f t="shared" si="19"/>
        <v>183.44602358365094</v>
      </c>
      <c r="FG16" s="34">
        <f t="shared" si="19"/>
        <v>181.61156334781444</v>
      </c>
      <c r="FH16" s="34">
        <f t="shared" si="19"/>
        <v>179.79544771433629</v>
      </c>
      <c r="FI16" s="34">
        <f t="shared" si="19"/>
        <v>177.99749323719291</v>
      </c>
      <c r="FJ16" s="34">
        <f t="shared" si="19"/>
        <v>176.21751830482097</v>
      </c>
      <c r="FK16" s="34">
        <f t="shared" si="19"/>
        <v>174.45534312177276</v>
      </c>
      <c r="FL16" s="34">
        <f t="shared" ref="FL16:FW16" si="20">FK16*(1+$AO$22)</f>
        <v>172.71078969055503</v>
      </c>
      <c r="FM16" s="34">
        <f t="shared" si="20"/>
        <v>170.98368179364948</v>
      </c>
      <c r="FN16" s="34">
        <f t="shared" si="20"/>
        <v>169.27384497571299</v>
      </c>
      <c r="FO16" s="34">
        <f t="shared" si="20"/>
        <v>167.58110652595585</v>
      </c>
      <c r="FP16" s="34">
        <f t="shared" si="20"/>
        <v>165.90529546069629</v>
      </c>
      <c r="FQ16" s="34">
        <f t="shared" si="20"/>
        <v>164.24624250608932</v>
      </c>
      <c r="FR16" s="34">
        <f t="shared" si="20"/>
        <v>162.60378008102842</v>
      </c>
      <c r="FS16" s="34">
        <f t="shared" si="20"/>
        <v>160.97774228021814</v>
      </c>
      <c r="FT16" s="34">
        <f t="shared" si="20"/>
        <v>159.36796485741596</v>
      </c>
      <c r="FU16" s="34">
        <f t="shared" si="20"/>
        <v>157.7742852088418</v>
      </c>
      <c r="FV16" s="34">
        <f t="shared" si="20"/>
        <v>156.19654235675338</v>
      </c>
      <c r="FW16" s="34">
        <f t="shared" si="20"/>
        <v>154.63457693318585</v>
      </c>
    </row>
    <row r="17" spans="3:42" x14ac:dyDescent="0.25">
      <c r="C17" s="2" t="s">
        <v>61</v>
      </c>
      <c r="D17" s="2">
        <v>58.625</v>
      </c>
      <c r="E17" s="2">
        <v>58.625</v>
      </c>
      <c r="F17" s="2">
        <v>58.625</v>
      </c>
      <c r="G17" s="2">
        <v>58.625</v>
      </c>
      <c r="H17" s="2">
        <v>58.625</v>
      </c>
      <c r="I17" s="2">
        <v>58.625</v>
      </c>
      <c r="J17" s="2">
        <v>58.625</v>
      </c>
      <c r="K17" s="2">
        <v>58.625</v>
      </c>
      <c r="L17" s="2">
        <v>58.625</v>
      </c>
      <c r="M17" s="2">
        <v>58.625</v>
      </c>
      <c r="N17" s="2">
        <v>58.625</v>
      </c>
      <c r="O17" s="2">
        <v>58.625</v>
      </c>
      <c r="P17" s="4">
        <v>58.625</v>
      </c>
      <c r="V17" s="9">
        <v>58.625</v>
      </c>
      <c r="W17" s="9">
        <v>58.625</v>
      </c>
      <c r="X17" s="9">
        <v>58.625</v>
      </c>
      <c r="Y17" s="9">
        <v>58.625</v>
      </c>
      <c r="Z17" s="9">
        <v>58.625</v>
      </c>
      <c r="AA17" s="9">
        <v>58.625</v>
      </c>
      <c r="AB17" s="8">
        <v>58.625</v>
      </c>
      <c r="AC17" s="9">
        <v>58.625</v>
      </c>
      <c r="AD17" s="9">
        <v>58.625</v>
      </c>
      <c r="AE17" s="9">
        <v>58.625</v>
      </c>
      <c r="AF17" s="9">
        <v>58.625</v>
      </c>
      <c r="AG17" s="9">
        <v>58.625</v>
      </c>
      <c r="AH17" s="9">
        <v>58.625</v>
      </c>
      <c r="AI17" s="9">
        <v>58.625</v>
      </c>
      <c r="AJ17" s="9">
        <v>58.625</v>
      </c>
      <c r="AK17" s="9">
        <v>58.625</v>
      </c>
      <c r="AL17" s="9">
        <v>58.625</v>
      </c>
    </row>
    <row r="18" spans="3:42" x14ac:dyDescent="0.25">
      <c r="C18" s="2" t="s">
        <v>62</v>
      </c>
      <c r="D18" s="19">
        <f t="shared" ref="D18:O18" si="21">D16/D17</f>
        <v>-0.37526652452025588</v>
      </c>
      <c r="E18" s="19">
        <f t="shared" si="21"/>
        <v>3.1215351812366738</v>
      </c>
      <c r="F18" s="19">
        <f t="shared" si="21"/>
        <v>3.6503198294243071</v>
      </c>
      <c r="G18" s="19">
        <f t="shared" si="21"/>
        <v>-1.023454157782516</v>
      </c>
      <c r="H18" s="19">
        <f t="shared" si="21"/>
        <v>-2.2857142857142856</v>
      </c>
      <c r="I18" s="19">
        <f t="shared" si="21"/>
        <v>2.0298507462686568</v>
      </c>
      <c r="J18" s="19">
        <f t="shared" si="21"/>
        <v>2.3368869936034113</v>
      </c>
      <c r="K18" s="19">
        <f t="shared" si="21"/>
        <v>-1.6375266524520256</v>
      </c>
      <c r="L18" s="19">
        <f t="shared" si="21"/>
        <v>-2.5245202558635396</v>
      </c>
      <c r="M18" s="19">
        <f t="shared" si="21"/>
        <v>1.8422174840085288</v>
      </c>
      <c r="N18" s="19">
        <f t="shared" si="21"/>
        <v>2.8997867803837951</v>
      </c>
      <c r="O18" s="19">
        <f t="shared" si="21"/>
        <v>-1.1087420042643923</v>
      </c>
      <c r="P18" s="25">
        <f>P16/P17</f>
        <v>-1.8933901918976546</v>
      </c>
      <c r="V18" s="19">
        <f>V16/V17</f>
        <v>2.4221748400852881</v>
      </c>
      <c r="W18" s="19">
        <f>W16/W17</f>
        <v>8.272921108742004</v>
      </c>
      <c r="X18" s="19">
        <f>X16/X17</f>
        <v>10.609808102345415</v>
      </c>
      <c r="Y18" s="19">
        <f>Y16/Y17</f>
        <v>5.3560767590618337</v>
      </c>
      <c r="Z18" s="19">
        <f>Z16/Z17</f>
        <v>0.44349680170575695</v>
      </c>
      <c r="AA18" s="19">
        <f>AA16/AA17</f>
        <v>1.1257995735607675</v>
      </c>
      <c r="AB18" s="25">
        <f t="shared" ref="AB18:AL18" si="22">AB16/AB17</f>
        <v>3.367907616204695</v>
      </c>
      <c r="AC18" s="19">
        <f t="shared" si="22"/>
        <v>4.3256563445628995</v>
      </c>
      <c r="AD18" s="19">
        <f t="shared" si="22"/>
        <v>5.3470795762899828</v>
      </c>
      <c r="AE18" s="19">
        <f t="shared" si="22"/>
        <v>5.8881812960341176</v>
      </c>
      <c r="AF18" s="19">
        <f t="shared" si="22"/>
        <v>6.467288011402661</v>
      </c>
      <c r="AG18" s="19">
        <f t="shared" si="22"/>
        <v>7.0867379685622875</v>
      </c>
      <c r="AH18" s="19">
        <f t="shared" si="22"/>
        <v>7.7490038458434656</v>
      </c>
      <c r="AI18" s="19">
        <f t="shared" si="22"/>
        <v>8.4567001761428369</v>
      </c>
      <c r="AJ18" s="19">
        <f t="shared" si="22"/>
        <v>9.2125911684774735</v>
      </c>
      <c r="AK18" s="19">
        <f t="shared" si="22"/>
        <v>10.019598949769927</v>
      </c>
      <c r="AL18" s="19">
        <f t="shared" si="22"/>
        <v>10.880812249041766</v>
      </c>
    </row>
    <row r="20" spans="3:42" x14ac:dyDescent="0.25">
      <c r="C20" s="1" t="s">
        <v>29</v>
      </c>
      <c r="D20" s="20"/>
      <c r="E20" s="20"/>
      <c r="F20" s="20"/>
      <c r="G20" s="20"/>
      <c r="H20" s="37">
        <f>(H4-D4)/D4</f>
        <v>-0.24746291959406713</v>
      </c>
      <c r="I20" s="37">
        <f>(I4-E4)/E4</f>
        <v>-0.1355268311790051</v>
      </c>
      <c r="J20" s="37">
        <f>(J4-F4)/F4</f>
        <v>-0.13546690048224463</v>
      </c>
      <c r="K20" s="37">
        <f>(K4-G4)/G4</f>
        <v>-0.1463620981387479</v>
      </c>
      <c r="L20" s="37">
        <f>(L4-H4)/H4</f>
        <v>-9.5435684647302899E-2</v>
      </c>
      <c r="M20" s="37">
        <f>(M4-I4)/I4</f>
        <v>-5.3013140009062078E-2</v>
      </c>
      <c r="N20" s="37">
        <f>(N4-J4)/J4</f>
        <v>5.0709939148073022E-4</v>
      </c>
      <c r="O20" s="37">
        <f>(O4-K4)/K4</f>
        <v>7.0366699702675922E-2</v>
      </c>
      <c r="P20" s="38">
        <f>(P4-L4)/L4</f>
        <v>8.2568807339449546E-2</v>
      </c>
      <c r="V20" s="18">
        <v>3.2000000000000001E-2</v>
      </c>
      <c r="W20" s="18">
        <f t="shared" ref="W20:Z20" si="23">(W4-V4)/V4</f>
        <v>0.29128049933799888</v>
      </c>
      <c r="X20" s="18">
        <f t="shared" si="23"/>
        <v>0.12362677603632635</v>
      </c>
      <c r="Y20" s="18">
        <f t="shared" si="23"/>
        <v>-4.8624690392386913E-2</v>
      </c>
      <c r="Z20" s="18">
        <f t="shared" si="23"/>
        <v>-0.15702932310221979</v>
      </c>
      <c r="AA20" s="18">
        <f>(AA4-Z4)/Z4</f>
        <v>-2.2106631989596878E-2</v>
      </c>
      <c r="AB20" s="21">
        <f t="shared" ref="AB20:AL20" si="24">(AB4-AA4)/AA4</f>
        <v>3.0000000000000079E-2</v>
      </c>
      <c r="AC20" s="18">
        <f t="shared" si="24"/>
        <v>5.0000000000000079E-2</v>
      </c>
      <c r="AD20" s="18">
        <f t="shared" si="24"/>
        <v>4.9999999999999996E-2</v>
      </c>
      <c r="AE20" s="18">
        <f t="shared" si="24"/>
        <v>5.0000000000000024E-2</v>
      </c>
      <c r="AF20" s="18">
        <f t="shared" si="24"/>
        <v>5.0000000000000093E-2</v>
      </c>
      <c r="AG20" s="18">
        <f t="shared" si="24"/>
        <v>0.05</v>
      </c>
      <c r="AH20" s="18">
        <f t="shared" si="24"/>
        <v>4.9999999999999975E-2</v>
      </c>
      <c r="AI20" s="18">
        <f t="shared" si="24"/>
        <v>5.0000000000000135E-2</v>
      </c>
      <c r="AJ20" s="18">
        <f t="shared" si="24"/>
        <v>4.9999999999999982E-2</v>
      </c>
      <c r="AK20" s="18">
        <f t="shared" si="24"/>
        <v>5.0000000000000037E-2</v>
      </c>
      <c r="AL20" s="18">
        <f t="shared" si="24"/>
        <v>5.0000000000000114E-2</v>
      </c>
    </row>
    <row r="21" spans="3:42" x14ac:dyDescent="0.25">
      <c r="C21" s="1" t="s">
        <v>47</v>
      </c>
      <c r="D21" s="18">
        <v>8.0000000000000002E-3</v>
      </c>
      <c r="E21" s="37">
        <v>-0.16600000000000001</v>
      </c>
      <c r="F21" s="37">
        <v>-0.114</v>
      </c>
      <c r="G21" s="37">
        <v>-0.152</v>
      </c>
      <c r="H21" s="37">
        <v>-0.26800000000000002</v>
      </c>
      <c r="I21" s="37">
        <v>-0.14299999999999999</v>
      </c>
      <c r="J21" s="37">
        <v>-0.155</v>
      </c>
      <c r="K21" s="37">
        <v>-0.14899999999999999</v>
      </c>
      <c r="L21" s="37">
        <v>-9.0999999999999998E-2</v>
      </c>
      <c r="M21" s="37">
        <v>-6.7000000000000004E-2</v>
      </c>
      <c r="N21" s="37">
        <v>1.2999999999999999E-2</v>
      </c>
      <c r="O21" s="37">
        <v>7.4999999999999997E-2</v>
      </c>
      <c r="P21" s="38">
        <v>7.5999999999999998E-2</v>
      </c>
      <c r="V21" s="18"/>
      <c r="W21" s="18"/>
      <c r="X21" s="18"/>
      <c r="Y21" s="18"/>
      <c r="Z21" s="18"/>
      <c r="AA21" s="18"/>
      <c r="AB21" s="21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N21" s="2" t="s">
        <v>101</v>
      </c>
      <c r="AO21" s="31">
        <v>0.08</v>
      </c>
    </row>
    <row r="22" spans="3:42" x14ac:dyDescent="0.25">
      <c r="C22" s="1" t="s">
        <v>100</v>
      </c>
      <c r="D22" s="18"/>
      <c r="E22" s="37"/>
      <c r="F22" s="37"/>
      <c r="G22" s="37"/>
      <c r="H22" s="37">
        <f>(H11-D11)/D11</f>
        <v>-0.15011547344110854</v>
      </c>
      <c r="I22" s="37">
        <f t="shared" ref="H22:O22" si="25">(I11-E11)/E11</f>
        <v>-0.11456982274102896</v>
      </c>
      <c r="J22" s="37">
        <f t="shared" si="25"/>
        <v>-0.11503984063745019</v>
      </c>
      <c r="K22" s="37">
        <f t="shared" si="25"/>
        <v>-0.10130718954248366</v>
      </c>
      <c r="L22" s="37">
        <f t="shared" si="25"/>
        <v>-6.25E-2</v>
      </c>
      <c r="M22" s="37">
        <f t="shared" si="25"/>
        <v>-6.25E-2</v>
      </c>
      <c r="N22" s="37">
        <f t="shared" si="25"/>
        <v>-2.2509848058525603E-2</v>
      </c>
      <c r="O22" s="37">
        <f t="shared" si="25"/>
        <v>4.2727272727272725E-2</v>
      </c>
      <c r="P22" s="38">
        <f>(P11-L11)/L11</f>
        <v>2.9951690821256038E-2</v>
      </c>
      <c r="V22" s="18"/>
      <c r="W22" s="18">
        <f>(W11-V11)/V11</f>
        <v>0.21831125173027488</v>
      </c>
      <c r="X22" s="18">
        <f t="shared" ref="W22:Z22" si="26">(X11-W11)/W11</f>
        <v>0.10696315533192663</v>
      </c>
      <c r="Y22" s="18">
        <f t="shared" si="26"/>
        <v>3.5190615835777126E-3</v>
      </c>
      <c r="Z22" s="18">
        <f t="shared" si="26"/>
        <v>-0.11908240794856809</v>
      </c>
      <c r="AA22" s="18">
        <f>(AA11-Z11)/Z11</f>
        <v>-3.1514347321280479E-2</v>
      </c>
      <c r="AB22" s="21">
        <f t="shared" ref="AB22:AL22" si="27">(AB11-AA11)/AA11</f>
        <v>1.7870731289604411E-2</v>
      </c>
      <c r="AC22" s="18">
        <f t="shared" si="27"/>
        <v>4.0017746228926496E-2</v>
      </c>
      <c r="AD22" s="18">
        <f t="shared" si="27"/>
        <v>4.020987970309696E-2</v>
      </c>
      <c r="AE22" s="18">
        <f t="shared" si="27"/>
        <v>4.6800029526832557E-2</v>
      </c>
      <c r="AF22" s="18">
        <f t="shared" si="27"/>
        <v>4.6820816585572182E-2</v>
      </c>
      <c r="AG22" s="18">
        <f t="shared" si="27"/>
        <v>4.6841531331227058E-2</v>
      </c>
      <c r="AH22" s="18">
        <f t="shared" si="27"/>
        <v>4.6862173196981764E-2</v>
      </c>
      <c r="AI22" s="18">
        <f t="shared" si="27"/>
        <v>4.6882741626652624E-2</v>
      </c>
      <c r="AJ22" s="18">
        <f t="shared" si="27"/>
        <v>4.6903236074706735E-2</v>
      </c>
      <c r="AK22" s="18">
        <f t="shared" si="27"/>
        <v>4.6923656006279686E-2</v>
      </c>
      <c r="AL22" s="18">
        <f t="shared" si="27"/>
        <v>4.6944000897186693E-2</v>
      </c>
      <c r="AN22" s="2" t="s">
        <v>102</v>
      </c>
      <c r="AO22" s="31">
        <v>-0.01</v>
      </c>
    </row>
    <row r="23" spans="3:42" x14ac:dyDescent="0.25">
      <c r="C23" s="2" t="s">
        <v>63</v>
      </c>
      <c r="D23" s="10">
        <f>D6/D4</f>
        <v>0.36065573770491804</v>
      </c>
      <c r="E23" s="10">
        <f>E6/E4</f>
        <v>0.32236584410497454</v>
      </c>
      <c r="F23" s="10">
        <f>F6/F4</f>
        <v>0.34633932485751862</v>
      </c>
      <c r="G23" s="10">
        <f>G6/G4</f>
        <v>0.35871404399323181</v>
      </c>
      <c r="H23" s="10">
        <f>H6/H4</f>
        <v>0.35165975103734443</v>
      </c>
      <c r="I23" s="10">
        <f>I6/I4</f>
        <v>0.32125056637970095</v>
      </c>
      <c r="J23" s="10">
        <f>J6/J4</f>
        <v>0.34482758620689657</v>
      </c>
      <c r="K23" s="10">
        <f>K6/K4</f>
        <v>0.35183349851337958</v>
      </c>
      <c r="L23" s="10">
        <f>L6/L4</f>
        <v>0.34288990825688076</v>
      </c>
      <c r="M23" s="10">
        <f>M6/M4</f>
        <v>0.33875598086124403</v>
      </c>
      <c r="N23" s="10">
        <f>N6/N4</f>
        <v>0.36137861125190068</v>
      </c>
      <c r="O23" s="10">
        <f>O6/O4</f>
        <v>0.35555555555555557</v>
      </c>
      <c r="P23" s="22">
        <f>P6/P4</f>
        <v>0.36016949152542371</v>
      </c>
      <c r="V23" s="10">
        <f>V6/V4</f>
        <v>0.32154340836012862</v>
      </c>
      <c r="W23" s="10">
        <f>W6/W4</f>
        <v>0.3285484107221327</v>
      </c>
      <c r="X23" s="10">
        <f>X6/X4</f>
        <v>0.34324077695215749</v>
      </c>
      <c r="Y23" s="10">
        <f>Y6/Y4</f>
        <v>0.34242258152918609</v>
      </c>
      <c r="Z23" s="10">
        <f>Z6/Z4</f>
        <v>0.33858907672301691</v>
      </c>
      <c r="AA23" s="10">
        <f>AA6/AA4</f>
        <v>0.35006648936170215</v>
      </c>
      <c r="AB23" s="22">
        <f t="shared" ref="AB23:AL23" si="28">AB6/AB4</f>
        <v>0.36</v>
      </c>
      <c r="AC23" s="10">
        <f t="shared" si="28"/>
        <v>0.35999999999999993</v>
      </c>
      <c r="AD23" s="10">
        <f t="shared" si="28"/>
        <v>0.35999999999999993</v>
      </c>
      <c r="AE23" s="10">
        <f t="shared" si="28"/>
        <v>0.35999999999999993</v>
      </c>
      <c r="AF23" s="10">
        <f t="shared" si="28"/>
        <v>0.36000000000000004</v>
      </c>
      <c r="AG23" s="10">
        <f t="shared" si="28"/>
        <v>0.36000000000000004</v>
      </c>
      <c r="AH23" s="10">
        <f t="shared" si="28"/>
        <v>0.36</v>
      </c>
      <c r="AI23" s="10">
        <f t="shared" si="28"/>
        <v>0.36</v>
      </c>
      <c r="AJ23" s="10">
        <f t="shared" si="28"/>
        <v>0.36</v>
      </c>
      <c r="AK23" s="10">
        <f t="shared" si="28"/>
        <v>0.36000000000000004</v>
      </c>
      <c r="AL23" s="10">
        <f t="shared" si="28"/>
        <v>0.36</v>
      </c>
      <c r="AN23" s="30" t="s">
        <v>103</v>
      </c>
      <c r="AO23" s="36">
        <f>NPV(AO21,AB16:FW16)</f>
        <v>5780.7698715204087</v>
      </c>
    </row>
    <row r="24" spans="3:42" x14ac:dyDescent="0.25">
      <c r="C24" s="2" t="s">
        <v>30</v>
      </c>
      <c r="D24" s="10">
        <f>D12/D4</f>
        <v>-1.405152224824356E-2</v>
      </c>
      <c r="E24" s="10">
        <f>E12/E4</f>
        <v>9.400705052878966E-2</v>
      </c>
      <c r="F24" s="10">
        <f>F12/F4</f>
        <v>0.11968434896975011</v>
      </c>
      <c r="G24" s="10">
        <f>G12/G4</f>
        <v>-3.553299492385787E-2</v>
      </c>
      <c r="H24" s="10">
        <f>H12/H4</f>
        <v>-0.14522821576763487</v>
      </c>
      <c r="I24" s="10">
        <f>I12/I4</f>
        <v>7.2043497961033071E-2</v>
      </c>
      <c r="J24" s="10">
        <f>J12/J4</f>
        <v>9.8884381338742389E-2</v>
      </c>
      <c r="K24" s="10">
        <f>K12/K4</f>
        <v>-9.0188305252725476E-2</v>
      </c>
      <c r="L24" s="10">
        <f>L12/L4</f>
        <v>-0.18692660550458715</v>
      </c>
      <c r="M24" s="10">
        <f>M12/M4</f>
        <v>8.1339712918660281E-2</v>
      </c>
      <c r="N24" s="10">
        <f>N12/N4</f>
        <v>0.11961479979726306</v>
      </c>
      <c r="O24" s="10">
        <f>O12/O4</f>
        <v>-6.2037037037037036E-2</v>
      </c>
      <c r="P24" s="22">
        <f>P12/P4</f>
        <v>-0.12923728813559321</v>
      </c>
      <c r="V24" s="10">
        <f>V12/V4</f>
        <v>4.3502931719311522E-2</v>
      </c>
      <c r="W24" s="10">
        <f>W12/W4</f>
        <v>9.7553830379376011E-2</v>
      </c>
      <c r="X24" s="10">
        <f>X12/X4</f>
        <v>0.11093729631078086</v>
      </c>
      <c r="Y24" s="10">
        <f>Y12/Y4</f>
        <v>6.2208824335434364E-2</v>
      </c>
      <c r="Z24" s="10">
        <f>Z12/Z4</f>
        <v>1.9993498049414825E-2</v>
      </c>
      <c r="AA24" s="10">
        <f>AA12/AA4</f>
        <v>2.9421542553191491E-2</v>
      </c>
      <c r="AB24" s="22">
        <f t="shared" ref="AB24:AL24" si="29">AB12/AB4</f>
        <v>4.0851063829787281E-2</v>
      </c>
      <c r="AC24" s="10">
        <f t="shared" si="29"/>
        <v>4.9969604863221877E-2</v>
      </c>
      <c r="AD24" s="10">
        <f t="shared" si="29"/>
        <v>5.8827616152844146E-2</v>
      </c>
      <c r="AE24" s="10">
        <f t="shared" si="29"/>
        <v>6.1695924570436086E-2</v>
      </c>
      <c r="AF24" s="10">
        <f t="shared" si="29"/>
        <v>6.4536915765003505E-2</v>
      </c>
      <c r="AG24" s="10">
        <f t="shared" si="29"/>
        <v>6.7350849900574883E-2</v>
      </c>
      <c r="AH24" s="10">
        <f t="shared" si="29"/>
        <v>7.0137984663426439E-2</v>
      </c>
      <c r="AI24" s="10">
        <f t="shared" si="29"/>
        <v>7.2898575285679501E-2</v>
      </c>
      <c r="AJ24" s="10">
        <f t="shared" si="29"/>
        <v>7.5632874568673097E-2</v>
      </c>
      <c r="AK24" s="10">
        <f t="shared" si="29"/>
        <v>7.8341132906114247E-2</v>
      </c>
      <c r="AL24" s="10">
        <f t="shared" si="29"/>
        <v>8.102359830700849E-2</v>
      </c>
      <c r="AN24" s="2" t="s">
        <v>2</v>
      </c>
      <c r="AO24" s="32">
        <v>58.625</v>
      </c>
      <c r="AP24" s="33"/>
    </row>
    <row r="25" spans="3:42" x14ac:dyDescent="0.25">
      <c r="C25" s="2" t="s">
        <v>99</v>
      </c>
      <c r="D25" s="24"/>
      <c r="E25" s="24"/>
      <c r="F25" s="24"/>
      <c r="G25" s="24"/>
      <c r="H25" s="24"/>
      <c r="I25" s="24"/>
      <c r="J25" s="24"/>
      <c r="K25" s="24"/>
      <c r="L25" s="24"/>
      <c r="M25" s="24">
        <v>213</v>
      </c>
      <c r="N25" s="24">
        <v>212</v>
      </c>
      <c r="O25" s="24">
        <v>211</v>
      </c>
      <c r="P25" s="27"/>
      <c r="V25" s="10"/>
      <c r="W25" s="10"/>
      <c r="X25" s="10"/>
      <c r="Y25" s="10"/>
      <c r="Z25" s="10"/>
      <c r="AA25" s="10"/>
      <c r="AB25" s="22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N25" s="2" t="s">
        <v>104</v>
      </c>
      <c r="AO25" s="9">
        <f>AO23/AO24</f>
        <v>98.605882669857721</v>
      </c>
    </row>
    <row r="26" spans="3:42" x14ac:dyDescent="0.25">
      <c r="AN26" s="1" t="s">
        <v>105</v>
      </c>
      <c r="AO26" s="37">
        <f>(AO25-B4)/B4</f>
        <v>0.89626697442034076</v>
      </c>
    </row>
    <row r="27" spans="3:42" x14ac:dyDescent="0.25">
      <c r="C27" s="3" t="s">
        <v>45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"/>
      <c r="P27" s="26"/>
      <c r="Q27" s="1"/>
      <c r="R27" s="1"/>
      <c r="S27" s="1"/>
      <c r="T27" s="1"/>
      <c r="U27" s="1"/>
      <c r="V27" s="1"/>
      <c r="W27" s="1"/>
      <c r="X27" s="1"/>
    </row>
    <row r="28" spans="3:42" x14ac:dyDescent="0.25">
      <c r="C28" s="2" t="s">
        <v>64</v>
      </c>
      <c r="D28" s="14">
        <v>2403</v>
      </c>
      <c r="E28" s="14">
        <v>2387</v>
      </c>
      <c r="F28" s="14">
        <v>2379</v>
      </c>
      <c r="G28" s="14">
        <v>2374</v>
      </c>
      <c r="H28" s="14">
        <v>2348</v>
      </c>
      <c r="I28" s="14">
        <v>2345</v>
      </c>
      <c r="J28" s="14">
        <v>2330</v>
      </c>
      <c r="K28" s="14">
        <v>2306</v>
      </c>
      <c r="L28" s="14">
        <v>2296</v>
      </c>
      <c r="M28" s="14">
        <v>2282</v>
      </c>
      <c r="N28" s="14">
        <v>2257</v>
      </c>
      <c r="O28" s="14">
        <v>2246</v>
      </c>
      <c r="P28" s="15">
        <v>2220</v>
      </c>
    </row>
    <row r="29" spans="3:42" x14ac:dyDescent="0.25">
      <c r="C29" s="2" t="s">
        <v>65</v>
      </c>
      <c r="D29" s="14">
        <v>2050</v>
      </c>
      <c r="E29" s="14">
        <v>2153</v>
      </c>
      <c r="F29" s="14">
        <v>2172</v>
      </c>
      <c r="G29" s="14">
        <v>2278</v>
      </c>
      <c r="H29" s="14">
        <v>2408</v>
      </c>
      <c r="I29" s="14">
        <v>2531</v>
      </c>
      <c r="J29" s="14">
        <v>2455</v>
      </c>
      <c r="K29" s="14">
        <v>2334</v>
      </c>
      <c r="L29" s="14">
        <v>2402</v>
      </c>
      <c r="M29" s="14">
        <v>2361</v>
      </c>
      <c r="N29" s="14">
        <v>2296</v>
      </c>
      <c r="O29" s="14">
        <v>2287</v>
      </c>
      <c r="P29" s="15">
        <v>2227</v>
      </c>
    </row>
    <row r="30" spans="3:42" x14ac:dyDescent="0.25">
      <c r="C30" s="2" t="s">
        <v>66</v>
      </c>
      <c r="D30" s="14">
        <v>34</v>
      </c>
      <c r="E30" s="14">
        <v>35</v>
      </c>
      <c r="F30" s="14">
        <v>34</v>
      </c>
      <c r="G30" s="14">
        <v>29</v>
      </c>
      <c r="H30" s="14">
        <v>31</v>
      </c>
      <c r="I30" s="14">
        <v>36</v>
      </c>
      <c r="J30" s="14">
        <v>35</v>
      </c>
      <c r="K30" s="14">
        <v>34</v>
      </c>
      <c r="L30" s="14">
        <v>34</v>
      </c>
      <c r="M30" s="14">
        <v>30</v>
      </c>
      <c r="N30" s="14">
        <v>32</v>
      </c>
      <c r="O30" s="14">
        <v>31</v>
      </c>
      <c r="P30" s="15">
        <v>31</v>
      </c>
    </row>
    <row r="31" spans="3:42" x14ac:dyDescent="0.25">
      <c r="C31" s="2" t="s">
        <v>67</v>
      </c>
      <c r="D31" s="14">
        <v>1784</v>
      </c>
      <c r="E31" s="14">
        <v>1881</v>
      </c>
      <c r="F31" s="14">
        <v>1678</v>
      </c>
      <c r="G31" s="14">
        <v>1608</v>
      </c>
      <c r="H31" s="14">
        <v>1771</v>
      </c>
      <c r="I31" s="14">
        <v>1711</v>
      </c>
      <c r="J31" s="14">
        <v>1370</v>
      </c>
      <c r="K31" s="14">
        <v>1281</v>
      </c>
      <c r="L31" s="14">
        <v>1510</v>
      </c>
      <c r="M31" s="14">
        <v>1422</v>
      </c>
      <c r="N31" s="14">
        <v>1203</v>
      </c>
      <c r="O31" s="14">
        <v>1138</v>
      </c>
      <c r="P31" s="15">
        <v>1416</v>
      </c>
    </row>
    <row r="32" spans="3:42" x14ac:dyDescent="0.25">
      <c r="C32" s="2" t="s">
        <v>68</v>
      </c>
      <c r="D32" s="14">
        <v>157</v>
      </c>
      <c r="E32" s="14">
        <v>215</v>
      </c>
      <c r="F32" s="14">
        <v>180</v>
      </c>
      <c r="G32" s="14">
        <v>200</v>
      </c>
      <c r="H32" s="14">
        <v>132</v>
      </c>
      <c r="I32" s="14">
        <v>222</v>
      </c>
      <c r="J32" s="14">
        <v>176</v>
      </c>
      <c r="K32" s="14">
        <v>200</v>
      </c>
      <c r="L32" s="14">
        <v>215</v>
      </c>
      <c r="M32" s="14">
        <v>232</v>
      </c>
      <c r="N32" s="14">
        <v>220</v>
      </c>
      <c r="O32" s="14">
        <v>193</v>
      </c>
      <c r="P32" s="15">
        <v>190</v>
      </c>
    </row>
    <row r="33" spans="3:27" x14ac:dyDescent="0.25">
      <c r="C33" s="2" t="s">
        <v>69</v>
      </c>
      <c r="D33" s="14">
        <v>64</v>
      </c>
      <c r="E33" s="14">
        <v>57</v>
      </c>
      <c r="F33" s="14">
        <v>64</v>
      </c>
      <c r="G33" s="14">
        <v>19</v>
      </c>
      <c r="H33" s="14">
        <v>44</v>
      </c>
      <c r="I33" s="14">
        <v>34</v>
      </c>
      <c r="J33" s="14">
        <v>16</v>
      </c>
      <c r="K33" s="14">
        <v>10</v>
      </c>
      <c r="L33" s="14">
        <v>22</v>
      </c>
      <c r="M33" s="14">
        <v>20</v>
      </c>
      <c r="N33" s="14">
        <v>20</v>
      </c>
      <c r="O33" s="14">
        <v>11</v>
      </c>
      <c r="P33" s="15">
        <v>14</v>
      </c>
    </row>
    <row r="34" spans="3:27" x14ac:dyDescent="0.25">
      <c r="C34" s="1" t="s">
        <v>70</v>
      </c>
      <c r="D34" s="12">
        <f t="shared" ref="D34:O34" si="30">SUM(D28:D33)</f>
        <v>6492</v>
      </c>
      <c r="E34" s="12">
        <f t="shared" si="30"/>
        <v>6728</v>
      </c>
      <c r="F34" s="12">
        <f t="shared" si="30"/>
        <v>6507</v>
      </c>
      <c r="G34" s="12">
        <f t="shared" si="30"/>
        <v>6508</v>
      </c>
      <c r="H34" s="12">
        <f t="shared" si="30"/>
        <v>6734</v>
      </c>
      <c r="I34" s="12">
        <f t="shared" si="30"/>
        <v>6879</v>
      </c>
      <c r="J34" s="12">
        <f t="shared" si="30"/>
        <v>6382</v>
      </c>
      <c r="K34" s="12">
        <f t="shared" si="30"/>
        <v>6165</v>
      </c>
      <c r="L34" s="12">
        <f t="shared" si="30"/>
        <v>6479</v>
      </c>
      <c r="M34" s="12">
        <f t="shared" si="30"/>
        <v>6347</v>
      </c>
      <c r="N34" s="12">
        <f t="shared" si="30"/>
        <v>6028</v>
      </c>
      <c r="O34" s="12">
        <f t="shared" si="30"/>
        <v>5906</v>
      </c>
      <c r="P34" s="13">
        <f>SUM(P28:P33)</f>
        <v>6098</v>
      </c>
    </row>
    <row r="35" spans="3:27" x14ac:dyDescent="0.25">
      <c r="C35" s="11" t="s">
        <v>71</v>
      </c>
      <c r="D35" s="16">
        <v>2256</v>
      </c>
      <c r="E35" s="16">
        <v>2188</v>
      </c>
      <c r="F35" s="16">
        <v>2411</v>
      </c>
      <c r="G35" s="16">
        <v>2361</v>
      </c>
      <c r="H35" s="16">
        <v>2208</v>
      </c>
      <c r="I35" s="16">
        <v>2341</v>
      </c>
      <c r="J35" s="16">
        <v>2477</v>
      </c>
      <c r="K35" s="16">
        <v>2361</v>
      </c>
      <c r="L35" s="16">
        <v>2223</v>
      </c>
      <c r="M35" s="16">
        <v>2304</v>
      </c>
      <c r="N35" s="16">
        <v>2458</v>
      </c>
      <c r="O35" s="16">
        <v>2402</v>
      </c>
      <c r="P35" s="28">
        <v>2270</v>
      </c>
    </row>
    <row r="36" spans="3:27" x14ac:dyDescent="0.25">
      <c r="C36" s="2" t="s">
        <v>72</v>
      </c>
      <c r="D36" s="14">
        <v>1084</v>
      </c>
      <c r="E36" s="14">
        <v>1178</v>
      </c>
      <c r="F36" s="14">
        <v>0</v>
      </c>
      <c r="G36" s="14">
        <v>1284</v>
      </c>
      <c r="H36" s="14">
        <v>1394</v>
      </c>
      <c r="I36" s="14">
        <v>1489</v>
      </c>
      <c r="J36" s="14">
        <v>1439</v>
      </c>
      <c r="K36" s="14">
        <v>1363</v>
      </c>
      <c r="L36" s="14">
        <v>1432</v>
      </c>
      <c r="M36" s="14">
        <v>1414</v>
      </c>
      <c r="N36" s="14">
        <v>1390</v>
      </c>
      <c r="O36" s="14">
        <v>1410</v>
      </c>
      <c r="P36" s="15">
        <v>1387</v>
      </c>
    </row>
    <row r="37" spans="3:27" x14ac:dyDescent="0.25">
      <c r="C37" s="2" t="s">
        <v>73</v>
      </c>
      <c r="D37" s="14">
        <v>195</v>
      </c>
      <c r="E37" s="14">
        <v>192</v>
      </c>
      <c r="F37" s="14">
        <v>1195</v>
      </c>
      <c r="G37" s="14">
        <v>174</v>
      </c>
      <c r="H37" s="14">
        <v>169</v>
      </c>
      <c r="I37" s="14">
        <v>163</v>
      </c>
      <c r="J37" s="14">
        <v>160</v>
      </c>
      <c r="K37" s="14">
        <v>143</v>
      </c>
      <c r="L37" s="14">
        <v>140</v>
      </c>
      <c r="M37" s="14">
        <v>138</v>
      </c>
      <c r="N37" s="14">
        <v>134</v>
      </c>
      <c r="O37" s="14">
        <v>126</v>
      </c>
      <c r="P37" s="15">
        <v>123</v>
      </c>
    </row>
    <row r="38" spans="3:27" x14ac:dyDescent="0.25">
      <c r="C38" s="2" t="s">
        <v>74</v>
      </c>
      <c r="D38" s="14">
        <v>1</v>
      </c>
      <c r="E38" s="14">
        <v>1</v>
      </c>
      <c r="F38" s="14">
        <v>189</v>
      </c>
      <c r="G38" s="14">
        <v>1</v>
      </c>
      <c r="H38" s="14">
        <v>1</v>
      </c>
      <c r="I38" s="14">
        <v>1</v>
      </c>
      <c r="J38" s="14">
        <v>1</v>
      </c>
      <c r="K38" s="14">
        <v>1</v>
      </c>
      <c r="L38" s="14">
        <v>1</v>
      </c>
      <c r="M38" s="14">
        <v>1</v>
      </c>
      <c r="N38" s="14">
        <v>1</v>
      </c>
      <c r="O38" s="14">
        <v>0</v>
      </c>
      <c r="P38" s="15">
        <v>0</v>
      </c>
    </row>
    <row r="39" spans="3:27" x14ac:dyDescent="0.25">
      <c r="C39" s="2" t="s">
        <v>75</v>
      </c>
      <c r="D39" s="14">
        <v>856</v>
      </c>
      <c r="E39" s="14">
        <v>949</v>
      </c>
      <c r="F39" s="14">
        <v>1</v>
      </c>
      <c r="G39" s="14">
        <v>1202</v>
      </c>
      <c r="H39" s="14">
        <v>1465</v>
      </c>
      <c r="I39" s="14">
        <v>712</v>
      </c>
      <c r="J39" s="14">
        <v>646</v>
      </c>
      <c r="K39" s="14">
        <v>958</v>
      </c>
      <c r="L39" s="14">
        <v>1013</v>
      </c>
      <c r="M39" s="14">
        <v>500</v>
      </c>
      <c r="N39" s="14">
        <v>508</v>
      </c>
      <c r="O39" s="14">
        <v>629</v>
      </c>
      <c r="P39" s="15">
        <v>778</v>
      </c>
    </row>
    <row r="40" spans="3:27" x14ac:dyDescent="0.25">
      <c r="C40" s="2" t="s">
        <v>76</v>
      </c>
      <c r="D40" s="14">
        <v>363</v>
      </c>
      <c r="E40" s="14">
        <v>372</v>
      </c>
      <c r="F40" s="14">
        <v>968</v>
      </c>
      <c r="G40" s="14">
        <v>385</v>
      </c>
      <c r="H40" s="14">
        <v>399</v>
      </c>
      <c r="I40" s="14">
        <v>425</v>
      </c>
      <c r="J40" s="14">
        <v>430</v>
      </c>
      <c r="K40" s="14">
        <v>421</v>
      </c>
      <c r="L40" s="14">
        <v>440</v>
      </c>
      <c r="M40" s="14">
        <v>439</v>
      </c>
      <c r="N40" s="14">
        <v>440</v>
      </c>
      <c r="O40" s="14">
        <v>438</v>
      </c>
      <c r="P40" s="15">
        <v>431</v>
      </c>
    </row>
    <row r="41" spans="3:27" x14ac:dyDescent="0.25">
      <c r="C41" s="2" t="s">
        <v>77</v>
      </c>
      <c r="D41" s="14">
        <v>1099</v>
      </c>
      <c r="E41" s="14">
        <v>1166</v>
      </c>
      <c r="F41" s="14">
        <v>357</v>
      </c>
      <c r="G41" s="14">
        <v>543</v>
      </c>
      <c r="H41" s="14">
        <v>765</v>
      </c>
      <c r="I41" s="14">
        <v>1295</v>
      </c>
      <c r="J41" s="14">
        <v>822</v>
      </c>
      <c r="K41" s="14">
        <v>588</v>
      </c>
      <c r="L41" s="14">
        <v>943</v>
      </c>
      <c r="M41" s="14">
        <v>1101</v>
      </c>
      <c r="N41" s="14">
        <v>650</v>
      </c>
      <c r="O41" s="14">
        <v>556</v>
      </c>
      <c r="P41" s="15">
        <v>771</v>
      </c>
    </row>
    <row r="42" spans="3:27" x14ac:dyDescent="0.25">
      <c r="C42" s="2" t="s">
        <v>78</v>
      </c>
      <c r="D42" s="14">
        <v>637</v>
      </c>
      <c r="E42" s="14">
        <v>682</v>
      </c>
      <c r="F42" s="14">
        <v>700</v>
      </c>
      <c r="G42" s="14">
        <v>558</v>
      </c>
      <c r="H42" s="14">
        <v>333</v>
      </c>
      <c r="I42" s="14">
        <v>452</v>
      </c>
      <c r="J42" s="14">
        <v>408</v>
      </c>
      <c r="K42" s="14">
        <v>331</v>
      </c>
      <c r="L42" s="14">
        <v>288</v>
      </c>
      <c r="M42" s="14">
        <v>451</v>
      </c>
      <c r="N42" s="14">
        <v>449</v>
      </c>
      <c r="O42" s="14">
        <v>344</v>
      </c>
      <c r="P42" s="15">
        <v>340</v>
      </c>
    </row>
    <row r="43" spans="3:27" x14ac:dyDescent="0.25">
      <c r="C43" s="11" t="s">
        <v>79</v>
      </c>
      <c r="D43" s="16">
        <f t="shared" ref="D43:O43" si="31">SUM(D36:D42)</f>
        <v>4235</v>
      </c>
      <c r="E43" s="16">
        <f t="shared" si="31"/>
        <v>4540</v>
      </c>
      <c r="F43" s="16">
        <v>686</v>
      </c>
      <c r="G43" s="16">
        <f t="shared" si="31"/>
        <v>4147</v>
      </c>
      <c r="H43" s="16">
        <f t="shared" si="31"/>
        <v>4526</v>
      </c>
      <c r="I43" s="16">
        <f t="shared" si="31"/>
        <v>4537</v>
      </c>
      <c r="J43" s="16">
        <f t="shared" si="31"/>
        <v>3906</v>
      </c>
      <c r="K43" s="16">
        <f t="shared" si="31"/>
        <v>3805</v>
      </c>
      <c r="L43" s="16">
        <f t="shared" si="31"/>
        <v>4257</v>
      </c>
      <c r="M43" s="16">
        <f t="shared" si="31"/>
        <v>4044</v>
      </c>
      <c r="N43" s="16">
        <f t="shared" si="31"/>
        <v>3572</v>
      </c>
      <c r="O43" s="16">
        <f t="shared" si="31"/>
        <v>3503</v>
      </c>
      <c r="P43" s="28">
        <f>SUM(P36:P42)</f>
        <v>3830</v>
      </c>
    </row>
    <row r="44" spans="3:27" x14ac:dyDescent="0.25">
      <c r="C44" s="1" t="s">
        <v>80</v>
      </c>
      <c r="D44" s="12">
        <f t="shared" ref="D44:O44" si="32">D35+D43</f>
        <v>6491</v>
      </c>
      <c r="E44" s="12">
        <f t="shared" si="32"/>
        <v>6728</v>
      </c>
      <c r="F44" s="12">
        <f t="shared" si="32"/>
        <v>3097</v>
      </c>
      <c r="G44" s="12">
        <f t="shared" si="32"/>
        <v>6508</v>
      </c>
      <c r="H44" s="12">
        <f t="shared" si="32"/>
        <v>6734</v>
      </c>
      <c r="I44" s="12">
        <f t="shared" si="32"/>
        <v>6878</v>
      </c>
      <c r="J44" s="12">
        <f t="shared" si="32"/>
        <v>6383</v>
      </c>
      <c r="K44" s="12">
        <f t="shared" si="32"/>
        <v>6166</v>
      </c>
      <c r="L44" s="12">
        <f t="shared" si="32"/>
        <v>6480</v>
      </c>
      <c r="M44" s="12">
        <f t="shared" si="32"/>
        <v>6348</v>
      </c>
      <c r="N44" s="12">
        <f t="shared" si="32"/>
        <v>6030</v>
      </c>
      <c r="O44" s="12">
        <f t="shared" si="32"/>
        <v>5905</v>
      </c>
      <c r="P44" s="13">
        <f>P35+P43</f>
        <v>6100</v>
      </c>
    </row>
    <row r="45" spans="3:27" x14ac:dyDescent="0.25">
      <c r="C45" s="11"/>
      <c r="D45" s="16"/>
      <c r="E45" s="14"/>
      <c r="F45" s="14"/>
      <c r="G45" s="14"/>
      <c r="H45" s="14"/>
      <c r="I45" s="14"/>
      <c r="J45" s="14"/>
      <c r="K45" s="14"/>
      <c r="L45" s="14"/>
      <c r="M45" s="14"/>
      <c r="N45" s="14"/>
    </row>
    <row r="46" spans="3:27" x14ac:dyDescent="0.25">
      <c r="C46" s="3" t="s">
        <v>46</v>
      </c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</row>
    <row r="47" spans="3:27" x14ac:dyDescent="0.25">
      <c r="C47" s="2" t="s">
        <v>81</v>
      </c>
      <c r="D47" s="2">
        <f t="shared" ref="D47:O47" si="33">D12</f>
        <v>-18</v>
      </c>
      <c r="E47" s="2">
        <f t="shared" si="33"/>
        <v>240</v>
      </c>
      <c r="F47" s="2">
        <f t="shared" si="33"/>
        <v>273</v>
      </c>
      <c r="G47" s="2">
        <f t="shared" si="33"/>
        <v>-42</v>
      </c>
      <c r="H47" s="2">
        <f t="shared" si="33"/>
        <v>-140</v>
      </c>
      <c r="I47" s="2">
        <f t="shared" si="33"/>
        <v>159</v>
      </c>
      <c r="J47" s="2">
        <f t="shared" si="33"/>
        <v>195</v>
      </c>
      <c r="K47" s="2">
        <f t="shared" si="33"/>
        <v>-91</v>
      </c>
      <c r="L47" s="2">
        <f t="shared" si="33"/>
        <v>-163</v>
      </c>
      <c r="M47" s="2">
        <f t="shared" si="33"/>
        <v>170</v>
      </c>
      <c r="N47" s="2">
        <f t="shared" si="33"/>
        <v>236</v>
      </c>
      <c r="O47" s="2">
        <f t="shared" si="33"/>
        <v>-67</v>
      </c>
      <c r="P47" s="4">
        <f>P12</f>
        <v>-122</v>
      </c>
      <c r="V47" s="2">
        <f t="shared" ref="V47:Z47" si="34">V12</f>
        <v>230</v>
      </c>
      <c r="W47" s="2">
        <f t="shared" si="34"/>
        <v>666</v>
      </c>
      <c r="X47" s="2">
        <f t="shared" si="34"/>
        <v>851</v>
      </c>
      <c r="Y47" s="2">
        <f t="shared" si="34"/>
        <v>454</v>
      </c>
      <c r="Z47" s="2">
        <f t="shared" si="34"/>
        <v>123</v>
      </c>
      <c r="AA47" s="2">
        <f>AA12</f>
        <v>177</v>
      </c>
    </row>
    <row r="48" spans="3:27" x14ac:dyDescent="0.25">
      <c r="C48" s="2" t="s">
        <v>82</v>
      </c>
      <c r="D48" s="14">
        <v>-18</v>
      </c>
      <c r="E48" s="14">
        <v>240</v>
      </c>
      <c r="F48" s="14">
        <v>274</v>
      </c>
      <c r="G48" s="14">
        <v>-42</v>
      </c>
      <c r="H48" s="14">
        <v>-139</v>
      </c>
      <c r="I48" s="14">
        <v>158</v>
      </c>
      <c r="J48" s="14">
        <v>196</v>
      </c>
      <c r="K48" s="14">
        <v>-91</v>
      </c>
      <c r="L48" s="14">
        <v>-162</v>
      </c>
      <c r="M48" s="14">
        <v>170</v>
      </c>
      <c r="N48" s="14">
        <v>235</v>
      </c>
      <c r="O48" s="2">
        <v>-66</v>
      </c>
      <c r="P48" s="4">
        <v>-123</v>
      </c>
      <c r="V48" s="2">
        <v>230</v>
      </c>
      <c r="W48" s="2">
        <v>665</v>
      </c>
      <c r="X48" s="2">
        <v>850</v>
      </c>
      <c r="Y48" s="2">
        <v>454</v>
      </c>
      <c r="Z48" s="2">
        <v>123</v>
      </c>
      <c r="AA48" s="2">
        <v>177</v>
      </c>
    </row>
    <row r="49" spans="3:27" x14ac:dyDescent="0.25">
      <c r="C49" s="2" t="s">
        <v>53</v>
      </c>
      <c r="D49" s="14">
        <v>145</v>
      </c>
      <c r="E49" s="14">
        <v>150</v>
      </c>
      <c r="F49" s="14">
        <v>156</v>
      </c>
      <c r="G49" s="14">
        <v>159</v>
      </c>
      <c r="H49" s="14">
        <v>156</v>
      </c>
      <c r="I49" s="14">
        <v>163</v>
      </c>
      <c r="J49" s="14">
        <v>171</v>
      </c>
      <c r="K49" s="14">
        <v>168</v>
      </c>
      <c r="L49" s="14">
        <v>167</v>
      </c>
      <c r="M49" s="14">
        <v>171</v>
      </c>
      <c r="N49" s="14">
        <v>169</v>
      </c>
      <c r="O49" s="2">
        <v>169</v>
      </c>
      <c r="P49" s="4">
        <v>165</v>
      </c>
      <c r="V49" s="2">
        <v>464</v>
      </c>
      <c r="W49" s="2">
        <v>475</v>
      </c>
      <c r="X49" s="2">
        <v>519</v>
      </c>
      <c r="Y49" s="2">
        <v>609</v>
      </c>
      <c r="Z49" s="2">
        <v>658</v>
      </c>
      <c r="AA49" s="2">
        <v>676</v>
      </c>
    </row>
    <row r="50" spans="3:27" x14ac:dyDescent="0.25">
      <c r="C50" s="2" t="s">
        <v>83</v>
      </c>
      <c r="D50" s="14">
        <v>-2</v>
      </c>
      <c r="E50" s="14">
        <v>2</v>
      </c>
      <c r="F50" s="14">
        <v>-2</v>
      </c>
      <c r="G50" s="14">
        <v>-1</v>
      </c>
      <c r="H50" s="14">
        <v>7</v>
      </c>
      <c r="I50" s="14">
        <v>-1</v>
      </c>
      <c r="J50" s="14">
        <v>23</v>
      </c>
      <c r="K50" s="14">
        <v>13</v>
      </c>
      <c r="L50" s="14">
        <v>9</v>
      </c>
      <c r="M50" s="14">
        <v>2</v>
      </c>
      <c r="N50" s="14">
        <v>45</v>
      </c>
      <c r="O50" s="2">
        <v>29</v>
      </c>
      <c r="P50" s="4">
        <v>10</v>
      </c>
      <c r="V50" s="2">
        <v>21</v>
      </c>
      <c r="W50" s="2">
        <v>-6</v>
      </c>
      <c r="X50" s="2">
        <v>12</v>
      </c>
      <c r="Y50" s="2">
        <v>-3</v>
      </c>
      <c r="Z50" s="2">
        <v>70</v>
      </c>
      <c r="AA50" s="2">
        <v>99</v>
      </c>
    </row>
    <row r="51" spans="3:27" x14ac:dyDescent="0.25">
      <c r="C51" s="2" t="s">
        <v>84</v>
      </c>
      <c r="D51" s="14">
        <v>-13</v>
      </c>
      <c r="E51" s="14">
        <v>-15</v>
      </c>
      <c r="F51" s="14">
        <v>-5</v>
      </c>
      <c r="G51" s="14">
        <v>-19</v>
      </c>
      <c r="H51" s="14">
        <v>-33</v>
      </c>
      <c r="I51" s="14">
        <v>-18</v>
      </c>
      <c r="J51" s="14">
        <v>-25</v>
      </c>
      <c r="K51" s="14">
        <v>-27</v>
      </c>
      <c r="L51" s="14">
        <v>-28</v>
      </c>
      <c r="M51" s="14">
        <v>-29</v>
      </c>
      <c r="N51" s="14">
        <v>-20</v>
      </c>
      <c r="O51" s="2">
        <v>-17</v>
      </c>
      <c r="P51" s="4">
        <v>-27</v>
      </c>
      <c r="V51" s="2">
        <f>9-66</f>
        <v>-57</v>
      </c>
      <c r="W51" s="2">
        <f>22-64</f>
        <v>-42</v>
      </c>
      <c r="X51" s="2">
        <f>10-62</f>
        <v>-52</v>
      </c>
      <c r="Y51" s="2">
        <f>39-91</f>
        <v>-52</v>
      </c>
      <c r="Z51" s="2">
        <f>45-148</f>
        <v>-103</v>
      </c>
      <c r="AA51" s="2">
        <f>28-122</f>
        <v>-94</v>
      </c>
    </row>
    <row r="52" spans="3:27" x14ac:dyDescent="0.25">
      <c r="C52" s="2" t="s">
        <v>85</v>
      </c>
      <c r="D52" s="14">
        <v>-64</v>
      </c>
      <c r="E52" s="14">
        <v>-34</v>
      </c>
      <c r="F52" s="14">
        <v>-25</v>
      </c>
      <c r="G52" s="14">
        <v>-23</v>
      </c>
      <c r="H52" s="14">
        <v>-188</v>
      </c>
      <c r="I52" s="14">
        <v>14</v>
      </c>
      <c r="J52" s="14">
        <v>18</v>
      </c>
      <c r="K52" s="14">
        <v>20</v>
      </c>
      <c r="L52" s="14">
        <v>-13</v>
      </c>
      <c r="M52" s="14">
        <v>-9</v>
      </c>
      <c r="N52" s="14">
        <v>4</v>
      </c>
      <c r="O52" s="2">
        <v>-22</v>
      </c>
      <c r="P52" s="4">
        <v>-20</v>
      </c>
      <c r="V52" s="2">
        <v>-65</v>
      </c>
      <c r="W52" s="2">
        <v>-61</v>
      </c>
      <c r="X52" s="2">
        <v>-131</v>
      </c>
      <c r="Y52" s="2">
        <v>-143</v>
      </c>
      <c r="Z52" s="2">
        <v>-136</v>
      </c>
      <c r="AA52" s="2">
        <v>-40</v>
      </c>
    </row>
    <row r="53" spans="3:27" x14ac:dyDescent="0.25">
      <c r="C53" s="2" t="s">
        <v>86</v>
      </c>
      <c r="D53" s="14">
        <f>-241+61+389</f>
        <v>209</v>
      </c>
      <c r="E53" s="14">
        <f>-114-58+107</f>
        <v>-65</v>
      </c>
      <c r="F53" s="14">
        <f>217+8-495</f>
        <v>-270</v>
      </c>
      <c r="G53" s="14">
        <f>79-1-279</f>
        <v>-201</v>
      </c>
      <c r="H53" s="14">
        <f>-177+58+219</f>
        <v>100</v>
      </c>
      <c r="I53" s="14">
        <f>79-65+565</f>
        <v>579</v>
      </c>
      <c r="J53" s="14">
        <f>323-1-532</f>
        <v>-210</v>
      </c>
      <c r="K53" s="14">
        <f>50+29-351</f>
        <v>-272</v>
      </c>
      <c r="L53" s="14">
        <f>-235-14+361</f>
        <v>112</v>
      </c>
      <c r="M53" s="14">
        <f>91-10+289</f>
        <v>370</v>
      </c>
      <c r="N53" s="14">
        <f>163+8-496</f>
        <v>-325</v>
      </c>
      <c r="O53" s="2">
        <f>38+35-174</f>
        <v>-101</v>
      </c>
      <c r="P53" s="4">
        <f>-300+33+237</f>
        <v>-30</v>
      </c>
      <c r="V53" s="2">
        <f>-58-236</f>
        <v>-294</v>
      </c>
      <c r="W53" s="2">
        <f>-47-46+259</f>
        <v>166</v>
      </c>
      <c r="X53" s="2">
        <f>-453-26+95</f>
        <v>-384</v>
      </c>
      <c r="Y53" s="2">
        <f>-58+10-281</f>
        <v>-329</v>
      </c>
      <c r="Z53" s="2">
        <f>246+21-99</f>
        <v>168</v>
      </c>
      <c r="AA53" s="2">
        <f>45+19-21</f>
        <v>43</v>
      </c>
    </row>
    <row r="54" spans="3:27" x14ac:dyDescent="0.25">
      <c r="C54" s="1" t="s">
        <v>87</v>
      </c>
      <c r="D54" s="1">
        <f t="shared" ref="D54:O54" si="35">SUM(D48:D53)</f>
        <v>257</v>
      </c>
      <c r="E54" s="1">
        <f t="shared" si="35"/>
        <v>278</v>
      </c>
      <c r="F54" s="1">
        <f t="shared" si="35"/>
        <v>128</v>
      </c>
      <c r="G54" s="1">
        <f t="shared" si="35"/>
        <v>-127</v>
      </c>
      <c r="H54" s="1">
        <f t="shared" si="35"/>
        <v>-97</v>
      </c>
      <c r="I54" s="1">
        <f t="shared" si="35"/>
        <v>895</v>
      </c>
      <c r="J54" s="1">
        <f t="shared" si="35"/>
        <v>173</v>
      </c>
      <c r="K54" s="1">
        <f t="shared" si="35"/>
        <v>-189</v>
      </c>
      <c r="L54" s="1">
        <f t="shared" si="35"/>
        <v>85</v>
      </c>
      <c r="M54" s="1">
        <f t="shared" si="35"/>
        <v>675</v>
      </c>
      <c r="N54" s="1">
        <f t="shared" si="35"/>
        <v>108</v>
      </c>
      <c r="O54" s="1">
        <f t="shared" si="35"/>
        <v>-8</v>
      </c>
      <c r="P54" s="26">
        <f>SUM(P48:P53)</f>
        <v>-25</v>
      </c>
      <c r="V54" s="1">
        <f t="shared" ref="V54:Z54" si="36">SUM(V48:V53)</f>
        <v>299</v>
      </c>
      <c r="W54" s="1">
        <f t="shared" si="36"/>
        <v>1197</v>
      </c>
      <c r="X54" s="1">
        <f t="shared" si="36"/>
        <v>814</v>
      </c>
      <c r="Y54" s="1">
        <f t="shared" si="36"/>
        <v>536</v>
      </c>
      <c r="Z54" s="1">
        <f t="shared" si="36"/>
        <v>780</v>
      </c>
      <c r="AA54" s="1">
        <f>SUM(AA48:AA53)</f>
        <v>861</v>
      </c>
    </row>
    <row r="55" spans="3:27" x14ac:dyDescent="0.25"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</row>
    <row r="56" spans="3:27" x14ac:dyDescent="0.25">
      <c r="C56" s="2" t="s">
        <v>88</v>
      </c>
      <c r="D56" s="14">
        <f>-10-84-64</f>
        <v>-158</v>
      </c>
      <c r="E56" s="14">
        <f>-12-47</f>
        <v>-59</v>
      </c>
      <c r="F56" s="14">
        <v>-47</v>
      </c>
      <c r="G56" s="14">
        <v>-54</v>
      </c>
      <c r="H56" s="14">
        <f>-10-48-3</f>
        <v>-61</v>
      </c>
      <c r="I56" s="14">
        <v>-56</v>
      </c>
      <c r="J56" s="14">
        <v>-15</v>
      </c>
      <c r="K56" s="14">
        <f>-8-16-1</f>
        <v>-25</v>
      </c>
      <c r="L56" s="14">
        <v>-24</v>
      </c>
      <c r="M56" s="14">
        <v>-27</v>
      </c>
      <c r="N56" s="14">
        <f>-11</f>
        <v>-11</v>
      </c>
      <c r="O56" s="2">
        <f>-6-12</f>
        <v>-18</v>
      </c>
      <c r="P56" s="4">
        <f>-5-11</f>
        <v>-16</v>
      </c>
      <c r="V56" s="2">
        <f>-22-121</f>
        <v>-143</v>
      </c>
      <c r="W56" s="2">
        <f>-27-146</f>
        <v>-173</v>
      </c>
      <c r="X56" s="2">
        <f>-22-207-8-234</f>
        <v>-471</v>
      </c>
      <c r="Y56" s="2">
        <f>-42-213-64</f>
        <v>-319</v>
      </c>
      <c r="Z56" s="2">
        <f>-35-111-10</f>
        <v>-156</v>
      </c>
      <c r="AA56" s="2">
        <f>-24-56-1</f>
        <v>-81</v>
      </c>
    </row>
    <row r="57" spans="3:27" x14ac:dyDescent="0.25">
      <c r="C57" s="2" t="s">
        <v>89</v>
      </c>
      <c r="D57" s="14">
        <v>2</v>
      </c>
      <c r="E57" s="14">
        <v>7</v>
      </c>
      <c r="F57" s="14">
        <v>0</v>
      </c>
      <c r="G57" s="14">
        <v>2</v>
      </c>
      <c r="H57" s="14">
        <v>0</v>
      </c>
      <c r="I57" s="14">
        <v>0</v>
      </c>
      <c r="J57" s="14">
        <v>0</v>
      </c>
      <c r="K57" s="14">
        <v>1</v>
      </c>
      <c r="L57" s="14">
        <v>0</v>
      </c>
      <c r="M57" s="14">
        <v>2</v>
      </c>
      <c r="N57" s="14">
        <v>1</v>
      </c>
      <c r="O57" s="2">
        <v>1</v>
      </c>
      <c r="P57" s="4">
        <v>1</v>
      </c>
      <c r="V57" s="2">
        <v>0</v>
      </c>
      <c r="W57" s="2">
        <v>3</v>
      </c>
      <c r="X57" s="2">
        <v>5</v>
      </c>
      <c r="Y57" s="2">
        <v>11</v>
      </c>
      <c r="Z57" s="2">
        <v>3</v>
      </c>
      <c r="AA57" s="2">
        <v>4</v>
      </c>
    </row>
    <row r="58" spans="3:27" x14ac:dyDescent="0.25">
      <c r="C58" s="1" t="s">
        <v>90</v>
      </c>
      <c r="D58" s="1">
        <f t="shared" ref="D58:O58" si="37">SUM(D56:D57)</f>
        <v>-156</v>
      </c>
      <c r="E58" s="1">
        <f t="shared" si="37"/>
        <v>-52</v>
      </c>
      <c r="F58" s="1">
        <f t="shared" si="37"/>
        <v>-47</v>
      </c>
      <c r="G58" s="1">
        <f t="shared" si="37"/>
        <v>-52</v>
      </c>
      <c r="H58" s="1">
        <f t="shared" si="37"/>
        <v>-61</v>
      </c>
      <c r="I58" s="1">
        <f t="shared" si="37"/>
        <v>-56</v>
      </c>
      <c r="J58" s="1">
        <f t="shared" si="37"/>
        <v>-15</v>
      </c>
      <c r="K58" s="1">
        <f t="shared" si="37"/>
        <v>-24</v>
      </c>
      <c r="L58" s="1">
        <f t="shared" si="37"/>
        <v>-24</v>
      </c>
      <c r="M58" s="1">
        <f t="shared" si="37"/>
        <v>-25</v>
      </c>
      <c r="N58" s="1">
        <f t="shared" si="37"/>
        <v>-10</v>
      </c>
      <c r="O58" s="1">
        <f t="shared" si="37"/>
        <v>-17</v>
      </c>
      <c r="P58" s="26">
        <f>SUM(P56:P57)</f>
        <v>-15</v>
      </c>
      <c r="V58" s="1">
        <f t="shared" ref="V58:Z58" si="38">SUM(V56:V57)</f>
        <v>-143</v>
      </c>
      <c r="W58" s="1">
        <f t="shared" si="38"/>
        <v>-170</v>
      </c>
      <c r="X58" s="1">
        <f t="shared" si="38"/>
        <v>-466</v>
      </c>
      <c r="Y58" s="1">
        <f t="shared" si="38"/>
        <v>-308</v>
      </c>
      <c r="Z58" s="1">
        <f t="shared" si="38"/>
        <v>-153</v>
      </c>
      <c r="AA58" s="1">
        <f>SUM(AA56:AA57)</f>
        <v>-77</v>
      </c>
    </row>
    <row r="59" spans="3:27" x14ac:dyDescent="0.25">
      <c r="C59" s="1"/>
      <c r="D59" s="12"/>
      <c r="E59" s="14"/>
      <c r="F59" s="14"/>
      <c r="G59" s="14"/>
      <c r="H59" s="14"/>
      <c r="I59" s="14"/>
      <c r="J59" s="14"/>
      <c r="K59" s="14"/>
      <c r="L59" s="14"/>
      <c r="M59" s="14"/>
      <c r="N59" s="14"/>
    </row>
    <row r="60" spans="3:27" x14ac:dyDescent="0.25">
      <c r="C60" s="2" t="s">
        <v>91</v>
      </c>
      <c r="D60" s="14">
        <v>8</v>
      </c>
      <c r="E60" s="14">
        <v>93</v>
      </c>
      <c r="F60" s="14">
        <v>19</v>
      </c>
      <c r="G60" s="14">
        <v>234</v>
      </c>
      <c r="H60" s="14">
        <v>263</v>
      </c>
      <c r="I60" s="14">
        <v>-753</v>
      </c>
      <c r="J60" s="14">
        <v>-67</v>
      </c>
      <c r="K60" s="14">
        <v>312</v>
      </c>
      <c r="L60" s="14">
        <v>55</v>
      </c>
      <c r="M60" s="14">
        <v>-513</v>
      </c>
      <c r="N60" s="14">
        <v>8</v>
      </c>
      <c r="O60" s="2">
        <v>121</v>
      </c>
      <c r="P60" s="4">
        <v>149</v>
      </c>
      <c r="V60" s="2">
        <f>107-105+89</f>
        <v>91</v>
      </c>
      <c r="W60" s="2">
        <f>-512-200</f>
        <v>-712</v>
      </c>
      <c r="X60" s="2">
        <v>314</v>
      </c>
      <c r="Y60" s="2">
        <v>354</v>
      </c>
      <c r="Z60" s="2">
        <v>-245</v>
      </c>
      <c r="AA60" s="2">
        <v>-329</v>
      </c>
    </row>
    <row r="61" spans="3:27" x14ac:dyDescent="0.25">
      <c r="C61" s="2" t="s">
        <v>92</v>
      </c>
      <c r="D61" s="14">
        <v>-89</v>
      </c>
      <c r="E61" s="14">
        <v>-92</v>
      </c>
      <c r="F61" s="14">
        <v>-96</v>
      </c>
      <c r="G61" s="14">
        <v>-97</v>
      </c>
      <c r="H61" s="14">
        <v>-96</v>
      </c>
      <c r="I61" s="14">
        <v>-102</v>
      </c>
      <c r="J61" s="14">
        <v>-107</v>
      </c>
      <c r="K61" s="14">
        <v>-105</v>
      </c>
      <c r="L61" s="14">
        <v>-104</v>
      </c>
      <c r="M61" s="14">
        <v>-108</v>
      </c>
      <c r="N61" s="14">
        <v>-107</v>
      </c>
      <c r="O61" s="2">
        <v>-107</v>
      </c>
      <c r="P61" s="4">
        <v>-107</v>
      </c>
      <c r="V61" s="2">
        <v>-272</v>
      </c>
      <c r="W61" s="2">
        <v>-284</v>
      </c>
      <c r="X61" s="2">
        <v>-322</v>
      </c>
      <c r="Y61" s="2">
        <v>-375</v>
      </c>
      <c r="Z61" s="2">
        <v>-410</v>
      </c>
      <c r="AA61" s="2">
        <v>-426</v>
      </c>
    </row>
    <row r="62" spans="3:27" x14ac:dyDescent="0.25">
      <c r="C62" s="2" t="s">
        <v>93</v>
      </c>
      <c r="D62" s="14">
        <v>0</v>
      </c>
      <c r="E62" s="14">
        <v>0</v>
      </c>
      <c r="F62" s="14">
        <v>0</v>
      </c>
      <c r="G62" s="14">
        <v>0</v>
      </c>
      <c r="H62" s="14">
        <v>0</v>
      </c>
      <c r="I62" s="14">
        <v>1</v>
      </c>
      <c r="J62" s="14">
        <v>0</v>
      </c>
      <c r="K62" s="14">
        <v>0</v>
      </c>
      <c r="L62" s="14">
        <v>0</v>
      </c>
      <c r="M62" s="14">
        <v>1</v>
      </c>
      <c r="N62" s="14">
        <v>0</v>
      </c>
      <c r="O62" s="2">
        <v>0</v>
      </c>
      <c r="P62" s="4">
        <v>0</v>
      </c>
      <c r="Q62" s="1"/>
      <c r="R62" s="1"/>
      <c r="S62" s="1"/>
      <c r="T62" s="1"/>
      <c r="U62" s="1"/>
      <c r="V62" s="2">
        <v>3</v>
      </c>
      <c r="W62" s="2">
        <v>0</v>
      </c>
      <c r="X62" s="2">
        <f>-200-168</f>
        <v>-368</v>
      </c>
      <c r="Y62" s="2">
        <v>2</v>
      </c>
      <c r="Z62" s="2">
        <v>1</v>
      </c>
      <c r="AA62" s="2">
        <v>1</v>
      </c>
    </row>
    <row r="63" spans="3:27" x14ac:dyDescent="0.25">
      <c r="C63" s="2" t="s">
        <v>94</v>
      </c>
      <c r="D63" s="14">
        <v>0</v>
      </c>
      <c r="E63" s="14">
        <v>-235</v>
      </c>
      <c r="F63" s="14">
        <v>0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-29</v>
      </c>
      <c r="N63" s="14">
        <v>0</v>
      </c>
      <c r="O63" s="2">
        <v>0</v>
      </c>
      <c r="P63" s="4">
        <v>0</v>
      </c>
      <c r="Q63" s="1"/>
      <c r="R63" s="1"/>
      <c r="S63" s="1"/>
      <c r="T63" s="1"/>
      <c r="U63" s="1"/>
      <c r="V63" s="2">
        <v>0</v>
      </c>
      <c r="W63" s="2">
        <v>0</v>
      </c>
      <c r="X63" s="2">
        <v>0</v>
      </c>
      <c r="Y63" s="2">
        <v>-235</v>
      </c>
      <c r="Z63" s="2">
        <v>0</v>
      </c>
      <c r="AA63" s="2">
        <v>-29</v>
      </c>
    </row>
    <row r="64" spans="3:27" x14ac:dyDescent="0.25">
      <c r="C64" s="1" t="s">
        <v>95</v>
      </c>
      <c r="D64" s="1">
        <f t="shared" ref="D64:O64" si="39">SUM(D60:D63)</f>
        <v>-81</v>
      </c>
      <c r="E64" s="1">
        <f t="shared" si="39"/>
        <v>-234</v>
      </c>
      <c r="F64" s="1">
        <f t="shared" si="39"/>
        <v>-77</v>
      </c>
      <c r="G64" s="1">
        <f t="shared" si="39"/>
        <v>137</v>
      </c>
      <c r="H64" s="1">
        <f t="shared" si="39"/>
        <v>167</v>
      </c>
      <c r="I64" s="1">
        <f t="shared" si="39"/>
        <v>-854</v>
      </c>
      <c r="J64" s="1">
        <f t="shared" si="39"/>
        <v>-174</v>
      </c>
      <c r="K64" s="1">
        <f t="shared" si="39"/>
        <v>207</v>
      </c>
      <c r="L64" s="1">
        <f t="shared" si="39"/>
        <v>-49</v>
      </c>
      <c r="M64" s="1">
        <f t="shared" si="39"/>
        <v>-649</v>
      </c>
      <c r="N64" s="1">
        <f t="shared" si="39"/>
        <v>-99</v>
      </c>
      <c r="O64" s="1">
        <f t="shared" si="39"/>
        <v>14</v>
      </c>
      <c r="P64" s="26">
        <f>SUM(P60:P63)</f>
        <v>42</v>
      </c>
      <c r="Q64" s="1"/>
      <c r="R64" s="1"/>
      <c r="S64" s="1"/>
      <c r="T64" s="1"/>
      <c r="U64" s="1"/>
      <c r="V64" s="1">
        <f t="shared" ref="V64:Z64" si="40">SUM(V60:V63)</f>
        <v>-178</v>
      </c>
      <c r="W64" s="1">
        <f t="shared" si="40"/>
        <v>-996</v>
      </c>
      <c r="X64" s="1">
        <f t="shared" si="40"/>
        <v>-376</v>
      </c>
      <c r="Y64" s="1">
        <f t="shared" si="40"/>
        <v>-254</v>
      </c>
      <c r="Z64" s="1">
        <f t="shared" si="40"/>
        <v>-654</v>
      </c>
      <c r="AA64" s="1">
        <f>SUM(AA60:AA63)</f>
        <v>-783</v>
      </c>
    </row>
    <row r="65" spans="3:27" x14ac:dyDescent="0.25">
      <c r="C65" s="1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"/>
      <c r="P65" s="26"/>
      <c r="Q65" s="1"/>
      <c r="R65" s="1"/>
      <c r="S65" s="1"/>
      <c r="T65" s="1"/>
      <c r="U65" s="1"/>
      <c r="V65" s="1"/>
      <c r="W65" s="1"/>
    </row>
    <row r="66" spans="3:27" x14ac:dyDescent="0.25">
      <c r="C66" s="2" t="s">
        <v>96</v>
      </c>
      <c r="D66" s="14">
        <v>2</v>
      </c>
      <c r="E66" s="14">
        <v>-2</v>
      </c>
      <c r="F66" s="14">
        <v>0</v>
      </c>
      <c r="G66" s="14">
        <v>0</v>
      </c>
      <c r="H66" s="14">
        <v>15</v>
      </c>
      <c r="I66" s="14">
        <v>4</v>
      </c>
      <c r="J66" s="14">
        <v>-2</v>
      </c>
      <c r="K66" s="14">
        <v>1</v>
      </c>
      <c r="L66" s="14">
        <v>0</v>
      </c>
      <c r="M66" s="14">
        <v>-2</v>
      </c>
      <c r="N66" s="14">
        <v>1</v>
      </c>
      <c r="O66" s="2">
        <v>1</v>
      </c>
      <c r="P66" s="4">
        <v>1</v>
      </c>
      <c r="R66" s="1"/>
      <c r="S66" s="1"/>
      <c r="T66" s="1"/>
      <c r="U66" s="1"/>
      <c r="V66" s="1"/>
      <c r="W66" s="2">
        <v>0</v>
      </c>
      <c r="X66" s="2">
        <v>9</v>
      </c>
      <c r="Y66" s="2">
        <v>2</v>
      </c>
      <c r="Z66" s="2">
        <v>17</v>
      </c>
      <c r="AA66" s="2">
        <v>0</v>
      </c>
    </row>
    <row r="67" spans="3:27" x14ac:dyDescent="0.25"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R67" s="1"/>
      <c r="S67" s="1"/>
      <c r="T67" s="1"/>
      <c r="U67" s="1"/>
      <c r="V67" s="1"/>
      <c r="W67" s="1"/>
    </row>
    <row r="68" spans="3:27" x14ac:dyDescent="0.25">
      <c r="C68" s="2" t="s">
        <v>97</v>
      </c>
      <c r="D68" s="2">
        <f t="shared" ref="D68:O68" si="41">D54+D58+D64+D66</f>
        <v>22</v>
      </c>
      <c r="E68" s="2">
        <f t="shared" si="41"/>
        <v>-10</v>
      </c>
      <c r="F68" s="2">
        <f t="shared" si="41"/>
        <v>4</v>
      </c>
      <c r="G68" s="2">
        <f t="shared" si="41"/>
        <v>-42</v>
      </c>
      <c r="H68" s="2">
        <f t="shared" si="41"/>
        <v>24</v>
      </c>
      <c r="I68" s="2">
        <f t="shared" si="41"/>
        <v>-11</v>
      </c>
      <c r="J68" s="2">
        <f t="shared" si="41"/>
        <v>-18</v>
      </c>
      <c r="K68" s="2">
        <f t="shared" si="41"/>
        <v>-5</v>
      </c>
      <c r="L68" s="2">
        <f t="shared" si="41"/>
        <v>12</v>
      </c>
      <c r="M68" s="2">
        <f t="shared" si="41"/>
        <v>-1</v>
      </c>
      <c r="N68" s="2">
        <f t="shared" si="41"/>
        <v>0</v>
      </c>
      <c r="O68" s="2">
        <f t="shared" si="41"/>
        <v>-10</v>
      </c>
      <c r="P68" s="4">
        <f>P54+P58+P64+P66</f>
        <v>3</v>
      </c>
      <c r="R68" s="1"/>
      <c r="S68" s="1"/>
      <c r="T68" s="1"/>
      <c r="U68" s="1"/>
      <c r="V68" s="2">
        <f t="shared" ref="V68:Z68" si="42">V54+V58+V64+V66</f>
        <v>-22</v>
      </c>
      <c r="W68" s="2">
        <f t="shared" si="42"/>
        <v>31</v>
      </c>
      <c r="X68" s="2">
        <f t="shared" si="42"/>
        <v>-19</v>
      </c>
      <c r="Y68" s="2">
        <f t="shared" si="42"/>
        <v>-24</v>
      </c>
      <c r="Z68" s="2">
        <f t="shared" si="42"/>
        <v>-10</v>
      </c>
      <c r="AA68" s="2">
        <f>AA54+AA58+AA64+AA66</f>
        <v>1</v>
      </c>
    </row>
    <row r="70" spans="3:27" x14ac:dyDescent="0.25">
      <c r="C70" s="2" t="s">
        <v>98</v>
      </c>
      <c r="D70" s="2">
        <f t="shared" ref="D70:O70" si="43">D54+D56</f>
        <v>99</v>
      </c>
      <c r="E70" s="2">
        <f t="shared" si="43"/>
        <v>219</v>
      </c>
      <c r="F70" s="2">
        <f t="shared" si="43"/>
        <v>81</v>
      </c>
      <c r="G70" s="2">
        <f t="shared" si="43"/>
        <v>-181</v>
      </c>
      <c r="H70" s="2">
        <f t="shared" si="43"/>
        <v>-158</v>
      </c>
      <c r="I70" s="2">
        <f t="shared" si="43"/>
        <v>839</v>
      </c>
      <c r="J70" s="2">
        <f t="shared" si="43"/>
        <v>158</v>
      </c>
      <c r="K70" s="2">
        <f t="shared" si="43"/>
        <v>-214</v>
      </c>
      <c r="L70" s="2">
        <f t="shared" si="43"/>
        <v>61</v>
      </c>
      <c r="M70" s="2">
        <f t="shared" si="43"/>
        <v>648</v>
      </c>
      <c r="N70" s="2">
        <f t="shared" si="43"/>
        <v>97</v>
      </c>
      <c r="O70" s="2">
        <f t="shared" si="43"/>
        <v>-26</v>
      </c>
      <c r="P70" s="4">
        <f>P54+P56</f>
        <v>-41</v>
      </c>
      <c r="V70" s="2">
        <f t="shared" ref="V70:Z70" si="44">V54+V56</f>
        <v>156</v>
      </c>
      <c r="W70" s="2">
        <f t="shared" si="44"/>
        <v>1024</v>
      </c>
      <c r="X70" s="2">
        <f t="shared" si="44"/>
        <v>343</v>
      </c>
      <c r="Y70" s="2">
        <f t="shared" si="44"/>
        <v>217</v>
      </c>
      <c r="Z70" s="2">
        <f t="shared" si="44"/>
        <v>624</v>
      </c>
      <c r="AA70" s="2">
        <f>AA54+AA56</f>
        <v>780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8E745-DC06-8448-81B5-DC40131426CF}">
  <dimension ref="C4:F6"/>
  <sheetViews>
    <sheetView showGridLines="0" workbookViewId="0">
      <selection activeCell="D20" sqref="D20"/>
    </sheetView>
  </sheetViews>
  <sheetFormatPr baseColWidth="10" defaultRowHeight="16" x14ac:dyDescent="0.2"/>
  <cols>
    <col min="3" max="3" width="29.5" bestFit="1" customWidth="1"/>
    <col min="4" max="6" width="28.33203125" bestFit="1" customWidth="1"/>
  </cols>
  <sheetData>
    <row r="4" spans="3:6" ht="62" x14ac:dyDescent="0.7">
      <c r="C4" s="23"/>
      <c r="D4" s="23">
        <v>2025</v>
      </c>
      <c r="E4" s="23">
        <v>2026</v>
      </c>
      <c r="F4" s="23">
        <v>2027</v>
      </c>
    </row>
    <row r="5" spans="3:6" ht="62" x14ac:dyDescent="0.7">
      <c r="C5" s="23" t="s">
        <v>31</v>
      </c>
      <c r="D5" s="35">
        <f>Modell!$B$9/Modell!AB12</f>
        <v>15.061264284991891</v>
      </c>
      <c r="E5" s="35">
        <f>Modell!$B$9/Modell!AC12</f>
        <v>11.726531803400027</v>
      </c>
      <c r="F5" s="35">
        <f>Modell!$B$9/Modell!AD12</f>
        <v>9.4864768648704025</v>
      </c>
    </row>
    <row r="6" spans="3:6" ht="62" x14ac:dyDescent="0.7">
      <c r="C6" s="23" t="s">
        <v>32</v>
      </c>
      <c r="D6" s="35">
        <f>Modell!$B$4/Modell!AB18</f>
        <v>15.439853441882397</v>
      </c>
      <c r="E6" s="35">
        <f>Modell!$B$4/Modell!AC18</f>
        <v>12.021297083704072</v>
      </c>
      <c r="F6" s="35">
        <f>Modell!$B$4/Modell!AD18</f>
        <v>9.7249347532769796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Info</vt:lpstr>
      <vt:lpstr>Modell</vt:lpstr>
      <vt:lpstr>Nøkkeltall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august hodt</dc:creator>
  <cp:lastModifiedBy>august hodt</cp:lastModifiedBy>
  <dcterms:created xsi:type="dcterms:W3CDTF">2025-02-09T20:32:11Z</dcterms:created>
  <dcterms:modified xsi:type="dcterms:W3CDTF">2025-07-08T15:06:37Z</dcterms:modified>
</cp:coreProperties>
</file>