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8DCC2416-3B91-954B-9659-6D7B84847606}" xr6:coauthVersionLast="47" xr6:coauthVersionMax="47" xr10:uidLastSave="{00000000-0000-0000-0000-000000000000}"/>
  <bookViews>
    <workbookView xWindow="25220" yWindow="500" windowWidth="25980" windowHeight="26740" activeTab="4" xr2:uid="{5AE0DF26-B7DD-1242-A60E-253C73A930AF}"/>
  </bookViews>
  <sheets>
    <sheet name="Info" sheetId="1" r:id="rId1"/>
    <sheet name="Modell" sheetId="2" r:id="rId2"/>
    <sheet name="Segementer" sheetId="4" r:id="rId3"/>
    <sheet name="Land" sheetId="6" r:id="rId4"/>
    <sheet name="Nøkkeltall" sheetId="3" r:id="rId5"/>
    <sheet name="Nedsideberegning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2" i="2" l="1"/>
  <c r="U74" i="2"/>
  <c r="U70" i="2"/>
  <c r="U63" i="2"/>
  <c r="U59" i="2"/>
  <c r="U60" i="2" s="1"/>
  <c r="U46" i="2"/>
  <c r="B14" i="2"/>
  <c r="V19" i="2"/>
  <c r="W19" i="2"/>
  <c r="V17" i="2"/>
  <c r="W17" i="2"/>
  <c r="V15" i="2"/>
  <c r="W15" i="2"/>
  <c r="V12" i="2"/>
  <c r="W12" i="2"/>
  <c r="U6" i="2"/>
  <c r="U12" i="2" s="1"/>
  <c r="U15" i="2" s="1"/>
  <c r="U17" i="2" s="1"/>
  <c r="U19" i="2" s="1"/>
  <c r="V6" i="2"/>
  <c r="W6" i="2"/>
  <c r="U28" i="2"/>
  <c r="V28" i="2"/>
  <c r="W28" i="2"/>
  <c r="M8" i="5"/>
  <c r="M9" i="5"/>
  <c r="M10" i="5"/>
  <c r="U86" i="2" l="1"/>
  <c r="U88" i="2"/>
  <c r="B8" i="2"/>
  <c r="Z16" i="6"/>
  <c r="Y16" i="6"/>
  <c r="X16" i="6"/>
  <c r="W16" i="6"/>
  <c r="Z14" i="6"/>
  <c r="Y14" i="6"/>
  <c r="X14" i="6"/>
  <c r="W14" i="6"/>
  <c r="Z12" i="6"/>
  <c r="Y12" i="6"/>
  <c r="X12" i="6"/>
  <c r="W12" i="6"/>
  <c r="Z10" i="6"/>
  <c r="Y10" i="6"/>
  <c r="X10" i="6"/>
  <c r="W10" i="6"/>
  <c r="Z8" i="6"/>
  <c r="Y8" i="6"/>
  <c r="X8" i="6"/>
  <c r="W8" i="6"/>
  <c r="Z6" i="6"/>
  <c r="Y6" i="6"/>
  <c r="X6" i="6"/>
  <c r="W6" i="6"/>
  <c r="T6" i="6"/>
  <c r="Z17" i="6"/>
  <c r="Y17" i="6"/>
  <c r="X17" i="6"/>
  <c r="W17" i="6"/>
  <c r="U17" i="6"/>
  <c r="T17" i="6"/>
  <c r="S17" i="6"/>
  <c r="R17" i="6"/>
  <c r="V17" i="6" s="1"/>
  <c r="P17" i="6"/>
  <c r="O17" i="6"/>
  <c r="N17" i="6"/>
  <c r="M17" i="6"/>
  <c r="K17" i="6"/>
  <c r="J17" i="6"/>
  <c r="I17" i="6"/>
  <c r="H17" i="6"/>
  <c r="F17" i="6"/>
  <c r="E17" i="6"/>
  <c r="D17" i="6"/>
  <c r="C17" i="6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B7" i="2"/>
  <c r="T69" i="2"/>
  <c r="T70" i="2" s="1"/>
  <c r="T88" i="2" s="1"/>
  <c r="T82" i="2"/>
  <c r="T74" i="2"/>
  <c r="T63" i="2"/>
  <c r="T46" i="2"/>
  <c r="T59" i="2"/>
  <c r="T60" i="2" s="1"/>
  <c r="T6" i="2"/>
  <c r="T12" i="2" s="1"/>
  <c r="X12" i="4"/>
  <c r="Y12" i="4"/>
  <c r="Z12" i="4"/>
  <c r="W12" i="4"/>
  <c r="X21" i="4"/>
  <c r="Y21" i="4"/>
  <c r="Z21" i="4"/>
  <c r="W21" i="4"/>
  <c r="T21" i="2"/>
  <c r="U21" i="2"/>
  <c r="V21" i="2"/>
  <c r="W21" i="2"/>
  <c r="U23" i="2"/>
  <c r="V23" i="2"/>
  <c r="W23" i="2"/>
  <c r="U24" i="2"/>
  <c r="V24" i="2"/>
  <c r="W24" i="2"/>
  <c r="M7" i="5"/>
  <c r="N7" i="5" s="1"/>
  <c r="O7" i="5" s="1"/>
  <c r="P7" i="5" s="1"/>
  <c r="Q7" i="5" s="1"/>
  <c r="R7" i="5" s="1"/>
  <c r="S7" i="5" s="1"/>
  <c r="T7" i="5" s="1"/>
  <c r="U7" i="5" s="1"/>
  <c r="V7" i="5" s="1"/>
  <c r="AI72" i="2"/>
  <c r="AI74" i="2" s="1"/>
  <c r="AI69" i="2"/>
  <c r="AI70" i="2" s="1"/>
  <c r="AI82" i="2"/>
  <c r="G15" i="6"/>
  <c r="G13" i="6"/>
  <c r="G11" i="6"/>
  <c r="G9" i="6"/>
  <c r="L10" i="6" s="1"/>
  <c r="G7" i="6"/>
  <c r="G5" i="6"/>
  <c r="L15" i="6"/>
  <c r="L16" i="6" s="1"/>
  <c r="L13" i="6"/>
  <c r="L14" i="6" s="1"/>
  <c r="L11" i="6"/>
  <c r="L9" i="6"/>
  <c r="Q10" i="6" s="1"/>
  <c r="L7" i="6"/>
  <c r="L5" i="6"/>
  <c r="Q17" i="6"/>
  <c r="Q15" i="6"/>
  <c r="Q13" i="6"/>
  <c r="V14" i="6" s="1"/>
  <c r="Q11" i="6"/>
  <c r="Q9" i="6"/>
  <c r="Q7" i="6"/>
  <c r="Q5" i="6"/>
  <c r="V6" i="6" s="1"/>
  <c r="V12" i="6"/>
  <c r="V10" i="6"/>
  <c r="V8" i="6"/>
  <c r="V15" i="6"/>
  <c r="V13" i="6"/>
  <c r="V11" i="6"/>
  <c r="V9" i="6"/>
  <c r="V7" i="6"/>
  <c r="V5" i="6"/>
  <c r="AA20" i="4"/>
  <c r="AA19" i="4"/>
  <c r="AA18" i="4"/>
  <c r="AA17" i="4"/>
  <c r="AA16" i="4"/>
  <c r="AA14" i="4"/>
  <c r="AA15" i="4" s="1"/>
  <c r="AA11" i="4"/>
  <c r="AA10" i="4"/>
  <c r="AA9" i="4"/>
  <c r="AA8" i="4"/>
  <c r="AA7" i="4"/>
  <c r="AA5" i="4"/>
  <c r="AA6" i="4" s="1"/>
  <c r="G20" i="4"/>
  <c r="G19" i="4"/>
  <c r="G18" i="4"/>
  <c r="G17" i="4"/>
  <c r="G16" i="4"/>
  <c r="G14" i="4"/>
  <c r="G11" i="4"/>
  <c r="G10" i="4"/>
  <c r="G9" i="4"/>
  <c r="G8" i="4"/>
  <c r="G7" i="4"/>
  <c r="G5" i="4"/>
  <c r="L20" i="4"/>
  <c r="L19" i="4"/>
  <c r="L18" i="4"/>
  <c r="L17" i="4"/>
  <c r="L16" i="4"/>
  <c r="L14" i="4"/>
  <c r="L11" i="4"/>
  <c r="L10" i="4"/>
  <c r="L9" i="4"/>
  <c r="L8" i="4"/>
  <c r="L7" i="4"/>
  <c r="L5" i="4"/>
  <c r="Q20" i="4"/>
  <c r="Q21" i="4" s="1"/>
  <c r="Q19" i="4"/>
  <c r="Q18" i="4"/>
  <c r="Q17" i="4"/>
  <c r="Q16" i="4"/>
  <c r="Q14" i="4"/>
  <c r="Q11" i="4"/>
  <c r="Q10" i="4"/>
  <c r="Q9" i="4"/>
  <c r="Q8" i="4"/>
  <c r="Q7" i="4"/>
  <c r="Q5" i="4"/>
  <c r="Q12" i="4" s="1"/>
  <c r="V20" i="4"/>
  <c r="V21" i="4" s="1"/>
  <c r="V19" i="4"/>
  <c r="V18" i="4"/>
  <c r="V17" i="4"/>
  <c r="V16" i="4"/>
  <c r="V14" i="4"/>
  <c r="V12" i="4"/>
  <c r="V11" i="4"/>
  <c r="V10" i="4"/>
  <c r="V9" i="4"/>
  <c r="V8" i="4"/>
  <c r="V7" i="4"/>
  <c r="V5" i="4"/>
  <c r="W6" i="4"/>
  <c r="U16" i="6"/>
  <c r="T16" i="6"/>
  <c r="S16" i="6"/>
  <c r="R16" i="6"/>
  <c r="P16" i="6"/>
  <c r="O16" i="6"/>
  <c r="N16" i="6"/>
  <c r="M16" i="6"/>
  <c r="K16" i="6"/>
  <c r="J16" i="6"/>
  <c r="I16" i="6"/>
  <c r="H16" i="6"/>
  <c r="U14" i="6"/>
  <c r="T14" i="6"/>
  <c r="S14" i="6"/>
  <c r="R14" i="6"/>
  <c r="P14" i="6"/>
  <c r="O14" i="6"/>
  <c r="N14" i="6"/>
  <c r="M14" i="6"/>
  <c r="K14" i="6"/>
  <c r="J14" i="6"/>
  <c r="I14" i="6"/>
  <c r="H14" i="6"/>
  <c r="U12" i="6"/>
  <c r="T12" i="6"/>
  <c r="S12" i="6"/>
  <c r="R12" i="6"/>
  <c r="P12" i="6"/>
  <c r="O12" i="6"/>
  <c r="N12" i="6"/>
  <c r="M12" i="6"/>
  <c r="K12" i="6"/>
  <c r="J12" i="6"/>
  <c r="I12" i="6"/>
  <c r="H12" i="6"/>
  <c r="U10" i="6"/>
  <c r="T10" i="6"/>
  <c r="S10" i="6"/>
  <c r="R10" i="6"/>
  <c r="P10" i="6"/>
  <c r="O10" i="6"/>
  <c r="N10" i="6"/>
  <c r="M10" i="6"/>
  <c r="K10" i="6"/>
  <c r="J10" i="6"/>
  <c r="I10" i="6"/>
  <c r="H10" i="6"/>
  <c r="U8" i="6"/>
  <c r="T8" i="6"/>
  <c r="S8" i="6"/>
  <c r="R8" i="6"/>
  <c r="P8" i="6"/>
  <c r="O8" i="6"/>
  <c r="N8" i="6"/>
  <c r="M8" i="6"/>
  <c r="K8" i="6"/>
  <c r="J8" i="6"/>
  <c r="I8" i="6"/>
  <c r="H8" i="6"/>
  <c r="H6" i="6"/>
  <c r="I6" i="6"/>
  <c r="J6" i="6"/>
  <c r="K6" i="6"/>
  <c r="M6" i="6"/>
  <c r="N6" i="6"/>
  <c r="O6" i="6"/>
  <c r="P6" i="6"/>
  <c r="R6" i="6"/>
  <c r="S6" i="6"/>
  <c r="U6" i="6"/>
  <c r="Z15" i="4"/>
  <c r="Y15" i="4"/>
  <c r="X15" i="4"/>
  <c r="W15" i="4"/>
  <c r="U15" i="4"/>
  <c r="T15" i="4"/>
  <c r="S15" i="4"/>
  <c r="R15" i="4"/>
  <c r="P15" i="4"/>
  <c r="O15" i="4"/>
  <c r="N15" i="4"/>
  <c r="M15" i="4"/>
  <c r="K15" i="4"/>
  <c r="J15" i="4"/>
  <c r="I15" i="4"/>
  <c r="H15" i="4"/>
  <c r="X6" i="4"/>
  <c r="Y6" i="4"/>
  <c r="Z6" i="4"/>
  <c r="H6" i="4"/>
  <c r="I6" i="4"/>
  <c r="J6" i="4"/>
  <c r="K6" i="4"/>
  <c r="M6" i="4"/>
  <c r="N6" i="4"/>
  <c r="O6" i="4"/>
  <c r="P6" i="4"/>
  <c r="R6" i="4"/>
  <c r="S6" i="4"/>
  <c r="T6" i="4"/>
  <c r="U6" i="4"/>
  <c r="N5" i="5"/>
  <c r="O5" i="5"/>
  <c r="P5" i="5"/>
  <c r="Q5" i="5"/>
  <c r="R5" i="5"/>
  <c r="S5" i="5"/>
  <c r="T5" i="5"/>
  <c r="U5" i="5"/>
  <c r="V5" i="5"/>
  <c r="M5" i="5"/>
  <c r="S69" i="2"/>
  <c r="S38" i="2"/>
  <c r="S6" i="2"/>
  <c r="S12" i="2" s="1"/>
  <c r="S15" i="2" s="1"/>
  <c r="S17" i="2" s="1"/>
  <c r="S19" i="2" s="1"/>
  <c r="N8" i="5"/>
  <c r="O8" i="5" s="1"/>
  <c r="P8" i="5" s="1"/>
  <c r="Q8" i="5" s="1"/>
  <c r="R8" i="5" s="1"/>
  <c r="S8" i="5" s="1"/>
  <c r="T8" i="5" s="1"/>
  <c r="U8" i="5" s="1"/>
  <c r="V8" i="5" s="1"/>
  <c r="N9" i="5"/>
  <c r="O9" i="5"/>
  <c r="P9" i="5" s="1"/>
  <c r="Q9" i="5" s="1"/>
  <c r="R9" i="5" s="1"/>
  <c r="S9" i="5" s="1"/>
  <c r="T9" i="5" s="1"/>
  <c r="U9" i="5" s="1"/>
  <c r="V9" i="5" s="1"/>
  <c r="N10" i="5"/>
  <c r="O10" i="5" s="1"/>
  <c r="P10" i="5" s="1"/>
  <c r="Q10" i="5" s="1"/>
  <c r="R10" i="5" s="1"/>
  <c r="S10" i="5" s="1"/>
  <c r="T10" i="5" s="1"/>
  <c r="U10" i="5" s="1"/>
  <c r="V10" i="5" s="1"/>
  <c r="T86" i="2" l="1"/>
  <c r="T15" i="2"/>
  <c r="T17" i="2" s="1"/>
  <c r="T19" i="2" s="1"/>
  <c r="T24" i="2"/>
  <c r="T23" i="2"/>
  <c r="AA12" i="4"/>
  <c r="AA21" i="4"/>
  <c r="AI88" i="2"/>
  <c r="AI86" i="2"/>
  <c r="G17" i="6"/>
  <c r="L17" i="6"/>
  <c r="L8" i="6"/>
  <c r="Q16" i="6"/>
  <c r="G21" i="4"/>
  <c r="L6" i="6"/>
  <c r="L12" i="6"/>
  <c r="Q8" i="6"/>
  <c r="Q12" i="6"/>
  <c r="Q6" i="6"/>
  <c r="Q14" i="6"/>
  <c r="V16" i="6"/>
  <c r="L21" i="4"/>
  <c r="G12" i="4"/>
  <c r="L12" i="4"/>
  <c r="L15" i="4"/>
  <c r="L6" i="4"/>
  <c r="Q15" i="4"/>
  <c r="Q6" i="4"/>
  <c r="V15" i="4"/>
  <c r="V6" i="4"/>
  <c r="V4" i="5"/>
  <c r="N4" i="5"/>
  <c r="O4" i="5"/>
  <c r="P4" i="5" s="1"/>
  <c r="Q4" i="5" s="1"/>
  <c r="R4" i="5" s="1"/>
  <c r="S4" i="5" s="1"/>
  <c r="T4" i="5" s="1"/>
  <c r="U4" i="5" s="1"/>
  <c r="M4" i="5"/>
  <c r="M21" i="5"/>
  <c r="L21" i="5"/>
  <c r="K21" i="5"/>
  <c r="J21" i="5"/>
  <c r="I21" i="5"/>
  <c r="H21" i="5"/>
  <c r="G21" i="5"/>
  <c r="F21" i="5"/>
  <c r="E21" i="5"/>
  <c r="N14" i="5"/>
  <c r="O14" i="5" s="1"/>
  <c r="P14" i="5" s="1"/>
  <c r="Q14" i="5" s="1"/>
  <c r="R14" i="5" s="1"/>
  <c r="S14" i="5" s="1"/>
  <c r="T14" i="5" s="1"/>
  <c r="U14" i="5" s="1"/>
  <c r="V14" i="5" s="1"/>
  <c r="H12" i="5"/>
  <c r="H15" i="5" s="1"/>
  <c r="H17" i="5" s="1"/>
  <c r="H19" i="5" s="1"/>
  <c r="G12" i="5"/>
  <c r="G23" i="5" s="1"/>
  <c r="L10" i="5"/>
  <c r="L9" i="5"/>
  <c r="L8" i="5"/>
  <c r="L7" i="5"/>
  <c r="L6" i="5"/>
  <c r="L12" i="5" s="1"/>
  <c r="K6" i="5"/>
  <c r="K22" i="5" s="1"/>
  <c r="J6" i="5"/>
  <c r="J12" i="5" s="1"/>
  <c r="J15" i="5" s="1"/>
  <c r="J17" i="5" s="1"/>
  <c r="J19" i="5" s="1"/>
  <c r="I6" i="5"/>
  <c r="I22" i="5" s="1"/>
  <c r="H6" i="5"/>
  <c r="H22" i="5" s="1"/>
  <c r="G6" i="5"/>
  <c r="G22" i="5" s="1"/>
  <c r="F6" i="5"/>
  <c r="F22" i="5" s="1"/>
  <c r="E6" i="5"/>
  <c r="E12" i="5" s="1"/>
  <c r="D6" i="5"/>
  <c r="D22" i="5" s="1"/>
  <c r="L5" i="5"/>
  <c r="AJ4" i="2"/>
  <c r="AJ5" i="2" s="1"/>
  <c r="AK14" i="2"/>
  <c r="AL14" i="2" s="1"/>
  <c r="AM14" i="2" s="1"/>
  <c r="AN14" i="2" s="1"/>
  <c r="AO14" i="2" s="1"/>
  <c r="AP14" i="2" s="1"/>
  <c r="AQ14" i="2" s="1"/>
  <c r="AR14" i="2" s="1"/>
  <c r="AS14" i="2" s="1"/>
  <c r="AK4" i="2" l="1"/>
  <c r="E23" i="5"/>
  <c r="E15" i="5"/>
  <c r="E17" i="5" s="1"/>
  <c r="E19" i="5" s="1"/>
  <c r="L23" i="5"/>
  <c r="L15" i="5"/>
  <c r="L16" i="5" s="1"/>
  <c r="L22" i="5"/>
  <c r="H23" i="5"/>
  <c r="J22" i="5"/>
  <c r="M6" i="5"/>
  <c r="J23" i="5"/>
  <c r="D12" i="5"/>
  <c r="N21" i="5"/>
  <c r="K12" i="5"/>
  <c r="E22" i="5"/>
  <c r="N6" i="5"/>
  <c r="G15" i="5"/>
  <c r="G17" i="5" s="1"/>
  <c r="G19" i="5" s="1"/>
  <c r="F12" i="5"/>
  <c r="I12" i="5"/>
  <c r="AJ8" i="2"/>
  <c r="AK8" i="2" s="1"/>
  <c r="AL8" i="2" s="1"/>
  <c r="AM8" i="2" s="1"/>
  <c r="AN8" i="2" s="1"/>
  <c r="AO8" i="2" s="1"/>
  <c r="AP8" i="2" s="1"/>
  <c r="AQ8" i="2" s="1"/>
  <c r="AR8" i="2" s="1"/>
  <c r="AS8" i="2" s="1"/>
  <c r="AJ9" i="2"/>
  <c r="AK9" i="2" s="1"/>
  <c r="AL9" i="2" s="1"/>
  <c r="AM9" i="2" s="1"/>
  <c r="AN9" i="2" s="1"/>
  <c r="AO9" i="2" s="1"/>
  <c r="AP9" i="2" s="1"/>
  <c r="AQ9" i="2" s="1"/>
  <c r="AR9" i="2" s="1"/>
  <c r="AS9" i="2" s="1"/>
  <c r="AJ10" i="2"/>
  <c r="AK10" i="2" s="1"/>
  <c r="AL10" i="2" s="1"/>
  <c r="AM10" i="2" s="1"/>
  <c r="AN10" i="2" s="1"/>
  <c r="AO10" i="2" s="1"/>
  <c r="AP10" i="2" s="1"/>
  <c r="AQ10" i="2" s="1"/>
  <c r="AR10" i="2" s="1"/>
  <c r="AS10" i="2" s="1"/>
  <c r="AJ7" i="2"/>
  <c r="AK7" i="2" s="1"/>
  <c r="AL7" i="2" s="1"/>
  <c r="AM7" i="2" s="1"/>
  <c r="AN7" i="2" s="1"/>
  <c r="AO7" i="2" s="1"/>
  <c r="AP7" i="2" s="1"/>
  <c r="AQ7" i="2" s="1"/>
  <c r="AR7" i="2" s="1"/>
  <c r="AS7" i="2" s="1"/>
  <c r="AI6" i="2"/>
  <c r="AJ6" i="2"/>
  <c r="AJ12" i="2" l="1"/>
  <c r="AJ63" i="2" s="1"/>
  <c r="AK5" i="2"/>
  <c r="AK6" i="2" s="1"/>
  <c r="AK12" i="2" s="1"/>
  <c r="AK15" i="2" s="1"/>
  <c r="AK16" i="2" s="1"/>
  <c r="AK17" i="2" s="1"/>
  <c r="AK19" i="2" s="1"/>
  <c r="E6" i="3" s="1"/>
  <c r="AL4" i="2"/>
  <c r="AJ15" i="2"/>
  <c r="AJ16" i="2" s="1"/>
  <c r="AJ17" i="2" s="1"/>
  <c r="M12" i="5"/>
  <c r="M22" i="5"/>
  <c r="O6" i="5"/>
  <c r="O21" i="5"/>
  <c r="N22" i="5"/>
  <c r="N12" i="5"/>
  <c r="K23" i="5"/>
  <c r="K15" i="5"/>
  <c r="K17" i="5" s="1"/>
  <c r="K19" i="5" s="1"/>
  <c r="L17" i="5"/>
  <c r="L19" i="5" s="1"/>
  <c r="I15" i="5"/>
  <c r="I17" i="5" s="1"/>
  <c r="I19" i="5" s="1"/>
  <c r="I23" i="5"/>
  <c r="D23" i="5"/>
  <c r="D15" i="5"/>
  <c r="D17" i="5" s="1"/>
  <c r="D19" i="5" s="1"/>
  <c r="F15" i="5"/>
  <c r="F17" i="5" s="1"/>
  <c r="F19" i="5" s="1"/>
  <c r="F23" i="5"/>
  <c r="AI12" i="2"/>
  <c r="AI15" i="2" l="1"/>
  <c r="AI17" i="2" s="1"/>
  <c r="AI19" i="2" s="1"/>
  <c r="AI63" i="2"/>
  <c r="AL5" i="2"/>
  <c r="AM4" i="2"/>
  <c r="AL6" i="2"/>
  <c r="AL12" i="2" s="1"/>
  <c r="AL15" i="2" s="1"/>
  <c r="AL16" i="2" s="1"/>
  <c r="AL17" i="2" s="1"/>
  <c r="AL19" i="2" s="1"/>
  <c r="F6" i="3" s="1"/>
  <c r="N15" i="5"/>
  <c r="N23" i="5"/>
  <c r="P21" i="5"/>
  <c r="P6" i="5"/>
  <c r="O22" i="5"/>
  <c r="O12" i="5"/>
  <c r="M23" i="5"/>
  <c r="M15" i="5"/>
  <c r="AJ19" i="2"/>
  <c r="D6" i="3" s="1"/>
  <c r="AI25" i="2" l="1"/>
  <c r="AM5" i="2"/>
  <c r="AM6" i="2" s="1"/>
  <c r="AM12" i="2" s="1"/>
  <c r="AM15" i="2" s="1"/>
  <c r="AM16" i="2" s="1"/>
  <c r="AM17" i="2" s="1"/>
  <c r="AM19" i="2" s="1"/>
  <c r="AN4" i="2"/>
  <c r="P22" i="5"/>
  <c r="P12" i="5"/>
  <c r="O23" i="5"/>
  <c r="O15" i="5"/>
  <c r="Q6" i="5"/>
  <c r="Q21" i="5"/>
  <c r="M16" i="5"/>
  <c r="M17" i="5" s="1"/>
  <c r="N16" i="5"/>
  <c r="N17" i="5" s="1"/>
  <c r="N19" i="5" s="1"/>
  <c r="AN5" i="2" l="1"/>
  <c r="AN6" i="2" s="1"/>
  <c r="AN12" i="2" s="1"/>
  <c r="AN15" i="2" s="1"/>
  <c r="AN16" i="2" s="1"/>
  <c r="AN17" i="2" s="1"/>
  <c r="AN19" i="2" s="1"/>
  <c r="AO4" i="2"/>
  <c r="Q22" i="5"/>
  <c r="Q12" i="5"/>
  <c r="O16" i="5"/>
  <c r="O17" i="5" s="1"/>
  <c r="R21" i="5"/>
  <c r="R6" i="5"/>
  <c r="M19" i="5"/>
  <c r="P15" i="5"/>
  <c r="P23" i="5"/>
  <c r="AO5" i="2" l="1"/>
  <c r="AP4" i="2"/>
  <c r="AO6" i="2"/>
  <c r="AO12" i="2" s="1"/>
  <c r="AO15" i="2" s="1"/>
  <c r="AO16" i="2" s="1"/>
  <c r="AO17" i="2" s="1"/>
  <c r="AO19" i="2" s="1"/>
  <c r="O19" i="5"/>
  <c r="R12" i="5"/>
  <c r="R22" i="5"/>
  <c r="S21" i="5"/>
  <c r="S6" i="5"/>
  <c r="P16" i="5"/>
  <c r="P17" i="5" s="1"/>
  <c r="Q23" i="5"/>
  <c r="Q15" i="5"/>
  <c r="AP5" i="2" l="1"/>
  <c r="AQ4" i="2"/>
  <c r="AP6" i="2"/>
  <c r="AP12" i="2" s="1"/>
  <c r="AP15" i="2" s="1"/>
  <c r="AP16" i="2" s="1"/>
  <c r="AP17" i="2" s="1"/>
  <c r="AP19" i="2" s="1"/>
  <c r="P19" i="5"/>
  <c r="S22" i="5"/>
  <c r="S12" i="5"/>
  <c r="Q16" i="5"/>
  <c r="Q17" i="5" s="1"/>
  <c r="T21" i="5"/>
  <c r="T6" i="5"/>
  <c r="R23" i="5"/>
  <c r="R15" i="5"/>
  <c r="AQ5" i="2" l="1"/>
  <c r="AQ6" i="2"/>
  <c r="AQ12" i="2" s="1"/>
  <c r="AQ15" i="2" s="1"/>
  <c r="AQ16" i="2" s="1"/>
  <c r="AQ17" i="2" s="1"/>
  <c r="AQ19" i="2" s="1"/>
  <c r="AR4" i="2"/>
  <c r="T12" i="5"/>
  <c r="T22" i="5"/>
  <c r="Q19" i="5"/>
  <c r="S23" i="5"/>
  <c r="S15" i="5"/>
  <c r="U21" i="5"/>
  <c r="U6" i="5"/>
  <c r="R16" i="5"/>
  <c r="R17" i="5" s="1"/>
  <c r="R19" i="5" s="1"/>
  <c r="AR5" i="2" l="1"/>
  <c r="AR6" i="2" s="1"/>
  <c r="AR12" i="2" s="1"/>
  <c r="AR15" i="2" s="1"/>
  <c r="AR16" i="2" s="1"/>
  <c r="AR17" i="2" s="1"/>
  <c r="AR19" i="2" s="1"/>
  <c r="AS4" i="2"/>
  <c r="U22" i="5"/>
  <c r="U12" i="5"/>
  <c r="V21" i="5"/>
  <c r="V6" i="5"/>
  <c r="S16" i="5"/>
  <c r="S17" i="5" s="1"/>
  <c r="T23" i="5"/>
  <c r="T15" i="5"/>
  <c r="AS5" i="2" l="1"/>
  <c r="AS6" i="2" s="1"/>
  <c r="AS12" i="2" s="1"/>
  <c r="AS15" i="2" s="1"/>
  <c r="AS16" i="2" s="1"/>
  <c r="AS17" i="2" s="1"/>
  <c r="V22" i="5"/>
  <c r="V12" i="5"/>
  <c r="S19" i="5"/>
  <c r="U23" i="5"/>
  <c r="U15" i="5"/>
  <c r="T16" i="5"/>
  <c r="T17" i="5" s="1"/>
  <c r="T19" i="5" s="1"/>
  <c r="AS19" i="2" l="1"/>
  <c r="AT17" i="2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EE17" i="2" s="1"/>
  <c r="EF17" i="2" s="1"/>
  <c r="EG17" i="2" s="1"/>
  <c r="EH17" i="2" s="1"/>
  <c r="EI17" i="2" s="1"/>
  <c r="EJ17" i="2" s="1"/>
  <c r="EK17" i="2" s="1"/>
  <c r="EL17" i="2" s="1"/>
  <c r="EM17" i="2" s="1"/>
  <c r="EN17" i="2" s="1"/>
  <c r="EO17" i="2" s="1"/>
  <c r="EP17" i="2" s="1"/>
  <c r="EQ17" i="2" s="1"/>
  <c r="ER17" i="2" s="1"/>
  <c r="ES17" i="2" s="1"/>
  <c r="ET17" i="2" s="1"/>
  <c r="EU17" i="2" s="1"/>
  <c r="EV17" i="2" s="1"/>
  <c r="EW17" i="2" s="1"/>
  <c r="EX17" i="2" s="1"/>
  <c r="EY17" i="2" s="1"/>
  <c r="EZ17" i="2" s="1"/>
  <c r="FA17" i="2" s="1"/>
  <c r="FB17" i="2" s="1"/>
  <c r="FC17" i="2" s="1"/>
  <c r="FD17" i="2" s="1"/>
  <c r="FE17" i="2" s="1"/>
  <c r="FF17" i="2" s="1"/>
  <c r="FG17" i="2" s="1"/>
  <c r="FH17" i="2" s="1"/>
  <c r="FI17" i="2" s="1"/>
  <c r="FJ17" i="2" s="1"/>
  <c r="FK17" i="2" s="1"/>
  <c r="FL17" i="2" s="1"/>
  <c r="FM17" i="2" s="1"/>
  <c r="FN17" i="2" s="1"/>
  <c r="FO17" i="2" s="1"/>
  <c r="FP17" i="2" s="1"/>
  <c r="FQ17" i="2" s="1"/>
  <c r="FR17" i="2" s="1"/>
  <c r="FS17" i="2" s="1"/>
  <c r="FT17" i="2" s="1"/>
  <c r="FU17" i="2" s="1"/>
  <c r="FV17" i="2" s="1"/>
  <c r="FW17" i="2" s="1"/>
  <c r="FX17" i="2" s="1"/>
  <c r="FY17" i="2" s="1"/>
  <c r="FZ17" i="2" s="1"/>
  <c r="GA17" i="2" s="1"/>
  <c r="GB17" i="2" s="1"/>
  <c r="GC17" i="2" s="1"/>
  <c r="GD17" i="2" s="1"/>
  <c r="GE17" i="2" s="1"/>
  <c r="GF17" i="2" s="1"/>
  <c r="GG17" i="2" s="1"/>
  <c r="GH17" i="2" s="1"/>
  <c r="GI17" i="2" s="1"/>
  <c r="GJ17" i="2" s="1"/>
  <c r="GK17" i="2" s="1"/>
  <c r="GL17" i="2" s="1"/>
  <c r="GM17" i="2" s="1"/>
  <c r="GN17" i="2" s="1"/>
  <c r="GO17" i="2" s="1"/>
  <c r="GP17" i="2" s="1"/>
  <c r="GQ17" i="2" s="1"/>
  <c r="GR17" i="2" s="1"/>
  <c r="GS17" i="2" s="1"/>
  <c r="GT17" i="2" s="1"/>
  <c r="GU17" i="2" s="1"/>
  <c r="GV17" i="2" s="1"/>
  <c r="GW17" i="2" s="1"/>
  <c r="GX17" i="2" s="1"/>
  <c r="GY17" i="2" s="1"/>
  <c r="GZ17" i="2" s="1"/>
  <c r="HA17" i="2" s="1"/>
  <c r="HB17" i="2" s="1"/>
  <c r="HC17" i="2" s="1"/>
  <c r="HD17" i="2" s="1"/>
  <c r="HE17" i="2" s="1"/>
  <c r="HF17" i="2" s="1"/>
  <c r="HG17" i="2" s="1"/>
  <c r="HH17" i="2" s="1"/>
  <c r="HI17" i="2" s="1"/>
  <c r="HJ17" i="2" s="1"/>
  <c r="HK17" i="2" s="1"/>
  <c r="HL17" i="2" s="1"/>
  <c r="HM17" i="2" s="1"/>
  <c r="HN17" i="2" s="1"/>
  <c r="HO17" i="2" s="1"/>
  <c r="HP17" i="2" s="1"/>
  <c r="HQ17" i="2" s="1"/>
  <c r="HR17" i="2" s="1"/>
  <c r="HS17" i="2" s="1"/>
  <c r="HT17" i="2" s="1"/>
  <c r="HU17" i="2" s="1"/>
  <c r="HV17" i="2" s="1"/>
  <c r="HW17" i="2" s="1"/>
  <c r="HX17" i="2" s="1"/>
  <c r="HY17" i="2" s="1"/>
  <c r="HZ17" i="2" s="1"/>
  <c r="IA17" i="2" s="1"/>
  <c r="IB17" i="2" s="1"/>
  <c r="IC17" i="2" s="1"/>
  <c r="ID17" i="2" s="1"/>
  <c r="IE17" i="2" s="1"/>
  <c r="IF17" i="2" s="1"/>
  <c r="IG17" i="2" s="1"/>
  <c r="IH17" i="2" s="1"/>
  <c r="II17" i="2" s="1"/>
  <c r="IJ17" i="2" s="1"/>
  <c r="IK17" i="2" s="1"/>
  <c r="IL17" i="2" s="1"/>
  <c r="IM17" i="2" s="1"/>
  <c r="IN17" i="2" s="1"/>
  <c r="IO17" i="2" s="1"/>
  <c r="IP17" i="2" s="1"/>
  <c r="IQ17" i="2" s="1"/>
  <c r="IR17" i="2" s="1"/>
  <c r="IS17" i="2" s="1"/>
  <c r="IT17" i="2" s="1"/>
  <c r="IU17" i="2" s="1"/>
  <c r="IV17" i="2" s="1"/>
  <c r="IW17" i="2" s="1"/>
  <c r="IX17" i="2" s="1"/>
  <c r="IY17" i="2" s="1"/>
  <c r="IZ17" i="2" s="1"/>
  <c r="AV22" i="2" s="1"/>
  <c r="AV24" i="2" s="1"/>
  <c r="AV25" i="2" s="1"/>
  <c r="U16" i="5"/>
  <c r="U17" i="5" s="1"/>
  <c r="U19" i="5" s="1"/>
  <c r="V23" i="5"/>
  <c r="V15" i="5"/>
  <c r="V16" i="5" l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EG17" i="5" s="1"/>
  <c r="EH17" i="5" s="1"/>
  <c r="EI17" i="5" s="1"/>
  <c r="EJ17" i="5" s="1"/>
  <c r="EK17" i="5" s="1"/>
  <c r="EL17" i="5" s="1"/>
  <c r="EM17" i="5" s="1"/>
  <c r="EN17" i="5" s="1"/>
  <c r="EO17" i="5" s="1"/>
  <c r="EP17" i="5" s="1"/>
  <c r="EQ17" i="5" s="1"/>
  <c r="ER17" i="5" s="1"/>
  <c r="ES17" i="5" s="1"/>
  <c r="ET17" i="5" s="1"/>
  <c r="EU17" i="5" s="1"/>
  <c r="EV17" i="5" s="1"/>
  <c r="EW17" i="5" s="1"/>
  <c r="EX17" i="5" s="1"/>
  <c r="EY17" i="5" s="1"/>
  <c r="EZ17" i="5" s="1"/>
  <c r="FA17" i="5" s="1"/>
  <c r="FB17" i="5" s="1"/>
  <c r="FC17" i="5" s="1"/>
  <c r="FD17" i="5" s="1"/>
  <c r="FE17" i="5" s="1"/>
  <c r="FF17" i="5" s="1"/>
  <c r="FG17" i="5" s="1"/>
  <c r="FH17" i="5" s="1"/>
  <c r="FI17" i="5" s="1"/>
  <c r="FJ17" i="5" s="1"/>
  <c r="FK17" i="5" s="1"/>
  <c r="FL17" i="5" s="1"/>
  <c r="FM17" i="5" s="1"/>
  <c r="FN17" i="5" s="1"/>
  <c r="FO17" i="5" s="1"/>
  <c r="FP17" i="5" s="1"/>
  <c r="FQ17" i="5" s="1"/>
  <c r="FR17" i="5" s="1"/>
  <c r="FS17" i="5" s="1"/>
  <c r="FT17" i="5" s="1"/>
  <c r="FU17" i="5" s="1"/>
  <c r="FV17" i="5" s="1"/>
  <c r="FW17" i="5" s="1"/>
  <c r="FX17" i="5" s="1"/>
  <c r="FY17" i="5" s="1"/>
  <c r="FZ17" i="5" s="1"/>
  <c r="GA17" i="5" s="1"/>
  <c r="GB17" i="5" s="1"/>
  <c r="GC17" i="5" s="1"/>
  <c r="GD17" i="5" s="1"/>
  <c r="GE17" i="5" s="1"/>
  <c r="GF17" i="5" s="1"/>
  <c r="GG17" i="5" s="1"/>
  <c r="GH17" i="5" s="1"/>
  <c r="GI17" i="5" s="1"/>
  <c r="GJ17" i="5" s="1"/>
  <c r="GK17" i="5" s="1"/>
  <c r="GL17" i="5" s="1"/>
  <c r="GM17" i="5" s="1"/>
  <c r="GN17" i="5" s="1"/>
  <c r="GO17" i="5" s="1"/>
  <c r="GP17" i="5" s="1"/>
  <c r="GQ17" i="5" s="1"/>
  <c r="GR17" i="5" s="1"/>
  <c r="GS17" i="5" s="1"/>
  <c r="GT17" i="5" s="1"/>
  <c r="GU17" i="5" s="1"/>
  <c r="GV17" i="5" s="1"/>
  <c r="GW17" i="5" s="1"/>
  <c r="GX17" i="5" s="1"/>
  <c r="GY17" i="5" s="1"/>
  <c r="GZ17" i="5" s="1"/>
  <c r="HA17" i="5" s="1"/>
  <c r="HB17" i="5" s="1"/>
  <c r="HC17" i="5" s="1"/>
  <c r="HD17" i="5" s="1"/>
  <c r="HE17" i="5" s="1"/>
  <c r="HF17" i="5" s="1"/>
  <c r="HG17" i="5" s="1"/>
  <c r="HH17" i="5" s="1"/>
  <c r="HI17" i="5" s="1"/>
  <c r="HJ17" i="5" s="1"/>
  <c r="HK17" i="5" s="1"/>
  <c r="HL17" i="5" s="1"/>
  <c r="HM17" i="5" s="1"/>
  <c r="HN17" i="5" s="1"/>
  <c r="HO17" i="5" s="1"/>
  <c r="HP17" i="5" s="1"/>
  <c r="HQ17" i="5" s="1"/>
  <c r="HR17" i="5" s="1"/>
  <c r="HS17" i="5" s="1"/>
  <c r="HT17" i="5" s="1"/>
  <c r="HU17" i="5" s="1"/>
  <c r="HV17" i="5" s="1"/>
  <c r="HW17" i="5" s="1"/>
  <c r="HX17" i="5" s="1"/>
  <c r="HY17" i="5" s="1"/>
  <c r="HZ17" i="5" s="1"/>
  <c r="IA17" i="5" s="1"/>
  <c r="IB17" i="5" s="1"/>
  <c r="IC17" i="5" s="1"/>
  <c r="V19" i="5" l="1"/>
  <c r="Y22" i="5"/>
  <c r="Y24" i="5" s="1"/>
  <c r="Y25" i="5" l="1"/>
  <c r="A6" i="5" s="1"/>
  <c r="A5" i="5"/>
  <c r="G72" i="2"/>
  <c r="G69" i="2"/>
  <c r="G6" i="2"/>
  <c r="G12" i="2" s="1"/>
  <c r="G15" i="2" s="1"/>
  <c r="G17" i="2" s="1"/>
  <c r="G19" i="2" s="1"/>
  <c r="D72" i="2"/>
  <c r="D69" i="2"/>
  <c r="H72" i="2"/>
  <c r="H69" i="2"/>
  <c r="D59" i="2"/>
  <c r="D6" i="2"/>
  <c r="D12" i="2" s="1"/>
  <c r="D15" i="2" s="1"/>
  <c r="D17" i="2" s="1"/>
  <c r="D19" i="2" s="1"/>
  <c r="H6" i="2"/>
  <c r="H12" i="2" s="1"/>
  <c r="H15" i="2" s="1"/>
  <c r="H17" i="2" s="1"/>
  <c r="H19" i="2" s="1"/>
  <c r="E72" i="2"/>
  <c r="E69" i="2"/>
  <c r="I72" i="2"/>
  <c r="I69" i="2"/>
  <c r="E6" i="2"/>
  <c r="E12" i="2" s="1"/>
  <c r="E15" i="2" s="1"/>
  <c r="E17" i="2" s="1"/>
  <c r="E19" i="2" s="1"/>
  <c r="I6" i="2"/>
  <c r="I12" i="2" s="1"/>
  <c r="I15" i="2" s="1"/>
  <c r="I17" i="2" s="1"/>
  <c r="I19" i="2" s="1"/>
  <c r="F72" i="2"/>
  <c r="F69" i="2"/>
  <c r="J72" i="2"/>
  <c r="J69" i="2"/>
  <c r="F6" i="2"/>
  <c r="F12" i="2" s="1"/>
  <c r="F15" i="2" s="1"/>
  <c r="F17" i="2" s="1"/>
  <c r="F19" i="2" s="1"/>
  <c r="J6" i="2"/>
  <c r="J12" i="2" s="1"/>
  <c r="J15" i="2" s="1"/>
  <c r="J17" i="2" s="1"/>
  <c r="J19" i="2" s="1"/>
  <c r="K72" i="2"/>
  <c r="K69" i="2"/>
  <c r="O72" i="2"/>
  <c r="O69" i="2"/>
  <c r="K6" i="2"/>
  <c r="K12" i="2" s="1"/>
  <c r="K15" i="2" s="1"/>
  <c r="K17" i="2" s="1"/>
  <c r="K19" i="2" s="1"/>
  <c r="O6" i="2"/>
  <c r="O12" i="2" s="1"/>
  <c r="O15" i="2" s="1"/>
  <c r="O17" i="2" s="1"/>
  <c r="O19" i="2" s="1"/>
  <c r="AI21" i="2" l="1"/>
  <c r="AJ21" i="2"/>
  <c r="AK21" i="2"/>
  <c r="AL21" i="2"/>
  <c r="AM21" i="2"/>
  <c r="AN21" i="2"/>
  <c r="AO21" i="2"/>
  <c r="AP21" i="2"/>
  <c r="AQ21" i="2"/>
  <c r="AR21" i="2"/>
  <c r="AS21" i="2"/>
  <c r="AI23" i="2"/>
  <c r="AJ23" i="2"/>
  <c r="AK23" i="2"/>
  <c r="AL23" i="2"/>
  <c r="AM23" i="2"/>
  <c r="AN23" i="2"/>
  <c r="AO23" i="2"/>
  <c r="AP23" i="2"/>
  <c r="AQ23" i="2"/>
  <c r="AR23" i="2"/>
  <c r="AS23" i="2"/>
  <c r="AI24" i="2"/>
  <c r="AJ24" i="2"/>
  <c r="AK24" i="2"/>
  <c r="AL24" i="2"/>
  <c r="AM24" i="2"/>
  <c r="AN24" i="2"/>
  <c r="AO24" i="2"/>
  <c r="AP24" i="2"/>
  <c r="AQ24" i="2"/>
  <c r="AR24" i="2"/>
  <c r="AS24" i="2"/>
  <c r="L69" i="2"/>
  <c r="P69" i="2"/>
  <c r="L6" i="2"/>
  <c r="L12" i="2" s="1"/>
  <c r="L15" i="2" s="1"/>
  <c r="L17" i="2" s="1"/>
  <c r="L19" i="2" s="1"/>
  <c r="P6" i="2"/>
  <c r="P12" i="2" s="1"/>
  <c r="P15" i="2" s="1"/>
  <c r="P17" i="2" s="1"/>
  <c r="P19" i="2" s="1"/>
  <c r="M69" i="2"/>
  <c r="M70" i="2" s="1"/>
  <c r="M88" i="2" s="1"/>
  <c r="Q72" i="2"/>
  <c r="Q74" i="2" s="1"/>
  <c r="Q69" i="2"/>
  <c r="Q70" i="2" s="1"/>
  <c r="M6" i="2"/>
  <c r="M12" i="2" s="1"/>
  <c r="Q6" i="2"/>
  <c r="AA72" i="2"/>
  <c r="AA74" i="2" s="1"/>
  <c r="AA69" i="2"/>
  <c r="AA70" i="2" s="1"/>
  <c r="AA88" i="2" s="1"/>
  <c r="AB73" i="2"/>
  <c r="AB72" i="2"/>
  <c r="AB69" i="2"/>
  <c r="AB70" i="2" s="1"/>
  <c r="AC77" i="2"/>
  <c r="AC82" i="2" s="1"/>
  <c r="AC72" i="2"/>
  <c r="AC69" i="2"/>
  <c r="AC70" i="2" s="1"/>
  <c r="AC88" i="2" s="1"/>
  <c r="AD77" i="2"/>
  <c r="AD82" i="2" s="1"/>
  <c r="AD73" i="2"/>
  <c r="AD72" i="2"/>
  <c r="AD69" i="2"/>
  <c r="AD70" i="2" s="1"/>
  <c r="AE77" i="2"/>
  <c r="AE82" i="2" s="1"/>
  <c r="AE72" i="2"/>
  <c r="AE74" i="2" s="1"/>
  <c r="AE69" i="2"/>
  <c r="AE70" i="2" s="1"/>
  <c r="AF77" i="2"/>
  <c r="AF82" i="2" s="1"/>
  <c r="AF72" i="2"/>
  <c r="AF74" i="2" s="1"/>
  <c r="AF69" i="2"/>
  <c r="AF70" i="2" s="1"/>
  <c r="AA6" i="2"/>
  <c r="AA23" i="2" s="1"/>
  <c r="AB6" i="2"/>
  <c r="AB23" i="2" s="1"/>
  <c r="AC6" i="2"/>
  <c r="AC23" i="2" s="1"/>
  <c r="AD6" i="2"/>
  <c r="AD23" i="2" s="1"/>
  <c r="AE6" i="2"/>
  <c r="AE23" i="2" s="1"/>
  <c r="AF6" i="2"/>
  <c r="AF23" i="2" s="1"/>
  <c r="AG72" i="2"/>
  <c r="AG74" i="2" s="1"/>
  <c r="AG69" i="2"/>
  <c r="AG70" i="2" s="1"/>
  <c r="AG82" i="2"/>
  <c r="AB82" i="2"/>
  <c r="AA82" i="2"/>
  <c r="AH77" i="2"/>
  <c r="AH82" i="2" s="1"/>
  <c r="AC74" i="2"/>
  <c r="AH72" i="2"/>
  <c r="AH74" i="2" s="1"/>
  <c r="AH69" i="2"/>
  <c r="AH70" i="2" s="1"/>
  <c r="AG6" i="2"/>
  <c r="AG23" i="2" s="1"/>
  <c r="AH6" i="2"/>
  <c r="AH12" i="2" s="1"/>
  <c r="AH63" i="2" s="1"/>
  <c r="AB21" i="2"/>
  <c r="AC21" i="2"/>
  <c r="AD21" i="2"/>
  <c r="AE21" i="2"/>
  <c r="AF21" i="2"/>
  <c r="AG21" i="2"/>
  <c r="AH21" i="2"/>
  <c r="N72" i="2"/>
  <c r="N74" i="2" s="1"/>
  <c r="N69" i="2"/>
  <c r="N70" i="2" s="1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S82" i="2"/>
  <c r="P74" i="2"/>
  <c r="O74" i="2"/>
  <c r="M74" i="2"/>
  <c r="L74" i="2"/>
  <c r="K74" i="2"/>
  <c r="J74" i="2"/>
  <c r="I74" i="2"/>
  <c r="H74" i="2"/>
  <c r="G74" i="2"/>
  <c r="F74" i="2"/>
  <c r="E74" i="2"/>
  <c r="D74" i="2"/>
  <c r="S74" i="2"/>
  <c r="P70" i="2"/>
  <c r="O70" i="2"/>
  <c r="L70" i="2"/>
  <c r="L88" i="2" s="1"/>
  <c r="K70" i="2"/>
  <c r="K88" i="2" s="1"/>
  <c r="J70" i="2"/>
  <c r="J88" i="2" s="1"/>
  <c r="I70" i="2"/>
  <c r="H70" i="2"/>
  <c r="G70" i="2"/>
  <c r="F70" i="2"/>
  <c r="E70" i="2"/>
  <c r="E88" i="2" s="1"/>
  <c r="D70" i="2"/>
  <c r="D88" i="2" s="1"/>
  <c r="S70" i="2"/>
  <c r="S88" i="2" s="1"/>
  <c r="R82" i="2"/>
  <c r="R74" i="2"/>
  <c r="R69" i="2"/>
  <c r="R70" i="2" s="1"/>
  <c r="R88" i="2" s="1"/>
  <c r="AB88" i="2" l="1"/>
  <c r="AD74" i="2"/>
  <c r="AB74" i="2"/>
  <c r="AB86" i="2" s="1"/>
  <c r="AE88" i="2"/>
  <c r="AH86" i="2"/>
  <c r="AH88" i="2"/>
  <c r="Q12" i="2"/>
  <c r="Q15" i="2" s="1"/>
  <c r="Q17" i="2" s="1"/>
  <c r="Q19" i="2" s="1"/>
  <c r="S86" i="2"/>
  <c r="M15" i="2"/>
  <c r="M17" i="2" s="1"/>
  <c r="M19" i="2" s="1"/>
  <c r="AD88" i="2"/>
  <c r="G86" i="2"/>
  <c r="H86" i="2"/>
  <c r="J86" i="2"/>
  <c r="K86" i="2"/>
  <c r="P86" i="2"/>
  <c r="AA86" i="2"/>
  <c r="AA12" i="2"/>
  <c r="AA24" i="2" s="1"/>
  <c r="AB12" i="2"/>
  <c r="AC86" i="2"/>
  <c r="AD86" i="2"/>
  <c r="AC12" i="2"/>
  <c r="AD12" i="2"/>
  <c r="AE86" i="2"/>
  <c r="AF86" i="2"/>
  <c r="AF88" i="2"/>
  <c r="AE12" i="2"/>
  <c r="AE63" i="2" s="1"/>
  <c r="AF12" i="2"/>
  <c r="AF15" i="2" s="1"/>
  <c r="AF17" i="2" s="1"/>
  <c r="AF19" i="2" s="1"/>
  <c r="AG86" i="2"/>
  <c r="AG88" i="2"/>
  <c r="AG12" i="2"/>
  <c r="AG63" i="2" s="1"/>
  <c r="AH15" i="2"/>
  <c r="AH17" i="2" s="1"/>
  <c r="AH19" i="2" s="1"/>
  <c r="AH24" i="2"/>
  <c r="AH23" i="2"/>
  <c r="Q86" i="2"/>
  <c r="R86" i="2"/>
  <c r="I86" i="2"/>
  <c r="N86" i="2"/>
  <c r="E86" i="2"/>
  <c r="M86" i="2"/>
  <c r="F86" i="2"/>
  <c r="O86" i="2"/>
  <c r="O88" i="2"/>
  <c r="D86" i="2"/>
  <c r="L86" i="2"/>
  <c r="G88" i="2"/>
  <c r="P88" i="2"/>
  <c r="H88" i="2"/>
  <c r="Q88" i="2"/>
  <c r="F88" i="2"/>
  <c r="I88" i="2"/>
  <c r="N88" i="2"/>
  <c r="AA63" i="2" l="1"/>
  <c r="AA15" i="2"/>
  <c r="AA17" i="2" s="1"/>
  <c r="AA19" i="2" s="1"/>
  <c r="AB15" i="2"/>
  <c r="AB17" i="2" s="1"/>
  <c r="AB19" i="2" s="1"/>
  <c r="AB24" i="2"/>
  <c r="AB63" i="2"/>
  <c r="AC63" i="2"/>
  <c r="AC15" i="2"/>
  <c r="AC17" i="2" s="1"/>
  <c r="AC19" i="2" s="1"/>
  <c r="AC24" i="2"/>
  <c r="AD63" i="2"/>
  <c r="AD15" i="2"/>
  <c r="AD17" i="2" s="1"/>
  <c r="AD19" i="2" s="1"/>
  <c r="AD24" i="2"/>
  <c r="AE24" i="2"/>
  <c r="AE15" i="2"/>
  <c r="AE17" i="2" s="1"/>
  <c r="AE19" i="2" s="1"/>
  <c r="AF24" i="2"/>
  <c r="AF63" i="2"/>
  <c r="AG24" i="2"/>
  <c r="AG15" i="2"/>
  <c r="AG17" i="2" s="1"/>
  <c r="AG19" i="2" s="1"/>
  <c r="D63" i="2" l="1"/>
  <c r="E63" i="2"/>
  <c r="F63" i="2"/>
  <c r="G63" i="2"/>
  <c r="H63" i="2"/>
  <c r="I63" i="2"/>
  <c r="J63" i="2"/>
  <c r="K63" i="2"/>
  <c r="L63" i="2"/>
  <c r="M63" i="2"/>
  <c r="O63" i="2"/>
  <c r="P63" i="2"/>
  <c r="Q63" i="2"/>
  <c r="S63" i="2"/>
  <c r="D60" i="2"/>
  <c r="E59" i="2"/>
  <c r="E60" i="2" s="1"/>
  <c r="F59" i="2"/>
  <c r="F60" i="2" s="1"/>
  <c r="G59" i="2"/>
  <c r="G60" i="2" s="1"/>
  <c r="H59" i="2"/>
  <c r="H60" i="2" s="1"/>
  <c r="I59" i="2"/>
  <c r="I60" i="2" s="1"/>
  <c r="J59" i="2"/>
  <c r="J60" i="2" s="1"/>
  <c r="K59" i="2"/>
  <c r="K60" i="2" s="1"/>
  <c r="L59" i="2"/>
  <c r="L60" i="2" s="1"/>
  <c r="M59" i="2"/>
  <c r="M60" i="2" s="1"/>
  <c r="N59" i="2"/>
  <c r="N60" i="2" s="1"/>
  <c r="O59" i="2"/>
  <c r="O60" i="2" s="1"/>
  <c r="P59" i="2"/>
  <c r="P60" i="2" s="1"/>
  <c r="Q59" i="2"/>
  <c r="Q60" i="2" s="1"/>
  <c r="S59" i="2"/>
  <c r="S60" i="2" s="1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S46" i="2"/>
  <c r="R59" i="2"/>
  <c r="R60" i="2" s="1"/>
  <c r="R46" i="2"/>
  <c r="S21" i="2"/>
  <c r="S23" i="2"/>
  <c r="S24" i="2"/>
  <c r="H21" i="2"/>
  <c r="I21" i="2"/>
  <c r="J21" i="2"/>
  <c r="K21" i="2"/>
  <c r="L21" i="2"/>
  <c r="M21" i="2"/>
  <c r="N21" i="2"/>
  <c r="O21" i="2"/>
  <c r="P21" i="2"/>
  <c r="Q21" i="2"/>
  <c r="D23" i="2"/>
  <c r="E23" i="2"/>
  <c r="F23" i="2"/>
  <c r="G23" i="2"/>
  <c r="H23" i="2"/>
  <c r="I23" i="2"/>
  <c r="J23" i="2"/>
  <c r="K23" i="2"/>
  <c r="L23" i="2"/>
  <c r="M23" i="2"/>
  <c r="O23" i="2"/>
  <c r="P23" i="2"/>
  <c r="Q23" i="2"/>
  <c r="D24" i="2"/>
  <c r="E24" i="2"/>
  <c r="F24" i="2"/>
  <c r="G24" i="2"/>
  <c r="H24" i="2"/>
  <c r="I24" i="2"/>
  <c r="J24" i="2"/>
  <c r="K24" i="2"/>
  <c r="L24" i="2"/>
  <c r="M24" i="2"/>
  <c r="O24" i="2"/>
  <c r="P24" i="2"/>
  <c r="Q24" i="2"/>
  <c r="R21" i="2"/>
  <c r="N6" i="2"/>
  <c r="N12" i="2" s="1"/>
  <c r="N15" i="2" s="1"/>
  <c r="N17" i="2" s="1"/>
  <c r="N19" i="2" s="1"/>
  <c r="R6" i="2"/>
  <c r="R12" i="2" s="1"/>
  <c r="R63" i="2" s="1"/>
  <c r="B6" i="2"/>
  <c r="B12" i="2" s="1"/>
  <c r="B9" i="2" l="1"/>
  <c r="F5" i="3"/>
  <c r="E5" i="3"/>
  <c r="D5" i="3"/>
  <c r="R23" i="2"/>
  <c r="N23" i="2"/>
  <c r="N24" i="2"/>
  <c r="R15" i="2"/>
  <c r="R17" i="2" s="1"/>
  <c r="R19" i="2" s="1"/>
  <c r="N63" i="2"/>
  <c r="R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tc={F6452649-F1B0-E546-A65B-18700C2BC46C}</author>
    <author>tc={9BE6B870-C6B3-244B-B24D-B6FA853FDCB2}</author>
    <author>tc={C82C0581-D2FD-B74A-BAB2-938537DD6F5B}</author>
  </authors>
  <commentList>
    <comment ref="Q11" authorId="0" shapeId="0" xr:uid="{F6452649-F1B0-E546-A65B-18700C2BC46C}">
      <text>
        <t>[Kommentartråd]
Din versjon av Excel lar deg lese denne kommentartråden. Eventuelle endringer i den vil imidlertid bli fjernet hvis filen åpnes i en nyere versjon av Excel. Finn ut mer: https://go.microsoft.com/fwlink/?linkid=870924
Kommentar:
    Nedskrivning av goodwill på 2500</t>
      </text>
    </comment>
    <comment ref="AI19" authorId="1" shapeId="0" xr:uid="{9BE6B870-C6B3-244B-B24D-B6FA853FDCB2}">
      <text>
        <t>[Kommentartråd]
Din versjon av Excel lar deg lese denne kommentartråden. Eventuelle endringer i den vil imidlertid bli fjernet hvis filen åpnes i en nyere versjon av Excel. Finn ut mer: https://go.microsoft.com/fwlink/?linkid=870924
Kommentar:
    Justert for nedskrivning av goddwill: -0,10</t>
      </text>
    </comment>
    <comment ref="AI25" authorId="2" shapeId="0" xr:uid="{C82C0581-D2FD-B74A-BAB2-938537DD6F5B}">
      <text>
        <t>[Kommentartråd]
Din versjon av Excel lar deg lese denne kommentartråden. Eventuelle endringer i den vil imidlertid bli fjernet hvis filen åpnes i en nyere versjon av Excel. Finn ut mer: https://go.microsoft.com/fwlink/?linkid=870924
Kommentar:
    Justert for nedskrivning -2,42%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tc={D8BBC95B-5A65-3746-9B3E-0C651CA291FE}</author>
    <author>tc={43F4D8E8-AD68-8B42-BEA7-B582CFD272A8}</author>
  </authors>
  <commentList>
    <comment ref="B4" authorId="0" shapeId="0" xr:uid="{D8BBC95B-5A65-3746-9B3E-0C651CA291FE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Small and medium-sized businesses</t>
      </text>
    </comment>
    <comment ref="B13" authorId="1" shapeId="0" xr:uid="{43F4D8E8-AD68-8B42-BEA7-B582CFD272A8}">
      <text>
        <t>[Kommentartråd]
Din versjon av Excel lar deg lese denne kommentartråden. Eventuelle endringer i den vil imidlertid bli fjernet hvis filen åpnes i en nyere versjon av Excel. Finn ut mer: https://go.microsoft.com/fwlink/?linkid=870924
Kommentar:
    Large corporate and public sector</t>
      </text>
    </comment>
  </commentList>
</comments>
</file>

<file path=xl/sharedStrings.xml><?xml version="1.0" encoding="utf-8"?>
<sst xmlns="http://schemas.openxmlformats.org/spreadsheetml/2006/main" count="277" uniqueCount="168">
  <si>
    <t>Kapitalstruktur</t>
  </si>
  <si>
    <t>Price</t>
  </si>
  <si>
    <t>S/O</t>
  </si>
  <si>
    <t>EV/EBIT</t>
  </si>
  <si>
    <t>P/E</t>
  </si>
  <si>
    <t>SEK million</t>
  </si>
  <si>
    <t>MC SEKm</t>
  </si>
  <si>
    <t>Cash SEKm</t>
  </si>
  <si>
    <t>Debt SEKm</t>
  </si>
  <si>
    <t>EV SEKm</t>
  </si>
  <si>
    <t>Revenue y/y</t>
  </si>
  <si>
    <t>EBIT margin</t>
  </si>
  <si>
    <t>Avvikende regnskapsår:</t>
  </si>
  <si>
    <t>Q1: 1. sep - 30. nov</t>
  </si>
  <si>
    <t>Q2: 1. des - 28. feb</t>
  </si>
  <si>
    <t>Q3: 1. mar - 31. mai</t>
  </si>
  <si>
    <t>Q4: 1. jun - 30. aug</t>
  </si>
  <si>
    <t>Q3 24/25</t>
  </si>
  <si>
    <t>Q4 24/25</t>
  </si>
  <si>
    <t>Q2 24/25</t>
  </si>
  <si>
    <t>Q1 24/25</t>
  </si>
  <si>
    <t>Revenue</t>
  </si>
  <si>
    <t>COGS</t>
  </si>
  <si>
    <t>Gross profit</t>
  </si>
  <si>
    <t>Selling and admin expense</t>
  </si>
  <si>
    <t>Items affecting comparability</t>
  </si>
  <si>
    <t>Other operating income</t>
  </si>
  <si>
    <t>Other opex</t>
  </si>
  <si>
    <t>Imapirment of acquisition-related assets</t>
  </si>
  <si>
    <t>Operating profit (EBIT)</t>
  </si>
  <si>
    <t>Financial income</t>
  </si>
  <si>
    <t>Financial expense</t>
  </si>
  <si>
    <t>PTP</t>
  </si>
  <si>
    <t>Tax</t>
  </si>
  <si>
    <t>Net income</t>
  </si>
  <si>
    <t>EPS</t>
  </si>
  <si>
    <t>Gross margin</t>
  </si>
  <si>
    <t>ROE</t>
  </si>
  <si>
    <t>Shares</t>
  </si>
  <si>
    <t>Q4 23/24</t>
  </si>
  <si>
    <t>Q3 23/24</t>
  </si>
  <si>
    <t>Q2 23/24</t>
  </si>
  <si>
    <t>Q1 23/24</t>
  </si>
  <si>
    <t>Goodwill</t>
  </si>
  <si>
    <t>Intangible assets</t>
  </si>
  <si>
    <t>Other intangible assets</t>
  </si>
  <si>
    <t>Tangible assets</t>
  </si>
  <si>
    <t>Right-of-use assets</t>
  </si>
  <si>
    <t>Deferred tax assets</t>
  </si>
  <si>
    <t>Derivative instruments</t>
  </si>
  <si>
    <t>Other non-current assets</t>
  </si>
  <si>
    <t>Inventories</t>
  </si>
  <si>
    <t>Account receivables</t>
  </si>
  <si>
    <t>IB receivables</t>
  </si>
  <si>
    <t>Tax assets</t>
  </si>
  <si>
    <t>Other receivables</t>
  </si>
  <si>
    <t>Cash</t>
  </si>
  <si>
    <t>Total assets</t>
  </si>
  <si>
    <t>Total equity</t>
  </si>
  <si>
    <t>Deferred tax and other provisions</t>
  </si>
  <si>
    <t>Non-current lease liabilities</t>
  </si>
  <si>
    <t>Dervative instruments</t>
  </si>
  <si>
    <t>Non-current liabilities to banks</t>
  </si>
  <si>
    <t>Current liabilities to banks</t>
  </si>
  <si>
    <t>Other provisions</t>
  </si>
  <si>
    <t>Current lease liabilities</t>
  </si>
  <si>
    <t>Acccount payable</t>
  </si>
  <si>
    <t>Tax liabilities</t>
  </si>
  <si>
    <t>Other current liabilities</t>
  </si>
  <si>
    <t>Total debt</t>
  </si>
  <si>
    <t>Total E/D</t>
  </si>
  <si>
    <t>Cashflow SEKm</t>
  </si>
  <si>
    <t>Balanse SEKm</t>
  </si>
  <si>
    <t>Model EBIT</t>
  </si>
  <si>
    <t>Reported EBIT</t>
  </si>
  <si>
    <t>Non-cash</t>
  </si>
  <si>
    <t>Interest received</t>
  </si>
  <si>
    <t>Interest paid</t>
  </si>
  <si>
    <t>Tax paid</t>
  </si>
  <si>
    <t>WC</t>
  </si>
  <si>
    <t>CFFO</t>
  </si>
  <si>
    <t>Capex</t>
  </si>
  <si>
    <t>Divestment of tangible assets</t>
  </si>
  <si>
    <t>CFFI</t>
  </si>
  <si>
    <t>Share issue</t>
  </si>
  <si>
    <t>New loans</t>
  </si>
  <si>
    <t>Repayment of loans</t>
  </si>
  <si>
    <t>CFFF</t>
  </si>
  <si>
    <t>FX</t>
  </si>
  <si>
    <t>CIC</t>
  </si>
  <si>
    <t>FCF</t>
  </si>
  <si>
    <t xml:space="preserve">Paid borrowing expenses </t>
  </si>
  <si>
    <t>Repayment of lease</t>
  </si>
  <si>
    <t>Q4 22/23</t>
  </si>
  <si>
    <t>Q3 22/23</t>
  </si>
  <si>
    <t>Q2 22/23</t>
  </si>
  <si>
    <t>Q1 22/23</t>
  </si>
  <si>
    <t>Q4 21/22</t>
  </si>
  <si>
    <t>Q3 21/22</t>
  </si>
  <si>
    <t>Q2 21/22</t>
  </si>
  <si>
    <t>Q1 21/22</t>
  </si>
  <si>
    <t>FY 24/25</t>
  </si>
  <si>
    <t>FY 23/24</t>
  </si>
  <si>
    <t>FY 22/23</t>
  </si>
  <si>
    <t>FY 21/22</t>
  </si>
  <si>
    <t>FY 20/21</t>
  </si>
  <si>
    <t>FY 19/20</t>
  </si>
  <si>
    <t>FY 18/19</t>
  </si>
  <si>
    <t>FY 17/18</t>
  </si>
  <si>
    <t>FY 16/17</t>
  </si>
  <si>
    <t>Buybacks/Dividends</t>
  </si>
  <si>
    <t>Press releases:</t>
  </si>
  <si>
    <t>27.05.25: Dustins emisjon er fulltegnet</t>
  </si>
  <si>
    <t>02.04.25: Dustin henter 1250 SEKM for å styrke balansen og øke hastigheten mot profit igjen. Pengene ble hentet på 1,40kr</t>
  </si>
  <si>
    <t>04.11.24: Styreleder Thomas Ekman stiller ikke videre som styreleder grunnet hans avgang som CEO hos Axel Johnson</t>
  </si>
  <si>
    <t>11.10.23: Dustin henter 1750 SEKm for å redusere gjeld. Kurs 5,20</t>
  </si>
  <si>
    <t>30.06.23: Axel Johnson kjøper seg opp til 30% og  legger inn bud på 28,50kr</t>
  </si>
  <si>
    <t>FY 25/26</t>
  </si>
  <si>
    <t>FY 26/27</t>
  </si>
  <si>
    <t>FY 27/28</t>
  </si>
  <si>
    <t>FY 28/29</t>
  </si>
  <si>
    <t>FY 29/30</t>
  </si>
  <si>
    <t>FY 30/31</t>
  </si>
  <si>
    <t>FY31/32</t>
  </si>
  <si>
    <t>FY 32/33</t>
  </si>
  <si>
    <t>FY 33/34</t>
  </si>
  <si>
    <t>FY 34/35</t>
  </si>
  <si>
    <t>Discount</t>
  </si>
  <si>
    <t>TV</t>
  </si>
  <si>
    <t>NPV</t>
  </si>
  <si>
    <t>NPV/Share</t>
  </si>
  <si>
    <t>Opp/nedside</t>
  </si>
  <si>
    <t>25/26</t>
  </si>
  <si>
    <t>26/27</t>
  </si>
  <si>
    <t>27/28</t>
  </si>
  <si>
    <t>Nedside</t>
  </si>
  <si>
    <t>Nullveskt og dårligste marginer</t>
  </si>
  <si>
    <t>Q1 25/26</t>
  </si>
  <si>
    <t>Q2 25/26</t>
  </si>
  <si>
    <t>Q3 25/26</t>
  </si>
  <si>
    <t>Q4 25/26</t>
  </si>
  <si>
    <t>SMB</t>
  </si>
  <si>
    <t>Revenues</t>
  </si>
  <si>
    <t>Segment margin</t>
  </si>
  <si>
    <t>y/y</t>
  </si>
  <si>
    <t>Segment results</t>
  </si>
  <si>
    <t>LCP</t>
  </si>
  <si>
    <t>Nordic</t>
  </si>
  <si>
    <t>Benelux</t>
  </si>
  <si>
    <t>Hardware</t>
  </si>
  <si>
    <t>Software and services</t>
  </si>
  <si>
    <t>Geographic area</t>
  </si>
  <si>
    <t>Sweden</t>
  </si>
  <si>
    <t>Finland</t>
  </si>
  <si>
    <t>Denmark</t>
  </si>
  <si>
    <t>Netherlands</t>
  </si>
  <si>
    <t>Norway</t>
  </si>
  <si>
    <t>Belgium</t>
  </si>
  <si>
    <t>Total</t>
  </si>
  <si>
    <t>24/25</t>
  </si>
  <si>
    <t>23/24</t>
  </si>
  <si>
    <t>22/23</t>
  </si>
  <si>
    <t>21/22</t>
  </si>
  <si>
    <t>P/B</t>
  </si>
  <si>
    <t>Organisk vekst</t>
  </si>
  <si>
    <t>EBITDA</t>
  </si>
  <si>
    <t>EBITDA LTM</t>
  </si>
  <si>
    <t>Gearing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</si>
</sst>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#,##0.0"/>
    <numFmt numFmtId="165" formatCode="0.0"/>
    <numFmt numFmtId="166" formatCode="0.000"/>
  </numFmts>
  <fonts count="8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0" fontId="2" fillId="0" borderId="1" xfId="0" applyFont="1" applyBorder="1" applyAlignment="1">
      <alignment horizontal="right"/>
    </xf>
    <xf numFmtId="10" fontId="1" fillId="0" borderId="0" xfId="0" applyNumberFormat="1" applyFont="1"/>
    <xf numFmtId="2" fontId="2" fillId="0" borderId="0" xfId="0" applyNumberFormat="1" applyFont="1"/>
    <xf numFmtId="10" fontId="2" fillId="0" borderId="0" xfId="0" applyNumberFormat="1" applyFont="1"/>
    <xf numFmtId="166" fontId="2" fillId="0" borderId="0" xfId="0" applyNumberFormat="1" applyFont="1"/>
    <xf numFmtId="2" fontId="2" fillId="0" borderId="1" xfId="0" applyNumberFormat="1" applyFont="1" applyBorder="1"/>
    <xf numFmtId="10" fontId="1" fillId="0" borderId="1" xfId="0" applyNumberFormat="1" applyFont="1" applyBorder="1"/>
    <xf numFmtId="10" fontId="2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0" fontId="2" fillId="0" borderId="2" xfId="0" applyFont="1" applyBorder="1"/>
    <xf numFmtId="8" fontId="2" fillId="0" borderId="2" xfId="0" applyNumberFormat="1" applyFont="1" applyBorder="1"/>
    <xf numFmtId="0" fontId="5" fillId="0" borderId="3" xfId="0" applyFont="1" applyBorder="1"/>
    <xf numFmtId="165" fontId="6" fillId="0" borderId="3" xfId="0" applyNumberFormat="1" applyFont="1" applyBorder="1"/>
    <xf numFmtId="0" fontId="2" fillId="0" borderId="4" xfId="0" applyFont="1" applyBorder="1"/>
    <xf numFmtId="0" fontId="1" fillId="0" borderId="2" xfId="0" applyFont="1" applyBorder="1"/>
    <xf numFmtId="10" fontId="1" fillId="0" borderId="2" xfId="0" applyNumberFormat="1" applyFont="1" applyBorder="1"/>
    <xf numFmtId="166" fontId="1" fillId="0" borderId="0" xfId="0" applyNumberFormat="1" applyFont="1"/>
    <xf numFmtId="10" fontId="4" fillId="0" borderId="0" xfId="0" applyNumberFormat="1" applyFont="1"/>
    <xf numFmtId="10" fontId="0" fillId="0" borderId="0" xfId="0" applyNumberFormat="1" applyAlignment="1">
      <alignment horizontal="left" indent="1"/>
    </xf>
    <xf numFmtId="10" fontId="0" fillId="0" borderId="2" xfId="0" applyNumberFormat="1" applyBorder="1" applyAlignment="1">
      <alignment horizontal="left" indent="1"/>
    </xf>
    <xf numFmtId="0" fontId="1" fillId="0" borderId="5" xfId="0" applyFont="1" applyBorder="1"/>
    <xf numFmtId="10" fontId="1" fillId="0" borderId="5" xfId="0" applyNumberFormat="1" applyFont="1" applyBorder="1"/>
    <xf numFmtId="10" fontId="4" fillId="0" borderId="5" xfId="0" applyNumberFormat="1" applyFont="1" applyBorder="1"/>
    <xf numFmtId="0" fontId="1" fillId="0" borderId="6" xfId="0" applyFont="1" applyBorder="1" applyAlignment="1">
      <alignment horizontal="right"/>
    </xf>
    <xf numFmtId="0" fontId="2" fillId="0" borderId="6" xfId="0" applyFont="1" applyBorder="1"/>
    <xf numFmtId="10" fontId="4" fillId="0" borderId="6" xfId="0" applyNumberFormat="1" applyFont="1" applyBorder="1"/>
    <xf numFmtId="10" fontId="4" fillId="0" borderId="7" xfId="0" applyNumberFormat="1" applyFont="1" applyBorder="1"/>
    <xf numFmtId="3" fontId="1" fillId="0" borderId="6" xfId="0" applyNumberFormat="1" applyFont="1" applyBorder="1"/>
    <xf numFmtId="10" fontId="1" fillId="0" borderId="7" xfId="0" applyNumberFormat="1" applyFont="1" applyBorder="1"/>
    <xf numFmtId="3" fontId="0" fillId="0" borderId="6" xfId="0" applyNumberFormat="1" applyBorder="1"/>
    <xf numFmtId="3" fontId="0" fillId="0" borderId="8" xfId="0" applyNumberFormat="1" applyBorder="1"/>
    <xf numFmtId="165" fontId="2" fillId="0" borderId="1" xfId="0" applyNumberFormat="1" applyFont="1" applyBorder="1"/>
    <xf numFmtId="10" fontId="4" fillId="0" borderId="9" xfId="0" applyNumberFormat="1" applyFont="1" applyBorder="1"/>
    <xf numFmtId="1" fontId="2" fillId="0" borderId="0" xfId="0" applyNumberFormat="1" applyFont="1"/>
    <xf numFmtId="3" fontId="0" fillId="0" borderId="0" xfId="0" applyNumberFormat="1" applyAlignment="1">
      <alignment horizontal="left" indent="2"/>
    </xf>
    <xf numFmtId="3" fontId="0" fillId="0" borderId="2" xfId="0" applyNumberFormat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22</xdr:col>
      <xdr:colOff>733734</xdr:colOff>
      <xdr:row>11</xdr:row>
      <xdr:rowOff>215900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7E7E7F4E-5123-7FB7-269D-4F036E55F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0500" y="0"/>
          <a:ext cx="9814234" cy="2870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79099F81-7C8E-B54C-80BC-A7E9A1DC9832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1" dT="2025-07-30T20:12:44.87" personId="{79099F81-7C8E-B54C-80BC-A7E9A1DC9832}" id="{F6452649-F1B0-E546-A65B-18700C2BC46C}">
    <text>Nedskrivning av goodwill på 2500</text>
  </threadedComment>
  <threadedComment ref="AI19" dT="2025-10-08T16:51:55.40" personId="{79099F81-7C8E-B54C-80BC-A7E9A1DC9832}" id="{9BE6B870-C6B3-244B-B24D-B6FA853FDCB2}">
    <text>Justert for nedskrivning av goddwill: -0,10</text>
  </threadedComment>
  <threadedComment ref="AI25" dT="2025-10-08T16:52:17.71" personId="{79099F81-7C8E-B54C-80BC-A7E9A1DC9832}" id="{C82C0581-D2FD-B74A-BAB2-938537DD6F5B}">
    <text>Justert for nedskrivning -2,42%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5-10-08T17:38:58.50" personId="{79099F81-7C8E-B54C-80BC-A7E9A1DC9832}" id="{D8BBC95B-5A65-3746-9B3E-0C651CA291FE}">
    <text>Small and medium-sized businesses</text>
  </threadedComment>
  <threadedComment ref="B13" dT="2025-10-08T17:39:47.60" personId="{79099F81-7C8E-B54C-80BC-A7E9A1DC9832}" id="{43F4D8E8-AD68-8B42-BEA7-B582CFD272A8}">
    <text>Large corporate and public sector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310D34-0017-3D45-B997-C2CCF58E85D4}">
  <we:reference id="wa200009404" version="1.0.0.8" store="nb-NO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fe395ad8-b349-4ef8-b655-dccc90a626f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4:A16"/>
  <sheetViews>
    <sheetView showGridLines="0" workbookViewId="0">
      <selection activeCell="D21" sqref="D21"/>
    </sheetView>
  </sheetViews>
  <sheetFormatPr baseColWidth="10" defaultRowHeight="19" x14ac:dyDescent="0.25"/>
  <cols>
    <col min="1" max="16384" width="10.83203125" style="2"/>
  </cols>
  <sheetData>
    <row r="4" spans="1:1" x14ac:dyDescent="0.25">
      <c r="A4" s="1" t="s">
        <v>12</v>
      </c>
    </row>
    <row r="5" spans="1:1" x14ac:dyDescent="0.25">
      <c r="A5" s="2" t="s">
        <v>13</v>
      </c>
    </row>
    <row r="6" spans="1:1" x14ac:dyDescent="0.25">
      <c r="A6" s="2" t="s">
        <v>14</v>
      </c>
    </row>
    <row r="7" spans="1:1" x14ac:dyDescent="0.25">
      <c r="A7" s="2" t="s">
        <v>15</v>
      </c>
    </row>
    <row r="8" spans="1:1" x14ac:dyDescent="0.25">
      <c r="A8" s="2" t="s">
        <v>16</v>
      </c>
    </row>
    <row r="11" spans="1:1" x14ac:dyDescent="0.25">
      <c r="A11" s="1" t="s">
        <v>111</v>
      </c>
    </row>
    <row r="12" spans="1:1" x14ac:dyDescent="0.25">
      <c r="A12" s="2" t="s">
        <v>112</v>
      </c>
    </row>
    <row r="13" spans="1:1" x14ac:dyDescent="0.25">
      <c r="A13" s="2" t="s">
        <v>113</v>
      </c>
    </row>
    <row r="14" spans="1:1" x14ac:dyDescent="0.25">
      <c r="A14" s="2" t="s">
        <v>114</v>
      </c>
    </row>
    <row r="15" spans="1:1" x14ac:dyDescent="0.25">
      <c r="A15" s="2" t="s">
        <v>115</v>
      </c>
    </row>
    <row r="16" spans="1:1" x14ac:dyDescent="0.25">
      <c r="A16" s="2" t="s">
        <v>116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IZ88"/>
  <sheetViews>
    <sheetView showGridLines="0" zoomScaleNormal="100" workbookViewId="0">
      <pane xSplit="3" ySplit="3" topLeftCell="AA4" activePane="bottomRight" state="frozen"/>
      <selection pane="topRight" activeCell="D1" sqref="D1"/>
      <selection pane="bottomLeft" activeCell="A4" sqref="A4"/>
      <selection pane="bottomRight" activeCell="Z12" sqref="Z12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8.66406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19" width="10.83203125" style="2"/>
    <col min="20" max="20" width="12" style="2" bestFit="1" customWidth="1"/>
    <col min="21" max="35" width="10.83203125" style="2"/>
    <col min="36" max="36" width="10.83203125" style="4"/>
    <col min="37" max="46" width="10.83203125" style="2"/>
    <col min="47" max="47" width="14.1640625" style="2" bestFit="1" customWidth="1"/>
    <col min="48" max="48" width="12.1640625" style="2" bestFit="1" customWidth="1"/>
    <col min="49" max="16384" width="10.83203125" style="2"/>
  </cols>
  <sheetData>
    <row r="1" spans="1:45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E1" s="1"/>
    </row>
    <row r="3" spans="1:45" x14ac:dyDescent="0.25">
      <c r="A3" s="1" t="s">
        <v>0</v>
      </c>
      <c r="C3" s="2" t="s">
        <v>5</v>
      </c>
      <c r="D3" s="7" t="s">
        <v>100</v>
      </c>
      <c r="E3" s="7" t="s">
        <v>99</v>
      </c>
      <c r="F3" s="7" t="s">
        <v>98</v>
      </c>
      <c r="G3" s="7" t="s">
        <v>97</v>
      </c>
      <c r="H3" s="7" t="s">
        <v>96</v>
      </c>
      <c r="I3" s="7" t="s">
        <v>95</v>
      </c>
      <c r="J3" s="7" t="s">
        <v>94</v>
      </c>
      <c r="K3" s="7" t="s">
        <v>93</v>
      </c>
      <c r="L3" s="7" t="s">
        <v>42</v>
      </c>
      <c r="M3" s="7" t="s">
        <v>41</v>
      </c>
      <c r="N3" s="7" t="s">
        <v>40</v>
      </c>
      <c r="O3" s="7" t="s">
        <v>39</v>
      </c>
      <c r="P3" s="7" t="s">
        <v>20</v>
      </c>
      <c r="Q3" s="7" t="s">
        <v>19</v>
      </c>
      <c r="R3" s="7" t="s">
        <v>17</v>
      </c>
      <c r="S3" s="7" t="s">
        <v>18</v>
      </c>
      <c r="T3" s="7" t="s">
        <v>137</v>
      </c>
      <c r="U3" s="7" t="s">
        <v>138</v>
      </c>
      <c r="V3" s="7" t="s">
        <v>139</v>
      </c>
      <c r="W3" s="7" t="s">
        <v>140</v>
      </c>
      <c r="X3" s="7"/>
      <c r="Y3" s="7"/>
      <c r="AA3" s="2" t="s">
        <v>109</v>
      </c>
      <c r="AB3" s="2" t="s">
        <v>108</v>
      </c>
      <c r="AC3" s="7" t="s">
        <v>107</v>
      </c>
      <c r="AD3" s="7" t="s">
        <v>106</v>
      </c>
      <c r="AE3" s="7" t="s">
        <v>105</v>
      </c>
      <c r="AF3" s="7" t="s">
        <v>104</v>
      </c>
      <c r="AG3" s="7" t="s">
        <v>103</v>
      </c>
      <c r="AH3" s="7" t="s">
        <v>102</v>
      </c>
      <c r="AI3" s="7" t="s">
        <v>101</v>
      </c>
      <c r="AJ3" s="15" t="s">
        <v>117</v>
      </c>
      <c r="AK3" s="7" t="s">
        <v>118</v>
      </c>
      <c r="AL3" s="7" t="s">
        <v>119</v>
      </c>
      <c r="AM3" s="7" t="s">
        <v>120</v>
      </c>
      <c r="AN3" s="7" t="s">
        <v>121</v>
      </c>
      <c r="AO3" s="7" t="s">
        <v>122</v>
      </c>
      <c r="AP3" s="7" t="s">
        <v>123</v>
      </c>
      <c r="AQ3" s="7" t="s">
        <v>124</v>
      </c>
      <c r="AR3" s="7" t="s">
        <v>125</v>
      </c>
      <c r="AS3" s="7" t="s">
        <v>126</v>
      </c>
    </row>
    <row r="4" spans="1:45" x14ac:dyDescent="0.25">
      <c r="A4" s="2" t="s">
        <v>1</v>
      </c>
      <c r="B4" s="4">
        <v>1.68</v>
      </c>
      <c r="C4" s="1" t="s">
        <v>21</v>
      </c>
      <c r="D4" s="10">
        <v>5826.1</v>
      </c>
      <c r="E4" s="10">
        <v>6137.2</v>
      </c>
      <c r="F4" s="10">
        <v>5894.2</v>
      </c>
      <c r="G4" s="10">
        <v>5743.4</v>
      </c>
      <c r="H4" s="10">
        <v>6635.9</v>
      </c>
      <c r="I4" s="10">
        <v>6271.6</v>
      </c>
      <c r="J4" s="10">
        <v>5582</v>
      </c>
      <c r="K4" s="10">
        <v>5582</v>
      </c>
      <c r="L4" s="10">
        <v>5793</v>
      </c>
      <c r="M4" s="10">
        <v>5246</v>
      </c>
      <c r="N4" s="10">
        <v>5455</v>
      </c>
      <c r="O4" s="10">
        <v>4987.5</v>
      </c>
      <c r="P4" s="10">
        <v>4782</v>
      </c>
      <c r="Q4" s="10">
        <v>5480</v>
      </c>
      <c r="R4" s="10">
        <v>5089</v>
      </c>
      <c r="S4" s="10">
        <v>5056</v>
      </c>
      <c r="T4" s="10">
        <v>5487</v>
      </c>
      <c r="U4" s="10">
        <v>5481</v>
      </c>
      <c r="V4" s="10"/>
      <c r="W4" s="10"/>
      <c r="X4" s="12"/>
      <c r="Y4" s="12"/>
      <c r="Z4" s="12"/>
      <c r="AA4" s="10">
        <v>9306.2000000000007</v>
      </c>
      <c r="AB4" s="10">
        <v>10300.5</v>
      </c>
      <c r="AC4" s="10">
        <v>12535.7</v>
      </c>
      <c r="AD4" s="10">
        <v>13195.4</v>
      </c>
      <c r="AE4" s="10">
        <v>15028</v>
      </c>
      <c r="AF4" s="10">
        <v>23600.9</v>
      </c>
      <c r="AG4" s="10">
        <v>23577</v>
      </c>
      <c r="AH4" s="10">
        <v>21481.8</v>
      </c>
      <c r="AI4" s="10">
        <v>20407</v>
      </c>
      <c r="AJ4" s="11">
        <f>AI4*1.075</f>
        <v>21937.524999999998</v>
      </c>
      <c r="AK4" s="10">
        <f>AJ4*1.075</f>
        <v>23582.839374999996</v>
      </c>
      <c r="AL4" s="10">
        <f>AK4*1.05</f>
        <v>24761.981343749998</v>
      </c>
      <c r="AM4" s="10">
        <f t="shared" ref="AM4:AS4" si="0">AL4*1.05</f>
        <v>26000.080410937499</v>
      </c>
      <c r="AN4" s="10">
        <f t="shared" si="0"/>
        <v>27300.084431484374</v>
      </c>
      <c r="AO4" s="10">
        <f t="shared" si="0"/>
        <v>28665.088653058596</v>
      </c>
      <c r="AP4" s="10">
        <f t="shared" si="0"/>
        <v>30098.343085711527</v>
      </c>
      <c r="AQ4" s="10">
        <f t="shared" si="0"/>
        <v>31603.260239997104</v>
      </c>
      <c r="AR4" s="10">
        <f t="shared" si="0"/>
        <v>33183.423251996959</v>
      </c>
      <c r="AS4" s="10">
        <f t="shared" si="0"/>
        <v>34842.59441459681</v>
      </c>
    </row>
    <row r="5" spans="1:45" x14ac:dyDescent="0.25">
      <c r="A5" s="2" t="s">
        <v>2</v>
      </c>
      <c r="B5" s="5">
        <v>1351.8302180000001</v>
      </c>
      <c r="C5" s="2" t="s">
        <v>22</v>
      </c>
      <c r="D5" s="12">
        <v>-4931.7</v>
      </c>
      <c r="E5" s="12">
        <v>-5233.7</v>
      </c>
      <c r="F5" s="12">
        <v>-5052</v>
      </c>
      <c r="G5" s="12">
        <v>-4925.3999999999996</v>
      </c>
      <c r="H5" s="12">
        <v>-5743.2</v>
      </c>
      <c r="I5" s="12">
        <v>-5357</v>
      </c>
      <c r="J5" s="12">
        <v>-4725.1000000000004</v>
      </c>
      <c r="K5" s="12">
        <v>-4725.1000000000004</v>
      </c>
      <c r="L5" s="12">
        <v>-4905</v>
      </c>
      <c r="M5" s="12">
        <v>-4390</v>
      </c>
      <c r="N5" s="12">
        <v>-4634</v>
      </c>
      <c r="O5" s="12">
        <v>-4343.6000000000004</v>
      </c>
      <c r="P5" s="12">
        <v>-4099</v>
      </c>
      <c r="Q5" s="12">
        <v>-4718</v>
      </c>
      <c r="R5" s="12">
        <v>-4409</v>
      </c>
      <c r="S5" s="12">
        <v>-4414</v>
      </c>
      <c r="T5" s="12">
        <v>-4766</v>
      </c>
      <c r="U5" s="12">
        <v>-4757</v>
      </c>
      <c r="V5" s="12"/>
      <c r="W5" s="12"/>
      <c r="Z5" s="12"/>
      <c r="AA5" s="12">
        <v>-7926.7</v>
      </c>
      <c r="AB5" s="12">
        <v>-8663.7000000000007</v>
      </c>
      <c r="AC5" s="12">
        <v>-10446.299999999999</v>
      </c>
      <c r="AD5" s="12">
        <v>-11152</v>
      </c>
      <c r="AE5" s="12">
        <v>-12545</v>
      </c>
      <c r="AF5" s="12">
        <v>-20143.3</v>
      </c>
      <c r="AG5" s="12">
        <v>-20168.8</v>
      </c>
      <c r="AH5" s="12">
        <v>-18273.2</v>
      </c>
      <c r="AI5" s="12">
        <v>-17640</v>
      </c>
      <c r="AJ5" s="13">
        <f>AJ4*-0.86</f>
        <v>-18866.271499999999</v>
      </c>
      <c r="AK5" s="12">
        <f t="shared" ref="AK5:AS5" si="1">AK4*-0.86</f>
        <v>-20281.241862499995</v>
      </c>
      <c r="AL5" s="12">
        <f t="shared" si="1"/>
        <v>-21295.303955624997</v>
      </c>
      <c r="AM5" s="12">
        <f t="shared" si="1"/>
        <v>-22360.06915340625</v>
      </c>
      <c r="AN5" s="12">
        <f t="shared" si="1"/>
        <v>-23478.072611076561</v>
      </c>
      <c r="AO5" s="12">
        <f t="shared" si="1"/>
        <v>-24651.976241630393</v>
      </c>
      <c r="AP5" s="12">
        <f t="shared" si="1"/>
        <v>-25884.575053711913</v>
      </c>
      <c r="AQ5" s="12">
        <f t="shared" si="1"/>
        <v>-27178.803806397507</v>
      </c>
      <c r="AR5" s="12">
        <f t="shared" si="1"/>
        <v>-28537.743996717385</v>
      </c>
      <c r="AS5" s="12">
        <f t="shared" si="1"/>
        <v>-29964.631196553255</v>
      </c>
    </row>
    <row r="6" spans="1:45" x14ac:dyDescent="0.25">
      <c r="A6" s="2" t="s">
        <v>6</v>
      </c>
      <c r="B6" s="5">
        <f>B4*B5</f>
        <v>2271.0747662399999</v>
      </c>
      <c r="C6" s="2" t="s">
        <v>23</v>
      </c>
      <c r="D6" s="12">
        <f t="shared" ref="D6:S6" si="2">SUM(D4:D5)</f>
        <v>894.40000000000055</v>
      </c>
      <c r="E6" s="12">
        <f t="shared" si="2"/>
        <v>903.5</v>
      </c>
      <c r="F6" s="12">
        <f t="shared" si="2"/>
        <v>842.19999999999982</v>
      </c>
      <c r="G6" s="12">
        <f t="shared" si="2"/>
        <v>818</v>
      </c>
      <c r="H6" s="12">
        <f t="shared" si="2"/>
        <v>892.69999999999982</v>
      </c>
      <c r="I6" s="12">
        <f t="shared" si="2"/>
        <v>914.60000000000036</v>
      </c>
      <c r="J6" s="12">
        <f t="shared" si="2"/>
        <v>856.89999999999964</v>
      </c>
      <c r="K6" s="12">
        <f t="shared" si="2"/>
        <v>856.89999999999964</v>
      </c>
      <c r="L6" s="12">
        <f t="shared" si="2"/>
        <v>888</v>
      </c>
      <c r="M6" s="12">
        <f t="shared" si="2"/>
        <v>856</v>
      </c>
      <c r="N6" s="12">
        <f t="shared" si="2"/>
        <v>821</v>
      </c>
      <c r="O6" s="12">
        <f t="shared" si="2"/>
        <v>643.89999999999964</v>
      </c>
      <c r="P6" s="12">
        <f t="shared" si="2"/>
        <v>683</v>
      </c>
      <c r="Q6" s="12">
        <f t="shared" si="2"/>
        <v>762</v>
      </c>
      <c r="R6" s="12">
        <f t="shared" si="2"/>
        <v>680</v>
      </c>
      <c r="S6" s="12">
        <f t="shared" si="2"/>
        <v>642</v>
      </c>
      <c r="T6" s="12">
        <f t="shared" ref="T6:W6" si="3">SUM(T4:T5)</f>
        <v>721</v>
      </c>
      <c r="U6" s="12">
        <f t="shared" si="3"/>
        <v>724</v>
      </c>
      <c r="V6" s="12">
        <f t="shared" si="3"/>
        <v>0</v>
      </c>
      <c r="W6" s="12">
        <f t="shared" si="3"/>
        <v>0</v>
      </c>
      <c r="X6" s="12"/>
      <c r="Y6" s="12"/>
      <c r="Z6" s="12"/>
      <c r="AA6" s="12">
        <f t="shared" ref="AA6:AF6" si="4">SUM(AA4:AA5)</f>
        <v>1379.5000000000009</v>
      </c>
      <c r="AB6" s="12">
        <f t="shared" si="4"/>
        <v>1636.7999999999993</v>
      </c>
      <c r="AC6" s="12">
        <f t="shared" si="4"/>
        <v>2089.4000000000015</v>
      </c>
      <c r="AD6" s="12">
        <f t="shared" si="4"/>
        <v>2043.3999999999996</v>
      </c>
      <c r="AE6" s="12">
        <f t="shared" si="4"/>
        <v>2483</v>
      </c>
      <c r="AF6" s="12">
        <f t="shared" si="4"/>
        <v>3457.6000000000022</v>
      </c>
      <c r="AG6" s="12">
        <f>SUM(AG4:AG5)</f>
        <v>3408.2000000000007</v>
      </c>
      <c r="AH6" s="12">
        <f>SUM(AH4:AH5)</f>
        <v>3208.5999999999985</v>
      </c>
      <c r="AI6" s="12">
        <f t="shared" ref="AI6:AS6" si="5">SUM(AI4:AI5)</f>
        <v>2767</v>
      </c>
      <c r="AJ6" s="13">
        <f t="shared" si="5"/>
        <v>3071.2534999999989</v>
      </c>
      <c r="AK6" s="12">
        <f t="shared" si="5"/>
        <v>3301.5975125000004</v>
      </c>
      <c r="AL6" s="12">
        <f t="shared" si="5"/>
        <v>3466.677388125001</v>
      </c>
      <c r="AM6" s="12">
        <f t="shared" si="5"/>
        <v>3640.0112575312487</v>
      </c>
      <c r="AN6" s="12">
        <f t="shared" si="5"/>
        <v>3822.0118204078135</v>
      </c>
      <c r="AO6" s="12">
        <f t="shared" si="5"/>
        <v>4013.1124114282029</v>
      </c>
      <c r="AP6" s="12">
        <f t="shared" si="5"/>
        <v>4213.7680319996143</v>
      </c>
      <c r="AQ6" s="12">
        <f t="shared" si="5"/>
        <v>4424.4564335995965</v>
      </c>
      <c r="AR6" s="12">
        <f t="shared" si="5"/>
        <v>4645.6792552795741</v>
      </c>
      <c r="AS6" s="12">
        <f t="shared" si="5"/>
        <v>4877.9632180435547</v>
      </c>
    </row>
    <row r="7" spans="1:45" x14ac:dyDescent="0.25">
      <c r="A7" s="2" t="s">
        <v>7</v>
      </c>
      <c r="B7" s="5">
        <f>T45</f>
        <v>970</v>
      </c>
      <c r="C7" s="2" t="s">
        <v>24</v>
      </c>
      <c r="D7" s="12">
        <v>-631.5</v>
      </c>
      <c r="E7" s="12">
        <v>-664.7</v>
      </c>
      <c r="F7" s="12">
        <v>-678.4</v>
      </c>
      <c r="G7" s="12">
        <v>-653.79999999999995</v>
      </c>
      <c r="H7" s="12">
        <v>-737.6</v>
      </c>
      <c r="I7" s="12">
        <v>-745.5</v>
      </c>
      <c r="J7" s="12">
        <v>-726.8</v>
      </c>
      <c r="K7" s="12">
        <v>-726.8</v>
      </c>
      <c r="L7" s="12">
        <v>-737</v>
      </c>
      <c r="M7" s="12">
        <v>-696</v>
      </c>
      <c r="N7" s="12">
        <v>-725</v>
      </c>
      <c r="O7" s="12">
        <v>-654.6</v>
      </c>
      <c r="P7" s="12">
        <v>-718</v>
      </c>
      <c r="Q7" s="12">
        <v>-704</v>
      </c>
      <c r="R7" s="12">
        <v>-659</v>
      </c>
      <c r="S7" s="12">
        <v>-602</v>
      </c>
      <c r="T7" s="12">
        <v>-672</v>
      </c>
      <c r="U7" s="12">
        <v>-655</v>
      </c>
      <c r="V7" s="12"/>
      <c r="W7" s="12"/>
      <c r="Z7" s="12"/>
      <c r="AA7" s="12">
        <v>-1016.3</v>
      </c>
      <c r="AB7" s="12">
        <v>-1183.3</v>
      </c>
      <c r="AC7" s="12">
        <v>-1594.3</v>
      </c>
      <c r="AD7" s="12">
        <v>-1617.9</v>
      </c>
      <c r="AE7" s="12">
        <v>-1825.2</v>
      </c>
      <c r="AF7" s="12">
        <v>-2628.3</v>
      </c>
      <c r="AG7" s="12">
        <v>-2865.3</v>
      </c>
      <c r="AH7" s="12">
        <v>-2813.4</v>
      </c>
      <c r="AI7" s="12">
        <v>-2683</v>
      </c>
      <c r="AJ7" s="13">
        <f>AI7*1.03</f>
        <v>-2763.4900000000002</v>
      </c>
      <c r="AK7" s="12">
        <f>AJ7*1.03</f>
        <v>-2846.3947000000003</v>
      </c>
      <c r="AL7" s="12">
        <f>AK7*1.02</f>
        <v>-2903.3225940000002</v>
      </c>
      <c r="AM7" s="12">
        <f t="shared" ref="AM7:AS7" si="6">AL7*1.05</f>
        <v>-3048.4887237000003</v>
      </c>
      <c r="AN7" s="12">
        <f t="shared" si="6"/>
        <v>-3200.9131598850004</v>
      </c>
      <c r="AO7" s="12">
        <f t="shared" si="6"/>
        <v>-3360.9588178792505</v>
      </c>
      <c r="AP7" s="12">
        <f t="shared" si="6"/>
        <v>-3529.0067587732133</v>
      </c>
      <c r="AQ7" s="12">
        <f t="shared" si="6"/>
        <v>-3705.4570967118739</v>
      </c>
      <c r="AR7" s="12">
        <f t="shared" si="6"/>
        <v>-3890.7299515474679</v>
      </c>
      <c r="AS7" s="12">
        <f t="shared" si="6"/>
        <v>-4085.2664491248415</v>
      </c>
    </row>
    <row r="8" spans="1:45" x14ac:dyDescent="0.25">
      <c r="A8" s="2" t="s">
        <v>8</v>
      </c>
      <c r="B8" s="5">
        <f>T49+T52</f>
        <v>2523</v>
      </c>
      <c r="C8" s="2" t="s">
        <v>25</v>
      </c>
      <c r="D8" s="12">
        <v>-7.2</v>
      </c>
      <c r="E8" s="12">
        <v>-12.8</v>
      </c>
      <c r="F8" s="12">
        <v>-18.7</v>
      </c>
      <c r="G8" s="12">
        <v>-11.5</v>
      </c>
      <c r="H8" s="12">
        <v>-18.899999999999999</v>
      </c>
      <c r="I8" s="12">
        <v>-9.1</v>
      </c>
      <c r="J8" s="12">
        <v>-25.3</v>
      </c>
      <c r="K8" s="12">
        <v>-25.3</v>
      </c>
      <c r="L8" s="12">
        <v>-17</v>
      </c>
      <c r="M8" s="12">
        <v>-16</v>
      </c>
      <c r="N8" s="12">
        <v>0</v>
      </c>
      <c r="O8" s="12">
        <v>-6.7</v>
      </c>
      <c r="P8" s="12">
        <v>-10</v>
      </c>
      <c r="Q8" s="12">
        <v>-55</v>
      </c>
      <c r="R8" s="12">
        <v>-9</v>
      </c>
      <c r="S8" s="12">
        <v>-12</v>
      </c>
      <c r="T8" s="12">
        <v>-37</v>
      </c>
      <c r="U8" s="12">
        <v>-26</v>
      </c>
      <c r="V8" s="12"/>
      <c r="W8" s="12"/>
      <c r="Z8" s="12"/>
      <c r="AA8" s="12">
        <v>-7.3</v>
      </c>
      <c r="AB8" s="12">
        <v>1</v>
      </c>
      <c r="AC8" s="12">
        <v>3.5</v>
      </c>
      <c r="AD8" s="12">
        <v>-31</v>
      </c>
      <c r="AE8" s="12">
        <v>-73.400000000000006</v>
      </c>
      <c r="AF8" s="12">
        <v>-50.1</v>
      </c>
      <c r="AG8" s="12">
        <v>-73.2</v>
      </c>
      <c r="AH8" s="12">
        <v>-39.700000000000003</v>
      </c>
      <c r="AI8" s="12">
        <v>-86</v>
      </c>
      <c r="AJ8" s="13">
        <f t="shared" ref="AJ8:AJ10" si="7">AI8*1.06</f>
        <v>-91.160000000000011</v>
      </c>
      <c r="AK8" s="12">
        <f t="shared" ref="AK8:AK10" si="8">AJ8*1.075</f>
        <v>-97.997000000000014</v>
      </c>
      <c r="AL8" s="12">
        <f t="shared" ref="AL8:AS10" si="9">AK8*1.05</f>
        <v>-102.89685000000001</v>
      </c>
      <c r="AM8" s="12">
        <f t="shared" si="9"/>
        <v>-108.04169250000002</v>
      </c>
      <c r="AN8" s="12">
        <f t="shared" si="9"/>
        <v>-113.44377712500003</v>
      </c>
      <c r="AO8" s="12">
        <f t="shared" si="9"/>
        <v>-119.11596598125003</v>
      </c>
      <c r="AP8" s="12">
        <f t="shared" si="9"/>
        <v>-125.07176428031254</v>
      </c>
      <c r="AQ8" s="12">
        <f t="shared" si="9"/>
        <v>-131.32535249432817</v>
      </c>
      <c r="AR8" s="12">
        <f t="shared" si="9"/>
        <v>-137.89162011904457</v>
      </c>
      <c r="AS8" s="12">
        <f t="shared" si="9"/>
        <v>-144.78620112499681</v>
      </c>
    </row>
    <row r="9" spans="1:45" x14ac:dyDescent="0.25">
      <c r="A9" s="3" t="s">
        <v>9</v>
      </c>
      <c r="B9" s="6">
        <f>B6-B7+B8</f>
        <v>3824.0747662399999</v>
      </c>
      <c r="C9" s="2" t="s">
        <v>26</v>
      </c>
      <c r="D9" s="12">
        <v>3.1</v>
      </c>
      <c r="E9" s="12">
        <v>5.0999999999999996</v>
      </c>
      <c r="F9" s="12">
        <v>6.5</v>
      </c>
      <c r="G9" s="12">
        <v>5.9</v>
      </c>
      <c r="H9" s="12">
        <v>14.9</v>
      </c>
      <c r="I9" s="12">
        <v>9.8000000000000007</v>
      </c>
      <c r="J9" s="12">
        <v>6.6</v>
      </c>
      <c r="K9" s="12">
        <v>6.6</v>
      </c>
      <c r="L9" s="12">
        <v>5</v>
      </c>
      <c r="M9" s="12">
        <v>6</v>
      </c>
      <c r="N9" s="12">
        <v>5</v>
      </c>
      <c r="O9" s="12">
        <v>3</v>
      </c>
      <c r="P9" s="12">
        <v>5</v>
      </c>
      <c r="Q9" s="12">
        <v>6</v>
      </c>
      <c r="R9" s="12">
        <v>11</v>
      </c>
      <c r="S9" s="12">
        <v>5</v>
      </c>
      <c r="T9" s="12">
        <v>3</v>
      </c>
      <c r="U9" s="12">
        <v>7</v>
      </c>
      <c r="V9" s="12"/>
      <c r="W9" s="12"/>
      <c r="Z9" s="12"/>
      <c r="AA9" s="12">
        <v>5.9</v>
      </c>
      <c r="AB9" s="12">
        <v>6.8</v>
      </c>
      <c r="AC9" s="12">
        <v>7.6</v>
      </c>
      <c r="AD9" s="12">
        <v>14.5</v>
      </c>
      <c r="AE9" s="12">
        <v>14.1</v>
      </c>
      <c r="AF9" s="12">
        <v>20.5</v>
      </c>
      <c r="AG9" s="12">
        <v>46.5</v>
      </c>
      <c r="AH9" s="12">
        <v>18.7</v>
      </c>
      <c r="AI9" s="12">
        <v>27</v>
      </c>
      <c r="AJ9" s="13">
        <f t="shared" si="7"/>
        <v>28.62</v>
      </c>
      <c r="AK9" s="12">
        <f t="shared" si="8"/>
        <v>30.766500000000001</v>
      </c>
      <c r="AL9" s="12">
        <f t="shared" si="9"/>
        <v>32.304825000000001</v>
      </c>
      <c r="AM9" s="12">
        <f t="shared" si="9"/>
        <v>33.920066250000005</v>
      </c>
      <c r="AN9" s="12">
        <f t="shared" si="9"/>
        <v>35.616069562500009</v>
      </c>
      <c r="AO9" s="12">
        <f t="shared" si="9"/>
        <v>37.39687304062501</v>
      </c>
      <c r="AP9" s="12">
        <f t="shared" si="9"/>
        <v>39.26671669265626</v>
      </c>
      <c r="AQ9" s="12">
        <f t="shared" si="9"/>
        <v>41.230052527289075</v>
      </c>
      <c r="AR9" s="12">
        <f t="shared" si="9"/>
        <v>43.291555153653533</v>
      </c>
      <c r="AS9" s="12">
        <f t="shared" si="9"/>
        <v>45.456132911336212</v>
      </c>
    </row>
    <row r="10" spans="1:45" x14ac:dyDescent="0.25">
      <c r="C10" s="2" t="s">
        <v>27</v>
      </c>
      <c r="D10" s="12">
        <v>-7.7</v>
      </c>
      <c r="E10" s="12">
        <v>-11</v>
      </c>
      <c r="F10" s="12">
        <v>-11.3</v>
      </c>
      <c r="G10" s="12">
        <v>-11.7</v>
      </c>
      <c r="H10" s="12">
        <v>-13.7</v>
      </c>
      <c r="I10" s="12">
        <v>-12.3</v>
      </c>
      <c r="J10" s="12">
        <v>-14.4</v>
      </c>
      <c r="K10" s="12">
        <v>-14.4</v>
      </c>
      <c r="L10" s="12">
        <v>-9</v>
      </c>
      <c r="M10" s="12">
        <v>-8</v>
      </c>
      <c r="N10" s="12">
        <v>-14</v>
      </c>
      <c r="O10" s="12">
        <v>-10.7</v>
      </c>
      <c r="P10" s="12">
        <v>-12</v>
      </c>
      <c r="Q10" s="12">
        <v>-12</v>
      </c>
      <c r="R10" s="12">
        <v>-12</v>
      </c>
      <c r="S10" s="12">
        <v>-12</v>
      </c>
      <c r="T10" s="12">
        <v>-8</v>
      </c>
      <c r="U10" s="12">
        <v>-7</v>
      </c>
      <c r="V10" s="12"/>
      <c r="W10" s="12"/>
      <c r="Z10" s="12"/>
      <c r="AA10" s="12">
        <v>-12.3</v>
      </c>
      <c r="AB10" s="12">
        <v>-17.5</v>
      </c>
      <c r="AC10" s="12">
        <v>-17.100000000000001</v>
      </c>
      <c r="AD10" s="12">
        <v>-21.8</v>
      </c>
      <c r="AE10" s="12">
        <v>-22.2</v>
      </c>
      <c r="AF10" s="12">
        <v>-41.7</v>
      </c>
      <c r="AG10" s="12">
        <v>-50.1</v>
      </c>
      <c r="AH10" s="12">
        <v>-41.7</v>
      </c>
      <c r="AI10" s="12">
        <v>-48</v>
      </c>
      <c r="AJ10" s="13">
        <f t="shared" si="7"/>
        <v>-50.88</v>
      </c>
      <c r="AK10" s="12">
        <f t="shared" si="8"/>
        <v>-54.695999999999998</v>
      </c>
      <c r="AL10" s="12">
        <f t="shared" si="9"/>
        <v>-57.430799999999998</v>
      </c>
      <c r="AM10" s="12">
        <f t="shared" si="9"/>
        <v>-60.302340000000001</v>
      </c>
      <c r="AN10" s="12">
        <f t="shared" si="9"/>
        <v>-63.317457000000005</v>
      </c>
      <c r="AO10" s="12">
        <f t="shared" si="9"/>
        <v>-66.483329850000004</v>
      </c>
      <c r="AP10" s="12">
        <f t="shared" si="9"/>
        <v>-69.807496342500002</v>
      </c>
      <c r="AQ10" s="12">
        <f t="shared" si="9"/>
        <v>-73.297871159625004</v>
      </c>
      <c r="AR10" s="12">
        <f t="shared" si="9"/>
        <v>-76.962764717606262</v>
      </c>
      <c r="AS10" s="12">
        <f t="shared" si="9"/>
        <v>-80.810902953486575</v>
      </c>
    </row>
    <row r="11" spans="1:45" x14ac:dyDescent="0.25">
      <c r="C11" s="2" t="s">
        <v>28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-2500</v>
      </c>
      <c r="R11" s="12">
        <v>0</v>
      </c>
      <c r="S11" s="12">
        <v>0</v>
      </c>
      <c r="T11" s="12">
        <v>0</v>
      </c>
      <c r="U11" s="12">
        <v>0</v>
      </c>
      <c r="V11" s="12"/>
      <c r="W11" s="12"/>
      <c r="Z11" s="12"/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-2500</v>
      </c>
      <c r="AJ11" s="13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</row>
    <row r="12" spans="1:45" x14ac:dyDescent="0.25">
      <c r="A12" s="2" t="s">
        <v>163</v>
      </c>
      <c r="B12" s="20">
        <f>B6/T47</f>
        <v>0.4156432588286969</v>
      </c>
      <c r="C12" s="1" t="s">
        <v>29</v>
      </c>
      <c r="D12" s="10">
        <f t="shared" ref="D12:S12" si="10">SUM(D6:D11)</f>
        <v>251.10000000000059</v>
      </c>
      <c r="E12" s="10">
        <f t="shared" si="10"/>
        <v>220.09999999999994</v>
      </c>
      <c r="F12" s="10">
        <f t="shared" si="10"/>
        <v>140.29999999999984</v>
      </c>
      <c r="G12" s="10">
        <f t="shared" si="10"/>
        <v>146.90000000000006</v>
      </c>
      <c r="H12" s="10">
        <f t="shared" si="10"/>
        <v>137.39999999999981</v>
      </c>
      <c r="I12" s="10">
        <f t="shared" si="10"/>
        <v>157.50000000000037</v>
      </c>
      <c r="J12" s="10">
        <f t="shared" si="10"/>
        <v>96.999999999999673</v>
      </c>
      <c r="K12" s="10">
        <f t="shared" si="10"/>
        <v>96.999999999999673</v>
      </c>
      <c r="L12" s="10">
        <f t="shared" si="10"/>
        <v>130</v>
      </c>
      <c r="M12" s="10">
        <f t="shared" si="10"/>
        <v>142</v>
      </c>
      <c r="N12" s="10">
        <f t="shared" si="10"/>
        <v>87</v>
      </c>
      <c r="O12" s="10">
        <f t="shared" si="10"/>
        <v>-25.100000000000385</v>
      </c>
      <c r="P12" s="10">
        <f t="shared" si="10"/>
        <v>-52</v>
      </c>
      <c r="Q12" s="10">
        <f t="shared" si="10"/>
        <v>-2503</v>
      </c>
      <c r="R12" s="10">
        <f t="shared" si="10"/>
        <v>11</v>
      </c>
      <c r="S12" s="10">
        <f t="shared" si="10"/>
        <v>21</v>
      </c>
      <c r="T12" s="10">
        <f t="shared" ref="T12:W12" si="11">SUM(T6:T11)</f>
        <v>7</v>
      </c>
      <c r="U12" s="10">
        <f t="shared" si="11"/>
        <v>43</v>
      </c>
      <c r="V12" s="10">
        <f t="shared" si="11"/>
        <v>0</v>
      </c>
      <c r="W12" s="10">
        <f t="shared" si="11"/>
        <v>0</v>
      </c>
      <c r="Z12" s="10"/>
      <c r="AA12" s="10">
        <f t="shared" ref="AA12:AF12" si="12">SUM(AA6:AA11)</f>
        <v>349.50000000000091</v>
      </c>
      <c r="AB12" s="10">
        <f t="shared" si="12"/>
        <v>443.79999999999933</v>
      </c>
      <c r="AC12" s="10">
        <f t="shared" si="12"/>
        <v>489.1000000000015</v>
      </c>
      <c r="AD12" s="10">
        <f t="shared" si="12"/>
        <v>387.19999999999953</v>
      </c>
      <c r="AE12" s="10">
        <f t="shared" si="12"/>
        <v>576.29999999999995</v>
      </c>
      <c r="AF12" s="10">
        <f t="shared" si="12"/>
        <v>758.00000000000193</v>
      </c>
      <c r="AG12" s="10">
        <f>SUM(AG6:AG11)</f>
        <v>466.10000000000048</v>
      </c>
      <c r="AH12" s="10">
        <f>SUM(AH6:AH11)</f>
        <v>332.49999999999847</v>
      </c>
      <c r="AI12" s="10">
        <f t="shared" ref="AI12:AS12" si="13">SUM(AI6:AI11)</f>
        <v>-2523</v>
      </c>
      <c r="AJ12" s="11">
        <f t="shared" si="13"/>
        <v>194.34349999999864</v>
      </c>
      <c r="AK12" s="10">
        <f t="shared" si="13"/>
        <v>333.27631250000013</v>
      </c>
      <c r="AL12" s="10">
        <f t="shared" si="13"/>
        <v>435.3319691250008</v>
      </c>
      <c r="AM12" s="10">
        <f t="shared" si="13"/>
        <v>457.09856758124846</v>
      </c>
      <c r="AN12" s="10">
        <f t="shared" si="13"/>
        <v>479.95349596031315</v>
      </c>
      <c r="AO12" s="10">
        <f t="shared" si="13"/>
        <v>503.95117075832729</v>
      </c>
      <c r="AP12" s="10">
        <f t="shared" si="13"/>
        <v>529.14872929624471</v>
      </c>
      <c r="AQ12" s="10">
        <f t="shared" si="13"/>
        <v>555.60616576105849</v>
      </c>
      <c r="AR12" s="10">
        <f t="shared" si="13"/>
        <v>583.38647404910898</v>
      </c>
      <c r="AS12" s="10">
        <f t="shared" si="13"/>
        <v>612.55579775156605</v>
      </c>
    </row>
    <row r="13" spans="1:45" x14ac:dyDescent="0.25">
      <c r="A13" s="23"/>
      <c r="C13" s="2" t="s">
        <v>30</v>
      </c>
      <c r="D13" s="12">
        <v>0.3</v>
      </c>
      <c r="E13" s="12">
        <v>0.2</v>
      </c>
      <c r="F13" s="12">
        <v>0.3</v>
      </c>
      <c r="G13" s="12">
        <v>0.5</v>
      </c>
      <c r="H13" s="12">
        <v>0.4</v>
      </c>
      <c r="I13" s="12">
        <v>3.5</v>
      </c>
      <c r="J13" s="12">
        <v>0.6</v>
      </c>
      <c r="K13" s="12">
        <v>0.6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12">
        <v>17</v>
      </c>
      <c r="R13" s="12">
        <v>2</v>
      </c>
      <c r="S13" s="12">
        <v>3</v>
      </c>
      <c r="T13" s="12">
        <v>1</v>
      </c>
      <c r="U13" s="12">
        <v>12</v>
      </c>
      <c r="V13" s="12"/>
      <c r="W13" s="12"/>
      <c r="Z13" s="12"/>
      <c r="AA13" s="12">
        <v>1.2</v>
      </c>
      <c r="AB13" s="12">
        <v>1.1000000000000001</v>
      </c>
      <c r="AC13" s="12">
        <v>0.8</v>
      </c>
      <c r="AD13" s="12">
        <v>1.3</v>
      </c>
      <c r="AE13" s="12">
        <v>1.2</v>
      </c>
      <c r="AF13" s="12">
        <v>1.2</v>
      </c>
      <c r="AG13" s="12">
        <v>9.3000000000000007</v>
      </c>
      <c r="AH13" s="12">
        <v>3.5</v>
      </c>
      <c r="AI13" s="12">
        <v>23</v>
      </c>
      <c r="AJ13" s="13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/>
      <c r="AR13" s="12">
        <v>0</v>
      </c>
      <c r="AS13" s="12">
        <v>0</v>
      </c>
    </row>
    <row r="14" spans="1:45" x14ac:dyDescent="0.25">
      <c r="A14" s="2" t="s">
        <v>167</v>
      </c>
      <c r="B14" s="47">
        <f>(B8-B7)/U28</f>
        <v>2.734154929577465</v>
      </c>
      <c r="C14" s="2" t="s">
        <v>31</v>
      </c>
      <c r="D14" s="12">
        <v>-33</v>
      </c>
      <c r="E14" s="12">
        <v>-33.700000000000003</v>
      </c>
      <c r="F14" s="12">
        <v>-29.4</v>
      </c>
      <c r="G14" s="12">
        <v>-33.700000000000003</v>
      </c>
      <c r="H14" s="12">
        <v>-48.7</v>
      </c>
      <c r="I14" s="12">
        <v>-53.3</v>
      </c>
      <c r="J14" s="12">
        <v>-62.1</v>
      </c>
      <c r="K14" s="12">
        <v>-62.1</v>
      </c>
      <c r="L14" s="12">
        <v>-81</v>
      </c>
      <c r="M14" s="12">
        <v>-49</v>
      </c>
      <c r="N14" s="12">
        <v>-42</v>
      </c>
      <c r="O14" s="12">
        <v>-47.2</v>
      </c>
      <c r="P14" s="12">
        <v>-49</v>
      </c>
      <c r="Q14" s="12">
        <v>-61</v>
      </c>
      <c r="R14" s="12">
        <v>-57</v>
      </c>
      <c r="S14" s="12">
        <v>-34</v>
      </c>
      <c r="T14" s="12">
        <v>-46</v>
      </c>
      <c r="U14" s="12">
        <v>-37</v>
      </c>
      <c r="V14" s="12"/>
      <c r="W14" s="12"/>
      <c r="Z14" s="12"/>
      <c r="AA14" s="12">
        <v>-42.6</v>
      </c>
      <c r="AB14" s="12">
        <v>-60.3</v>
      </c>
      <c r="AC14" s="12">
        <v>-45</v>
      </c>
      <c r="AD14" s="12">
        <v>-53.3</v>
      </c>
      <c r="AE14" s="12">
        <v>-108.3</v>
      </c>
      <c r="AF14" s="12">
        <v>-129.80000000000001</v>
      </c>
      <c r="AG14" s="12">
        <v>-238.7</v>
      </c>
      <c r="AH14" s="12">
        <v>-219.4</v>
      </c>
      <c r="AI14" s="12">
        <v>-203</v>
      </c>
      <c r="AJ14" s="13">
        <v>0</v>
      </c>
      <c r="AK14" s="12">
        <f t="shared" ref="AK14:AS14" si="14">AJ14*1.02</f>
        <v>0</v>
      </c>
      <c r="AL14" s="12">
        <f t="shared" si="14"/>
        <v>0</v>
      </c>
      <c r="AM14" s="12">
        <f t="shared" si="14"/>
        <v>0</v>
      </c>
      <c r="AN14" s="12">
        <f t="shared" si="14"/>
        <v>0</v>
      </c>
      <c r="AO14" s="12">
        <f t="shared" si="14"/>
        <v>0</v>
      </c>
      <c r="AP14" s="12">
        <f t="shared" si="14"/>
        <v>0</v>
      </c>
      <c r="AQ14" s="12">
        <f t="shared" si="14"/>
        <v>0</v>
      </c>
      <c r="AR14" s="12">
        <f t="shared" si="14"/>
        <v>0</v>
      </c>
      <c r="AS14" s="12">
        <f t="shared" si="14"/>
        <v>0</v>
      </c>
    </row>
    <row r="15" spans="1:45" x14ac:dyDescent="0.25">
      <c r="C15" s="2" t="s">
        <v>32</v>
      </c>
      <c r="D15" s="12">
        <f t="shared" ref="D15:S15" si="15">SUM(D12:D14)</f>
        <v>218.4000000000006</v>
      </c>
      <c r="E15" s="12">
        <f t="shared" si="15"/>
        <v>186.59999999999991</v>
      </c>
      <c r="F15" s="12">
        <f t="shared" si="15"/>
        <v>111.19999999999985</v>
      </c>
      <c r="G15" s="12">
        <f t="shared" si="15"/>
        <v>113.70000000000006</v>
      </c>
      <c r="H15" s="12">
        <f t="shared" si="15"/>
        <v>89.09999999999981</v>
      </c>
      <c r="I15" s="12">
        <f t="shared" si="15"/>
        <v>107.70000000000037</v>
      </c>
      <c r="J15" s="12">
        <f t="shared" si="15"/>
        <v>35.499999999999666</v>
      </c>
      <c r="K15" s="12">
        <f t="shared" si="15"/>
        <v>35.499999999999666</v>
      </c>
      <c r="L15" s="12">
        <f t="shared" si="15"/>
        <v>50</v>
      </c>
      <c r="M15" s="12">
        <f t="shared" si="15"/>
        <v>94</v>
      </c>
      <c r="N15" s="12">
        <f t="shared" si="15"/>
        <v>46</v>
      </c>
      <c r="O15" s="12">
        <f t="shared" si="15"/>
        <v>-71.300000000000381</v>
      </c>
      <c r="P15" s="12">
        <f t="shared" si="15"/>
        <v>-100</v>
      </c>
      <c r="Q15" s="12">
        <f t="shared" si="15"/>
        <v>-2547</v>
      </c>
      <c r="R15" s="12">
        <f t="shared" si="15"/>
        <v>-44</v>
      </c>
      <c r="S15" s="12">
        <f t="shared" si="15"/>
        <v>-10</v>
      </c>
      <c r="T15" s="12">
        <f t="shared" ref="T15:W15" si="16">SUM(T12:T14)</f>
        <v>-38</v>
      </c>
      <c r="U15" s="12">
        <f t="shared" si="16"/>
        <v>18</v>
      </c>
      <c r="V15" s="12">
        <f t="shared" si="16"/>
        <v>0</v>
      </c>
      <c r="W15" s="12">
        <f t="shared" si="16"/>
        <v>0</v>
      </c>
      <c r="Z15" s="12"/>
      <c r="AA15" s="12">
        <f t="shared" ref="AA15:AF15" si="17">SUM(AA12:AA14)</f>
        <v>308.10000000000088</v>
      </c>
      <c r="AB15" s="12">
        <f t="shared" si="17"/>
        <v>384.59999999999934</v>
      </c>
      <c r="AC15" s="12">
        <f t="shared" si="17"/>
        <v>444.90000000000151</v>
      </c>
      <c r="AD15" s="12">
        <f t="shared" si="17"/>
        <v>335.19999999999953</v>
      </c>
      <c r="AE15" s="12">
        <f t="shared" si="17"/>
        <v>469.2</v>
      </c>
      <c r="AF15" s="12">
        <f t="shared" si="17"/>
        <v>629.40000000000191</v>
      </c>
      <c r="AG15" s="12">
        <f>SUM(AG12:AG14)</f>
        <v>236.7000000000005</v>
      </c>
      <c r="AH15" s="12">
        <f>SUM(AH12:AH14)</f>
        <v>116.59999999999846</v>
      </c>
      <c r="AI15" s="12">
        <f t="shared" ref="AI15:AS15" si="18">SUM(AI12:AI14)</f>
        <v>-2703</v>
      </c>
      <c r="AJ15" s="13">
        <f t="shared" si="18"/>
        <v>194.34349999999864</v>
      </c>
      <c r="AK15" s="12">
        <f t="shared" si="18"/>
        <v>333.27631250000013</v>
      </c>
      <c r="AL15" s="12">
        <f t="shared" si="18"/>
        <v>435.3319691250008</v>
      </c>
      <c r="AM15" s="12">
        <f t="shared" si="18"/>
        <v>457.09856758124846</v>
      </c>
      <c r="AN15" s="12">
        <f t="shared" si="18"/>
        <v>479.95349596031315</v>
      </c>
      <c r="AO15" s="12">
        <f t="shared" si="18"/>
        <v>503.95117075832729</v>
      </c>
      <c r="AP15" s="12">
        <f t="shared" si="18"/>
        <v>529.14872929624471</v>
      </c>
      <c r="AQ15" s="12">
        <f t="shared" si="18"/>
        <v>555.60616576105849</v>
      </c>
      <c r="AR15" s="12">
        <f t="shared" si="18"/>
        <v>583.38647404910898</v>
      </c>
      <c r="AS15" s="12">
        <f t="shared" si="18"/>
        <v>612.55579775156605</v>
      </c>
    </row>
    <row r="16" spans="1:45" x14ac:dyDescent="0.25">
      <c r="C16" s="2" t="s">
        <v>33</v>
      </c>
      <c r="D16" s="12">
        <v>-52.2</v>
      </c>
      <c r="E16" s="12">
        <v>-42.5</v>
      </c>
      <c r="F16" s="12">
        <v>-26.2</v>
      </c>
      <c r="G16" s="12">
        <v>-30.8</v>
      </c>
      <c r="H16" s="12">
        <v>-22.9</v>
      </c>
      <c r="I16" s="12">
        <v>-25.9</v>
      </c>
      <c r="J16" s="12">
        <v>-12</v>
      </c>
      <c r="K16" s="12">
        <v>-12</v>
      </c>
      <c r="L16" s="12">
        <v>-16</v>
      </c>
      <c r="M16" s="12">
        <v>-18</v>
      </c>
      <c r="N16" s="12">
        <v>-18</v>
      </c>
      <c r="O16" s="12">
        <v>-11.8</v>
      </c>
      <c r="P16" s="12">
        <v>23</v>
      </c>
      <c r="Q16" s="12">
        <v>18</v>
      </c>
      <c r="R16" s="12">
        <v>17</v>
      </c>
      <c r="S16" s="12">
        <v>12</v>
      </c>
      <c r="T16" s="12">
        <v>12</v>
      </c>
      <c r="U16" s="12">
        <v>-2</v>
      </c>
      <c r="V16" s="12"/>
      <c r="W16" s="12"/>
      <c r="Z16" s="12"/>
      <c r="AA16" s="12">
        <v>-69</v>
      </c>
      <c r="AB16" s="12">
        <v>-79.400000000000006</v>
      </c>
      <c r="AC16" s="12">
        <v>-88.7</v>
      </c>
      <c r="AD16" s="12">
        <v>-57.9</v>
      </c>
      <c r="AE16" s="12">
        <v>-112.2</v>
      </c>
      <c r="AF16" s="12">
        <v>-151.80000000000001</v>
      </c>
      <c r="AG16" s="12">
        <v>-63.2</v>
      </c>
      <c r="AH16" s="12">
        <v>-63.5</v>
      </c>
      <c r="AI16" s="12">
        <v>70</v>
      </c>
      <c r="AJ16" s="13">
        <f t="shared" ref="AJ16:AS16" si="19">AJ15*-0.206</f>
        <v>-40.034760999999719</v>
      </c>
      <c r="AK16" s="12">
        <f t="shared" si="19"/>
        <v>-68.654920375000017</v>
      </c>
      <c r="AL16" s="12">
        <f t="shared" si="19"/>
        <v>-89.678385639750161</v>
      </c>
      <c r="AM16" s="12">
        <f t="shared" si="19"/>
        <v>-94.162304921737174</v>
      </c>
      <c r="AN16" s="12">
        <f t="shared" si="19"/>
        <v>-98.870420167824506</v>
      </c>
      <c r="AO16" s="12">
        <f t="shared" si="19"/>
        <v>-103.81394117621542</v>
      </c>
      <c r="AP16" s="12">
        <f t="shared" si="19"/>
        <v>-109.00463823502641</v>
      </c>
      <c r="AQ16" s="12">
        <f t="shared" si="19"/>
        <v>-114.45487014677805</v>
      </c>
      <c r="AR16" s="12">
        <f t="shared" si="19"/>
        <v>-120.17761365411644</v>
      </c>
      <c r="AS16" s="12">
        <f t="shared" si="19"/>
        <v>-126.18649433682261</v>
      </c>
    </row>
    <row r="17" spans="3:260" x14ac:dyDescent="0.25">
      <c r="C17" s="1" t="s">
        <v>34</v>
      </c>
      <c r="D17" s="10">
        <f t="shared" ref="D17:S17" si="20">SUM(D15:D16)</f>
        <v>166.20000000000061</v>
      </c>
      <c r="E17" s="10">
        <f t="shared" si="20"/>
        <v>144.09999999999991</v>
      </c>
      <c r="F17" s="10">
        <f t="shared" si="20"/>
        <v>84.999999999999844</v>
      </c>
      <c r="G17" s="10">
        <f t="shared" si="20"/>
        <v>82.900000000000063</v>
      </c>
      <c r="H17" s="10">
        <f t="shared" si="20"/>
        <v>66.199999999999818</v>
      </c>
      <c r="I17" s="10">
        <f t="shared" si="20"/>
        <v>81.800000000000381</v>
      </c>
      <c r="J17" s="10">
        <f t="shared" si="20"/>
        <v>23.499999999999666</v>
      </c>
      <c r="K17" s="10">
        <f t="shared" si="20"/>
        <v>23.499999999999666</v>
      </c>
      <c r="L17" s="10">
        <f t="shared" si="20"/>
        <v>34</v>
      </c>
      <c r="M17" s="10">
        <f t="shared" si="20"/>
        <v>76</v>
      </c>
      <c r="N17" s="10">
        <f t="shared" si="20"/>
        <v>28</v>
      </c>
      <c r="O17" s="10">
        <f t="shared" si="20"/>
        <v>-83.100000000000378</v>
      </c>
      <c r="P17" s="10">
        <f t="shared" si="20"/>
        <v>-77</v>
      </c>
      <c r="Q17" s="10">
        <f t="shared" si="20"/>
        <v>-2529</v>
      </c>
      <c r="R17" s="10">
        <f t="shared" si="20"/>
        <v>-27</v>
      </c>
      <c r="S17" s="10">
        <f t="shared" si="20"/>
        <v>2</v>
      </c>
      <c r="T17" s="10">
        <f t="shared" ref="T17:W17" si="21">SUM(T15:T16)</f>
        <v>-26</v>
      </c>
      <c r="U17" s="10">
        <f t="shared" si="21"/>
        <v>16</v>
      </c>
      <c r="V17" s="10">
        <f t="shared" si="21"/>
        <v>0</v>
      </c>
      <c r="W17" s="10">
        <f t="shared" si="21"/>
        <v>0</v>
      </c>
      <c r="Z17" s="10"/>
      <c r="AA17" s="10">
        <f t="shared" ref="AA17:AF17" si="22">SUM(AA15:AA16)</f>
        <v>239.10000000000088</v>
      </c>
      <c r="AB17" s="10">
        <f t="shared" si="22"/>
        <v>305.19999999999936</v>
      </c>
      <c r="AC17" s="10">
        <f t="shared" si="22"/>
        <v>356.20000000000152</v>
      </c>
      <c r="AD17" s="10">
        <f t="shared" si="22"/>
        <v>277.29999999999956</v>
      </c>
      <c r="AE17" s="10">
        <f t="shared" si="22"/>
        <v>357</v>
      </c>
      <c r="AF17" s="10">
        <f t="shared" si="22"/>
        <v>477.6000000000019</v>
      </c>
      <c r="AG17" s="10">
        <f>SUM(AG15:AG16)</f>
        <v>173.50000000000051</v>
      </c>
      <c r="AH17" s="10">
        <f>SUM(AH15:AH16)</f>
        <v>53.09999999999846</v>
      </c>
      <c r="AI17" s="10">
        <f t="shared" ref="AI17:AS17" si="23">SUM(AI15:AI16)</f>
        <v>-2633</v>
      </c>
      <c r="AJ17" s="11">
        <f t="shared" si="23"/>
        <v>154.30873899999892</v>
      </c>
      <c r="AK17" s="10">
        <f t="shared" si="23"/>
        <v>264.62139212500011</v>
      </c>
      <c r="AL17" s="10">
        <f t="shared" si="23"/>
        <v>345.65358348525064</v>
      </c>
      <c r="AM17" s="10">
        <f t="shared" si="23"/>
        <v>362.93626265951127</v>
      </c>
      <c r="AN17" s="10">
        <f t="shared" si="23"/>
        <v>381.08307579248867</v>
      </c>
      <c r="AO17" s="10">
        <f t="shared" si="23"/>
        <v>400.1372295821119</v>
      </c>
      <c r="AP17" s="10">
        <f t="shared" si="23"/>
        <v>420.14409106121832</v>
      </c>
      <c r="AQ17" s="10">
        <f t="shared" si="23"/>
        <v>441.15129561428046</v>
      </c>
      <c r="AR17" s="10">
        <f t="shared" si="23"/>
        <v>463.20886039499254</v>
      </c>
      <c r="AS17" s="10">
        <f t="shared" si="23"/>
        <v>486.36930341474346</v>
      </c>
      <c r="AT17" s="10">
        <f>AS17*(1+$AV$21)</f>
        <v>481.50561038059601</v>
      </c>
      <c r="AU17" s="10">
        <f t="shared" ref="AU17:DF17" si="24">AT17*(1+$AV$21)</f>
        <v>476.69055427679007</v>
      </c>
      <c r="AV17" s="10">
        <f t="shared" si="24"/>
        <v>471.92364873402215</v>
      </c>
      <c r="AW17" s="10">
        <f t="shared" si="24"/>
        <v>467.2044122466819</v>
      </c>
      <c r="AX17" s="10">
        <f t="shared" si="24"/>
        <v>462.53236812421505</v>
      </c>
      <c r="AY17" s="10">
        <f t="shared" si="24"/>
        <v>457.9070444429729</v>
      </c>
      <c r="AZ17" s="10">
        <f t="shared" si="24"/>
        <v>453.32797399854314</v>
      </c>
      <c r="BA17" s="10">
        <f t="shared" si="24"/>
        <v>448.79469425855768</v>
      </c>
      <c r="BB17" s="10">
        <f t="shared" si="24"/>
        <v>444.30674731597207</v>
      </c>
      <c r="BC17" s="10">
        <f t="shared" si="24"/>
        <v>439.86367984281236</v>
      </c>
      <c r="BD17" s="10">
        <f t="shared" si="24"/>
        <v>435.46504304438423</v>
      </c>
      <c r="BE17" s="10">
        <f t="shared" si="24"/>
        <v>431.11039261394041</v>
      </c>
      <c r="BF17" s="10">
        <f t="shared" si="24"/>
        <v>426.79928868780098</v>
      </c>
      <c r="BG17" s="10">
        <f t="shared" si="24"/>
        <v>422.53129580092298</v>
      </c>
      <c r="BH17" s="10">
        <f t="shared" si="24"/>
        <v>418.30598284291375</v>
      </c>
      <c r="BI17" s="10">
        <f t="shared" si="24"/>
        <v>414.12292301448463</v>
      </c>
      <c r="BJ17" s="10">
        <f t="shared" si="24"/>
        <v>409.98169378433977</v>
      </c>
      <c r="BK17" s="10">
        <f t="shared" si="24"/>
        <v>405.88187684649637</v>
      </c>
      <c r="BL17" s="10">
        <f t="shared" si="24"/>
        <v>401.82305807803141</v>
      </c>
      <c r="BM17" s="10">
        <f t="shared" si="24"/>
        <v>397.8048274972511</v>
      </c>
      <c r="BN17" s="10">
        <f t="shared" si="24"/>
        <v>393.82677922227856</v>
      </c>
      <c r="BO17" s="10">
        <f t="shared" si="24"/>
        <v>389.88851143005576</v>
      </c>
      <c r="BP17" s="10">
        <f t="shared" si="24"/>
        <v>385.98962631575517</v>
      </c>
      <c r="BQ17" s="10">
        <f t="shared" si="24"/>
        <v>382.12973005259761</v>
      </c>
      <c r="BR17" s="10">
        <f t="shared" si="24"/>
        <v>378.30843275207161</v>
      </c>
      <c r="BS17" s="10">
        <f t="shared" si="24"/>
        <v>374.52534842455088</v>
      </c>
      <c r="BT17" s="10">
        <f t="shared" si="24"/>
        <v>370.78009494030539</v>
      </c>
      <c r="BU17" s="10">
        <f t="shared" si="24"/>
        <v>367.07229399090232</v>
      </c>
      <c r="BV17" s="10">
        <f t="shared" si="24"/>
        <v>363.40157105099331</v>
      </c>
      <c r="BW17" s="10">
        <f t="shared" si="24"/>
        <v>359.7675553404834</v>
      </c>
      <c r="BX17" s="10">
        <f t="shared" si="24"/>
        <v>356.16987978707857</v>
      </c>
      <c r="BY17" s="10">
        <f t="shared" si="24"/>
        <v>352.60818098920777</v>
      </c>
      <c r="BZ17" s="10">
        <f t="shared" si="24"/>
        <v>349.08209917931566</v>
      </c>
      <c r="CA17" s="10">
        <f t="shared" si="24"/>
        <v>345.59127818752251</v>
      </c>
      <c r="CB17" s="10">
        <f t="shared" si="24"/>
        <v>342.13536540564729</v>
      </c>
      <c r="CC17" s="10">
        <f t="shared" si="24"/>
        <v>338.71401175159082</v>
      </c>
      <c r="CD17" s="10">
        <f t="shared" si="24"/>
        <v>335.32687163407491</v>
      </c>
      <c r="CE17" s="10">
        <f t="shared" si="24"/>
        <v>331.97360291773413</v>
      </c>
      <c r="CF17" s="10">
        <f t="shared" si="24"/>
        <v>328.65386688855676</v>
      </c>
      <c r="CG17" s="10">
        <f t="shared" si="24"/>
        <v>325.36732821967121</v>
      </c>
      <c r="CH17" s="10">
        <f t="shared" si="24"/>
        <v>322.11365493747451</v>
      </c>
      <c r="CI17" s="10">
        <f t="shared" si="24"/>
        <v>318.89251838809975</v>
      </c>
      <c r="CJ17" s="10">
        <f t="shared" si="24"/>
        <v>315.70359320421875</v>
      </c>
      <c r="CK17" s="10">
        <f t="shared" si="24"/>
        <v>312.54655727217659</v>
      </c>
      <c r="CL17" s="10">
        <f t="shared" si="24"/>
        <v>309.42109169945479</v>
      </c>
      <c r="CM17" s="10">
        <f t="shared" si="24"/>
        <v>306.32688078246025</v>
      </c>
      <c r="CN17" s="10">
        <f t="shared" si="24"/>
        <v>303.26361197463564</v>
      </c>
      <c r="CO17" s="10">
        <f t="shared" si="24"/>
        <v>300.23097585488927</v>
      </c>
      <c r="CP17" s="10">
        <f t="shared" si="24"/>
        <v>297.22866609634036</v>
      </c>
      <c r="CQ17" s="10">
        <f t="shared" si="24"/>
        <v>294.25637943537697</v>
      </c>
      <c r="CR17" s="10">
        <f t="shared" si="24"/>
        <v>291.31381564102321</v>
      </c>
      <c r="CS17" s="10">
        <f t="shared" si="24"/>
        <v>288.40067748461297</v>
      </c>
      <c r="CT17" s="10">
        <f t="shared" si="24"/>
        <v>285.51667070976686</v>
      </c>
      <c r="CU17" s="10">
        <f t="shared" si="24"/>
        <v>282.66150400266918</v>
      </c>
      <c r="CV17" s="10">
        <f t="shared" si="24"/>
        <v>279.83488896264248</v>
      </c>
      <c r="CW17" s="10">
        <f t="shared" si="24"/>
        <v>277.03654007301606</v>
      </c>
      <c r="CX17" s="10">
        <f t="shared" si="24"/>
        <v>274.2661746722859</v>
      </c>
      <c r="CY17" s="10">
        <f t="shared" si="24"/>
        <v>271.52351292556301</v>
      </c>
      <c r="CZ17" s="10">
        <f t="shared" si="24"/>
        <v>268.80827779630738</v>
      </c>
      <c r="DA17" s="10">
        <f t="shared" si="24"/>
        <v>266.1201950183443</v>
      </c>
      <c r="DB17" s="10">
        <f t="shared" si="24"/>
        <v>263.45899306816085</v>
      </c>
      <c r="DC17" s="10">
        <f t="shared" si="24"/>
        <v>260.82440313747924</v>
      </c>
      <c r="DD17" s="10">
        <f t="shared" si="24"/>
        <v>258.21615910610444</v>
      </c>
      <c r="DE17" s="10">
        <f t="shared" si="24"/>
        <v>255.6339975150434</v>
      </c>
      <c r="DF17" s="10">
        <f t="shared" si="24"/>
        <v>253.07765753989298</v>
      </c>
      <c r="DG17" s="10">
        <f t="shared" ref="DG17:FR17" si="25">DF17*(1+$AV$21)</f>
        <v>250.54688096449405</v>
      </c>
      <c r="DH17" s="10">
        <f t="shared" si="25"/>
        <v>248.0414121548491</v>
      </c>
      <c r="DI17" s="10">
        <f t="shared" si="25"/>
        <v>245.56099803330059</v>
      </c>
      <c r="DJ17" s="10">
        <f t="shared" si="25"/>
        <v>243.10538805296758</v>
      </c>
      <c r="DK17" s="10">
        <f t="shared" si="25"/>
        <v>240.67433417243791</v>
      </c>
      <c r="DL17" s="10">
        <f t="shared" si="25"/>
        <v>238.26759083071352</v>
      </c>
      <c r="DM17" s="10">
        <f t="shared" si="25"/>
        <v>235.88491492240638</v>
      </c>
      <c r="DN17" s="10">
        <f t="shared" si="25"/>
        <v>233.52606577318232</v>
      </c>
      <c r="DO17" s="10">
        <f t="shared" si="25"/>
        <v>231.1908051154505</v>
      </c>
      <c r="DP17" s="10">
        <f t="shared" si="25"/>
        <v>228.87889706429598</v>
      </c>
      <c r="DQ17" s="10">
        <f t="shared" si="25"/>
        <v>226.59010809365301</v>
      </c>
      <c r="DR17" s="10">
        <f t="shared" si="25"/>
        <v>224.32420701271647</v>
      </c>
      <c r="DS17" s="10">
        <f t="shared" si="25"/>
        <v>222.0809649425893</v>
      </c>
      <c r="DT17" s="10">
        <f t="shared" si="25"/>
        <v>219.86015529316342</v>
      </c>
      <c r="DU17" s="10">
        <f t="shared" si="25"/>
        <v>217.66155374023177</v>
      </c>
      <c r="DV17" s="10">
        <f t="shared" si="25"/>
        <v>215.48493820282945</v>
      </c>
      <c r="DW17" s="10">
        <f t="shared" si="25"/>
        <v>213.33008882080117</v>
      </c>
      <c r="DX17" s="10">
        <f t="shared" si="25"/>
        <v>211.19678793259314</v>
      </c>
      <c r="DY17" s="10">
        <f t="shared" si="25"/>
        <v>209.08482005326721</v>
      </c>
      <c r="DZ17" s="10">
        <f t="shared" si="25"/>
        <v>206.99397185273455</v>
      </c>
      <c r="EA17" s="10">
        <f t="shared" si="25"/>
        <v>204.92403213420721</v>
      </c>
      <c r="EB17" s="10">
        <f t="shared" si="25"/>
        <v>202.87479181286514</v>
      </c>
      <c r="EC17" s="10">
        <f t="shared" si="25"/>
        <v>200.84604389473648</v>
      </c>
      <c r="ED17" s="10">
        <f t="shared" si="25"/>
        <v>198.83758345578912</v>
      </c>
      <c r="EE17" s="10">
        <f t="shared" si="25"/>
        <v>196.84920762123122</v>
      </c>
      <c r="EF17" s="10">
        <f t="shared" si="25"/>
        <v>194.88071554501892</v>
      </c>
      <c r="EG17" s="10">
        <f t="shared" si="25"/>
        <v>192.93190838956872</v>
      </c>
      <c r="EH17" s="10">
        <f t="shared" si="25"/>
        <v>191.00258930567304</v>
      </c>
      <c r="EI17" s="10">
        <f t="shared" si="25"/>
        <v>189.0925634126163</v>
      </c>
      <c r="EJ17" s="10">
        <f t="shared" si="25"/>
        <v>187.20163777849012</v>
      </c>
      <c r="EK17" s="10">
        <f t="shared" si="25"/>
        <v>185.32962140070521</v>
      </c>
      <c r="EL17" s="10">
        <f t="shared" si="25"/>
        <v>183.47632518669815</v>
      </c>
      <c r="EM17" s="10">
        <f t="shared" si="25"/>
        <v>181.64156193483117</v>
      </c>
      <c r="EN17" s="10">
        <f t="shared" si="25"/>
        <v>179.82514631548287</v>
      </c>
      <c r="EO17" s="10">
        <f t="shared" si="25"/>
        <v>178.02689485232804</v>
      </c>
      <c r="EP17" s="10">
        <f t="shared" si="25"/>
        <v>176.24662590380476</v>
      </c>
      <c r="EQ17" s="10">
        <f t="shared" si="25"/>
        <v>174.48415964476672</v>
      </c>
      <c r="ER17" s="10">
        <f t="shared" si="25"/>
        <v>172.73931804831906</v>
      </c>
      <c r="ES17" s="10">
        <f t="shared" si="25"/>
        <v>171.01192486783586</v>
      </c>
      <c r="ET17" s="10">
        <f t="shared" si="25"/>
        <v>169.30180561915751</v>
      </c>
      <c r="EU17" s="10">
        <f t="shared" si="25"/>
        <v>167.60878756296592</v>
      </c>
      <c r="EV17" s="10">
        <f t="shared" si="25"/>
        <v>165.93269968733625</v>
      </c>
      <c r="EW17" s="10">
        <f t="shared" si="25"/>
        <v>164.27337269046288</v>
      </c>
      <c r="EX17" s="10">
        <f t="shared" si="25"/>
        <v>162.63063896355825</v>
      </c>
      <c r="EY17" s="10">
        <f t="shared" si="25"/>
        <v>161.00433257392268</v>
      </c>
      <c r="EZ17" s="10">
        <f t="shared" si="25"/>
        <v>159.39428924818344</v>
      </c>
      <c r="FA17" s="10">
        <f t="shared" si="25"/>
        <v>157.80034635570161</v>
      </c>
      <c r="FB17" s="10">
        <f t="shared" si="25"/>
        <v>156.22234289214458</v>
      </c>
      <c r="FC17" s="10">
        <f t="shared" si="25"/>
        <v>154.66011946322314</v>
      </c>
      <c r="FD17" s="10">
        <f t="shared" si="25"/>
        <v>153.11351826859089</v>
      </c>
      <c r="FE17" s="10">
        <f t="shared" si="25"/>
        <v>151.58238308590498</v>
      </c>
      <c r="FF17" s="10">
        <f t="shared" si="25"/>
        <v>150.06655925504592</v>
      </c>
      <c r="FG17" s="10">
        <f t="shared" si="25"/>
        <v>148.56589366249545</v>
      </c>
      <c r="FH17" s="10">
        <f t="shared" si="25"/>
        <v>147.0802347258705</v>
      </c>
      <c r="FI17" s="10">
        <f t="shared" si="25"/>
        <v>145.60943237861179</v>
      </c>
      <c r="FJ17" s="10">
        <f t="shared" si="25"/>
        <v>144.15333805482567</v>
      </c>
      <c r="FK17" s="10">
        <f t="shared" si="25"/>
        <v>142.7118046742774</v>
      </c>
      <c r="FL17" s="10">
        <f t="shared" si="25"/>
        <v>141.28468662753463</v>
      </c>
      <c r="FM17" s="10">
        <f t="shared" si="25"/>
        <v>139.87183976125928</v>
      </c>
      <c r="FN17" s="10">
        <f t="shared" si="25"/>
        <v>138.4731213636467</v>
      </c>
      <c r="FO17" s="10">
        <f t="shared" si="25"/>
        <v>137.08839015001024</v>
      </c>
      <c r="FP17" s="10">
        <f t="shared" si="25"/>
        <v>135.71750624851015</v>
      </c>
      <c r="FQ17" s="10">
        <f t="shared" si="25"/>
        <v>134.36033118602504</v>
      </c>
      <c r="FR17" s="10">
        <f t="shared" si="25"/>
        <v>133.01672787416479</v>
      </c>
      <c r="FS17" s="10">
        <f t="shared" ref="FS17:ID17" si="26">FR17*(1+$AV$21)</f>
        <v>131.68656059542315</v>
      </c>
      <c r="FT17" s="10">
        <f t="shared" si="26"/>
        <v>130.36969498946891</v>
      </c>
      <c r="FU17" s="10">
        <f t="shared" si="26"/>
        <v>129.06599803957423</v>
      </c>
      <c r="FV17" s="10">
        <f t="shared" si="26"/>
        <v>127.77533805917848</v>
      </c>
      <c r="FW17" s="10">
        <f t="shared" si="26"/>
        <v>126.49758467858669</v>
      </c>
      <c r="FX17" s="10">
        <f t="shared" si="26"/>
        <v>125.23260883180082</v>
      </c>
      <c r="FY17" s="10">
        <f t="shared" si="26"/>
        <v>123.9802827434828</v>
      </c>
      <c r="FZ17" s="10">
        <f t="shared" si="26"/>
        <v>122.74047991604797</v>
      </c>
      <c r="GA17" s="10">
        <f t="shared" si="26"/>
        <v>121.51307511688749</v>
      </c>
      <c r="GB17" s="10">
        <f t="shared" si="26"/>
        <v>120.29794436571862</v>
      </c>
      <c r="GC17" s="10">
        <f t="shared" si="26"/>
        <v>119.09496492206144</v>
      </c>
      <c r="GD17" s="10">
        <f t="shared" si="26"/>
        <v>117.90401527284082</v>
      </c>
      <c r="GE17" s="10">
        <f t="shared" si="26"/>
        <v>116.72497512011242</v>
      </c>
      <c r="GF17" s="10">
        <f t="shared" si="26"/>
        <v>115.55772536891129</v>
      </c>
      <c r="GG17" s="10">
        <f t="shared" si="26"/>
        <v>114.40214811522218</v>
      </c>
      <c r="GH17" s="10">
        <f t="shared" si="26"/>
        <v>113.25812663406995</v>
      </c>
      <c r="GI17" s="10">
        <f t="shared" si="26"/>
        <v>112.12554536772926</v>
      </c>
      <c r="GJ17" s="10">
        <f t="shared" si="26"/>
        <v>111.00428991405197</v>
      </c>
      <c r="GK17" s="10">
        <f t="shared" si="26"/>
        <v>109.89424701491144</v>
      </c>
      <c r="GL17" s="10">
        <f t="shared" si="26"/>
        <v>108.79530454476233</v>
      </c>
      <c r="GM17" s="10">
        <f t="shared" si="26"/>
        <v>107.70735149931471</v>
      </c>
      <c r="GN17" s="10">
        <f t="shared" si="26"/>
        <v>106.63027798432157</v>
      </c>
      <c r="GO17" s="10">
        <f t="shared" si="26"/>
        <v>105.56397520447835</v>
      </c>
      <c r="GP17" s="10">
        <f t="shared" si="26"/>
        <v>104.50833545243357</v>
      </c>
      <c r="GQ17" s="10">
        <f t="shared" si="26"/>
        <v>103.46325209790923</v>
      </c>
      <c r="GR17" s="10">
        <f t="shared" si="26"/>
        <v>102.42861957693015</v>
      </c>
      <c r="GS17" s="10">
        <f t="shared" si="26"/>
        <v>101.40433338116084</v>
      </c>
      <c r="GT17" s="10">
        <f t="shared" si="26"/>
        <v>100.39029004734923</v>
      </c>
      <c r="GU17" s="10">
        <f t="shared" si="26"/>
        <v>99.386387146875734</v>
      </c>
      <c r="GV17" s="10">
        <f t="shared" si="26"/>
        <v>98.392523275406973</v>
      </c>
      <c r="GW17" s="10">
        <f t="shared" si="26"/>
        <v>97.408598042652898</v>
      </c>
      <c r="GX17" s="10">
        <f t="shared" si="26"/>
        <v>96.434512062226361</v>
      </c>
      <c r="GY17" s="10">
        <f t="shared" si="26"/>
        <v>95.470166941604091</v>
      </c>
      <c r="GZ17" s="10">
        <f t="shared" si="26"/>
        <v>94.515465272188052</v>
      </c>
      <c r="HA17" s="10">
        <f t="shared" si="26"/>
        <v>93.57031061946617</v>
      </c>
      <c r="HB17" s="10">
        <f t="shared" si="26"/>
        <v>92.634607513271504</v>
      </c>
      <c r="HC17" s="10">
        <f t="shared" si="26"/>
        <v>91.708261438138791</v>
      </c>
      <c r="HD17" s="10">
        <f t="shared" si="26"/>
        <v>90.791178823757406</v>
      </c>
      <c r="HE17" s="10">
        <f t="shared" si="26"/>
        <v>89.883267035519836</v>
      </c>
      <c r="HF17" s="10">
        <f t="shared" si="26"/>
        <v>88.984434365164631</v>
      </c>
      <c r="HG17" s="10">
        <f t="shared" si="26"/>
        <v>88.094590021512985</v>
      </c>
      <c r="HH17" s="10">
        <f t="shared" si="26"/>
        <v>87.213644121297861</v>
      </c>
      <c r="HI17" s="10">
        <f t="shared" si="26"/>
        <v>86.341507680084888</v>
      </c>
      <c r="HJ17" s="10">
        <f t="shared" si="26"/>
        <v>85.47809260328404</v>
      </c>
      <c r="HK17" s="10">
        <f t="shared" si="26"/>
        <v>84.623311677251195</v>
      </c>
      <c r="HL17" s="10">
        <f t="shared" si="26"/>
        <v>83.777078560478685</v>
      </c>
      <c r="HM17" s="10">
        <f t="shared" si="26"/>
        <v>82.939307774873896</v>
      </c>
      <c r="HN17" s="10">
        <f t="shared" si="26"/>
        <v>82.109914697125163</v>
      </c>
      <c r="HO17" s="10">
        <f t="shared" si="26"/>
        <v>81.288815550153913</v>
      </c>
      <c r="HP17" s="10">
        <f t="shared" si="26"/>
        <v>80.475927394652373</v>
      </c>
      <c r="HQ17" s="10">
        <f t="shared" si="26"/>
        <v>79.671168120705843</v>
      </c>
      <c r="HR17" s="10">
        <f t="shared" si="26"/>
        <v>78.874456439498786</v>
      </c>
      <c r="HS17" s="10">
        <f t="shared" si="26"/>
        <v>78.085711875103797</v>
      </c>
      <c r="HT17" s="10">
        <f t="shared" si="26"/>
        <v>77.304854756352753</v>
      </c>
      <c r="HU17" s="10">
        <f t="shared" si="26"/>
        <v>76.53180620878922</v>
      </c>
      <c r="HV17" s="10">
        <f t="shared" si="26"/>
        <v>75.76648814670132</v>
      </c>
      <c r="HW17" s="10">
        <f t="shared" si="26"/>
        <v>75.008823265234312</v>
      </c>
      <c r="HX17" s="10">
        <f t="shared" si="26"/>
        <v>74.258735032581967</v>
      </c>
      <c r="HY17" s="10">
        <f t="shared" si="26"/>
        <v>73.516147682256147</v>
      </c>
      <c r="HZ17" s="10">
        <f t="shared" si="26"/>
        <v>72.780986205433578</v>
      </c>
      <c r="IA17" s="10">
        <f t="shared" si="26"/>
        <v>72.053176343379235</v>
      </c>
      <c r="IB17" s="10">
        <f t="shared" si="26"/>
        <v>71.332644579945438</v>
      </c>
      <c r="IC17" s="10">
        <f t="shared" si="26"/>
        <v>70.619318134145985</v>
      </c>
      <c r="ID17" s="10">
        <f t="shared" si="26"/>
        <v>69.913124952804523</v>
      </c>
      <c r="IE17" s="10">
        <f t="shared" ref="IE17:IZ17" si="27">ID17*(1+$AV$21)</f>
        <v>69.213993703276472</v>
      </c>
      <c r="IF17" s="10">
        <f t="shared" si="27"/>
        <v>68.521853766243709</v>
      </c>
      <c r="IG17" s="10">
        <f t="shared" si="27"/>
        <v>67.836635228581272</v>
      </c>
      <c r="IH17" s="10">
        <f t="shared" si="27"/>
        <v>67.158268876295466</v>
      </c>
      <c r="II17" s="10">
        <f t="shared" si="27"/>
        <v>66.486686187532513</v>
      </c>
      <c r="IJ17" s="10">
        <f t="shared" si="27"/>
        <v>65.821819325657188</v>
      </c>
      <c r="IK17" s="10">
        <f t="shared" si="27"/>
        <v>65.163601132400615</v>
      </c>
      <c r="IL17" s="10">
        <f t="shared" si="27"/>
        <v>64.511965121076614</v>
      </c>
      <c r="IM17" s="10">
        <f t="shared" si="27"/>
        <v>63.866845469865844</v>
      </c>
      <c r="IN17" s="10">
        <f t="shared" si="27"/>
        <v>63.228177015167184</v>
      </c>
      <c r="IO17" s="10">
        <f t="shared" si="27"/>
        <v>62.595895245015512</v>
      </c>
      <c r="IP17" s="10">
        <f t="shared" si="27"/>
        <v>61.969936292565357</v>
      </c>
      <c r="IQ17" s="10">
        <f t="shared" si="27"/>
        <v>61.350236929639706</v>
      </c>
      <c r="IR17" s="10">
        <f t="shared" si="27"/>
        <v>60.736734560343308</v>
      </c>
      <c r="IS17" s="10">
        <f t="shared" si="27"/>
        <v>60.129367214739872</v>
      </c>
      <c r="IT17" s="10">
        <f t="shared" si="27"/>
        <v>59.528073542592473</v>
      </c>
      <c r="IU17" s="10">
        <f t="shared" si="27"/>
        <v>58.93279280716655</v>
      </c>
      <c r="IV17" s="10">
        <f t="shared" si="27"/>
        <v>58.343464879094881</v>
      </c>
      <c r="IW17" s="10">
        <f t="shared" si="27"/>
        <v>57.760030230303933</v>
      </c>
      <c r="IX17" s="10">
        <f t="shared" si="27"/>
        <v>57.182429928000893</v>
      </c>
      <c r="IY17" s="10">
        <f t="shared" si="27"/>
        <v>56.610605628720883</v>
      </c>
      <c r="IZ17" s="10">
        <f t="shared" si="27"/>
        <v>56.044499572433672</v>
      </c>
    </row>
    <row r="18" spans="3:260" x14ac:dyDescent="0.25">
      <c r="C18" s="2" t="s">
        <v>38</v>
      </c>
      <c r="D18" s="8">
        <v>113.943776</v>
      </c>
      <c r="E18" s="8">
        <v>113.943776</v>
      </c>
      <c r="F18" s="8">
        <v>113.943776</v>
      </c>
      <c r="G18" s="8">
        <v>113.943776</v>
      </c>
      <c r="H18" s="8">
        <v>113.943776</v>
      </c>
      <c r="I18" s="8">
        <v>113.943776</v>
      </c>
      <c r="J18" s="8">
        <v>113.943776</v>
      </c>
      <c r="K18" s="8">
        <v>113.943776</v>
      </c>
      <c r="L18" s="8">
        <v>113.943776</v>
      </c>
      <c r="M18" s="8">
        <v>457.30010399999998</v>
      </c>
      <c r="N18" s="8">
        <v>457.30010399999998</v>
      </c>
      <c r="O18" s="8">
        <v>457.30010399999998</v>
      </c>
      <c r="P18" s="8">
        <v>457.30010399999998</v>
      </c>
      <c r="Q18" s="8">
        <v>457.30010399999998</v>
      </c>
      <c r="R18" s="23">
        <v>1351.8302180000001</v>
      </c>
      <c r="S18" s="23">
        <v>1351.8302180000001</v>
      </c>
      <c r="T18" s="23">
        <v>1351.8302180000001</v>
      </c>
      <c r="U18" s="23">
        <v>1352.8302180000001</v>
      </c>
      <c r="V18" s="23">
        <v>1353.8302180000001</v>
      </c>
      <c r="W18" s="23">
        <v>1354.8302180000001</v>
      </c>
      <c r="AA18" s="8">
        <v>76.173114999999996</v>
      </c>
      <c r="AB18" s="8">
        <v>77.226501999999996</v>
      </c>
      <c r="AC18" s="8">
        <v>86.472611000000001</v>
      </c>
      <c r="AD18" s="8">
        <v>88.647339000000002</v>
      </c>
      <c r="AE18" s="8">
        <v>93.455077000000003</v>
      </c>
      <c r="AF18" s="8">
        <v>113.118776</v>
      </c>
      <c r="AG18" s="8">
        <v>215.741601</v>
      </c>
      <c r="AH18" s="8">
        <v>386.50019300000002</v>
      </c>
      <c r="AI18" s="23">
        <v>1351.8302180000001</v>
      </c>
      <c r="AJ18" s="5">
        <v>1351.8302180000001</v>
      </c>
      <c r="AK18" s="23">
        <v>1351.8302180000001</v>
      </c>
      <c r="AL18" s="23">
        <v>1351.8302180000001</v>
      </c>
      <c r="AM18" s="23">
        <v>1351.8302180000001</v>
      </c>
      <c r="AN18" s="23">
        <v>1351.8302180000001</v>
      </c>
      <c r="AO18" s="23">
        <v>1351.8302180000001</v>
      </c>
      <c r="AP18" s="23">
        <v>1351.8302180000001</v>
      </c>
      <c r="AQ18" s="23">
        <v>1351.8302180000001</v>
      </c>
      <c r="AR18" s="23">
        <v>1351.8302180000001</v>
      </c>
      <c r="AS18" s="23">
        <v>1351.8302180000001</v>
      </c>
    </row>
    <row r="19" spans="3:260" x14ac:dyDescent="0.25">
      <c r="C19" s="2" t="s">
        <v>35</v>
      </c>
      <c r="D19" s="17">
        <f t="shared" ref="D19:S19" si="28">D17/D18</f>
        <v>1.4586141150877834</v>
      </c>
      <c r="E19" s="17">
        <f t="shared" si="28"/>
        <v>1.264658808568885</v>
      </c>
      <c r="F19" s="17">
        <f t="shared" si="28"/>
        <v>0.7459819481495843</v>
      </c>
      <c r="G19" s="17">
        <f t="shared" si="28"/>
        <v>0.72755180590118462</v>
      </c>
      <c r="H19" s="17">
        <f t="shared" si="28"/>
        <v>0.58098829373532279</v>
      </c>
      <c r="I19" s="17">
        <f t="shared" si="28"/>
        <v>0.71789792186631041</v>
      </c>
      <c r="J19" s="17">
        <f t="shared" si="28"/>
        <v>0.20624206801782369</v>
      </c>
      <c r="K19" s="17">
        <f t="shared" si="28"/>
        <v>0.20624206801782369</v>
      </c>
      <c r="L19" s="17">
        <f t="shared" si="28"/>
        <v>0.29839277925983426</v>
      </c>
      <c r="M19" s="17">
        <f t="shared" si="28"/>
        <v>0.16619283340464755</v>
      </c>
      <c r="N19" s="17">
        <f t="shared" si="28"/>
        <v>6.1228938622764892E-2</v>
      </c>
      <c r="O19" s="17">
        <f t="shared" si="28"/>
        <v>-0.18171874284113521</v>
      </c>
      <c r="P19" s="17">
        <f t="shared" si="28"/>
        <v>-0.16837958121260346</v>
      </c>
      <c r="Q19" s="17">
        <f t="shared" si="28"/>
        <v>-5.5302852063204435</v>
      </c>
      <c r="R19" s="17">
        <f t="shared" si="28"/>
        <v>-1.9972922368865109E-2</v>
      </c>
      <c r="S19" s="17">
        <f t="shared" si="28"/>
        <v>1.4794757310270452E-3</v>
      </c>
      <c r="T19" s="17">
        <f t="shared" ref="T19:W19" si="29">T17/T18</f>
        <v>-1.9233184503351586E-2</v>
      </c>
      <c r="U19" s="17">
        <f t="shared" si="29"/>
        <v>1.1827056926370342E-2</v>
      </c>
      <c r="V19" s="17">
        <f t="shared" si="29"/>
        <v>0</v>
      </c>
      <c r="W19" s="17">
        <f t="shared" si="29"/>
        <v>0</v>
      </c>
      <c r="AA19" s="17">
        <f t="shared" ref="AA19:AF19" si="30">AA17/AA18</f>
        <v>3.1389027480365073</v>
      </c>
      <c r="AB19" s="17">
        <f t="shared" si="30"/>
        <v>3.9520111891122478</v>
      </c>
      <c r="AC19" s="17">
        <f t="shared" si="30"/>
        <v>4.1192233688884627</v>
      </c>
      <c r="AD19" s="17">
        <f t="shared" si="30"/>
        <v>3.1281254815781843</v>
      </c>
      <c r="AE19" s="17">
        <f t="shared" si="30"/>
        <v>3.8200171832291145</v>
      </c>
      <c r="AF19" s="17">
        <f t="shared" si="30"/>
        <v>4.2221107484402225</v>
      </c>
      <c r="AG19" s="17">
        <f>AG17/AG18</f>
        <v>0.80420280185090731</v>
      </c>
      <c r="AH19" s="17">
        <f>AH17/AH18</f>
        <v>0.13738673605267374</v>
      </c>
      <c r="AI19" s="17">
        <f t="shared" ref="AI19:AS19" si="31">AI17/AI18</f>
        <v>-1.947729799897105</v>
      </c>
      <c r="AJ19" s="20">
        <f t="shared" si="31"/>
        <v>0.11414801721794246</v>
      </c>
      <c r="AK19" s="17">
        <f t="shared" si="31"/>
        <v>0.19575046377976446</v>
      </c>
      <c r="AL19" s="17">
        <f t="shared" si="31"/>
        <v>0.25569304405447951</v>
      </c>
      <c r="AM19" s="17">
        <f t="shared" si="31"/>
        <v>0.26847769625720208</v>
      </c>
      <c r="AN19" s="17">
        <f t="shared" si="31"/>
        <v>0.28190158107006352</v>
      </c>
      <c r="AO19" s="17">
        <f t="shared" si="31"/>
        <v>0.29599666012356579</v>
      </c>
      <c r="AP19" s="17">
        <f t="shared" si="31"/>
        <v>0.31079649312974472</v>
      </c>
      <c r="AQ19" s="17">
        <f t="shared" si="31"/>
        <v>0.32633631778623284</v>
      </c>
      <c r="AR19" s="17">
        <f t="shared" si="31"/>
        <v>0.34265313367554306</v>
      </c>
      <c r="AS19" s="17">
        <f t="shared" si="31"/>
        <v>0.35978579035932118</v>
      </c>
    </row>
    <row r="20" spans="3:260" x14ac:dyDescent="0.25">
      <c r="C20" s="1"/>
      <c r="D20" s="18"/>
      <c r="E20" s="18"/>
      <c r="F20" s="18"/>
      <c r="G20" s="18"/>
      <c r="H20" s="16"/>
      <c r="I20" s="16"/>
      <c r="J20" s="16"/>
      <c r="K20" s="16"/>
      <c r="L20" s="16"/>
      <c r="M20" s="16"/>
      <c r="N20" s="16"/>
      <c r="O20" s="16"/>
      <c r="P20" s="16"/>
      <c r="AC20" s="16"/>
      <c r="AD20" s="16"/>
      <c r="AE20" s="16"/>
      <c r="AF20" s="16"/>
      <c r="AG20" s="16"/>
      <c r="AH20" s="16"/>
      <c r="AU20" s="2" t="s">
        <v>127</v>
      </c>
      <c r="AV20" s="24">
        <v>0.09</v>
      </c>
    </row>
    <row r="21" spans="3:260" x14ac:dyDescent="0.25">
      <c r="C21" s="1" t="s">
        <v>10</v>
      </c>
      <c r="D21" s="18"/>
      <c r="E21" s="18"/>
      <c r="F21" s="18"/>
      <c r="G21" s="18"/>
      <c r="H21" s="16">
        <f t="shared" ref="H21:Q21" si="32">(H4-D4)/D4</f>
        <v>0.13899521120475089</v>
      </c>
      <c r="I21" s="16">
        <f t="shared" si="32"/>
        <v>2.1899237437267897E-2</v>
      </c>
      <c r="J21" s="16">
        <f t="shared" si="32"/>
        <v>-5.2967323809846936E-2</v>
      </c>
      <c r="K21" s="16">
        <f t="shared" si="32"/>
        <v>-2.8101821220879557E-2</v>
      </c>
      <c r="L21" s="16">
        <f t="shared" si="32"/>
        <v>-0.12702120285115806</v>
      </c>
      <c r="M21" s="16">
        <f t="shared" si="32"/>
        <v>-0.16353083742585628</v>
      </c>
      <c r="N21" s="16">
        <f t="shared" si="32"/>
        <v>-2.2751701898960947E-2</v>
      </c>
      <c r="O21" s="16">
        <f t="shared" si="32"/>
        <v>-0.1065030455034038</v>
      </c>
      <c r="P21" s="16">
        <f t="shared" si="32"/>
        <v>-0.17452097358881408</v>
      </c>
      <c r="Q21" s="16">
        <f t="shared" si="32"/>
        <v>4.4605413648494088E-2</v>
      </c>
      <c r="R21" s="16">
        <f>(R4-N4)/N4</f>
        <v>-6.709440879926673E-2</v>
      </c>
      <c r="S21" s="16">
        <f>(S4-O4)/O4</f>
        <v>1.3734335839598998E-2</v>
      </c>
      <c r="T21" s="16">
        <f t="shared" ref="T21:W21" si="33">(T4-P4)/P4</f>
        <v>0.14742785445420326</v>
      </c>
      <c r="U21" s="16">
        <f t="shared" si="33"/>
        <v>1.8248175182481751E-4</v>
      </c>
      <c r="V21" s="16">
        <f t="shared" si="33"/>
        <v>-1</v>
      </c>
      <c r="W21" s="16">
        <f t="shared" si="33"/>
        <v>-1</v>
      </c>
      <c r="X21" s="1"/>
      <c r="AA21" s="16"/>
      <c r="AB21" s="16">
        <f t="shared" ref="AB21:AG21" si="34">(AB4-AA4)/AA4</f>
        <v>0.10684274999462715</v>
      </c>
      <c r="AC21" s="16">
        <f t="shared" si="34"/>
        <v>0.21699917479734002</v>
      </c>
      <c r="AD21" s="16">
        <f t="shared" si="34"/>
        <v>5.2625700997949762E-2</v>
      </c>
      <c r="AE21" s="16">
        <f t="shared" si="34"/>
        <v>0.1388817315124968</v>
      </c>
      <c r="AF21" s="16">
        <f t="shared" si="34"/>
        <v>0.57046180463135487</v>
      </c>
      <c r="AG21" s="16">
        <f t="shared" si="34"/>
        <v>-1.0126732455118853E-3</v>
      </c>
      <c r="AH21" s="16">
        <f>(AH4-AG4)/AG4</f>
        <v>-8.886626797302459E-2</v>
      </c>
      <c r="AI21" s="16">
        <f t="shared" ref="AI21:AS21" si="35">(AI4-AH4)/AH4</f>
        <v>-5.0033051234067878E-2</v>
      </c>
      <c r="AJ21" s="21">
        <f t="shared" si="35"/>
        <v>7.4999999999999886E-2</v>
      </c>
      <c r="AK21" s="16">
        <f t="shared" si="35"/>
        <v>7.4999999999999928E-2</v>
      </c>
      <c r="AL21" s="16">
        <f t="shared" si="35"/>
        <v>5.0000000000000093E-2</v>
      </c>
      <c r="AM21" s="16">
        <f t="shared" si="35"/>
        <v>5.0000000000000031E-2</v>
      </c>
      <c r="AN21" s="16">
        <f t="shared" si="35"/>
        <v>5.0000000000000037E-2</v>
      </c>
      <c r="AO21" s="16">
        <f t="shared" si="35"/>
        <v>5.00000000000001E-2</v>
      </c>
      <c r="AP21" s="16">
        <f t="shared" si="35"/>
        <v>5.0000000000000058E-2</v>
      </c>
      <c r="AQ21" s="16">
        <f t="shared" si="35"/>
        <v>0.05</v>
      </c>
      <c r="AR21" s="16">
        <f t="shared" si="35"/>
        <v>0.05</v>
      </c>
      <c r="AS21" s="16">
        <f t="shared" si="35"/>
        <v>5.0000000000000079E-2</v>
      </c>
      <c r="AU21" s="2" t="s">
        <v>128</v>
      </c>
      <c r="AV21" s="24">
        <v>-0.01</v>
      </c>
    </row>
    <row r="22" spans="3:260" x14ac:dyDescent="0.25">
      <c r="C22" s="1" t="s">
        <v>164</v>
      </c>
      <c r="D22" s="16">
        <v>8.2000000000000003E-2</v>
      </c>
      <c r="E22" s="16">
        <v>0.106</v>
      </c>
      <c r="F22" s="16">
        <v>0.19700000000000001</v>
      </c>
      <c r="G22" s="16">
        <v>0.15</v>
      </c>
      <c r="H22" s="16">
        <v>8.5000000000000006E-2</v>
      </c>
      <c r="I22" s="16">
        <v>-2.4E-2</v>
      </c>
      <c r="J22" s="16">
        <v>-9.4E-2</v>
      </c>
      <c r="K22" s="16">
        <v>-0.16900000000000001</v>
      </c>
      <c r="L22" s="16">
        <v>-0.16200000000000001</v>
      </c>
      <c r="M22" s="16">
        <v>-0.16400000000000001</v>
      </c>
      <c r="N22" s="16">
        <v>-3.5000000000000003E-2</v>
      </c>
      <c r="O22" s="16">
        <v>1E-3</v>
      </c>
      <c r="P22" s="16">
        <v>-0.16200000000000001</v>
      </c>
      <c r="Q22" s="16">
        <v>3.6999999999999998E-2</v>
      </c>
      <c r="R22" s="16">
        <v>-2.9000000000000001E-2</v>
      </c>
      <c r="S22" s="16">
        <v>3.5999999999999997E-2</v>
      </c>
      <c r="T22" s="16">
        <v>0.18099999999999999</v>
      </c>
      <c r="U22" s="16">
        <v>4.3999999999999997E-2</v>
      </c>
      <c r="V22" s="16"/>
      <c r="W22" s="16"/>
      <c r="X22" s="16"/>
      <c r="Y22" s="18"/>
      <c r="AA22" s="16"/>
      <c r="AB22" s="16"/>
      <c r="AC22" s="16"/>
      <c r="AD22" s="16"/>
      <c r="AE22" s="16"/>
      <c r="AF22" s="16"/>
      <c r="AG22" s="16"/>
      <c r="AH22" s="16"/>
      <c r="AI22" s="16"/>
      <c r="AJ22" s="21"/>
      <c r="AK22" s="16"/>
      <c r="AL22" s="16"/>
      <c r="AM22" s="16"/>
      <c r="AN22" s="16"/>
      <c r="AO22" s="16"/>
      <c r="AP22" s="16"/>
      <c r="AQ22" s="16"/>
      <c r="AR22" s="16"/>
      <c r="AS22" s="16"/>
      <c r="AU22" s="25" t="s">
        <v>129</v>
      </c>
      <c r="AV22" s="26">
        <f>NPV(AV20,AJ17:IZ17)</f>
        <v>4278.4677494644784</v>
      </c>
    </row>
    <row r="23" spans="3:260" x14ac:dyDescent="0.25">
      <c r="C23" s="2" t="s">
        <v>36</v>
      </c>
      <c r="D23" s="18">
        <f t="shared" ref="D23:S23" si="36">D6/D4</f>
        <v>0.15351607421774438</v>
      </c>
      <c r="E23" s="18">
        <f t="shared" si="36"/>
        <v>0.14721697190901389</v>
      </c>
      <c r="F23" s="18">
        <f t="shared" si="36"/>
        <v>0.14288622713854296</v>
      </c>
      <c r="G23" s="18">
        <f t="shared" si="36"/>
        <v>0.14242434794720898</v>
      </c>
      <c r="H23" s="18">
        <f t="shared" si="36"/>
        <v>0.13452583673653912</v>
      </c>
      <c r="I23" s="18">
        <f t="shared" si="36"/>
        <v>0.14583200459212964</v>
      </c>
      <c r="J23" s="18">
        <f t="shared" si="36"/>
        <v>0.15351128627731989</v>
      </c>
      <c r="K23" s="18">
        <f t="shared" si="36"/>
        <v>0.15351128627731989</v>
      </c>
      <c r="L23" s="18">
        <f t="shared" si="36"/>
        <v>0.1532884515794925</v>
      </c>
      <c r="M23" s="18">
        <f t="shared" si="36"/>
        <v>0.16317194052611514</v>
      </c>
      <c r="N23" s="18">
        <f t="shared" si="36"/>
        <v>0.15050412465627863</v>
      </c>
      <c r="O23" s="18">
        <f t="shared" si="36"/>
        <v>0.1291027568922305</v>
      </c>
      <c r="P23" s="18">
        <f t="shared" si="36"/>
        <v>0.14282726892513592</v>
      </c>
      <c r="Q23" s="18">
        <f t="shared" si="36"/>
        <v>0.13905109489051096</v>
      </c>
      <c r="R23" s="18">
        <f t="shared" si="36"/>
        <v>0.13362153664767146</v>
      </c>
      <c r="S23" s="18">
        <f t="shared" si="36"/>
        <v>0.12697784810126583</v>
      </c>
      <c r="T23" s="18">
        <f t="shared" ref="T23:W23" si="37">T6/T4</f>
        <v>0.13140149444140697</v>
      </c>
      <c r="U23" s="18">
        <f t="shared" si="37"/>
        <v>0.13209268381682174</v>
      </c>
      <c r="V23" s="18" t="e">
        <f t="shared" si="37"/>
        <v>#DIV/0!</v>
      </c>
      <c r="W23" s="18" t="e">
        <f t="shared" si="37"/>
        <v>#DIV/0!</v>
      </c>
      <c r="AA23" s="18">
        <f t="shared" ref="AA23:AS23" si="38">AA6/AA4</f>
        <v>0.14823451032644913</v>
      </c>
      <c r="AB23" s="18">
        <f t="shared" si="38"/>
        <v>0.15890490752876066</v>
      </c>
      <c r="AC23" s="18">
        <f t="shared" si="38"/>
        <v>0.16667597341991283</v>
      </c>
      <c r="AD23" s="18">
        <f t="shared" si="38"/>
        <v>0.15485699561968563</v>
      </c>
      <c r="AE23" s="18">
        <f t="shared" si="38"/>
        <v>0.16522491349480969</v>
      </c>
      <c r="AF23" s="18">
        <f t="shared" si="38"/>
        <v>0.1465028876017441</v>
      </c>
      <c r="AG23" s="18">
        <f t="shared" si="38"/>
        <v>0.14455613521652461</v>
      </c>
      <c r="AH23" s="18">
        <f t="shared" si="38"/>
        <v>0.14936364736660795</v>
      </c>
      <c r="AI23" s="18">
        <f t="shared" si="38"/>
        <v>0.13559072867153427</v>
      </c>
      <c r="AJ23" s="22">
        <f t="shared" si="38"/>
        <v>0.13999999999999996</v>
      </c>
      <c r="AK23" s="18">
        <f t="shared" si="38"/>
        <v>0.14000000000000004</v>
      </c>
      <c r="AL23" s="18">
        <f t="shared" si="38"/>
        <v>0.14000000000000004</v>
      </c>
      <c r="AM23" s="18">
        <f t="shared" si="38"/>
        <v>0.13999999999999996</v>
      </c>
      <c r="AN23" s="18">
        <f t="shared" si="38"/>
        <v>0.14000000000000004</v>
      </c>
      <c r="AO23" s="18">
        <f t="shared" si="38"/>
        <v>0.13999999999999999</v>
      </c>
      <c r="AP23" s="18">
        <f t="shared" si="38"/>
        <v>0.14000000000000001</v>
      </c>
      <c r="AQ23" s="18">
        <f t="shared" si="38"/>
        <v>0.14000000000000007</v>
      </c>
      <c r="AR23" s="18">
        <f t="shared" si="38"/>
        <v>0.13999999999999999</v>
      </c>
      <c r="AS23" s="18">
        <f t="shared" si="38"/>
        <v>0.14000000000000004</v>
      </c>
      <c r="AU23" s="2" t="s">
        <v>2</v>
      </c>
      <c r="AV23" s="8">
        <v>1351.8302180000001</v>
      </c>
    </row>
    <row r="24" spans="3:260" x14ac:dyDescent="0.25">
      <c r="C24" s="2" t="s">
        <v>11</v>
      </c>
      <c r="D24" s="18">
        <f t="shared" ref="D24:S24" si="39">D12/D4</f>
        <v>4.3099157240692847E-2</v>
      </c>
      <c r="E24" s="18">
        <f t="shared" si="39"/>
        <v>3.5863260118620857E-2</v>
      </c>
      <c r="F24" s="18">
        <f t="shared" si="39"/>
        <v>2.3803060635879312E-2</v>
      </c>
      <c r="G24" s="18">
        <f t="shared" si="39"/>
        <v>2.5577184246265292E-2</v>
      </c>
      <c r="H24" s="18">
        <f t="shared" si="39"/>
        <v>2.0705556141593424E-2</v>
      </c>
      <c r="I24" s="18">
        <f t="shared" si="39"/>
        <v>2.5113208750558128E-2</v>
      </c>
      <c r="J24" s="18">
        <f t="shared" si="39"/>
        <v>1.7377284127552791E-2</v>
      </c>
      <c r="K24" s="18">
        <f t="shared" si="39"/>
        <v>1.7377284127552791E-2</v>
      </c>
      <c r="L24" s="18">
        <f t="shared" si="39"/>
        <v>2.24408769204212E-2</v>
      </c>
      <c r="M24" s="18">
        <f t="shared" si="39"/>
        <v>2.7068242470453679E-2</v>
      </c>
      <c r="N24" s="18">
        <f t="shared" si="39"/>
        <v>1.5948670944087993E-2</v>
      </c>
      <c r="O24" s="18">
        <f t="shared" si="39"/>
        <v>-5.0325814536341627E-3</v>
      </c>
      <c r="P24" s="18">
        <f t="shared" si="39"/>
        <v>-1.0874111250522794E-2</v>
      </c>
      <c r="Q24" s="18">
        <f t="shared" si="39"/>
        <v>-0.45675182481751825</v>
      </c>
      <c r="R24" s="18">
        <f t="shared" si="39"/>
        <v>2.1615248575358615E-3</v>
      </c>
      <c r="S24" s="18">
        <f t="shared" si="39"/>
        <v>4.1534810126582274E-3</v>
      </c>
      <c r="T24" s="18">
        <f t="shared" ref="T24:W24" si="40">T12/T4</f>
        <v>1.2757426644796792E-3</v>
      </c>
      <c r="U24" s="18">
        <f t="shared" si="40"/>
        <v>7.8452837073526727E-3</v>
      </c>
      <c r="V24" s="18" t="e">
        <f t="shared" si="40"/>
        <v>#DIV/0!</v>
      </c>
      <c r="W24" s="18" t="e">
        <f t="shared" si="40"/>
        <v>#DIV/0!</v>
      </c>
      <c r="AA24" s="18">
        <f t="shared" ref="AA24:AS24" si="41">AA12/AA4</f>
        <v>3.7555608089230932E-2</v>
      </c>
      <c r="AB24" s="18">
        <f t="shared" si="41"/>
        <v>4.3085287121984304E-2</v>
      </c>
      <c r="AC24" s="18">
        <f t="shared" si="41"/>
        <v>3.9016568679850462E-2</v>
      </c>
      <c r="AD24" s="18">
        <f t="shared" si="41"/>
        <v>2.9343559119086919E-2</v>
      </c>
      <c r="AE24" s="18">
        <f t="shared" si="41"/>
        <v>3.8348416289592756E-2</v>
      </c>
      <c r="AF24" s="18">
        <f t="shared" si="41"/>
        <v>3.2117419250960851E-2</v>
      </c>
      <c r="AG24" s="18">
        <f t="shared" si="41"/>
        <v>1.9769266658183845E-2</v>
      </c>
      <c r="AH24" s="18">
        <f t="shared" si="41"/>
        <v>1.5478218771238839E-2</v>
      </c>
      <c r="AI24" s="18">
        <f t="shared" si="41"/>
        <v>-0.12363404714068701</v>
      </c>
      <c r="AJ24" s="22">
        <f t="shared" si="41"/>
        <v>8.858952867290118E-3</v>
      </c>
      <c r="AK24" s="18">
        <f t="shared" si="41"/>
        <v>1.4132153775058318E-2</v>
      </c>
      <c r="AL24" s="18">
        <f t="shared" si="41"/>
        <v>1.7580659765535279E-2</v>
      </c>
      <c r="AM24" s="18">
        <f t="shared" si="41"/>
        <v>1.7580659765535186E-2</v>
      </c>
      <c r="AN24" s="18">
        <f t="shared" si="41"/>
        <v>1.7580659765535269E-2</v>
      </c>
      <c r="AO24" s="18">
        <f t="shared" si="41"/>
        <v>1.7580659765535217E-2</v>
      </c>
      <c r="AP24" s="18">
        <f t="shared" si="41"/>
        <v>1.7580659765535248E-2</v>
      </c>
      <c r="AQ24" s="18">
        <f t="shared" si="41"/>
        <v>1.7580659765535297E-2</v>
      </c>
      <c r="AR24" s="18">
        <f t="shared" si="41"/>
        <v>1.7580659765535224E-2</v>
      </c>
      <c r="AS24" s="18">
        <f t="shared" si="41"/>
        <v>1.7580659765535269E-2</v>
      </c>
      <c r="AU24" s="2" t="s">
        <v>130</v>
      </c>
      <c r="AV24" s="19">
        <f>AV22/AV23</f>
        <v>3.1649446006572979</v>
      </c>
    </row>
    <row r="25" spans="3:260" x14ac:dyDescent="0.25">
      <c r="C25" s="2" t="s">
        <v>37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W25" s="18"/>
      <c r="X25" s="18"/>
      <c r="Y25" s="18"/>
      <c r="AA25" s="18">
        <v>0.161</v>
      </c>
      <c r="AB25" s="18">
        <v>0.185</v>
      </c>
      <c r="AC25" s="18">
        <v>0.14499999999999999</v>
      </c>
      <c r="AD25" s="18">
        <v>0.14499999999999999</v>
      </c>
      <c r="AE25" s="18">
        <v>7.5999999999999998E-2</v>
      </c>
      <c r="AF25" s="18">
        <v>9.4E-2</v>
      </c>
      <c r="AG25" s="18">
        <v>3.2000000000000001E-2</v>
      </c>
      <c r="AH25" s="18">
        <v>8.0000000000000002E-3</v>
      </c>
      <c r="AI25" s="18">
        <f>AI17/S47</f>
        <v>-0.47820559389756628</v>
      </c>
      <c r="AU25" s="1" t="s">
        <v>131</v>
      </c>
      <c r="AV25" s="16">
        <f>(AV24-B4)/B4</f>
        <v>0.88389559562934406</v>
      </c>
    </row>
    <row r="26" spans="3:260" x14ac:dyDescent="0.25"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W26" s="18"/>
      <c r="X26" s="18"/>
      <c r="Y26" s="18"/>
      <c r="AA26" s="18"/>
      <c r="AB26" s="18"/>
      <c r="AC26" s="18"/>
      <c r="AD26" s="18"/>
      <c r="AE26" s="18"/>
      <c r="AF26" s="18"/>
      <c r="AG26" s="18"/>
      <c r="AH26" s="18"/>
      <c r="AI26" s="18"/>
      <c r="AU26" s="1"/>
      <c r="AV26" s="16"/>
    </row>
    <row r="27" spans="3:260" x14ac:dyDescent="0.25">
      <c r="C27" s="2" t="s">
        <v>165</v>
      </c>
      <c r="D27" s="2">
        <v>358</v>
      </c>
      <c r="E27" s="2">
        <v>336</v>
      </c>
      <c r="F27" s="49">
        <v>260.7</v>
      </c>
      <c r="G27" s="2">
        <v>260</v>
      </c>
      <c r="H27" s="2">
        <v>259</v>
      </c>
      <c r="I27" s="2">
        <v>269</v>
      </c>
      <c r="J27" s="2">
        <v>228</v>
      </c>
      <c r="K27" s="2">
        <v>203</v>
      </c>
      <c r="L27" s="2">
        <v>256</v>
      </c>
      <c r="M27" s="2">
        <v>261</v>
      </c>
      <c r="N27" s="2">
        <v>191</v>
      </c>
      <c r="O27" s="2">
        <v>91</v>
      </c>
      <c r="P27" s="2">
        <v>84</v>
      </c>
      <c r="Q27" s="2">
        <v>173</v>
      </c>
      <c r="R27" s="2">
        <v>131</v>
      </c>
      <c r="S27" s="2">
        <v>140</v>
      </c>
      <c r="T27" s="2">
        <v>139</v>
      </c>
      <c r="U27" s="2">
        <v>158</v>
      </c>
      <c r="X27" s="18"/>
      <c r="Y27" s="18"/>
      <c r="AA27" s="18"/>
      <c r="AB27" s="18"/>
      <c r="AC27" s="18"/>
      <c r="AD27" s="18"/>
      <c r="AE27" s="18"/>
      <c r="AF27" s="18"/>
      <c r="AG27" s="18"/>
      <c r="AH27" s="18"/>
      <c r="AI27" s="18"/>
      <c r="AU27" s="1"/>
      <c r="AV27" s="16"/>
    </row>
    <row r="28" spans="3:260" x14ac:dyDescent="0.25">
      <c r="C28" s="2" t="s">
        <v>166</v>
      </c>
      <c r="G28" s="49">
        <f>SUM(D27:G27)</f>
        <v>1214.7</v>
      </c>
      <c r="H28" s="49">
        <f>SUM(E27:H27)</f>
        <v>1115.7</v>
      </c>
      <c r="I28" s="49">
        <f t="shared" ref="I28:S28" si="42">SUM(F27:I27)</f>
        <v>1048.7</v>
      </c>
      <c r="J28" s="2">
        <f t="shared" si="42"/>
        <v>1016</v>
      </c>
      <c r="K28" s="2">
        <f t="shared" si="42"/>
        <v>959</v>
      </c>
      <c r="L28" s="2">
        <f t="shared" si="42"/>
        <v>956</v>
      </c>
      <c r="M28" s="2">
        <f t="shared" si="42"/>
        <v>948</v>
      </c>
      <c r="N28" s="2">
        <f t="shared" si="42"/>
        <v>911</v>
      </c>
      <c r="O28" s="2">
        <f t="shared" si="42"/>
        <v>799</v>
      </c>
      <c r="P28" s="2">
        <f t="shared" si="42"/>
        <v>627</v>
      </c>
      <c r="Q28" s="2">
        <f t="shared" si="42"/>
        <v>539</v>
      </c>
      <c r="R28" s="2">
        <f t="shared" si="42"/>
        <v>479</v>
      </c>
      <c r="S28" s="2">
        <f t="shared" si="42"/>
        <v>528</v>
      </c>
      <c r="T28" s="2">
        <f>SUM(Q27:T27)</f>
        <v>583</v>
      </c>
      <c r="U28" s="2">
        <f t="shared" ref="U28:W28" si="43">SUM(R27:U27)</f>
        <v>568</v>
      </c>
      <c r="V28" s="2">
        <f t="shared" si="43"/>
        <v>437</v>
      </c>
      <c r="W28" s="2">
        <f t="shared" si="43"/>
        <v>297</v>
      </c>
      <c r="X28" s="18"/>
      <c r="Y28" s="18"/>
      <c r="AA28" s="18"/>
      <c r="AB28" s="18"/>
      <c r="AC28" s="18"/>
      <c r="AD28" s="18"/>
      <c r="AE28" s="18"/>
      <c r="AF28" s="18"/>
      <c r="AG28" s="18"/>
      <c r="AH28" s="18"/>
      <c r="AI28" s="18"/>
      <c r="AU28" s="1"/>
      <c r="AV28" s="16"/>
    </row>
    <row r="29" spans="3:260" x14ac:dyDescent="0.25"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W29" s="18"/>
      <c r="X29" s="18"/>
      <c r="Y29" s="18"/>
      <c r="AA29" s="18"/>
      <c r="AB29" s="18"/>
      <c r="AC29" s="18"/>
      <c r="AD29" s="18"/>
      <c r="AE29" s="18"/>
      <c r="AF29" s="18"/>
      <c r="AG29" s="18"/>
      <c r="AH29" s="18"/>
      <c r="AI29" s="18"/>
      <c r="AU29" s="1"/>
      <c r="AV29" s="16"/>
    </row>
    <row r="30" spans="3:260" x14ac:dyDescent="0.25">
      <c r="C30" s="1" t="s">
        <v>72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3:260" x14ac:dyDescent="0.25">
      <c r="C31" s="2" t="s">
        <v>43</v>
      </c>
      <c r="D31" s="12">
        <v>7799.9</v>
      </c>
      <c r="E31" s="12">
        <v>8070.7</v>
      </c>
      <c r="F31" s="12">
        <v>7986.7</v>
      </c>
      <c r="G31" s="12">
        <v>8097</v>
      </c>
      <c r="H31" s="12">
        <v>8226.7000000000007</v>
      </c>
      <c r="I31" s="12">
        <v>8256.2999999999993</v>
      </c>
      <c r="J31" s="12">
        <v>8623</v>
      </c>
      <c r="K31" s="12">
        <v>8623</v>
      </c>
      <c r="L31" s="12">
        <v>8484</v>
      </c>
      <c r="M31" s="12">
        <v>8359</v>
      </c>
      <c r="N31" s="12">
        <v>8490</v>
      </c>
      <c r="O31" s="12">
        <v>8489.6</v>
      </c>
      <c r="P31" s="12">
        <v>8539</v>
      </c>
      <c r="Q31" s="12">
        <v>5886</v>
      </c>
      <c r="R31" s="12">
        <v>5767</v>
      </c>
      <c r="S31" s="12">
        <v>5832</v>
      </c>
      <c r="T31" s="12">
        <v>5797</v>
      </c>
      <c r="U31" s="12">
        <v>5693</v>
      </c>
      <c r="V31" s="12"/>
      <c r="W31" s="12"/>
    </row>
    <row r="32" spans="3:260" x14ac:dyDescent="0.25">
      <c r="C32" s="2" t="s">
        <v>44</v>
      </c>
      <c r="D32" s="12">
        <v>731.6</v>
      </c>
      <c r="E32" s="12">
        <v>723</v>
      </c>
      <c r="F32" s="12">
        <v>693.8</v>
      </c>
      <c r="G32" s="12">
        <v>674.9</v>
      </c>
      <c r="H32" s="12">
        <v>658.2</v>
      </c>
      <c r="I32" s="12">
        <v>636</v>
      </c>
      <c r="J32" s="12">
        <v>628.79999999999995</v>
      </c>
      <c r="K32" s="12">
        <v>628.79999999999995</v>
      </c>
      <c r="L32" s="12">
        <v>572</v>
      </c>
      <c r="M32" s="12">
        <v>543</v>
      </c>
      <c r="N32" s="12">
        <v>524</v>
      </c>
      <c r="O32" s="12">
        <v>523.70000000000005</v>
      </c>
      <c r="P32" s="12">
        <v>468</v>
      </c>
      <c r="Q32" s="12">
        <v>410</v>
      </c>
      <c r="R32" s="12">
        <v>386</v>
      </c>
      <c r="S32" s="12">
        <v>372</v>
      </c>
      <c r="T32" s="12">
        <v>365</v>
      </c>
      <c r="U32" s="12">
        <v>357</v>
      </c>
      <c r="V32" s="12"/>
      <c r="W32" s="12"/>
    </row>
    <row r="33" spans="3:25" x14ac:dyDescent="0.25">
      <c r="C33" s="2" t="s">
        <v>45</v>
      </c>
      <c r="D33" s="12">
        <v>213.4</v>
      </c>
      <c r="E33" s="12">
        <v>243.6</v>
      </c>
      <c r="F33" s="12">
        <v>269.5</v>
      </c>
      <c r="G33" s="12">
        <v>290.7</v>
      </c>
      <c r="H33" s="12">
        <v>318.8</v>
      </c>
      <c r="I33" s="12">
        <v>355.4</v>
      </c>
      <c r="J33" s="12">
        <v>395</v>
      </c>
      <c r="K33" s="12">
        <v>395</v>
      </c>
      <c r="L33" s="12">
        <v>460</v>
      </c>
      <c r="M33" s="12">
        <v>484</v>
      </c>
      <c r="N33" s="12">
        <v>519</v>
      </c>
      <c r="O33" s="12">
        <v>518.5</v>
      </c>
      <c r="P33" s="12">
        <v>553</v>
      </c>
      <c r="Q33" s="12">
        <v>538</v>
      </c>
      <c r="R33" s="12">
        <v>540</v>
      </c>
      <c r="S33" s="12">
        <v>545</v>
      </c>
      <c r="T33" s="12">
        <v>546</v>
      </c>
      <c r="U33" s="12">
        <v>540</v>
      </c>
      <c r="V33" s="12"/>
      <c r="W33" s="12"/>
    </row>
    <row r="34" spans="3:25" x14ac:dyDescent="0.25">
      <c r="C34" s="2" t="s">
        <v>46</v>
      </c>
      <c r="D34" s="12">
        <v>140.9</v>
      </c>
      <c r="E34" s="12">
        <v>141.1</v>
      </c>
      <c r="F34" s="12">
        <v>133.19999999999999</v>
      </c>
      <c r="G34" s="12">
        <v>130</v>
      </c>
      <c r="H34" s="12">
        <v>126.4</v>
      </c>
      <c r="I34" s="12">
        <v>116.4</v>
      </c>
      <c r="J34" s="12">
        <v>117.6</v>
      </c>
      <c r="K34" s="12">
        <v>117.6</v>
      </c>
      <c r="L34" s="12">
        <v>118</v>
      </c>
      <c r="M34" s="12">
        <v>112</v>
      </c>
      <c r="N34" s="12">
        <v>119</v>
      </c>
      <c r="O34" s="12">
        <v>118.6</v>
      </c>
      <c r="P34" s="12">
        <v>104</v>
      </c>
      <c r="Q34" s="12">
        <v>82</v>
      </c>
      <c r="R34" s="12">
        <v>75</v>
      </c>
      <c r="S34" s="12">
        <v>70</v>
      </c>
      <c r="T34" s="12">
        <v>67</v>
      </c>
      <c r="U34" s="12">
        <v>65</v>
      </c>
      <c r="V34" s="12"/>
      <c r="W34" s="12"/>
    </row>
    <row r="35" spans="3:25" x14ac:dyDescent="0.25">
      <c r="C35" s="2" t="s">
        <v>47</v>
      </c>
      <c r="D35" s="12">
        <v>552.9</v>
      </c>
      <c r="E35" s="12">
        <v>565</v>
      </c>
      <c r="F35" s="12">
        <v>530.70000000000005</v>
      </c>
      <c r="G35" s="12">
        <v>512.5</v>
      </c>
      <c r="H35" s="12">
        <v>482.5</v>
      </c>
      <c r="I35" s="12">
        <v>462</v>
      </c>
      <c r="J35" s="12">
        <v>500.2</v>
      </c>
      <c r="K35" s="12">
        <v>500.2</v>
      </c>
      <c r="L35" s="12">
        <v>473</v>
      </c>
      <c r="M35" s="12">
        <v>502</v>
      </c>
      <c r="N35" s="12">
        <v>533</v>
      </c>
      <c r="O35" s="12">
        <v>533.1</v>
      </c>
      <c r="P35" s="12">
        <v>537</v>
      </c>
      <c r="Q35" s="12">
        <v>565</v>
      </c>
      <c r="R35" s="12">
        <v>531</v>
      </c>
      <c r="S35" s="12">
        <v>499</v>
      </c>
      <c r="T35" s="12">
        <v>450</v>
      </c>
      <c r="U35" s="12">
        <v>448</v>
      </c>
      <c r="V35" s="12"/>
      <c r="W35" s="12"/>
    </row>
    <row r="36" spans="3:25" x14ac:dyDescent="0.25">
      <c r="C36" s="2" t="s">
        <v>48</v>
      </c>
      <c r="D36" s="12">
        <v>5.3</v>
      </c>
      <c r="E36" s="12">
        <v>5.6</v>
      </c>
      <c r="F36" s="12">
        <v>5.4</v>
      </c>
      <c r="G36" s="12">
        <v>14.5</v>
      </c>
      <c r="H36" s="12">
        <v>15.7</v>
      </c>
      <c r="I36" s="12">
        <v>15.6</v>
      </c>
      <c r="J36" s="12">
        <v>6.5</v>
      </c>
      <c r="K36" s="12">
        <v>6.5</v>
      </c>
      <c r="L36" s="12">
        <v>110</v>
      </c>
      <c r="M36" s="12">
        <v>110</v>
      </c>
      <c r="N36" s="12">
        <v>111</v>
      </c>
      <c r="O36" s="12">
        <v>110.5</v>
      </c>
      <c r="P36" s="12">
        <v>108</v>
      </c>
      <c r="Q36" s="12">
        <v>176</v>
      </c>
      <c r="R36" s="12">
        <v>153</v>
      </c>
      <c r="S36" s="2">
        <v>149</v>
      </c>
      <c r="T36" s="12">
        <v>168</v>
      </c>
      <c r="U36" s="12">
        <v>181</v>
      </c>
      <c r="V36" s="12"/>
      <c r="W36" s="12"/>
    </row>
    <row r="37" spans="3:25" x14ac:dyDescent="0.25">
      <c r="C37" s="2" t="s">
        <v>49</v>
      </c>
      <c r="D37" s="12">
        <v>3.4</v>
      </c>
      <c r="E37" s="12">
        <v>26.9</v>
      </c>
      <c r="F37" s="12">
        <v>88.3</v>
      </c>
      <c r="G37" s="12">
        <v>156</v>
      </c>
      <c r="H37" s="12">
        <v>192.8</v>
      </c>
      <c r="I37" s="12">
        <v>253.3</v>
      </c>
      <c r="J37" s="12">
        <v>216</v>
      </c>
      <c r="K37" s="12">
        <v>216</v>
      </c>
      <c r="L37" s="12">
        <v>178</v>
      </c>
      <c r="M37" s="12">
        <v>157</v>
      </c>
      <c r="N37" s="12">
        <v>159</v>
      </c>
      <c r="O37" s="12">
        <v>158.6</v>
      </c>
      <c r="P37" s="12">
        <v>86</v>
      </c>
      <c r="Q37" s="12">
        <v>76</v>
      </c>
      <c r="R37" s="12">
        <v>60</v>
      </c>
      <c r="S37" s="12">
        <v>41</v>
      </c>
      <c r="T37" s="12">
        <v>38</v>
      </c>
      <c r="U37" s="12">
        <v>38</v>
      </c>
      <c r="V37" s="12"/>
      <c r="W37" s="12"/>
    </row>
    <row r="38" spans="3:25" x14ac:dyDescent="0.25">
      <c r="C38" s="2" t="s">
        <v>50</v>
      </c>
      <c r="D38" s="12">
        <v>6.8</v>
      </c>
      <c r="E38" s="12">
        <v>9</v>
      </c>
      <c r="F38" s="12">
        <v>9</v>
      </c>
      <c r="G38" s="12">
        <v>9.5</v>
      </c>
      <c r="H38" s="12">
        <v>10.6</v>
      </c>
      <c r="I38" s="12">
        <v>10.199999999999999</v>
      </c>
      <c r="J38" s="12">
        <v>11.6</v>
      </c>
      <c r="K38" s="12">
        <v>11.6</v>
      </c>
      <c r="L38" s="12">
        <v>13</v>
      </c>
      <c r="M38" s="12">
        <v>11</v>
      </c>
      <c r="N38" s="12">
        <v>8</v>
      </c>
      <c r="O38" s="12">
        <v>8.1</v>
      </c>
      <c r="P38" s="12">
        <v>15</v>
      </c>
      <c r="Q38" s="12">
        <v>14</v>
      </c>
      <c r="R38" s="12">
        <v>13</v>
      </c>
      <c r="S38" s="12">
        <f>14+49</f>
        <v>63</v>
      </c>
      <c r="T38" s="12">
        <v>14</v>
      </c>
      <c r="U38" s="12">
        <v>44</v>
      </c>
      <c r="V38" s="12"/>
      <c r="W38" s="12"/>
    </row>
    <row r="39" spans="3:25" x14ac:dyDescent="0.25">
      <c r="C39" s="2" t="s">
        <v>51</v>
      </c>
      <c r="D39" s="12">
        <v>1138</v>
      </c>
      <c r="E39" s="12">
        <v>1258.5999999999999</v>
      </c>
      <c r="F39" s="12">
        <v>1469.7</v>
      </c>
      <c r="G39" s="12">
        <v>1340.2</v>
      </c>
      <c r="H39" s="12">
        <v>1609.6</v>
      </c>
      <c r="I39" s="12">
        <v>1219.9000000000001</v>
      </c>
      <c r="J39" s="12">
        <v>1031.0999999999999</v>
      </c>
      <c r="K39" s="12">
        <v>1031.0999999999999</v>
      </c>
      <c r="L39" s="12">
        <v>939</v>
      </c>
      <c r="M39" s="12">
        <v>895</v>
      </c>
      <c r="N39" s="12">
        <v>925</v>
      </c>
      <c r="O39" s="12">
        <v>925.3</v>
      </c>
      <c r="P39" s="12">
        <v>1160</v>
      </c>
      <c r="Q39" s="12">
        <v>1063</v>
      </c>
      <c r="R39" s="12">
        <v>1098</v>
      </c>
      <c r="S39" s="12">
        <v>1086</v>
      </c>
      <c r="T39" s="12">
        <v>863</v>
      </c>
      <c r="U39" s="12">
        <v>999</v>
      </c>
      <c r="V39" s="12"/>
      <c r="W39" s="12"/>
    </row>
    <row r="40" spans="3:25" x14ac:dyDescent="0.25">
      <c r="C40" s="2" t="s">
        <v>52</v>
      </c>
      <c r="D40" s="12">
        <v>3025.2</v>
      </c>
      <c r="E40" s="12">
        <v>2840.4</v>
      </c>
      <c r="F40" s="12">
        <v>2838.7</v>
      </c>
      <c r="G40" s="12">
        <v>3165.7</v>
      </c>
      <c r="H40" s="12">
        <v>3210.9</v>
      </c>
      <c r="I40" s="12">
        <v>3077.7</v>
      </c>
      <c r="J40" s="12">
        <v>3186.9</v>
      </c>
      <c r="K40" s="12">
        <v>3186.9</v>
      </c>
      <c r="L40" s="12">
        <v>2879</v>
      </c>
      <c r="M40" s="12">
        <v>2977</v>
      </c>
      <c r="N40" s="12">
        <v>3421</v>
      </c>
      <c r="O40" s="12">
        <v>3421.3</v>
      </c>
      <c r="P40" s="12">
        <v>3414</v>
      </c>
      <c r="Q40" s="12">
        <v>3846</v>
      </c>
      <c r="R40" s="12">
        <v>3245</v>
      </c>
      <c r="S40" s="12">
        <v>3287</v>
      </c>
      <c r="T40" s="12">
        <v>3417</v>
      </c>
      <c r="U40" s="12">
        <v>3067</v>
      </c>
      <c r="V40" s="12"/>
      <c r="W40" s="12"/>
    </row>
    <row r="41" spans="3:25" x14ac:dyDescent="0.25">
      <c r="C41" s="2" t="s">
        <v>53</v>
      </c>
      <c r="D41" s="1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12">
        <v>0</v>
      </c>
      <c r="L41" s="12">
        <v>8</v>
      </c>
      <c r="M41" s="12">
        <v>21</v>
      </c>
      <c r="N41" s="12">
        <v>21</v>
      </c>
      <c r="O41" s="12">
        <v>20.7</v>
      </c>
      <c r="P41" s="12">
        <v>105</v>
      </c>
      <c r="Q41" s="12">
        <v>102</v>
      </c>
      <c r="R41" s="12">
        <v>108</v>
      </c>
      <c r="S41" s="12">
        <v>63</v>
      </c>
      <c r="T41" s="12">
        <v>57</v>
      </c>
      <c r="U41" s="12">
        <v>33</v>
      </c>
      <c r="V41" s="12"/>
      <c r="W41" s="12"/>
    </row>
    <row r="42" spans="3:25" x14ac:dyDescent="0.25">
      <c r="C42" s="2" t="s">
        <v>49</v>
      </c>
      <c r="D42" s="12">
        <v>0</v>
      </c>
      <c r="E42" s="12">
        <v>2.9</v>
      </c>
      <c r="F42" s="12">
        <v>2.5</v>
      </c>
      <c r="G42" s="12">
        <v>5.7</v>
      </c>
      <c r="H42" s="12">
        <v>0</v>
      </c>
      <c r="I42" s="12">
        <v>0.1</v>
      </c>
      <c r="J42" s="12">
        <v>0</v>
      </c>
      <c r="K42" s="12">
        <v>0</v>
      </c>
      <c r="L42" s="12">
        <v>11</v>
      </c>
      <c r="M42" s="12">
        <v>28</v>
      </c>
      <c r="N42" s="12">
        <v>0</v>
      </c>
      <c r="O42" s="12">
        <v>0</v>
      </c>
      <c r="P42" s="12">
        <v>8</v>
      </c>
      <c r="Q42" s="12">
        <v>4</v>
      </c>
      <c r="R42" s="12">
        <v>3</v>
      </c>
      <c r="S42" s="12">
        <v>0</v>
      </c>
      <c r="T42" s="12">
        <v>0</v>
      </c>
      <c r="U42" s="12">
        <v>2</v>
      </c>
      <c r="V42" s="12"/>
      <c r="W42" s="12"/>
    </row>
    <row r="43" spans="3:25" x14ac:dyDescent="0.25">
      <c r="C43" s="2" t="s">
        <v>54</v>
      </c>
      <c r="D43" s="12">
        <v>20</v>
      </c>
      <c r="E43" s="12">
        <v>20.8</v>
      </c>
      <c r="F43" s="12">
        <v>16.2</v>
      </c>
      <c r="G43" s="12">
        <v>15.7</v>
      </c>
      <c r="H43" s="12">
        <v>20</v>
      </c>
      <c r="I43" s="12">
        <v>26.3</v>
      </c>
      <c r="J43" s="12">
        <v>45.3</v>
      </c>
      <c r="K43" s="12">
        <v>45.3</v>
      </c>
      <c r="L43" s="12">
        <v>54</v>
      </c>
      <c r="M43" s="12">
        <v>53</v>
      </c>
      <c r="N43" s="12">
        <v>65</v>
      </c>
      <c r="O43" s="12">
        <v>65.2</v>
      </c>
      <c r="P43" s="12">
        <v>9</v>
      </c>
      <c r="Q43" s="12">
        <v>17</v>
      </c>
      <c r="R43" s="12">
        <v>17</v>
      </c>
      <c r="S43" s="12">
        <v>46</v>
      </c>
      <c r="T43" s="12">
        <v>51</v>
      </c>
      <c r="U43" s="12">
        <v>84</v>
      </c>
      <c r="V43" s="12"/>
      <c r="W43" s="12"/>
    </row>
    <row r="44" spans="3:25" x14ac:dyDescent="0.25">
      <c r="C44" s="2" t="s">
        <v>55</v>
      </c>
      <c r="D44" s="12">
        <v>619.5</v>
      </c>
      <c r="E44" s="12">
        <v>568.20000000000005</v>
      </c>
      <c r="F44" s="12">
        <v>605.20000000000005</v>
      </c>
      <c r="G44" s="12">
        <v>675.8</v>
      </c>
      <c r="H44" s="12">
        <v>669.8</v>
      </c>
      <c r="I44" s="12">
        <v>635.70000000000005</v>
      </c>
      <c r="J44" s="12">
        <v>567.29999999999995</v>
      </c>
      <c r="K44" s="12">
        <v>567.29999999999995</v>
      </c>
      <c r="L44" s="12">
        <v>599</v>
      </c>
      <c r="M44" s="12">
        <v>573</v>
      </c>
      <c r="N44" s="12">
        <v>516</v>
      </c>
      <c r="O44" s="12">
        <v>515.5</v>
      </c>
      <c r="P44" s="12">
        <v>653</v>
      </c>
      <c r="Q44" s="12">
        <v>725</v>
      </c>
      <c r="R44" s="12">
        <v>789</v>
      </c>
      <c r="S44" s="12">
        <v>674</v>
      </c>
      <c r="T44" s="12">
        <v>734</v>
      </c>
      <c r="U44" s="12">
        <v>724</v>
      </c>
      <c r="V44" s="12"/>
      <c r="W44" s="12"/>
    </row>
    <row r="45" spans="3:25" x14ac:dyDescent="0.25">
      <c r="C45" s="2" t="s">
        <v>56</v>
      </c>
      <c r="D45" s="12">
        <v>1144.3</v>
      </c>
      <c r="E45" s="12">
        <v>1140.2</v>
      </c>
      <c r="F45" s="12">
        <v>761.8</v>
      </c>
      <c r="G45" s="12">
        <v>766.8</v>
      </c>
      <c r="H45" s="12">
        <v>972</v>
      </c>
      <c r="I45" s="12">
        <v>950.5</v>
      </c>
      <c r="J45" s="12">
        <v>1228.9000000000001</v>
      </c>
      <c r="K45" s="12">
        <v>1228.9000000000001</v>
      </c>
      <c r="L45" s="12">
        <v>1265</v>
      </c>
      <c r="M45" s="12">
        <v>1030</v>
      </c>
      <c r="N45" s="12">
        <v>1361</v>
      </c>
      <c r="O45" s="12">
        <v>1361</v>
      </c>
      <c r="P45" s="12">
        <v>728</v>
      </c>
      <c r="Q45" s="12">
        <v>839</v>
      </c>
      <c r="R45" s="12">
        <v>1864</v>
      </c>
      <c r="S45" s="12">
        <v>676</v>
      </c>
      <c r="T45" s="12">
        <v>970</v>
      </c>
      <c r="U45" s="12">
        <v>1155</v>
      </c>
      <c r="V45" s="12"/>
      <c r="W45" s="12"/>
    </row>
    <row r="46" spans="3:25" x14ac:dyDescent="0.25">
      <c r="C46" s="1" t="s">
        <v>57</v>
      </c>
      <c r="D46" s="10">
        <f t="shared" ref="D46:Q46" si="44">SUM(D31:D45)</f>
        <v>15401.199999999997</v>
      </c>
      <c r="E46" s="10">
        <f t="shared" ref="E46:J46" si="45">SUM(E31:E45)</f>
        <v>15616.000000000002</v>
      </c>
      <c r="F46" s="10">
        <f t="shared" si="45"/>
        <v>15410.7</v>
      </c>
      <c r="G46" s="10">
        <f t="shared" si="45"/>
        <v>15855</v>
      </c>
      <c r="H46" s="10">
        <f t="shared" si="45"/>
        <v>16514</v>
      </c>
      <c r="I46" s="10">
        <f t="shared" si="45"/>
        <v>16015.4</v>
      </c>
      <c r="J46" s="10">
        <f t="shared" si="45"/>
        <v>16558.2</v>
      </c>
      <c r="K46" s="10">
        <f t="shared" si="44"/>
        <v>16558.2</v>
      </c>
      <c r="L46" s="10">
        <f t="shared" si="44"/>
        <v>16163</v>
      </c>
      <c r="M46" s="10">
        <f t="shared" si="44"/>
        <v>15855</v>
      </c>
      <c r="N46" s="10">
        <f t="shared" si="44"/>
        <v>16772</v>
      </c>
      <c r="O46" s="10">
        <f t="shared" si="44"/>
        <v>16769.700000000004</v>
      </c>
      <c r="P46" s="10">
        <f t="shared" si="44"/>
        <v>16487</v>
      </c>
      <c r="Q46" s="10">
        <f t="shared" si="44"/>
        <v>14343</v>
      </c>
      <c r="R46" s="10">
        <f>SUM(R31:R45)</f>
        <v>14649</v>
      </c>
      <c r="S46" s="10">
        <f>SUM(S31:S45)</f>
        <v>13403</v>
      </c>
      <c r="T46" s="10">
        <f>SUM(T31:T45)</f>
        <v>13537</v>
      </c>
      <c r="U46" s="10">
        <f>SUM(U31:U45)</f>
        <v>13430</v>
      </c>
      <c r="V46" s="12"/>
      <c r="W46" s="12"/>
    </row>
    <row r="47" spans="3:25" x14ac:dyDescent="0.25">
      <c r="C47" s="9" t="s">
        <v>58</v>
      </c>
      <c r="D47" s="14">
        <v>4826</v>
      </c>
      <c r="E47" s="14">
        <v>4825.5</v>
      </c>
      <c r="F47" s="14">
        <v>4925</v>
      </c>
      <c r="G47" s="14">
        <v>5085</v>
      </c>
      <c r="H47" s="14">
        <v>5202.8999999999996</v>
      </c>
      <c r="I47" s="14">
        <v>5322.1</v>
      </c>
      <c r="J47" s="14">
        <v>5383.7</v>
      </c>
      <c r="K47" s="14">
        <v>5383.7</v>
      </c>
      <c r="L47" s="14">
        <v>5348</v>
      </c>
      <c r="M47" s="14">
        <v>7116</v>
      </c>
      <c r="N47" s="14">
        <v>7187</v>
      </c>
      <c r="O47" s="14">
        <v>7186.5</v>
      </c>
      <c r="P47" s="14">
        <v>6953</v>
      </c>
      <c r="Q47" s="14">
        <v>4325</v>
      </c>
      <c r="R47" s="14">
        <v>5494</v>
      </c>
      <c r="S47" s="14">
        <v>5506</v>
      </c>
      <c r="T47" s="14">
        <v>5464</v>
      </c>
      <c r="U47" s="14">
        <v>5443</v>
      </c>
      <c r="V47" s="14"/>
      <c r="W47" s="14"/>
      <c r="Y47" s="18"/>
    </row>
    <row r="48" spans="3:25" x14ac:dyDescent="0.25">
      <c r="C48" s="2" t="s">
        <v>59</v>
      </c>
      <c r="D48" s="12">
        <v>243.6</v>
      </c>
      <c r="E48" s="12">
        <v>239.6</v>
      </c>
      <c r="F48" s="12">
        <v>247.6</v>
      </c>
      <c r="G48" s="12">
        <v>242</v>
      </c>
      <c r="H48" s="12">
        <v>235.4</v>
      </c>
      <c r="I48" s="12">
        <v>235.6</v>
      </c>
      <c r="J48" s="12">
        <v>200.1</v>
      </c>
      <c r="K48" s="12">
        <v>200.1</v>
      </c>
      <c r="L48" s="12">
        <v>174</v>
      </c>
      <c r="M48" s="12">
        <v>179</v>
      </c>
      <c r="N48" s="12">
        <v>165</v>
      </c>
      <c r="O48" s="12">
        <v>165.2</v>
      </c>
      <c r="P48" s="12">
        <v>138</v>
      </c>
      <c r="Q48" s="12">
        <v>129</v>
      </c>
      <c r="R48" s="12">
        <v>120</v>
      </c>
      <c r="S48" s="12">
        <v>121</v>
      </c>
      <c r="T48" s="12">
        <v>122</v>
      </c>
      <c r="U48" s="10">
        <v>123</v>
      </c>
      <c r="V48" s="10"/>
      <c r="W48" s="10"/>
      <c r="X48" s="1"/>
      <c r="Y48" s="1"/>
    </row>
    <row r="49" spans="3:36" x14ac:dyDescent="0.25">
      <c r="C49" s="2" t="s">
        <v>62</v>
      </c>
      <c r="D49" s="12">
        <v>4522.7</v>
      </c>
      <c r="E49" s="12">
        <v>4719.6000000000004</v>
      </c>
      <c r="F49" s="12">
        <v>4657.1000000000004</v>
      </c>
      <c r="G49" s="12">
        <v>4734.3999999999996</v>
      </c>
      <c r="H49" s="12">
        <v>4819.1000000000004</v>
      </c>
      <c r="I49" s="12">
        <v>4824.2</v>
      </c>
      <c r="J49" s="12">
        <v>0</v>
      </c>
      <c r="K49" s="12">
        <v>0</v>
      </c>
      <c r="L49" s="12">
        <v>4964</v>
      </c>
      <c r="M49" s="12">
        <v>3477</v>
      </c>
      <c r="N49" s="12">
        <v>3545</v>
      </c>
      <c r="O49" s="12">
        <v>3544.6</v>
      </c>
      <c r="P49" s="12">
        <v>3565</v>
      </c>
      <c r="Q49" s="12">
        <v>3468</v>
      </c>
      <c r="R49" s="12">
        <v>3373</v>
      </c>
      <c r="S49" s="12">
        <v>2475</v>
      </c>
      <c r="T49" s="12">
        <v>2466</v>
      </c>
      <c r="U49" s="12">
        <v>2389</v>
      </c>
      <c r="V49" s="12"/>
      <c r="W49" s="12"/>
    </row>
    <row r="50" spans="3:36" x14ac:dyDescent="0.25">
      <c r="C50" s="2" t="s">
        <v>60</v>
      </c>
      <c r="D50" s="12">
        <v>401.8</v>
      </c>
      <c r="E50" s="12">
        <v>407.9</v>
      </c>
      <c r="F50" s="12">
        <v>379.4</v>
      </c>
      <c r="G50" s="12">
        <v>361.7</v>
      </c>
      <c r="H50" s="12">
        <v>336.1</v>
      </c>
      <c r="I50" s="12">
        <v>319.39999999999998</v>
      </c>
      <c r="J50" s="12">
        <v>347</v>
      </c>
      <c r="K50" s="12">
        <v>347</v>
      </c>
      <c r="L50" s="12">
        <v>322</v>
      </c>
      <c r="M50" s="12">
        <v>346</v>
      </c>
      <c r="N50" s="12">
        <v>362</v>
      </c>
      <c r="O50" s="12">
        <v>361.5</v>
      </c>
      <c r="P50" s="12">
        <v>372</v>
      </c>
      <c r="Q50" s="12">
        <v>405</v>
      </c>
      <c r="R50" s="12">
        <v>374</v>
      </c>
      <c r="S50" s="12">
        <v>343</v>
      </c>
      <c r="T50" s="12">
        <v>302</v>
      </c>
      <c r="U50" s="12">
        <v>296</v>
      </c>
      <c r="V50" s="12"/>
      <c r="W50" s="12"/>
    </row>
    <row r="51" spans="3:36" x14ac:dyDescent="0.25">
      <c r="C51" s="2" t="s">
        <v>61</v>
      </c>
      <c r="D51" s="12">
        <v>43.7</v>
      </c>
      <c r="E51" s="12">
        <v>72.7</v>
      </c>
      <c r="F51" s="12">
        <v>67.8</v>
      </c>
      <c r="G51" s="12">
        <v>92.6</v>
      </c>
      <c r="H51" s="12">
        <v>98.5</v>
      </c>
      <c r="I51" s="12">
        <v>115.6</v>
      </c>
      <c r="J51" s="12">
        <v>203.2</v>
      </c>
      <c r="K51" s="12">
        <v>203</v>
      </c>
      <c r="L51" s="12">
        <v>3</v>
      </c>
      <c r="M51" s="12">
        <v>7</v>
      </c>
      <c r="N51" s="12">
        <v>2</v>
      </c>
      <c r="O51" s="12">
        <v>2.4</v>
      </c>
      <c r="P51" s="12">
        <v>24</v>
      </c>
      <c r="Q51" s="12">
        <v>19</v>
      </c>
      <c r="R51" s="12">
        <v>19</v>
      </c>
      <c r="S51" s="12">
        <v>12</v>
      </c>
      <c r="T51" s="12">
        <v>9</v>
      </c>
      <c r="U51" s="12">
        <v>10</v>
      </c>
      <c r="V51" s="12"/>
      <c r="W51" s="12"/>
    </row>
    <row r="52" spans="3:36" x14ac:dyDescent="0.25">
      <c r="C52" s="2" t="s">
        <v>63</v>
      </c>
      <c r="D52" s="12">
        <v>7.1</v>
      </c>
      <c r="E52" s="12">
        <v>7.4</v>
      </c>
      <c r="F52" s="12">
        <v>3.6</v>
      </c>
      <c r="G52" s="12">
        <v>7.4</v>
      </c>
      <c r="H52" s="12">
        <v>407.6</v>
      </c>
      <c r="I52" s="12">
        <v>255.7</v>
      </c>
      <c r="J52" s="12">
        <v>5325.1</v>
      </c>
      <c r="K52" s="12">
        <v>5325</v>
      </c>
      <c r="L52" s="12">
        <v>263</v>
      </c>
      <c r="M52" s="12">
        <v>24</v>
      </c>
      <c r="N52" s="12">
        <v>24</v>
      </c>
      <c r="O52" s="12">
        <v>23.6</v>
      </c>
      <c r="P52" s="12">
        <v>107</v>
      </c>
      <c r="Q52" s="12">
        <v>104</v>
      </c>
      <c r="R52" s="12">
        <v>108</v>
      </c>
      <c r="S52" s="12">
        <v>63</v>
      </c>
      <c r="T52" s="12">
        <v>57</v>
      </c>
      <c r="U52" s="12">
        <v>33</v>
      </c>
      <c r="V52" s="12"/>
      <c r="W52" s="12"/>
    </row>
    <row r="53" spans="3:36" x14ac:dyDescent="0.25">
      <c r="C53" s="2" t="s">
        <v>64</v>
      </c>
      <c r="D53" s="12">
        <v>1.5</v>
      </c>
      <c r="E53" s="12">
        <v>1</v>
      </c>
      <c r="F53" s="12">
        <v>1</v>
      </c>
      <c r="G53" s="12">
        <v>0.8</v>
      </c>
      <c r="H53" s="12">
        <v>0.8</v>
      </c>
      <c r="I53" s="12">
        <v>0.8</v>
      </c>
      <c r="J53" s="12">
        <v>0.7</v>
      </c>
      <c r="K53" s="12">
        <v>0.7</v>
      </c>
      <c r="L53" s="12">
        <v>1</v>
      </c>
      <c r="M53" s="12">
        <v>1</v>
      </c>
      <c r="N53" s="12">
        <v>6</v>
      </c>
      <c r="O53" s="12">
        <v>5.7</v>
      </c>
      <c r="P53" s="12">
        <v>6</v>
      </c>
      <c r="Q53" s="12">
        <v>6</v>
      </c>
      <c r="R53" s="12">
        <v>7</v>
      </c>
      <c r="S53" s="12">
        <v>7</v>
      </c>
      <c r="T53" s="12">
        <v>7</v>
      </c>
      <c r="U53" s="12">
        <v>7</v>
      </c>
      <c r="V53" s="12"/>
      <c r="W53" s="12"/>
    </row>
    <row r="54" spans="3:36" x14ac:dyDescent="0.25">
      <c r="C54" s="2" t="s">
        <v>65</v>
      </c>
      <c r="D54" s="12">
        <v>175.1</v>
      </c>
      <c r="E54" s="12">
        <v>175.6</v>
      </c>
      <c r="F54" s="12">
        <v>171.3</v>
      </c>
      <c r="G54" s="12">
        <v>171.9</v>
      </c>
      <c r="H54" s="12">
        <v>168.1</v>
      </c>
      <c r="I54" s="12">
        <v>157.9</v>
      </c>
      <c r="J54" s="12">
        <v>169.5</v>
      </c>
      <c r="K54" s="12">
        <v>169.5</v>
      </c>
      <c r="L54" s="12">
        <v>168</v>
      </c>
      <c r="M54" s="12">
        <v>172</v>
      </c>
      <c r="N54" s="12">
        <v>189</v>
      </c>
      <c r="O54" s="12">
        <v>188.6</v>
      </c>
      <c r="P54" s="12">
        <v>183</v>
      </c>
      <c r="Q54" s="12">
        <v>178</v>
      </c>
      <c r="R54" s="12">
        <v>174</v>
      </c>
      <c r="S54" s="12">
        <v>174</v>
      </c>
      <c r="T54" s="12">
        <v>165</v>
      </c>
      <c r="U54" s="12">
        <v>168</v>
      </c>
      <c r="V54" s="12"/>
      <c r="W54" s="12"/>
    </row>
    <row r="55" spans="3:36" x14ac:dyDescent="0.25">
      <c r="C55" s="2" t="s">
        <v>66</v>
      </c>
      <c r="D55" s="12">
        <v>3713.1</v>
      </c>
      <c r="E55" s="12">
        <v>3784</v>
      </c>
      <c r="F55" s="12">
        <v>3655.2</v>
      </c>
      <c r="G55" s="12">
        <v>3790.5</v>
      </c>
      <c r="H55" s="12">
        <v>3856.1</v>
      </c>
      <c r="I55" s="12">
        <v>3428</v>
      </c>
      <c r="J55" s="12">
        <v>3504.4</v>
      </c>
      <c r="K55" s="12">
        <v>3503.4</v>
      </c>
      <c r="L55" s="12">
        <v>3623</v>
      </c>
      <c r="M55" s="12">
        <v>3308</v>
      </c>
      <c r="N55" s="12">
        <v>4028</v>
      </c>
      <c r="O55" s="12">
        <v>4028</v>
      </c>
      <c r="P55" s="12">
        <v>3591</v>
      </c>
      <c r="Q55" s="12">
        <v>4211</v>
      </c>
      <c r="R55" s="12">
        <v>3493</v>
      </c>
      <c r="S55" s="12">
        <v>3342</v>
      </c>
      <c r="T55" s="12">
        <v>3635</v>
      </c>
      <c r="U55" s="12">
        <v>3691</v>
      </c>
      <c r="V55" s="12"/>
      <c r="W55" s="12"/>
    </row>
    <row r="56" spans="3:36" x14ac:dyDescent="0.25">
      <c r="C56" s="2" t="s">
        <v>67</v>
      </c>
      <c r="D56" s="12">
        <v>84.1</v>
      </c>
      <c r="E56" s="12">
        <v>67</v>
      </c>
      <c r="F56" s="12">
        <v>78.7</v>
      </c>
      <c r="G56" s="12">
        <v>120</v>
      </c>
      <c r="H56" s="12">
        <v>101.2</v>
      </c>
      <c r="I56" s="12">
        <v>83.3</v>
      </c>
      <c r="J56" s="12">
        <v>60</v>
      </c>
      <c r="K56" s="12">
        <v>60</v>
      </c>
      <c r="L56" s="12">
        <v>197</v>
      </c>
      <c r="M56" s="12">
        <v>196</v>
      </c>
      <c r="N56" s="12">
        <v>148</v>
      </c>
      <c r="O56" s="12">
        <v>147.80000000000001</v>
      </c>
      <c r="P56" s="12">
        <v>38</v>
      </c>
      <c r="Q56" s="12">
        <v>118</v>
      </c>
      <c r="R56" s="12">
        <v>46</v>
      </c>
      <c r="S56" s="12">
        <v>63</v>
      </c>
      <c r="T56" s="12">
        <v>11</v>
      </c>
      <c r="U56" s="12">
        <v>10</v>
      </c>
      <c r="V56" s="12"/>
      <c r="W56" s="12"/>
      <c r="AC56" s="1"/>
      <c r="AD56" s="1"/>
      <c r="AE56" s="1"/>
      <c r="AF56" s="1"/>
      <c r="AG56" s="1"/>
      <c r="AH56" s="1"/>
    </row>
    <row r="57" spans="3:36" x14ac:dyDescent="0.25">
      <c r="C57" s="2" t="s">
        <v>49</v>
      </c>
      <c r="D57" s="12">
        <v>25.5</v>
      </c>
      <c r="E57" s="12">
        <v>48</v>
      </c>
      <c r="F57" s="12">
        <v>35.5</v>
      </c>
      <c r="G57" s="12">
        <v>46.1</v>
      </c>
      <c r="H57" s="12">
        <v>75.8</v>
      </c>
      <c r="I57" s="12">
        <v>58</v>
      </c>
      <c r="J57" s="12">
        <v>81.3</v>
      </c>
      <c r="K57" s="12">
        <v>81.3</v>
      </c>
      <c r="L57" s="12">
        <v>192</v>
      </c>
      <c r="M57" s="12">
        <v>130</v>
      </c>
      <c r="N57" s="12">
        <v>164</v>
      </c>
      <c r="O57" s="12">
        <v>164.3</v>
      </c>
      <c r="P57" s="12">
        <v>170</v>
      </c>
      <c r="Q57" s="12">
        <v>118</v>
      </c>
      <c r="R57" s="12">
        <v>91</v>
      </c>
      <c r="S57" s="12">
        <v>86</v>
      </c>
      <c r="T57" s="12">
        <v>70</v>
      </c>
      <c r="U57" s="12">
        <v>41</v>
      </c>
      <c r="V57" s="12"/>
      <c r="W57" s="12"/>
    </row>
    <row r="58" spans="3:36" x14ac:dyDescent="0.25">
      <c r="C58" s="2" t="s">
        <v>68</v>
      </c>
      <c r="D58" s="12">
        <v>1335.9</v>
      </c>
      <c r="E58" s="12">
        <v>1267.8</v>
      </c>
      <c r="F58" s="12">
        <v>1188.2</v>
      </c>
      <c r="G58" s="12">
        <v>1202.5</v>
      </c>
      <c r="H58" s="12">
        <v>1212.3</v>
      </c>
      <c r="I58" s="12">
        <v>1215</v>
      </c>
      <c r="J58" s="12">
        <v>1283.2</v>
      </c>
      <c r="K58" s="12">
        <v>1283.2</v>
      </c>
      <c r="L58" s="12">
        <v>909</v>
      </c>
      <c r="M58" s="12">
        <v>900</v>
      </c>
      <c r="N58" s="12">
        <v>952</v>
      </c>
      <c r="O58" s="12">
        <v>951.9</v>
      </c>
      <c r="P58" s="12">
        <v>1339</v>
      </c>
      <c r="Q58" s="12">
        <v>1261</v>
      </c>
      <c r="R58" s="12">
        <v>1350</v>
      </c>
      <c r="S58" s="12">
        <v>1211</v>
      </c>
      <c r="T58" s="12">
        <v>1279</v>
      </c>
      <c r="U58" s="12">
        <v>1219</v>
      </c>
      <c r="V58" s="12"/>
      <c r="W58" s="12"/>
    </row>
    <row r="59" spans="3:36" x14ac:dyDescent="0.25">
      <c r="C59" s="9" t="s">
        <v>69</v>
      </c>
      <c r="D59" s="14">
        <f t="shared" ref="D59:Q59" si="46">SUM(D48:D58)</f>
        <v>10554.1</v>
      </c>
      <c r="E59" s="14">
        <f t="shared" si="46"/>
        <v>10790.599999999999</v>
      </c>
      <c r="F59" s="14">
        <f t="shared" si="46"/>
        <v>10485.400000000001</v>
      </c>
      <c r="G59" s="14">
        <f t="shared" si="46"/>
        <v>10769.9</v>
      </c>
      <c r="H59" s="14">
        <f t="shared" si="46"/>
        <v>11311</v>
      </c>
      <c r="I59" s="14">
        <f t="shared" si="46"/>
        <v>10693.5</v>
      </c>
      <c r="J59" s="14">
        <f t="shared" si="46"/>
        <v>11174.5</v>
      </c>
      <c r="K59" s="14">
        <f t="shared" si="46"/>
        <v>11173.2</v>
      </c>
      <c r="L59" s="14">
        <f t="shared" si="46"/>
        <v>10816</v>
      </c>
      <c r="M59" s="14">
        <f t="shared" si="46"/>
        <v>8740</v>
      </c>
      <c r="N59" s="14">
        <f t="shared" si="46"/>
        <v>9585</v>
      </c>
      <c r="O59" s="14">
        <f t="shared" si="46"/>
        <v>9583.5999999999985</v>
      </c>
      <c r="P59" s="14">
        <f t="shared" si="46"/>
        <v>9533</v>
      </c>
      <c r="Q59" s="14">
        <f t="shared" si="46"/>
        <v>10017</v>
      </c>
      <c r="R59" s="14">
        <f>SUM(R48:R58)</f>
        <v>9155</v>
      </c>
      <c r="S59" s="14">
        <f>SUM(S48:S58)</f>
        <v>7897</v>
      </c>
      <c r="T59" s="14">
        <f>SUM(T48:T58)</f>
        <v>8123</v>
      </c>
      <c r="U59" s="14">
        <f>SUM(U48:U58)</f>
        <v>7987</v>
      </c>
      <c r="V59" s="12"/>
      <c r="W59" s="12"/>
    </row>
    <row r="60" spans="3:36" x14ac:dyDescent="0.25">
      <c r="C60" s="1" t="s">
        <v>70</v>
      </c>
      <c r="D60" s="10">
        <f t="shared" ref="D60:Q60" si="47">D47+D59</f>
        <v>15380.1</v>
      </c>
      <c r="E60" s="10">
        <f t="shared" si="47"/>
        <v>15616.099999999999</v>
      </c>
      <c r="F60" s="10">
        <f t="shared" si="47"/>
        <v>15410.400000000001</v>
      </c>
      <c r="G60" s="10">
        <f t="shared" si="47"/>
        <v>15854.9</v>
      </c>
      <c r="H60" s="10">
        <f t="shared" si="47"/>
        <v>16513.900000000001</v>
      </c>
      <c r="I60" s="10">
        <f t="shared" si="47"/>
        <v>16015.6</v>
      </c>
      <c r="J60" s="10">
        <f t="shared" si="47"/>
        <v>16558.2</v>
      </c>
      <c r="K60" s="10">
        <f t="shared" si="47"/>
        <v>16556.900000000001</v>
      </c>
      <c r="L60" s="10">
        <f t="shared" si="47"/>
        <v>16164</v>
      </c>
      <c r="M60" s="10">
        <f t="shared" si="47"/>
        <v>15856</v>
      </c>
      <c r="N60" s="10">
        <f t="shared" si="47"/>
        <v>16772</v>
      </c>
      <c r="O60" s="10">
        <f t="shared" si="47"/>
        <v>16770.099999999999</v>
      </c>
      <c r="P60" s="10">
        <f t="shared" si="47"/>
        <v>16486</v>
      </c>
      <c r="Q60" s="10">
        <f t="shared" si="47"/>
        <v>14342</v>
      </c>
      <c r="R60" s="10">
        <f>R47+R59</f>
        <v>14649</v>
      </c>
      <c r="S60" s="10">
        <f>S47+S59</f>
        <v>13403</v>
      </c>
      <c r="T60" s="10">
        <f>T47+T59</f>
        <v>13587</v>
      </c>
      <c r="U60" s="10">
        <f>U47+U59</f>
        <v>13430</v>
      </c>
      <c r="V60" s="12"/>
      <c r="W60" s="12"/>
      <c r="AC60" s="1"/>
      <c r="AD60" s="1"/>
      <c r="AE60" s="1"/>
      <c r="AF60" s="1"/>
      <c r="AG60" s="1"/>
      <c r="AH60" s="1"/>
    </row>
    <row r="61" spans="3:36" x14ac:dyDescent="0.25">
      <c r="C61" s="1"/>
      <c r="D61" s="10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3:36" x14ac:dyDescent="0.25">
      <c r="C62" s="1" t="s">
        <v>71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spans="3:36" x14ac:dyDescent="0.25">
      <c r="C63" s="2" t="s">
        <v>73</v>
      </c>
      <c r="D63" s="12">
        <f t="shared" ref="D63:U63" si="48">D12</f>
        <v>251.10000000000059</v>
      </c>
      <c r="E63" s="12">
        <f t="shared" si="48"/>
        <v>220.09999999999994</v>
      </c>
      <c r="F63" s="12">
        <f t="shared" si="48"/>
        <v>140.29999999999984</v>
      </c>
      <c r="G63" s="12">
        <f t="shared" si="48"/>
        <v>146.90000000000006</v>
      </c>
      <c r="H63" s="12">
        <f t="shared" si="48"/>
        <v>137.39999999999981</v>
      </c>
      <c r="I63" s="12">
        <f t="shared" si="48"/>
        <v>157.50000000000037</v>
      </c>
      <c r="J63" s="12">
        <f t="shared" si="48"/>
        <v>96.999999999999673</v>
      </c>
      <c r="K63" s="12">
        <f t="shared" si="48"/>
        <v>96.999999999999673</v>
      </c>
      <c r="L63" s="12">
        <f t="shared" si="48"/>
        <v>130</v>
      </c>
      <c r="M63" s="12">
        <f t="shared" si="48"/>
        <v>142</v>
      </c>
      <c r="N63" s="12">
        <f t="shared" si="48"/>
        <v>87</v>
      </c>
      <c r="O63" s="12">
        <f t="shared" si="48"/>
        <v>-25.100000000000385</v>
      </c>
      <c r="P63" s="12">
        <f t="shared" si="48"/>
        <v>-52</v>
      </c>
      <c r="Q63" s="12">
        <f t="shared" si="48"/>
        <v>-2503</v>
      </c>
      <c r="R63" s="12">
        <f t="shared" si="48"/>
        <v>11</v>
      </c>
      <c r="S63" s="12">
        <f t="shared" si="48"/>
        <v>21</v>
      </c>
      <c r="T63" s="12">
        <f t="shared" si="48"/>
        <v>7</v>
      </c>
      <c r="U63" s="12">
        <f t="shared" si="48"/>
        <v>43</v>
      </c>
      <c r="AA63" s="12">
        <f t="shared" ref="AA63:AJ63" si="49">AA12</f>
        <v>349.50000000000091</v>
      </c>
      <c r="AB63" s="12">
        <f t="shared" si="49"/>
        <v>443.79999999999933</v>
      </c>
      <c r="AC63" s="12">
        <f t="shared" si="49"/>
        <v>489.1000000000015</v>
      </c>
      <c r="AD63" s="12">
        <f t="shared" si="49"/>
        <v>387.19999999999953</v>
      </c>
      <c r="AE63" s="12">
        <f t="shared" si="49"/>
        <v>576.29999999999995</v>
      </c>
      <c r="AF63" s="12">
        <f t="shared" si="49"/>
        <v>758.00000000000193</v>
      </c>
      <c r="AG63" s="12">
        <f t="shared" si="49"/>
        <v>466.10000000000048</v>
      </c>
      <c r="AH63" s="12">
        <f t="shared" si="49"/>
        <v>332.49999999999847</v>
      </c>
      <c r="AI63" s="12">
        <f t="shared" si="49"/>
        <v>-2523</v>
      </c>
      <c r="AJ63" s="13">
        <f t="shared" si="49"/>
        <v>194.34349999999864</v>
      </c>
    </row>
    <row r="64" spans="3:36" x14ac:dyDescent="0.25">
      <c r="C64" s="2" t="s">
        <v>74</v>
      </c>
      <c r="D64" s="12">
        <v>251</v>
      </c>
      <c r="E64" s="12">
        <v>220</v>
      </c>
      <c r="F64" s="12">
        <v>140</v>
      </c>
      <c r="G64" s="12">
        <v>147</v>
      </c>
      <c r="H64" s="12">
        <v>137.5</v>
      </c>
      <c r="I64" s="12">
        <v>157</v>
      </c>
      <c r="J64" s="12">
        <v>97</v>
      </c>
      <c r="K64" s="12">
        <v>97</v>
      </c>
      <c r="L64" s="12">
        <v>129</v>
      </c>
      <c r="M64" s="12">
        <v>142</v>
      </c>
      <c r="N64" s="12">
        <v>86</v>
      </c>
      <c r="O64" s="12">
        <v>86</v>
      </c>
      <c r="P64" s="12">
        <v>-52</v>
      </c>
      <c r="Q64" s="12">
        <v>-2503</v>
      </c>
      <c r="R64" s="12">
        <v>11</v>
      </c>
      <c r="S64" s="12">
        <v>21</v>
      </c>
      <c r="T64" s="2">
        <v>7</v>
      </c>
      <c r="U64" s="2">
        <v>42</v>
      </c>
      <c r="V64" s="1"/>
      <c r="W64" s="1"/>
      <c r="X64" s="1"/>
      <c r="Y64" s="1"/>
      <c r="Z64" s="1"/>
      <c r="AA64" s="12">
        <v>350</v>
      </c>
      <c r="AB64" s="12">
        <v>444</v>
      </c>
      <c r="AC64" s="12">
        <v>489</v>
      </c>
      <c r="AD64" s="12">
        <v>387</v>
      </c>
      <c r="AE64" s="12">
        <v>576.20000000000005</v>
      </c>
      <c r="AF64" s="12">
        <v>758</v>
      </c>
      <c r="AG64" s="12">
        <v>466.6</v>
      </c>
      <c r="AH64" s="12">
        <v>332.5</v>
      </c>
      <c r="AI64" s="12">
        <v>-2523</v>
      </c>
      <c r="AJ64" s="13"/>
    </row>
    <row r="65" spans="3:36" x14ac:dyDescent="0.25">
      <c r="C65" s="2" t="s">
        <v>75</v>
      </c>
      <c r="D65" s="12">
        <v>104.8</v>
      </c>
      <c r="E65" s="12">
        <v>119.3</v>
      </c>
      <c r="F65" s="12">
        <v>97.2</v>
      </c>
      <c r="G65" s="12">
        <v>98.1</v>
      </c>
      <c r="H65" s="12">
        <v>99</v>
      </c>
      <c r="I65" s="12">
        <v>73.400000000000006</v>
      </c>
      <c r="J65" s="12">
        <v>115.9</v>
      </c>
      <c r="K65" s="12">
        <v>115.9</v>
      </c>
      <c r="L65" s="12">
        <v>103</v>
      </c>
      <c r="M65" s="12">
        <v>102</v>
      </c>
      <c r="N65" s="12">
        <v>108</v>
      </c>
      <c r="O65" s="12">
        <v>107.6</v>
      </c>
      <c r="P65" s="12">
        <v>126</v>
      </c>
      <c r="Q65" s="12">
        <v>2632</v>
      </c>
      <c r="R65" s="12">
        <v>112</v>
      </c>
      <c r="S65" s="12">
        <v>116</v>
      </c>
      <c r="T65" s="2">
        <v>102</v>
      </c>
      <c r="U65" s="2">
        <v>106</v>
      </c>
      <c r="V65" s="1"/>
      <c r="W65" s="1"/>
      <c r="X65" s="1"/>
      <c r="Y65" s="1"/>
      <c r="Z65" s="1"/>
      <c r="AA65" s="12">
        <v>58.1</v>
      </c>
      <c r="AB65" s="12">
        <v>51.7</v>
      </c>
      <c r="AC65" s="12">
        <v>66.900000000000006</v>
      </c>
      <c r="AD65" s="12">
        <v>302.8</v>
      </c>
      <c r="AE65" s="12">
        <v>314.39999999999998</v>
      </c>
      <c r="AF65" s="12">
        <v>419.5</v>
      </c>
      <c r="AG65" s="12">
        <v>421</v>
      </c>
      <c r="AH65" s="12">
        <v>418.3</v>
      </c>
      <c r="AI65" s="12">
        <v>2986</v>
      </c>
      <c r="AJ65" s="13"/>
    </row>
    <row r="66" spans="3:36" x14ac:dyDescent="0.25">
      <c r="C66" s="2" t="s">
        <v>76</v>
      </c>
      <c r="D66" s="12">
        <v>0.3</v>
      </c>
      <c r="E66" s="12">
        <v>0.2</v>
      </c>
      <c r="F66" s="12">
        <v>0.3</v>
      </c>
      <c r="G66" s="12">
        <v>0.5</v>
      </c>
      <c r="H66" s="12">
        <v>0.4</v>
      </c>
      <c r="I66" s="12">
        <v>3.5</v>
      </c>
      <c r="J66" s="12">
        <v>0.6</v>
      </c>
      <c r="K66" s="12">
        <v>0.6</v>
      </c>
      <c r="L66" s="12">
        <v>1</v>
      </c>
      <c r="M66" s="12">
        <v>1</v>
      </c>
      <c r="N66" s="12">
        <v>1</v>
      </c>
      <c r="O66" s="12">
        <v>0.8</v>
      </c>
      <c r="P66" s="12">
        <v>1</v>
      </c>
      <c r="Q66" s="12">
        <v>17</v>
      </c>
      <c r="R66" s="12">
        <v>2</v>
      </c>
      <c r="S66" s="12">
        <v>2</v>
      </c>
      <c r="T66" s="2">
        <v>0</v>
      </c>
      <c r="U66" s="2">
        <v>14</v>
      </c>
      <c r="V66" s="1"/>
      <c r="W66" s="1"/>
      <c r="X66" s="1"/>
      <c r="Y66" s="1"/>
      <c r="Z66" s="1"/>
      <c r="AA66" s="12">
        <v>1.2</v>
      </c>
      <c r="AB66" s="12">
        <v>1.1000000000000001</v>
      </c>
      <c r="AC66" s="12">
        <v>0.8</v>
      </c>
      <c r="AD66" s="12">
        <v>1.3</v>
      </c>
      <c r="AE66" s="12">
        <v>1.2</v>
      </c>
      <c r="AF66" s="12">
        <v>1.2</v>
      </c>
      <c r="AG66" s="12">
        <v>9.3000000000000007</v>
      </c>
      <c r="AH66" s="12">
        <v>3.5</v>
      </c>
      <c r="AI66" s="12">
        <v>21</v>
      </c>
      <c r="AJ66" s="13"/>
    </row>
    <row r="67" spans="3:36" x14ac:dyDescent="0.25">
      <c r="C67" s="2" t="s">
        <v>77</v>
      </c>
      <c r="D67" s="12">
        <v>-30.6</v>
      </c>
      <c r="E67" s="12">
        <v>-32</v>
      </c>
      <c r="F67" s="12">
        <v>-28.9</v>
      </c>
      <c r="G67" s="12">
        <v>-34.9</v>
      </c>
      <c r="H67" s="12">
        <v>-47.6</v>
      </c>
      <c r="I67" s="12">
        <v>-51.8</v>
      </c>
      <c r="J67" s="12">
        <v>-60.3</v>
      </c>
      <c r="K67" s="12">
        <v>-60.3</v>
      </c>
      <c r="L67" s="12">
        <v>-77</v>
      </c>
      <c r="M67" s="12">
        <v>-45</v>
      </c>
      <c r="N67" s="12">
        <v>-38</v>
      </c>
      <c r="O67" s="12">
        <v>-37.9</v>
      </c>
      <c r="P67" s="12">
        <v>-37</v>
      </c>
      <c r="Q67" s="12">
        <v>-44</v>
      </c>
      <c r="R67" s="12">
        <v>-53</v>
      </c>
      <c r="S67" s="12">
        <v>-37</v>
      </c>
      <c r="T67" s="2">
        <v>-33</v>
      </c>
      <c r="U67" s="2">
        <v>-30</v>
      </c>
      <c r="V67" s="1"/>
      <c r="W67" s="1"/>
      <c r="X67" s="1"/>
      <c r="Y67" s="1"/>
      <c r="Z67" s="1"/>
      <c r="AA67" s="12">
        <v>-27.4</v>
      </c>
      <c r="AB67" s="12">
        <v>-34.6</v>
      </c>
      <c r="AC67" s="12">
        <v>-38.799999999999997</v>
      </c>
      <c r="AD67" s="12">
        <v>-53.4</v>
      </c>
      <c r="AE67" s="12">
        <v>-77.3</v>
      </c>
      <c r="AF67" s="12">
        <v>-126.4</v>
      </c>
      <c r="AG67" s="12">
        <v>-230.4</v>
      </c>
      <c r="AH67" s="12">
        <v>-202.2</v>
      </c>
      <c r="AI67" s="12">
        <v>-171</v>
      </c>
      <c r="AJ67" s="13"/>
    </row>
    <row r="68" spans="3:36" x14ac:dyDescent="0.25">
      <c r="C68" s="2" t="s">
        <v>78</v>
      </c>
      <c r="D68" s="12">
        <v>-42.9</v>
      </c>
      <c r="E68" s="12">
        <v>-29.4</v>
      </c>
      <c r="F68" s="12">
        <v>-25.1</v>
      </c>
      <c r="G68" s="12">
        <v>1.4</v>
      </c>
      <c r="H68" s="12">
        <v>-39</v>
      </c>
      <c r="I68" s="12">
        <v>-59.9</v>
      </c>
      <c r="J68" s="12">
        <v>-11.4</v>
      </c>
      <c r="K68" s="12">
        <v>-11.4</v>
      </c>
      <c r="L68" s="12">
        <v>-48</v>
      </c>
      <c r="M68" s="12">
        <v>-34</v>
      </c>
      <c r="N68" s="12">
        <v>-76</v>
      </c>
      <c r="O68" s="12">
        <v>-75.8</v>
      </c>
      <c r="P68" s="12">
        <v>-18</v>
      </c>
      <c r="Q68" s="12">
        <v>-7</v>
      </c>
      <c r="R68" s="12">
        <v>-45</v>
      </c>
      <c r="S68" s="12">
        <v>12</v>
      </c>
      <c r="T68" s="2">
        <v>-67</v>
      </c>
      <c r="U68" s="2">
        <v>-42</v>
      </c>
      <c r="V68" s="1"/>
      <c r="W68" s="1"/>
      <c r="X68" s="1"/>
      <c r="Y68" s="1"/>
      <c r="Z68" s="1"/>
      <c r="AA68" s="12">
        <v>-57.9</v>
      </c>
      <c r="AB68" s="12">
        <v>-99.8</v>
      </c>
      <c r="AC68" s="12">
        <v>-127.7</v>
      </c>
      <c r="AD68" s="12">
        <v>-90.8</v>
      </c>
      <c r="AE68" s="12">
        <v>-101</v>
      </c>
      <c r="AF68" s="12">
        <v>-96.1</v>
      </c>
      <c r="AG68" s="12">
        <v>-88</v>
      </c>
      <c r="AH68" s="12">
        <v>-174</v>
      </c>
      <c r="AI68" s="12">
        <v>-57</v>
      </c>
      <c r="AJ68" s="13"/>
    </row>
    <row r="69" spans="3:36" x14ac:dyDescent="0.25">
      <c r="C69" s="2" t="s">
        <v>79</v>
      </c>
      <c r="D69" s="12">
        <f>-117.7-609.4+813.5</f>
        <v>86.399999999999977</v>
      </c>
      <c r="E69" s="12">
        <f>-93.7+334.5-130.9</f>
        <v>109.9</v>
      </c>
      <c r="F69" s="12">
        <f>-218.3-76.2-166.2</f>
        <v>-460.7</v>
      </c>
      <c r="G69" s="12">
        <f>140.5-335.1+87</f>
        <v>-107.60000000000002</v>
      </c>
      <c r="H69" s="12">
        <f>-250.7-11.6+27.4</f>
        <v>-234.9</v>
      </c>
      <c r="I69" s="12">
        <f>401.2+159.1-432.6</f>
        <v>127.69999999999993</v>
      </c>
      <c r="J69" s="12">
        <f>221.7+57.2+10.6</f>
        <v>289.5</v>
      </c>
      <c r="K69" s="12">
        <f>221.7+57.2+10.6</f>
        <v>289.5</v>
      </c>
      <c r="L69" s="12">
        <f>31-393+504</f>
        <v>142</v>
      </c>
      <c r="M69" s="12">
        <f>37-122-281</f>
        <v>-366</v>
      </c>
      <c r="N69" s="12">
        <f>-19-332+724</f>
        <v>373</v>
      </c>
      <c r="O69" s="12">
        <f>-19.1-332.4+724.2</f>
        <v>372.70000000000005</v>
      </c>
      <c r="P69" s="12">
        <f>-326-432+695</f>
        <v>-63</v>
      </c>
      <c r="Q69" s="12">
        <f>79-635+642</f>
        <v>86</v>
      </c>
      <c r="R69" s="12">
        <f>-51+406-521</f>
        <v>-166</v>
      </c>
      <c r="S69" s="12">
        <f>21+118-328</f>
        <v>-189</v>
      </c>
      <c r="T69" s="2">
        <f>218-233+387</f>
        <v>372</v>
      </c>
      <c r="U69" s="2">
        <v>169</v>
      </c>
      <c r="V69" s="1"/>
      <c r="W69" s="1"/>
      <c r="X69" s="1"/>
      <c r="Y69" s="1"/>
      <c r="Z69" s="1"/>
      <c r="AA69" s="12">
        <f>-28.5-143.8+62.5</f>
        <v>-109.80000000000001</v>
      </c>
      <c r="AB69" s="12">
        <f>-87.1+21.8+451</f>
        <v>385.7</v>
      </c>
      <c r="AC69" s="12">
        <f>-62.2-199.5+135.5</f>
        <v>-126.19999999999999</v>
      </c>
      <c r="AD69" s="12">
        <f>-23.6+238.3+105.9</f>
        <v>320.60000000000002</v>
      </c>
      <c r="AE69" s="12">
        <f>-270.3-640.9+366.1</f>
        <v>-545.1</v>
      </c>
      <c r="AF69" s="12">
        <f>-289.2-686.1+603.4</f>
        <v>-371.9</v>
      </c>
      <c r="AG69" s="12">
        <f>425.1+725-1109.4</f>
        <v>40.699999999999818</v>
      </c>
      <c r="AH69" s="12">
        <f>144.7-578.9+203.5</f>
        <v>-230.7</v>
      </c>
      <c r="AI69" s="12">
        <f>-276-543+489</f>
        <v>-330</v>
      </c>
      <c r="AJ69" s="13"/>
    </row>
    <row r="70" spans="3:36" x14ac:dyDescent="0.25">
      <c r="C70" s="1" t="s">
        <v>80</v>
      </c>
      <c r="D70" s="10">
        <f t="shared" ref="D70:Q70" si="50">SUM(D64:D69)</f>
        <v>369</v>
      </c>
      <c r="E70" s="10">
        <f t="shared" si="50"/>
        <v>388</v>
      </c>
      <c r="F70" s="10">
        <f t="shared" si="50"/>
        <v>-277.2</v>
      </c>
      <c r="G70" s="10">
        <f t="shared" si="50"/>
        <v>104.49999999999997</v>
      </c>
      <c r="H70" s="10">
        <f t="shared" si="50"/>
        <v>-84.6</v>
      </c>
      <c r="I70" s="10">
        <f t="shared" si="50"/>
        <v>249.89999999999995</v>
      </c>
      <c r="J70" s="10">
        <f t="shared" si="50"/>
        <v>431.29999999999995</v>
      </c>
      <c r="K70" s="10">
        <f t="shared" si="50"/>
        <v>431.29999999999995</v>
      </c>
      <c r="L70" s="10">
        <f t="shared" si="50"/>
        <v>250</v>
      </c>
      <c r="M70" s="10">
        <f>SUM(M64:M69)</f>
        <v>-200</v>
      </c>
      <c r="N70" s="10">
        <f t="shared" si="50"/>
        <v>454</v>
      </c>
      <c r="O70" s="10">
        <f t="shared" si="50"/>
        <v>453.40000000000003</v>
      </c>
      <c r="P70" s="10">
        <f t="shared" si="50"/>
        <v>-43</v>
      </c>
      <c r="Q70" s="10">
        <f t="shared" si="50"/>
        <v>181</v>
      </c>
      <c r="R70" s="10">
        <f>SUM(R64:R69)</f>
        <v>-139</v>
      </c>
      <c r="S70" s="10">
        <f>SUM(S64:S69)</f>
        <v>-75</v>
      </c>
      <c r="T70" s="10">
        <f>SUM(T64:T69)</f>
        <v>381</v>
      </c>
      <c r="U70" s="10">
        <f>SUM(U64:U69)</f>
        <v>259</v>
      </c>
      <c r="V70" s="1"/>
      <c r="W70" s="1"/>
      <c r="X70" s="1"/>
      <c r="Y70" s="1"/>
      <c r="Z70" s="1"/>
      <c r="AA70" s="10">
        <f t="shared" ref="AA70:AG70" si="51">SUM(AA64:AA69)</f>
        <v>214.20000000000005</v>
      </c>
      <c r="AB70" s="10">
        <f t="shared" si="51"/>
        <v>748.09999999999991</v>
      </c>
      <c r="AC70" s="10">
        <f t="shared" si="51"/>
        <v>264</v>
      </c>
      <c r="AD70" s="10">
        <f t="shared" si="51"/>
        <v>867.5</v>
      </c>
      <c r="AE70" s="10">
        <f t="shared" si="51"/>
        <v>168.40000000000009</v>
      </c>
      <c r="AF70" s="10">
        <f t="shared" si="51"/>
        <v>584.29999999999995</v>
      </c>
      <c r="AG70" s="10">
        <f t="shared" si="51"/>
        <v>619.19999999999982</v>
      </c>
      <c r="AH70" s="10">
        <f>SUM(AH64:AH69)</f>
        <v>147.39999999999992</v>
      </c>
      <c r="AI70" s="10">
        <f>SUM(AI64:AI69)</f>
        <v>-74</v>
      </c>
      <c r="AJ70" s="13"/>
    </row>
    <row r="71" spans="3:36" x14ac:dyDescent="0.25"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AA71" s="12"/>
      <c r="AB71" s="12"/>
      <c r="AC71" s="12"/>
      <c r="AD71" s="12"/>
      <c r="AE71" s="12"/>
      <c r="AF71" s="12"/>
      <c r="AG71" s="12"/>
      <c r="AH71" s="12"/>
      <c r="AI71" s="12"/>
      <c r="AJ71" s="13"/>
    </row>
    <row r="72" spans="3:36" x14ac:dyDescent="0.25">
      <c r="C72" s="2" t="s">
        <v>81</v>
      </c>
      <c r="D72" s="12">
        <f>-25.3-14.4</f>
        <v>-39.700000000000003</v>
      </c>
      <c r="E72" s="12">
        <f>-43.9-10.3</f>
        <v>-54.2</v>
      </c>
      <c r="F72" s="12">
        <f>-45.7-6.1</f>
        <v>-51.800000000000004</v>
      </c>
      <c r="G72" s="12">
        <f>-37.6-7.7</f>
        <v>-45.300000000000004</v>
      </c>
      <c r="H72" s="12">
        <f>-43.9-7</f>
        <v>-50.9</v>
      </c>
      <c r="I72" s="12">
        <f>-55.9-7.8</f>
        <v>-63.699999999999996</v>
      </c>
      <c r="J72" s="12">
        <f>-49.2-8.4</f>
        <v>-57.6</v>
      </c>
      <c r="K72" s="12">
        <f>-49.2-8.4</f>
        <v>-57.6</v>
      </c>
      <c r="L72" s="12">
        <v>-70</v>
      </c>
      <c r="M72" s="12">
        <v>-58</v>
      </c>
      <c r="N72" s="12">
        <f>-48-17</f>
        <v>-65</v>
      </c>
      <c r="O72" s="12">
        <f>-47.7-17.2</f>
        <v>-64.900000000000006</v>
      </c>
      <c r="P72" s="12">
        <v>-45</v>
      </c>
      <c r="Q72" s="12">
        <f>-41</f>
        <v>-41</v>
      </c>
      <c r="R72" s="12">
        <v>-47</v>
      </c>
      <c r="S72" s="12">
        <v>-36</v>
      </c>
      <c r="T72" s="2">
        <v>-41</v>
      </c>
      <c r="U72" s="2">
        <v>-39</v>
      </c>
      <c r="AA72" s="12">
        <f>-18.1-9.2-147.2</f>
        <v>-174.5</v>
      </c>
      <c r="AB72" s="12">
        <f>-27.2-24.9-1023</f>
        <v>-1075.0999999999999</v>
      </c>
      <c r="AC72" s="12">
        <f>-37.3-42.1-536.1+5</f>
        <v>-610.5</v>
      </c>
      <c r="AD72" s="12">
        <f>-68.5-42.8</f>
        <v>-111.3</v>
      </c>
      <c r="AE72" s="12">
        <f>-49.8-35.2-3080.5</f>
        <v>-3165.5</v>
      </c>
      <c r="AF72" s="12">
        <f>-152.4-38.5</f>
        <v>-190.9</v>
      </c>
      <c r="AG72" s="12">
        <f>-204.9-35.2</f>
        <v>-240.10000000000002</v>
      </c>
      <c r="AH72" s="12">
        <f>-197.2-47.8</f>
        <v>-245</v>
      </c>
      <c r="AI72" s="12">
        <f>-156-13</f>
        <v>-169</v>
      </c>
      <c r="AJ72" s="13"/>
    </row>
    <row r="73" spans="3:36" x14ac:dyDescent="0.25">
      <c r="C73" s="2" t="s">
        <v>82</v>
      </c>
      <c r="D73" s="12">
        <v>0</v>
      </c>
      <c r="E73" s="12">
        <v>-20.7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2">
        <v>0</v>
      </c>
      <c r="U73" s="2">
        <v>0</v>
      </c>
      <c r="AA73" s="12">
        <v>-26.6</v>
      </c>
      <c r="AB73" s="12">
        <f>1.5-53.7</f>
        <v>-52.2</v>
      </c>
      <c r="AC73" s="12">
        <v>-31.2</v>
      </c>
      <c r="AD73" s="12">
        <f>4.7-209</f>
        <v>-204.3</v>
      </c>
      <c r="AE73" s="12">
        <v>0</v>
      </c>
      <c r="AF73" s="12">
        <v>-20.7</v>
      </c>
      <c r="AG73" s="12">
        <v>0</v>
      </c>
      <c r="AH73" s="12">
        <v>0.7</v>
      </c>
      <c r="AI73" s="12">
        <v>0</v>
      </c>
      <c r="AJ73" s="13"/>
    </row>
    <row r="74" spans="3:36" x14ac:dyDescent="0.25">
      <c r="C74" s="1" t="s">
        <v>83</v>
      </c>
      <c r="D74" s="10">
        <f t="shared" ref="D74:Q74" si="52">SUM(D72:D73)</f>
        <v>-39.700000000000003</v>
      </c>
      <c r="E74" s="10">
        <f t="shared" si="52"/>
        <v>-74.900000000000006</v>
      </c>
      <c r="F74" s="10">
        <f t="shared" si="52"/>
        <v>-51.800000000000004</v>
      </c>
      <c r="G74" s="10">
        <f t="shared" si="52"/>
        <v>-45.300000000000004</v>
      </c>
      <c r="H74" s="10">
        <f t="shared" si="52"/>
        <v>-50.9</v>
      </c>
      <c r="I74" s="10">
        <f t="shared" si="52"/>
        <v>-63.699999999999996</v>
      </c>
      <c r="J74" s="10">
        <f t="shared" si="52"/>
        <v>-57.6</v>
      </c>
      <c r="K74" s="10">
        <f t="shared" si="52"/>
        <v>-57.6</v>
      </c>
      <c r="L74" s="10">
        <f t="shared" si="52"/>
        <v>-70</v>
      </c>
      <c r="M74" s="10">
        <f t="shared" si="52"/>
        <v>-58</v>
      </c>
      <c r="N74" s="10">
        <f t="shared" si="52"/>
        <v>-65</v>
      </c>
      <c r="O74" s="10">
        <f t="shared" si="52"/>
        <v>-64.900000000000006</v>
      </c>
      <c r="P74" s="10">
        <f t="shared" si="52"/>
        <v>-45</v>
      </c>
      <c r="Q74" s="10">
        <f t="shared" si="52"/>
        <v>-41</v>
      </c>
      <c r="R74" s="10">
        <f>SUM(R72:R73)</f>
        <v>-47</v>
      </c>
      <c r="S74" s="10">
        <f>SUM(S72:S73)</f>
        <v>-36</v>
      </c>
      <c r="T74" s="10">
        <f>SUM(T72:T73)</f>
        <v>-41</v>
      </c>
      <c r="U74" s="10">
        <f>SUM(U72:U73)</f>
        <v>-39</v>
      </c>
      <c r="AA74" s="10">
        <f t="shared" ref="AA74" si="53">SUM(AA72:AA73)</f>
        <v>-201.1</v>
      </c>
      <c r="AB74" s="10">
        <f t="shared" ref="AB74" si="54">SUM(AB72:AB73)</f>
        <v>-1127.3</v>
      </c>
      <c r="AC74" s="10">
        <f t="shared" ref="AC74" si="55">SUM(AC72:AC73)</f>
        <v>-641.70000000000005</v>
      </c>
      <c r="AD74" s="10">
        <f t="shared" ref="AD74" si="56">SUM(AD72:AD73)</f>
        <v>-315.60000000000002</v>
      </c>
      <c r="AE74" s="10">
        <f t="shared" ref="AE74" si="57">SUM(AE72:AE73)</f>
        <v>-3165.5</v>
      </c>
      <c r="AF74" s="10">
        <f t="shared" ref="AF74" si="58">SUM(AF72:AF73)</f>
        <v>-211.6</v>
      </c>
      <c r="AG74" s="10">
        <f t="shared" ref="AG74" si="59">SUM(AG72:AG73)</f>
        <v>-240.10000000000002</v>
      </c>
      <c r="AH74" s="10">
        <f t="shared" ref="AH74:AI74" si="60">SUM(AH72:AH73)</f>
        <v>-244.3</v>
      </c>
      <c r="AI74" s="10">
        <f t="shared" si="60"/>
        <v>-169</v>
      </c>
      <c r="AJ74" s="13"/>
    </row>
    <row r="75" spans="3:36" x14ac:dyDescent="0.25"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AA75" s="12"/>
      <c r="AB75" s="12"/>
      <c r="AC75" s="12"/>
      <c r="AD75" s="12"/>
      <c r="AE75" s="12"/>
      <c r="AF75" s="12"/>
      <c r="AG75" s="12"/>
      <c r="AH75" s="12"/>
      <c r="AI75" s="12"/>
      <c r="AJ75" s="13"/>
    </row>
    <row r="76" spans="3:36" x14ac:dyDescent="0.25">
      <c r="C76" s="2" t="s">
        <v>84</v>
      </c>
      <c r="D76" s="12">
        <v>5.8</v>
      </c>
      <c r="E76" s="12">
        <v>0</v>
      </c>
      <c r="F76" s="12">
        <v>0</v>
      </c>
      <c r="G76" s="12">
        <v>0</v>
      </c>
      <c r="H76" s="12">
        <v>0</v>
      </c>
      <c r="I76" s="12">
        <v>3.9</v>
      </c>
      <c r="J76" s="12">
        <v>0</v>
      </c>
      <c r="K76" s="12">
        <v>0</v>
      </c>
      <c r="L76" s="12">
        <v>-1</v>
      </c>
      <c r="M76" s="12">
        <v>1730</v>
      </c>
      <c r="N76" s="12">
        <v>0</v>
      </c>
      <c r="O76" s="12">
        <v>-0.2</v>
      </c>
      <c r="P76" s="12">
        <v>0</v>
      </c>
      <c r="Q76" s="12">
        <v>0</v>
      </c>
      <c r="R76" s="12">
        <v>1240</v>
      </c>
      <c r="S76" s="12">
        <v>0</v>
      </c>
      <c r="T76" s="2">
        <v>0</v>
      </c>
      <c r="U76" s="2">
        <v>1</v>
      </c>
      <c r="AA76" s="12">
        <v>1.6</v>
      </c>
      <c r="AB76" s="12">
        <v>54.6</v>
      </c>
      <c r="AC76" s="12">
        <v>680.8</v>
      </c>
      <c r="AD76" s="12">
        <v>0</v>
      </c>
      <c r="AE76" s="12">
        <v>1187.0999999999999</v>
      </c>
      <c r="AF76" s="12">
        <v>5.8</v>
      </c>
      <c r="AG76" s="12">
        <v>3.9</v>
      </c>
      <c r="AH76" s="12">
        <v>1728.9</v>
      </c>
      <c r="AI76" s="12">
        <v>1240</v>
      </c>
      <c r="AJ76" s="13"/>
    </row>
    <row r="77" spans="3:36" x14ac:dyDescent="0.25">
      <c r="C77" s="2" t="s">
        <v>110</v>
      </c>
      <c r="D77" s="12">
        <v>0</v>
      </c>
      <c r="E77" s="12">
        <v>0</v>
      </c>
      <c r="F77" s="12">
        <v>0</v>
      </c>
      <c r="G77" s="12">
        <v>-1.9</v>
      </c>
      <c r="H77" s="12">
        <v>0</v>
      </c>
      <c r="I77" s="12">
        <v>-4.0999999999999996</v>
      </c>
      <c r="J77" s="12">
        <v>0</v>
      </c>
      <c r="K77" s="12">
        <v>0</v>
      </c>
      <c r="L77" s="12">
        <v>0</v>
      </c>
      <c r="M77" s="12">
        <v>-20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2">
        <v>0</v>
      </c>
      <c r="U77" s="2">
        <v>0</v>
      </c>
      <c r="AA77" s="12">
        <v>0</v>
      </c>
      <c r="AB77" s="12">
        <v>2165</v>
      </c>
      <c r="AC77" s="12">
        <f>28.9-239.2</f>
        <v>-210.29999999999998</v>
      </c>
      <c r="AD77" s="12">
        <f>4-265.9</f>
        <v>-261.89999999999998</v>
      </c>
      <c r="AE77" s="12">
        <f>-7.3-195</f>
        <v>-202.3</v>
      </c>
      <c r="AF77" s="12">
        <f>2.4+-250</f>
        <v>-247.6</v>
      </c>
      <c r="AG77" s="12">
        <v>-4.0999999999999996</v>
      </c>
      <c r="AH77" s="12">
        <f>-20</f>
        <v>-20</v>
      </c>
      <c r="AI77" s="12">
        <v>0</v>
      </c>
      <c r="AJ77" s="13"/>
    </row>
    <row r="78" spans="3:36" x14ac:dyDescent="0.25">
      <c r="C78" s="2" t="s">
        <v>85</v>
      </c>
      <c r="D78" s="12">
        <v>4466.3999999999996</v>
      </c>
      <c r="E78" s="12">
        <v>150</v>
      </c>
      <c r="F78" s="12">
        <v>0</v>
      </c>
      <c r="G78" s="12">
        <v>0</v>
      </c>
      <c r="H78" s="12">
        <v>400</v>
      </c>
      <c r="I78" s="12">
        <v>150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10</v>
      </c>
      <c r="S78" s="12">
        <v>0</v>
      </c>
      <c r="T78" s="2">
        <v>0</v>
      </c>
      <c r="U78" s="2">
        <v>0</v>
      </c>
      <c r="AA78" s="12">
        <v>0</v>
      </c>
      <c r="AB78" s="12">
        <v>-1383.6</v>
      </c>
      <c r="AC78" s="12">
        <v>0</v>
      </c>
      <c r="AD78" s="12">
        <v>390.1</v>
      </c>
      <c r="AE78" s="12">
        <v>3629.9</v>
      </c>
      <c r="AF78" s="12">
        <v>4466.3999999999996</v>
      </c>
      <c r="AG78" s="12">
        <v>550</v>
      </c>
      <c r="AH78" s="12">
        <v>0</v>
      </c>
      <c r="AI78" s="12">
        <v>10</v>
      </c>
      <c r="AJ78" s="13"/>
    </row>
    <row r="79" spans="3:36" x14ac:dyDescent="0.25">
      <c r="C79" s="2" t="s">
        <v>86</v>
      </c>
      <c r="D79" s="12">
        <v>-4445.1000000000004</v>
      </c>
      <c r="E79" s="12">
        <v>-301</v>
      </c>
      <c r="F79" s="12">
        <v>-3.6</v>
      </c>
      <c r="G79" s="12">
        <v>-3.7</v>
      </c>
      <c r="H79" s="12">
        <v>0</v>
      </c>
      <c r="I79" s="12">
        <v>-301.89999999999998</v>
      </c>
      <c r="J79" s="12">
        <v>-1.9</v>
      </c>
      <c r="K79" s="12">
        <v>-1.9</v>
      </c>
      <c r="L79" s="12">
        <v>0</v>
      </c>
      <c r="M79" s="12">
        <v>-1647</v>
      </c>
      <c r="N79" s="12">
        <v>0</v>
      </c>
      <c r="O79" s="12">
        <v>-0.4</v>
      </c>
      <c r="P79" s="12">
        <v>-3</v>
      </c>
      <c r="Q79" s="12">
        <v>0</v>
      </c>
      <c r="R79" s="12">
        <v>0</v>
      </c>
      <c r="S79" s="12">
        <v>-1105</v>
      </c>
      <c r="T79" s="2">
        <v>-3</v>
      </c>
      <c r="U79" s="2">
        <v>0</v>
      </c>
      <c r="AA79" s="12">
        <v>-3.3</v>
      </c>
      <c r="AB79" s="12">
        <v>-8.4</v>
      </c>
      <c r="AC79" s="12">
        <v>-71.900000000000006</v>
      </c>
      <c r="AD79" s="12">
        <v>-134.4</v>
      </c>
      <c r="AE79" s="12">
        <v>-1321.8</v>
      </c>
      <c r="AF79" s="12">
        <v>-4452.3999999999996</v>
      </c>
      <c r="AG79" s="12">
        <v>-303.8</v>
      </c>
      <c r="AH79" s="12">
        <v>-1647.9</v>
      </c>
      <c r="AI79" s="12">
        <v>-1008</v>
      </c>
      <c r="AJ79" s="13"/>
    </row>
    <row r="80" spans="3:36" x14ac:dyDescent="0.25">
      <c r="C80" s="2" t="s">
        <v>91</v>
      </c>
      <c r="D80" s="12">
        <v>-15.7</v>
      </c>
      <c r="E80" s="12">
        <v>-8</v>
      </c>
      <c r="F80" s="12">
        <v>-1</v>
      </c>
      <c r="G80" s="12">
        <v>0</v>
      </c>
      <c r="H80" s="12">
        <v>0</v>
      </c>
      <c r="I80" s="12">
        <v>-8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-8</v>
      </c>
      <c r="Q80" s="12">
        <v>0</v>
      </c>
      <c r="R80" s="12">
        <v>-4</v>
      </c>
      <c r="S80" s="12">
        <v>-7</v>
      </c>
      <c r="T80" s="2">
        <v>0</v>
      </c>
      <c r="U80" s="2">
        <v>-1</v>
      </c>
      <c r="AA80" s="12">
        <v>-182.8</v>
      </c>
      <c r="AB80" s="12">
        <v>-213.3</v>
      </c>
      <c r="AC80" s="12">
        <v>-0.6</v>
      </c>
      <c r="AD80" s="12">
        <v>-1.5</v>
      </c>
      <c r="AE80" s="12">
        <v>-25.5</v>
      </c>
      <c r="AF80" s="12">
        <v>-16.8</v>
      </c>
      <c r="AG80" s="12">
        <v>-28.3</v>
      </c>
      <c r="AH80" s="12">
        <v>-12.4</v>
      </c>
      <c r="AI80" s="12">
        <v>-19</v>
      </c>
      <c r="AJ80" s="13"/>
    </row>
    <row r="81" spans="3:36" x14ac:dyDescent="0.25">
      <c r="C81" s="2" t="s">
        <v>92</v>
      </c>
      <c r="D81" s="12">
        <v>-46.7</v>
      </c>
      <c r="E81" s="12">
        <v>-44.9</v>
      </c>
      <c r="F81" s="12">
        <v>-45.8</v>
      </c>
      <c r="G81" s="12">
        <v>-45.2</v>
      </c>
      <c r="H81" s="12">
        <v>-47</v>
      </c>
      <c r="I81" s="12">
        <v>-44.9</v>
      </c>
      <c r="J81" s="12">
        <v>-48.1</v>
      </c>
      <c r="K81" s="12">
        <v>-48.1</v>
      </c>
      <c r="L81" s="12">
        <v>-50</v>
      </c>
      <c r="M81" s="12">
        <v>-49</v>
      </c>
      <c r="N81" s="12">
        <v>-48</v>
      </c>
      <c r="O81" s="12">
        <v>-48</v>
      </c>
      <c r="P81" s="12">
        <v>-51</v>
      </c>
      <c r="Q81" s="12">
        <v>-50</v>
      </c>
      <c r="R81" s="12">
        <v>-51</v>
      </c>
      <c r="S81" s="12">
        <v>-49</v>
      </c>
      <c r="T81" s="2">
        <v>-48</v>
      </c>
      <c r="U81" s="2">
        <v>-48</v>
      </c>
      <c r="AA81" s="12">
        <v>-1.6</v>
      </c>
      <c r="AB81" s="12">
        <v>-3.6</v>
      </c>
      <c r="AC81" s="12">
        <v>-4.8</v>
      </c>
      <c r="AD81" s="12">
        <v>-148.69999999999999</v>
      </c>
      <c r="AE81" s="12">
        <v>-162.30000000000001</v>
      </c>
      <c r="AF81" s="12">
        <v>-190</v>
      </c>
      <c r="AG81" s="12">
        <v>-191</v>
      </c>
      <c r="AH81" s="12">
        <v>-197.5</v>
      </c>
      <c r="AI81" s="12">
        <v>-202</v>
      </c>
      <c r="AJ81" s="13"/>
    </row>
    <row r="82" spans="3:36" x14ac:dyDescent="0.25">
      <c r="C82" s="1" t="s">
        <v>87</v>
      </c>
      <c r="D82" s="10">
        <f t="shared" ref="D82:Q82" si="61">SUM(D76:D81)</f>
        <v>-35.300000000000551</v>
      </c>
      <c r="E82" s="10">
        <f t="shared" si="61"/>
        <v>-203.9</v>
      </c>
      <c r="F82" s="10">
        <f t="shared" si="61"/>
        <v>-50.4</v>
      </c>
      <c r="G82" s="10">
        <f t="shared" si="61"/>
        <v>-50.800000000000004</v>
      </c>
      <c r="H82" s="10">
        <f t="shared" si="61"/>
        <v>353</v>
      </c>
      <c r="I82" s="10">
        <f t="shared" si="61"/>
        <v>-204.99999999999997</v>
      </c>
      <c r="J82" s="10">
        <f t="shared" si="61"/>
        <v>-50</v>
      </c>
      <c r="K82" s="10">
        <f t="shared" si="61"/>
        <v>-50</v>
      </c>
      <c r="L82" s="10">
        <f t="shared" si="61"/>
        <v>-51</v>
      </c>
      <c r="M82" s="10">
        <f t="shared" si="61"/>
        <v>14</v>
      </c>
      <c r="N82" s="10">
        <f t="shared" si="61"/>
        <v>-48</v>
      </c>
      <c r="O82" s="10">
        <f t="shared" si="61"/>
        <v>-48.6</v>
      </c>
      <c r="P82" s="10">
        <f t="shared" si="61"/>
        <v>-62</v>
      </c>
      <c r="Q82" s="10">
        <f t="shared" si="61"/>
        <v>-50</v>
      </c>
      <c r="R82" s="10">
        <f>SUM(R76:R81)</f>
        <v>1195</v>
      </c>
      <c r="S82" s="10">
        <f>SUM(S76:S81)</f>
        <v>-1161</v>
      </c>
      <c r="T82" s="10">
        <f>SUM(T76:T81)</f>
        <v>-51</v>
      </c>
      <c r="U82" s="10">
        <f>SUM(U76:U81)</f>
        <v>-48</v>
      </c>
      <c r="AA82" s="10">
        <f t="shared" ref="AA82:AG82" si="62">SUM(AA76:AA81)</f>
        <v>-186.1</v>
      </c>
      <c r="AB82" s="10">
        <f t="shared" si="62"/>
        <v>610.69999999999993</v>
      </c>
      <c r="AC82" s="10">
        <f t="shared" si="62"/>
        <v>393.2</v>
      </c>
      <c r="AD82" s="10">
        <f t="shared" si="62"/>
        <v>-156.39999999999995</v>
      </c>
      <c r="AE82" s="10">
        <f t="shared" si="62"/>
        <v>3105.0999999999995</v>
      </c>
      <c r="AF82" s="10">
        <f t="shared" si="62"/>
        <v>-434.60000000000019</v>
      </c>
      <c r="AG82" s="10">
        <f t="shared" si="62"/>
        <v>26.699999999999932</v>
      </c>
      <c r="AH82" s="10">
        <f>SUM(AH76:AH81)</f>
        <v>-148.9</v>
      </c>
      <c r="AI82" s="10">
        <f>SUM(AI76:AI81)</f>
        <v>21</v>
      </c>
      <c r="AJ82" s="13"/>
    </row>
    <row r="83" spans="3:36" x14ac:dyDescent="0.25"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AA83" s="12"/>
      <c r="AB83" s="12"/>
      <c r="AC83" s="12"/>
      <c r="AD83" s="12"/>
      <c r="AE83" s="12"/>
      <c r="AF83" s="12"/>
      <c r="AG83" s="12"/>
      <c r="AH83" s="12"/>
      <c r="AI83" s="12"/>
      <c r="AJ83" s="13"/>
    </row>
    <row r="84" spans="3:36" x14ac:dyDescent="0.25">
      <c r="C84" s="2" t="s">
        <v>88</v>
      </c>
      <c r="D84" s="12">
        <v>2.9</v>
      </c>
      <c r="E84" s="12">
        <v>-2.4</v>
      </c>
      <c r="F84" s="12">
        <v>1</v>
      </c>
      <c r="G84" s="12">
        <v>-3.2</v>
      </c>
      <c r="H84" s="12">
        <v>-12.7</v>
      </c>
      <c r="I84" s="12">
        <v>-2.4</v>
      </c>
      <c r="J84" s="12">
        <v>-45.1</v>
      </c>
      <c r="K84" s="12">
        <v>-45.1</v>
      </c>
      <c r="L84" s="12">
        <v>28</v>
      </c>
      <c r="M84" s="12">
        <v>11</v>
      </c>
      <c r="N84" s="12">
        <v>-10</v>
      </c>
      <c r="O84" s="12">
        <v>-9.5</v>
      </c>
      <c r="P84" s="12">
        <v>-7</v>
      </c>
      <c r="Q84" s="12">
        <v>22</v>
      </c>
      <c r="R84" s="12">
        <v>17</v>
      </c>
      <c r="S84" s="12">
        <v>-18</v>
      </c>
      <c r="T84" s="2">
        <v>5</v>
      </c>
      <c r="U84" s="2">
        <v>13</v>
      </c>
      <c r="AA84" s="12">
        <v>2.2000000000000002</v>
      </c>
      <c r="AB84" s="12">
        <v>-25.1</v>
      </c>
      <c r="AC84" s="12">
        <v>-11.8</v>
      </c>
      <c r="AD84" s="12">
        <v>53</v>
      </c>
      <c r="AE84" s="12">
        <v>9.1</v>
      </c>
      <c r="AF84" s="12">
        <v>-18.600000000000001</v>
      </c>
      <c r="AG84" s="12">
        <v>-64.5</v>
      </c>
      <c r="AH84" s="12">
        <v>22.1</v>
      </c>
      <c r="AI84" s="12">
        <v>14</v>
      </c>
      <c r="AJ84" s="13"/>
    </row>
    <row r="85" spans="3:36" x14ac:dyDescent="0.25"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AA85" s="12"/>
      <c r="AB85" s="12"/>
      <c r="AC85" s="12"/>
      <c r="AD85" s="12"/>
      <c r="AE85" s="12"/>
      <c r="AF85" s="12"/>
      <c r="AG85" s="12"/>
      <c r="AH85" s="12"/>
      <c r="AI85" s="12"/>
      <c r="AJ85" s="13"/>
    </row>
    <row r="86" spans="3:36" x14ac:dyDescent="0.25">
      <c r="C86" s="2" t="s">
        <v>89</v>
      </c>
      <c r="D86" s="12">
        <f t="shared" ref="D86:Q86" si="63">D70+D74+D82+D84</f>
        <v>296.89999999999941</v>
      </c>
      <c r="E86" s="12">
        <f t="shared" si="63"/>
        <v>106.80000000000001</v>
      </c>
      <c r="F86" s="12">
        <f t="shared" si="63"/>
        <v>-378.4</v>
      </c>
      <c r="G86" s="12">
        <f t="shared" si="63"/>
        <v>5.1999999999999629</v>
      </c>
      <c r="H86" s="12">
        <f t="shared" si="63"/>
        <v>204.8</v>
      </c>
      <c r="I86" s="12">
        <f t="shared" si="63"/>
        <v>-21.20000000000001</v>
      </c>
      <c r="J86" s="12">
        <f t="shared" si="63"/>
        <v>278.59999999999991</v>
      </c>
      <c r="K86" s="12">
        <f t="shared" si="63"/>
        <v>278.59999999999991</v>
      </c>
      <c r="L86" s="12">
        <f t="shared" si="63"/>
        <v>157</v>
      </c>
      <c r="M86" s="12">
        <f t="shared" si="63"/>
        <v>-233</v>
      </c>
      <c r="N86" s="12">
        <f t="shared" si="63"/>
        <v>331</v>
      </c>
      <c r="O86" s="12">
        <f t="shared" si="63"/>
        <v>330.4</v>
      </c>
      <c r="P86" s="12">
        <f t="shared" si="63"/>
        <v>-157</v>
      </c>
      <c r="Q86" s="12">
        <f t="shared" si="63"/>
        <v>112</v>
      </c>
      <c r="R86" s="12">
        <f>R70+R74+R82+R84</f>
        <v>1026</v>
      </c>
      <c r="S86" s="12">
        <f>S70+S74+S82+S84</f>
        <v>-1290</v>
      </c>
      <c r="T86" s="12">
        <f>T70+T74+T82+T84</f>
        <v>294</v>
      </c>
      <c r="U86" s="12">
        <f>U70+U74+U82+U84</f>
        <v>185</v>
      </c>
      <c r="AA86" s="12">
        <f t="shared" ref="AA86:AG86" si="64">AA70+AA74+AA82+AA84</f>
        <v>-170.79999999999995</v>
      </c>
      <c r="AB86" s="12">
        <f t="shared" si="64"/>
        <v>206.39999999999989</v>
      </c>
      <c r="AC86" s="12">
        <f t="shared" si="64"/>
        <v>3.6999999999999424</v>
      </c>
      <c r="AD86" s="12">
        <f t="shared" si="64"/>
        <v>448.5</v>
      </c>
      <c r="AE86" s="12">
        <f t="shared" si="64"/>
        <v>117.09999999999954</v>
      </c>
      <c r="AF86" s="12">
        <f t="shared" si="64"/>
        <v>-80.500000000000256</v>
      </c>
      <c r="AG86" s="12">
        <f t="shared" si="64"/>
        <v>341.29999999999973</v>
      </c>
      <c r="AH86" s="12">
        <f>AH70+AH74+AH82+AH84</f>
        <v>-223.7000000000001</v>
      </c>
      <c r="AI86" s="12">
        <f>AI70+AI74+AI82+AI84</f>
        <v>-208</v>
      </c>
      <c r="AJ86" s="13"/>
    </row>
    <row r="87" spans="3:36" x14ac:dyDescent="0.25"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AA87" s="12"/>
      <c r="AB87" s="12"/>
      <c r="AC87" s="12"/>
      <c r="AD87" s="12"/>
      <c r="AE87" s="12"/>
      <c r="AF87" s="12"/>
      <c r="AG87" s="12"/>
      <c r="AH87" s="12"/>
      <c r="AI87" s="12"/>
      <c r="AJ87" s="13"/>
    </row>
    <row r="88" spans="3:36" x14ac:dyDescent="0.25">
      <c r="C88" s="2" t="s">
        <v>90</v>
      </c>
      <c r="D88" s="12">
        <f t="shared" ref="D88:Q88" si="65">D70+D72</f>
        <v>329.3</v>
      </c>
      <c r="E88" s="12">
        <f t="shared" si="65"/>
        <v>333.8</v>
      </c>
      <c r="F88" s="12">
        <f t="shared" si="65"/>
        <v>-329</v>
      </c>
      <c r="G88" s="12">
        <f t="shared" si="65"/>
        <v>59.199999999999967</v>
      </c>
      <c r="H88" s="12">
        <f t="shared" si="65"/>
        <v>-135.5</v>
      </c>
      <c r="I88" s="12">
        <f t="shared" si="65"/>
        <v>186.19999999999996</v>
      </c>
      <c r="J88" s="12">
        <f t="shared" si="65"/>
        <v>373.69999999999993</v>
      </c>
      <c r="K88" s="12">
        <f t="shared" si="65"/>
        <v>373.69999999999993</v>
      </c>
      <c r="L88" s="12">
        <f t="shared" si="65"/>
        <v>180</v>
      </c>
      <c r="M88" s="12">
        <f t="shared" si="65"/>
        <v>-258</v>
      </c>
      <c r="N88" s="12">
        <f t="shared" si="65"/>
        <v>389</v>
      </c>
      <c r="O88" s="12">
        <f t="shared" si="65"/>
        <v>388.5</v>
      </c>
      <c r="P88" s="12">
        <f t="shared" si="65"/>
        <v>-88</v>
      </c>
      <c r="Q88" s="12">
        <f t="shared" si="65"/>
        <v>140</v>
      </c>
      <c r="R88" s="12">
        <f>R70+R72</f>
        <v>-186</v>
      </c>
      <c r="S88" s="12">
        <f>S70+S72</f>
        <v>-111</v>
      </c>
      <c r="T88" s="12">
        <f>T70+T72</f>
        <v>340</v>
      </c>
      <c r="U88" s="12">
        <f>U70+U72</f>
        <v>220</v>
      </c>
      <c r="AA88" s="12">
        <f t="shared" ref="AA88:AG88" si="66">AA70+AA72</f>
        <v>39.700000000000045</v>
      </c>
      <c r="AB88" s="12">
        <f t="shared" si="66"/>
        <v>-327</v>
      </c>
      <c r="AC88" s="12">
        <f t="shared" si="66"/>
        <v>-346.5</v>
      </c>
      <c r="AD88" s="12">
        <f t="shared" si="66"/>
        <v>756.2</v>
      </c>
      <c r="AE88" s="12">
        <f t="shared" si="66"/>
        <v>-2997.1</v>
      </c>
      <c r="AF88" s="12">
        <f t="shared" si="66"/>
        <v>393.4</v>
      </c>
      <c r="AG88" s="12">
        <f t="shared" si="66"/>
        <v>379.0999999999998</v>
      </c>
      <c r="AH88" s="12">
        <f>AH70+AH72</f>
        <v>-97.60000000000008</v>
      </c>
      <c r="AI88" s="12">
        <f>AI70+AI72</f>
        <v>-243</v>
      </c>
      <c r="AJ88" s="13"/>
    </row>
  </sheetData>
  <phoneticPr fontId="7" type="noConversion"/>
  <pageMargins left="0.7" right="0.7" top="0.75" bottom="0.75" header="0.3" footer="0.3"/>
  <ignoredErrors>
    <ignoredError sqref="S28:T28 O28" formulaRange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3:AA21"/>
  <sheetViews>
    <sheetView showGridLines="0" workbookViewId="0">
      <pane xSplit="2" ySplit="3" topLeftCell="N4" activePane="bottomRight" state="frozen"/>
      <selection pane="topRight" activeCell="C1" sqref="C1"/>
      <selection pane="bottomLeft" activeCell="A4" sqref="A4"/>
      <selection pane="bottomRight" activeCell="X27" sqref="X27"/>
    </sheetView>
  </sheetViews>
  <sheetFormatPr baseColWidth="10" defaultRowHeight="19" x14ac:dyDescent="0.25"/>
  <cols>
    <col min="1" max="1" width="10.83203125" style="2"/>
    <col min="2" max="2" width="21.83203125" style="2" customWidth="1"/>
    <col min="3" max="20" width="10.83203125" style="2"/>
    <col min="21" max="21" width="11.1640625" style="2" bestFit="1" customWidth="1"/>
    <col min="22" max="22" width="11.1640625" style="2" customWidth="1"/>
    <col min="23" max="16384" width="10.83203125" style="2"/>
  </cols>
  <sheetData>
    <row r="3" spans="2:27" x14ac:dyDescent="0.25">
      <c r="B3" s="2" t="s">
        <v>5</v>
      </c>
      <c r="C3" s="7" t="s">
        <v>100</v>
      </c>
      <c r="D3" s="7" t="s">
        <v>99</v>
      </c>
      <c r="E3" s="7" t="s">
        <v>98</v>
      </c>
      <c r="F3" s="7" t="s">
        <v>97</v>
      </c>
      <c r="G3" s="39" t="s">
        <v>162</v>
      </c>
      <c r="H3" s="7" t="s">
        <v>96</v>
      </c>
      <c r="I3" s="7" t="s">
        <v>95</v>
      </c>
      <c r="J3" s="7" t="s">
        <v>94</v>
      </c>
      <c r="K3" s="7" t="s">
        <v>93</v>
      </c>
      <c r="L3" s="39" t="s">
        <v>161</v>
      </c>
      <c r="M3" s="7" t="s">
        <v>42</v>
      </c>
      <c r="N3" s="7" t="s">
        <v>41</v>
      </c>
      <c r="O3" s="7" t="s">
        <v>40</v>
      </c>
      <c r="P3" s="7" t="s">
        <v>39</v>
      </c>
      <c r="Q3" s="39" t="s">
        <v>160</v>
      </c>
      <c r="R3" s="7" t="s">
        <v>20</v>
      </c>
      <c r="S3" s="7" t="s">
        <v>19</v>
      </c>
      <c r="T3" s="7" t="s">
        <v>17</v>
      </c>
      <c r="U3" s="7" t="s">
        <v>18</v>
      </c>
      <c r="V3" s="39" t="s">
        <v>159</v>
      </c>
      <c r="W3" s="7" t="s">
        <v>137</v>
      </c>
      <c r="X3" s="7" t="s">
        <v>138</v>
      </c>
      <c r="Y3" s="7" t="s">
        <v>139</v>
      </c>
      <c r="Z3" s="7" t="s">
        <v>140</v>
      </c>
      <c r="AA3" s="39" t="s">
        <v>132</v>
      </c>
    </row>
    <row r="4" spans="2:27" x14ac:dyDescent="0.25">
      <c r="B4" s="1" t="s">
        <v>141</v>
      </c>
      <c r="G4" s="40"/>
      <c r="L4" s="40"/>
      <c r="Q4" s="40"/>
      <c r="V4" s="40"/>
      <c r="AA4" s="40"/>
    </row>
    <row r="5" spans="2:27" x14ac:dyDescent="0.25">
      <c r="B5" s="1" t="s">
        <v>142</v>
      </c>
      <c r="C5" s="10">
        <v>1852.7</v>
      </c>
      <c r="D5" s="10">
        <v>1995.6</v>
      </c>
      <c r="E5" s="10">
        <v>1973.6</v>
      </c>
      <c r="F5" s="10">
        <v>1638.7</v>
      </c>
      <c r="G5" s="43">
        <f>SUM(C5:F5)</f>
        <v>7460.5999999999995</v>
      </c>
      <c r="H5" s="10">
        <v>1770.7</v>
      </c>
      <c r="I5" s="10">
        <v>1821.5</v>
      </c>
      <c r="J5" s="10">
        <v>1653.8</v>
      </c>
      <c r="K5" s="10">
        <v>1459.3</v>
      </c>
      <c r="L5" s="43">
        <f>SUM(H5:K5)</f>
        <v>6705.3</v>
      </c>
      <c r="M5" s="10">
        <v>1711</v>
      </c>
      <c r="N5" s="10">
        <v>1574</v>
      </c>
      <c r="O5" s="10">
        <v>1474</v>
      </c>
      <c r="P5" s="10">
        <v>1278</v>
      </c>
      <c r="Q5" s="43">
        <f>SUM(M5:P5)</f>
        <v>6037</v>
      </c>
      <c r="R5" s="10">
        <v>1553</v>
      </c>
      <c r="S5" s="10">
        <v>1540</v>
      </c>
      <c r="T5" s="10">
        <v>1396</v>
      </c>
      <c r="U5" s="10">
        <v>1178</v>
      </c>
      <c r="V5" s="43">
        <f>SUM(R5:U5)</f>
        <v>5667</v>
      </c>
      <c r="W5" s="10">
        <v>1470</v>
      </c>
      <c r="X5" s="10">
        <v>1332</v>
      </c>
      <c r="Y5" s="10"/>
      <c r="Z5" s="10"/>
      <c r="AA5" s="43">
        <f>SUM(W5:Z5)</f>
        <v>2802</v>
      </c>
    </row>
    <row r="6" spans="2:27" x14ac:dyDescent="0.25">
      <c r="B6" s="33" t="s">
        <v>144</v>
      </c>
      <c r="C6" s="33"/>
      <c r="D6" s="33"/>
      <c r="E6" s="33"/>
      <c r="F6" s="33"/>
      <c r="G6" s="41"/>
      <c r="H6" s="33">
        <f t="shared" ref="H6:AA6" si="0">(H5-C5)/C5</f>
        <v>-4.4259729044097799E-2</v>
      </c>
      <c r="I6" s="33">
        <f t="shared" si="0"/>
        <v>-8.7241932250952059E-2</v>
      </c>
      <c r="J6" s="33">
        <f t="shared" si="0"/>
        <v>-0.16203891366031617</v>
      </c>
      <c r="K6" s="33">
        <f t="shared" si="0"/>
        <v>-0.10947702447061701</v>
      </c>
      <c r="L6" s="41">
        <f t="shared" si="0"/>
        <v>-0.10123850628635758</v>
      </c>
      <c r="M6" s="33">
        <f t="shared" si="0"/>
        <v>-3.371547975376972E-2</v>
      </c>
      <c r="N6" s="33">
        <f t="shared" si="0"/>
        <v>-0.13587702443041449</v>
      </c>
      <c r="O6" s="33">
        <f t="shared" si="0"/>
        <v>-0.10871931309710967</v>
      </c>
      <c r="P6" s="33">
        <f t="shared" si="0"/>
        <v>-0.12423764818748713</v>
      </c>
      <c r="Q6" s="41">
        <f t="shared" si="0"/>
        <v>-9.9667427259033922E-2</v>
      </c>
      <c r="R6" s="33">
        <f t="shared" si="0"/>
        <v>-9.2343658679135007E-2</v>
      </c>
      <c r="S6" s="33">
        <f t="shared" si="0"/>
        <v>-2.1601016518424398E-2</v>
      </c>
      <c r="T6" s="33">
        <f t="shared" si="0"/>
        <v>-5.2917232021709636E-2</v>
      </c>
      <c r="U6" s="33">
        <f t="shared" si="0"/>
        <v>-7.82472613458529E-2</v>
      </c>
      <c r="V6" s="41">
        <f t="shared" si="0"/>
        <v>-6.1288719562696707E-2</v>
      </c>
      <c r="W6" s="33">
        <f t="shared" si="0"/>
        <v>-5.3444945267224729E-2</v>
      </c>
      <c r="X6" s="33">
        <f t="shared" si="0"/>
        <v>-0.13506493506493505</v>
      </c>
      <c r="Y6" s="33">
        <f t="shared" si="0"/>
        <v>-1</v>
      </c>
      <c r="Z6" s="33">
        <f t="shared" si="0"/>
        <v>-1</v>
      </c>
      <c r="AA6" s="41">
        <f t="shared" si="0"/>
        <v>-0.50555849655902596</v>
      </c>
    </row>
    <row r="7" spans="2:27" x14ac:dyDescent="0.25">
      <c r="B7" s="34" t="s">
        <v>147</v>
      </c>
      <c r="C7" s="50"/>
      <c r="D7" s="50"/>
      <c r="E7" s="50"/>
      <c r="F7" s="50"/>
      <c r="G7" s="45">
        <f>SUM(C7:F7)</f>
        <v>0</v>
      </c>
      <c r="H7" s="50"/>
      <c r="I7" s="50"/>
      <c r="J7" s="50"/>
      <c r="K7" s="50"/>
      <c r="L7" s="45">
        <f>SUM(H7:K7)</f>
        <v>0</v>
      </c>
      <c r="M7" s="50">
        <v>1434</v>
      </c>
      <c r="N7" s="50">
        <v>1305</v>
      </c>
      <c r="O7" s="50">
        <v>1228</v>
      </c>
      <c r="P7" s="50">
        <v>1054</v>
      </c>
      <c r="Q7" s="45">
        <f>SUM(M7:P7)</f>
        <v>5021</v>
      </c>
      <c r="R7" s="50">
        <v>1310</v>
      </c>
      <c r="S7" s="50">
        <v>1297</v>
      </c>
      <c r="T7" s="50">
        <v>1179</v>
      </c>
      <c r="U7" s="50">
        <v>978</v>
      </c>
      <c r="V7" s="45">
        <f>SUM(R7:U7)</f>
        <v>4764</v>
      </c>
      <c r="W7" s="50">
        <v>1256</v>
      </c>
      <c r="X7" s="50">
        <v>1122</v>
      </c>
      <c r="Y7" s="50"/>
      <c r="Z7" s="50"/>
      <c r="AA7" s="45">
        <f>SUM(W7:Z7)</f>
        <v>2378</v>
      </c>
    </row>
    <row r="8" spans="2:27" x14ac:dyDescent="0.25">
      <c r="B8" s="35" t="s">
        <v>148</v>
      </c>
      <c r="C8" s="51"/>
      <c r="D8" s="51"/>
      <c r="E8" s="51"/>
      <c r="F8" s="51"/>
      <c r="G8" s="46">
        <f>SUM(C8:F8)</f>
        <v>0</v>
      </c>
      <c r="H8" s="51"/>
      <c r="I8" s="51"/>
      <c r="J8" s="51"/>
      <c r="K8" s="51"/>
      <c r="L8" s="46">
        <f>SUM(H8:K8)</f>
        <v>0</v>
      </c>
      <c r="M8" s="51">
        <v>276</v>
      </c>
      <c r="N8" s="51">
        <v>269</v>
      </c>
      <c r="O8" s="51">
        <v>246</v>
      </c>
      <c r="P8" s="51">
        <v>224</v>
      </c>
      <c r="Q8" s="46">
        <f>SUM(M8:P8)</f>
        <v>1015</v>
      </c>
      <c r="R8" s="51">
        <v>243</v>
      </c>
      <c r="S8" s="51">
        <v>243</v>
      </c>
      <c r="T8" s="51">
        <v>217</v>
      </c>
      <c r="U8" s="51">
        <v>200</v>
      </c>
      <c r="V8" s="46">
        <f>SUM(R8:U8)</f>
        <v>903</v>
      </c>
      <c r="W8" s="51">
        <v>214</v>
      </c>
      <c r="X8" s="51">
        <v>210</v>
      </c>
      <c r="Y8" s="51"/>
      <c r="Z8" s="51"/>
      <c r="AA8" s="46">
        <f>SUM(W8:Z8)</f>
        <v>424</v>
      </c>
    </row>
    <row r="9" spans="2:27" x14ac:dyDescent="0.25">
      <c r="B9" s="34" t="s">
        <v>149</v>
      </c>
      <c r="C9" s="50">
        <v>1585.5</v>
      </c>
      <c r="D9" s="50">
        <v>1704</v>
      </c>
      <c r="E9" s="50">
        <v>1726.1</v>
      </c>
      <c r="F9" s="50">
        <v>1436.1</v>
      </c>
      <c r="G9" s="45">
        <f>SUM(C9:F9)</f>
        <v>6451.7000000000007</v>
      </c>
      <c r="H9" s="50">
        <v>1550.5</v>
      </c>
      <c r="I9" s="50">
        <v>1622.1</v>
      </c>
      <c r="J9" s="50">
        <v>1461.2</v>
      </c>
      <c r="K9" s="50">
        <v>1265.5999999999999</v>
      </c>
      <c r="L9" s="45">
        <f>SUM(H9:K9)</f>
        <v>5899.4</v>
      </c>
      <c r="M9" s="50">
        <v>1503</v>
      </c>
      <c r="N9" s="50">
        <v>1359</v>
      </c>
      <c r="O9" s="50">
        <v>1295</v>
      </c>
      <c r="P9" s="50">
        <v>1084</v>
      </c>
      <c r="Q9" s="45">
        <f>SUM(M9:P9)</f>
        <v>5241</v>
      </c>
      <c r="R9" s="50">
        <v>1361</v>
      </c>
      <c r="S9" s="50">
        <v>1361</v>
      </c>
      <c r="T9" s="50">
        <v>1204</v>
      </c>
      <c r="U9" s="50">
        <v>1054</v>
      </c>
      <c r="V9" s="45">
        <f>SUM(R9:U9)</f>
        <v>4980</v>
      </c>
      <c r="W9" s="50">
        <v>1314</v>
      </c>
      <c r="X9" s="50">
        <v>1155</v>
      </c>
      <c r="Y9" s="50"/>
      <c r="Z9" s="50"/>
      <c r="AA9" s="45">
        <f>SUM(W9:Z9)</f>
        <v>2469</v>
      </c>
    </row>
    <row r="10" spans="2:27" x14ac:dyDescent="0.25">
      <c r="B10" s="34" t="s">
        <v>150</v>
      </c>
      <c r="C10" s="50">
        <v>267.10000000000002</v>
      </c>
      <c r="D10" s="50">
        <v>291.60000000000002</v>
      </c>
      <c r="E10" s="50">
        <v>247.4</v>
      </c>
      <c r="F10" s="50">
        <v>202.6</v>
      </c>
      <c r="G10" s="45">
        <f>SUM(C10:F10)</f>
        <v>1008.7</v>
      </c>
      <c r="H10" s="50">
        <v>220.3</v>
      </c>
      <c r="I10" s="50">
        <v>199.4</v>
      </c>
      <c r="J10" s="50">
        <v>192.6</v>
      </c>
      <c r="K10" s="50">
        <v>193.7</v>
      </c>
      <c r="L10" s="45">
        <f>SUM(H10:K10)</f>
        <v>806</v>
      </c>
      <c r="M10" s="50">
        <v>208</v>
      </c>
      <c r="N10" s="50">
        <v>215</v>
      </c>
      <c r="O10" s="50">
        <v>180</v>
      </c>
      <c r="P10" s="50">
        <v>194</v>
      </c>
      <c r="Q10" s="45">
        <f>SUM(M10:P10)</f>
        <v>797</v>
      </c>
      <c r="R10" s="50">
        <v>193</v>
      </c>
      <c r="S10" s="50">
        <v>179</v>
      </c>
      <c r="T10" s="50">
        <v>192</v>
      </c>
      <c r="U10" s="50">
        <v>123</v>
      </c>
      <c r="V10" s="45">
        <f>SUM(R10:U10)</f>
        <v>687</v>
      </c>
      <c r="W10" s="50">
        <v>157</v>
      </c>
      <c r="X10" s="50">
        <v>177</v>
      </c>
      <c r="Y10" s="50"/>
      <c r="Z10" s="50"/>
      <c r="AA10" s="45">
        <f>SUM(W10:Z10)</f>
        <v>334</v>
      </c>
    </row>
    <row r="11" spans="2:27" x14ac:dyDescent="0.25">
      <c r="B11" s="1" t="s">
        <v>145</v>
      </c>
      <c r="C11" s="10">
        <v>230.1</v>
      </c>
      <c r="D11" s="10">
        <v>134.69999999999999</v>
      </c>
      <c r="E11" s="10">
        <v>108.8</v>
      </c>
      <c r="F11" s="10">
        <v>76.599999999999994</v>
      </c>
      <c r="G11" s="43">
        <f>SUM(C11:F11)</f>
        <v>550.19999999999993</v>
      </c>
      <c r="H11" s="10">
        <v>179.7</v>
      </c>
      <c r="I11" s="10">
        <v>80.3</v>
      </c>
      <c r="J11" s="10">
        <v>64.599999999999994</v>
      </c>
      <c r="K11" s="10">
        <v>63.5</v>
      </c>
      <c r="L11" s="43">
        <f>SUM(H11:K11)</f>
        <v>388.1</v>
      </c>
      <c r="M11" s="10">
        <v>61</v>
      </c>
      <c r="N11" s="10">
        <v>66</v>
      </c>
      <c r="O11" s="10">
        <v>37</v>
      </c>
      <c r="P11" s="10">
        <v>9</v>
      </c>
      <c r="Q11" s="43">
        <f>SUM(M11:P11)</f>
        <v>173</v>
      </c>
      <c r="R11" s="10">
        <v>50</v>
      </c>
      <c r="S11" s="10">
        <v>46</v>
      </c>
      <c r="T11" s="10">
        <v>37</v>
      </c>
      <c r="U11" s="10">
        <v>34</v>
      </c>
      <c r="V11" s="43">
        <f>SUM(R11:U11)</f>
        <v>167</v>
      </c>
      <c r="W11" s="10">
        <v>53</v>
      </c>
      <c r="X11" s="10">
        <v>31</v>
      </c>
      <c r="Y11" s="10"/>
      <c r="Z11" s="10"/>
      <c r="AA11" s="43">
        <f>SUM(W11:Z11)</f>
        <v>84</v>
      </c>
    </row>
    <row r="12" spans="2:27" ht="20" thickBot="1" x14ac:dyDescent="0.3">
      <c r="B12" s="36" t="s">
        <v>143</v>
      </c>
      <c r="C12" s="37">
        <v>0.124</v>
      </c>
      <c r="D12" s="37">
        <v>6.7000000000000004E-2</v>
      </c>
      <c r="E12" s="37">
        <v>5.5E-2</v>
      </c>
      <c r="F12" s="37">
        <v>4.7E-2</v>
      </c>
      <c r="G12" s="44">
        <f>G11/G5</f>
        <v>7.3747419778570078E-2</v>
      </c>
      <c r="H12" s="37">
        <v>0.10100000000000001</v>
      </c>
      <c r="I12" s="37">
        <v>4.3999999999999997E-2</v>
      </c>
      <c r="J12" s="37">
        <v>3.9E-2</v>
      </c>
      <c r="K12" s="37">
        <v>4.3999999999999997E-2</v>
      </c>
      <c r="L12" s="44">
        <f>L11/L5</f>
        <v>5.7879587788764113E-2</v>
      </c>
      <c r="M12" s="37">
        <v>3.5999999999999997E-2</v>
      </c>
      <c r="N12" s="37">
        <v>4.2000000000000003E-2</v>
      </c>
      <c r="O12" s="37">
        <v>2.5000000000000001E-2</v>
      </c>
      <c r="P12" s="37">
        <v>7.0000000000000001E-3</v>
      </c>
      <c r="Q12" s="44">
        <f>Q11/Q5</f>
        <v>2.8656617525260893E-2</v>
      </c>
      <c r="R12" s="37">
        <v>3.2000000000000001E-2</v>
      </c>
      <c r="S12" s="37">
        <v>0.03</v>
      </c>
      <c r="T12" s="37">
        <v>2.7E-2</v>
      </c>
      <c r="U12" s="37">
        <v>2.9000000000000001E-2</v>
      </c>
      <c r="V12" s="44">
        <f>V11/V5</f>
        <v>2.9468854773248631E-2</v>
      </c>
      <c r="W12" s="37">
        <f>W11/W5</f>
        <v>3.6054421768707483E-2</v>
      </c>
      <c r="X12" s="37">
        <f t="shared" ref="X12:Z12" si="1">X11/X5</f>
        <v>2.3273273273273273E-2</v>
      </c>
      <c r="Y12" s="37" t="e">
        <f t="shared" si="1"/>
        <v>#DIV/0!</v>
      </c>
      <c r="Z12" s="37" t="e">
        <f t="shared" si="1"/>
        <v>#DIV/0!</v>
      </c>
      <c r="AA12" s="44">
        <f>AA11/AA5</f>
        <v>2.9978586723768737E-2</v>
      </c>
    </row>
    <row r="13" spans="2:27" x14ac:dyDescent="0.25">
      <c r="B13" s="1" t="s">
        <v>146</v>
      </c>
      <c r="G13" s="40"/>
      <c r="L13" s="40"/>
      <c r="Q13" s="40"/>
      <c r="V13" s="40"/>
      <c r="AA13" s="40"/>
    </row>
    <row r="14" spans="2:27" x14ac:dyDescent="0.25">
      <c r="B14" s="1" t="s">
        <v>142</v>
      </c>
      <c r="C14" s="10">
        <v>3833.9</v>
      </c>
      <c r="D14" s="10">
        <v>4141.6000000000004</v>
      </c>
      <c r="E14" s="10">
        <v>3920.7</v>
      </c>
      <c r="F14" s="10">
        <v>4104.7</v>
      </c>
      <c r="G14" s="43">
        <f>SUM(C14:F14)</f>
        <v>16000.900000000001</v>
      </c>
      <c r="H14" s="10">
        <v>4726.6000000000004</v>
      </c>
      <c r="I14" s="10">
        <v>4450</v>
      </c>
      <c r="J14" s="10">
        <v>3928.2</v>
      </c>
      <c r="K14" s="10">
        <v>3628.6</v>
      </c>
      <c r="L14" s="43">
        <f>SUM(H14:K14)</f>
        <v>16733.399999999998</v>
      </c>
      <c r="M14" s="10">
        <v>4082</v>
      </c>
      <c r="N14" s="10">
        <v>3672</v>
      </c>
      <c r="O14" s="10">
        <v>3981</v>
      </c>
      <c r="P14" s="10">
        <v>3709</v>
      </c>
      <c r="Q14" s="43">
        <f>SUM(M14:P14)</f>
        <v>15444</v>
      </c>
      <c r="R14" s="10">
        <v>3228</v>
      </c>
      <c r="S14" s="10">
        <v>3940</v>
      </c>
      <c r="T14" s="10">
        <v>3693</v>
      </c>
      <c r="U14" s="10">
        <v>3878</v>
      </c>
      <c r="V14" s="43">
        <f>SUM(R14:U14)</f>
        <v>14739</v>
      </c>
      <c r="W14" s="10">
        <v>4017</v>
      </c>
      <c r="X14" s="10">
        <v>4149</v>
      </c>
      <c r="Y14" s="10"/>
      <c r="Z14" s="10"/>
      <c r="AA14" s="43">
        <f>SUM(W14:Z14)</f>
        <v>8166</v>
      </c>
    </row>
    <row r="15" spans="2:27" x14ac:dyDescent="0.25">
      <c r="B15" s="33" t="s">
        <v>144</v>
      </c>
      <c r="C15" s="33"/>
      <c r="D15" s="33"/>
      <c r="E15" s="33"/>
      <c r="F15" s="33"/>
      <c r="G15" s="41"/>
      <c r="H15" s="33">
        <f t="shared" ref="H15" si="2">(H14-C14)/C14</f>
        <v>0.23284384047575582</v>
      </c>
      <c r="I15" s="33">
        <f t="shared" ref="I15" si="3">(I14-D14)/D14</f>
        <v>7.4463975275255848E-2</v>
      </c>
      <c r="J15" s="33">
        <f t="shared" ref="J15" si="4">(J14-E14)/E14</f>
        <v>1.9129237126023415E-3</v>
      </c>
      <c r="K15" s="33">
        <f t="shared" ref="K15" si="5">(K14-F14)/F14</f>
        <v>-0.11598898823300118</v>
      </c>
      <c r="L15" s="41">
        <f>(L14-G14)/G14</f>
        <v>4.577867494953386E-2</v>
      </c>
      <c r="M15" s="33">
        <f t="shared" ref="M15" si="6">(M14-H14)/H14</f>
        <v>-0.1363770998180511</v>
      </c>
      <c r="N15" s="33">
        <f t="shared" ref="N15" si="7">(N14-I14)/I14</f>
        <v>-0.17483146067415731</v>
      </c>
      <c r="O15" s="33">
        <f t="shared" ref="O15" si="8">(O14-J14)/J14</f>
        <v>1.3441270811058547E-2</v>
      </c>
      <c r="P15" s="33">
        <f t="shared" ref="P15" si="9">(P14-K14)/K14</f>
        <v>2.2157305847985476E-2</v>
      </c>
      <c r="Q15" s="41">
        <f>(Q14-L14)/L14</f>
        <v>-7.7055469898526185E-2</v>
      </c>
      <c r="R15" s="33">
        <f t="shared" ref="R15" si="10">(R14-M14)/M14</f>
        <v>-0.20921117099461048</v>
      </c>
      <c r="S15" s="33">
        <f t="shared" ref="S15" si="11">(S14-N14)/N14</f>
        <v>7.2984749455337686E-2</v>
      </c>
      <c r="T15" s="33">
        <f t="shared" ref="T15" si="12">(T14-O14)/O14</f>
        <v>-7.2343632253202714E-2</v>
      </c>
      <c r="U15" s="33">
        <f>(U14-P14)/P14</f>
        <v>4.5564842275545969E-2</v>
      </c>
      <c r="V15" s="41">
        <f>(V14-Q14)/Q14</f>
        <v>-4.5648795648795648E-2</v>
      </c>
      <c r="W15" s="33">
        <f t="shared" ref="W15" si="13">(W14-R14)/R14</f>
        <v>0.24442379182156135</v>
      </c>
      <c r="X15" s="33">
        <f t="shared" ref="X15" si="14">(X14-S14)/S14</f>
        <v>5.3045685279187814E-2</v>
      </c>
      <c r="Y15" s="33">
        <f t="shared" ref="Y15" si="15">(Y14-T14)/T14</f>
        <v>-1</v>
      </c>
      <c r="Z15" s="33">
        <f t="shared" ref="Z15" si="16">(Z14-U14)/U14</f>
        <v>-1</v>
      </c>
      <c r="AA15" s="41">
        <f>(AA14-V14)/V14</f>
        <v>-0.44595969875839608</v>
      </c>
    </row>
    <row r="16" spans="2:27" x14ac:dyDescent="0.25">
      <c r="B16" s="34" t="s">
        <v>147</v>
      </c>
      <c r="C16" s="50"/>
      <c r="D16" s="50"/>
      <c r="E16" s="50"/>
      <c r="F16" s="50"/>
      <c r="G16" s="45">
        <f>SUM(C16:F16)</f>
        <v>0</v>
      </c>
      <c r="H16" s="50"/>
      <c r="I16" s="50"/>
      <c r="J16" s="50"/>
      <c r="K16" s="50"/>
      <c r="L16" s="45">
        <f>SUM(H16:K16)</f>
        <v>0</v>
      </c>
      <c r="M16" s="50">
        <v>1858</v>
      </c>
      <c r="N16" s="50">
        <v>1654</v>
      </c>
      <c r="O16" s="50">
        <v>1727</v>
      </c>
      <c r="P16" s="50">
        <v>1682</v>
      </c>
      <c r="Q16" s="45">
        <f>SUM(M16:P16)</f>
        <v>6921</v>
      </c>
      <c r="R16" s="50">
        <v>1789</v>
      </c>
      <c r="S16" s="50">
        <v>1840</v>
      </c>
      <c r="T16" s="50">
        <v>1830</v>
      </c>
      <c r="U16" s="50">
        <v>1866</v>
      </c>
      <c r="V16" s="45">
        <f>SUM(R16:U16)</f>
        <v>7325</v>
      </c>
      <c r="W16" s="50">
        <v>1971</v>
      </c>
      <c r="X16" s="50">
        <v>2015</v>
      </c>
      <c r="Y16" s="50"/>
      <c r="Z16" s="50"/>
      <c r="AA16" s="45">
        <f>SUM(W16:Z16)</f>
        <v>3986</v>
      </c>
    </row>
    <row r="17" spans="2:27" x14ac:dyDescent="0.25">
      <c r="B17" s="35" t="s">
        <v>148</v>
      </c>
      <c r="C17" s="51"/>
      <c r="D17" s="51"/>
      <c r="E17" s="51"/>
      <c r="F17" s="51"/>
      <c r="G17" s="46">
        <f>SUM(C17:F17)</f>
        <v>0</v>
      </c>
      <c r="H17" s="51"/>
      <c r="I17" s="51"/>
      <c r="J17" s="51"/>
      <c r="K17" s="51"/>
      <c r="L17" s="46">
        <f>SUM(H17:K17)</f>
        <v>0</v>
      </c>
      <c r="M17" s="51">
        <v>2225</v>
      </c>
      <c r="N17" s="51">
        <v>2019</v>
      </c>
      <c r="O17" s="51">
        <v>2254</v>
      </c>
      <c r="P17" s="51">
        <v>2027</v>
      </c>
      <c r="Q17" s="46">
        <f>SUM(M17:P17)</f>
        <v>8525</v>
      </c>
      <c r="R17" s="51">
        <v>1439</v>
      </c>
      <c r="S17" s="51">
        <v>2101</v>
      </c>
      <c r="T17" s="51">
        <v>1863</v>
      </c>
      <c r="U17" s="51">
        <v>2012</v>
      </c>
      <c r="V17" s="46">
        <f>SUM(R17:U17)</f>
        <v>7415</v>
      </c>
      <c r="W17" s="51">
        <v>2046</v>
      </c>
      <c r="X17" s="51">
        <v>2134</v>
      </c>
      <c r="Y17" s="51"/>
      <c r="Z17" s="51"/>
      <c r="AA17" s="46">
        <f>SUM(W17:Z17)</f>
        <v>4180</v>
      </c>
    </row>
    <row r="18" spans="2:27" x14ac:dyDescent="0.25">
      <c r="B18" s="34" t="s">
        <v>149</v>
      </c>
      <c r="C18" s="50">
        <v>3370.3</v>
      </c>
      <c r="D18" s="50">
        <v>3462.8</v>
      </c>
      <c r="E18" s="50">
        <v>3328.9</v>
      </c>
      <c r="F18" s="50">
        <v>3434.1</v>
      </c>
      <c r="G18" s="45">
        <f>SUM(C18:F18)</f>
        <v>13596.1</v>
      </c>
      <c r="H18" s="50">
        <v>3818.6</v>
      </c>
      <c r="I18" s="50">
        <v>3412.1</v>
      </c>
      <c r="J18" s="50">
        <v>3111</v>
      </c>
      <c r="K18" s="50">
        <v>2921.6</v>
      </c>
      <c r="L18" s="45">
        <f>SUM(H18:K18)</f>
        <v>13263.300000000001</v>
      </c>
      <c r="M18" s="50">
        <v>3150</v>
      </c>
      <c r="N18" s="50">
        <v>2864</v>
      </c>
      <c r="O18" s="50">
        <v>3573</v>
      </c>
      <c r="P18" s="50">
        <v>3336</v>
      </c>
      <c r="Q18" s="45">
        <f>SUM(M18:P18)</f>
        <v>12923</v>
      </c>
      <c r="R18" s="50">
        <v>2565</v>
      </c>
      <c r="S18" s="50">
        <v>3411</v>
      </c>
      <c r="T18" s="50">
        <v>3339</v>
      </c>
      <c r="U18" s="50">
        <v>2383</v>
      </c>
      <c r="V18" s="45">
        <f>SUM(R18:U18)</f>
        <v>11698</v>
      </c>
      <c r="W18" s="50">
        <v>3632</v>
      </c>
      <c r="X18" s="50">
        <v>3661</v>
      </c>
      <c r="Y18" s="50"/>
      <c r="Z18" s="50"/>
      <c r="AA18" s="45">
        <f>SUM(W18:Z18)</f>
        <v>7293</v>
      </c>
    </row>
    <row r="19" spans="2:27" x14ac:dyDescent="0.25">
      <c r="B19" s="34" t="s">
        <v>150</v>
      </c>
      <c r="C19" s="50">
        <v>463.6</v>
      </c>
      <c r="D19" s="50">
        <v>678.9</v>
      </c>
      <c r="E19" s="50">
        <v>591.79999999999995</v>
      </c>
      <c r="F19" s="50">
        <v>670.6</v>
      </c>
      <c r="G19" s="45">
        <f>SUM(C19:F19)</f>
        <v>2404.9</v>
      </c>
      <c r="H19" s="50">
        <v>908</v>
      </c>
      <c r="I19" s="50">
        <v>1037.9000000000001</v>
      </c>
      <c r="J19" s="50">
        <v>817.2</v>
      </c>
      <c r="K19" s="50">
        <v>707</v>
      </c>
      <c r="L19" s="45">
        <f>SUM(H19:K19)</f>
        <v>3470.1000000000004</v>
      </c>
      <c r="M19" s="50">
        <v>932</v>
      </c>
      <c r="N19" s="50">
        <v>808</v>
      </c>
      <c r="O19" s="50">
        <v>407</v>
      </c>
      <c r="P19" s="50">
        <v>373</v>
      </c>
      <c r="Q19" s="45">
        <f>SUM(M19:P19)</f>
        <v>2520</v>
      </c>
      <c r="R19" s="50">
        <v>663</v>
      </c>
      <c r="S19" s="50">
        <v>530</v>
      </c>
      <c r="T19" s="50">
        <v>354</v>
      </c>
      <c r="U19" s="50">
        <v>396</v>
      </c>
      <c r="V19" s="45">
        <f>SUM(R19:U19)</f>
        <v>1943</v>
      </c>
      <c r="W19" s="50">
        <v>385</v>
      </c>
      <c r="X19" s="50">
        <v>488</v>
      </c>
      <c r="Y19" s="50"/>
      <c r="Z19" s="50"/>
      <c r="AA19" s="45">
        <f>SUM(W19:Z19)</f>
        <v>873</v>
      </c>
    </row>
    <row r="20" spans="2:27" x14ac:dyDescent="0.25">
      <c r="B20" s="1" t="s">
        <v>145</v>
      </c>
      <c r="C20" s="10">
        <v>292.89999999999998</v>
      </c>
      <c r="D20" s="10">
        <v>172.3</v>
      </c>
      <c r="E20" s="10">
        <v>119.3</v>
      </c>
      <c r="F20" s="10">
        <v>147.9</v>
      </c>
      <c r="G20" s="43">
        <f>SUM(C20:F20)</f>
        <v>732.4</v>
      </c>
      <c r="H20" s="10">
        <v>279.2</v>
      </c>
      <c r="I20" s="10">
        <v>172.5</v>
      </c>
      <c r="J20" s="10">
        <v>140.6</v>
      </c>
      <c r="K20" s="10">
        <v>104.4</v>
      </c>
      <c r="L20" s="43">
        <f>SUM(H20:K20)</f>
        <v>696.69999999999993</v>
      </c>
      <c r="M20" s="10">
        <v>162</v>
      </c>
      <c r="N20" s="10">
        <v>164</v>
      </c>
      <c r="O20" s="10">
        <v>-36</v>
      </c>
      <c r="P20" s="10">
        <v>53</v>
      </c>
      <c r="Q20" s="43">
        <f>SUM(M20:P20)</f>
        <v>343</v>
      </c>
      <c r="R20" s="10">
        <v>11</v>
      </c>
      <c r="S20" s="10">
        <v>99</v>
      </c>
      <c r="T20" s="10">
        <v>-28</v>
      </c>
      <c r="U20" s="10">
        <v>80</v>
      </c>
      <c r="V20" s="43">
        <f>SUM(R20:U20)</f>
        <v>162</v>
      </c>
      <c r="W20" s="10">
        <v>70</v>
      </c>
      <c r="X20" s="10">
        <v>105</v>
      </c>
      <c r="Y20" s="10"/>
      <c r="Z20" s="10"/>
      <c r="AA20" s="43">
        <f>SUM(W20:Z20)</f>
        <v>175</v>
      </c>
    </row>
    <row r="21" spans="2:27" ht="20" thickBot="1" x14ac:dyDescent="0.3">
      <c r="B21" s="36" t="s">
        <v>143</v>
      </c>
      <c r="C21" s="37">
        <v>7.5999999999999998E-2</v>
      </c>
      <c r="D21" s="37">
        <v>4.2000000000000003E-2</v>
      </c>
      <c r="E21" s="37">
        <v>0.03</v>
      </c>
      <c r="F21" s="37">
        <v>3.5999999999999997E-2</v>
      </c>
      <c r="G21" s="44">
        <f>G20/G14</f>
        <v>4.5772425301076808E-2</v>
      </c>
      <c r="H21" s="37">
        <v>5.8999999999999997E-2</v>
      </c>
      <c r="I21" s="37">
        <v>3.9E-2</v>
      </c>
      <c r="J21" s="37">
        <v>3.5999999999999997E-2</v>
      </c>
      <c r="K21" s="37">
        <v>2.9000000000000001E-2</v>
      </c>
      <c r="L21" s="44">
        <f>L20/L14</f>
        <v>4.1635292289672152E-2</v>
      </c>
      <c r="M21" s="37">
        <v>0.04</v>
      </c>
      <c r="N21" s="37">
        <v>4.4999999999999998E-2</v>
      </c>
      <c r="O21" s="37">
        <v>-7.0000000000000001E-3</v>
      </c>
      <c r="P21" s="37">
        <v>1.4E-2</v>
      </c>
      <c r="Q21" s="44">
        <f>Q20/Q14</f>
        <v>2.2209272209272209E-2</v>
      </c>
      <c r="R21" s="37">
        <v>3.0000000000000001E-3</v>
      </c>
      <c r="S21" s="37">
        <v>2.5000000000000001E-2</v>
      </c>
      <c r="T21" s="37">
        <v>-6.0000000000000001E-3</v>
      </c>
      <c r="U21" s="37">
        <v>2.1000000000000001E-2</v>
      </c>
      <c r="V21" s="44">
        <f>V20/V14</f>
        <v>1.0991247710156728E-2</v>
      </c>
      <c r="W21" s="37">
        <f>W20/W14</f>
        <v>1.7425939756036842E-2</v>
      </c>
      <c r="X21" s="37">
        <f t="shared" ref="X21:Z21" si="17">X20/X14</f>
        <v>2.5307302964569775E-2</v>
      </c>
      <c r="Y21" s="37" t="e">
        <f t="shared" si="17"/>
        <v>#DIV/0!</v>
      </c>
      <c r="Z21" s="37" t="e">
        <f t="shared" si="17"/>
        <v>#DIV/0!</v>
      </c>
      <c r="AA21" s="44">
        <f>AA20/AA14</f>
        <v>2.1430320842517756E-2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4994-3D5D-B747-A262-53FF8534AC0D}">
  <dimension ref="B3:Z17"/>
  <sheetViews>
    <sheetView showGridLines="0" workbookViewId="0">
      <pane xSplit="2" ySplit="3" topLeftCell="O4" activePane="bottomRight" state="frozen"/>
      <selection pane="topRight" activeCell="C1" sqref="C1"/>
      <selection pane="bottomLeft" activeCell="A4" sqref="A4"/>
      <selection pane="bottomRight" activeCell="X18" sqref="X18"/>
    </sheetView>
  </sheetViews>
  <sheetFormatPr baseColWidth="10" defaultRowHeight="19" x14ac:dyDescent="0.25"/>
  <cols>
    <col min="1" max="1" width="10.83203125" style="2"/>
    <col min="2" max="2" width="17.6640625" style="2" customWidth="1"/>
    <col min="3" max="16384" width="10.83203125" style="2"/>
  </cols>
  <sheetData>
    <row r="3" spans="2:26" x14ac:dyDescent="0.25">
      <c r="B3" s="2" t="s">
        <v>5</v>
      </c>
      <c r="C3" s="7" t="s">
        <v>100</v>
      </c>
      <c r="D3" s="7" t="s">
        <v>99</v>
      </c>
      <c r="E3" s="7" t="s">
        <v>98</v>
      </c>
      <c r="F3" s="7" t="s">
        <v>97</v>
      </c>
      <c r="G3" s="39" t="s">
        <v>162</v>
      </c>
      <c r="H3" s="7" t="s">
        <v>96</v>
      </c>
      <c r="I3" s="7" t="s">
        <v>95</v>
      </c>
      <c r="J3" s="7" t="s">
        <v>94</v>
      </c>
      <c r="K3" s="7" t="s">
        <v>93</v>
      </c>
      <c r="L3" s="39" t="s">
        <v>161</v>
      </c>
      <c r="M3" s="7" t="s">
        <v>42</v>
      </c>
      <c r="N3" s="7" t="s">
        <v>41</v>
      </c>
      <c r="O3" s="7" t="s">
        <v>40</v>
      </c>
      <c r="P3" s="7" t="s">
        <v>39</v>
      </c>
      <c r="Q3" s="39" t="s">
        <v>160</v>
      </c>
      <c r="R3" s="7" t="s">
        <v>20</v>
      </c>
      <c r="S3" s="7" t="s">
        <v>19</v>
      </c>
      <c r="T3" s="7" t="s">
        <v>17</v>
      </c>
      <c r="U3" s="7" t="s">
        <v>18</v>
      </c>
      <c r="V3" s="39" t="s">
        <v>159</v>
      </c>
      <c r="W3" s="7" t="s">
        <v>137</v>
      </c>
      <c r="X3" s="7" t="s">
        <v>138</v>
      </c>
      <c r="Y3" s="7" t="s">
        <v>139</v>
      </c>
      <c r="Z3" s="7" t="s">
        <v>140</v>
      </c>
    </row>
    <row r="4" spans="2:26" x14ac:dyDescent="0.25">
      <c r="B4" s="1" t="s">
        <v>151</v>
      </c>
      <c r="G4" s="40"/>
      <c r="L4" s="40"/>
      <c r="Q4" s="40"/>
      <c r="V4" s="40"/>
    </row>
    <row r="5" spans="2:26" x14ac:dyDescent="0.25">
      <c r="B5" s="2" t="s">
        <v>152</v>
      </c>
      <c r="C5" s="12">
        <v>1496.2</v>
      </c>
      <c r="D5" s="12">
        <v>1512.1</v>
      </c>
      <c r="E5" s="12">
        <v>1505.2</v>
      </c>
      <c r="F5" s="12">
        <v>1299.2</v>
      </c>
      <c r="G5" s="43">
        <f>SUM(C5:F5)</f>
        <v>5812.7</v>
      </c>
      <c r="H5" s="12">
        <v>1548.1</v>
      </c>
      <c r="I5" s="12">
        <v>1448.1</v>
      </c>
      <c r="J5" s="12">
        <v>1337.3</v>
      </c>
      <c r="K5" s="12">
        <v>1091.7</v>
      </c>
      <c r="L5" s="43">
        <f>SUM(H5:K5)</f>
        <v>5425.2</v>
      </c>
      <c r="M5" s="12">
        <v>1454</v>
      </c>
      <c r="N5" s="12">
        <v>1363</v>
      </c>
      <c r="O5" s="12">
        <v>1290</v>
      </c>
      <c r="P5" s="12">
        <v>1272</v>
      </c>
      <c r="Q5" s="43">
        <f>SUM(M5:P5)</f>
        <v>5379</v>
      </c>
      <c r="R5" s="12">
        <v>1450</v>
      </c>
      <c r="S5" s="12">
        <v>1476</v>
      </c>
      <c r="T5" s="12">
        <v>1427</v>
      </c>
      <c r="U5" s="12">
        <v>1276</v>
      </c>
      <c r="V5" s="43">
        <f>SUM(R5:U5)</f>
        <v>5629</v>
      </c>
      <c r="W5" s="12">
        <v>1596</v>
      </c>
      <c r="X5" s="12">
        <v>1560</v>
      </c>
      <c r="Y5" s="12"/>
      <c r="Z5" s="12"/>
    </row>
    <row r="6" spans="2:26" x14ac:dyDescent="0.25">
      <c r="B6" s="33" t="s">
        <v>144</v>
      </c>
      <c r="C6" s="33"/>
      <c r="D6" s="33"/>
      <c r="E6" s="33"/>
      <c r="F6" s="33"/>
      <c r="G6" s="41"/>
      <c r="H6" s="33">
        <f t="shared" ref="H6:V6" si="0">(H5-C5)/C5</f>
        <v>3.4687875952412683E-2</v>
      </c>
      <c r="I6" s="33">
        <f t="shared" si="0"/>
        <v>-4.2325243039481521E-2</v>
      </c>
      <c r="J6" s="33">
        <f t="shared" si="0"/>
        <v>-0.11154663832048903</v>
      </c>
      <c r="K6" s="33">
        <f t="shared" si="0"/>
        <v>-0.15971366995073891</v>
      </c>
      <c r="L6" s="41">
        <f t="shared" si="0"/>
        <v>-6.6664372838784042E-2</v>
      </c>
      <c r="M6" s="33">
        <f t="shared" si="0"/>
        <v>-6.0784187068018809E-2</v>
      </c>
      <c r="N6" s="33">
        <f t="shared" si="0"/>
        <v>-5.8766659761066167E-2</v>
      </c>
      <c r="O6" s="33">
        <f t="shared" si="0"/>
        <v>-3.5369774919614114E-2</v>
      </c>
      <c r="P6" s="33">
        <f t="shared" si="0"/>
        <v>0.16515526243473477</v>
      </c>
      <c r="Q6" s="41">
        <f t="shared" si="0"/>
        <v>-8.5158150851581179E-3</v>
      </c>
      <c r="R6" s="33">
        <f t="shared" si="0"/>
        <v>-2.751031636863824E-3</v>
      </c>
      <c r="S6" s="33">
        <f t="shared" si="0"/>
        <v>8.2905355832721933E-2</v>
      </c>
      <c r="T6" s="33">
        <f>(T5-O5)/O5</f>
        <v>0.1062015503875969</v>
      </c>
      <c r="U6" s="33">
        <f t="shared" si="0"/>
        <v>3.1446540880503146E-3</v>
      </c>
      <c r="V6" s="41">
        <f t="shared" si="0"/>
        <v>4.6477040342071015E-2</v>
      </c>
      <c r="W6" s="33">
        <f t="shared" ref="W6" si="1">(W5-R5)/R5</f>
        <v>0.10068965517241379</v>
      </c>
      <c r="X6" s="33">
        <f t="shared" ref="X6" si="2">(X5-S5)/S5</f>
        <v>5.6910569105691054E-2</v>
      </c>
      <c r="Y6" s="33">
        <f>(Y5-T5)/T5</f>
        <v>-1</v>
      </c>
      <c r="Z6" s="33">
        <f t="shared" ref="Z6" si="3">(Z5-U5)/U5</f>
        <v>-1</v>
      </c>
    </row>
    <row r="7" spans="2:26" x14ac:dyDescent="0.25">
      <c r="B7" s="2" t="s">
        <v>153</v>
      </c>
      <c r="C7" s="12">
        <v>590.79999999999995</v>
      </c>
      <c r="D7" s="12">
        <v>578.1</v>
      </c>
      <c r="E7" s="12">
        <v>596.1</v>
      </c>
      <c r="F7" s="12">
        <v>531.79999999999995</v>
      </c>
      <c r="G7" s="43">
        <f>SUM(C7:F7)</f>
        <v>2296.8000000000002</v>
      </c>
      <c r="H7" s="12">
        <v>546</v>
      </c>
      <c r="I7" s="12">
        <v>625.29999999999995</v>
      </c>
      <c r="J7" s="12">
        <v>580</v>
      </c>
      <c r="K7" s="12">
        <v>605.29999999999995</v>
      </c>
      <c r="L7" s="43">
        <f>SUM(H7:K7)</f>
        <v>2356.6</v>
      </c>
      <c r="M7" s="12">
        <v>624</v>
      </c>
      <c r="N7" s="12">
        <v>426</v>
      </c>
      <c r="O7" s="12">
        <v>419</v>
      </c>
      <c r="P7" s="12">
        <v>367</v>
      </c>
      <c r="Q7" s="43">
        <f>SUM(M7:P7)</f>
        <v>1836</v>
      </c>
      <c r="R7" s="12">
        <v>427</v>
      </c>
      <c r="S7" s="12">
        <v>407</v>
      </c>
      <c r="T7" s="12">
        <v>472</v>
      </c>
      <c r="U7" s="12">
        <v>447</v>
      </c>
      <c r="V7" s="43">
        <f>SUM(R7:U7)</f>
        <v>1753</v>
      </c>
      <c r="W7" s="12">
        <v>383</v>
      </c>
      <c r="X7" s="12">
        <v>349</v>
      </c>
      <c r="Y7" s="12"/>
      <c r="Z7" s="12"/>
    </row>
    <row r="8" spans="2:26" x14ac:dyDescent="0.25">
      <c r="B8" s="33" t="s">
        <v>144</v>
      </c>
      <c r="C8" s="33"/>
      <c r="D8" s="33"/>
      <c r="E8" s="33"/>
      <c r="F8" s="33"/>
      <c r="G8" s="41"/>
      <c r="H8" s="33">
        <f t="shared" ref="H8" si="4">(H7-C7)/C7</f>
        <v>-7.5829383886255847E-2</v>
      </c>
      <c r="I8" s="33">
        <f t="shared" ref="I8" si="5">(I7-D7)/D7</f>
        <v>8.1646773914547541E-2</v>
      </c>
      <c r="J8" s="33">
        <f t="shared" ref="J8" si="6">(J7-E7)/E7</f>
        <v>-2.7008891125650095E-2</v>
      </c>
      <c r="K8" s="33">
        <f t="shared" ref="K8" si="7">(K7-F7)/F7</f>
        <v>0.13820985332831892</v>
      </c>
      <c r="L8" s="41">
        <f>(L7-G7)/G7</f>
        <v>2.603622431208626E-2</v>
      </c>
      <c r="M8" s="33">
        <f t="shared" ref="M8" si="8">(M7-H7)/H7</f>
        <v>0.14285714285714285</v>
      </c>
      <c r="N8" s="33">
        <f t="shared" ref="N8" si="9">(N7-I7)/I7</f>
        <v>-0.3187270110347033</v>
      </c>
      <c r="O8" s="33">
        <f t="shared" ref="O8" si="10">(O7-J7)/J7</f>
        <v>-0.27758620689655172</v>
      </c>
      <c r="P8" s="33">
        <f t="shared" ref="P8" si="11">(P7-K7)/K7</f>
        <v>-0.39368907979514284</v>
      </c>
      <c r="Q8" s="41">
        <f>(Q7-L7)/L7</f>
        <v>-0.22091148264448779</v>
      </c>
      <c r="R8" s="33">
        <f t="shared" ref="R8" si="12">(R7-M7)/M7</f>
        <v>-0.31570512820512819</v>
      </c>
      <c r="S8" s="33">
        <f t="shared" ref="S8" si="13">(S7-N7)/N7</f>
        <v>-4.4600938967136149E-2</v>
      </c>
      <c r="T8" s="33">
        <f t="shared" ref="T8" si="14">(T7-O7)/O7</f>
        <v>0.12649164677804295</v>
      </c>
      <c r="U8" s="33">
        <f>(U7-P7)/P7</f>
        <v>0.21798365122615804</v>
      </c>
      <c r="V8" s="41">
        <f>(V7-Q7)/Q7</f>
        <v>-4.520697167755991E-2</v>
      </c>
      <c r="W8" s="33">
        <f t="shared" ref="W8" si="15">(W7-R7)/R7</f>
        <v>-0.10304449648711944</v>
      </c>
      <c r="X8" s="33">
        <f t="shared" ref="X8" si="16">(X7-S7)/S7</f>
        <v>-0.14250614250614252</v>
      </c>
      <c r="Y8" s="33">
        <f>(Y7-T7)/T7</f>
        <v>-1</v>
      </c>
      <c r="Z8" s="33">
        <f t="shared" ref="Z8" si="17">(Z7-U7)/U7</f>
        <v>-1</v>
      </c>
    </row>
    <row r="9" spans="2:26" x14ac:dyDescent="0.25">
      <c r="B9" s="2" t="s">
        <v>154</v>
      </c>
      <c r="C9" s="12">
        <v>802.6</v>
      </c>
      <c r="D9" s="12">
        <v>841.4</v>
      </c>
      <c r="E9" s="12">
        <v>883.3</v>
      </c>
      <c r="F9" s="12">
        <v>920.8</v>
      </c>
      <c r="G9" s="43">
        <f>SUM(C9:F9)</f>
        <v>3448.1000000000004</v>
      </c>
      <c r="H9" s="12">
        <v>764.4</v>
      </c>
      <c r="I9" s="12">
        <v>579.1</v>
      </c>
      <c r="J9" s="12">
        <v>475.9</v>
      </c>
      <c r="K9" s="12">
        <v>418.4</v>
      </c>
      <c r="L9" s="43">
        <f>SUM(H9:K9)</f>
        <v>2237.8000000000002</v>
      </c>
      <c r="M9" s="12">
        <v>496</v>
      </c>
      <c r="N9" s="12">
        <v>472</v>
      </c>
      <c r="O9" s="12">
        <v>505</v>
      </c>
      <c r="P9" s="12">
        <v>434</v>
      </c>
      <c r="Q9" s="43">
        <f>SUM(M9:P9)</f>
        <v>1907</v>
      </c>
      <c r="R9" s="12">
        <v>466</v>
      </c>
      <c r="S9" s="12">
        <v>499</v>
      </c>
      <c r="T9" s="12">
        <v>400</v>
      </c>
      <c r="U9" s="12">
        <v>371</v>
      </c>
      <c r="V9" s="43">
        <f>SUM(R9:U9)</f>
        <v>1736</v>
      </c>
      <c r="W9" s="12">
        <v>498</v>
      </c>
      <c r="X9" s="12">
        <v>428</v>
      </c>
      <c r="Y9" s="12"/>
      <c r="Z9" s="12"/>
    </row>
    <row r="10" spans="2:26" x14ac:dyDescent="0.25">
      <c r="B10" s="33" t="s">
        <v>144</v>
      </c>
      <c r="C10" s="33"/>
      <c r="D10" s="33"/>
      <c r="E10" s="33"/>
      <c r="F10" s="33"/>
      <c r="G10" s="41"/>
      <c r="H10" s="33">
        <f t="shared" ref="H10" si="18">(H9-C9)/C9</f>
        <v>-4.7595315225517125E-2</v>
      </c>
      <c r="I10" s="33">
        <f t="shared" ref="I10" si="19">(I9-D9)/D9</f>
        <v>-0.31174233420489655</v>
      </c>
      <c r="J10" s="33">
        <f t="shared" ref="J10" si="20">(J9-E9)/E9</f>
        <v>-0.46122495188497681</v>
      </c>
      <c r="K10" s="33">
        <f t="shared" ref="K10" si="21">(K9-F9)/F9</f>
        <v>-0.54561251086012164</v>
      </c>
      <c r="L10" s="41">
        <f>(L9-G9)/G9</f>
        <v>-0.35100490124996375</v>
      </c>
      <c r="M10" s="33">
        <f t="shared" ref="M10" si="22">(M9-H9)/H9</f>
        <v>-0.3511250654107797</v>
      </c>
      <c r="N10" s="33">
        <f t="shared" ref="N10" si="23">(N9-I9)/I9</f>
        <v>-0.18494215161457436</v>
      </c>
      <c r="O10" s="33">
        <f t="shared" ref="O10" si="24">(O9-J9)/J9</f>
        <v>6.1147299852910328E-2</v>
      </c>
      <c r="P10" s="33">
        <f t="shared" ref="P10" si="25">(P9-K9)/K9</f>
        <v>3.7284894837476157E-2</v>
      </c>
      <c r="Q10" s="41">
        <f>(Q9-L9)/L9</f>
        <v>-0.14782375547412643</v>
      </c>
      <c r="R10" s="33">
        <f t="shared" ref="R10" si="26">(R9-M9)/M9</f>
        <v>-6.0483870967741937E-2</v>
      </c>
      <c r="S10" s="33">
        <f t="shared" ref="S10" si="27">(S9-N9)/N9</f>
        <v>5.7203389830508475E-2</v>
      </c>
      <c r="T10" s="33">
        <f t="shared" ref="T10" si="28">(T9-O9)/O9</f>
        <v>-0.20792079207920791</v>
      </c>
      <c r="U10" s="33">
        <f>(U9-P9)/P9</f>
        <v>-0.14516129032258066</v>
      </c>
      <c r="V10" s="41">
        <f>(V9-Q9)/Q9</f>
        <v>-8.9669638175144201E-2</v>
      </c>
      <c r="W10" s="33">
        <f t="shared" ref="W10" si="29">(W9-R9)/R9</f>
        <v>6.8669527896995708E-2</v>
      </c>
      <c r="X10" s="33">
        <f t="shared" ref="X10" si="30">(X9-S9)/S9</f>
        <v>-0.14228456913827656</v>
      </c>
      <c r="Y10" s="33">
        <f>(Y9-T9)/T9</f>
        <v>-1</v>
      </c>
      <c r="Z10" s="33">
        <f t="shared" ref="Z10" si="31">(Z9-U9)/U9</f>
        <v>-1</v>
      </c>
    </row>
    <row r="11" spans="2:26" x14ac:dyDescent="0.25">
      <c r="B11" s="2" t="s">
        <v>155</v>
      </c>
      <c r="C11" s="12">
        <v>1971.3</v>
      </c>
      <c r="D11" s="12">
        <v>2265.1</v>
      </c>
      <c r="E11" s="12">
        <v>1955.9</v>
      </c>
      <c r="F11" s="12">
        <v>2044.3</v>
      </c>
      <c r="G11" s="43">
        <f>SUM(C11:F11)</f>
        <v>8236.5999999999985</v>
      </c>
      <c r="H11" s="12">
        <v>2750.3</v>
      </c>
      <c r="I11" s="12">
        <v>2592.1999999999998</v>
      </c>
      <c r="J11" s="12">
        <v>2304.5</v>
      </c>
      <c r="K11" s="12">
        <v>2038</v>
      </c>
      <c r="L11" s="43">
        <f>SUM(H11:K11)</f>
        <v>9685</v>
      </c>
      <c r="M11" s="12">
        <v>2291</v>
      </c>
      <c r="N11" s="12">
        <v>2072</v>
      </c>
      <c r="O11" s="12">
        <v>2302</v>
      </c>
      <c r="P11" s="12">
        <v>2070</v>
      </c>
      <c r="Q11" s="43">
        <f>SUM(M11:P11)</f>
        <v>8735</v>
      </c>
      <c r="R11" s="12">
        <v>1500</v>
      </c>
      <c r="S11" s="12">
        <v>2066</v>
      </c>
      <c r="T11" s="12">
        <v>1814</v>
      </c>
      <c r="U11" s="12">
        <v>1928</v>
      </c>
      <c r="V11" s="43">
        <f>SUM(R11:U11)</f>
        <v>7308</v>
      </c>
      <c r="W11" s="12">
        <v>1969</v>
      </c>
      <c r="X11" s="12">
        <v>1963</v>
      </c>
      <c r="Y11" s="12"/>
      <c r="Z11" s="12"/>
    </row>
    <row r="12" spans="2:26" x14ac:dyDescent="0.25">
      <c r="B12" s="33" t="s">
        <v>144</v>
      </c>
      <c r="C12" s="33"/>
      <c r="D12" s="33"/>
      <c r="E12" s="33"/>
      <c r="F12" s="33"/>
      <c r="G12" s="41"/>
      <c r="H12" s="33">
        <f t="shared" ref="H12" si="32">(H11-C11)/C11</f>
        <v>0.3951706995383758</v>
      </c>
      <c r="I12" s="33">
        <f t="shared" ref="I12" si="33">(I11-D11)/D11</f>
        <v>0.14440863538033638</v>
      </c>
      <c r="J12" s="33">
        <f t="shared" ref="J12" si="34">(J11-E11)/E11</f>
        <v>0.17822997085740575</v>
      </c>
      <c r="K12" s="33">
        <f t="shared" ref="K12" si="35">(K11-F11)/F11</f>
        <v>-3.0817394707234528E-3</v>
      </c>
      <c r="L12" s="41">
        <f>(L11-G11)/G11</f>
        <v>0.1758492581890588</v>
      </c>
      <c r="M12" s="33">
        <f t="shared" ref="M12" si="36">(M11-H11)/H11</f>
        <v>-0.16699996364033021</v>
      </c>
      <c r="N12" s="33">
        <f t="shared" ref="N12" si="37">(N11-I11)/I11</f>
        <v>-0.20067895995679341</v>
      </c>
      <c r="O12" s="33">
        <f t="shared" ref="O12" si="38">(O11-J11)/J11</f>
        <v>-1.0848340203948796E-3</v>
      </c>
      <c r="P12" s="33">
        <f t="shared" ref="P12" si="39">(P11-K11)/K11</f>
        <v>1.5701668302257114E-2</v>
      </c>
      <c r="Q12" s="41">
        <f>(Q11-L11)/L11</f>
        <v>-9.8089829633453793E-2</v>
      </c>
      <c r="R12" s="33">
        <f t="shared" ref="R12" si="40">(R11-M11)/M11</f>
        <v>-0.34526407682234833</v>
      </c>
      <c r="S12" s="33">
        <f t="shared" ref="S12" si="41">(S11-N11)/N11</f>
        <v>-2.8957528957528956E-3</v>
      </c>
      <c r="T12" s="33">
        <f t="shared" ref="T12" si="42">(T11-O11)/O11</f>
        <v>-0.21198957428323198</v>
      </c>
      <c r="U12" s="33">
        <f>(U11-P11)/P11</f>
        <v>-6.8599033816425126E-2</v>
      </c>
      <c r="V12" s="41">
        <f>(V11-Q11)/Q11</f>
        <v>-0.16336576989124213</v>
      </c>
      <c r="W12" s="33">
        <f t="shared" ref="W12" si="43">(W11-R11)/R11</f>
        <v>0.31266666666666665</v>
      </c>
      <c r="X12" s="33">
        <f t="shared" ref="X12" si="44">(X11-S11)/S11</f>
        <v>-4.9854791868344628E-2</v>
      </c>
      <c r="Y12" s="33">
        <f>(Y11-T11)/T11</f>
        <v>-1</v>
      </c>
      <c r="Z12" s="33">
        <f t="shared" ref="Z12" si="45">(Z11-U11)/U11</f>
        <v>-1</v>
      </c>
    </row>
    <row r="13" spans="2:26" x14ac:dyDescent="0.25">
      <c r="B13" s="2" t="s">
        <v>156</v>
      </c>
      <c r="C13" s="12">
        <v>769.6</v>
      </c>
      <c r="D13" s="12">
        <v>724.9</v>
      </c>
      <c r="E13" s="12">
        <v>734.4</v>
      </c>
      <c r="F13" s="12">
        <v>756.5</v>
      </c>
      <c r="G13" s="43">
        <f>SUM(C13:F13)</f>
        <v>2985.4</v>
      </c>
      <c r="H13" s="12">
        <v>820.3</v>
      </c>
      <c r="I13" s="12">
        <v>758.4</v>
      </c>
      <c r="J13" s="12">
        <v>663</v>
      </c>
      <c r="K13" s="12">
        <v>728.2</v>
      </c>
      <c r="L13" s="43">
        <f>SUM(H13:K13)</f>
        <v>2969.8999999999996</v>
      </c>
      <c r="M13" s="12">
        <v>717</v>
      </c>
      <c r="N13" s="12">
        <v>697</v>
      </c>
      <c r="O13" s="12">
        <v>741</v>
      </c>
      <c r="P13" s="12">
        <v>662</v>
      </c>
      <c r="Q13" s="43">
        <f>SUM(M13:P13)</f>
        <v>2817</v>
      </c>
      <c r="R13" s="12">
        <v>756</v>
      </c>
      <c r="S13" s="12">
        <v>754</v>
      </c>
      <c r="T13" s="12">
        <v>709</v>
      </c>
      <c r="U13" s="12">
        <v>750</v>
      </c>
      <c r="V13" s="43">
        <f>SUM(R13:U13)</f>
        <v>2969</v>
      </c>
      <c r="W13" s="12">
        <v>750</v>
      </c>
      <c r="X13" s="12">
        <v>801</v>
      </c>
      <c r="Y13" s="12"/>
      <c r="Z13" s="12"/>
    </row>
    <row r="14" spans="2:26" x14ac:dyDescent="0.25">
      <c r="B14" s="33" t="s">
        <v>144</v>
      </c>
      <c r="C14" s="33"/>
      <c r="D14" s="33"/>
      <c r="E14" s="33"/>
      <c r="F14" s="33"/>
      <c r="G14" s="41"/>
      <c r="H14" s="33">
        <f t="shared" ref="H14" si="46">(H13-C13)/C13</f>
        <v>6.5878378378378288E-2</v>
      </c>
      <c r="I14" s="33">
        <f t="shared" ref="I14" si="47">(I13-D13)/D13</f>
        <v>4.6213270795971859E-2</v>
      </c>
      <c r="J14" s="33">
        <f t="shared" ref="J14" si="48">(J13-E13)/E13</f>
        <v>-9.7222222222222196E-2</v>
      </c>
      <c r="K14" s="33">
        <f t="shared" ref="K14" si="49">(K13-F13)/F13</f>
        <v>-3.7409120951751425E-2</v>
      </c>
      <c r="L14" s="41">
        <f>(L13-G13)/G13</f>
        <v>-5.1919340791855206E-3</v>
      </c>
      <c r="M14" s="33">
        <f t="shared" ref="M14" si="50">(M13-H13)/H13</f>
        <v>-0.12592953797391193</v>
      </c>
      <c r="N14" s="33">
        <f t="shared" ref="N14" si="51">(N13-I13)/I13</f>
        <v>-8.0959915611814315E-2</v>
      </c>
      <c r="O14" s="33">
        <f t="shared" ref="O14" si="52">(O13-J13)/J13</f>
        <v>0.11764705882352941</v>
      </c>
      <c r="P14" s="33">
        <f t="shared" ref="P14" si="53">(P13-K13)/K13</f>
        <v>-9.0909090909090967E-2</v>
      </c>
      <c r="Q14" s="41">
        <f>(Q13-L13)/L13</f>
        <v>-5.1483214923061266E-2</v>
      </c>
      <c r="R14" s="33">
        <f t="shared" ref="R14" si="54">(R13-M13)/M13</f>
        <v>5.4393305439330547E-2</v>
      </c>
      <c r="S14" s="33">
        <f t="shared" ref="S14" si="55">(S13-N13)/N13</f>
        <v>8.1779053084648487E-2</v>
      </c>
      <c r="T14" s="33">
        <f t="shared" ref="T14" si="56">(T13-O13)/O13</f>
        <v>-4.3184885290148446E-2</v>
      </c>
      <c r="U14" s="33">
        <f>(U13-P13)/P13</f>
        <v>0.13293051359516617</v>
      </c>
      <c r="V14" s="41">
        <f>(V13-Q13)/Q13</f>
        <v>5.3958111466098684E-2</v>
      </c>
      <c r="W14" s="33">
        <f t="shared" ref="W14" si="57">(W13-R13)/R13</f>
        <v>-7.9365079365079361E-3</v>
      </c>
      <c r="X14" s="33">
        <f t="shared" ref="X14" si="58">(X13-S13)/S13</f>
        <v>6.2334217506631297E-2</v>
      </c>
      <c r="Y14" s="33">
        <f>(Y13-T13)/T13</f>
        <v>-1</v>
      </c>
      <c r="Z14" s="33">
        <f t="shared" ref="Z14" si="59">(Z13-U13)/U13</f>
        <v>-1</v>
      </c>
    </row>
    <row r="15" spans="2:26" x14ac:dyDescent="0.25">
      <c r="B15" s="2" t="s">
        <v>157</v>
      </c>
      <c r="C15" s="12">
        <v>195.5</v>
      </c>
      <c r="D15" s="12">
        <v>215.6</v>
      </c>
      <c r="E15" s="12">
        <v>219.3</v>
      </c>
      <c r="F15" s="12">
        <v>190.8</v>
      </c>
      <c r="G15" s="43">
        <f>SUM(C15:F15)</f>
        <v>821.2</v>
      </c>
      <c r="H15" s="12">
        <v>206.7</v>
      </c>
      <c r="I15" s="12">
        <v>228.5</v>
      </c>
      <c r="J15" s="12">
        <v>221.2</v>
      </c>
      <c r="K15" s="12">
        <v>206.3</v>
      </c>
      <c r="L15" s="43">
        <f>SUM(H15:K15)</f>
        <v>862.7</v>
      </c>
      <c r="M15" s="12">
        <v>210</v>
      </c>
      <c r="N15" s="12">
        <v>216</v>
      </c>
      <c r="O15" s="12">
        <v>198</v>
      </c>
      <c r="P15" s="12">
        <v>182</v>
      </c>
      <c r="Q15" s="43">
        <f>SUM(M15:P15)</f>
        <v>806</v>
      </c>
      <c r="R15" s="12">
        <v>182</v>
      </c>
      <c r="S15" s="12">
        <v>278</v>
      </c>
      <c r="T15" s="12">
        <v>266</v>
      </c>
      <c r="U15" s="12">
        <v>284</v>
      </c>
      <c r="V15" s="43">
        <f>SUM(R15:U15)</f>
        <v>1010</v>
      </c>
      <c r="W15" s="12">
        <v>291</v>
      </c>
      <c r="X15" s="12">
        <v>381</v>
      </c>
      <c r="Y15" s="12"/>
      <c r="Z15" s="12"/>
    </row>
    <row r="16" spans="2:26" ht="20" thickBot="1" x14ac:dyDescent="0.3">
      <c r="B16" s="38" t="s">
        <v>144</v>
      </c>
      <c r="C16" s="38"/>
      <c r="D16" s="38"/>
      <c r="E16" s="38"/>
      <c r="F16" s="38"/>
      <c r="G16" s="42"/>
      <c r="H16" s="38">
        <f t="shared" ref="H16" si="60">(H15-C15)/C15</f>
        <v>5.7289002557544697E-2</v>
      </c>
      <c r="I16" s="38">
        <f t="shared" ref="I16" si="61">(I15-D15)/D15</f>
        <v>5.9833024118738434E-2</v>
      </c>
      <c r="J16" s="38">
        <f t="shared" ref="J16" si="62">(J15-E15)/E15</f>
        <v>8.6639306885543874E-3</v>
      </c>
      <c r="K16" s="38">
        <f t="shared" ref="K16" si="63">(K15-F15)/F15</f>
        <v>8.1236897274633124E-2</v>
      </c>
      <c r="L16" s="42">
        <f>(L15-G15)/G15</f>
        <v>5.0535801266439355E-2</v>
      </c>
      <c r="M16" s="38">
        <f t="shared" ref="M16" si="64">(M15-H15)/H15</f>
        <v>1.5965166908563189E-2</v>
      </c>
      <c r="N16" s="38">
        <f t="shared" ref="N16" si="65">(N15-I15)/I15</f>
        <v>-5.4704595185995623E-2</v>
      </c>
      <c r="O16" s="38">
        <f t="shared" ref="O16" si="66">(O15-J15)/J15</f>
        <v>-0.10488245931283902</v>
      </c>
      <c r="P16" s="38">
        <f t="shared" ref="P16" si="67">(P15-K15)/K15</f>
        <v>-0.11778962675714984</v>
      </c>
      <c r="Q16" s="42">
        <f>(Q15-L15)/L15</f>
        <v>-6.5723890112437747E-2</v>
      </c>
      <c r="R16" s="38">
        <f t="shared" ref="R16" si="68">(R15-M15)/M15</f>
        <v>-0.13333333333333333</v>
      </c>
      <c r="S16" s="38">
        <f t="shared" ref="S16" si="69">(S15-N15)/N15</f>
        <v>0.28703703703703703</v>
      </c>
      <c r="T16" s="38">
        <f t="shared" ref="T16" si="70">(T15-O15)/O15</f>
        <v>0.34343434343434343</v>
      </c>
      <c r="U16" s="38">
        <f>(U15-P15)/P15</f>
        <v>0.56043956043956045</v>
      </c>
      <c r="V16" s="42">
        <f>(V15-Q15)/Q15</f>
        <v>0.25310173697270472</v>
      </c>
      <c r="W16" s="48">
        <f t="shared" ref="W16" si="71">(W15-R15)/R15</f>
        <v>0.59890109890109888</v>
      </c>
      <c r="X16" s="38">
        <f t="shared" ref="X16" si="72">(X15-S15)/S15</f>
        <v>0.37050359712230213</v>
      </c>
      <c r="Y16" s="38">
        <f>(Y15-T15)/T15</f>
        <v>-1</v>
      </c>
      <c r="Z16" s="38">
        <f t="shared" ref="Z16" si="73">(Z15-U15)/U15</f>
        <v>-1</v>
      </c>
    </row>
    <row r="17" spans="2:26" x14ac:dyDescent="0.25">
      <c r="B17" s="1" t="s">
        <v>158</v>
      </c>
      <c r="C17" s="10">
        <f>SUM(C5,C7,C9,C11,C13,C15)</f>
        <v>5826</v>
      </c>
      <c r="D17" s="10">
        <f t="shared" ref="D17:F17" si="74">SUM(D5,D7,D9,D11,D13,D15)</f>
        <v>6137.2</v>
      </c>
      <c r="E17" s="10">
        <f t="shared" si="74"/>
        <v>5894.2</v>
      </c>
      <c r="F17" s="10">
        <f t="shared" si="74"/>
        <v>5743.4000000000005</v>
      </c>
      <c r="G17" s="43">
        <f>SUM(C17:F17)</f>
        <v>23600.800000000003</v>
      </c>
      <c r="H17" s="10">
        <f>SUM(H5,H7,H9,H11,H13,H15)</f>
        <v>6635.8</v>
      </c>
      <c r="I17" s="10">
        <f t="shared" ref="I17:K17" si="75">SUM(I5,I7,I9,I11,I13,I15)</f>
        <v>6231.5999999999985</v>
      </c>
      <c r="J17" s="10">
        <f t="shared" si="75"/>
        <v>5581.9</v>
      </c>
      <c r="K17" s="10">
        <f t="shared" si="75"/>
        <v>5087.8999999999996</v>
      </c>
      <c r="L17" s="43">
        <f>SUM(H17:K17)</f>
        <v>23537.199999999997</v>
      </c>
      <c r="M17" s="10">
        <f>SUM(M5,M7,M9,M11,M13,M15)</f>
        <v>5792</v>
      </c>
      <c r="N17" s="10">
        <f t="shared" ref="N17:P17" si="76">SUM(N5,N7,N9,N11,N13,N15)</f>
        <v>5246</v>
      </c>
      <c r="O17" s="10">
        <f t="shared" si="76"/>
        <v>5455</v>
      </c>
      <c r="P17" s="10">
        <f t="shared" si="76"/>
        <v>4987</v>
      </c>
      <c r="Q17" s="43">
        <f>SUM(M17:P17)</f>
        <v>21480</v>
      </c>
      <c r="R17" s="10">
        <f>SUM(R5,R7,R9,R11,R13,R15)</f>
        <v>4781</v>
      </c>
      <c r="S17" s="10">
        <f t="shared" ref="S17:U17" si="77">SUM(S5,S7,S9,S11,S13,S15)</f>
        <v>5480</v>
      </c>
      <c r="T17" s="10">
        <f t="shared" si="77"/>
        <v>5088</v>
      </c>
      <c r="U17" s="10">
        <f t="shared" si="77"/>
        <v>5056</v>
      </c>
      <c r="V17" s="43">
        <f>SUM(R17:U17)</f>
        <v>20405</v>
      </c>
      <c r="W17" s="10">
        <f>SUM(W5,W7,W9,W11,W13,W15)</f>
        <v>5487</v>
      </c>
      <c r="X17" s="10">
        <f t="shared" ref="X17:Z17" si="78">SUM(X5,X7,X9,X11,X13,X15)</f>
        <v>5482</v>
      </c>
      <c r="Y17" s="10">
        <f t="shared" si="78"/>
        <v>0</v>
      </c>
      <c r="Z17" s="10">
        <f t="shared" si="78"/>
        <v>0</v>
      </c>
    </row>
  </sheetData>
  <pageMargins left="0.7" right="0.7" top="0.75" bottom="0.75" header="0.3" footer="0.3"/>
  <ignoredErrors>
    <ignoredError sqref="V10 V12 V14 V16 V8 V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tabSelected="1" workbookViewId="0">
      <selection activeCell="E33" sqref="E33"/>
    </sheetView>
  </sheetViews>
  <sheetFormatPr baseColWidth="10" defaultRowHeight="16" x14ac:dyDescent="0.2"/>
  <cols>
    <col min="3" max="3" width="29.5" bestFit="1" customWidth="1"/>
    <col min="4" max="6" width="22.1640625" bestFit="1" customWidth="1"/>
  </cols>
  <sheetData>
    <row r="4" spans="3:6" ht="62" x14ac:dyDescent="0.7">
      <c r="C4" s="27"/>
      <c r="D4" s="27" t="s">
        <v>132</v>
      </c>
      <c r="E4" s="27" t="s">
        <v>133</v>
      </c>
      <c r="F4" s="27" t="s">
        <v>134</v>
      </c>
    </row>
    <row r="5" spans="3:6" ht="62" x14ac:dyDescent="0.7">
      <c r="C5" s="27" t="s">
        <v>3</v>
      </c>
      <c r="D5" s="28">
        <f>Modell!$B$9/Modell!AJ12</f>
        <v>19.676885340852802</v>
      </c>
      <c r="E5" s="28">
        <f>Modell!$B$9/Modell!AK12</f>
        <v>11.474187101851106</v>
      </c>
      <c r="F5" s="28">
        <f>Modell!$B$9/Modell!AL12</f>
        <v>8.7842727790615331</v>
      </c>
    </row>
    <row r="6" spans="3:6" ht="62" x14ac:dyDescent="0.7">
      <c r="C6" s="27" t="s">
        <v>4</v>
      </c>
      <c r="D6" s="28">
        <f>Modell!$B$4/Modell!AJ19</f>
        <v>14.717732650514472</v>
      </c>
      <c r="E6" s="28">
        <f>Modell!$B$4/Modell!AK19</f>
        <v>8.5823551452227438</v>
      </c>
      <c r="F6" s="28">
        <f>Modell!$B$4/Modell!AL19</f>
        <v>6.5703781900380873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7938-589A-E44E-839A-B60B826DEAAD}">
  <dimension ref="A3:IC25"/>
  <sheetViews>
    <sheetView showGridLines="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K28" sqref="K28"/>
    </sheetView>
  </sheetViews>
  <sheetFormatPr baseColWidth="10" defaultRowHeight="19" x14ac:dyDescent="0.25"/>
  <cols>
    <col min="1" max="1" width="10.83203125" style="2"/>
    <col min="2" max="2" width="22" style="4" customWidth="1"/>
    <col min="3" max="3" width="39" style="2" customWidth="1"/>
    <col min="4" max="12" width="10.83203125" style="2"/>
    <col min="13" max="13" width="10.83203125" style="4"/>
    <col min="14" max="23" width="10.83203125" style="2"/>
    <col min="24" max="24" width="14.1640625" style="2" bestFit="1" customWidth="1"/>
    <col min="25" max="25" width="12.1640625" style="2" bestFit="1" customWidth="1"/>
    <col min="26" max="16384" width="10.83203125" style="2"/>
  </cols>
  <sheetData>
    <row r="3" spans="1:22" x14ac:dyDescent="0.25">
      <c r="A3" s="1" t="s">
        <v>135</v>
      </c>
      <c r="D3" s="2" t="s">
        <v>109</v>
      </c>
      <c r="E3" s="2" t="s">
        <v>108</v>
      </c>
      <c r="F3" s="7" t="s">
        <v>107</v>
      </c>
      <c r="G3" s="7" t="s">
        <v>106</v>
      </c>
      <c r="H3" s="7" t="s">
        <v>105</v>
      </c>
      <c r="I3" s="7" t="s">
        <v>104</v>
      </c>
      <c r="J3" s="7" t="s">
        <v>103</v>
      </c>
      <c r="K3" s="7" t="s">
        <v>102</v>
      </c>
      <c r="L3" s="7" t="s">
        <v>101</v>
      </c>
      <c r="M3" s="15" t="s">
        <v>117</v>
      </c>
      <c r="N3" s="7" t="s">
        <v>118</v>
      </c>
      <c r="O3" s="7" t="s">
        <v>119</v>
      </c>
      <c r="P3" s="7" t="s">
        <v>120</v>
      </c>
      <c r="Q3" s="7" t="s">
        <v>121</v>
      </c>
      <c r="R3" s="7" t="s">
        <v>122</v>
      </c>
      <c r="S3" s="7" t="s">
        <v>123</v>
      </c>
      <c r="T3" s="7" t="s">
        <v>124</v>
      </c>
      <c r="U3" s="7" t="s">
        <v>125</v>
      </c>
      <c r="V3" s="7" t="s">
        <v>126</v>
      </c>
    </row>
    <row r="4" spans="1:22" x14ac:dyDescent="0.25">
      <c r="A4" s="1" t="s">
        <v>136</v>
      </c>
      <c r="C4" s="1" t="s">
        <v>21</v>
      </c>
      <c r="D4" s="10">
        <v>9306.2000000000007</v>
      </c>
      <c r="E4" s="10">
        <v>10300.5</v>
      </c>
      <c r="F4" s="10">
        <v>12535.7</v>
      </c>
      <c r="G4" s="10">
        <v>13195.4</v>
      </c>
      <c r="H4" s="10">
        <v>15028</v>
      </c>
      <c r="I4" s="10">
        <v>23600.9</v>
      </c>
      <c r="J4" s="10">
        <v>23577</v>
      </c>
      <c r="K4" s="10">
        <v>21481.8</v>
      </c>
      <c r="L4" s="10">
        <v>20642</v>
      </c>
      <c r="M4" s="11">
        <f>L4*1</f>
        <v>20642</v>
      </c>
      <c r="N4" s="10">
        <f t="shared" ref="N4:U4" si="0">M4*1</f>
        <v>20642</v>
      </c>
      <c r="O4" s="10">
        <f t="shared" si="0"/>
        <v>20642</v>
      </c>
      <c r="P4" s="10">
        <f t="shared" si="0"/>
        <v>20642</v>
      </c>
      <c r="Q4" s="10">
        <f t="shared" si="0"/>
        <v>20642</v>
      </c>
      <c r="R4" s="10">
        <f t="shared" si="0"/>
        <v>20642</v>
      </c>
      <c r="S4" s="10">
        <f t="shared" si="0"/>
        <v>20642</v>
      </c>
      <c r="T4" s="10">
        <f t="shared" si="0"/>
        <v>20642</v>
      </c>
      <c r="U4" s="10">
        <f t="shared" si="0"/>
        <v>20642</v>
      </c>
      <c r="V4" s="10">
        <f>U4*1</f>
        <v>20642</v>
      </c>
    </row>
    <row r="5" spans="1:22" x14ac:dyDescent="0.25">
      <c r="A5" s="32">
        <f>Y24</f>
        <v>1.2957633351255842</v>
      </c>
      <c r="C5" s="2" t="s">
        <v>22</v>
      </c>
      <c r="D5" s="12">
        <v>-7926.7</v>
      </c>
      <c r="E5" s="12">
        <v>-8663.7000000000007</v>
      </c>
      <c r="F5" s="12">
        <v>-10446.299999999999</v>
      </c>
      <c r="G5" s="12">
        <v>-11152</v>
      </c>
      <c r="H5" s="12">
        <v>-12545</v>
      </c>
      <c r="I5" s="12">
        <v>-20143.3</v>
      </c>
      <c r="J5" s="12">
        <v>-20168.8</v>
      </c>
      <c r="K5" s="12">
        <v>-18273.2</v>
      </c>
      <c r="L5" s="12">
        <f>L4*-0.865</f>
        <v>-17855.329999999998</v>
      </c>
      <c r="M5" s="13">
        <f>M4*-0.87</f>
        <v>-17958.54</v>
      </c>
      <c r="N5" s="12">
        <f t="shared" ref="N5:V5" si="1">N4*-0.87</f>
        <v>-17958.54</v>
      </c>
      <c r="O5" s="12">
        <f t="shared" si="1"/>
        <v>-17958.54</v>
      </c>
      <c r="P5" s="12">
        <f t="shared" si="1"/>
        <v>-17958.54</v>
      </c>
      <c r="Q5" s="12">
        <f t="shared" si="1"/>
        <v>-17958.54</v>
      </c>
      <c r="R5" s="12">
        <f t="shared" si="1"/>
        <v>-17958.54</v>
      </c>
      <c r="S5" s="12">
        <f t="shared" si="1"/>
        <v>-17958.54</v>
      </c>
      <c r="T5" s="12">
        <f t="shared" si="1"/>
        <v>-17958.54</v>
      </c>
      <c r="U5" s="12">
        <f t="shared" si="1"/>
        <v>-17958.54</v>
      </c>
      <c r="V5" s="12">
        <f t="shared" si="1"/>
        <v>-17958.54</v>
      </c>
    </row>
    <row r="6" spans="1:22" x14ac:dyDescent="0.25">
      <c r="A6" s="16">
        <f>Y25</f>
        <v>-0.22871230052048558</v>
      </c>
      <c r="C6" s="2" t="s">
        <v>23</v>
      </c>
      <c r="D6" s="12">
        <f t="shared" ref="D6:I6" si="2">SUM(D4:D5)</f>
        <v>1379.5000000000009</v>
      </c>
      <c r="E6" s="12">
        <f t="shared" si="2"/>
        <v>1636.7999999999993</v>
      </c>
      <c r="F6" s="12">
        <f t="shared" si="2"/>
        <v>2089.4000000000015</v>
      </c>
      <c r="G6" s="12">
        <f t="shared" si="2"/>
        <v>2043.3999999999996</v>
      </c>
      <c r="H6" s="12">
        <f t="shared" si="2"/>
        <v>2483</v>
      </c>
      <c r="I6" s="12">
        <f t="shared" si="2"/>
        <v>3457.6000000000022</v>
      </c>
      <c r="J6" s="12">
        <f>SUM(J4:J5)</f>
        <v>3408.2000000000007</v>
      </c>
      <c r="K6" s="12">
        <f>SUM(K4:K5)</f>
        <v>3208.5999999999985</v>
      </c>
      <c r="L6" s="12">
        <f t="shared" ref="L6:V6" si="3">SUM(L4:L5)</f>
        <v>2786.6700000000019</v>
      </c>
      <c r="M6" s="13">
        <f t="shared" si="3"/>
        <v>2683.4599999999991</v>
      </c>
      <c r="N6" s="12">
        <f t="shared" si="3"/>
        <v>2683.4599999999991</v>
      </c>
      <c r="O6" s="12">
        <f t="shared" si="3"/>
        <v>2683.4599999999991</v>
      </c>
      <c r="P6" s="12">
        <f t="shared" si="3"/>
        <v>2683.4599999999991</v>
      </c>
      <c r="Q6" s="12">
        <f t="shared" si="3"/>
        <v>2683.4599999999991</v>
      </c>
      <c r="R6" s="12">
        <f t="shared" si="3"/>
        <v>2683.4599999999991</v>
      </c>
      <c r="S6" s="12">
        <f t="shared" si="3"/>
        <v>2683.4599999999991</v>
      </c>
      <c r="T6" s="12">
        <f t="shared" si="3"/>
        <v>2683.4599999999991</v>
      </c>
      <c r="U6" s="12">
        <f t="shared" si="3"/>
        <v>2683.4599999999991</v>
      </c>
      <c r="V6" s="12">
        <f t="shared" si="3"/>
        <v>2683.4599999999991</v>
      </c>
    </row>
    <row r="7" spans="1:22" x14ac:dyDescent="0.25">
      <c r="A7" s="1"/>
      <c r="C7" s="2" t="s">
        <v>24</v>
      </c>
      <c r="D7" s="12">
        <v>-1016.3</v>
      </c>
      <c r="E7" s="12">
        <v>-1183.3</v>
      </c>
      <c r="F7" s="12">
        <v>-1594.3</v>
      </c>
      <c r="G7" s="12">
        <v>-1617.9</v>
      </c>
      <c r="H7" s="12">
        <v>-1825.2</v>
      </c>
      <c r="I7" s="12">
        <v>-2628.3</v>
      </c>
      <c r="J7" s="12">
        <v>-2865.3</v>
      </c>
      <c r="K7" s="12">
        <v>-2813.4</v>
      </c>
      <c r="L7" s="12">
        <f>K7</f>
        <v>-2813.4</v>
      </c>
      <c r="M7" s="13">
        <f>L7*0.86</f>
        <v>-2419.5239999999999</v>
      </c>
      <c r="N7" s="12">
        <f t="shared" ref="N7:V7" si="4">M7*1</f>
        <v>-2419.5239999999999</v>
      </c>
      <c r="O7" s="12">
        <f t="shared" si="4"/>
        <v>-2419.5239999999999</v>
      </c>
      <c r="P7" s="12">
        <f t="shared" si="4"/>
        <v>-2419.5239999999999</v>
      </c>
      <c r="Q7" s="12">
        <f t="shared" si="4"/>
        <v>-2419.5239999999999</v>
      </c>
      <c r="R7" s="12">
        <f t="shared" si="4"/>
        <v>-2419.5239999999999</v>
      </c>
      <c r="S7" s="12">
        <f t="shared" si="4"/>
        <v>-2419.5239999999999</v>
      </c>
      <c r="T7" s="12">
        <f t="shared" si="4"/>
        <v>-2419.5239999999999</v>
      </c>
      <c r="U7" s="12">
        <f t="shared" si="4"/>
        <v>-2419.5239999999999</v>
      </c>
      <c r="V7" s="12">
        <f t="shared" si="4"/>
        <v>-2419.5239999999999</v>
      </c>
    </row>
    <row r="8" spans="1:22" x14ac:dyDescent="0.25">
      <c r="C8" s="2" t="s">
        <v>25</v>
      </c>
      <c r="D8" s="12">
        <v>-7.3</v>
      </c>
      <c r="E8" s="12">
        <v>1</v>
      </c>
      <c r="F8" s="12">
        <v>3.5</v>
      </c>
      <c r="G8" s="12">
        <v>-31</v>
      </c>
      <c r="H8" s="12">
        <v>-73.400000000000006</v>
      </c>
      <c r="I8" s="12">
        <v>-50.1</v>
      </c>
      <c r="J8" s="12">
        <v>-73.2</v>
      </c>
      <c r="K8" s="12">
        <v>-39.700000000000003</v>
      </c>
      <c r="L8" s="12">
        <f t="shared" ref="L8:L10" si="5">K8</f>
        <v>-39.700000000000003</v>
      </c>
      <c r="M8" s="13">
        <f t="shared" ref="M8:M10" si="6">L8*0.89</f>
        <v>-35.333000000000006</v>
      </c>
      <c r="N8" s="12">
        <f t="shared" ref="N8:V8" si="7">M8*1</f>
        <v>-35.333000000000006</v>
      </c>
      <c r="O8" s="12">
        <f t="shared" si="7"/>
        <v>-35.333000000000006</v>
      </c>
      <c r="P8" s="12">
        <f t="shared" si="7"/>
        <v>-35.333000000000006</v>
      </c>
      <c r="Q8" s="12">
        <f t="shared" si="7"/>
        <v>-35.333000000000006</v>
      </c>
      <c r="R8" s="12">
        <f t="shared" si="7"/>
        <v>-35.333000000000006</v>
      </c>
      <c r="S8" s="12">
        <f t="shared" si="7"/>
        <v>-35.333000000000006</v>
      </c>
      <c r="T8" s="12">
        <f t="shared" si="7"/>
        <v>-35.333000000000006</v>
      </c>
      <c r="U8" s="12">
        <f t="shared" si="7"/>
        <v>-35.333000000000006</v>
      </c>
      <c r="V8" s="12">
        <f t="shared" si="7"/>
        <v>-35.333000000000006</v>
      </c>
    </row>
    <row r="9" spans="1:22" x14ac:dyDescent="0.25">
      <c r="C9" s="2" t="s">
        <v>26</v>
      </c>
      <c r="D9" s="12">
        <v>5.9</v>
      </c>
      <c r="E9" s="12">
        <v>6.8</v>
      </c>
      <c r="F9" s="12">
        <v>7.6</v>
      </c>
      <c r="G9" s="12">
        <v>14.5</v>
      </c>
      <c r="H9" s="12">
        <v>14.1</v>
      </c>
      <c r="I9" s="12">
        <v>20.5</v>
      </c>
      <c r="J9" s="12">
        <v>46.5</v>
      </c>
      <c r="K9" s="12">
        <v>18.7</v>
      </c>
      <c r="L9" s="12">
        <f t="shared" si="5"/>
        <v>18.7</v>
      </c>
      <c r="M9" s="13">
        <f t="shared" si="6"/>
        <v>16.643000000000001</v>
      </c>
      <c r="N9" s="12">
        <f t="shared" ref="N9:V9" si="8">M9*1</f>
        <v>16.643000000000001</v>
      </c>
      <c r="O9" s="12">
        <f t="shared" si="8"/>
        <v>16.643000000000001</v>
      </c>
      <c r="P9" s="12">
        <f t="shared" si="8"/>
        <v>16.643000000000001</v>
      </c>
      <c r="Q9" s="12">
        <f t="shared" si="8"/>
        <v>16.643000000000001</v>
      </c>
      <c r="R9" s="12">
        <f t="shared" si="8"/>
        <v>16.643000000000001</v>
      </c>
      <c r="S9" s="12">
        <f t="shared" si="8"/>
        <v>16.643000000000001</v>
      </c>
      <c r="T9" s="12">
        <f t="shared" si="8"/>
        <v>16.643000000000001</v>
      </c>
      <c r="U9" s="12">
        <f t="shared" si="8"/>
        <v>16.643000000000001</v>
      </c>
      <c r="V9" s="12">
        <f t="shared" si="8"/>
        <v>16.643000000000001</v>
      </c>
    </row>
    <row r="10" spans="1:22" x14ac:dyDescent="0.25">
      <c r="C10" s="2" t="s">
        <v>27</v>
      </c>
      <c r="D10" s="12">
        <v>-12.3</v>
      </c>
      <c r="E10" s="12">
        <v>-17.5</v>
      </c>
      <c r="F10" s="12">
        <v>-17.100000000000001</v>
      </c>
      <c r="G10" s="12">
        <v>-21.8</v>
      </c>
      <c r="H10" s="12">
        <v>-22.2</v>
      </c>
      <c r="I10" s="12">
        <v>-41.7</v>
      </c>
      <c r="J10" s="12">
        <v>-50.1</v>
      </c>
      <c r="K10" s="12">
        <v>-41.7</v>
      </c>
      <c r="L10" s="12">
        <f t="shared" si="5"/>
        <v>-41.7</v>
      </c>
      <c r="M10" s="13">
        <f t="shared" si="6"/>
        <v>-37.113</v>
      </c>
      <c r="N10" s="12">
        <f t="shared" ref="N10:V10" si="9">M10*1</f>
        <v>-37.113</v>
      </c>
      <c r="O10" s="12">
        <f t="shared" si="9"/>
        <v>-37.113</v>
      </c>
      <c r="P10" s="12">
        <f t="shared" si="9"/>
        <v>-37.113</v>
      </c>
      <c r="Q10" s="12">
        <f t="shared" si="9"/>
        <v>-37.113</v>
      </c>
      <c r="R10" s="12">
        <f t="shared" si="9"/>
        <v>-37.113</v>
      </c>
      <c r="S10" s="12">
        <f t="shared" si="9"/>
        <v>-37.113</v>
      </c>
      <c r="T10" s="12">
        <f t="shared" si="9"/>
        <v>-37.113</v>
      </c>
      <c r="U10" s="12">
        <f t="shared" si="9"/>
        <v>-37.113</v>
      </c>
      <c r="V10" s="12">
        <f t="shared" si="9"/>
        <v>-37.113</v>
      </c>
    </row>
    <row r="11" spans="1:22" x14ac:dyDescent="0.25">
      <c r="C11" s="2" t="s">
        <v>28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-2500</v>
      </c>
      <c r="M11" s="13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</row>
    <row r="12" spans="1:22" x14ac:dyDescent="0.25">
      <c r="C12" s="1" t="s">
        <v>29</v>
      </c>
      <c r="D12" s="10">
        <f t="shared" ref="D12:I12" si="10">SUM(D6:D11)</f>
        <v>349.50000000000091</v>
      </c>
      <c r="E12" s="10">
        <f t="shared" si="10"/>
        <v>443.79999999999933</v>
      </c>
      <c r="F12" s="10">
        <f t="shared" si="10"/>
        <v>489.1000000000015</v>
      </c>
      <c r="G12" s="10">
        <f t="shared" si="10"/>
        <v>387.19999999999953</v>
      </c>
      <c r="H12" s="10">
        <f t="shared" si="10"/>
        <v>576.29999999999995</v>
      </c>
      <c r="I12" s="10">
        <f t="shared" si="10"/>
        <v>758.00000000000193</v>
      </c>
      <c r="J12" s="10">
        <f>SUM(J6:J11)</f>
        <v>466.10000000000048</v>
      </c>
      <c r="K12" s="10">
        <f>SUM(K6:K11)</f>
        <v>332.49999999999847</v>
      </c>
      <c r="L12" s="10">
        <f t="shared" ref="L12:V12" si="11">SUM(L6:L11)</f>
        <v>-2589.429999999998</v>
      </c>
      <c r="M12" s="11">
        <f t="shared" si="11"/>
        <v>208.13299999999924</v>
      </c>
      <c r="N12" s="10">
        <f t="shared" si="11"/>
        <v>208.13299999999924</v>
      </c>
      <c r="O12" s="10">
        <f t="shared" si="11"/>
        <v>208.13299999999924</v>
      </c>
      <c r="P12" s="10">
        <f t="shared" si="11"/>
        <v>208.13299999999924</v>
      </c>
      <c r="Q12" s="10">
        <f t="shared" si="11"/>
        <v>208.13299999999924</v>
      </c>
      <c r="R12" s="10">
        <f t="shared" si="11"/>
        <v>208.13299999999924</v>
      </c>
      <c r="S12" s="10">
        <f t="shared" si="11"/>
        <v>208.13299999999924</v>
      </c>
      <c r="T12" s="10">
        <f t="shared" si="11"/>
        <v>208.13299999999924</v>
      </c>
      <c r="U12" s="10">
        <f t="shared" si="11"/>
        <v>208.13299999999924</v>
      </c>
      <c r="V12" s="10">
        <f t="shared" si="11"/>
        <v>208.13299999999924</v>
      </c>
    </row>
    <row r="13" spans="1:22" x14ac:dyDescent="0.25">
      <c r="C13" s="2" t="s">
        <v>30</v>
      </c>
      <c r="D13" s="12">
        <v>1.2</v>
      </c>
      <c r="E13" s="12">
        <v>1.1000000000000001</v>
      </c>
      <c r="F13" s="12">
        <v>0.8</v>
      </c>
      <c r="G13" s="12">
        <v>1.3</v>
      </c>
      <c r="H13" s="12">
        <v>1.2</v>
      </c>
      <c r="I13" s="12">
        <v>1.2</v>
      </c>
      <c r="J13" s="12">
        <v>9.3000000000000007</v>
      </c>
      <c r="K13" s="12">
        <v>3.5</v>
      </c>
      <c r="L13" s="12">
        <v>38</v>
      </c>
      <c r="M13" s="13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/>
      <c r="U13" s="12">
        <v>0</v>
      </c>
      <c r="V13" s="12">
        <v>0</v>
      </c>
    </row>
    <row r="14" spans="1:22" x14ac:dyDescent="0.25">
      <c r="C14" s="2" t="s">
        <v>31</v>
      </c>
      <c r="D14" s="12">
        <v>-42.6</v>
      </c>
      <c r="E14" s="12">
        <v>-60.3</v>
      </c>
      <c r="F14" s="12">
        <v>-45</v>
      </c>
      <c r="G14" s="12">
        <v>-53.3</v>
      </c>
      <c r="H14" s="12">
        <v>-108.3</v>
      </c>
      <c r="I14" s="12">
        <v>-129.80000000000001</v>
      </c>
      <c r="J14" s="12">
        <v>-238.7</v>
      </c>
      <c r="K14" s="12">
        <v>-219.4</v>
      </c>
      <c r="L14" s="12">
        <v>-236</v>
      </c>
      <c r="M14" s="13">
        <v>0</v>
      </c>
      <c r="N14" s="12">
        <f t="shared" ref="N14:V14" si="12">M14*1.02</f>
        <v>0</v>
      </c>
      <c r="O14" s="12">
        <f t="shared" si="12"/>
        <v>0</v>
      </c>
      <c r="P14" s="12">
        <f t="shared" si="12"/>
        <v>0</v>
      </c>
      <c r="Q14" s="12">
        <f t="shared" si="12"/>
        <v>0</v>
      </c>
      <c r="R14" s="12">
        <f t="shared" si="12"/>
        <v>0</v>
      </c>
      <c r="S14" s="12">
        <f t="shared" si="12"/>
        <v>0</v>
      </c>
      <c r="T14" s="12">
        <f t="shared" si="12"/>
        <v>0</v>
      </c>
      <c r="U14" s="12">
        <f t="shared" si="12"/>
        <v>0</v>
      </c>
      <c r="V14" s="12">
        <f t="shared" si="12"/>
        <v>0</v>
      </c>
    </row>
    <row r="15" spans="1:22" x14ac:dyDescent="0.25">
      <c r="C15" s="2" t="s">
        <v>32</v>
      </c>
      <c r="D15" s="12">
        <f t="shared" ref="D15:I15" si="13">SUM(D12:D14)</f>
        <v>308.10000000000088</v>
      </c>
      <c r="E15" s="12">
        <f t="shared" si="13"/>
        <v>384.59999999999934</v>
      </c>
      <c r="F15" s="12">
        <f t="shared" si="13"/>
        <v>444.90000000000151</v>
      </c>
      <c r="G15" s="12">
        <f t="shared" si="13"/>
        <v>335.19999999999953</v>
      </c>
      <c r="H15" s="12">
        <f t="shared" si="13"/>
        <v>469.2</v>
      </c>
      <c r="I15" s="12">
        <f t="shared" si="13"/>
        <v>629.40000000000191</v>
      </c>
      <c r="J15" s="12">
        <f>SUM(J12:J14)</f>
        <v>236.7000000000005</v>
      </c>
      <c r="K15" s="12">
        <f>SUM(K12:K14)</f>
        <v>116.59999999999846</v>
      </c>
      <c r="L15" s="12">
        <f t="shared" ref="L15:V15" si="14">SUM(L12:L14)</f>
        <v>-2787.429999999998</v>
      </c>
      <c r="M15" s="13">
        <f t="shared" si="14"/>
        <v>208.13299999999924</v>
      </c>
      <c r="N15" s="12">
        <f t="shared" si="14"/>
        <v>208.13299999999924</v>
      </c>
      <c r="O15" s="12">
        <f t="shared" si="14"/>
        <v>208.13299999999924</v>
      </c>
      <c r="P15" s="12">
        <f t="shared" si="14"/>
        <v>208.13299999999924</v>
      </c>
      <c r="Q15" s="12">
        <f t="shared" si="14"/>
        <v>208.13299999999924</v>
      </c>
      <c r="R15" s="12">
        <f t="shared" si="14"/>
        <v>208.13299999999924</v>
      </c>
      <c r="S15" s="12">
        <f t="shared" si="14"/>
        <v>208.13299999999924</v>
      </c>
      <c r="T15" s="12">
        <f t="shared" si="14"/>
        <v>208.13299999999924</v>
      </c>
      <c r="U15" s="12">
        <f t="shared" si="14"/>
        <v>208.13299999999924</v>
      </c>
      <c r="V15" s="12">
        <f t="shared" si="14"/>
        <v>208.13299999999924</v>
      </c>
    </row>
    <row r="16" spans="1:22" x14ac:dyDescent="0.25">
      <c r="C16" s="2" t="s">
        <v>33</v>
      </c>
      <c r="D16" s="12">
        <v>-69</v>
      </c>
      <c r="E16" s="12">
        <v>-79.400000000000006</v>
      </c>
      <c r="F16" s="12">
        <v>-88.7</v>
      </c>
      <c r="G16" s="12">
        <v>-57.9</v>
      </c>
      <c r="H16" s="12">
        <v>-112.2</v>
      </c>
      <c r="I16" s="12">
        <v>-151.80000000000001</v>
      </c>
      <c r="J16" s="12">
        <v>-63.2</v>
      </c>
      <c r="K16" s="12">
        <v>-63.5</v>
      </c>
      <c r="L16" s="12">
        <f>L15*-0.206</f>
        <v>574.2105799999996</v>
      </c>
      <c r="M16" s="13">
        <f t="shared" ref="M16:V16" si="15">M15*-0.206</f>
        <v>-42.875397999999841</v>
      </c>
      <c r="N16" s="12">
        <f t="shared" si="15"/>
        <v>-42.875397999999841</v>
      </c>
      <c r="O16" s="12">
        <f t="shared" si="15"/>
        <v>-42.875397999999841</v>
      </c>
      <c r="P16" s="12">
        <f t="shared" si="15"/>
        <v>-42.875397999999841</v>
      </c>
      <c r="Q16" s="12">
        <f t="shared" si="15"/>
        <v>-42.875397999999841</v>
      </c>
      <c r="R16" s="12">
        <f t="shared" si="15"/>
        <v>-42.875397999999841</v>
      </c>
      <c r="S16" s="12">
        <f t="shared" si="15"/>
        <v>-42.875397999999841</v>
      </c>
      <c r="T16" s="12">
        <f t="shared" si="15"/>
        <v>-42.875397999999841</v>
      </c>
      <c r="U16" s="12">
        <f t="shared" si="15"/>
        <v>-42.875397999999841</v>
      </c>
      <c r="V16" s="12">
        <f t="shared" si="15"/>
        <v>-42.875397999999841</v>
      </c>
    </row>
    <row r="17" spans="2:237" x14ac:dyDescent="0.25">
      <c r="C17" s="1" t="s">
        <v>34</v>
      </c>
      <c r="D17" s="10">
        <f t="shared" ref="D17:I17" si="16">SUM(D15:D16)</f>
        <v>239.10000000000088</v>
      </c>
      <c r="E17" s="10">
        <f t="shared" si="16"/>
        <v>305.19999999999936</v>
      </c>
      <c r="F17" s="10">
        <f t="shared" si="16"/>
        <v>356.20000000000152</v>
      </c>
      <c r="G17" s="10">
        <f t="shared" si="16"/>
        <v>277.29999999999956</v>
      </c>
      <c r="H17" s="10">
        <f t="shared" si="16"/>
        <v>357</v>
      </c>
      <c r="I17" s="10">
        <f t="shared" si="16"/>
        <v>477.6000000000019</v>
      </c>
      <c r="J17" s="10">
        <f>SUM(J15:J16)</f>
        <v>173.50000000000051</v>
      </c>
      <c r="K17" s="10">
        <f>SUM(K15:K16)</f>
        <v>53.09999999999846</v>
      </c>
      <c r="L17" s="10">
        <f t="shared" ref="L17:V17" si="17">SUM(L15:L16)</f>
        <v>-2213.2194199999985</v>
      </c>
      <c r="M17" s="11">
        <f t="shared" si="17"/>
        <v>165.25760199999939</v>
      </c>
      <c r="N17" s="10">
        <f t="shared" si="17"/>
        <v>165.25760199999939</v>
      </c>
      <c r="O17" s="10">
        <f t="shared" si="17"/>
        <v>165.25760199999939</v>
      </c>
      <c r="P17" s="10">
        <f t="shared" si="17"/>
        <v>165.25760199999939</v>
      </c>
      <c r="Q17" s="10">
        <f t="shared" si="17"/>
        <v>165.25760199999939</v>
      </c>
      <c r="R17" s="10">
        <f t="shared" si="17"/>
        <v>165.25760199999939</v>
      </c>
      <c r="S17" s="10">
        <f t="shared" si="17"/>
        <v>165.25760199999939</v>
      </c>
      <c r="T17" s="10">
        <f t="shared" si="17"/>
        <v>165.25760199999939</v>
      </c>
      <c r="U17" s="10">
        <f t="shared" si="17"/>
        <v>165.25760199999939</v>
      </c>
      <c r="V17" s="10">
        <f t="shared" si="17"/>
        <v>165.25760199999939</v>
      </c>
      <c r="W17" s="10">
        <f>V17*(1+$Y$21)</f>
        <v>163.6050259799994</v>
      </c>
      <c r="X17" s="10">
        <f t="shared" ref="X17:CI17" si="18">W17*(1+$Y$21)</f>
        <v>161.96897572019941</v>
      </c>
      <c r="Y17" s="10">
        <f t="shared" si="18"/>
        <v>160.34928596299741</v>
      </c>
      <c r="Z17" s="10">
        <f t="shared" si="18"/>
        <v>158.74579310336745</v>
      </c>
      <c r="AA17" s="10">
        <f t="shared" si="18"/>
        <v>157.15833517233378</v>
      </c>
      <c r="AB17" s="10">
        <f t="shared" si="18"/>
        <v>155.58675182061043</v>
      </c>
      <c r="AC17" s="10">
        <f t="shared" si="18"/>
        <v>154.03088430240433</v>
      </c>
      <c r="AD17" s="10">
        <f t="shared" si="18"/>
        <v>152.4905754593803</v>
      </c>
      <c r="AE17" s="10">
        <f t="shared" si="18"/>
        <v>150.96566970478648</v>
      </c>
      <c r="AF17" s="10">
        <f t="shared" si="18"/>
        <v>149.45601300773862</v>
      </c>
      <c r="AG17" s="10">
        <f t="shared" si="18"/>
        <v>147.96145287766123</v>
      </c>
      <c r="AH17" s="10">
        <f t="shared" si="18"/>
        <v>146.48183834888462</v>
      </c>
      <c r="AI17" s="10">
        <f t="shared" si="18"/>
        <v>145.01701996539578</v>
      </c>
      <c r="AJ17" s="10">
        <f t="shared" si="18"/>
        <v>143.56684976574181</v>
      </c>
      <c r="AK17" s="10">
        <f t="shared" si="18"/>
        <v>142.13118126808439</v>
      </c>
      <c r="AL17" s="10">
        <f t="shared" si="18"/>
        <v>140.70986945540355</v>
      </c>
      <c r="AM17" s="10">
        <f t="shared" si="18"/>
        <v>139.30277076084951</v>
      </c>
      <c r="AN17" s="10">
        <f t="shared" si="18"/>
        <v>137.90974305324102</v>
      </c>
      <c r="AO17" s="10">
        <f t="shared" si="18"/>
        <v>136.53064562270859</v>
      </c>
      <c r="AP17" s="10">
        <f t="shared" si="18"/>
        <v>135.16533916648152</v>
      </c>
      <c r="AQ17" s="10">
        <f t="shared" si="18"/>
        <v>133.81368577481669</v>
      </c>
      <c r="AR17" s="10">
        <f t="shared" si="18"/>
        <v>132.47554891706852</v>
      </c>
      <c r="AS17" s="10">
        <f t="shared" si="18"/>
        <v>131.15079342789784</v>
      </c>
      <c r="AT17" s="10">
        <f t="shared" si="18"/>
        <v>129.83928549361886</v>
      </c>
      <c r="AU17" s="10">
        <f t="shared" si="18"/>
        <v>128.54089263868266</v>
      </c>
      <c r="AV17" s="10">
        <f t="shared" si="18"/>
        <v>127.25548371229584</v>
      </c>
      <c r="AW17" s="10">
        <f t="shared" si="18"/>
        <v>125.98292887517289</v>
      </c>
      <c r="AX17" s="10">
        <f t="shared" si="18"/>
        <v>124.72309958642116</v>
      </c>
      <c r="AY17" s="10">
        <f t="shared" si="18"/>
        <v>123.47586859055694</v>
      </c>
      <c r="AZ17" s="10">
        <f t="shared" si="18"/>
        <v>122.24110990465137</v>
      </c>
      <c r="BA17" s="10">
        <f t="shared" si="18"/>
        <v>121.01869880560486</v>
      </c>
      <c r="BB17" s="10">
        <f t="shared" si="18"/>
        <v>119.8085118175488</v>
      </c>
      <c r="BC17" s="10">
        <f t="shared" si="18"/>
        <v>118.61042669937332</v>
      </c>
      <c r="BD17" s="10">
        <f t="shared" si="18"/>
        <v>117.42432243237958</v>
      </c>
      <c r="BE17" s="10">
        <f t="shared" si="18"/>
        <v>116.25007920805578</v>
      </c>
      <c r="BF17" s="10">
        <f t="shared" si="18"/>
        <v>115.08757841597522</v>
      </c>
      <c r="BG17" s="10">
        <f t="shared" si="18"/>
        <v>113.93670263181546</v>
      </c>
      <c r="BH17" s="10">
        <f t="shared" si="18"/>
        <v>112.79733560549731</v>
      </c>
      <c r="BI17" s="10">
        <f t="shared" si="18"/>
        <v>111.66936224944233</v>
      </c>
      <c r="BJ17" s="10">
        <f t="shared" si="18"/>
        <v>110.55266862694791</v>
      </c>
      <c r="BK17" s="10">
        <f t="shared" si="18"/>
        <v>109.44714194067842</v>
      </c>
      <c r="BL17" s="10">
        <f t="shared" si="18"/>
        <v>108.35267052127163</v>
      </c>
      <c r="BM17" s="10">
        <f t="shared" si="18"/>
        <v>107.26914381605891</v>
      </c>
      <c r="BN17" s="10">
        <f t="shared" si="18"/>
        <v>106.19645237789832</v>
      </c>
      <c r="BO17" s="10">
        <f t="shared" si="18"/>
        <v>105.13448785411934</v>
      </c>
      <c r="BP17" s="10">
        <f t="shared" si="18"/>
        <v>104.08314297557814</v>
      </c>
      <c r="BQ17" s="10">
        <f t="shared" si="18"/>
        <v>103.04231154582236</v>
      </c>
      <c r="BR17" s="10">
        <f t="shared" si="18"/>
        <v>102.01188843036414</v>
      </c>
      <c r="BS17" s="10">
        <f t="shared" si="18"/>
        <v>100.9917695460605</v>
      </c>
      <c r="BT17" s="10">
        <f t="shared" si="18"/>
        <v>99.981851850599895</v>
      </c>
      <c r="BU17" s="10">
        <f t="shared" si="18"/>
        <v>98.982033332093891</v>
      </c>
      <c r="BV17" s="10">
        <f t="shared" si="18"/>
        <v>97.992212998772956</v>
      </c>
      <c r="BW17" s="10">
        <f t="shared" si="18"/>
        <v>97.012290868785229</v>
      </c>
      <c r="BX17" s="10">
        <f t="shared" si="18"/>
        <v>96.042167960097373</v>
      </c>
      <c r="BY17" s="10">
        <f t="shared" si="18"/>
        <v>95.081746280496404</v>
      </c>
      <c r="BZ17" s="10">
        <f t="shared" si="18"/>
        <v>94.130928817691441</v>
      </c>
      <c r="CA17" s="10">
        <f t="shared" si="18"/>
        <v>93.18961952951453</v>
      </c>
      <c r="CB17" s="10">
        <f t="shared" si="18"/>
        <v>92.257723334219378</v>
      </c>
      <c r="CC17" s="10">
        <f t="shared" si="18"/>
        <v>91.335146100877182</v>
      </c>
      <c r="CD17" s="10">
        <f t="shared" si="18"/>
        <v>90.421794639868409</v>
      </c>
      <c r="CE17" s="10">
        <f t="shared" si="18"/>
        <v>89.517576693469721</v>
      </c>
      <c r="CF17" s="10">
        <f t="shared" si="18"/>
        <v>88.622400926535022</v>
      </c>
      <c r="CG17" s="10">
        <f t="shared" si="18"/>
        <v>87.736176917269674</v>
      </c>
      <c r="CH17" s="10">
        <f t="shared" si="18"/>
        <v>86.85881514809698</v>
      </c>
      <c r="CI17" s="10">
        <f t="shared" si="18"/>
        <v>85.990226996616016</v>
      </c>
      <c r="CJ17" s="10">
        <f t="shared" ref="CJ17:EU17" si="19">CI17*(1+$Y$21)</f>
        <v>85.13032472664986</v>
      </c>
      <c r="CK17" s="10">
        <f t="shared" si="19"/>
        <v>84.27902147938336</v>
      </c>
      <c r="CL17" s="10">
        <f t="shared" si="19"/>
        <v>83.436231264589523</v>
      </c>
      <c r="CM17" s="10">
        <f t="shared" si="19"/>
        <v>82.601868951943629</v>
      </c>
      <c r="CN17" s="10">
        <f t="shared" si="19"/>
        <v>81.775850262424186</v>
      </c>
      <c r="CO17" s="10">
        <f t="shared" si="19"/>
        <v>80.958091759799942</v>
      </c>
      <c r="CP17" s="10">
        <f t="shared" si="19"/>
        <v>80.148510842201944</v>
      </c>
      <c r="CQ17" s="10">
        <f t="shared" si="19"/>
        <v>79.34702573377993</v>
      </c>
      <c r="CR17" s="10">
        <f t="shared" si="19"/>
        <v>78.553555476442128</v>
      </c>
      <c r="CS17" s="10">
        <f t="shared" si="19"/>
        <v>77.768019921677705</v>
      </c>
      <c r="CT17" s="10">
        <f t="shared" si="19"/>
        <v>76.990339722460931</v>
      </c>
      <c r="CU17" s="10">
        <f t="shared" si="19"/>
        <v>76.220436325236321</v>
      </c>
      <c r="CV17" s="10">
        <f t="shared" si="19"/>
        <v>75.458231961983955</v>
      </c>
      <c r="CW17" s="10">
        <f t="shared" si="19"/>
        <v>74.703649642364113</v>
      </c>
      <c r="CX17" s="10">
        <f t="shared" si="19"/>
        <v>73.956613145940466</v>
      </c>
      <c r="CY17" s="10">
        <f t="shared" si="19"/>
        <v>73.217047014481054</v>
      </c>
      <c r="CZ17" s="10">
        <f t="shared" si="19"/>
        <v>72.484876544336245</v>
      </c>
      <c r="DA17" s="10">
        <f t="shared" si="19"/>
        <v>71.760027778892876</v>
      </c>
      <c r="DB17" s="10">
        <f t="shared" si="19"/>
        <v>71.042427501103944</v>
      </c>
      <c r="DC17" s="10">
        <f t="shared" si="19"/>
        <v>70.332003226092908</v>
      </c>
      <c r="DD17" s="10">
        <f t="shared" si="19"/>
        <v>69.628683193831975</v>
      </c>
      <c r="DE17" s="10">
        <f t="shared" si="19"/>
        <v>68.932396361893652</v>
      </c>
      <c r="DF17" s="10">
        <f t="shared" si="19"/>
        <v>68.24307239827472</v>
      </c>
      <c r="DG17" s="10">
        <f t="shared" si="19"/>
        <v>67.560641674291972</v>
      </c>
      <c r="DH17" s="10">
        <f t="shared" si="19"/>
        <v>66.885035257549049</v>
      </c>
      <c r="DI17" s="10">
        <f t="shared" si="19"/>
        <v>66.216184904973559</v>
      </c>
      <c r="DJ17" s="10">
        <f t="shared" si="19"/>
        <v>65.554023055923821</v>
      </c>
      <c r="DK17" s="10">
        <f t="shared" si="19"/>
        <v>64.898482825364582</v>
      </c>
      <c r="DL17" s="10">
        <f t="shared" si="19"/>
        <v>64.249497997110936</v>
      </c>
      <c r="DM17" s="10">
        <f t="shared" si="19"/>
        <v>63.607003017139824</v>
      </c>
      <c r="DN17" s="10">
        <f t="shared" si="19"/>
        <v>62.970932986968428</v>
      </c>
      <c r="DO17" s="10">
        <f t="shared" si="19"/>
        <v>62.341223657098745</v>
      </c>
      <c r="DP17" s="10">
        <f t="shared" si="19"/>
        <v>61.717811420527759</v>
      </c>
      <c r="DQ17" s="10">
        <f t="shared" si="19"/>
        <v>61.100633306322479</v>
      </c>
      <c r="DR17" s="10">
        <f t="shared" si="19"/>
        <v>60.489626973259256</v>
      </c>
      <c r="DS17" s="10">
        <f t="shared" si="19"/>
        <v>59.884730703526664</v>
      </c>
      <c r="DT17" s="10">
        <f t="shared" si="19"/>
        <v>59.2858833964914</v>
      </c>
      <c r="DU17" s="10">
        <f t="shared" si="19"/>
        <v>58.693024562526489</v>
      </c>
      <c r="DV17" s="10">
        <f t="shared" si="19"/>
        <v>58.106094316901221</v>
      </c>
      <c r="DW17" s="10">
        <f t="shared" si="19"/>
        <v>57.525033373732207</v>
      </c>
      <c r="DX17" s="10">
        <f t="shared" si="19"/>
        <v>56.949783039994884</v>
      </c>
      <c r="DY17" s="10">
        <f t="shared" si="19"/>
        <v>56.380285209594938</v>
      </c>
      <c r="DZ17" s="10">
        <f t="shared" si="19"/>
        <v>55.816482357498991</v>
      </c>
      <c r="EA17" s="10">
        <f t="shared" si="19"/>
        <v>55.258317533924</v>
      </c>
      <c r="EB17" s="10">
        <f t="shared" si="19"/>
        <v>54.705734358584756</v>
      </c>
      <c r="EC17" s="10">
        <f t="shared" si="19"/>
        <v>54.158677014998908</v>
      </c>
      <c r="ED17" s="10">
        <f t="shared" si="19"/>
        <v>53.617090244848917</v>
      </c>
      <c r="EE17" s="10">
        <f t="shared" si="19"/>
        <v>53.080919342400428</v>
      </c>
      <c r="EF17" s="10">
        <f t="shared" si="19"/>
        <v>52.550110148976422</v>
      </c>
      <c r="EG17" s="10">
        <f t="shared" si="19"/>
        <v>52.024609047486656</v>
      </c>
      <c r="EH17" s="10">
        <f t="shared" si="19"/>
        <v>51.504362957011786</v>
      </c>
      <c r="EI17" s="10">
        <f t="shared" si="19"/>
        <v>50.98931932744167</v>
      </c>
      <c r="EJ17" s="10">
        <f t="shared" si="19"/>
        <v>50.479426134167255</v>
      </c>
      <c r="EK17" s="10">
        <f t="shared" si="19"/>
        <v>49.974631872825583</v>
      </c>
      <c r="EL17" s="10">
        <f t="shared" si="19"/>
        <v>49.474885554097327</v>
      </c>
      <c r="EM17" s="10">
        <f t="shared" si="19"/>
        <v>48.98013669855635</v>
      </c>
      <c r="EN17" s="10">
        <f t="shared" si="19"/>
        <v>48.490335331570783</v>
      </c>
      <c r="EO17" s="10">
        <f t="shared" si="19"/>
        <v>48.005431978255075</v>
      </c>
      <c r="EP17" s="10">
        <f t="shared" si="19"/>
        <v>47.525377658472522</v>
      </c>
      <c r="EQ17" s="10">
        <f t="shared" si="19"/>
        <v>47.050123881887799</v>
      </c>
      <c r="ER17" s="10">
        <f t="shared" si="19"/>
        <v>46.579622643068923</v>
      </c>
      <c r="ES17" s="10">
        <f t="shared" si="19"/>
        <v>46.113826416638233</v>
      </c>
      <c r="ET17" s="10">
        <f t="shared" si="19"/>
        <v>45.652688152471853</v>
      </c>
      <c r="EU17" s="10">
        <f t="shared" si="19"/>
        <v>45.196161270947137</v>
      </c>
      <c r="EV17" s="10">
        <f t="shared" ref="EV17:HG17" si="20">EU17*(1+$Y$21)</f>
        <v>44.744199658237662</v>
      </c>
      <c r="EW17" s="10">
        <f t="shared" si="20"/>
        <v>44.296757661655285</v>
      </c>
      <c r="EX17" s="10">
        <f t="shared" si="20"/>
        <v>43.853790085038732</v>
      </c>
      <c r="EY17" s="10">
        <f t="shared" si="20"/>
        <v>43.415252184188347</v>
      </c>
      <c r="EZ17" s="10">
        <f t="shared" si="20"/>
        <v>42.981099662346466</v>
      </c>
      <c r="FA17" s="10">
        <f t="shared" si="20"/>
        <v>42.551288665723</v>
      </c>
      <c r="FB17" s="10">
        <f t="shared" si="20"/>
        <v>42.125775779065769</v>
      </c>
      <c r="FC17" s="10">
        <f t="shared" si="20"/>
        <v>41.704518021275113</v>
      </c>
      <c r="FD17" s="10">
        <f t="shared" si="20"/>
        <v>41.28747284106236</v>
      </c>
      <c r="FE17" s="10">
        <f t="shared" si="20"/>
        <v>40.874598112651739</v>
      </c>
      <c r="FF17" s="10">
        <f t="shared" si="20"/>
        <v>40.465852131525224</v>
      </c>
      <c r="FG17" s="10">
        <f t="shared" si="20"/>
        <v>40.061193610209969</v>
      </c>
      <c r="FH17" s="10">
        <f t="shared" si="20"/>
        <v>39.660581674107867</v>
      </c>
      <c r="FI17" s="10">
        <f t="shared" si="20"/>
        <v>39.263975857366788</v>
      </c>
      <c r="FJ17" s="10">
        <f t="shared" si="20"/>
        <v>38.871336098793122</v>
      </c>
      <c r="FK17" s="10">
        <f t="shared" si="20"/>
        <v>38.482622737805194</v>
      </c>
      <c r="FL17" s="10">
        <f t="shared" si="20"/>
        <v>38.097796510427145</v>
      </c>
      <c r="FM17" s="10">
        <f t="shared" si="20"/>
        <v>37.716818545322873</v>
      </c>
      <c r="FN17" s="10">
        <f t="shared" si="20"/>
        <v>37.339650359869644</v>
      </c>
      <c r="FO17" s="10">
        <f t="shared" si="20"/>
        <v>36.966253856270946</v>
      </c>
      <c r="FP17" s="10">
        <f t="shared" si="20"/>
        <v>36.596591317708238</v>
      </c>
      <c r="FQ17" s="10">
        <f t="shared" si="20"/>
        <v>36.230625404531153</v>
      </c>
      <c r="FR17" s="10">
        <f t="shared" si="20"/>
        <v>35.868319150485839</v>
      </c>
      <c r="FS17" s="10">
        <f t="shared" si="20"/>
        <v>35.509635958980979</v>
      </c>
      <c r="FT17" s="10">
        <f t="shared" si="20"/>
        <v>35.154539599391171</v>
      </c>
      <c r="FU17" s="10">
        <f t="shared" si="20"/>
        <v>34.802994203397262</v>
      </c>
      <c r="FV17" s="10">
        <f t="shared" si="20"/>
        <v>34.454964261363287</v>
      </c>
      <c r="FW17" s="10">
        <f t="shared" si="20"/>
        <v>34.110414618749651</v>
      </c>
      <c r="FX17" s="10">
        <f t="shared" si="20"/>
        <v>33.769310472562154</v>
      </c>
      <c r="FY17" s="10">
        <f t="shared" si="20"/>
        <v>33.43161736783653</v>
      </c>
      <c r="FZ17" s="10">
        <f t="shared" si="20"/>
        <v>33.097301194158163</v>
      </c>
      <c r="GA17" s="10">
        <f t="shared" si="20"/>
        <v>32.766328182216583</v>
      </c>
      <c r="GB17" s="10">
        <f t="shared" si="20"/>
        <v>32.438664900394414</v>
      </c>
      <c r="GC17" s="10">
        <f t="shared" si="20"/>
        <v>32.114278251390466</v>
      </c>
      <c r="GD17" s="10">
        <f t="shared" si="20"/>
        <v>31.79313546887656</v>
      </c>
      <c r="GE17" s="10">
        <f t="shared" si="20"/>
        <v>31.475204114187793</v>
      </c>
      <c r="GF17" s="10">
        <f t="shared" si="20"/>
        <v>31.160452073045914</v>
      </c>
      <c r="GG17" s="10">
        <f t="shared" si="20"/>
        <v>30.848847552315455</v>
      </c>
      <c r="GH17" s="10">
        <f t="shared" si="20"/>
        <v>30.540359076792299</v>
      </c>
      <c r="GI17" s="10">
        <f t="shared" si="20"/>
        <v>30.234955486024376</v>
      </c>
      <c r="GJ17" s="10">
        <f t="shared" si="20"/>
        <v>29.932605931164133</v>
      </c>
      <c r="GK17" s="10">
        <f t="shared" si="20"/>
        <v>29.633279871852491</v>
      </c>
      <c r="GL17" s="10">
        <f t="shared" si="20"/>
        <v>29.336947073133967</v>
      </c>
      <c r="GM17" s="10">
        <f t="shared" si="20"/>
        <v>29.043577602402628</v>
      </c>
      <c r="GN17" s="10">
        <f t="shared" si="20"/>
        <v>28.753141826378602</v>
      </c>
      <c r="GO17" s="10">
        <f t="shared" si="20"/>
        <v>28.465610408114816</v>
      </c>
      <c r="GP17" s="10">
        <f t="shared" si="20"/>
        <v>28.180954304033669</v>
      </c>
      <c r="GQ17" s="10">
        <f t="shared" si="20"/>
        <v>27.899144760993334</v>
      </c>
      <c r="GR17" s="10">
        <f t="shared" si="20"/>
        <v>27.620153313383401</v>
      </c>
      <c r="GS17" s="10">
        <f t="shared" si="20"/>
        <v>27.343951780249569</v>
      </c>
      <c r="GT17" s="10">
        <f t="shared" si="20"/>
        <v>27.070512262447071</v>
      </c>
      <c r="GU17" s="10">
        <f t="shared" si="20"/>
        <v>26.799807139822601</v>
      </c>
      <c r="GV17" s="10">
        <f t="shared" si="20"/>
        <v>26.531809068424376</v>
      </c>
      <c r="GW17" s="10">
        <f t="shared" si="20"/>
        <v>26.266490977740133</v>
      </c>
      <c r="GX17" s="10">
        <f t="shared" si="20"/>
        <v>26.003826067962731</v>
      </c>
      <c r="GY17" s="10">
        <f t="shared" si="20"/>
        <v>25.743787807283102</v>
      </c>
      <c r="GZ17" s="10">
        <f t="shared" si="20"/>
        <v>25.48634992921027</v>
      </c>
      <c r="HA17" s="10">
        <f t="shared" si="20"/>
        <v>25.231486429918167</v>
      </c>
      <c r="HB17" s="10">
        <f t="shared" si="20"/>
        <v>24.979171565618984</v>
      </c>
      <c r="HC17" s="10">
        <f t="shared" si="20"/>
        <v>24.729379849962793</v>
      </c>
      <c r="HD17" s="10">
        <f t="shared" si="20"/>
        <v>24.482086051463167</v>
      </c>
      <c r="HE17" s="10">
        <f t="shared" si="20"/>
        <v>24.237265190948534</v>
      </c>
      <c r="HF17" s="10">
        <f t="shared" si="20"/>
        <v>23.99489253903905</v>
      </c>
      <c r="HG17" s="10">
        <f t="shared" si="20"/>
        <v>23.75494361364866</v>
      </c>
      <c r="HH17" s="10">
        <f t="shared" ref="HH17:IC17" si="21">HG17*(1+$Y$21)</f>
        <v>23.517394177512173</v>
      </c>
      <c r="HI17" s="10">
        <f t="shared" si="21"/>
        <v>23.28222023573705</v>
      </c>
      <c r="HJ17" s="10">
        <f t="shared" si="21"/>
        <v>23.049398033379678</v>
      </c>
      <c r="HK17" s="10">
        <f t="shared" si="21"/>
        <v>22.81890405304588</v>
      </c>
      <c r="HL17" s="10">
        <f t="shared" si="21"/>
        <v>22.590715012515421</v>
      </c>
      <c r="HM17" s="10">
        <f t="shared" si="21"/>
        <v>22.364807862390265</v>
      </c>
      <c r="HN17" s="10">
        <f t="shared" si="21"/>
        <v>22.141159783766362</v>
      </c>
      <c r="HO17" s="10">
        <f t="shared" si="21"/>
        <v>21.919748185928697</v>
      </c>
      <c r="HP17" s="10">
        <f t="shared" si="21"/>
        <v>21.700550704069411</v>
      </c>
      <c r="HQ17" s="10">
        <f t="shared" si="21"/>
        <v>21.483545197028715</v>
      </c>
      <c r="HR17" s="10">
        <f t="shared" si="21"/>
        <v>21.268709745058427</v>
      </c>
      <c r="HS17" s="10">
        <f t="shared" si="21"/>
        <v>21.056022647607843</v>
      </c>
      <c r="HT17" s="10">
        <f t="shared" si="21"/>
        <v>20.845462421131764</v>
      </c>
      <c r="HU17" s="10">
        <f t="shared" si="21"/>
        <v>20.637007796920447</v>
      </c>
      <c r="HV17" s="10">
        <f t="shared" si="21"/>
        <v>20.430637718951242</v>
      </c>
      <c r="HW17" s="10">
        <f t="shared" si="21"/>
        <v>20.226331341761728</v>
      </c>
      <c r="HX17" s="10">
        <f t="shared" si="21"/>
        <v>20.024068028344111</v>
      </c>
      <c r="HY17" s="10">
        <f t="shared" si="21"/>
        <v>19.823827348060668</v>
      </c>
      <c r="HZ17" s="10">
        <f t="shared" si="21"/>
        <v>19.625589074580063</v>
      </c>
      <c r="IA17" s="10">
        <f t="shared" si="21"/>
        <v>19.429333183834263</v>
      </c>
      <c r="IB17" s="10">
        <f t="shared" si="21"/>
        <v>19.235039851995921</v>
      </c>
      <c r="IC17" s="10">
        <f t="shared" si="21"/>
        <v>19.042689453475962</v>
      </c>
    </row>
    <row r="18" spans="2:237" x14ac:dyDescent="0.25">
      <c r="C18" s="2" t="s">
        <v>38</v>
      </c>
      <c r="D18" s="8">
        <v>76.173114999999996</v>
      </c>
      <c r="E18" s="8">
        <v>77.226501999999996</v>
      </c>
      <c r="F18" s="8">
        <v>86.472611000000001</v>
      </c>
      <c r="G18" s="8">
        <v>88.647339000000002</v>
      </c>
      <c r="H18" s="8">
        <v>93.455077000000003</v>
      </c>
      <c r="I18" s="8">
        <v>113.118776</v>
      </c>
      <c r="J18" s="8">
        <v>215.741601</v>
      </c>
      <c r="K18" s="8">
        <v>386.50019300000002</v>
      </c>
      <c r="L18" s="23">
        <v>1351.8302180000001</v>
      </c>
      <c r="M18" s="5">
        <v>1351.8302180000001</v>
      </c>
      <c r="N18" s="23">
        <v>1351.8302180000001</v>
      </c>
      <c r="O18" s="23">
        <v>1351.8302180000001</v>
      </c>
      <c r="P18" s="23">
        <v>1351.8302180000001</v>
      </c>
      <c r="Q18" s="23">
        <v>1351.8302180000001</v>
      </c>
      <c r="R18" s="23">
        <v>1351.8302180000001</v>
      </c>
      <c r="S18" s="23">
        <v>1351.8302180000001</v>
      </c>
      <c r="T18" s="23">
        <v>1351.8302180000001</v>
      </c>
      <c r="U18" s="23">
        <v>1351.8302180000001</v>
      </c>
      <c r="V18" s="23">
        <v>1351.8302180000001</v>
      </c>
    </row>
    <row r="19" spans="2:237" x14ac:dyDescent="0.25">
      <c r="C19" s="2" t="s">
        <v>35</v>
      </c>
      <c r="D19" s="17">
        <f t="shared" ref="D19:I19" si="22">D17/D18</f>
        <v>3.1389027480365073</v>
      </c>
      <c r="E19" s="17">
        <f t="shared" si="22"/>
        <v>3.9520111891122478</v>
      </c>
      <c r="F19" s="17">
        <f t="shared" si="22"/>
        <v>4.1192233688884627</v>
      </c>
      <c r="G19" s="17">
        <f t="shared" si="22"/>
        <v>3.1281254815781843</v>
      </c>
      <c r="H19" s="17">
        <f t="shared" si="22"/>
        <v>3.8200171832291145</v>
      </c>
      <c r="I19" s="17">
        <f t="shared" si="22"/>
        <v>4.2221107484402225</v>
      </c>
      <c r="J19" s="17">
        <f>J17/J18</f>
        <v>0.80420280185090731</v>
      </c>
      <c r="K19" s="17">
        <f>K17/K18</f>
        <v>0.13738673605267374</v>
      </c>
      <c r="L19" s="17">
        <f t="shared" ref="L19:V19" si="23">L17/L18</f>
        <v>-1.6372022096638754</v>
      </c>
      <c r="M19" s="20">
        <f t="shared" si="23"/>
        <v>0.1222473057633628</v>
      </c>
      <c r="N19" s="17">
        <f t="shared" si="23"/>
        <v>0.1222473057633628</v>
      </c>
      <c r="O19" s="17">
        <f t="shared" si="23"/>
        <v>0.1222473057633628</v>
      </c>
      <c r="P19" s="17">
        <f t="shared" si="23"/>
        <v>0.1222473057633628</v>
      </c>
      <c r="Q19" s="17">
        <f t="shared" si="23"/>
        <v>0.1222473057633628</v>
      </c>
      <c r="R19" s="17">
        <f t="shared" si="23"/>
        <v>0.1222473057633628</v>
      </c>
      <c r="S19" s="17">
        <f t="shared" si="23"/>
        <v>0.1222473057633628</v>
      </c>
      <c r="T19" s="17">
        <f t="shared" si="23"/>
        <v>0.1222473057633628</v>
      </c>
      <c r="U19" s="17">
        <f t="shared" si="23"/>
        <v>0.1222473057633628</v>
      </c>
      <c r="V19" s="17">
        <f t="shared" si="23"/>
        <v>0.1222473057633628</v>
      </c>
    </row>
    <row r="20" spans="2:237" x14ac:dyDescent="0.25">
      <c r="C20" s="1"/>
      <c r="F20" s="16"/>
      <c r="G20" s="16"/>
      <c r="H20" s="16"/>
      <c r="I20" s="16"/>
      <c r="J20" s="16"/>
      <c r="K20" s="16"/>
      <c r="X20" s="2" t="s">
        <v>127</v>
      </c>
      <c r="Y20" s="24">
        <v>0.09</v>
      </c>
    </row>
    <row r="21" spans="2:237" x14ac:dyDescent="0.25">
      <c r="C21" s="1" t="s">
        <v>10</v>
      </c>
      <c r="D21" s="16"/>
      <c r="E21" s="16">
        <f t="shared" ref="E21:J21" si="24">(E4-D4)/D4</f>
        <v>0.10684274999462715</v>
      </c>
      <c r="F21" s="16">
        <f t="shared" si="24"/>
        <v>0.21699917479734002</v>
      </c>
      <c r="G21" s="16">
        <f t="shared" si="24"/>
        <v>5.2625700997949762E-2</v>
      </c>
      <c r="H21" s="16">
        <f t="shared" si="24"/>
        <v>0.1388817315124968</v>
      </c>
      <c r="I21" s="16">
        <f t="shared" si="24"/>
        <v>0.57046180463135487</v>
      </c>
      <c r="J21" s="16">
        <f t="shared" si="24"/>
        <v>-1.0126732455118853E-3</v>
      </c>
      <c r="K21" s="16">
        <f>(K4-J4)/J4</f>
        <v>-8.886626797302459E-2</v>
      </c>
      <c r="L21" s="16">
        <f t="shared" ref="L21:V21" si="25">(L4-K4)/K4</f>
        <v>-3.9093558267929096E-2</v>
      </c>
      <c r="M21" s="21">
        <f t="shared" si="25"/>
        <v>0</v>
      </c>
      <c r="N21" s="16">
        <f t="shared" si="25"/>
        <v>0</v>
      </c>
      <c r="O21" s="16">
        <f t="shared" si="25"/>
        <v>0</v>
      </c>
      <c r="P21" s="16">
        <f t="shared" si="25"/>
        <v>0</v>
      </c>
      <c r="Q21" s="16">
        <f t="shared" si="25"/>
        <v>0</v>
      </c>
      <c r="R21" s="16">
        <f t="shared" si="25"/>
        <v>0</v>
      </c>
      <c r="S21" s="16">
        <f t="shared" si="25"/>
        <v>0</v>
      </c>
      <c r="T21" s="16">
        <f t="shared" si="25"/>
        <v>0</v>
      </c>
      <c r="U21" s="16">
        <f t="shared" si="25"/>
        <v>0</v>
      </c>
      <c r="V21" s="16">
        <f t="shared" si="25"/>
        <v>0</v>
      </c>
      <c r="X21" s="2" t="s">
        <v>128</v>
      </c>
      <c r="Y21" s="24">
        <v>-0.01</v>
      </c>
    </row>
    <row r="22" spans="2:237" x14ac:dyDescent="0.25">
      <c r="C22" s="2" t="s">
        <v>36</v>
      </c>
      <c r="D22" s="18">
        <f t="shared" ref="D22:V22" si="26">D6/D4</f>
        <v>0.14823451032644913</v>
      </c>
      <c r="E22" s="18">
        <f t="shared" si="26"/>
        <v>0.15890490752876066</v>
      </c>
      <c r="F22" s="18">
        <f t="shared" si="26"/>
        <v>0.16667597341991283</v>
      </c>
      <c r="G22" s="18">
        <f t="shared" si="26"/>
        <v>0.15485699561968563</v>
      </c>
      <c r="H22" s="18">
        <f t="shared" si="26"/>
        <v>0.16522491349480969</v>
      </c>
      <c r="I22" s="18">
        <f t="shared" si="26"/>
        <v>0.1465028876017441</v>
      </c>
      <c r="J22" s="18">
        <f t="shared" si="26"/>
        <v>0.14455613521652461</v>
      </c>
      <c r="K22" s="18">
        <f t="shared" si="26"/>
        <v>0.14936364736660795</v>
      </c>
      <c r="L22" s="18">
        <f t="shared" si="26"/>
        <v>0.13500000000000009</v>
      </c>
      <c r="M22" s="22">
        <f t="shared" si="26"/>
        <v>0.12999999999999995</v>
      </c>
      <c r="N22" s="18">
        <f t="shared" si="26"/>
        <v>0.12999999999999995</v>
      </c>
      <c r="O22" s="18">
        <f t="shared" si="26"/>
        <v>0.12999999999999995</v>
      </c>
      <c r="P22" s="18">
        <f t="shared" si="26"/>
        <v>0.12999999999999995</v>
      </c>
      <c r="Q22" s="18">
        <f t="shared" si="26"/>
        <v>0.12999999999999995</v>
      </c>
      <c r="R22" s="18">
        <f t="shared" si="26"/>
        <v>0.12999999999999995</v>
      </c>
      <c r="S22" s="18">
        <f t="shared" si="26"/>
        <v>0.12999999999999995</v>
      </c>
      <c r="T22" s="18">
        <f t="shared" si="26"/>
        <v>0.12999999999999995</v>
      </c>
      <c r="U22" s="18">
        <f t="shared" si="26"/>
        <v>0.12999999999999995</v>
      </c>
      <c r="V22" s="18">
        <f t="shared" si="26"/>
        <v>0.12999999999999995</v>
      </c>
      <c r="X22" s="25" t="s">
        <v>129</v>
      </c>
      <c r="Y22" s="26">
        <f>NPV(Y20,M17:IC17)</f>
        <v>1751.6520317992256</v>
      </c>
    </row>
    <row r="23" spans="2:237" x14ac:dyDescent="0.25">
      <c r="C23" s="2" t="s">
        <v>11</v>
      </c>
      <c r="D23" s="18">
        <f t="shared" ref="D23:V23" si="27">D12/D4</f>
        <v>3.7555608089230932E-2</v>
      </c>
      <c r="E23" s="18">
        <f t="shared" si="27"/>
        <v>4.3085287121984304E-2</v>
      </c>
      <c r="F23" s="18">
        <f t="shared" si="27"/>
        <v>3.9016568679850462E-2</v>
      </c>
      <c r="G23" s="18">
        <f t="shared" si="27"/>
        <v>2.9343559119086919E-2</v>
      </c>
      <c r="H23" s="18">
        <f t="shared" si="27"/>
        <v>3.8348416289592756E-2</v>
      </c>
      <c r="I23" s="18">
        <f t="shared" si="27"/>
        <v>3.2117419250960851E-2</v>
      </c>
      <c r="J23" s="18">
        <f t="shared" si="27"/>
        <v>1.9769266658183845E-2</v>
      </c>
      <c r="K23" s="18">
        <f t="shared" si="27"/>
        <v>1.5478218771238839E-2</v>
      </c>
      <c r="L23" s="18">
        <f t="shared" si="27"/>
        <v>-0.12544472434841575</v>
      </c>
      <c r="M23" s="22">
        <f t="shared" si="27"/>
        <v>1.0082986144753378E-2</v>
      </c>
      <c r="N23" s="18">
        <f t="shared" si="27"/>
        <v>1.0082986144753378E-2</v>
      </c>
      <c r="O23" s="18">
        <f t="shared" si="27"/>
        <v>1.0082986144753378E-2</v>
      </c>
      <c r="P23" s="18">
        <f t="shared" si="27"/>
        <v>1.0082986144753378E-2</v>
      </c>
      <c r="Q23" s="18">
        <f t="shared" si="27"/>
        <v>1.0082986144753378E-2</v>
      </c>
      <c r="R23" s="18">
        <f t="shared" si="27"/>
        <v>1.0082986144753378E-2</v>
      </c>
      <c r="S23" s="18">
        <f t="shared" si="27"/>
        <v>1.0082986144753378E-2</v>
      </c>
      <c r="T23" s="18">
        <f t="shared" si="27"/>
        <v>1.0082986144753378E-2</v>
      </c>
      <c r="U23" s="18">
        <f t="shared" si="27"/>
        <v>1.0082986144753378E-2</v>
      </c>
      <c r="V23" s="18">
        <f t="shared" si="27"/>
        <v>1.0082986144753378E-2</v>
      </c>
      <c r="X23" s="2" t="s">
        <v>2</v>
      </c>
      <c r="Y23" s="8">
        <v>1351.8302180000001</v>
      </c>
    </row>
    <row r="24" spans="2:237" x14ac:dyDescent="0.25">
      <c r="C24" s="2" t="s">
        <v>37</v>
      </c>
      <c r="D24" s="18">
        <v>0.161</v>
      </c>
      <c r="E24" s="18">
        <v>0.185</v>
      </c>
      <c r="F24" s="18">
        <v>0.14499999999999999</v>
      </c>
      <c r="G24" s="18">
        <v>0.14499999999999999</v>
      </c>
      <c r="H24" s="18">
        <v>7.5999999999999998E-2</v>
      </c>
      <c r="I24" s="18">
        <v>9.4E-2</v>
      </c>
      <c r="J24" s="18">
        <v>3.2000000000000001E-2</v>
      </c>
      <c r="K24" s="18">
        <v>8.0000000000000002E-3</v>
      </c>
      <c r="L24" s="18"/>
      <c r="X24" s="2" t="s">
        <v>130</v>
      </c>
      <c r="Y24" s="19">
        <f>Y22/Y23</f>
        <v>1.2957633351255842</v>
      </c>
    </row>
    <row r="25" spans="2:237" s="25" customFormat="1" x14ac:dyDescent="0.25">
      <c r="B25" s="29"/>
      <c r="M25" s="29"/>
      <c r="X25" s="30" t="s">
        <v>131</v>
      </c>
      <c r="Y25" s="31">
        <f>(Y24-Modell!B4)/Modell!B4</f>
        <v>-0.22871230052048558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Land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(Student) Hodt, August</cp:lastModifiedBy>
  <dcterms:created xsi:type="dcterms:W3CDTF">2025-02-09T20:32:11Z</dcterms:created>
  <dcterms:modified xsi:type="dcterms:W3CDTF">2026-05-28T17:07:58Z</dcterms:modified>
</cp:coreProperties>
</file>