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9BE9EA2F-CE67-B14F-B139-2F5FD3A4076D}" xr6:coauthVersionLast="47" xr6:coauthVersionMax="47" xr10:uidLastSave="{00000000-0000-0000-0000-000000000000}"/>
  <bookViews>
    <workbookView xWindow="25380" yWindow="500" windowWidth="25060" windowHeight="26500" activeTab="1" xr2:uid="{5AE0DF26-B7DD-1242-A60E-253C73A930AF}"/>
  </bookViews>
  <sheets>
    <sheet name="Info" sheetId="1" r:id="rId1"/>
    <sheet name="Modell" sheetId="2" r:id="rId2"/>
    <sheet name="Segementer" sheetId="4" r:id="rId3"/>
    <sheet name="Market area" sheetId="7" r:id="rId4"/>
    <sheet name="SOTP" sheetId="6" r:id="rId5"/>
    <sheet name="Nøkkeltall" sheetId="3" r:id="rId6"/>
    <sheet name="Nedsideberegning" sheetId="5" r:id="rId7"/>
  </sheets>
  <definedNames>
    <definedName name="_xlchart.v1.0" hidden="1">SOTP!$C$6:$C$15</definedName>
    <definedName name="_xlchart.v1.1" hidden="1">SOTP!$G$6:$G$15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2" l="1"/>
  <c r="AG10" i="2"/>
  <c r="AG11" i="2"/>
  <c r="AG8" i="2"/>
  <c r="D10" i="6"/>
  <c r="AF8" i="2"/>
  <c r="AG6" i="2"/>
  <c r="AH6" i="2"/>
  <c r="AF6" i="2"/>
  <c r="AF9" i="2"/>
  <c r="AF10" i="2"/>
  <c r="AF11" i="2"/>
  <c r="P36" i="2"/>
  <c r="Q36" i="2"/>
  <c r="R36" i="2"/>
  <c r="S36" i="2"/>
  <c r="T36" i="2"/>
  <c r="U36" i="2"/>
  <c r="T34" i="2"/>
  <c r="U34" i="2"/>
  <c r="O31" i="2"/>
  <c r="N31" i="2"/>
  <c r="M31" i="2"/>
  <c r="L31" i="2"/>
  <c r="S31" i="2"/>
  <c r="R31" i="2"/>
  <c r="B7" i="2"/>
  <c r="T8" i="1" s="1"/>
  <c r="Q31" i="2"/>
  <c r="E9" i="7"/>
  <c r="J9" i="7"/>
  <c r="E7" i="7"/>
  <c r="J7" i="7"/>
  <c r="U31" i="2"/>
  <c r="B8" i="2"/>
  <c r="Q86" i="2"/>
  <c r="U103" i="2"/>
  <c r="U104" i="2" s="1"/>
  <c r="U94" i="2"/>
  <c r="U86" i="2"/>
  <c r="U53" i="2"/>
  <c r="U96" i="2"/>
  <c r="U89" i="2"/>
  <c r="U110" i="2" s="1"/>
  <c r="U72" i="2"/>
  <c r="U60" i="2"/>
  <c r="U22" i="2"/>
  <c r="U7" i="2"/>
  <c r="U23" i="2" s="1"/>
  <c r="T7" i="1" l="1"/>
  <c r="U108" i="2"/>
  <c r="U73" i="2"/>
  <c r="U12" i="2"/>
  <c r="U27" i="2" s="1"/>
  <c r="U28" i="2" s="1"/>
  <c r="U24" i="2" l="1"/>
  <c r="U16" i="2"/>
  <c r="U18" i="2" s="1"/>
  <c r="U20" i="2" l="1"/>
  <c r="U76" i="2"/>
  <c r="AF4" i="2" l="1"/>
  <c r="D3" i="6"/>
  <c r="AH8" i="2"/>
  <c r="AH11" i="2"/>
  <c r="M7" i="7"/>
  <c r="M8" i="7" s="1"/>
  <c r="M9" i="7"/>
  <c r="M10" i="7" s="1"/>
  <c r="M5" i="7"/>
  <c r="M6" i="7" s="1"/>
  <c r="L8" i="7"/>
  <c r="L6" i="7"/>
  <c r="K6" i="7"/>
  <c r="J6" i="7"/>
  <c r="K8" i="7"/>
  <c r="J8" i="7"/>
  <c r="L10" i="7"/>
  <c r="K10" i="7"/>
  <c r="J10" i="7"/>
  <c r="H10" i="7"/>
  <c r="H8" i="7"/>
  <c r="H6" i="7"/>
  <c r="I10" i="7"/>
  <c r="I8" i="7"/>
  <c r="I6" i="7"/>
  <c r="G9" i="6"/>
  <c r="P31" i="2"/>
  <c r="T31" i="2"/>
  <c r="T104" i="2"/>
  <c r="T96" i="2"/>
  <c r="T89" i="2"/>
  <c r="T110" i="2" s="1"/>
  <c r="T72" i="2"/>
  <c r="T60" i="2"/>
  <c r="T53" i="2"/>
  <c r="T22" i="2"/>
  <c r="T7" i="2"/>
  <c r="T23" i="2" s="1"/>
  <c r="F24" i="5"/>
  <c r="F23" i="5"/>
  <c r="E23" i="5"/>
  <c r="D23" i="5"/>
  <c r="I22" i="5"/>
  <c r="H22" i="5"/>
  <c r="G22" i="5"/>
  <c r="F22" i="5"/>
  <c r="E22" i="5"/>
  <c r="F16" i="5"/>
  <c r="F18" i="5" s="1"/>
  <c r="F20" i="5" s="1"/>
  <c r="J14" i="5"/>
  <c r="K14" i="5" s="1"/>
  <c r="L14" i="5" s="1"/>
  <c r="M14" i="5" s="1"/>
  <c r="N14" i="5" s="1"/>
  <c r="O14" i="5" s="1"/>
  <c r="P14" i="5" s="1"/>
  <c r="Q14" i="5" s="1"/>
  <c r="R14" i="5" s="1"/>
  <c r="S14" i="5" s="1"/>
  <c r="J13" i="5"/>
  <c r="K13" i="5" s="1"/>
  <c r="L13" i="5" s="1"/>
  <c r="M13" i="5" s="1"/>
  <c r="N13" i="5" s="1"/>
  <c r="O13" i="5" s="1"/>
  <c r="P13" i="5" s="1"/>
  <c r="Q13" i="5" s="1"/>
  <c r="R13" i="5" s="1"/>
  <c r="S13" i="5" s="1"/>
  <c r="I12" i="5"/>
  <c r="I24" i="5" s="1"/>
  <c r="F12" i="5"/>
  <c r="J10" i="5"/>
  <c r="K10" i="5" s="1"/>
  <c r="L10" i="5" s="1"/>
  <c r="M10" i="5" s="1"/>
  <c r="N10" i="5" s="1"/>
  <c r="O10" i="5" s="1"/>
  <c r="P10" i="5" s="1"/>
  <c r="Q10" i="5" s="1"/>
  <c r="R10" i="5" s="1"/>
  <c r="S10" i="5" s="1"/>
  <c r="K9" i="5"/>
  <c r="L9" i="5" s="1"/>
  <c r="M9" i="5" s="1"/>
  <c r="N9" i="5" s="1"/>
  <c r="O9" i="5" s="1"/>
  <c r="P9" i="5" s="1"/>
  <c r="Q9" i="5" s="1"/>
  <c r="R9" i="5" s="1"/>
  <c r="S9" i="5" s="1"/>
  <c r="J9" i="5"/>
  <c r="J8" i="5"/>
  <c r="K8" i="5" s="1"/>
  <c r="L8" i="5" s="1"/>
  <c r="M8" i="5" s="1"/>
  <c r="N8" i="5" s="1"/>
  <c r="O8" i="5" s="1"/>
  <c r="P8" i="5" s="1"/>
  <c r="Q8" i="5" s="1"/>
  <c r="R8" i="5" s="1"/>
  <c r="S8" i="5" s="1"/>
  <c r="I7" i="5"/>
  <c r="I23" i="5" s="1"/>
  <c r="H7" i="5"/>
  <c r="H12" i="5" s="1"/>
  <c r="G7" i="5"/>
  <c r="G12" i="5" s="1"/>
  <c r="F7" i="5"/>
  <c r="E7" i="5"/>
  <c r="E12" i="5" s="1"/>
  <c r="D7" i="5"/>
  <c r="D12" i="5" s="1"/>
  <c r="J4" i="5"/>
  <c r="J22" i="5" s="1"/>
  <c r="AA7" i="4"/>
  <c r="F9" i="6"/>
  <c r="F8" i="6"/>
  <c r="G8" i="6" s="1"/>
  <c r="F6" i="6"/>
  <c r="G6" i="6" s="1"/>
  <c r="F7" i="6"/>
  <c r="G7" i="6" s="1"/>
  <c r="AF7" i="2" l="1"/>
  <c r="AF23" i="2" s="1"/>
  <c r="AG4" i="2"/>
  <c r="T108" i="2"/>
  <c r="T73" i="2"/>
  <c r="T12" i="2"/>
  <c r="T27" i="2" s="1"/>
  <c r="U29" i="2" s="1"/>
  <c r="D16" i="5"/>
  <c r="D18" i="5" s="1"/>
  <c r="D20" i="5" s="1"/>
  <c r="D24" i="5"/>
  <c r="E24" i="5"/>
  <c r="E16" i="5"/>
  <c r="E18" i="5" s="1"/>
  <c r="E20" i="5" s="1"/>
  <c r="G16" i="5"/>
  <c r="G18" i="5" s="1"/>
  <c r="G20" i="5" s="1"/>
  <c r="G24" i="5"/>
  <c r="H24" i="5"/>
  <c r="H16" i="5"/>
  <c r="H18" i="5" s="1"/>
  <c r="H20" i="5" s="1"/>
  <c r="K4" i="5"/>
  <c r="J6" i="5"/>
  <c r="J7" i="5"/>
  <c r="G23" i="5"/>
  <c r="I16" i="5"/>
  <c r="I18" i="5" s="1"/>
  <c r="I20" i="5" s="1"/>
  <c r="H23" i="5"/>
  <c r="AF14" i="2"/>
  <c r="AG14" i="2" s="1"/>
  <c r="AH14" i="2" s="1"/>
  <c r="AI14" i="2" s="1"/>
  <c r="AJ14" i="2" s="1"/>
  <c r="AK14" i="2" s="1"/>
  <c r="AL14" i="2" s="1"/>
  <c r="AM14" i="2" s="1"/>
  <c r="AN14" i="2" s="1"/>
  <c r="AO14" i="2" s="1"/>
  <c r="AF13" i="2"/>
  <c r="AG13" i="2" s="1"/>
  <c r="AH13" i="2" s="1"/>
  <c r="AI13" i="2" s="1"/>
  <c r="AJ13" i="2" s="1"/>
  <c r="AK13" i="2" s="1"/>
  <c r="AL13" i="2" s="1"/>
  <c r="AM13" i="2" s="1"/>
  <c r="AN13" i="2" s="1"/>
  <c r="AO13" i="2" s="1"/>
  <c r="AI8" i="2"/>
  <c r="AJ8" i="2" s="1"/>
  <c r="AK8" i="2" s="1"/>
  <c r="AL8" i="2" s="1"/>
  <c r="AM8" i="2" s="1"/>
  <c r="AN8" i="2" s="1"/>
  <c r="AO8" i="2" s="1"/>
  <c r="AH9" i="2" l="1"/>
  <c r="AI9" i="2" s="1"/>
  <c r="AJ9" i="2" s="1"/>
  <c r="AK9" i="2" s="1"/>
  <c r="AL9" i="2" s="1"/>
  <c r="AM9" i="2" s="1"/>
  <c r="AN9" i="2" s="1"/>
  <c r="AO9" i="2" s="1"/>
  <c r="AH10" i="2"/>
  <c r="AI10" i="2" s="1"/>
  <c r="AJ10" i="2" s="1"/>
  <c r="AK10" i="2" s="1"/>
  <c r="AL10" i="2" s="1"/>
  <c r="AM10" i="2" s="1"/>
  <c r="AN10" i="2" s="1"/>
  <c r="AO10" i="2" s="1"/>
  <c r="T29" i="2"/>
  <c r="T28" i="2"/>
  <c r="T16" i="2"/>
  <c r="T18" i="2" s="1"/>
  <c r="T24" i="2"/>
  <c r="J23" i="5"/>
  <c r="J12" i="5"/>
  <c r="K22" i="5"/>
  <c r="K6" i="5"/>
  <c r="K7" i="5" s="1"/>
  <c r="L4" i="5"/>
  <c r="AG22" i="2"/>
  <c r="AA27" i="4"/>
  <c r="AA25" i="4"/>
  <c r="AA23" i="4"/>
  <c r="Z27" i="4"/>
  <c r="Y27" i="4"/>
  <c r="X27" i="4"/>
  <c r="W27" i="4"/>
  <c r="Z25" i="4"/>
  <c r="Y25" i="4"/>
  <c r="X25" i="4"/>
  <c r="W25" i="4"/>
  <c r="Z23" i="4"/>
  <c r="Y23" i="4"/>
  <c r="X23" i="4"/>
  <c r="W23" i="4"/>
  <c r="U27" i="4"/>
  <c r="T27" i="4"/>
  <c r="S27" i="4"/>
  <c r="R27" i="4"/>
  <c r="U25" i="4"/>
  <c r="T25" i="4"/>
  <c r="S25" i="4"/>
  <c r="R25" i="4"/>
  <c r="U23" i="4"/>
  <c r="T23" i="4"/>
  <c r="S23" i="4"/>
  <c r="R23" i="4"/>
  <c r="P27" i="4"/>
  <c r="O27" i="4"/>
  <c r="N27" i="4"/>
  <c r="M27" i="4"/>
  <c r="P25" i="4"/>
  <c r="O25" i="4"/>
  <c r="N25" i="4"/>
  <c r="M25" i="4"/>
  <c r="P23" i="4"/>
  <c r="O23" i="4"/>
  <c r="N23" i="4"/>
  <c r="M23" i="4"/>
  <c r="K27" i="4"/>
  <c r="J27" i="4"/>
  <c r="I27" i="4"/>
  <c r="H27" i="4"/>
  <c r="K25" i="4"/>
  <c r="J25" i="4"/>
  <c r="I25" i="4"/>
  <c r="H25" i="4"/>
  <c r="K23" i="4"/>
  <c r="J23" i="4"/>
  <c r="I23" i="4"/>
  <c r="H23" i="4"/>
  <c r="N10" i="4"/>
  <c r="K14" i="4"/>
  <c r="J14" i="4"/>
  <c r="I14" i="4"/>
  <c r="H14" i="4"/>
  <c r="K12" i="4"/>
  <c r="J12" i="4"/>
  <c r="I12" i="4"/>
  <c r="H12" i="4"/>
  <c r="K10" i="4"/>
  <c r="J10" i="4"/>
  <c r="I10" i="4"/>
  <c r="H10" i="4"/>
  <c r="P14" i="4"/>
  <c r="O14" i="4"/>
  <c r="N14" i="4"/>
  <c r="M14" i="4"/>
  <c r="P12" i="4"/>
  <c r="O12" i="4"/>
  <c r="N12" i="4"/>
  <c r="M12" i="4"/>
  <c r="P10" i="4"/>
  <c r="O10" i="4"/>
  <c r="M10" i="4"/>
  <c r="U14" i="4"/>
  <c r="T14" i="4"/>
  <c r="S14" i="4"/>
  <c r="R14" i="4"/>
  <c r="U12" i="4"/>
  <c r="T12" i="4"/>
  <c r="S12" i="4"/>
  <c r="R12" i="4"/>
  <c r="U10" i="4"/>
  <c r="T10" i="4"/>
  <c r="S10" i="4"/>
  <c r="R10" i="4"/>
  <c r="AA14" i="4"/>
  <c r="Z14" i="4"/>
  <c r="Y14" i="4"/>
  <c r="X14" i="4"/>
  <c r="W14" i="4"/>
  <c r="AA12" i="4"/>
  <c r="Z12" i="4"/>
  <c r="Y12" i="4"/>
  <c r="X12" i="4"/>
  <c r="W12" i="4"/>
  <c r="AA10" i="4"/>
  <c r="Z10" i="4"/>
  <c r="Y10" i="4"/>
  <c r="X10" i="4"/>
  <c r="W10" i="4"/>
  <c r="V23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V27" i="4"/>
  <c r="V25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V14" i="4"/>
  <c r="V12" i="4"/>
  <c r="V10" i="4"/>
  <c r="AA18" i="4"/>
  <c r="Z18" i="4"/>
  <c r="Y18" i="4"/>
  <c r="X18" i="4"/>
  <c r="W18" i="4"/>
  <c r="AA16" i="4"/>
  <c r="Z16" i="4"/>
  <c r="Y16" i="4"/>
  <c r="X16" i="4"/>
  <c r="W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V18" i="4"/>
  <c r="V16" i="4"/>
  <c r="AA8" i="4"/>
  <c r="U8" i="4"/>
  <c r="T8" i="4"/>
  <c r="S8" i="4"/>
  <c r="R8" i="4"/>
  <c r="Q8" i="4"/>
  <c r="P8" i="4"/>
  <c r="O8" i="4"/>
  <c r="N8" i="4"/>
  <c r="M8" i="4"/>
  <c r="L8" i="4"/>
  <c r="K8" i="4"/>
  <c r="J8" i="4"/>
  <c r="I8" i="4"/>
  <c r="Z8" i="4"/>
  <c r="Y8" i="4"/>
  <c r="X8" i="4"/>
  <c r="W8" i="4"/>
  <c r="V8" i="4"/>
  <c r="AF12" i="2"/>
  <c r="AD31" i="2"/>
  <c r="AC31" i="2"/>
  <c r="AE30" i="2"/>
  <c r="AE31" i="2" s="1"/>
  <c r="AC28" i="2"/>
  <c r="AD28" i="2"/>
  <c r="AE28" i="2"/>
  <c r="C36" i="1"/>
  <c r="C35" i="1"/>
  <c r="C34" i="1"/>
  <c r="C33" i="1"/>
  <c r="B37" i="1"/>
  <c r="C37" i="1" s="1"/>
  <c r="S53" i="2"/>
  <c r="S72" i="2"/>
  <c r="S60" i="2"/>
  <c r="AE104" i="2"/>
  <c r="AD104" i="2"/>
  <c r="AC104" i="2"/>
  <c r="AB104" i="2"/>
  <c r="AA104" i="2"/>
  <c r="Z104" i="2"/>
  <c r="AE96" i="2"/>
  <c r="AD96" i="2"/>
  <c r="AC96" i="2"/>
  <c r="AB96" i="2"/>
  <c r="AA96" i="2"/>
  <c r="Z96" i="2"/>
  <c r="AE89" i="2"/>
  <c r="AE110" i="2" s="1"/>
  <c r="AD89" i="2"/>
  <c r="AD110" i="2" s="1"/>
  <c r="AC89" i="2"/>
  <c r="AC110" i="2" s="1"/>
  <c r="AB89" i="2"/>
  <c r="AB110" i="2" s="1"/>
  <c r="AA89" i="2"/>
  <c r="AA110" i="2" s="1"/>
  <c r="Z89" i="2"/>
  <c r="Z110" i="2" s="1"/>
  <c r="AE72" i="2"/>
  <c r="AD72" i="2"/>
  <c r="AC72" i="2"/>
  <c r="AB72" i="2"/>
  <c r="AA72" i="2"/>
  <c r="Z72" i="2"/>
  <c r="AE60" i="2"/>
  <c r="AD60" i="2"/>
  <c r="AC60" i="2"/>
  <c r="AB60" i="2"/>
  <c r="AA60" i="2"/>
  <c r="Z60" i="2"/>
  <c r="AE53" i="2"/>
  <c r="AD53" i="2"/>
  <c r="AC53" i="2"/>
  <c r="AB53" i="2"/>
  <c r="AA53" i="2"/>
  <c r="Z53" i="2"/>
  <c r="AF22" i="2"/>
  <c r="AE22" i="2"/>
  <c r="AD22" i="2"/>
  <c r="AC22" i="2"/>
  <c r="AB22" i="2"/>
  <c r="AA22" i="2"/>
  <c r="R22" i="2"/>
  <c r="Q22" i="2"/>
  <c r="P22" i="2"/>
  <c r="O22" i="2"/>
  <c r="N22" i="2"/>
  <c r="M22" i="2"/>
  <c r="L22" i="2"/>
  <c r="K22" i="2"/>
  <c r="J22" i="2"/>
  <c r="I22" i="2"/>
  <c r="H22" i="2"/>
  <c r="S22" i="2"/>
  <c r="AE7" i="2"/>
  <c r="AE12" i="2" s="1"/>
  <c r="AE16" i="2" s="1"/>
  <c r="AE18" i="2" s="1"/>
  <c r="AE20" i="2" s="1"/>
  <c r="AD7" i="2"/>
  <c r="AD12" i="2" s="1"/>
  <c r="AD16" i="2" s="1"/>
  <c r="AD18" i="2" s="1"/>
  <c r="AD20" i="2" s="1"/>
  <c r="AC7" i="2"/>
  <c r="AC12" i="2" s="1"/>
  <c r="AC16" i="2" s="1"/>
  <c r="AC18" i="2" s="1"/>
  <c r="AC76" i="2" s="1"/>
  <c r="AB7" i="2"/>
  <c r="AB12" i="2" s="1"/>
  <c r="AB16" i="2" s="1"/>
  <c r="AB18" i="2" s="1"/>
  <c r="AB20" i="2" s="1"/>
  <c r="AA7" i="2"/>
  <c r="AA12" i="2" s="1"/>
  <c r="AA16" i="2" s="1"/>
  <c r="AA18" i="2" s="1"/>
  <c r="Z7" i="2"/>
  <c r="Z12" i="2" s="1"/>
  <c r="Z16" i="2" s="1"/>
  <c r="Z18" i="2" s="1"/>
  <c r="Z76" i="2" s="1"/>
  <c r="R23" i="2"/>
  <c r="Q7" i="2"/>
  <c r="Q23" i="2" s="1"/>
  <c r="P7" i="2"/>
  <c r="P12" i="2" s="1"/>
  <c r="P27" i="2" s="1"/>
  <c r="P28" i="2" s="1"/>
  <c r="O23" i="2"/>
  <c r="N23" i="2"/>
  <c r="M23" i="2"/>
  <c r="L23" i="2"/>
  <c r="K12" i="2"/>
  <c r="J23" i="2"/>
  <c r="I23" i="2"/>
  <c r="H12" i="2"/>
  <c r="G23" i="2"/>
  <c r="F12" i="2"/>
  <c r="F24" i="2" s="1"/>
  <c r="E23" i="2"/>
  <c r="D12" i="2"/>
  <c r="S12" i="2"/>
  <c r="S24" i="2" s="1"/>
  <c r="D60" i="2"/>
  <c r="R72" i="2"/>
  <c r="Q72" i="2"/>
  <c r="P72" i="2"/>
  <c r="O72" i="2"/>
  <c r="N72" i="2"/>
  <c r="M72" i="2"/>
  <c r="L72" i="2"/>
  <c r="K72" i="2"/>
  <c r="J72" i="2"/>
  <c r="I72" i="2"/>
  <c r="H72" i="2"/>
  <c r="G72" i="2"/>
  <c r="E72" i="2"/>
  <c r="D72" i="2"/>
  <c r="F72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S104" i="2"/>
  <c r="S96" i="2"/>
  <c r="R89" i="2"/>
  <c r="Q89" i="2"/>
  <c r="P89" i="2"/>
  <c r="P110" i="2" s="1"/>
  <c r="O89" i="2"/>
  <c r="N89" i="2"/>
  <c r="N110" i="2" s="1"/>
  <c r="M89" i="2"/>
  <c r="M110" i="2" s="1"/>
  <c r="L89" i="2"/>
  <c r="K89" i="2"/>
  <c r="K110" i="2" s="1"/>
  <c r="J89" i="2"/>
  <c r="I89" i="2"/>
  <c r="H89" i="2"/>
  <c r="G89" i="2"/>
  <c r="F89" i="2"/>
  <c r="E89" i="2"/>
  <c r="E110" i="2" s="1"/>
  <c r="D89" i="2"/>
  <c r="S89" i="2"/>
  <c r="S110" i="2" s="1"/>
  <c r="AF16" i="2" l="1"/>
  <c r="AF17" i="2" s="1"/>
  <c r="AF18" i="2" s="1"/>
  <c r="AF20" i="2" s="1"/>
  <c r="AF27" i="2"/>
  <c r="B12" i="2" s="1"/>
  <c r="T6" i="1" s="1"/>
  <c r="A3" i="6"/>
  <c r="F12" i="6"/>
  <c r="G12" i="6" s="1"/>
  <c r="F13" i="6"/>
  <c r="G13" i="6" s="1"/>
  <c r="T20" i="2"/>
  <c r="T76" i="2"/>
  <c r="K23" i="5"/>
  <c r="K12" i="5"/>
  <c r="L6" i="5"/>
  <c r="L7" i="5" s="1"/>
  <c r="L22" i="5"/>
  <c r="M4" i="5"/>
  <c r="J24" i="5"/>
  <c r="J16" i="5"/>
  <c r="AH4" i="2"/>
  <c r="AG7" i="2"/>
  <c r="AG12" i="2" s="1"/>
  <c r="N73" i="2"/>
  <c r="AD73" i="2"/>
  <c r="G12" i="2"/>
  <c r="G16" i="2" s="1"/>
  <c r="G18" i="2" s="1"/>
  <c r="G76" i="2" s="1"/>
  <c r="I73" i="2"/>
  <c r="N12" i="2"/>
  <c r="N24" i="2" s="1"/>
  <c r="L12" i="2"/>
  <c r="L16" i="2" s="1"/>
  <c r="L18" i="2" s="1"/>
  <c r="L20" i="2" s="1"/>
  <c r="F73" i="2"/>
  <c r="O12" i="2"/>
  <c r="AA73" i="2"/>
  <c r="D23" i="2"/>
  <c r="AC23" i="2"/>
  <c r="D16" i="2"/>
  <c r="D18" i="2" s="1"/>
  <c r="D76" i="2" s="1"/>
  <c r="D24" i="2"/>
  <c r="J12" i="2"/>
  <c r="I12" i="2"/>
  <c r="I16" i="2" s="1"/>
  <c r="I18" i="2" s="1"/>
  <c r="I76" i="2" s="1"/>
  <c r="S23" i="2"/>
  <c r="AE76" i="2"/>
  <c r="F23" i="2"/>
  <c r="Q12" i="2"/>
  <c r="Q16" i="2" s="1"/>
  <c r="Q18" i="2" s="1"/>
  <c r="Q76" i="2" s="1"/>
  <c r="K23" i="2"/>
  <c r="S73" i="2"/>
  <c r="R12" i="2"/>
  <c r="H16" i="2"/>
  <c r="H18" i="2" s="1"/>
  <c r="H24" i="2"/>
  <c r="P16" i="2"/>
  <c r="P18" i="2" s="1"/>
  <c r="P24" i="2"/>
  <c r="K16" i="2"/>
  <c r="K18" i="2" s="1"/>
  <c r="K24" i="2"/>
  <c r="AB24" i="2"/>
  <c r="M73" i="2"/>
  <c r="E12" i="2"/>
  <c r="M12" i="2"/>
  <c r="F16" i="2"/>
  <c r="F18" i="2" s="1"/>
  <c r="F76" i="2" s="1"/>
  <c r="AF24" i="2"/>
  <c r="AC20" i="2"/>
  <c r="H23" i="2"/>
  <c r="P23" i="2"/>
  <c r="G73" i="2"/>
  <c r="H73" i="2"/>
  <c r="P73" i="2"/>
  <c r="AB23" i="2"/>
  <c r="AD76" i="2"/>
  <c r="Z73" i="2"/>
  <c r="AA108" i="2"/>
  <c r="Z108" i="2"/>
  <c r="Z23" i="2"/>
  <c r="AA76" i="2"/>
  <c r="AA23" i="2"/>
  <c r="AA24" i="2"/>
  <c r="Z24" i="2"/>
  <c r="AC108" i="2"/>
  <c r="AB108" i="2"/>
  <c r="AC73" i="2"/>
  <c r="AB73" i="2"/>
  <c r="AC24" i="2"/>
  <c r="AB76" i="2"/>
  <c r="AE108" i="2"/>
  <c r="AD108" i="2"/>
  <c r="AE73" i="2"/>
  <c r="AE24" i="2"/>
  <c r="AE23" i="2"/>
  <c r="AD23" i="2"/>
  <c r="AD24" i="2"/>
  <c r="S16" i="2"/>
  <c r="S18" i="2" s="1"/>
  <c r="S20" i="2" s="1"/>
  <c r="Q73" i="2"/>
  <c r="D108" i="2"/>
  <c r="L108" i="2"/>
  <c r="J108" i="2"/>
  <c r="R108" i="2"/>
  <c r="E108" i="2"/>
  <c r="H108" i="2"/>
  <c r="O73" i="2"/>
  <c r="I108" i="2"/>
  <c r="Q108" i="2"/>
  <c r="K108" i="2"/>
  <c r="M108" i="2"/>
  <c r="F108" i="2"/>
  <c r="S108" i="2"/>
  <c r="G108" i="2"/>
  <c r="O108" i="2"/>
  <c r="E73" i="2"/>
  <c r="D110" i="2"/>
  <c r="L110" i="2"/>
  <c r="F110" i="2"/>
  <c r="N108" i="2"/>
  <c r="H110" i="2"/>
  <c r="P108" i="2"/>
  <c r="I110" i="2"/>
  <c r="Q110" i="2"/>
  <c r="J73" i="2"/>
  <c r="R73" i="2"/>
  <c r="G110" i="2"/>
  <c r="J110" i="2"/>
  <c r="R110" i="2"/>
  <c r="K73" i="2"/>
  <c r="O110" i="2"/>
  <c r="L73" i="2"/>
  <c r="D73" i="2"/>
  <c r="D7" i="3" l="1"/>
  <c r="AF28" i="2"/>
  <c r="AG16" i="2"/>
  <c r="AG17" i="2" s="1"/>
  <c r="AG18" i="2" s="1"/>
  <c r="AG20" i="2" s="1"/>
  <c r="AG27" i="2"/>
  <c r="AG24" i="2"/>
  <c r="AG23" i="2"/>
  <c r="L23" i="5"/>
  <c r="L12" i="5"/>
  <c r="J17" i="5"/>
  <c r="J18" i="5" s="1"/>
  <c r="J20" i="5" s="1"/>
  <c r="K24" i="5"/>
  <c r="K16" i="5"/>
  <c r="M6" i="5"/>
  <c r="M7" i="5" s="1"/>
  <c r="N4" i="5"/>
  <c r="M22" i="5"/>
  <c r="AI4" i="2"/>
  <c r="AH7" i="2"/>
  <c r="AH22" i="2"/>
  <c r="G20" i="2"/>
  <c r="D20" i="2"/>
  <c r="G24" i="2"/>
  <c r="Q20" i="2"/>
  <c r="F20" i="2"/>
  <c r="Q24" i="2"/>
  <c r="L76" i="2"/>
  <c r="I20" i="2"/>
  <c r="N16" i="2"/>
  <c r="N18" i="2" s="1"/>
  <c r="L24" i="2"/>
  <c r="O16" i="2"/>
  <c r="O18" i="2" s="1"/>
  <c r="O24" i="2"/>
  <c r="I24" i="2"/>
  <c r="R24" i="2"/>
  <c r="R16" i="2"/>
  <c r="R18" i="2" s="1"/>
  <c r="J24" i="2"/>
  <c r="J16" i="2"/>
  <c r="J18" i="2" s="1"/>
  <c r="M24" i="2"/>
  <c r="M16" i="2"/>
  <c r="M18" i="2" s="1"/>
  <c r="K76" i="2"/>
  <c r="K20" i="2"/>
  <c r="P20" i="2"/>
  <c r="P76" i="2"/>
  <c r="E24" i="2"/>
  <c r="E16" i="2"/>
  <c r="E18" i="2" s="1"/>
  <c r="H20" i="2"/>
  <c r="H76" i="2"/>
  <c r="S76" i="2"/>
  <c r="E7" i="3" l="1"/>
  <c r="AG28" i="2"/>
  <c r="M12" i="5"/>
  <c r="M23" i="5"/>
  <c r="K17" i="5"/>
  <c r="K18" i="5"/>
  <c r="K20" i="5" s="1"/>
  <c r="L16" i="5"/>
  <c r="L24" i="5"/>
  <c r="N6" i="5"/>
  <c r="N7" i="5" s="1"/>
  <c r="O4" i="5"/>
  <c r="N22" i="5"/>
  <c r="AH12" i="2"/>
  <c r="AH23" i="2"/>
  <c r="AJ4" i="2"/>
  <c r="AI6" i="2"/>
  <c r="AI7" i="2" s="1"/>
  <c r="AI22" i="2"/>
  <c r="N76" i="2"/>
  <c r="N20" i="2"/>
  <c r="O20" i="2"/>
  <c r="O76" i="2"/>
  <c r="J20" i="2"/>
  <c r="J76" i="2"/>
  <c r="R76" i="2"/>
  <c r="R20" i="2"/>
  <c r="E76" i="2"/>
  <c r="E20" i="2"/>
  <c r="M20" i="2"/>
  <c r="M76" i="2"/>
  <c r="AH27" i="2" l="1"/>
  <c r="AH28" i="2" s="1"/>
  <c r="N12" i="5"/>
  <c r="N23" i="5"/>
  <c r="L17" i="5"/>
  <c r="L18" i="5" s="1"/>
  <c r="L20" i="5" s="1"/>
  <c r="P4" i="5"/>
  <c r="O6" i="5"/>
  <c r="O7" i="5"/>
  <c r="O22" i="5"/>
  <c r="M24" i="5"/>
  <c r="M16" i="5"/>
  <c r="AJ6" i="2"/>
  <c r="AJ7" i="2" s="1"/>
  <c r="AK4" i="2"/>
  <c r="AJ22" i="2"/>
  <c r="AI12" i="2"/>
  <c r="AI27" i="2" s="1"/>
  <c r="AI28" i="2" s="1"/>
  <c r="AI23" i="2"/>
  <c r="AH16" i="2"/>
  <c r="AH17" i="2" s="1"/>
  <c r="AH18" i="2" s="1"/>
  <c r="AH20" i="2" s="1"/>
  <c r="AH24" i="2"/>
  <c r="B6" i="2"/>
  <c r="G10" i="6" s="1"/>
  <c r="G15" i="6" s="1"/>
  <c r="F7" i="3" l="1"/>
  <c r="M17" i="5"/>
  <c r="M18" i="5" s="1"/>
  <c r="M20" i="5" s="1"/>
  <c r="O12" i="5"/>
  <c r="O23" i="5"/>
  <c r="P6" i="5"/>
  <c r="P7" i="5" s="1"/>
  <c r="Q4" i="5"/>
  <c r="P22" i="5"/>
  <c r="N16" i="5"/>
  <c r="N24" i="5"/>
  <c r="AI16" i="2"/>
  <c r="AI17" i="2" s="1"/>
  <c r="AI18" i="2" s="1"/>
  <c r="AI20" i="2" s="1"/>
  <c r="AI24" i="2"/>
  <c r="AJ23" i="2"/>
  <c r="AJ12" i="2"/>
  <c r="AJ27" i="2" s="1"/>
  <c r="AJ28" i="2" s="1"/>
  <c r="AL4" i="2"/>
  <c r="AK6" i="2"/>
  <c r="AK7" i="2" s="1"/>
  <c r="AK22" i="2"/>
  <c r="B9" i="2"/>
  <c r="D5" i="3" l="1"/>
  <c r="E5" i="3"/>
  <c r="F5" i="3"/>
  <c r="E6" i="3"/>
  <c r="D6" i="3"/>
  <c r="F6" i="3"/>
  <c r="P12" i="5"/>
  <c r="P23" i="5"/>
  <c r="Q22" i="5"/>
  <c r="Q6" i="5"/>
  <c r="Q7" i="5"/>
  <c r="R4" i="5"/>
  <c r="O16" i="5"/>
  <c r="O24" i="5"/>
  <c r="N17" i="5"/>
  <c r="N18" i="5" s="1"/>
  <c r="N20" i="5" s="1"/>
  <c r="AJ16" i="2"/>
  <c r="AJ17" i="2" s="1"/>
  <c r="AJ18" i="2" s="1"/>
  <c r="AJ20" i="2" s="1"/>
  <c r="AJ24" i="2"/>
  <c r="AK12" i="2"/>
  <c r="AK27" i="2" s="1"/>
  <c r="AK28" i="2" s="1"/>
  <c r="AK23" i="2"/>
  <c r="AL6" i="2"/>
  <c r="AL7" i="2"/>
  <c r="AM4" i="2"/>
  <c r="AL22" i="2"/>
  <c r="Z20" i="2"/>
  <c r="AA20" i="2"/>
  <c r="S4" i="5" l="1"/>
  <c r="R22" i="5"/>
  <c r="R6" i="5"/>
  <c r="R7" i="5" s="1"/>
  <c r="Q23" i="5"/>
  <c r="Q12" i="5"/>
  <c r="O17" i="5"/>
  <c r="O18" i="5" s="1"/>
  <c r="O20" i="5" s="1"/>
  <c r="P24" i="5"/>
  <c r="P16" i="5"/>
  <c r="AN4" i="2"/>
  <c r="AM6" i="2"/>
  <c r="AM7" i="2" s="1"/>
  <c r="AM22" i="2"/>
  <c r="AL12" i="2"/>
  <c r="AL27" i="2" s="1"/>
  <c r="AL28" i="2" s="1"/>
  <c r="AL23" i="2"/>
  <c r="AK16" i="2"/>
  <c r="AK17" i="2" s="1"/>
  <c r="AK18" i="2" s="1"/>
  <c r="AK20" i="2" s="1"/>
  <c r="AK24" i="2"/>
  <c r="R12" i="5" l="1"/>
  <c r="R23" i="5"/>
  <c r="Q24" i="5"/>
  <c r="Q16" i="5"/>
  <c r="P17" i="5"/>
  <c r="P18" i="5" s="1"/>
  <c r="P20" i="5" s="1"/>
  <c r="S22" i="5"/>
  <c r="S7" i="5"/>
  <c r="S6" i="5"/>
  <c r="AM23" i="2"/>
  <c r="AM12" i="2"/>
  <c r="AM27" i="2" s="1"/>
  <c r="AM28" i="2" s="1"/>
  <c r="AL24" i="2"/>
  <c r="AL16" i="2"/>
  <c r="AL17" i="2" s="1"/>
  <c r="AL18" i="2" s="1"/>
  <c r="AL20" i="2" s="1"/>
  <c r="AO4" i="2"/>
  <c r="AN6" i="2"/>
  <c r="AN7" i="2" s="1"/>
  <c r="AN22" i="2"/>
  <c r="S23" i="5" l="1"/>
  <c r="S12" i="5"/>
  <c r="Q17" i="5"/>
  <c r="Q18" i="5" s="1"/>
  <c r="Q20" i="5" s="1"/>
  <c r="R16" i="5"/>
  <c r="R24" i="5"/>
  <c r="AN23" i="2"/>
  <c r="AN12" i="2"/>
  <c r="AN27" i="2" s="1"/>
  <c r="AN28" i="2" s="1"/>
  <c r="AO6" i="2"/>
  <c r="AO7" i="2" s="1"/>
  <c r="AO22" i="2"/>
  <c r="AM16" i="2"/>
  <c r="AM17" i="2" s="1"/>
  <c r="AM18" i="2" s="1"/>
  <c r="AM20" i="2" s="1"/>
  <c r="AM24" i="2"/>
  <c r="R17" i="5" l="1"/>
  <c r="R18" i="5" s="1"/>
  <c r="R20" i="5" s="1"/>
  <c r="S24" i="5"/>
  <c r="S16" i="5"/>
  <c r="AO12" i="2"/>
  <c r="AO27" i="2" s="1"/>
  <c r="AO28" i="2" s="1"/>
  <c r="AO23" i="2"/>
  <c r="AN16" i="2"/>
  <c r="AN17" i="2" s="1"/>
  <c r="AN18" i="2" s="1"/>
  <c r="AN20" i="2" s="1"/>
  <c r="AN24" i="2"/>
  <c r="S17" i="5" l="1"/>
  <c r="S18" i="5"/>
  <c r="S20" i="5" s="1"/>
  <c r="AO24" i="2"/>
  <c r="AO16" i="2"/>
  <c r="AO17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IA18" i="2" s="1"/>
  <c r="IB18" i="2" s="1"/>
  <c r="IC18" i="2" s="1"/>
  <c r="ID18" i="2" s="1"/>
  <c r="IE18" i="2" s="1"/>
  <c r="IF18" i="2" s="1"/>
  <c r="IG18" i="2" s="1"/>
  <c r="AR23" i="2" s="1"/>
  <c r="AR25" i="2" s="1"/>
  <c r="AR26" i="2" s="1"/>
  <c r="AO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tc={7FBFD649-73DC-3E45-AFB4-431B74E98508}</author>
  </authors>
  <commentList>
    <comment ref="C18" authorId="0" shapeId="0" xr:uid="{7FBFD649-73DC-3E45-AFB4-431B74E9850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Acoustic Doppler current profiler. Bruker Doppler effekten til å måle vannstrømhastigheter og dybde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tc={BDA96B8D-5E18-9045-AE86-1AED9E260C2D}</author>
  </authors>
  <commentList>
    <comment ref="C36" authorId="0" shapeId="0" xr:uid="{BDA96B8D-5E18-9045-AE86-1AED9E260C2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&gt;1 Mer ordre enn inntekter
&lt;1 mindre ordre enn inntekter</t>
      </text>
    </comment>
  </commentList>
</comments>
</file>

<file path=xl/sharedStrings.xml><?xml version="1.0" encoding="utf-8"?>
<sst xmlns="http://schemas.openxmlformats.org/spreadsheetml/2006/main" count="363" uniqueCount="254">
  <si>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</si>
  <si>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</si>
  <si>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</si>
  <si>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</si>
  <si>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</si>
  <si>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</si>
  <si>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</si>
  <si>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</si>
  <si>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</si>
  <si>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</si>
  <si>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</si>
  <si>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</si>
  <si>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</si>
  <si>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</si>
  <si>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</si>
  <si>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</si>
  <si>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</si>
  <si>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</si>
  <si>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</si>
  <si>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</si>
  <si>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</si>
  <si>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</si>
  <si>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</si>
  <si>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</si>
  <si>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</si>
  <si>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</si>
  <si>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</si>
  <si>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</si>
  <si>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</si>
  <si>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</si>
  <si>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Q325</t>
  </si>
  <si>
    <t>Q425</t>
  </si>
  <si>
    <t>Q125</t>
  </si>
  <si>
    <t>Revenue y/y</t>
  </si>
  <si>
    <t>EBIT margin</t>
  </si>
  <si>
    <t>Nedside</t>
  </si>
  <si>
    <t>Gross margin</t>
  </si>
  <si>
    <t>NOKm</t>
  </si>
  <si>
    <t>Balanse NOKm</t>
  </si>
  <si>
    <t>Cash flow NOKm</t>
  </si>
  <si>
    <t>MC NOKm</t>
  </si>
  <si>
    <t>Cash NOKm</t>
  </si>
  <si>
    <t>Debt NOKm</t>
  </si>
  <si>
    <t>EV NOKm</t>
  </si>
  <si>
    <t>Revenue</t>
  </si>
  <si>
    <t>Lease and other income</t>
  </si>
  <si>
    <t>Raw materials</t>
  </si>
  <si>
    <t>Gross profit</t>
  </si>
  <si>
    <t>Employee benefits</t>
  </si>
  <si>
    <t>D/A</t>
  </si>
  <si>
    <t>Other operating expenses</t>
  </si>
  <si>
    <t>Other gains and lossen</t>
  </si>
  <si>
    <t>Operating profit (EBIT)</t>
  </si>
  <si>
    <t>Finance income</t>
  </si>
  <si>
    <t>Finance expenses</t>
  </si>
  <si>
    <t>Share of gains / (Losses) from associate</t>
  </si>
  <si>
    <t>PTP</t>
  </si>
  <si>
    <t>Tax</t>
  </si>
  <si>
    <t>Net income</t>
  </si>
  <si>
    <t>Shares</t>
  </si>
  <si>
    <t>EPS</t>
  </si>
  <si>
    <t>Goodwill</t>
  </si>
  <si>
    <t>Intangible assets</t>
  </si>
  <si>
    <t>PP&amp;E</t>
  </si>
  <si>
    <t>Right of use assets</t>
  </si>
  <si>
    <t>Deferred tax assets</t>
  </si>
  <si>
    <t>Other non-current receivables</t>
  </si>
  <si>
    <t>Inventories</t>
  </si>
  <si>
    <t>Trade receivables</t>
  </si>
  <si>
    <t>Contract assets</t>
  </si>
  <si>
    <t>Other current receivables</t>
  </si>
  <si>
    <t>Other current financial assets</t>
  </si>
  <si>
    <t>Cash</t>
  </si>
  <si>
    <t>Total Assets</t>
  </si>
  <si>
    <t>Share capital</t>
  </si>
  <si>
    <t>Share premium</t>
  </si>
  <si>
    <t>Treasury shares</t>
  </si>
  <si>
    <t>Other reserves</t>
  </si>
  <si>
    <t>Foreign exhange diff</t>
  </si>
  <si>
    <t>Retained earnings</t>
  </si>
  <si>
    <t>Total equity</t>
  </si>
  <si>
    <t>Non-current loans and borrowings</t>
  </si>
  <si>
    <t>Non-current lease liabilities</t>
  </si>
  <si>
    <t>Non-current financial liabilities</t>
  </si>
  <si>
    <t>Deferred tax liability</t>
  </si>
  <si>
    <t>Trade payable</t>
  </si>
  <si>
    <t>Contract liabilities</t>
  </si>
  <si>
    <t>Current loans and borrowings</t>
  </si>
  <si>
    <t>Current lease liabilities</t>
  </si>
  <si>
    <t>Income tax payable</t>
  </si>
  <si>
    <t>Current financial liabilities</t>
  </si>
  <si>
    <t>Other current liabilities</t>
  </si>
  <si>
    <t>Total debt</t>
  </si>
  <si>
    <t>Total E/D</t>
  </si>
  <si>
    <t>Model NI</t>
  </si>
  <si>
    <t>Reported NI</t>
  </si>
  <si>
    <t>Net profits from sales of assets</t>
  </si>
  <si>
    <t>Bad debt provisions</t>
  </si>
  <si>
    <t>SBC</t>
  </si>
  <si>
    <t>Net finance expenses</t>
  </si>
  <si>
    <t>Share of losses from an associate</t>
  </si>
  <si>
    <t>Change in contingent consideration</t>
  </si>
  <si>
    <t>Income tax expense</t>
  </si>
  <si>
    <t>WC</t>
  </si>
  <si>
    <t>Income taxes paid</t>
  </si>
  <si>
    <t>Interest paid</t>
  </si>
  <si>
    <t>CFFO</t>
  </si>
  <si>
    <t>Interest received</t>
  </si>
  <si>
    <t>Capital contribution to an associate</t>
  </si>
  <si>
    <t>Proceeds from sale of assets</t>
  </si>
  <si>
    <t>Capex</t>
  </si>
  <si>
    <t>CFFI</t>
  </si>
  <si>
    <t>Proceeds from IB loans</t>
  </si>
  <si>
    <t>Repayment of IB loans</t>
  </si>
  <si>
    <t>Dividends</t>
  </si>
  <si>
    <t>Proceeds from share option exercised</t>
  </si>
  <si>
    <t>CFFF</t>
  </si>
  <si>
    <t>FX</t>
  </si>
  <si>
    <t>CIC</t>
  </si>
  <si>
    <t>FCF</t>
  </si>
  <si>
    <t>FY 2022</t>
  </si>
  <si>
    <t>FY 2023</t>
  </si>
  <si>
    <t>FY 2020</t>
  </si>
  <si>
    <t>FY 2021</t>
  </si>
  <si>
    <t>Q126</t>
  </si>
  <si>
    <t>Q226</t>
  </si>
  <si>
    <t>Q326</t>
  </si>
  <si>
    <t>Q426</t>
  </si>
  <si>
    <t>Emisjon på 500 mill</t>
  </si>
  <si>
    <t>Nedsalg på inntil 550 mill</t>
  </si>
  <si>
    <t>Green shoe 150 mill</t>
  </si>
  <si>
    <t>Selskapsverdi før nye penger 3,44 mrd</t>
  </si>
  <si>
    <t>IPO info</t>
  </si>
  <si>
    <t>Eksisterende aksjer før IPO</t>
  </si>
  <si>
    <t>Nye aksjer utstedt i IPO</t>
  </si>
  <si>
    <t>Nedsalg eksiterende aksjonærer</t>
  </si>
  <si>
    <t>Greenshoe (15% over-allotment)</t>
  </si>
  <si>
    <t>Maks total etter IPO</t>
  </si>
  <si>
    <t>De nye pengene skal brukes til M&amp;A og generelle bedriftsmål</t>
  </si>
  <si>
    <t>EBITDA</t>
  </si>
  <si>
    <t>EBITDA LTM</t>
  </si>
  <si>
    <t>ROCE</t>
  </si>
  <si>
    <t>Finansielle mål (fra prospekt)</t>
  </si>
  <si>
    <t>Mål</t>
  </si>
  <si>
    <t>2026E</t>
  </si>
  <si>
    <t>Mellomlang sikt</t>
  </si>
  <si>
    <t>Kommentar</t>
  </si>
  <si>
    <t>Omsetning</t>
  </si>
  <si>
    <t>&gt; NOK 1 500m</t>
  </si>
  <si>
    <t>NOK 2 800m</t>
  </si>
  <si>
    <t>Inkl. fullårseffekt av ny M&amp;A / organisk vekst og M&amp;A</t>
  </si>
  <si>
    <t>EBITA-margin</t>
  </si>
  <si>
    <t>N/A</t>
  </si>
  <si>
    <t>~20%</t>
  </si>
  <si>
    <t>Capex (% av omsetning)</t>
  </si>
  <si>
    <t>~2-4%</t>
  </si>
  <si>
    <t>~4%</t>
  </si>
  <si>
    <t>Kan avvike pga. produktsykluser, FoU og PPE-investeringer</t>
  </si>
  <si>
    <t>Arbeidskapital (% av omsetning)</t>
  </si>
  <si>
    <t>~15-20%</t>
  </si>
  <si>
    <t>Potensielle svingninger drevet av backlog og forskuddsbetalte kontrakter</t>
  </si>
  <si>
    <t>Justert ROCE</t>
  </si>
  <si>
    <t>&gt;30%</t>
  </si>
  <si>
    <t>NIBD/EBITDA</t>
  </si>
  <si>
    <t>Robust balanse for M&amp;A</t>
  </si>
  <si>
    <t>~1.0-2.0x</t>
  </si>
  <si>
    <t>Fleksibilitet til å avvike basert på M&amp;A og verdiskapende investeringer</t>
  </si>
  <si>
    <t>Utbyttepolitikk</t>
  </si>
  <si>
    <t>—</t>
  </si>
  <si>
    <t>40-60% av nettoresultat</t>
  </si>
  <si>
    <t>Langsiktig ambisjon; fleksibilitet for M&amp;A og verdiskapende investeringer</t>
  </si>
  <si>
    <t>Kilde: General Oceans ASA – Prospekt</t>
  </si>
  <si>
    <t>EBITA</t>
  </si>
  <si>
    <t>EBITDA margin</t>
  </si>
  <si>
    <t>TV</t>
  </si>
  <si>
    <t>Discount</t>
  </si>
  <si>
    <t>NPV</t>
  </si>
  <si>
    <t>NPV/Share</t>
  </si>
  <si>
    <t>Opp/nedside</t>
  </si>
  <si>
    <t>Sensors</t>
  </si>
  <si>
    <t>Robotics</t>
  </si>
  <si>
    <t>Marine construction</t>
  </si>
  <si>
    <t>Defence</t>
  </si>
  <si>
    <t>Ocean science</t>
  </si>
  <si>
    <t>y/y</t>
  </si>
  <si>
    <t>EBITA %</t>
  </si>
  <si>
    <t>EBIT</t>
  </si>
  <si>
    <t>EBIT%</t>
  </si>
  <si>
    <t xml:space="preserve"> </t>
  </si>
  <si>
    <t>Corporate</t>
  </si>
  <si>
    <t>Eliminations</t>
  </si>
  <si>
    <t>SENSORS</t>
  </si>
  <si>
    <t>ROBOTICS</t>
  </si>
  <si>
    <t>CORP</t>
  </si>
  <si>
    <t>ELIMINATIONS</t>
  </si>
  <si>
    <t>ENTERPRISE VALUE</t>
  </si>
  <si>
    <t>EBIT 26E</t>
  </si>
  <si>
    <t>EV</t>
  </si>
  <si>
    <t>NOK/share</t>
  </si>
  <si>
    <t>Debt</t>
  </si>
  <si>
    <t>Equity value</t>
  </si>
  <si>
    <t>Datterselskaper i General Oceans</t>
  </si>
  <si>
    <t>SENSORS-segmentet</t>
  </si>
  <si>
    <t>Selskap</t>
  </si>
  <si>
    <t>Land</t>
  </si>
  <si>
    <t>Spesialisering</t>
  </si>
  <si>
    <t>Beskrivelse</t>
  </si>
  <si>
    <t>Nortek</t>
  </si>
  <si>
    <t>🇳🇴 Norge</t>
  </si>
  <si>
    <t>ADCP / Doppler-sensorer</t>
  </si>
  <si>
    <t>Eldste og største selskapet. Akustiske strømmålere og Doppler-sensorer for havmåling. Brukes i offshore-energi, havforskning og navigasjon. Kjernen i General Oceans-konseptet.</t>
  </si>
  <si>
    <t>Tritech</t>
  </si>
  <si>
    <t>🇬🇧 UK</t>
  </si>
  <si>
    <t>Imaging sonarer / undervannsk.</t>
  </si>
  <si>
    <t>Imaging sonarer og undervannskameraer for inspeksjon og navigasjon. Gjennomgått stor transformasjon etter oppkjøp med ny ledelse og produktrasjonalisering. Ny produktgenerasjon i 2026.</t>
  </si>
  <si>
    <t>Klein Marine Systems</t>
  </si>
  <si>
    <t>🇺🇸 USA</t>
  </si>
  <si>
    <t>Side-scan sonarer</t>
  </si>
  <si>
    <t>Produserer side-scan sonarer for havbunnskartlegging og søk. Turnaround-case som krevde mer restrukturering enn forventet etter oppkjøp i 2023, inkl. relokasjon og ny ledelse.</t>
  </si>
  <si>
    <t>RS Aqua</t>
  </si>
  <si>
    <t>🇬🇧🇦🇺 UK/Australia</t>
  </si>
  <si>
    <t>Havmåleutstyr / distribusjon</t>
  </si>
  <si>
    <t>Nyeste tilskuddet (nov. 2024). Distribuerer og integrerer havmåleutstyr og sensorer. Fungerer delvis som salgskanal for andre GO-produkter. Bidrar med tilstedeværelse i Australia.</t>
  </si>
  <si>
    <t>ROBOTICS-segmentet</t>
  </si>
  <si>
    <t>Reach Robotics</t>
  </si>
  <si>
    <t>Elektriske manipulatorer / ROV</t>
  </si>
  <si>
    <t>Produserer elektriske manipulatorer og robotarmer for undervannsfartøy (ROV-er). Leverer til forsvars- og kommersielle kunder. Sterk vekst drevet av forsvarskontrakter.</t>
  </si>
  <si>
    <t>SRS (Strategic Robotic Systems)</t>
  </si>
  <si>
    <t>🇺🇸🇦🇺 USA/Australia</t>
  </si>
  <si>
    <t>Hybrid ROV/AUV</t>
  </si>
  <si>
    <t>Produserer hybrid ROV-er (Fusion-modellen) som kan operere både som ROV og autonom farkost (AUV). Hadde store utfordringer etter tapt forsvarskontrakt i 2023 (nedskrivning NOK 117m), men nå snudd under ny ledelse.</t>
  </si>
  <si>
    <t>Oppsummert: Nortek og Tritech er mest modne. Klein og RS Aqua er under integrasjon. Reach Robotics er vekststjernen i robotics. SRS har hatt mest turbulens, men viser nå tegn til bedring.</t>
  </si>
  <si>
    <t xml:space="preserve">Press releases: </t>
  </si>
  <si>
    <t>26.03.26: General Oceans sin første handelsdag</t>
  </si>
  <si>
    <t>27.03.26: Dnb Asset managment kjøpte 2 702 207 nye aksjer og flagger 6,28%</t>
  </si>
  <si>
    <t>Mål: 2800</t>
  </si>
  <si>
    <t>10.04.26: GENO kjøper opp MRV systems for 18 USDm cash. MRV leverer avanserte profildroner til havforskning, klimaovervåking og maritim overvåking. Oppkjøpet er på EV/REV 1,5x</t>
  </si>
  <si>
    <t>Issue of shares</t>
  </si>
  <si>
    <t>Lease liabilities repaid</t>
  </si>
  <si>
    <t>Covenants</t>
  </si>
  <si>
    <t>Adjusted EBITA</t>
  </si>
  <si>
    <t>Adjusted EBITA margin</t>
  </si>
  <si>
    <t>Marine construcions</t>
  </si>
  <si>
    <t>MRV Systems</t>
  </si>
  <si>
    <t>Autonome havobservasjonsflåter</t>
  </si>
  <si>
    <t>Oppkjøpt april 2026 for USD 18m (EV/Rev 1,5x). Produserer autonome profileringsflåter (Argo-floats) som samler havdata (temperatur, saltholdighet, strøm) ned til 2000m dyp. Inngår i ARGO-programmet – et globalt nettverk av ~4 000 havobservasjonsboier. Integreres i Robotics-segmentet.</t>
  </si>
  <si>
    <t>EV/EBITDA</t>
  </si>
  <si>
    <t>Investments</t>
  </si>
  <si>
    <t>Gearing</t>
  </si>
  <si>
    <t>21.07.26: Fidelity flagger 7,67%</t>
  </si>
  <si>
    <t>31.07.26 Trøgda flagger 5%</t>
  </si>
  <si>
    <t>Order intake</t>
  </si>
  <si>
    <t>Backlog</t>
  </si>
  <si>
    <t>Book/bill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</si>
</sst>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20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1F8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8DB4E2"/>
      </left>
      <right style="thin">
        <color rgb="FF8DB4E2"/>
      </right>
      <top/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/>
      <right/>
      <top style="medium">
        <color rgb="FF2F5496"/>
      </top>
      <bottom style="medium">
        <color rgb="FF2F5496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medium">
        <color rgb="FF2F5496"/>
      </bottom>
      <diagonal/>
    </border>
    <border>
      <left style="medium">
        <color rgb="FF2F5496"/>
      </left>
      <right/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medium">
        <color rgb="FF2F5496"/>
      </left>
      <right style="thin">
        <color rgb="FF8DB4E2"/>
      </right>
      <top style="thin">
        <color rgb="FF8DB4E2"/>
      </top>
      <bottom style="medium">
        <color rgb="FF2F5496"/>
      </bottom>
      <diagonal/>
    </border>
    <border>
      <left style="thin">
        <color rgb="FF8DB4E2"/>
      </left>
      <right style="medium">
        <color rgb="FF2F5496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medium">
        <color rgb="FF2F5496"/>
      </right>
      <top style="thin">
        <color rgb="FF8DB4E2"/>
      </top>
      <bottom style="medium">
        <color rgb="FF2F5496"/>
      </bottom>
      <diagonal/>
    </border>
    <border>
      <left style="medium">
        <color rgb="FF2F5496"/>
      </left>
      <right style="thin">
        <color rgb="FF8DB4E2"/>
      </right>
      <top/>
      <bottom style="thin">
        <color rgb="FF8DB4E2"/>
      </bottom>
      <diagonal/>
    </border>
    <border>
      <left style="thin">
        <color rgb="FF8DB4E2"/>
      </left>
      <right style="medium">
        <color rgb="FF2F5496"/>
      </right>
      <top/>
      <bottom style="thin">
        <color rgb="FF8DB4E2"/>
      </bottom>
      <diagonal/>
    </border>
    <border>
      <left style="medium">
        <color rgb="FF2F5496"/>
      </left>
      <right style="thin">
        <color rgb="FF8DB4E2"/>
      </right>
      <top style="medium">
        <color rgb="FF2F5496"/>
      </top>
      <bottom style="medium">
        <color rgb="FF2F5496"/>
      </bottom>
      <diagonal/>
    </border>
    <border>
      <left style="thin">
        <color rgb="FF8DB4E2"/>
      </left>
      <right style="thin">
        <color rgb="FF8DB4E2"/>
      </right>
      <top style="medium">
        <color rgb="FF2F5496"/>
      </top>
      <bottom style="medium">
        <color rgb="FF2F5496"/>
      </bottom>
      <diagonal/>
    </border>
    <border>
      <left style="thin">
        <color rgb="FF8DB4E2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2F5496"/>
      </left>
      <right style="thin">
        <color rgb="FF8DB4E2"/>
      </right>
      <top/>
      <bottom style="medium">
        <color rgb="FF2F5496"/>
      </bottom>
      <diagonal/>
    </border>
    <border>
      <left style="thin">
        <color rgb="FF8DB4E2"/>
      </left>
      <right style="thin">
        <color rgb="FF8DB4E2"/>
      </right>
      <top/>
      <bottom style="medium">
        <color rgb="FF2F5496"/>
      </bottom>
      <diagonal/>
    </border>
    <border>
      <left style="thin">
        <color rgb="FF8DB4E2"/>
      </left>
      <right style="medium">
        <color rgb="FF2F5496"/>
      </right>
      <top/>
      <bottom style="medium">
        <color rgb="FF2F5496"/>
      </bottom>
      <diagonal/>
    </border>
    <border>
      <left/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 style="thin">
        <color rgb="FF8DB4E2"/>
      </right>
      <top/>
      <bottom/>
      <diagonal/>
    </border>
    <border>
      <left style="medium">
        <color rgb="FF2F5496"/>
      </left>
      <right/>
      <top/>
      <bottom style="medium">
        <color rgb="FF2F5496"/>
      </bottom>
      <diagonal/>
    </border>
    <border>
      <left style="medium">
        <color rgb="FF2F5496"/>
      </left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/>
      <bottom/>
      <diagonal/>
    </border>
    <border>
      <left style="thin">
        <color rgb="FF8DB4E2"/>
      </left>
      <right/>
      <top/>
      <bottom style="medium">
        <color rgb="FF2F5496"/>
      </bottom>
      <diagonal/>
    </border>
    <border>
      <left style="thin">
        <color rgb="FF8DB4E2"/>
      </left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medium">
        <color rgb="FF2F5496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6" fillId="0" borderId="2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3" fontId="4" fillId="0" borderId="0" xfId="0" applyNumberFormat="1" applyFont="1"/>
    <xf numFmtId="3" fontId="2" fillId="0" borderId="1" xfId="0" applyNumberFormat="1" applyFont="1" applyBorder="1"/>
    <xf numFmtId="10" fontId="4" fillId="0" borderId="0" xfId="0" applyNumberFormat="1" applyFont="1"/>
    <xf numFmtId="0" fontId="8" fillId="0" borderId="0" xfId="0" applyFont="1"/>
    <xf numFmtId="1" fontId="1" fillId="0" borderId="1" xfId="0" applyNumberFormat="1" applyFont="1" applyBorder="1"/>
    <xf numFmtId="0" fontId="1" fillId="0" borderId="1" xfId="0" applyFont="1" applyBorder="1"/>
    <xf numFmtId="164" fontId="2" fillId="0" borderId="0" xfId="0" applyNumberFormat="1" applyFont="1"/>
    <xf numFmtId="4" fontId="2" fillId="0" borderId="0" xfId="0" applyNumberFormat="1" applyFont="1"/>
    <xf numFmtId="0" fontId="10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1" fillId="2" borderId="15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left"/>
    </xf>
    <xf numFmtId="0" fontId="13" fillId="3" borderId="13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vertical="center" wrapText="1"/>
    </xf>
    <xf numFmtId="0" fontId="13" fillId="4" borderId="9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vertical="center" wrapText="1"/>
    </xf>
    <xf numFmtId="0" fontId="13" fillId="3" borderId="10" xfId="0" applyFont="1" applyFill="1" applyBorder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vertical="center" wrapText="1"/>
    </xf>
    <xf numFmtId="0" fontId="2" fillId="0" borderId="3" xfId="0" applyFont="1" applyBorder="1"/>
    <xf numFmtId="9" fontId="2" fillId="0" borderId="0" xfId="0" applyNumberFormat="1" applyFont="1"/>
    <xf numFmtId="0" fontId="4" fillId="0" borderId="0" xfId="0" applyFont="1" applyAlignment="1">
      <alignment horizontal="left" indent="1"/>
    </xf>
    <xf numFmtId="10" fontId="4" fillId="0" borderId="18" xfId="0" applyNumberFormat="1" applyFont="1" applyBorder="1"/>
    <xf numFmtId="10" fontId="2" fillId="0" borderId="18" xfId="0" applyNumberFormat="1" applyFont="1" applyBorder="1"/>
    <xf numFmtId="3" fontId="4" fillId="0" borderId="0" xfId="0" applyNumberFormat="1" applyFont="1" applyAlignment="1">
      <alignment horizontal="left" indent="1"/>
    </xf>
    <xf numFmtId="166" fontId="16" fillId="0" borderId="0" xfId="0" applyNumberFormat="1" applyFont="1"/>
    <xf numFmtId="166" fontId="4" fillId="0" borderId="0" xfId="0" applyNumberFormat="1" applyFont="1"/>
    <xf numFmtId="10" fontId="4" fillId="0" borderId="3" xfId="0" applyNumberFormat="1" applyFont="1" applyBorder="1"/>
    <xf numFmtId="166" fontId="4" fillId="0" borderId="3" xfId="0" applyNumberFormat="1" applyFont="1" applyBorder="1"/>
    <xf numFmtId="3" fontId="1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/>
    <xf numFmtId="10" fontId="2" fillId="0" borderId="1" xfId="0" applyNumberFormat="1" applyFont="1" applyBorder="1"/>
    <xf numFmtId="0" fontId="1" fillId="0" borderId="21" xfId="0" applyFont="1" applyBorder="1"/>
    <xf numFmtId="0" fontId="2" fillId="0" borderId="21" xfId="0" applyFont="1" applyBorder="1"/>
    <xf numFmtId="3" fontId="1" fillId="0" borderId="21" xfId="0" applyNumberFormat="1" applyFont="1" applyBorder="1"/>
    <xf numFmtId="166" fontId="4" fillId="0" borderId="21" xfId="0" applyNumberFormat="1" applyFont="1" applyBorder="1"/>
    <xf numFmtId="3" fontId="2" fillId="0" borderId="21" xfId="0" applyNumberFormat="1" applyFont="1" applyBorder="1"/>
    <xf numFmtId="0" fontId="4" fillId="0" borderId="21" xfId="0" applyFont="1" applyBorder="1"/>
    <xf numFmtId="10" fontId="4" fillId="0" borderId="22" xfId="0" applyNumberFormat="1" applyFont="1" applyBorder="1"/>
    <xf numFmtId="10" fontId="2" fillId="0" borderId="21" xfId="0" applyNumberFormat="1" applyFont="1" applyBorder="1"/>
    <xf numFmtId="10" fontId="2" fillId="0" borderId="20" xfId="0" applyNumberFormat="1" applyFont="1" applyBorder="1"/>
    <xf numFmtId="166" fontId="4" fillId="0" borderId="23" xfId="0" applyNumberFormat="1" applyFont="1" applyBorder="1"/>
    <xf numFmtId="166" fontId="4" fillId="0" borderId="24" xfId="0" applyNumberFormat="1" applyFont="1" applyBorder="1"/>
    <xf numFmtId="0" fontId="1" fillId="0" borderId="21" xfId="0" applyFont="1" applyBorder="1" applyAlignment="1">
      <alignment horizontal="right"/>
    </xf>
    <xf numFmtId="166" fontId="4" fillId="0" borderId="22" xfId="0" applyNumberFormat="1" applyFont="1" applyBorder="1"/>
    <xf numFmtId="166" fontId="4" fillId="0" borderId="19" xfId="0" applyNumberFormat="1" applyFont="1" applyBorder="1"/>
    <xf numFmtId="8" fontId="2" fillId="0" borderId="3" xfId="0" applyNumberFormat="1" applyFont="1" applyBorder="1"/>
    <xf numFmtId="165" fontId="6" fillId="0" borderId="2" xfId="0" applyNumberFormat="1" applyFont="1" applyBorder="1"/>
    <xf numFmtId="0" fontId="2" fillId="0" borderId="18" xfId="0" applyFont="1" applyBorder="1"/>
    <xf numFmtId="3" fontId="2" fillId="0" borderId="18" xfId="0" applyNumberFormat="1" applyFont="1" applyBorder="1"/>
    <xf numFmtId="0" fontId="2" fillId="0" borderId="25" xfId="0" applyFont="1" applyBorder="1"/>
    <xf numFmtId="3" fontId="2" fillId="0" borderId="20" xfId="0" applyNumberFormat="1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/>
    <xf numFmtId="10" fontId="1" fillId="0" borderId="1" xfId="0" applyNumberFormat="1" applyFont="1" applyBorder="1"/>
    <xf numFmtId="10" fontId="4" fillId="0" borderId="1" xfId="0" applyNumberFormat="1" applyFont="1" applyBorder="1"/>
    <xf numFmtId="0" fontId="8" fillId="0" borderId="2" xfId="0" applyFont="1" applyBorder="1"/>
    <xf numFmtId="1" fontId="8" fillId="0" borderId="2" xfId="0" applyNumberFormat="1" applyFont="1" applyBorder="1"/>
    <xf numFmtId="0" fontId="9" fillId="0" borderId="2" xfId="0" applyFont="1" applyBorder="1"/>
    <xf numFmtId="3" fontId="9" fillId="0" borderId="2" xfId="0" applyNumberFormat="1" applyFont="1" applyBorder="1"/>
    <xf numFmtId="1" fontId="9" fillId="0" borderId="2" xfId="0" applyNumberFormat="1" applyFont="1" applyBorder="1"/>
    <xf numFmtId="0" fontId="8" fillId="5" borderId="2" xfId="0" applyFont="1" applyFill="1" applyBorder="1"/>
    <xf numFmtId="3" fontId="8" fillId="0" borderId="2" xfId="0" applyNumberFormat="1" applyFont="1" applyBorder="1"/>
    <xf numFmtId="0" fontId="2" fillId="2" borderId="6" xfId="0" applyFont="1" applyFill="1" applyBorder="1"/>
    <xf numFmtId="0" fontId="2" fillId="2" borderId="29" xfId="0" applyFont="1" applyFill="1" applyBorder="1"/>
    <xf numFmtId="0" fontId="18" fillId="2" borderId="8" xfId="0" applyFont="1" applyFill="1" applyBorder="1"/>
    <xf numFmtId="0" fontId="1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27" xfId="0" applyFont="1" applyFill="1" applyBorder="1"/>
    <xf numFmtId="0" fontId="1" fillId="3" borderId="28" xfId="0" applyFont="1" applyFill="1" applyBorder="1"/>
    <xf numFmtId="0" fontId="1" fillId="0" borderId="13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6" borderId="9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6" borderId="10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/>
    <xf numFmtId="0" fontId="19" fillId="3" borderId="27" xfId="0" applyFont="1" applyFill="1" applyBorder="1" applyAlignment="1">
      <alignment horizontal="center"/>
    </xf>
    <xf numFmtId="0" fontId="0" fillId="6" borderId="7" xfId="0" applyFill="1" applyBorder="1" applyAlignment="1">
      <alignment horizontal="left" vertical="center"/>
    </xf>
    <xf numFmtId="1" fontId="2" fillId="0" borderId="0" xfId="0" applyNumberFormat="1" applyFont="1"/>
    <xf numFmtId="1" fontId="8" fillId="0" borderId="0" xfId="0" applyNumberFormat="1" applyFont="1"/>
    <xf numFmtId="0" fontId="9" fillId="0" borderId="0" xfId="0" applyFont="1"/>
    <xf numFmtId="1" fontId="9" fillId="0" borderId="0" xfId="0" applyNumberFormat="1" applyFont="1"/>
    <xf numFmtId="10" fontId="3" fillId="0" borderId="0" xfId="0" applyNumberFormat="1" applyFont="1"/>
    <xf numFmtId="10" fontId="4" fillId="0" borderId="21" xfId="0" applyNumberFormat="1" applyFont="1" applyBorder="1"/>
    <xf numFmtId="10" fontId="3" fillId="0" borderId="1" xfId="0" applyNumberFormat="1" applyFont="1" applyBorder="1"/>
    <xf numFmtId="0" fontId="1" fillId="0" borderId="30" xfId="0" applyFont="1" applyBorder="1" applyAlignment="1">
      <alignment vertical="center"/>
    </xf>
    <xf numFmtId="0" fontId="1" fillId="6" borderId="31" xfId="0" applyFont="1" applyFill="1" applyBorder="1" applyAlignment="1">
      <alignment vertical="center"/>
    </xf>
    <xf numFmtId="0" fontId="1" fillId="6" borderId="32" xfId="0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6" borderId="34" xfId="0" applyFill="1" applyBorder="1" applyAlignment="1">
      <alignment horizontal="left" vertical="center"/>
    </xf>
    <xf numFmtId="0" fontId="0" fillId="6" borderId="35" xfId="0" applyFill="1" applyBorder="1" applyAlignment="1">
      <alignment horizontal="left" vertical="center"/>
    </xf>
    <xf numFmtId="0" fontId="2" fillId="0" borderId="33" xfId="0" applyFont="1" applyBorder="1" applyAlignment="1">
      <alignment vertical="center" wrapText="1"/>
    </xf>
    <xf numFmtId="0" fontId="2" fillId="6" borderId="34" xfId="0" applyFont="1" applyFill="1" applyBorder="1" applyAlignment="1">
      <alignment vertical="center" wrapText="1"/>
    </xf>
    <xf numFmtId="0" fontId="2" fillId="6" borderId="35" xfId="0" applyFont="1" applyFill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6" borderId="28" xfId="0" applyFont="1" applyFill="1" applyBorder="1" applyAlignment="1">
      <alignment vertical="center" wrapText="1"/>
    </xf>
    <xf numFmtId="3" fontId="8" fillId="0" borderId="0" xfId="0" applyNumberFormat="1" applyFont="1"/>
    <xf numFmtId="166" fontId="2" fillId="0" borderId="0" xfId="0" applyNumberFormat="1" applyFont="1"/>
    <xf numFmtId="0" fontId="17" fillId="0" borderId="0" xfId="0" applyFont="1" applyAlignment="1">
      <alignment wrapText="1"/>
    </xf>
    <xf numFmtId="3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00000000-3A4C-674D-9E44-403B7A9F2418}"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FF0000"/>
              </a:solidFill>
            </cx:spPr>
          </cx:dataPt>
          <cx:dataPt idx="4"/>
          <cx:dataPt idx="7">
            <cx:spPr>
              <a:solidFill>
                <a:srgbClr val="FF0000"/>
              </a:solidFill>
            </cx:spPr>
          </cx:dataPt>
          <cx:dataPt idx="9"/>
          <cx:dataLabels pos="outEnd">
            <cx:visibility seriesName="0" categoryName="0" value="1"/>
          </cx:dataLabels>
          <cx:dataId val="0"/>
          <cx:layoutPr>
            <cx:subtotals>
              <cx:idx val="4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23090</xdr:colOff>
      <xdr:row>0</xdr:row>
      <xdr:rowOff>0</xdr:rowOff>
    </xdr:from>
    <xdr:to>
      <xdr:col>13</xdr:col>
      <xdr:colOff>464126</xdr:colOff>
      <xdr:row>19</xdr:row>
      <xdr:rowOff>282345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7AAAE3C-02CA-7161-F45B-D3C6FEEBE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1363" y="0"/>
          <a:ext cx="7772400" cy="68748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762001</xdr:colOff>
      <xdr:row>19</xdr:row>
      <xdr:rowOff>346362</xdr:rowOff>
    </xdr:from>
    <xdr:to>
      <xdr:col>13</xdr:col>
      <xdr:colOff>371764</xdr:colOff>
      <xdr:row>26</xdr:row>
      <xdr:rowOff>1458922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19F35D4F-3C43-939F-115E-E0642A664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0819" y="6938817"/>
          <a:ext cx="7772400" cy="6723650"/>
        </a:xfrm>
        <a:prstGeom prst="rect">
          <a:avLst/>
        </a:prstGeom>
      </xdr:spPr>
    </xdr:pic>
    <xdr:clientData/>
  </xdr:twoCellAnchor>
  <xdr:twoCellAnchor editAs="oneCell">
    <xdr:from>
      <xdr:col>14</xdr:col>
      <xdr:colOff>777521</xdr:colOff>
      <xdr:row>3</xdr:row>
      <xdr:rowOff>112887</xdr:rowOff>
    </xdr:from>
    <xdr:to>
      <xdr:col>18</xdr:col>
      <xdr:colOff>585926</xdr:colOff>
      <xdr:row>8</xdr:row>
      <xdr:rowOff>56442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0F9E2BE6-6301-F9D0-13EF-4DCEBD5F2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47188" y="874887"/>
          <a:ext cx="3138627" cy="1157111"/>
        </a:xfrm>
        <a:prstGeom prst="rect">
          <a:avLst/>
        </a:prstGeom>
      </xdr:spPr>
    </xdr:pic>
    <xdr:clientData/>
  </xdr:twoCellAnchor>
  <xdr:twoCellAnchor editAs="oneCell">
    <xdr:from>
      <xdr:col>3</xdr:col>
      <xdr:colOff>1890889</xdr:colOff>
      <xdr:row>29</xdr:row>
      <xdr:rowOff>268112</xdr:rowOff>
    </xdr:from>
    <xdr:to>
      <xdr:col>6</xdr:col>
      <xdr:colOff>39512</xdr:colOff>
      <xdr:row>44</xdr:row>
      <xdr:rowOff>9878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2791B5F1-4525-0AC3-666E-7600D2D75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7556" y="14675556"/>
          <a:ext cx="4724400" cy="3721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761999</xdr:colOff>
      <xdr:row>16</xdr:row>
      <xdr:rowOff>131232</xdr:rowOff>
    </xdr:from>
    <xdr:to>
      <xdr:col>7</xdr:col>
      <xdr:colOff>183444</xdr:colOff>
      <xdr:row>33</xdr:row>
      <xdr:rowOff>70555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420DD6A8-5DF5-D0FF-35AD-D2C6D94D5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499" y="5414432"/>
              <a:ext cx="9035345" cy="55527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(Student) Hodt, August" id="{43398D74-3DCC-C241-A994-5DB95710A202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6-05-31T10:15:34.25" personId="{43398D74-3DCC-C241-A994-5DB95710A202}" id="{7FBFD649-73DC-3E45-AFB4-431B74E98508}">
    <text>Acoustic Doppler current profiler. Bruker Doppler effekten til å måle vannstrømhastigheter og dybde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6" dT="2026-08-13T07:33:57.91" personId="{43398D74-3DCC-C241-A994-5DB95710A202}" id="{BDA96B8D-5E18-9045-AE86-1AED9E260C2D}">
    <text>&gt;1 Mer ordre enn inntekter
&lt;1 mindre ordre enn inntekter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931E78-DE76-684A-A4FA-2D18EF51D099}">
  <we:reference id="wa200009404" version="1.0.0.5" store="nb-NO" storeType="OMEX"/>
  <we:alternateReferences>
    <we:reference id="wa200009404" version="1.0.0.5" store="nb-NO" storeType="OMEX"/>
  </we:alternateReferences>
  <we:properties>
    <we:property name="claude.fileId" value="&quot;595c47f7-88fe-4d26-b925-f2f7e58543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T50"/>
  <sheetViews>
    <sheetView showGridLines="0" topLeftCell="A23" zoomScale="90" zoomScaleNormal="90" workbookViewId="0">
      <selection activeCell="G44" sqref="G44"/>
    </sheetView>
  </sheetViews>
  <sheetFormatPr baseColWidth="10" defaultRowHeight="19" x14ac:dyDescent="0.25"/>
  <cols>
    <col min="1" max="1" width="30.83203125" style="2" customWidth="1"/>
    <col min="2" max="2" width="19.1640625" style="2" customWidth="1"/>
    <col min="3" max="3" width="27.5" style="2" customWidth="1"/>
    <col min="4" max="4" width="63.33203125" style="2" customWidth="1"/>
    <col min="5" max="5" width="10.83203125" style="2"/>
    <col min="6" max="6" width="12" style="2" bestFit="1" customWidth="1"/>
    <col min="7" max="7" width="18.83203125" style="2" customWidth="1"/>
    <col min="8" max="16384" width="10.83203125" style="2"/>
  </cols>
  <sheetData>
    <row r="1" spans="1:20" x14ac:dyDescent="0.25">
      <c r="I1" s="1"/>
    </row>
    <row r="3" spans="1:20" ht="22" thickBot="1" x14ac:dyDescent="0.3">
      <c r="A3" s="27" t="s">
        <v>142</v>
      </c>
      <c r="P3" s="2" t="s">
        <v>239</v>
      </c>
    </row>
    <row r="4" spans="1:20" ht="20" thickBot="1" x14ac:dyDescent="0.3">
      <c r="A4" s="30" t="s">
        <v>143</v>
      </c>
      <c r="B4" s="31" t="s">
        <v>144</v>
      </c>
      <c r="C4" s="31" t="s">
        <v>145</v>
      </c>
      <c r="D4" s="32" t="s">
        <v>146</v>
      </c>
    </row>
    <row r="5" spans="1:20" x14ac:dyDescent="0.25">
      <c r="A5" s="33" t="s">
        <v>147</v>
      </c>
      <c r="B5" s="34" t="s">
        <v>148</v>
      </c>
      <c r="C5" s="34" t="s">
        <v>149</v>
      </c>
      <c r="D5" s="35" t="s">
        <v>150</v>
      </c>
      <c r="G5" s="1"/>
    </row>
    <row r="6" spans="1:20" x14ac:dyDescent="0.25">
      <c r="A6" s="36" t="s">
        <v>151</v>
      </c>
      <c r="B6" s="37" t="s">
        <v>152</v>
      </c>
      <c r="C6" s="37" t="s">
        <v>153</v>
      </c>
      <c r="D6" s="38"/>
      <c r="T6" s="13">
        <f>Modell!B12</f>
        <v>-1.7280387777096413</v>
      </c>
    </row>
    <row r="7" spans="1:20" x14ac:dyDescent="0.25">
      <c r="A7" s="39" t="s">
        <v>154</v>
      </c>
      <c r="B7" s="40" t="s">
        <v>155</v>
      </c>
      <c r="C7" s="40" t="s">
        <v>156</v>
      </c>
      <c r="D7" s="41" t="s">
        <v>157</v>
      </c>
      <c r="T7" s="134">
        <f>Modell!U60/Modell!U53</f>
        <v>0.73234451915961529</v>
      </c>
    </row>
    <row r="8" spans="1:20" x14ac:dyDescent="0.25">
      <c r="A8" s="36" t="s">
        <v>158</v>
      </c>
      <c r="B8" s="37" t="s">
        <v>159</v>
      </c>
      <c r="C8" s="37" t="s">
        <v>159</v>
      </c>
      <c r="D8" s="38" t="s">
        <v>160</v>
      </c>
      <c r="T8" s="13">
        <f>Modell!B7</f>
        <v>545.81799999999998</v>
      </c>
    </row>
    <row r="9" spans="1:20" x14ac:dyDescent="0.25">
      <c r="A9" s="39" t="s">
        <v>161</v>
      </c>
      <c r="B9" s="40" t="s">
        <v>152</v>
      </c>
      <c r="C9" s="40" t="s">
        <v>162</v>
      </c>
      <c r="D9" s="41"/>
    </row>
    <row r="10" spans="1:20" x14ac:dyDescent="0.25">
      <c r="A10" s="36" t="s">
        <v>163</v>
      </c>
      <c r="B10" s="37" t="s">
        <v>164</v>
      </c>
      <c r="C10" s="37" t="s">
        <v>165</v>
      </c>
      <c r="D10" s="38" t="s">
        <v>166</v>
      </c>
    </row>
    <row r="11" spans="1:20" ht="20" thickBot="1" x14ac:dyDescent="0.3">
      <c r="A11" s="42" t="s">
        <v>167</v>
      </c>
      <c r="B11" s="43" t="s">
        <v>168</v>
      </c>
      <c r="C11" s="43" t="s">
        <v>169</v>
      </c>
      <c r="D11" s="44" t="s">
        <v>170</v>
      </c>
    </row>
    <row r="12" spans="1:20" x14ac:dyDescent="0.25">
      <c r="A12" s="28"/>
      <c r="D12" s="29" t="s">
        <v>171</v>
      </c>
    </row>
    <row r="14" spans="1:20" ht="21" x14ac:dyDescent="0.25">
      <c r="A14" s="27" t="s">
        <v>201</v>
      </c>
    </row>
    <row r="15" spans="1:20" ht="20" thickBot="1" x14ac:dyDescent="0.3"/>
    <row r="16" spans="1:20" ht="20" thickBot="1" x14ac:dyDescent="0.3">
      <c r="A16" s="92" t="s">
        <v>202</v>
      </c>
      <c r="B16" s="90"/>
      <c r="C16" s="90"/>
      <c r="D16" s="91"/>
    </row>
    <row r="17" spans="1:4" ht="20" thickBot="1" x14ac:dyDescent="0.3">
      <c r="A17" s="93" t="s">
        <v>203</v>
      </c>
      <c r="B17" s="94" t="s">
        <v>204</v>
      </c>
      <c r="C17" s="95" t="s">
        <v>205</v>
      </c>
      <c r="D17" s="96" t="s">
        <v>206</v>
      </c>
    </row>
    <row r="18" spans="1:4" ht="85" customHeight="1" x14ac:dyDescent="0.25">
      <c r="A18" s="97" t="s">
        <v>207</v>
      </c>
      <c r="B18" s="109" t="s">
        <v>208</v>
      </c>
      <c r="C18" s="98" t="s">
        <v>209</v>
      </c>
      <c r="D18" s="99" t="s">
        <v>210</v>
      </c>
    </row>
    <row r="19" spans="1:4" ht="100" customHeight="1" x14ac:dyDescent="0.25">
      <c r="A19" s="100" t="s">
        <v>211</v>
      </c>
      <c r="B19" s="110" t="s">
        <v>212</v>
      </c>
      <c r="C19" s="101" t="s">
        <v>213</v>
      </c>
      <c r="D19" s="102" t="s">
        <v>214</v>
      </c>
    </row>
    <row r="20" spans="1:4" ht="86" customHeight="1" x14ac:dyDescent="0.25">
      <c r="A20" s="103" t="s">
        <v>215</v>
      </c>
      <c r="B20" s="111" t="s">
        <v>216</v>
      </c>
      <c r="C20" s="104" t="s">
        <v>217</v>
      </c>
      <c r="D20" s="105" t="s">
        <v>218</v>
      </c>
    </row>
    <row r="21" spans="1:4" ht="82" customHeight="1" thickBot="1" x14ac:dyDescent="0.3">
      <c r="A21" s="106" t="s">
        <v>219</v>
      </c>
      <c r="B21" s="114" t="s">
        <v>220</v>
      </c>
      <c r="C21" s="107" t="s">
        <v>221</v>
      </c>
      <c r="D21" s="108" t="s">
        <v>222</v>
      </c>
    </row>
    <row r="22" spans="1:4" ht="20" thickBot="1" x14ac:dyDescent="0.3">
      <c r="B22"/>
    </row>
    <row r="23" spans="1:4" ht="20" thickBot="1" x14ac:dyDescent="0.3">
      <c r="A23" s="92" t="s">
        <v>223</v>
      </c>
      <c r="B23" s="112"/>
      <c r="C23" s="90"/>
      <c r="D23" s="91"/>
    </row>
    <row r="24" spans="1:4" ht="20" thickBot="1" x14ac:dyDescent="0.3">
      <c r="A24" s="93" t="s">
        <v>203</v>
      </c>
      <c r="B24" s="113" t="s">
        <v>204</v>
      </c>
      <c r="C24" s="95" t="s">
        <v>205</v>
      </c>
      <c r="D24" s="96" t="s">
        <v>206</v>
      </c>
    </row>
    <row r="25" spans="1:4" ht="98" customHeight="1" x14ac:dyDescent="0.25">
      <c r="A25" s="122" t="s">
        <v>224</v>
      </c>
      <c r="B25" s="125" t="s">
        <v>212</v>
      </c>
      <c r="C25" s="128" t="s">
        <v>225</v>
      </c>
      <c r="D25" s="131" t="s">
        <v>226</v>
      </c>
    </row>
    <row r="26" spans="1:4" ht="115" customHeight="1" x14ac:dyDescent="0.25">
      <c r="A26" s="124" t="s">
        <v>227</v>
      </c>
      <c r="B26" s="127" t="s">
        <v>228</v>
      </c>
      <c r="C26" s="130" t="s">
        <v>229</v>
      </c>
      <c r="D26" s="102" t="s">
        <v>230</v>
      </c>
    </row>
    <row r="27" spans="1:4" ht="115" customHeight="1" thickBot="1" x14ac:dyDescent="0.3">
      <c r="A27" s="123" t="s">
        <v>243</v>
      </c>
      <c r="B27" s="126" t="s">
        <v>216</v>
      </c>
      <c r="C27" s="129" t="s">
        <v>244</v>
      </c>
      <c r="D27" s="132" t="s">
        <v>245</v>
      </c>
    </row>
    <row r="28" spans="1:4" ht="30" customHeight="1" x14ac:dyDescent="0.25"/>
    <row r="29" spans="1:4" ht="30" customHeight="1" x14ac:dyDescent="0.25">
      <c r="A29" s="135" t="s">
        <v>231</v>
      </c>
      <c r="B29" s="135"/>
      <c r="C29" s="135"/>
      <c r="D29" s="135"/>
    </row>
    <row r="30" spans="1:4" ht="30" customHeight="1" x14ac:dyDescent="0.25"/>
    <row r="31" spans="1:4" ht="30" customHeight="1" x14ac:dyDescent="0.25"/>
    <row r="32" spans="1:4" ht="27" customHeight="1" x14ac:dyDescent="0.25">
      <c r="A32" s="1" t="s">
        <v>132</v>
      </c>
    </row>
    <row r="33" spans="1:3" x14ac:dyDescent="0.25">
      <c r="A33" s="2" t="s">
        <v>133</v>
      </c>
      <c r="B33" s="13">
        <v>168.43578299999999</v>
      </c>
      <c r="C33" s="25">
        <f>B33*21</f>
        <v>3537.1514429999997</v>
      </c>
    </row>
    <row r="34" spans="1:3" x14ac:dyDescent="0.25">
      <c r="A34" s="2" t="s">
        <v>134</v>
      </c>
      <c r="B34" s="13">
        <v>23.809522999999999</v>
      </c>
      <c r="C34" s="25">
        <f t="shared" ref="C34:C37" si="0">B34*21</f>
        <v>499.99998299999999</v>
      </c>
    </row>
    <row r="35" spans="1:3" x14ac:dyDescent="0.25">
      <c r="A35" s="2" t="s">
        <v>135</v>
      </c>
      <c r="B35" s="13">
        <v>26.190477000000001</v>
      </c>
      <c r="C35" s="25">
        <f t="shared" si="0"/>
        <v>550.00001700000007</v>
      </c>
    </row>
    <row r="36" spans="1:3" x14ac:dyDescent="0.25">
      <c r="A36" s="2" t="s">
        <v>136</v>
      </c>
      <c r="B36" s="13">
        <v>7.5</v>
      </c>
      <c r="C36" s="25">
        <f t="shared" si="0"/>
        <v>157.5</v>
      </c>
    </row>
    <row r="37" spans="1:3" x14ac:dyDescent="0.25">
      <c r="A37" s="2" t="s">
        <v>137</v>
      </c>
      <c r="B37" s="13">
        <f>B33+B34</f>
        <v>192.24530599999997</v>
      </c>
      <c r="C37" s="25">
        <f t="shared" si="0"/>
        <v>4037.1514259999994</v>
      </c>
    </row>
    <row r="39" spans="1:3" x14ac:dyDescent="0.25">
      <c r="A39" s="2" t="s">
        <v>128</v>
      </c>
    </row>
    <row r="40" spans="1:3" x14ac:dyDescent="0.25">
      <c r="A40" s="2" t="s">
        <v>129</v>
      </c>
    </row>
    <row r="41" spans="1:3" x14ac:dyDescent="0.25">
      <c r="A41" s="2" t="s">
        <v>130</v>
      </c>
    </row>
    <row r="42" spans="1:3" x14ac:dyDescent="0.25">
      <c r="A42" s="2" t="s">
        <v>131</v>
      </c>
    </row>
    <row r="43" spans="1:3" x14ac:dyDescent="0.25">
      <c r="A43" s="2" t="s">
        <v>138</v>
      </c>
    </row>
    <row r="45" spans="1:3" x14ac:dyDescent="0.25">
      <c r="A45" s="1" t="s">
        <v>232</v>
      </c>
    </row>
    <row r="46" spans="1:3" x14ac:dyDescent="0.25">
      <c r="A46" s="2" t="s">
        <v>250</v>
      </c>
    </row>
    <row r="47" spans="1:3" x14ac:dyDescent="0.25">
      <c r="A47" s="2" t="s">
        <v>249</v>
      </c>
    </row>
    <row r="48" spans="1:3" x14ac:dyDescent="0.25">
      <c r="A48" s="2" t="s">
        <v>236</v>
      </c>
    </row>
    <row r="49" spans="1:1" x14ac:dyDescent="0.25">
      <c r="A49" s="2" t="s">
        <v>234</v>
      </c>
    </row>
    <row r="50" spans="1:1" x14ac:dyDescent="0.25">
      <c r="A50" s="2" t="s">
        <v>233</v>
      </c>
    </row>
  </sheetData>
  <mergeCells count="1">
    <mergeCell ref="A29:D2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IG133"/>
  <sheetViews>
    <sheetView showGridLines="0" tabSelected="1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AH36" sqref="AH36"/>
    </sheetView>
  </sheetViews>
  <sheetFormatPr baseColWidth="10" defaultRowHeight="19" x14ac:dyDescent="0.25"/>
  <cols>
    <col min="1" max="1" width="16.33203125" style="2" bestFit="1" customWidth="1"/>
    <col min="2" max="2" width="10.83203125" style="3"/>
    <col min="3" max="3" width="40.832031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21" width="10.83203125" style="2"/>
    <col min="22" max="22" width="0" style="2" hidden="1" customWidth="1"/>
    <col min="23" max="31" width="10.83203125" style="2"/>
    <col min="32" max="32" width="10.83203125" style="3"/>
    <col min="33" max="42" width="10.83203125" style="2"/>
    <col min="43" max="43" width="14.1640625" style="2" bestFit="1" customWidth="1"/>
    <col min="44" max="44" width="13.33203125" style="2" bestFit="1" customWidth="1"/>
    <col min="45" max="16384" width="10.83203125" style="2"/>
  </cols>
  <sheetData>
    <row r="1" spans="1:4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C1" s="1"/>
      <c r="AJ1" s="2" t="s">
        <v>235</v>
      </c>
    </row>
    <row r="3" spans="1:41" x14ac:dyDescent="0.25">
      <c r="A3" s="1" t="s">
        <v>0</v>
      </c>
      <c r="C3" s="2" t="s">
        <v>37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32</v>
      </c>
      <c r="Q3" s="4" t="s">
        <v>29</v>
      </c>
      <c r="R3" s="4" t="s">
        <v>30</v>
      </c>
      <c r="S3" s="4" t="s">
        <v>31</v>
      </c>
      <c r="T3" s="4" t="s">
        <v>124</v>
      </c>
      <c r="U3" s="4" t="s">
        <v>125</v>
      </c>
      <c r="V3" s="4"/>
      <c r="W3" s="4" t="s">
        <v>126</v>
      </c>
      <c r="X3" s="4" t="s">
        <v>127</v>
      </c>
      <c r="Z3" s="4" t="s">
        <v>122</v>
      </c>
      <c r="AA3" s="4" t="s">
        <v>123</v>
      </c>
      <c r="AB3" s="4" t="s">
        <v>120</v>
      </c>
      <c r="AC3" s="4" t="s">
        <v>121</v>
      </c>
      <c r="AD3" s="4" t="s">
        <v>15</v>
      </c>
      <c r="AE3" s="4" t="s">
        <v>16</v>
      </c>
      <c r="AF3" s="79" t="s">
        <v>17</v>
      </c>
      <c r="AG3" s="4" t="s">
        <v>18</v>
      </c>
      <c r="AH3" s="4" t="s">
        <v>19</v>
      </c>
      <c r="AI3" s="4" t="s">
        <v>20</v>
      </c>
      <c r="AJ3" s="4" t="s">
        <v>21</v>
      </c>
      <c r="AK3" s="4" t="s">
        <v>22</v>
      </c>
      <c r="AL3" s="4" t="s">
        <v>23</v>
      </c>
      <c r="AM3" s="4" t="s">
        <v>24</v>
      </c>
      <c r="AN3" s="4" t="s">
        <v>25</v>
      </c>
      <c r="AO3" s="4" t="s">
        <v>26</v>
      </c>
    </row>
    <row r="4" spans="1:41" s="18" customFormat="1" x14ac:dyDescent="0.25">
      <c r="A4" s="2" t="s">
        <v>1</v>
      </c>
      <c r="B4" s="3">
        <v>18.5</v>
      </c>
      <c r="C4" s="1" t="s">
        <v>44</v>
      </c>
      <c r="L4" s="18">
        <v>220</v>
      </c>
      <c r="M4" s="18">
        <v>230</v>
      </c>
      <c r="N4" s="18">
        <v>213</v>
      </c>
      <c r="O4" s="18">
        <v>298</v>
      </c>
      <c r="P4" s="18">
        <v>341.66399999999999</v>
      </c>
      <c r="Q4" s="18">
        <v>307.97000000000003</v>
      </c>
      <c r="R4" s="18">
        <v>282</v>
      </c>
      <c r="S4" s="18">
        <v>361</v>
      </c>
      <c r="T4" s="18">
        <v>324.01499999999999</v>
      </c>
      <c r="U4" s="18">
        <v>381.13900000000001</v>
      </c>
      <c r="Z4" s="18">
        <v>279.976</v>
      </c>
      <c r="AA4" s="18">
        <v>334.38400000000001</v>
      </c>
      <c r="AB4" s="18">
        <v>629.63900000000001</v>
      </c>
      <c r="AC4" s="18">
        <v>809.76900000000001</v>
      </c>
      <c r="AD4" s="18">
        <v>953.26900000000001</v>
      </c>
      <c r="AE4" s="18">
        <v>1280.4100000000001</v>
      </c>
      <c r="AF4" s="55">
        <f>AE4*1.12</f>
        <v>1434.0592000000001</v>
      </c>
      <c r="AG4" s="18">
        <f>AF4*1.15</f>
        <v>1649.1680800000001</v>
      </c>
      <c r="AH4" s="18">
        <f t="shared" ref="AH4:AJ4" si="0">AG4*1.18</f>
        <v>1946.0183344</v>
      </c>
      <c r="AI4" s="18">
        <f t="shared" si="0"/>
        <v>2296.301634592</v>
      </c>
      <c r="AJ4" s="18">
        <f t="shared" si="0"/>
        <v>2709.6359288185599</v>
      </c>
      <c r="AK4" s="18">
        <f>AJ4*1.15</f>
        <v>3116.0813181413437</v>
      </c>
      <c r="AL4" s="18">
        <f>AK4*1.12</f>
        <v>3490.0110763183052</v>
      </c>
      <c r="AM4" s="18">
        <f t="shared" ref="AM4:AO4" si="1">AL4*1.1</f>
        <v>3839.0121839501362</v>
      </c>
      <c r="AN4" s="18">
        <f t="shared" si="1"/>
        <v>4222.9134023451497</v>
      </c>
      <c r="AO4" s="18">
        <f t="shared" si="1"/>
        <v>4645.2047425796654</v>
      </c>
    </row>
    <row r="5" spans="1:41" s="17" customFormat="1" x14ac:dyDescent="0.25">
      <c r="A5" s="2" t="s">
        <v>2</v>
      </c>
      <c r="B5" s="12">
        <v>192.245306</v>
      </c>
      <c r="C5" s="2" t="s">
        <v>45</v>
      </c>
      <c r="P5" s="17">
        <v>3</v>
      </c>
      <c r="Q5" s="17">
        <v>8.3000000000000007</v>
      </c>
      <c r="T5" s="17">
        <v>3</v>
      </c>
      <c r="U5" s="17">
        <v>4</v>
      </c>
      <c r="Z5" s="17">
        <v>34.067999999999998</v>
      </c>
      <c r="AA5" s="17">
        <v>29.344999999999999</v>
      </c>
      <c r="AB5" s="17">
        <v>10.81</v>
      </c>
      <c r="AC5" s="17">
        <v>7.2089999999999996</v>
      </c>
      <c r="AD5" s="17">
        <v>7.3520000000000003</v>
      </c>
      <c r="AE5" s="17">
        <v>23.452000000000002</v>
      </c>
      <c r="AF5" s="20">
        <v>0</v>
      </c>
      <c r="AG5" s="17">
        <v>0</v>
      </c>
      <c r="AH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</row>
    <row r="6" spans="1:41" s="17" customFormat="1" x14ac:dyDescent="0.25">
      <c r="A6" s="2" t="s">
        <v>40</v>
      </c>
      <c r="B6" s="9">
        <f>B4*B5</f>
        <v>3556.5381609999999</v>
      </c>
      <c r="C6" s="2" t="s">
        <v>46</v>
      </c>
      <c r="P6" s="17">
        <v>-130.40700000000001</v>
      </c>
      <c r="Q6" s="17">
        <v>-97.974000000000004</v>
      </c>
      <c r="T6" s="17">
        <v>-106.607</v>
      </c>
      <c r="U6" s="17">
        <v>-116.08199999999999</v>
      </c>
      <c r="X6" s="18"/>
      <c r="Z6" s="17">
        <v>-76.896000000000001</v>
      </c>
      <c r="AA6" s="17">
        <v>-101.22799999999999</v>
      </c>
      <c r="AB6" s="17">
        <v>-195.172</v>
      </c>
      <c r="AC6" s="17">
        <v>-247.98599999999999</v>
      </c>
      <c r="AD6" s="17">
        <v>-319.815</v>
      </c>
      <c r="AE6" s="17">
        <v>-459.06</v>
      </c>
      <c r="AF6" s="20">
        <f>AF4*-0.3</f>
        <v>-430.21776000000006</v>
      </c>
      <c r="AG6" s="136">
        <f t="shared" ref="AG6:AH6" si="2">AG4*-0.3</f>
        <v>-494.75042400000001</v>
      </c>
      <c r="AH6" s="136">
        <f t="shared" si="2"/>
        <v>-583.80550031999996</v>
      </c>
      <c r="AI6" s="17">
        <f>AI4*-0.3</f>
        <v>-688.89049037760003</v>
      </c>
      <c r="AJ6" s="17">
        <f t="shared" ref="AJ6:AO6" si="3">AJ4*-0.3</f>
        <v>-812.89077864556793</v>
      </c>
      <c r="AK6" s="17">
        <f t="shared" si="3"/>
        <v>-934.8243954424031</v>
      </c>
      <c r="AL6" s="17">
        <f t="shared" si="3"/>
        <v>-1047.0033228954915</v>
      </c>
      <c r="AM6" s="17">
        <f t="shared" si="3"/>
        <v>-1151.7036551850408</v>
      </c>
      <c r="AN6" s="17">
        <f t="shared" si="3"/>
        <v>-1266.8740207035448</v>
      </c>
      <c r="AO6" s="17">
        <f t="shared" si="3"/>
        <v>-1393.5614227738995</v>
      </c>
    </row>
    <row r="7" spans="1:41" s="17" customFormat="1" x14ac:dyDescent="0.25">
      <c r="A7" s="2" t="s">
        <v>41</v>
      </c>
      <c r="B7" s="9">
        <f>U52</f>
        <v>545.81799999999998</v>
      </c>
      <c r="C7" s="2" t="s">
        <v>47</v>
      </c>
      <c r="P7" s="17">
        <f t="shared" ref="P7:Q7" si="4">SUM(P4:P6)</f>
        <v>214.25699999999998</v>
      </c>
      <c r="Q7" s="17">
        <f t="shared" si="4"/>
        <v>218.29600000000005</v>
      </c>
      <c r="T7" s="17">
        <f>SUM(T4:T6)</f>
        <v>220.40799999999999</v>
      </c>
      <c r="U7" s="17">
        <f>SUM(U4:U6)</f>
        <v>269.05700000000002</v>
      </c>
      <c r="X7" s="18"/>
      <c r="Z7" s="17">
        <f t="shared" ref="Z7:AO7" si="5">SUM(Z4:Z6)</f>
        <v>237.14799999999997</v>
      </c>
      <c r="AA7" s="17">
        <f t="shared" si="5"/>
        <v>262.50100000000003</v>
      </c>
      <c r="AB7" s="17">
        <f t="shared" si="5"/>
        <v>445.27699999999993</v>
      </c>
      <c r="AC7" s="17">
        <f t="shared" si="5"/>
        <v>568.99199999999996</v>
      </c>
      <c r="AD7" s="17">
        <f t="shared" si="5"/>
        <v>640.80600000000004</v>
      </c>
      <c r="AE7" s="17">
        <f t="shared" si="5"/>
        <v>844.80200000000013</v>
      </c>
      <c r="AF7" s="20">
        <f>SUM(AF4:AF6)</f>
        <v>1003.8414400000001</v>
      </c>
      <c r="AG7" s="17">
        <f t="shared" si="5"/>
        <v>1154.4176560000001</v>
      </c>
      <c r="AH7" s="17">
        <f t="shared" si="5"/>
        <v>1362.21283408</v>
      </c>
      <c r="AI7" s="17">
        <f t="shared" si="5"/>
        <v>1607.4111442143999</v>
      </c>
      <c r="AJ7" s="17">
        <f t="shared" si="5"/>
        <v>1896.745150172992</v>
      </c>
      <c r="AK7" s="17">
        <f t="shared" si="5"/>
        <v>2181.2569226989408</v>
      </c>
      <c r="AL7" s="17">
        <f t="shared" si="5"/>
        <v>2443.0077534228139</v>
      </c>
      <c r="AM7" s="17">
        <f t="shared" si="5"/>
        <v>2687.3085287650956</v>
      </c>
      <c r="AN7" s="17">
        <f t="shared" si="5"/>
        <v>2956.0393816416049</v>
      </c>
      <c r="AO7" s="17">
        <f t="shared" si="5"/>
        <v>3251.6433198057657</v>
      </c>
    </row>
    <row r="8" spans="1:41" s="17" customFormat="1" x14ac:dyDescent="0.25">
      <c r="A8" s="2" t="s">
        <v>42</v>
      </c>
      <c r="B8" s="9">
        <f>(U61+U67)</f>
        <v>0</v>
      </c>
      <c r="C8" s="2" t="s">
        <v>48</v>
      </c>
      <c r="P8" s="17">
        <v>-100.36499999999999</v>
      </c>
      <c r="Q8" s="17">
        <v>-97</v>
      </c>
      <c r="T8" s="17">
        <v>-108.72</v>
      </c>
      <c r="U8" s="17">
        <v>-123.155</v>
      </c>
      <c r="Z8" s="17">
        <v>-117.809</v>
      </c>
      <c r="AA8" s="17">
        <v>-127.423</v>
      </c>
      <c r="AB8" s="17">
        <v>-214.00700000000001</v>
      </c>
      <c r="AC8" s="17">
        <v>-278.11399999999998</v>
      </c>
      <c r="AD8" s="17">
        <v>-371.14100000000002</v>
      </c>
      <c r="AE8" s="17">
        <v>-427.673</v>
      </c>
      <c r="AF8" s="20">
        <f>AE8*1.16</f>
        <v>-496.10067999999995</v>
      </c>
      <c r="AG8" s="17">
        <f>AF8*1.14</f>
        <v>-565.55477519999988</v>
      </c>
      <c r="AH8" s="17">
        <f>AG8*1.17</f>
        <v>-661.69908698399979</v>
      </c>
      <c r="AI8" s="17">
        <f t="shared" ref="AI8" si="6">AH8*1.18</f>
        <v>-780.80492264111967</v>
      </c>
      <c r="AJ8" s="17">
        <f>AI8*1.17</f>
        <v>-913.54175949010994</v>
      </c>
      <c r="AK8" s="17">
        <f>AJ8*1.15</f>
        <v>-1050.5730234136263</v>
      </c>
      <c r="AL8" s="17">
        <f>AK8*1.12</f>
        <v>-1176.6417862232615</v>
      </c>
      <c r="AM8" s="17">
        <f>AL8*1.1</f>
        <v>-1294.3059648455878</v>
      </c>
      <c r="AN8" s="17">
        <f t="shared" ref="AN8:AO8" si="7">AM8*1.1</f>
        <v>-1423.7365613301467</v>
      </c>
      <c r="AO8" s="17">
        <f t="shared" si="7"/>
        <v>-1566.1102174631615</v>
      </c>
    </row>
    <row r="9" spans="1:41" s="17" customFormat="1" x14ac:dyDescent="0.25">
      <c r="A9" s="5" t="s">
        <v>43</v>
      </c>
      <c r="B9" s="10">
        <f>B6-B7+B8</f>
        <v>3010.7201610000002</v>
      </c>
      <c r="C9" s="2" t="s">
        <v>49</v>
      </c>
      <c r="P9" s="17">
        <v>-17</v>
      </c>
      <c r="Q9" s="17">
        <v>-15.861000000000001</v>
      </c>
      <c r="T9" s="17">
        <v>-15.699</v>
      </c>
      <c r="U9" s="17">
        <v>-25.138000000000002</v>
      </c>
      <c r="Z9" s="17">
        <v>-7.3120000000000003</v>
      </c>
      <c r="AA9" s="17">
        <v>-10.481</v>
      </c>
      <c r="AB9" s="17">
        <v>-30.707000000000001</v>
      </c>
      <c r="AC9" s="17">
        <v>-50.046999999999997</v>
      </c>
      <c r="AD9" s="17">
        <v>-59.384999999999998</v>
      </c>
      <c r="AE9" s="17">
        <v>-64.817999999999998</v>
      </c>
      <c r="AF9" s="20">
        <f t="shared" ref="AF9:AF11" si="8">AE9*1.15</f>
        <v>-74.540699999999987</v>
      </c>
      <c r="AG9" s="17">
        <f t="shared" ref="AG9:AG11" si="9">AF9*1.14</f>
        <v>-84.976397999999975</v>
      </c>
      <c r="AH9" s="17">
        <f t="shared" ref="AH9:AH11" si="10">AG9*1.18</f>
        <v>-100.27214963999997</v>
      </c>
      <c r="AI9" s="17">
        <f t="shared" ref="AI9:AJ9" si="11">AH9*1.18</f>
        <v>-118.32113657519996</v>
      </c>
      <c r="AJ9" s="17">
        <f t="shared" si="11"/>
        <v>-139.61894115873594</v>
      </c>
      <c r="AK9" s="17">
        <f t="shared" ref="AK9:AK10" si="12">AJ9*1.15</f>
        <v>-160.5617823325463</v>
      </c>
      <c r="AL9" s="17">
        <f t="shared" ref="AL9:AL10" si="13">AK9*1.12</f>
        <v>-179.82919621245188</v>
      </c>
      <c r="AM9" s="17">
        <f t="shared" ref="AM9:AO9" si="14">AL9*1.1</f>
        <v>-197.81211583369708</v>
      </c>
      <c r="AN9" s="17">
        <f t="shared" si="14"/>
        <v>-217.5933274170668</v>
      </c>
      <c r="AO9" s="17">
        <f t="shared" si="14"/>
        <v>-239.35266015877349</v>
      </c>
    </row>
    <row r="10" spans="1:41" s="17" customFormat="1" x14ac:dyDescent="0.25">
      <c r="A10" s="2"/>
      <c r="B10" s="3"/>
      <c r="C10" s="2" t="s">
        <v>50</v>
      </c>
      <c r="P10" s="17">
        <v>-37.15</v>
      </c>
      <c r="Q10" s="17">
        <v>-40.219000000000001</v>
      </c>
      <c r="T10" s="17">
        <v>-49</v>
      </c>
      <c r="U10" s="17">
        <v>-53.131</v>
      </c>
      <c r="Z10" s="17">
        <v>-41.728999999999999</v>
      </c>
      <c r="AA10" s="17">
        <v>-50.564</v>
      </c>
      <c r="AB10" s="17">
        <v>-85.62</v>
      </c>
      <c r="AC10" s="17">
        <v>-280.08300000000003</v>
      </c>
      <c r="AD10" s="17">
        <v>-140.47</v>
      </c>
      <c r="AE10" s="17">
        <v>-158.63200000000001</v>
      </c>
      <c r="AF10" s="20">
        <f t="shared" si="8"/>
        <v>-182.42679999999999</v>
      </c>
      <c r="AG10" s="17">
        <f t="shared" si="9"/>
        <v>-207.96655199999998</v>
      </c>
      <c r="AH10" s="17">
        <f t="shared" si="10"/>
        <v>-245.40053135999997</v>
      </c>
      <c r="AI10" s="17">
        <f t="shared" ref="AI10:AJ10" si="15">AH10*1.18</f>
        <v>-289.57262700479993</v>
      </c>
      <c r="AJ10" s="17">
        <f t="shared" si="15"/>
        <v>-341.69569986566387</v>
      </c>
      <c r="AK10" s="17">
        <f t="shared" si="12"/>
        <v>-392.95005484551342</v>
      </c>
      <c r="AL10" s="17">
        <f t="shared" si="13"/>
        <v>-440.10406142697508</v>
      </c>
      <c r="AM10" s="17">
        <f t="shared" ref="AM10:AO10" si="16">AL10*1.1</f>
        <v>-484.11446756967263</v>
      </c>
      <c r="AN10" s="17">
        <f t="shared" si="16"/>
        <v>-532.52591432663996</v>
      </c>
      <c r="AO10" s="17">
        <f t="shared" si="16"/>
        <v>-585.77850575930404</v>
      </c>
    </row>
    <row r="11" spans="1:41" s="17" customFormat="1" x14ac:dyDescent="0.25">
      <c r="A11" s="2"/>
      <c r="B11" s="3"/>
      <c r="C11" s="2" t="s">
        <v>51</v>
      </c>
      <c r="P11" s="17">
        <v>1.4</v>
      </c>
      <c r="Q11" s="17">
        <v>0.30499999999999999</v>
      </c>
      <c r="T11" s="17">
        <v>0</v>
      </c>
      <c r="U11" s="17">
        <v>-0.125</v>
      </c>
      <c r="Z11" s="17">
        <v>0</v>
      </c>
      <c r="AA11" s="17">
        <v>0</v>
      </c>
      <c r="AB11" s="17">
        <v>0</v>
      </c>
      <c r="AC11" s="17">
        <v>0</v>
      </c>
      <c r="AD11" s="17">
        <v>0.13300000000000001</v>
      </c>
      <c r="AE11" s="17">
        <v>-8.2210000000000001</v>
      </c>
      <c r="AF11" s="20">
        <f t="shared" si="8"/>
        <v>-9.4541499999999985</v>
      </c>
      <c r="AG11" s="17">
        <f t="shared" si="9"/>
        <v>-10.777730999999998</v>
      </c>
      <c r="AH11" s="17">
        <f t="shared" si="10"/>
        <v>-12.717722579999997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</row>
    <row r="12" spans="1:41" s="18" customFormat="1" x14ac:dyDescent="0.25">
      <c r="A12" s="2" t="s">
        <v>248</v>
      </c>
      <c r="B12" s="12">
        <f>(B8-B7)/AF27</f>
        <v>-1.7280387777096413</v>
      </c>
      <c r="C12" s="1" t="s">
        <v>52</v>
      </c>
      <c r="D12" s="18">
        <f t="shared" ref="D12:R12" si="17">SUM(D7:D11)</f>
        <v>0</v>
      </c>
      <c r="E12" s="18">
        <f t="shared" si="17"/>
        <v>0</v>
      </c>
      <c r="F12" s="18">
        <f t="shared" si="17"/>
        <v>0</v>
      </c>
      <c r="G12" s="18">
        <f t="shared" si="17"/>
        <v>0</v>
      </c>
      <c r="H12" s="18">
        <f t="shared" si="17"/>
        <v>0</v>
      </c>
      <c r="I12" s="18">
        <f t="shared" si="17"/>
        <v>0</v>
      </c>
      <c r="J12" s="18">
        <f t="shared" si="17"/>
        <v>0</v>
      </c>
      <c r="K12" s="18">
        <f t="shared" si="17"/>
        <v>0</v>
      </c>
      <c r="L12" s="18">
        <f t="shared" si="17"/>
        <v>0</v>
      </c>
      <c r="M12" s="18">
        <f t="shared" si="17"/>
        <v>0</v>
      </c>
      <c r="N12" s="18">
        <f t="shared" si="17"/>
        <v>0</v>
      </c>
      <c r="O12" s="18">
        <f t="shared" si="17"/>
        <v>0</v>
      </c>
      <c r="P12" s="18">
        <f t="shared" si="17"/>
        <v>61.141999999999982</v>
      </c>
      <c r="Q12" s="18">
        <f t="shared" si="17"/>
        <v>65.521000000000043</v>
      </c>
      <c r="R12" s="18">
        <f t="shared" si="17"/>
        <v>0</v>
      </c>
      <c r="S12" s="18">
        <f>SUM(S7:S11)</f>
        <v>0</v>
      </c>
      <c r="T12" s="18">
        <f>SUM(T7:T11)</f>
        <v>46.98899999999999</v>
      </c>
      <c r="U12" s="18">
        <f>SUM(U7:U11)</f>
        <v>67.50800000000001</v>
      </c>
      <c r="Z12" s="18">
        <f t="shared" ref="Z12:AO12" si="18">SUM(Z7:Z11)</f>
        <v>70.297999999999973</v>
      </c>
      <c r="AA12" s="18">
        <f t="shared" si="18"/>
        <v>74.033000000000044</v>
      </c>
      <c r="AB12" s="18">
        <f t="shared" si="18"/>
        <v>114.94299999999993</v>
      </c>
      <c r="AC12" s="18">
        <f t="shared" si="18"/>
        <v>-39.252000000000038</v>
      </c>
      <c r="AD12" s="18">
        <f t="shared" si="18"/>
        <v>69.943000000000026</v>
      </c>
      <c r="AE12" s="18">
        <f t="shared" si="18"/>
        <v>185.45800000000014</v>
      </c>
      <c r="AF12" s="55">
        <f t="shared" si="18"/>
        <v>241.31911000000025</v>
      </c>
      <c r="AG12" s="18">
        <f t="shared" si="18"/>
        <v>285.14219980000024</v>
      </c>
      <c r="AH12" s="18">
        <f t="shared" si="18"/>
        <v>342.12334351600032</v>
      </c>
      <c r="AI12" s="18">
        <f t="shared" si="18"/>
        <v>418.71245799328034</v>
      </c>
      <c r="AJ12" s="18">
        <f t="shared" si="18"/>
        <v>501.8887496584822</v>
      </c>
      <c r="AK12" s="18">
        <f t="shared" si="18"/>
        <v>577.17206210725476</v>
      </c>
      <c r="AL12" s="18">
        <f t="shared" si="18"/>
        <v>646.43270956012543</v>
      </c>
      <c r="AM12" s="18">
        <f t="shared" si="18"/>
        <v>711.07598051613809</v>
      </c>
      <c r="AN12" s="18">
        <f t="shared" si="18"/>
        <v>782.1835785677514</v>
      </c>
      <c r="AO12" s="18">
        <f t="shared" si="18"/>
        <v>860.40193642452675</v>
      </c>
    </row>
    <row r="13" spans="1:41" s="17" customFormat="1" x14ac:dyDescent="0.25">
      <c r="A13" s="2"/>
      <c r="B13" s="11"/>
      <c r="C13" s="2" t="s">
        <v>53</v>
      </c>
      <c r="P13" s="17">
        <v>5.6479999999999997</v>
      </c>
      <c r="Q13" s="17">
        <v>16.899000000000001</v>
      </c>
      <c r="T13" s="17">
        <v>5.8</v>
      </c>
      <c r="U13" s="17">
        <v>15.316000000000001</v>
      </c>
      <c r="Z13" s="17">
        <v>13.795999999999999</v>
      </c>
      <c r="AA13" s="17">
        <v>9.7840000000000007</v>
      </c>
      <c r="AB13" s="17">
        <v>20.99</v>
      </c>
      <c r="AC13" s="17">
        <v>23.024999999999999</v>
      </c>
      <c r="AD13" s="17">
        <v>41.228000000000002</v>
      </c>
      <c r="AE13" s="17">
        <v>49.905999999999999</v>
      </c>
      <c r="AF13" s="20">
        <f>AE13*1.1</f>
        <v>54.896600000000007</v>
      </c>
      <c r="AG13" s="17">
        <f t="shared" ref="AG13:AO13" si="19">AF13*1.1</f>
        <v>60.386260000000014</v>
      </c>
      <c r="AH13" s="17">
        <f t="shared" si="19"/>
        <v>66.424886000000015</v>
      </c>
      <c r="AI13" s="17">
        <f t="shared" si="19"/>
        <v>73.067374600000022</v>
      </c>
      <c r="AJ13" s="17">
        <f t="shared" si="19"/>
        <v>80.37411206000003</v>
      </c>
      <c r="AK13" s="17">
        <f t="shared" si="19"/>
        <v>88.411523266000046</v>
      </c>
      <c r="AL13" s="17">
        <f t="shared" si="19"/>
        <v>97.252675592600056</v>
      </c>
      <c r="AM13" s="17">
        <f t="shared" si="19"/>
        <v>106.97794315186007</v>
      </c>
      <c r="AN13" s="17">
        <f t="shared" si="19"/>
        <v>117.67573746704609</v>
      </c>
      <c r="AO13" s="17">
        <f t="shared" si="19"/>
        <v>129.44331121375072</v>
      </c>
    </row>
    <row r="14" spans="1:41" s="17" customFormat="1" x14ac:dyDescent="0.25">
      <c r="B14" s="20"/>
      <c r="C14" s="2" t="s">
        <v>54</v>
      </c>
      <c r="P14" s="17">
        <v>-7.4649999999999999</v>
      </c>
      <c r="Q14" s="17">
        <v>-9.6</v>
      </c>
      <c r="T14" s="17">
        <v>-10.789</v>
      </c>
      <c r="U14" s="17">
        <v>-12.144</v>
      </c>
      <c r="Z14" s="17">
        <v>-25.664000000000001</v>
      </c>
      <c r="AA14" s="17">
        <v>-10.781000000000001</v>
      </c>
      <c r="AB14" s="17">
        <v>-26.009</v>
      </c>
      <c r="AC14" s="17">
        <v>-35.866999999999997</v>
      </c>
      <c r="AD14" s="17">
        <v>-48.731999999999999</v>
      </c>
      <c r="AE14" s="17">
        <v>-48.112000000000002</v>
      </c>
      <c r="AF14" s="20">
        <f>AE14*1.05</f>
        <v>-50.517600000000002</v>
      </c>
      <c r="AG14" s="17">
        <f t="shared" ref="AG14:AO14" si="20">AF14*1.05</f>
        <v>-53.043480000000002</v>
      </c>
      <c r="AH14" s="17">
        <f t="shared" si="20"/>
        <v>-55.695654000000005</v>
      </c>
      <c r="AI14" s="17">
        <f t="shared" si="20"/>
        <v>-58.480436700000006</v>
      </c>
      <c r="AJ14" s="17">
        <f t="shared" si="20"/>
        <v>-61.40445853500001</v>
      </c>
      <c r="AK14" s="17">
        <f t="shared" si="20"/>
        <v>-64.474681461750009</v>
      </c>
      <c r="AL14" s="17">
        <f t="shared" si="20"/>
        <v>-67.698415534837508</v>
      </c>
      <c r="AM14" s="17">
        <f t="shared" si="20"/>
        <v>-71.083336311579387</v>
      </c>
      <c r="AN14" s="17">
        <f t="shared" si="20"/>
        <v>-74.637503127158354</v>
      </c>
      <c r="AO14" s="17">
        <f t="shared" si="20"/>
        <v>-78.369378283516269</v>
      </c>
    </row>
    <row r="15" spans="1:41" s="17" customFormat="1" x14ac:dyDescent="0.25">
      <c r="A15" s="1"/>
      <c r="B15" s="23"/>
      <c r="C15" s="2" t="s">
        <v>55</v>
      </c>
      <c r="P15" s="17">
        <v>0</v>
      </c>
      <c r="Q15" s="17">
        <v>0</v>
      </c>
      <c r="T15" s="17">
        <v>0</v>
      </c>
      <c r="U15" s="17">
        <v>0</v>
      </c>
      <c r="Z15" s="17">
        <v>0</v>
      </c>
      <c r="AA15" s="17">
        <v>0</v>
      </c>
      <c r="AB15" s="17">
        <v>-4.5919999999999996</v>
      </c>
      <c r="AC15" s="17">
        <v>-3.3919999999999999</v>
      </c>
      <c r="AD15" s="17">
        <v>-1.782</v>
      </c>
      <c r="AE15" s="17">
        <v>0</v>
      </c>
      <c r="AF15" s="20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</row>
    <row r="16" spans="1:41" s="17" customFormat="1" x14ac:dyDescent="0.25">
      <c r="A16" s="1"/>
      <c r="B16" s="24"/>
      <c r="C16" s="2" t="s">
        <v>56</v>
      </c>
      <c r="D16" s="17">
        <f t="shared" ref="D16:R16" si="21">SUM(D12:D15)</f>
        <v>0</v>
      </c>
      <c r="E16" s="17">
        <f t="shared" si="21"/>
        <v>0</v>
      </c>
      <c r="F16" s="17">
        <f t="shared" si="21"/>
        <v>0</v>
      </c>
      <c r="G16" s="17">
        <f t="shared" si="21"/>
        <v>0</v>
      </c>
      <c r="H16" s="17">
        <f t="shared" si="21"/>
        <v>0</v>
      </c>
      <c r="I16" s="17">
        <f t="shared" si="21"/>
        <v>0</v>
      </c>
      <c r="J16" s="17">
        <f t="shared" si="21"/>
        <v>0</v>
      </c>
      <c r="K16" s="17">
        <f t="shared" si="21"/>
        <v>0</v>
      </c>
      <c r="L16" s="17">
        <f t="shared" si="21"/>
        <v>0</v>
      </c>
      <c r="M16" s="17">
        <f t="shared" si="21"/>
        <v>0</v>
      </c>
      <c r="N16" s="17">
        <f t="shared" si="21"/>
        <v>0</v>
      </c>
      <c r="O16" s="17">
        <f t="shared" si="21"/>
        <v>0</v>
      </c>
      <c r="P16" s="17">
        <f t="shared" si="21"/>
        <v>59.324999999999974</v>
      </c>
      <c r="Q16" s="17">
        <f t="shared" si="21"/>
        <v>72.82000000000005</v>
      </c>
      <c r="R16" s="17">
        <f t="shared" si="21"/>
        <v>0</v>
      </c>
      <c r="S16" s="17">
        <f>SUM(S12:S15)</f>
        <v>0</v>
      </c>
      <c r="T16" s="17">
        <f t="shared" ref="T16:U16" si="22">SUM(T12:T15)</f>
        <v>41.999999999999986</v>
      </c>
      <c r="U16" s="17">
        <f t="shared" si="22"/>
        <v>70.680000000000007</v>
      </c>
      <c r="Y16" s="18"/>
      <c r="Z16" s="17">
        <f t="shared" ref="Z16:AO16" si="23">SUM(Z12:Z15)</f>
        <v>58.429999999999964</v>
      </c>
      <c r="AA16" s="17">
        <f t="shared" si="23"/>
        <v>73.036000000000044</v>
      </c>
      <c r="AB16" s="17">
        <f t="shared" si="23"/>
        <v>105.33199999999994</v>
      </c>
      <c r="AC16" s="17">
        <f t="shared" si="23"/>
        <v>-55.48600000000004</v>
      </c>
      <c r="AD16" s="17">
        <f t="shared" si="23"/>
        <v>60.657000000000025</v>
      </c>
      <c r="AE16" s="17">
        <f t="shared" si="23"/>
        <v>187.25200000000015</v>
      </c>
      <c r="AF16" s="20">
        <f t="shared" si="23"/>
        <v>245.69811000000027</v>
      </c>
      <c r="AG16" s="17">
        <f t="shared" si="23"/>
        <v>292.48497980000025</v>
      </c>
      <c r="AH16" s="17">
        <f t="shared" si="23"/>
        <v>352.85257551600034</v>
      </c>
      <c r="AI16" s="17">
        <f t="shared" si="23"/>
        <v>433.2993958932804</v>
      </c>
      <c r="AJ16" s="17">
        <f t="shared" si="23"/>
        <v>520.85840318348221</v>
      </c>
      <c r="AK16" s="17">
        <f t="shared" si="23"/>
        <v>601.10890391150474</v>
      </c>
      <c r="AL16" s="17">
        <f t="shared" si="23"/>
        <v>675.98696961788801</v>
      </c>
      <c r="AM16" s="17">
        <f t="shared" si="23"/>
        <v>746.97058735641872</v>
      </c>
      <c r="AN16" s="17">
        <f t="shared" si="23"/>
        <v>825.22181290763922</v>
      </c>
      <c r="AO16" s="17">
        <f t="shared" si="23"/>
        <v>911.47586935476113</v>
      </c>
    </row>
    <row r="17" spans="1:241" s="17" customFormat="1" x14ac:dyDescent="0.25">
      <c r="B17" s="20"/>
      <c r="C17" s="2" t="s">
        <v>57</v>
      </c>
      <c r="P17" s="17">
        <v>-15.298</v>
      </c>
      <c r="Q17" s="17">
        <v>-14</v>
      </c>
      <c r="T17" s="17">
        <v>-16</v>
      </c>
      <c r="U17" s="17">
        <v>-6</v>
      </c>
      <c r="Z17" s="17">
        <v>-10.734</v>
      </c>
      <c r="AA17" s="17">
        <v>-16.061</v>
      </c>
      <c r="AB17" s="17">
        <v>-26.600999999999999</v>
      </c>
      <c r="AC17" s="17">
        <v>-17.039000000000001</v>
      </c>
      <c r="AD17" s="17">
        <v>-21.475000000000001</v>
      </c>
      <c r="AE17" s="17">
        <v>-22.170999999999999</v>
      </c>
      <c r="AF17" s="20">
        <f>AF16*-0.22</f>
        <v>-54.05358420000006</v>
      </c>
      <c r="AG17" s="17">
        <f t="shared" ref="AG17:AO17" si="24">AG16*-0.22</f>
        <v>-64.346695556000057</v>
      </c>
      <c r="AH17" s="17">
        <f t="shared" si="24"/>
        <v>-77.627566613520074</v>
      </c>
      <c r="AI17" s="17">
        <f t="shared" si="24"/>
        <v>-95.325867096521691</v>
      </c>
      <c r="AJ17" s="17">
        <f t="shared" si="24"/>
        <v>-114.58884870036609</v>
      </c>
      <c r="AK17" s="17">
        <f t="shared" si="24"/>
        <v>-132.24395886053105</v>
      </c>
      <c r="AL17" s="17">
        <f t="shared" si="24"/>
        <v>-148.71713331593537</v>
      </c>
      <c r="AM17" s="17">
        <f t="shared" si="24"/>
        <v>-164.33352921841211</v>
      </c>
      <c r="AN17" s="17">
        <f t="shared" si="24"/>
        <v>-181.54879883968064</v>
      </c>
      <c r="AO17" s="17">
        <f t="shared" si="24"/>
        <v>-200.52469125804745</v>
      </c>
    </row>
    <row r="18" spans="1:241" s="18" customFormat="1" x14ac:dyDescent="0.25">
      <c r="A18" s="2"/>
      <c r="B18" s="3"/>
      <c r="C18" s="1" t="s">
        <v>58</v>
      </c>
      <c r="D18" s="18">
        <f t="shared" ref="D18:R18" si="25">SUM(D16:D17)</f>
        <v>0</v>
      </c>
      <c r="E18" s="18">
        <f t="shared" si="25"/>
        <v>0</v>
      </c>
      <c r="F18" s="18">
        <f t="shared" si="25"/>
        <v>0</v>
      </c>
      <c r="G18" s="18">
        <f t="shared" si="25"/>
        <v>0</v>
      </c>
      <c r="H18" s="18">
        <f t="shared" si="25"/>
        <v>0</v>
      </c>
      <c r="I18" s="18">
        <f t="shared" si="25"/>
        <v>0</v>
      </c>
      <c r="J18" s="18">
        <f t="shared" si="25"/>
        <v>0</v>
      </c>
      <c r="K18" s="18">
        <f t="shared" si="25"/>
        <v>0</v>
      </c>
      <c r="L18" s="18">
        <f t="shared" si="25"/>
        <v>0</v>
      </c>
      <c r="M18" s="18">
        <f t="shared" si="25"/>
        <v>0</v>
      </c>
      <c r="N18" s="18">
        <f t="shared" si="25"/>
        <v>0</v>
      </c>
      <c r="O18" s="18">
        <f t="shared" si="25"/>
        <v>0</v>
      </c>
      <c r="P18" s="18">
        <f t="shared" si="25"/>
        <v>44.026999999999973</v>
      </c>
      <c r="Q18" s="18">
        <f t="shared" si="25"/>
        <v>58.82000000000005</v>
      </c>
      <c r="R18" s="18">
        <f t="shared" si="25"/>
        <v>0</v>
      </c>
      <c r="S18" s="18">
        <f>SUM(S16:S17)</f>
        <v>0</v>
      </c>
      <c r="T18" s="18">
        <f t="shared" ref="T18:U18" si="26">SUM(T16:T17)</f>
        <v>25.999999999999986</v>
      </c>
      <c r="U18" s="18">
        <f t="shared" si="26"/>
        <v>64.680000000000007</v>
      </c>
      <c r="Z18" s="18">
        <f t="shared" ref="Z18:AO18" si="27">SUM(Z16:Z17)</f>
        <v>47.695999999999962</v>
      </c>
      <c r="AA18" s="18">
        <f t="shared" si="27"/>
        <v>56.975000000000044</v>
      </c>
      <c r="AB18" s="18">
        <f t="shared" si="27"/>
        <v>78.730999999999938</v>
      </c>
      <c r="AC18" s="18">
        <f t="shared" si="27"/>
        <v>-72.525000000000034</v>
      </c>
      <c r="AD18" s="18">
        <f t="shared" si="27"/>
        <v>39.182000000000023</v>
      </c>
      <c r="AE18" s="18">
        <f t="shared" si="27"/>
        <v>165.08100000000016</v>
      </c>
      <c r="AF18" s="55">
        <f t="shared" si="27"/>
        <v>191.64452580000022</v>
      </c>
      <c r="AG18" s="18">
        <f t="shared" si="27"/>
        <v>228.1382842440002</v>
      </c>
      <c r="AH18" s="18">
        <f t="shared" si="27"/>
        <v>275.22500890248028</v>
      </c>
      <c r="AI18" s="18">
        <f t="shared" si="27"/>
        <v>337.97352879675873</v>
      </c>
      <c r="AJ18" s="18">
        <f t="shared" si="27"/>
        <v>406.26955448311611</v>
      </c>
      <c r="AK18" s="18">
        <f t="shared" si="27"/>
        <v>468.86494505097369</v>
      </c>
      <c r="AL18" s="18">
        <f t="shared" si="27"/>
        <v>527.26983630195264</v>
      </c>
      <c r="AM18" s="18">
        <f t="shared" si="27"/>
        <v>582.63705813800664</v>
      </c>
      <c r="AN18" s="18">
        <f t="shared" si="27"/>
        <v>643.67301406795855</v>
      </c>
      <c r="AO18" s="18">
        <f t="shared" si="27"/>
        <v>710.95117809671365</v>
      </c>
      <c r="AP18" s="18">
        <f>AO18*(1+$AR$22)</f>
        <v>703.84166631574647</v>
      </c>
      <c r="AQ18" s="18">
        <f t="shared" ref="AQ18:DB18" si="28">AP18*(1+$AR$22)</f>
        <v>696.80324965258899</v>
      </c>
      <c r="AR18" s="18">
        <f t="shared" si="28"/>
        <v>689.83521715606309</v>
      </c>
      <c r="AS18" s="18">
        <f t="shared" si="28"/>
        <v>682.93686498450245</v>
      </c>
      <c r="AT18" s="18">
        <f t="shared" si="28"/>
        <v>676.10749633465741</v>
      </c>
      <c r="AU18" s="18">
        <f t="shared" si="28"/>
        <v>669.34642137131084</v>
      </c>
      <c r="AV18" s="18">
        <f t="shared" si="28"/>
        <v>662.65295715759771</v>
      </c>
      <c r="AW18" s="18">
        <f t="shared" si="28"/>
        <v>656.02642758602178</v>
      </c>
      <c r="AX18" s="18">
        <f t="shared" si="28"/>
        <v>649.46616331016151</v>
      </c>
      <c r="AY18" s="18">
        <f t="shared" si="28"/>
        <v>642.9715016770599</v>
      </c>
      <c r="AZ18" s="18">
        <f t="shared" si="28"/>
        <v>636.54178666028929</v>
      </c>
      <c r="BA18" s="18">
        <f t="shared" si="28"/>
        <v>630.17636879368638</v>
      </c>
      <c r="BB18" s="18">
        <f t="shared" si="28"/>
        <v>623.87460510574954</v>
      </c>
      <c r="BC18" s="18">
        <f t="shared" si="28"/>
        <v>617.63585905469199</v>
      </c>
      <c r="BD18" s="18">
        <f t="shared" si="28"/>
        <v>611.45950046414509</v>
      </c>
      <c r="BE18" s="18">
        <f t="shared" si="28"/>
        <v>605.34490545950359</v>
      </c>
      <c r="BF18" s="18">
        <f t="shared" si="28"/>
        <v>599.29145640490856</v>
      </c>
      <c r="BG18" s="18">
        <f t="shared" si="28"/>
        <v>593.29854184085946</v>
      </c>
      <c r="BH18" s="18">
        <f t="shared" si="28"/>
        <v>587.36555642245082</v>
      </c>
      <c r="BI18" s="18">
        <f t="shared" si="28"/>
        <v>581.49190085822636</v>
      </c>
      <c r="BJ18" s="18">
        <f t="shared" si="28"/>
        <v>575.67698184964411</v>
      </c>
      <c r="BK18" s="18">
        <f t="shared" si="28"/>
        <v>569.92021203114768</v>
      </c>
      <c r="BL18" s="18">
        <f t="shared" si="28"/>
        <v>564.22100991083619</v>
      </c>
      <c r="BM18" s="18">
        <f t="shared" si="28"/>
        <v>558.57879981172778</v>
      </c>
      <c r="BN18" s="18">
        <f t="shared" si="28"/>
        <v>552.99301181361045</v>
      </c>
      <c r="BO18" s="18">
        <f t="shared" si="28"/>
        <v>547.46308169547433</v>
      </c>
      <c r="BP18" s="18">
        <f t="shared" si="28"/>
        <v>541.98845087851953</v>
      </c>
      <c r="BQ18" s="18">
        <f t="shared" si="28"/>
        <v>536.5685663697343</v>
      </c>
      <c r="BR18" s="18">
        <f t="shared" si="28"/>
        <v>531.20288070603692</v>
      </c>
      <c r="BS18" s="18">
        <f t="shared" si="28"/>
        <v>525.89085189897651</v>
      </c>
      <c r="BT18" s="18">
        <f t="shared" si="28"/>
        <v>520.63194337998675</v>
      </c>
      <c r="BU18" s="18">
        <f t="shared" si="28"/>
        <v>515.42562394618687</v>
      </c>
      <c r="BV18" s="18">
        <f t="shared" si="28"/>
        <v>510.27136770672502</v>
      </c>
      <c r="BW18" s="18">
        <f t="shared" si="28"/>
        <v>505.16865402965777</v>
      </c>
      <c r="BX18" s="18">
        <f t="shared" si="28"/>
        <v>500.11696748936117</v>
      </c>
      <c r="BY18" s="18">
        <f t="shared" si="28"/>
        <v>495.11579781446756</v>
      </c>
      <c r="BZ18" s="18">
        <f t="shared" si="28"/>
        <v>490.16463983632286</v>
      </c>
      <c r="CA18" s="18">
        <f t="shared" si="28"/>
        <v>485.26299343795961</v>
      </c>
      <c r="CB18" s="18">
        <f t="shared" si="28"/>
        <v>480.41036350358002</v>
      </c>
      <c r="CC18" s="18">
        <f t="shared" si="28"/>
        <v>475.60625986854421</v>
      </c>
      <c r="CD18" s="18">
        <f t="shared" si="28"/>
        <v>470.85019726985877</v>
      </c>
      <c r="CE18" s="18">
        <f t="shared" si="28"/>
        <v>466.1416952971602</v>
      </c>
      <c r="CF18" s="18">
        <f t="shared" si="28"/>
        <v>461.4802783441886</v>
      </c>
      <c r="CG18" s="18">
        <f t="shared" si="28"/>
        <v>456.86547556074669</v>
      </c>
      <c r="CH18" s="18">
        <f t="shared" si="28"/>
        <v>452.29682080513919</v>
      </c>
      <c r="CI18" s="18">
        <f t="shared" si="28"/>
        <v>447.7738525970878</v>
      </c>
      <c r="CJ18" s="18">
        <f t="shared" si="28"/>
        <v>443.2961140711169</v>
      </c>
      <c r="CK18" s="18">
        <f t="shared" si="28"/>
        <v>438.8631529304057</v>
      </c>
      <c r="CL18" s="18">
        <f t="shared" si="28"/>
        <v>434.47452140110164</v>
      </c>
      <c r="CM18" s="18">
        <f t="shared" si="28"/>
        <v>430.12977618709061</v>
      </c>
      <c r="CN18" s="18">
        <f t="shared" si="28"/>
        <v>425.82847842521971</v>
      </c>
      <c r="CO18" s="18">
        <f t="shared" si="28"/>
        <v>421.57019364096749</v>
      </c>
      <c r="CP18" s="18">
        <f t="shared" si="28"/>
        <v>417.3544917045578</v>
      </c>
      <c r="CQ18" s="18">
        <f t="shared" si="28"/>
        <v>413.1809467875122</v>
      </c>
      <c r="CR18" s="18">
        <f t="shared" si="28"/>
        <v>409.04913731963705</v>
      </c>
      <c r="CS18" s="18">
        <f t="shared" si="28"/>
        <v>404.9586459464407</v>
      </c>
      <c r="CT18" s="18">
        <f t="shared" si="28"/>
        <v>400.90905948697628</v>
      </c>
      <c r="CU18" s="18">
        <f t="shared" si="28"/>
        <v>396.89996889210653</v>
      </c>
      <c r="CV18" s="18">
        <f t="shared" si="28"/>
        <v>392.93096920318544</v>
      </c>
      <c r="CW18" s="18">
        <f t="shared" si="28"/>
        <v>389.0016595111536</v>
      </c>
      <c r="CX18" s="18">
        <f t="shared" si="28"/>
        <v>385.11164291604206</v>
      </c>
      <c r="CY18" s="18">
        <f t="shared" si="28"/>
        <v>381.26052648688164</v>
      </c>
      <c r="CZ18" s="18">
        <f t="shared" si="28"/>
        <v>377.44792122201284</v>
      </c>
      <c r="DA18" s="18">
        <f t="shared" si="28"/>
        <v>373.67344200979272</v>
      </c>
      <c r="DB18" s="18">
        <f t="shared" si="28"/>
        <v>369.93670758969478</v>
      </c>
      <c r="DC18" s="18">
        <f t="shared" ref="DC18:FN18" si="29">DB18*(1+$AR$22)</f>
        <v>366.23734051379785</v>
      </c>
      <c r="DD18" s="18">
        <f t="shared" si="29"/>
        <v>362.57496710865985</v>
      </c>
      <c r="DE18" s="18">
        <f t="shared" si="29"/>
        <v>358.94921743757322</v>
      </c>
      <c r="DF18" s="18">
        <f t="shared" si="29"/>
        <v>355.3597252631975</v>
      </c>
      <c r="DG18" s="18">
        <f t="shared" si="29"/>
        <v>351.80612801056554</v>
      </c>
      <c r="DH18" s="18">
        <f t="shared" si="29"/>
        <v>348.28806673045989</v>
      </c>
      <c r="DI18" s="18">
        <f t="shared" si="29"/>
        <v>344.8051860631553</v>
      </c>
      <c r="DJ18" s="18">
        <f t="shared" si="29"/>
        <v>341.35713420252375</v>
      </c>
      <c r="DK18" s="18">
        <f t="shared" si="29"/>
        <v>337.9435628604985</v>
      </c>
      <c r="DL18" s="18">
        <f t="shared" si="29"/>
        <v>334.56412723189351</v>
      </c>
      <c r="DM18" s="18">
        <f t="shared" si="29"/>
        <v>331.21848595957459</v>
      </c>
      <c r="DN18" s="18">
        <f t="shared" si="29"/>
        <v>327.90630109997886</v>
      </c>
      <c r="DO18" s="18">
        <f t="shared" si="29"/>
        <v>324.62723808897908</v>
      </c>
      <c r="DP18" s="18">
        <f t="shared" si="29"/>
        <v>321.38096570808926</v>
      </c>
      <c r="DQ18" s="18">
        <f t="shared" si="29"/>
        <v>318.16715605100836</v>
      </c>
      <c r="DR18" s="18">
        <f t="shared" si="29"/>
        <v>314.98548449049827</v>
      </c>
      <c r="DS18" s="18">
        <f t="shared" si="29"/>
        <v>311.83562964559326</v>
      </c>
      <c r="DT18" s="18">
        <f t="shared" si="29"/>
        <v>308.71727334913732</v>
      </c>
      <c r="DU18" s="18">
        <f t="shared" si="29"/>
        <v>305.63010061564592</v>
      </c>
      <c r="DV18" s="18">
        <f t="shared" si="29"/>
        <v>302.57379960948947</v>
      </c>
      <c r="DW18" s="18">
        <f t="shared" si="29"/>
        <v>299.54806161339457</v>
      </c>
      <c r="DX18" s="18">
        <f t="shared" si="29"/>
        <v>296.55258099726063</v>
      </c>
      <c r="DY18" s="18">
        <f t="shared" si="29"/>
        <v>293.587055187288</v>
      </c>
      <c r="DZ18" s="18">
        <f t="shared" si="29"/>
        <v>290.65118463541512</v>
      </c>
      <c r="EA18" s="18">
        <f t="shared" si="29"/>
        <v>287.74467278906098</v>
      </c>
      <c r="EB18" s="18">
        <f t="shared" si="29"/>
        <v>284.86722606117036</v>
      </c>
      <c r="EC18" s="18">
        <f t="shared" si="29"/>
        <v>282.01855380055866</v>
      </c>
      <c r="ED18" s="18">
        <f t="shared" si="29"/>
        <v>279.19836826255306</v>
      </c>
      <c r="EE18" s="18">
        <f t="shared" si="29"/>
        <v>276.40638457992753</v>
      </c>
      <c r="EF18" s="18">
        <f t="shared" si="29"/>
        <v>273.64232073412825</v>
      </c>
      <c r="EG18" s="18">
        <f t="shared" si="29"/>
        <v>270.90589752678699</v>
      </c>
      <c r="EH18" s="18">
        <f t="shared" si="29"/>
        <v>268.19683855151914</v>
      </c>
      <c r="EI18" s="18">
        <f t="shared" si="29"/>
        <v>265.51487016600396</v>
      </c>
      <c r="EJ18" s="18">
        <f t="shared" si="29"/>
        <v>262.85972146434392</v>
      </c>
      <c r="EK18" s="18">
        <f t="shared" si="29"/>
        <v>260.23112424970049</v>
      </c>
      <c r="EL18" s="18">
        <f t="shared" si="29"/>
        <v>257.62881300720346</v>
      </c>
      <c r="EM18" s="18">
        <f t="shared" si="29"/>
        <v>255.05252487713142</v>
      </c>
      <c r="EN18" s="18">
        <f t="shared" si="29"/>
        <v>252.5019996283601</v>
      </c>
      <c r="EO18" s="18">
        <f t="shared" si="29"/>
        <v>249.97697963207651</v>
      </c>
      <c r="EP18" s="18">
        <f t="shared" si="29"/>
        <v>247.47720983575573</v>
      </c>
      <c r="EQ18" s="18">
        <f t="shared" si="29"/>
        <v>245.00243773739817</v>
      </c>
      <c r="ER18" s="18">
        <f t="shared" si="29"/>
        <v>242.55241336002419</v>
      </c>
      <c r="ES18" s="18">
        <f t="shared" si="29"/>
        <v>240.12688922642394</v>
      </c>
      <c r="ET18" s="18">
        <f t="shared" si="29"/>
        <v>237.72562033415969</v>
      </c>
      <c r="EU18" s="18">
        <f t="shared" si="29"/>
        <v>235.34836413081808</v>
      </c>
      <c r="EV18" s="18">
        <f t="shared" si="29"/>
        <v>232.99488048950991</v>
      </c>
      <c r="EW18" s="18">
        <f t="shared" si="29"/>
        <v>230.6649316846148</v>
      </c>
      <c r="EX18" s="18">
        <f t="shared" si="29"/>
        <v>228.35828236776865</v>
      </c>
      <c r="EY18" s="18">
        <f t="shared" si="29"/>
        <v>226.07469954409098</v>
      </c>
      <c r="EZ18" s="18">
        <f t="shared" si="29"/>
        <v>223.81395254865006</v>
      </c>
      <c r="FA18" s="18">
        <f t="shared" si="29"/>
        <v>221.57581302316356</v>
      </c>
      <c r="FB18" s="18">
        <f t="shared" si="29"/>
        <v>219.36005489293191</v>
      </c>
      <c r="FC18" s="18">
        <f t="shared" si="29"/>
        <v>217.1664543440026</v>
      </c>
      <c r="FD18" s="18">
        <f t="shared" si="29"/>
        <v>214.99478980056259</v>
      </c>
      <c r="FE18" s="18">
        <f t="shared" si="29"/>
        <v>212.84484190255696</v>
      </c>
      <c r="FF18" s="18">
        <f t="shared" si="29"/>
        <v>210.71639348353139</v>
      </c>
      <c r="FG18" s="18">
        <f t="shared" si="29"/>
        <v>208.60922954869608</v>
      </c>
      <c r="FH18" s="18">
        <f t="shared" si="29"/>
        <v>206.52313725320911</v>
      </c>
      <c r="FI18" s="18">
        <f t="shared" si="29"/>
        <v>204.45790588067703</v>
      </c>
      <c r="FJ18" s="18">
        <f t="shared" si="29"/>
        <v>202.41332682187027</v>
      </c>
      <c r="FK18" s="18">
        <f t="shared" si="29"/>
        <v>200.38919355365158</v>
      </c>
      <c r="FL18" s="18">
        <f t="shared" si="29"/>
        <v>198.38530161811505</v>
      </c>
      <c r="FM18" s="18">
        <f t="shared" si="29"/>
        <v>196.40144860193391</v>
      </c>
      <c r="FN18" s="18">
        <f t="shared" si="29"/>
        <v>194.43743411591456</v>
      </c>
      <c r="FO18" s="18">
        <f t="shared" ref="FO18:HZ18" si="30">FN18*(1+$AR$22)</f>
        <v>192.49305977475541</v>
      </c>
      <c r="FP18" s="18">
        <f t="shared" si="30"/>
        <v>190.56812917700785</v>
      </c>
      <c r="FQ18" s="18">
        <f t="shared" si="30"/>
        <v>188.66244788523775</v>
      </c>
      <c r="FR18" s="18">
        <f t="shared" si="30"/>
        <v>186.77582340638537</v>
      </c>
      <c r="FS18" s="18">
        <f t="shared" si="30"/>
        <v>184.90806517232153</v>
      </c>
      <c r="FT18" s="18">
        <f t="shared" si="30"/>
        <v>183.0589845205983</v>
      </c>
      <c r="FU18" s="18">
        <f t="shared" si="30"/>
        <v>181.22839467539231</v>
      </c>
      <c r="FV18" s="18">
        <f t="shared" si="30"/>
        <v>179.41611072863839</v>
      </c>
      <c r="FW18" s="18">
        <f t="shared" si="30"/>
        <v>177.621949621352</v>
      </c>
      <c r="FX18" s="18">
        <f t="shared" si="30"/>
        <v>175.84573012513849</v>
      </c>
      <c r="FY18" s="18">
        <f t="shared" si="30"/>
        <v>174.0872728238871</v>
      </c>
      <c r="FZ18" s="18">
        <f t="shared" si="30"/>
        <v>172.34640009564822</v>
      </c>
      <c r="GA18" s="18">
        <f t="shared" si="30"/>
        <v>170.62293609469174</v>
      </c>
      <c r="GB18" s="18">
        <f t="shared" si="30"/>
        <v>168.91670673374483</v>
      </c>
      <c r="GC18" s="18">
        <f t="shared" si="30"/>
        <v>167.22753966640738</v>
      </c>
      <c r="GD18" s="18">
        <f t="shared" si="30"/>
        <v>165.5552642697433</v>
      </c>
      <c r="GE18" s="18">
        <f t="shared" si="30"/>
        <v>163.89971162704586</v>
      </c>
      <c r="GF18" s="18">
        <f t="shared" si="30"/>
        <v>162.26071451077539</v>
      </c>
      <c r="GG18" s="18">
        <f t="shared" si="30"/>
        <v>160.63810736566762</v>
      </c>
      <c r="GH18" s="18">
        <f t="shared" si="30"/>
        <v>159.03172629201094</v>
      </c>
      <c r="GI18" s="18">
        <f t="shared" si="30"/>
        <v>157.44140902909083</v>
      </c>
      <c r="GJ18" s="18">
        <f t="shared" si="30"/>
        <v>155.86699493879993</v>
      </c>
      <c r="GK18" s="18">
        <f t="shared" si="30"/>
        <v>154.30832498941194</v>
      </c>
      <c r="GL18" s="18">
        <f t="shared" si="30"/>
        <v>152.76524173951782</v>
      </c>
      <c r="GM18" s="18">
        <f t="shared" si="30"/>
        <v>151.23758932212263</v>
      </c>
      <c r="GN18" s="18">
        <f t="shared" si="30"/>
        <v>149.72521342890141</v>
      </c>
      <c r="GO18" s="18">
        <f t="shared" si="30"/>
        <v>148.22796129461238</v>
      </c>
      <c r="GP18" s="18">
        <f t="shared" si="30"/>
        <v>146.74568168166627</v>
      </c>
      <c r="GQ18" s="18">
        <f t="shared" si="30"/>
        <v>145.27822486484962</v>
      </c>
      <c r="GR18" s="18">
        <f t="shared" si="30"/>
        <v>143.82544261620112</v>
      </c>
      <c r="GS18" s="18">
        <f t="shared" si="30"/>
        <v>142.3871881900391</v>
      </c>
      <c r="GT18" s="18">
        <f t="shared" si="30"/>
        <v>140.9633163081387</v>
      </c>
      <c r="GU18" s="18">
        <f t="shared" si="30"/>
        <v>139.55368314505731</v>
      </c>
      <c r="GV18" s="18">
        <f t="shared" si="30"/>
        <v>138.15814631360672</v>
      </c>
      <c r="GW18" s="18">
        <f t="shared" si="30"/>
        <v>136.77656485047066</v>
      </c>
      <c r="GX18" s="18">
        <f t="shared" si="30"/>
        <v>135.40879920196596</v>
      </c>
      <c r="GY18" s="18">
        <f t="shared" si="30"/>
        <v>134.0547112099463</v>
      </c>
      <c r="GZ18" s="18">
        <f t="shared" si="30"/>
        <v>132.71416409784683</v>
      </c>
      <c r="HA18" s="18">
        <f t="shared" si="30"/>
        <v>131.38702245686835</v>
      </c>
      <c r="HB18" s="18">
        <f t="shared" si="30"/>
        <v>130.07315223229966</v>
      </c>
      <c r="HC18" s="18">
        <f t="shared" si="30"/>
        <v>128.77242070997667</v>
      </c>
      <c r="HD18" s="18">
        <f t="shared" si="30"/>
        <v>127.4846965028769</v>
      </c>
      <c r="HE18" s="18">
        <f t="shared" si="30"/>
        <v>126.20984953784813</v>
      </c>
      <c r="HF18" s="18">
        <f t="shared" si="30"/>
        <v>124.94775104246965</v>
      </c>
      <c r="HG18" s="18">
        <f t="shared" si="30"/>
        <v>123.69827353204495</v>
      </c>
      <c r="HH18" s="18">
        <f t="shared" si="30"/>
        <v>122.4612907967245</v>
      </c>
      <c r="HI18" s="18">
        <f t="shared" si="30"/>
        <v>121.23667788875726</v>
      </c>
      <c r="HJ18" s="18">
        <f t="shared" si="30"/>
        <v>120.02431110986969</v>
      </c>
      <c r="HK18" s="18">
        <f t="shared" si="30"/>
        <v>118.82406799877099</v>
      </c>
      <c r="HL18" s="18">
        <f t="shared" si="30"/>
        <v>117.63582731878327</v>
      </c>
      <c r="HM18" s="18">
        <f t="shared" si="30"/>
        <v>116.45946904559544</v>
      </c>
      <c r="HN18" s="18">
        <f t="shared" si="30"/>
        <v>115.29487435513948</v>
      </c>
      <c r="HO18" s="18">
        <f t="shared" si="30"/>
        <v>114.14192561158809</v>
      </c>
      <c r="HP18" s="18">
        <f t="shared" si="30"/>
        <v>113.00050635547221</v>
      </c>
      <c r="HQ18" s="18">
        <f t="shared" si="30"/>
        <v>111.87050129191749</v>
      </c>
      <c r="HR18" s="18">
        <f t="shared" si="30"/>
        <v>110.75179627899831</v>
      </c>
      <c r="HS18" s="18">
        <f t="shared" si="30"/>
        <v>109.64427831620833</v>
      </c>
      <c r="HT18" s="18">
        <f t="shared" si="30"/>
        <v>108.54783553304624</v>
      </c>
      <c r="HU18" s="18">
        <f t="shared" si="30"/>
        <v>107.46235717771577</v>
      </c>
      <c r="HV18" s="18">
        <f t="shared" si="30"/>
        <v>106.38773360593862</v>
      </c>
      <c r="HW18" s="18">
        <f t="shared" si="30"/>
        <v>105.32385626987923</v>
      </c>
      <c r="HX18" s="18">
        <f t="shared" si="30"/>
        <v>104.27061770718043</v>
      </c>
      <c r="HY18" s="18">
        <f t="shared" si="30"/>
        <v>103.22791153010863</v>
      </c>
      <c r="HZ18" s="18">
        <f t="shared" si="30"/>
        <v>102.19563241480753</v>
      </c>
      <c r="IA18" s="18">
        <f t="shared" ref="IA18:IG18" si="31">HZ18*(1+$AR$22)</f>
        <v>101.17367609065946</v>
      </c>
      <c r="IB18" s="18">
        <f t="shared" si="31"/>
        <v>100.16193932975285</v>
      </c>
      <c r="IC18" s="18">
        <f t="shared" si="31"/>
        <v>99.160319936455323</v>
      </c>
      <c r="ID18" s="18">
        <f t="shared" si="31"/>
        <v>98.168716737090776</v>
      </c>
      <c r="IE18" s="18">
        <f t="shared" si="31"/>
        <v>97.187029569719869</v>
      </c>
      <c r="IF18" s="18">
        <f t="shared" si="31"/>
        <v>96.215159274022668</v>
      </c>
      <c r="IG18" s="18">
        <f t="shared" si="31"/>
        <v>95.25300768128244</v>
      </c>
    </row>
    <row r="19" spans="1:241" s="17" customFormat="1" x14ac:dyDescent="0.25">
      <c r="A19" s="2"/>
      <c r="B19" s="3"/>
      <c r="C19" s="2" t="s">
        <v>59</v>
      </c>
      <c r="P19" s="25">
        <v>168.43578299999999</v>
      </c>
      <c r="Q19" s="25">
        <v>168.43578299999999</v>
      </c>
      <c r="T19" s="25">
        <v>165.65506400000001</v>
      </c>
      <c r="U19" s="25">
        <v>190.4513</v>
      </c>
      <c r="Z19" s="25">
        <v>48.765430000000002</v>
      </c>
      <c r="AA19" s="25">
        <v>48.765430000000002</v>
      </c>
      <c r="AB19" s="25">
        <v>48.765430000000002</v>
      </c>
      <c r="AC19" s="26">
        <v>49.32</v>
      </c>
      <c r="AD19" s="25">
        <v>169.56</v>
      </c>
      <c r="AE19" s="25">
        <v>168.5</v>
      </c>
      <c r="AF19" s="9">
        <v>190.4513</v>
      </c>
      <c r="AG19" s="25">
        <v>190.4513</v>
      </c>
      <c r="AH19" s="25">
        <v>190.4513</v>
      </c>
      <c r="AI19" s="25">
        <v>190.4513</v>
      </c>
      <c r="AJ19" s="25">
        <v>190.4513</v>
      </c>
      <c r="AK19" s="25">
        <v>190.4513</v>
      </c>
      <c r="AL19" s="25">
        <v>190.4513</v>
      </c>
      <c r="AM19" s="25">
        <v>190.4513</v>
      </c>
      <c r="AN19" s="25">
        <v>190.4513</v>
      </c>
      <c r="AO19" s="25">
        <v>190.4513</v>
      </c>
    </row>
    <row r="20" spans="1:241" s="17" customFormat="1" x14ac:dyDescent="0.25">
      <c r="A20" s="2"/>
      <c r="B20" s="3"/>
      <c r="C20" s="2" t="s">
        <v>60</v>
      </c>
      <c r="D20" s="17" t="e">
        <f t="shared" ref="D20:R20" si="32">D18/D19</f>
        <v>#DIV/0!</v>
      </c>
      <c r="E20" s="17" t="e">
        <f t="shared" si="32"/>
        <v>#DIV/0!</v>
      </c>
      <c r="F20" s="17" t="e">
        <f t="shared" si="32"/>
        <v>#DIV/0!</v>
      </c>
      <c r="G20" s="17" t="e">
        <f t="shared" si="32"/>
        <v>#DIV/0!</v>
      </c>
      <c r="H20" s="17" t="e">
        <f t="shared" si="32"/>
        <v>#DIV/0!</v>
      </c>
      <c r="I20" s="17" t="e">
        <f t="shared" si="32"/>
        <v>#DIV/0!</v>
      </c>
      <c r="J20" s="17" t="e">
        <f t="shared" si="32"/>
        <v>#DIV/0!</v>
      </c>
      <c r="K20" s="17" t="e">
        <f t="shared" si="32"/>
        <v>#DIV/0!</v>
      </c>
      <c r="L20" s="17" t="e">
        <f t="shared" si="32"/>
        <v>#DIV/0!</v>
      </c>
      <c r="M20" s="17" t="e">
        <f t="shared" si="32"/>
        <v>#DIV/0!</v>
      </c>
      <c r="N20" s="17" t="e">
        <f t="shared" si="32"/>
        <v>#DIV/0!</v>
      </c>
      <c r="O20" s="17" t="e">
        <f t="shared" si="32"/>
        <v>#DIV/0!</v>
      </c>
      <c r="P20" s="26">
        <f t="shared" si="32"/>
        <v>0.26138745114510481</v>
      </c>
      <c r="Q20" s="26">
        <f t="shared" si="32"/>
        <v>0.34921320726724708</v>
      </c>
      <c r="R20" s="17" t="e">
        <f t="shared" si="32"/>
        <v>#DIV/0!</v>
      </c>
      <c r="S20" s="17" t="e">
        <f>S18/S19</f>
        <v>#DIV/0!</v>
      </c>
      <c r="T20" s="26">
        <f t="shared" ref="T20:U20" si="33">T18/T19</f>
        <v>0.15695264226875663</v>
      </c>
      <c r="U20" s="26">
        <f t="shared" si="33"/>
        <v>0.33961437910899012</v>
      </c>
      <c r="Z20" s="26">
        <f t="shared" ref="Z20" si="34">Z18/Z19</f>
        <v>0.97806991551186895</v>
      </c>
      <c r="AA20" s="26">
        <f t="shared" ref="AA20:AE20" si="35">AA18/AA19</f>
        <v>1.1683481515491618</v>
      </c>
      <c r="AB20" s="26">
        <f t="shared" si="35"/>
        <v>1.6144838669524688</v>
      </c>
      <c r="AC20" s="26">
        <f t="shared" si="35"/>
        <v>-1.4704987834549885</v>
      </c>
      <c r="AD20" s="26">
        <f t="shared" si="35"/>
        <v>0.23108044350082579</v>
      </c>
      <c r="AE20" s="26">
        <f t="shared" si="35"/>
        <v>0.97970919881305729</v>
      </c>
      <c r="AF20" s="80">
        <f>AF18/AF19</f>
        <v>1.0062652541620889</v>
      </c>
      <c r="AG20" s="26">
        <f t="shared" ref="AG20:AO20" si="36">AG18/AG19</f>
        <v>1.1978825255800312</v>
      </c>
      <c r="AH20" s="26">
        <f t="shared" si="36"/>
        <v>1.44512013781203</v>
      </c>
      <c r="AI20" s="26">
        <f t="shared" si="36"/>
        <v>1.7745929211129496</v>
      </c>
      <c r="AJ20" s="26">
        <f t="shared" si="36"/>
        <v>2.1331939161513525</v>
      </c>
      <c r="AK20" s="26">
        <f t="shared" si="36"/>
        <v>2.4618626654214157</v>
      </c>
      <c r="AL20" s="26">
        <f t="shared" si="36"/>
        <v>2.7685284180362784</v>
      </c>
      <c r="AM20" s="26">
        <f t="shared" si="36"/>
        <v>3.0592443219763092</v>
      </c>
      <c r="AN20" s="26">
        <f t="shared" si="36"/>
        <v>3.3797249694171607</v>
      </c>
      <c r="AO20" s="26">
        <f t="shared" si="36"/>
        <v>3.7329814923642615</v>
      </c>
    </row>
    <row r="21" spans="1:241" x14ac:dyDescent="0.25"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AQ21" s="2" t="s">
        <v>175</v>
      </c>
      <c r="AR21" s="46">
        <v>0.08</v>
      </c>
    </row>
    <row r="22" spans="1:241" x14ac:dyDescent="0.25">
      <c r="C22" s="1" t="s">
        <v>33</v>
      </c>
      <c r="D22" s="15"/>
      <c r="E22" s="15"/>
      <c r="F22" s="15"/>
      <c r="G22" s="15"/>
      <c r="H22" s="16" t="e">
        <f t="shared" ref="H22:R22" si="37">(H4-D4)/D4</f>
        <v>#DIV/0!</v>
      </c>
      <c r="I22" s="16" t="e">
        <f t="shared" si="37"/>
        <v>#DIV/0!</v>
      </c>
      <c r="J22" s="16" t="e">
        <f t="shared" si="37"/>
        <v>#DIV/0!</v>
      </c>
      <c r="K22" s="16" t="e">
        <f t="shared" si="37"/>
        <v>#DIV/0!</v>
      </c>
      <c r="L22" s="16" t="e">
        <f t="shared" si="37"/>
        <v>#DIV/0!</v>
      </c>
      <c r="M22" s="16" t="e">
        <f t="shared" si="37"/>
        <v>#DIV/0!</v>
      </c>
      <c r="N22" s="16" t="e">
        <f t="shared" si="37"/>
        <v>#DIV/0!</v>
      </c>
      <c r="O22" s="16" t="e">
        <f t="shared" si="37"/>
        <v>#DIV/0!</v>
      </c>
      <c r="P22" s="16">
        <f t="shared" si="37"/>
        <v>0.55301818181818174</v>
      </c>
      <c r="Q22" s="16">
        <f t="shared" si="37"/>
        <v>0.33900000000000013</v>
      </c>
      <c r="R22" s="16">
        <f t="shared" si="37"/>
        <v>0.323943661971831</v>
      </c>
      <c r="S22" s="16">
        <f>(S4-O4)/O4</f>
        <v>0.21140939597315436</v>
      </c>
      <c r="T22" s="16">
        <f t="shared" ref="T22:U22" si="38">(T4-P4)/P4</f>
        <v>-5.1656012924978928E-2</v>
      </c>
      <c r="U22" s="16">
        <f t="shared" si="38"/>
        <v>0.23758482969120362</v>
      </c>
      <c r="V22" s="16"/>
      <c r="W22" s="16"/>
      <c r="X22" s="14"/>
      <c r="Z22" s="16"/>
      <c r="AA22" s="16">
        <f>(AA4-Z4)/Z4</f>
        <v>0.19433094265222739</v>
      </c>
      <c r="AB22" s="16">
        <f t="shared" ref="AB22:AO22" si="39">(AB4-AA4)/AA4</f>
        <v>0.88298184123642276</v>
      </c>
      <c r="AC22" s="16">
        <f t="shared" si="39"/>
        <v>0.28608456591793074</v>
      </c>
      <c r="AD22" s="16">
        <f t="shared" si="39"/>
        <v>0.17721103178807784</v>
      </c>
      <c r="AE22" s="16">
        <f t="shared" si="39"/>
        <v>0.34317805362389847</v>
      </c>
      <c r="AF22" s="81">
        <f>(AF4-AE4)/AE4</f>
        <v>0.12000000000000004</v>
      </c>
      <c r="AG22" s="16">
        <f t="shared" si="39"/>
        <v>0.15</v>
      </c>
      <c r="AH22" s="16">
        <f t="shared" si="39"/>
        <v>0.17999999999999988</v>
      </c>
      <c r="AI22" s="16">
        <f t="shared" si="39"/>
        <v>0.18000000000000005</v>
      </c>
      <c r="AJ22" s="16">
        <f t="shared" si="39"/>
        <v>0.17999999999999997</v>
      </c>
      <c r="AK22" s="16">
        <f t="shared" si="39"/>
        <v>0.14999999999999991</v>
      </c>
      <c r="AL22" s="16">
        <f t="shared" si="39"/>
        <v>0.12000000000000009</v>
      </c>
      <c r="AM22" s="16">
        <f t="shared" si="39"/>
        <v>0.10000000000000014</v>
      </c>
      <c r="AN22" s="16">
        <f t="shared" si="39"/>
        <v>9.9999999999999978E-2</v>
      </c>
      <c r="AO22" s="16">
        <f t="shared" si="39"/>
        <v>0.10000000000000017</v>
      </c>
      <c r="AQ22" s="2" t="s">
        <v>174</v>
      </c>
      <c r="AR22" s="46">
        <v>-0.01</v>
      </c>
    </row>
    <row r="23" spans="1:241" x14ac:dyDescent="0.25">
      <c r="C23" s="2" t="s">
        <v>36</v>
      </c>
      <c r="D23" s="15" t="e">
        <f t="shared" ref="D23:R23" si="40">D7/D4</f>
        <v>#DIV/0!</v>
      </c>
      <c r="E23" s="15" t="e">
        <f t="shared" si="40"/>
        <v>#DIV/0!</v>
      </c>
      <c r="F23" s="15" t="e">
        <f t="shared" si="40"/>
        <v>#DIV/0!</v>
      </c>
      <c r="G23" s="15" t="e">
        <f t="shared" si="40"/>
        <v>#DIV/0!</v>
      </c>
      <c r="H23" s="15" t="e">
        <f t="shared" si="40"/>
        <v>#DIV/0!</v>
      </c>
      <c r="I23" s="15" t="e">
        <f t="shared" si="40"/>
        <v>#DIV/0!</v>
      </c>
      <c r="J23" s="15" t="e">
        <f t="shared" si="40"/>
        <v>#DIV/0!</v>
      </c>
      <c r="K23" s="15" t="e">
        <f t="shared" si="40"/>
        <v>#DIV/0!</v>
      </c>
      <c r="L23" s="15">
        <f t="shared" si="40"/>
        <v>0</v>
      </c>
      <c r="M23" s="15">
        <f t="shared" si="40"/>
        <v>0</v>
      </c>
      <c r="N23" s="15">
        <f t="shared" si="40"/>
        <v>0</v>
      </c>
      <c r="O23" s="15">
        <f t="shared" si="40"/>
        <v>0</v>
      </c>
      <c r="P23" s="15">
        <f t="shared" si="40"/>
        <v>0.62709855296431583</v>
      </c>
      <c r="Q23" s="15">
        <f t="shared" si="40"/>
        <v>0.70882228788518375</v>
      </c>
      <c r="R23" s="15">
        <f t="shared" si="40"/>
        <v>0</v>
      </c>
      <c r="S23" s="15">
        <f>S7/S4</f>
        <v>0</v>
      </c>
      <c r="T23" s="15">
        <f t="shared" ref="T23:U23" si="41">T7/T4</f>
        <v>0.6802401123404781</v>
      </c>
      <c r="U23" s="15">
        <f t="shared" si="41"/>
        <v>0.70592880812511971</v>
      </c>
      <c r="V23" s="15"/>
      <c r="W23" s="15"/>
      <c r="Z23" s="15">
        <f t="shared" ref="Z23:AO23" si="42">Z7/Z4</f>
        <v>0.84702974540674902</v>
      </c>
      <c r="AA23" s="15">
        <f t="shared" si="42"/>
        <v>0.78502858988468349</v>
      </c>
      <c r="AB23" s="15">
        <f t="shared" si="42"/>
        <v>0.70719412234629675</v>
      </c>
      <c r="AC23" s="15">
        <f t="shared" si="42"/>
        <v>0.70265964738091968</v>
      </c>
      <c r="AD23" s="15">
        <f t="shared" si="42"/>
        <v>0.67221948893754024</v>
      </c>
      <c r="AE23" s="15">
        <f t="shared" si="42"/>
        <v>0.65979022344405314</v>
      </c>
      <c r="AF23" s="58">
        <f>AF7/AF4</f>
        <v>0.70000000000000007</v>
      </c>
      <c r="AG23" s="15">
        <f t="shared" si="42"/>
        <v>0.7</v>
      </c>
      <c r="AH23" s="15">
        <f t="shared" si="42"/>
        <v>0.70000000000000007</v>
      </c>
      <c r="AI23" s="15">
        <f t="shared" si="42"/>
        <v>0.7</v>
      </c>
      <c r="AJ23" s="15">
        <f t="shared" si="42"/>
        <v>0.70000000000000007</v>
      </c>
      <c r="AK23" s="15">
        <f t="shared" si="42"/>
        <v>0.70000000000000007</v>
      </c>
      <c r="AL23" s="15">
        <f t="shared" si="42"/>
        <v>0.70000000000000007</v>
      </c>
      <c r="AM23" s="15">
        <f t="shared" si="42"/>
        <v>0.70000000000000007</v>
      </c>
      <c r="AN23" s="15">
        <f t="shared" si="42"/>
        <v>0.70000000000000007</v>
      </c>
      <c r="AO23" s="15">
        <f t="shared" si="42"/>
        <v>0.7</v>
      </c>
      <c r="AQ23" s="45" t="s">
        <v>176</v>
      </c>
      <c r="AR23" s="73">
        <f>NPV(AR21,AF18:IG18)</f>
        <v>6308.0379322426288</v>
      </c>
    </row>
    <row r="24" spans="1:241" x14ac:dyDescent="0.25">
      <c r="C24" s="2" t="s">
        <v>34</v>
      </c>
      <c r="D24" s="15" t="e">
        <f t="shared" ref="D24:R24" si="43">D12/D4</f>
        <v>#DIV/0!</v>
      </c>
      <c r="E24" s="15" t="e">
        <f t="shared" si="43"/>
        <v>#DIV/0!</v>
      </c>
      <c r="F24" s="15" t="e">
        <f t="shared" si="43"/>
        <v>#DIV/0!</v>
      </c>
      <c r="G24" s="15" t="e">
        <f t="shared" si="43"/>
        <v>#DIV/0!</v>
      </c>
      <c r="H24" s="15" t="e">
        <f t="shared" si="43"/>
        <v>#DIV/0!</v>
      </c>
      <c r="I24" s="15" t="e">
        <f t="shared" si="43"/>
        <v>#DIV/0!</v>
      </c>
      <c r="J24" s="15" t="e">
        <f t="shared" si="43"/>
        <v>#DIV/0!</v>
      </c>
      <c r="K24" s="15" t="e">
        <f t="shared" si="43"/>
        <v>#DIV/0!</v>
      </c>
      <c r="L24" s="15">
        <f t="shared" si="43"/>
        <v>0</v>
      </c>
      <c r="M24" s="15">
        <f t="shared" si="43"/>
        <v>0</v>
      </c>
      <c r="N24" s="15">
        <f t="shared" si="43"/>
        <v>0</v>
      </c>
      <c r="O24" s="15">
        <f t="shared" si="43"/>
        <v>0</v>
      </c>
      <c r="P24" s="15">
        <f t="shared" si="43"/>
        <v>0.17895359183291182</v>
      </c>
      <c r="Q24" s="15">
        <f t="shared" si="43"/>
        <v>0.21275124200409143</v>
      </c>
      <c r="R24" s="15">
        <f t="shared" si="43"/>
        <v>0</v>
      </c>
      <c r="S24" s="15">
        <f>S12/S4</f>
        <v>0</v>
      </c>
      <c r="T24" s="15">
        <f t="shared" ref="T24:U24" si="44">T12/T4</f>
        <v>0.14502106383963703</v>
      </c>
      <c r="U24" s="15">
        <f t="shared" si="44"/>
        <v>0.17712173249129584</v>
      </c>
      <c r="V24" s="15"/>
      <c r="W24" s="15"/>
      <c r="X24" s="16"/>
      <c r="Z24" s="15">
        <f t="shared" ref="Z24:AO24" si="45">Z12/Z4</f>
        <v>0.25108580735491604</v>
      </c>
      <c r="AA24" s="15">
        <f t="shared" si="45"/>
        <v>0.22140114359538746</v>
      </c>
      <c r="AB24" s="15">
        <f t="shared" si="45"/>
        <v>0.182553812581495</v>
      </c>
      <c r="AC24" s="15">
        <f t="shared" si="45"/>
        <v>-4.8473083064429531E-2</v>
      </c>
      <c r="AD24" s="15">
        <f t="shared" si="45"/>
        <v>7.3371734526141125E-2</v>
      </c>
      <c r="AE24" s="15">
        <f t="shared" si="45"/>
        <v>0.1448426675830399</v>
      </c>
      <c r="AF24" s="58">
        <f t="shared" si="45"/>
        <v>0.16827695118862612</v>
      </c>
      <c r="AG24" s="15">
        <f t="shared" si="45"/>
        <v>0.17290062987394239</v>
      </c>
      <c r="AH24" s="15">
        <f t="shared" si="45"/>
        <v>0.17580684491417417</v>
      </c>
      <c r="AI24" s="15">
        <f t="shared" si="45"/>
        <v>0.18234209813105667</v>
      </c>
      <c r="AJ24" s="15">
        <f t="shared" si="45"/>
        <v>0.18522368423026958</v>
      </c>
      <c r="AK24" s="15">
        <f t="shared" si="45"/>
        <v>0.18522368423026969</v>
      </c>
      <c r="AL24" s="15">
        <f t="shared" si="45"/>
        <v>0.18522368423026969</v>
      </c>
      <c r="AM24" s="15">
        <f t="shared" si="45"/>
        <v>0.18522368423026969</v>
      </c>
      <c r="AN24" s="15">
        <f t="shared" si="45"/>
        <v>0.18522368423026958</v>
      </c>
      <c r="AO24" s="15">
        <f t="shared" si="45"/>
        <v>0.18522368423026961</v>
      </c>
      <c r="AQ24" s="2" t="s">
        <v>2</v>
      </c>
      <c r="AR24" s="25">
        <v>190.4513</v>
      </c>
    </row>
    <row r="25" spans="1:241" s="15" customFormat="1" x14ac:dyDescent="0.25">
      <c r="A25" s="2"/>
      <c r="B25" s="3"/>
      <c r="C25" s="15" t="s">
        <v>141</v>
      </c>
      <c r="T25" s="16"/>
      <c r="U25" s="16"/>
      <c r="V25" s="16"/>
      <c r="AC25" s="15">
        <v>0.15</v>
      </c>
      <c r="AD25" s="15">
        <v>0.123</v>
      </c>
      <c r="AE25" s="15">
        <v>0.432</v>
      </c>
      <c r="AF25" s="58"/>
      <c r="AQ25" s="15" t="s">
        <v>177</v>
      </c>
      <c r="AR25" s="13">
        <f>AR23/AR24</f>
        <v>33.12152729985371</v>
      </c>
    </row>
    <row r="26" spans="1:241" x14ac:dyDescent="0.25"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"/>
      <c r="U26" s="1"/>
      <c r="V26" s="1"/>
      <c r="W26" s="15"/>
      <c r="X26" s="15"/>
      <c r="AQ26" s="1" t="s">
        <v>178</v>
      </c>
      <c r="AR26" s="16">
        <f>(AR25-B4)/B4</f>
        <v>0.79035282701911946</v>
      </c>
    </row>
    <row r="27" spans="1:241" x14ac:dyDescent="0.25">
      <c r="C27" s="2" t="s">
        <v>139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f>P12-P9</f>
        <v>78.141999999999982</v>
      </c>
      <c r="Q27" s="17"/>
      <c r="R27" s="17"/>
      <c r="S27" s="17"/>
      <c r="T27" s="17">
        <f>T12-T9</f>
        <v>62.687999999999988</v>
      </c>
      <c r="U27" s="17">
        <f>U12-U9</f>
        <v>92.646000000000015</v>
      </c>
      <c r="V27" s="17"/>
      <c r="W27" s="17"/>
      <c r="X27" s="17"/>
      <c r="Y27" s="17"/>
      <c r="Z27" s="17"/>
      <c r="AA27" s="17"/>
      <c r="AB27" s="17"/>
      <c r="AC27" s="17">
        <v>128.21799999999999</v>
      </c>
      <c r="AD27" s="17">
        <v>128.36799999999999</v>
      </c>
      <c r="AE27" s="17">
        <v>250.27600000000001</v>
      </c>
      <c r="AF27" s="20">
        <f>AF12-AF9</f>
        <v>315.85981000000027</v>
      </c>
      <c r="AG27" s="17">
        <f t="shared" ref="AG27:AO27" si="46">AG12-AG9</f>
        <v>370.1185978000002</v>
      </c>
      <c r="AH27" s="17">
        <f t="shared" si="46"/>
        <v>442.39549315600027</v>
      </c>
      <c r="AI27" s="17">
        <f t="shared" si="46"/>
        <v>537.03359456848034</v>
      </c>
      <c r="AJ27" s="17">
        <f t="shared" si="46"/>
        <v>641.50769081721819</v>
      </c>
      <c r="AK27" s="17">
        <f t="shared" si="46"/>
        <v>737.73384443980103</v>
      </c>
      <c r="AL27" s="17">
        <f t="shared" si="46"/>
        <v>826.26190577257728</v>
      </c>
      <c r="AM27" s="17">
        <f t="shared" si="46"/>
        <v>908.88809634983522</v>
      </c>
      <c r="AN27" s="17">
        <f t="shared" si="46"/>
        <v>999.7769059848182</v>
      </c>
      <c r="AO27" s="17">
        <f t="shared" si="46"/>
        <v>1099.7545965833003</v>
      </c>
    </row>
    <row r="28" spans="1:241" s="6" customFormat="1" x14ac:dyDescent="0.25">
      <c r="A28" s="2"/>
      <c r="B28" s="3"/>
      <c r="C28" s="21" t="s">
        <v>173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>
        <f>P27/P4</f>
        <v>0.22871007773719204</v>
      </c>
      <c r="Q28" s="21"/>
      <c r="R28" s="21"/>
      <c r="S28" s="21"/>
      <c r="T28" s="21">
        <f>T27/T4</f>
        <v>0.19347252442016571</v>
      </c>
      <c r="U28" s="21">
        <f>U27/U4</f>
        <v>0.24307667281490483</v>
      </c>
      <c r="V28" s="21"/>
      <c r="W28" s="21"/>
      <c r="X28" s="21"/>
      <c r="Y28" s="21"/>
      <c r="Z28" s="21"/>
      <c r="AA28" s="21"/>
      <c r="AB28" s="21"/>
      <c r="AC28" s="21">
        <f t="shared" ref="AC28:AD28" si="47">AC27/AC4</f>
        <v>0.15833898309270913</v>
      </c>
      <c r="AD28" s="21">
        <f t="shared" si="47"/>
        <v>0.13466083550393435</v>
      </c>
      <c r="AE28" s="21">
        <f>AE27/AE4</f>
        <v>0.19546551495224185</v>
      </c>
      <c r="AF28" s="82">
        <f>AF27/AF4</f>
        <v>0.22025576768378896</v>
      </c>
      <c r="AG28" s="21">
        <f t="shared" ref="AG28:AO28" si="48">AG27/AG4</f>
        <v>0.22442745666045161</v>
      </c>
      <c r="AH28" s="21">
        <f t="shared" si="48"/>
        <v>0.22733367170068339</v>
      </c>
      <c r="AI28" s="21">
        <f t="shared" si="48"/>
        <v>0.23386892491756592</v>
      </c>
      <c r="AJ28" s="21">
        <f t="shared" si="48"/>
        <v>0.23675051101677883</v>
      </c>
      <c r="AK28" s="21">
        <f t="shared" si="48"/>
        <v>0.23675051101677888</v>
      </c>
      <c r="AL28" s="21">
        <f t="shared" si="48"/>
        <v>0.23675051101677888</v>
      </c>
      <c r="AM28" s="21">
        <f t="shared" si="48"/>
        <v>0.23675051101677891</v>
      </c>
      <c r="AN28" s="21">
        <f t="shared" si="48"/>
        <v>0.2367505110167788</v>
      </c>
      <c r="AO28" s="21">
        <f t="shared" si="48"/>
        <v>0.23675051101677883</v>
      </c>
    </row>
    <row r="29" spans="1:241" x14ac:dyDescent="0.25">
      <c r="C29" s="2" t="s">
        <v>140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7">
        <f>SUM(Q27:T27)</f>
        <v>62.687999999999988</v>
      </c>
      <c r="U29" s="17">
        <f>SUM(R27:U27)</f>
        <v>155.334</v>
      </c>
      <c r="W29" s="15"/>
      <c r="X29" s="15"/>
    </row>
    <row r="30" spans="1:241" x14ac:dyDescent="0.25">
      <c r="C30" s="2" t="s">
        <v>240</v>
      </c>
      <c r="L30" s="2">
        <v>15</v>
      </c>
      <c r="M30" s="2">
        <v>22</v>
      </c>
      <c r="N30" s="2">
        <v>22</v>
      </c>
      <c r="O30" s="2">
        <v>35</v>
      </c>
      <c r="P30" s="2">
        <v>67</v>
      </c>
      <c r="Q30" s="2">
        <v>71</v>
      </c>
      <c r="R30" s="2">
        <v>49</v>
      </c>
      <c r="S30" s="2">
        <v>47</v>
      </c>
      <c r="T30" s="2">
        <v>59</v>
      </c>
      <c r="U30" s="2">
        <v>85</v>
      </c>
      <c r="AC30" s="115">
        <v>-17.196000000000002</v>
      </c>
      <c r="AD30" s="115">
        <v>93.789000000000001</v>
      </c>
      <c r="AE30" s="115">
        <f>212.078</f>
        <v>212.078</v>
      </c>
    </row>
    <row r="31" spans="1:241" s="6" customFormat="1" x14ac:dyDescent="0.25">
      <c r="A31" s="2"/>
      <c r="B31" s="3"/>
      <c r="C31" s="21" t="s">
        <v>241</v>
      </c>
      <c r="D31" s="21"/>
      <c r="E31" s="21"/>
      <c r="F31" s="21"/>
      <c r="G31" s="21"/>
      <c r="H31" s="21"/>
      <c r="I31" s="21"/>
      <c r="J31" s="21"/>
      <c r="K31" s="21"/>
      <c r="L31" s="21">
        <f t="shared" ref="L31:O31" si="49">L30/L4</f>
        <v>6.8181818181818177E-2</v>
      </c>
      <c r="M31" s="21">
        <f t="shared" si="49"/>
        <v>9.5652173913043481E-2</v>
      </c>
      <c r="N31" s="21">
        <f t="shared" si="49"/>
        <v>0.10328638497652583</v>
      </c>
      <c r="O31" s="21">
        <f t="shared" si="49"/>
        <v>0.1174496644295302</v>
      </c>
      <c r="P31" s="21">
        <f t="shared" ref="P31:S31" si="50">P30/P4</f>
        <v>0.19609909150510443</v>
      </c>
      <c r="Q31" s="21">
        <f>Q30/Q4</f>
        <v>0.23054193590284766</v>
      </c>
      <c r="R31" s="21">
        <f t="shared" si="50"/>
        <v>0.17375886524822695</v>
      </c>
      <c r="S31" s="21">
        <f t="shared" si="50"/>
        <v>0.13019390581717452</v>
      </c>
      <c r="T31" s="21">
        <f>T30/T4</f>
        <v>0.18209033532398192</v>
      </c>
      <c r="U31" s="21">
        <f>U30/U4</f>
        <v>0.22301575015939065</v>
      </c>
      <c r="V31" s="21"/>
      <c r="W31" s="21"/>
      <c r="X31" s="21"/>
      <c r="Y31" s="21"/>
      <c r="Z31" s="21"/>
      <c r="AA31" s="21"/>
      <c r="AB31" s="21"/>
      <c r="AC31" s="21">
        <f t="shared" ref="AC31:AD31" si="51">AC30/AC4</f>
        <v>-2.1235685732597816E-2</v>
      </c>
      <c r="AD31" s="21">
        <f t="shared" si="51"/>
        <v>9.838670931290118E-2</v>
      </c>
      <c r="AE31" s="21">
        <f>AE30/AE4</f>
        <v>0.16563288321709452</v>
      </c>
      <c r="AF31" s="82"/>
      <c r="AG31" s="21" t="s">
        <v>188</v>
      </c>
    </row>
    <row r="32" spans="1:241" s="6" customFormat="1" x14ac:dyDescent="0.25">
      <c r="A32" s="2"/>
      <c r="B32" s="3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82"/>
      <c r="AG32" s="21"/>
    </row>
    <row r="33" spans="1:33" x14ac:dyDescent="0.25">
      <c r="C33" s="2" t="s">
        <v>251</v>
      </c>
      <c r="P33" s="2">
        <v>325</v>
      </c>
      <c r="Q33" s="2">
        <v>200</v>
      </c>
      <c r="R33" s="2">
        <v>420</v>
      </c>
      <c r="S33" s="2">
        <v>204</v>
      </c>
      <c r="T33" s="2">
        <v>304</v>
      </c>
      <c r="U33" s="2">
        <v>331</v>
      </c>
    </row>
    <row r="34" spans="1:33" s="6" customFormat="1" x14ac:dyDescent="0.25">
      <c r="A34" s="2"/>
      <c r="B34" s="3"/>
      <c r="C34" s="21" t="s">
        <v>184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>
        <f>(T33-P33)/P33</f>
        <v>-6.4615384615384616E-2</v>
      </c>
      <c r="U34" s="21">
        <f>(U33-Q33)/Q33</f>
        <v>0.65500000000000003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82"/>
      <c r="AG34" s="21"/>
    </row>
    <row r="35" spans="1:33" x14ac:dyDescent="0.25">
      <c r="C35" s="2" t="s">
        <v>252</v>
      </c>
      <c r="P35" s="2">
        <v>573</v>
      </c>
      <c r="Q35" s="2">
        <v>496</v>
      </c>
      <c r="R35" s="2">
        <v>647</v>
      </c>
      <c r="S35" s="2">
        <v>587</v>
      </c>
      <c r="T35" s="2">
        <v>546</v>
      </c>
      <c r="U35" s="2">
        <v>548</v>
      </c>
    </row>
    <row r="36" spans="1:33" x14ac:dyDescent="0.25">
      <c r="C36" s="2" t="s">
        <v>253</v>
      </c>
      <c r="P36" s="13">
        <f t="shared" ref="P36:T36" si="52">P33/P4</f>
        <v>0.95122693640535738</v>
      </c>
      <c r="Q36" s="13">
        <f t="shared" si="52"/>
        <v>0.64941390395168352</v>
      </c>
      <c r="R36" s="13">
        <f t="shared" si="52"/>
        <v>1.4893617021276595</v>
      </c>
      <c r="S36" s="13">
        <f t="shared" si="52"/>
        <v>0.5650969529085873</v>
      </c>
      <c r="T36" s="13">
        <f t="shared" si="52"/>
        <v>0.9382281684489916</v>
      </c>
      <c r="U36" s="13">
        <f>U33/U4</f>
        <v>0.86844956826774478</v>
      </c>
    </row>
    <row r="37" spans="1:33" s="6" customFormat="1" x14ac:dyDescent="0.25">
      <c r="A37" s="2"/>
      <c r="B37" s="3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82"/>
      <c r="AG37" s="21"/>
    </row>
    <row r="38" spans="1:33" x14ac:dyDescent="0.25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W38" s="15"/>
      <c r="X38" s="15"/>
    </row>
    <row r="39" spans="1:33" x14ac:dyDescent="0.25">
      <c r="C39" s="1" t="s">
        <v>38</v>
      </c>
      <c r="W39" s="15"/>
      <c r="X39" s="15"/>
    </row>
    <row r="40" spans="1:33" x14ac:dyDescent="0.25">
      <c r="C40" s="2" t="s">
        <v>61</v>
      </c>
      <c r="P40" s="17">
        <v>110.639</v>
      </c>
      <c r="Q40" s="17">
        <v>110.958</v>
      </c>
      <c r="R40" s="17"/>
      <c r="S40" s="17">
        <v>110.393</v>
      </c>
      <c r="T40" s="17">
        <v>106.764</v>
      </c>
      <c r="U40" s="17">
        <v>186.07499999999999</v>
      </c>
      <c r="V40" s="17"/>
      <c r="W40" s="17"/>
      <c r="X40" s="17"/>
      <c r="Y40" s="17"/>
      <c r="Z40" s="17">
        <v>0</v>
      </c>
      <c r="AA40" s="17">
        <v>169.43899999999999</v>
      </c>
      <c r="AB40" s="17">
        <v>0</v>
      </c>
      <c r="AC40" s="17">
        <v>0</v>
      </c>
      <c r="AD40" s="17">
        <v>116.258</v>
      </c>
      <c r="AE40" s="17">
        <v>110.393</v>
      </c>
    </row>
    <row r="41" spans="1:33" x14ac:dyDescent="0.25">
      <c r="C41" s="2" t="s">
        <v>62</v>
      </c>
      <c r="P41" s="17">
        <v>185.006</v>
      </c>
      <c r="Q41" s="17">
        <v>176.93199999999999</v>
      </c>
      <c r="R41" s="17"/>
      <c r="S41" s="17">
        <v>161.47399999999999</v>
      </c>
      <c r="T41" s="17">
        <v>150.68700000000001</v>
      </c>
      <c r="U41" s="17">
        <v>258.72800000000001</v>
      </c>
      <c r="V41" s="17"/>
      <c r="W41" s="17"/>
      <c r="X41" s="17"/>
      <c r="Y41" s="17"/>
      <c r="Z41" s="17">
        <v>6.7000000000000004E-2</v>
      </c>
      <c r="AA41" s="17">
        <v>2.544</v>
      </c>
      <c r="AB41" s="17">
        <v>351.77600000000001</v>
      </c>
      <c r="AC41" s="17">
        <v>252.006</v>
      </c>
      <c r="AD41" s="17">
        <v>202.74799999999999</v>
      </c>
      <c r="AE41" s="17">
        <v>161.47399999999999</v>
      </c>
    </row>
    <row r="42" spans="1:33" x14ac:dyDescent="0.25">
      <c r="C42" s="2" t="s">
        <v>63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166.48699999999999</v>
      </c>
      <c r="Q42" s="17">
        <v>166.72300000000001</v>
      </c>
      <c r="R42" s="17"/>
      <c r="S42" s="17">
        <v>130.029</v>
      </c>
      <c r="T42" s="17">
        <v>126.803</v>
      </c>
      <c r="U42" s="17">
        <v>131.23599999999999</v>
      </c>
      <c r="V42" s="17"/>
      <c r="W42" s="17"/>
      <c r="X42" s="17"/>
      <c r="Y42" s="17"/>
      <c r="Z42" s="17">
        <v>19.733000000000001</v>
      </c>
      <c r="AA42" s="17">
        <v>25.388000000000002</v>
      </c>
      <c r="AB42" s="17">
        <v>91.58</v>
      </c>
      <c r="AC42" s="17">
        <v>159.28299999999999</v>
      </c>
      <c r="AD42" s="17">
        <v>178.447</v>
      </c>
      <c r="AE42" s="17">
        <v>130.029</v>
      </c>
    </row>
    <row r="43" spans="1:33" x14ac:dyDescent="0.25">
      <c r="C43" s="2" t="s">
        <v>64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80.863</v>
      </c>
      <c r="Q43" s="17">
        <v>82.417000000000002</v>
      </c>
      <c r="R43" s="17"/>
      <c r="S43" s="17">
        <v>81.617999999999995</v>
      </c>
      <c r="T43" s="17">
        <v>76.581000000000003</v>
      </c>
      <c r="U43" s="17">
        <v>86.150999999999996</v>
      </c>
      <c r="V43" s="17"/>
      <c r="W43" s="17"/>
      <c r="X43" s="17"/>
      <c r="Y43" s="17"/>
      <c r="Z43" s="17">
        <v>0</v>
      </c>
      <c r="AA43" s="17">
        <v>0</v>
      </c>
      <c r="AB43" s="17">
        <v>63.591000000000001</v>
      </c>
      <c r="AC43" s="17">
        <v>75.975999999999999</v>
      </c>
      <c r="AD43" s="17">
        <v>86.320999999999998</v>
      </c>
      <c r="AE43" s="17">
        <v>81.617999999999995</v>
      </c>
    </row>
    <row r="44" spans="1:33" x14ac:dyDescent="0.25">
      <c r="C44" s="2" t="s">
        <v>65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22.184000000000001</v>
      </c>
      <c r="Q44" s="17">
        <v>21.811</v>
      </c>
      <c r="R44" s="17"/>
      <c r="S44" s="17">
        <v>42.107999999999997</v>
      </c>
      <c r="T44" s="17">
        <v>34.33</v>
      </c>
      <c r="U44" s="17">
        <v>55.48</v>
      </c>
      <c r="V44" s="17"/>
      <c r="W44" s="17"/>
      <c r="X44" s="17"/>
      <c r="Y44" s="17"/>
      <c r="Z44" s="17">
        <v>0.373</v>
      </c>
      <c r="AA44" s="17">
        <v>1.581</v>
      </c>
      <c r="AB44" s="17">
        <v>3.2570000000000001</v>
      </c>
      <c r="AC44" s="17">
        <v>7.3620000000000001</v>
      </c>
      <c r="AD44" s="17">
        <v>24.122</v>
      </c>
      <c r="AE44" s="17">
        <v>42.107999999999997</v>
      </c>
    </row>
    <row r="45" spans="1:33" x14ac:dyDescent="0.25">
      <c r="C45" s="2" t="s">
        <v>247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>
        <v>19.544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3" x14ac:dyDescent="0.25">
      <c r="C46" s="2" t="s">
        <v>66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0</v>
      </c>
      <c r="Q46" s="17">
        <v>0.57699999999999996</v>
      </c>
      <c r="R46" s="17"/>
      <c r="S46" s="17">
        <v>0.97199999999999998</v>
      </c>
      <c r="T46" s="17">
        <v>1.484</v>
      </c>
      <c r="U46" s="17">
        <v>5.25</v>
      </c>
      <c r="V46" s="17"/>
      <c r="W46" s="17"/>
      <c r="X46" s="17"/>
      <c r="Y46" s="17"/>
      <c r="Z46" s="17">
        <v>12.093999999999999</v>
      </c>
      <c r="AA46" s="17">
        <v>12.49</v>
      </c>
      <c r="AB46" s="17">
        <v>14.276999999999999</v>
      </c>
      <c r="AC46" s="17">
        <v>15.978999999999999</v>
      </c>
      <c r="AD46" s="17">
        <v>0</v>
      </c>
      <c r="AE46" s="17">
        <v>0.97199999999999998</v>
      </c>
    </row>
    <row r="47" spans="1:33" x14ac:dyDescent="0.25">
      <c r="C47" s="2" t="s">
        <v>67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227.70699999999999</v>
      </c>
      <c r="Q47" s="17">
        <v>240.17500000000001</v>
      </c>
      <c r="R47" s="17"/>
      <c r="S47" s="17">
        <v>243.81899999999999</v>
      </c>
      <c r="T47" s="17">
        <v>238.81800000000001</v>
      </c>
      <c r="U47" s="17">
        <v>281.91399999999999</v>
      </c>
      <c r="V47" s="17"/>
      <c r="W47" s="17"/>
      <c r="X47" s="17"/>
      <c r="Y47" s="17"/>
      <c r="Z47" s="17">
        <v>52.375</v>
      </c>
      <c r="AA47" s="17">
        <v>64.209999999999994</v>
      </c>
      <c r="AB47" s="17">
        <v>115.197</v>
      </c>
      <c r="AC47" s="17">
        <v>205.744</v>
      </c>
      <c r="AD47" s="17">
        <v>234.53399999999999</v>
      </c>
      <c r="AE47" s="17">
        <v>243.81899999999999</v>
      </c>
    </row>
    <row r="48" spans="1:33" x14ac:dyDescent="0.25">
      <c r="C48" s="2" t="s">
        <v>68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190.55199999999999</v>
      </c>
      <c r="Q48" s="17">
        <v>167.32900000000001</v>
      </c>
      <c r="R48" s="17"/>
      <c r="S48" s="17">
        <v>180.048</v>
      </c>
      <c r="T48" s="17">
        <v>213.667</v>
      </c>
      <c r="U48" s="17">
        <v>148.92599999999999</v>
      </c>
      <c r="V48" s="17"/>
      <c r="W48" s="17"/>
      <c r="X48" s="17"/>
      <c r="Y48" s="17"/>
      <c r="Z48" s="17">
        <v>37.622999999999998</v>
      </c>
      <c r="AA48" s="17">
        <v>60.284999999999997</v>
      </c>
      <c r="AB48" s="17">
        <v>142.797</v>
      </c>
      <c r="AC48" s="17">
        <v>153.40100000000001</v>
      </c>
      <c r="AD48" s="17">
        <v>151.81</v>
      </c>
      <c r="AE48" s="17">
        <v>180.048</v>
      </c>
    </row>
    <row r="49" spans="1:33" x14ac:dyDescent="0.25">
      <c r="C49" s="2" t="s">
        <v>69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1.3</v>
      </c>
      <c r="Q49" s="17">
        <v>0.14799999999999999</v>
      </c>
      <c r="R49" s="17"/>
      <c r="S49" s="17">
        <v>0.33900000000000002</v>
      </c>
      <c r="T49" s="17">
        <v>0.10199999999999999</v>
      </c>
      <c r="U49" s="17">
        <v>0.33900000000000002</v>
      </c>
      <c r="V49" s="17"/>
      <c r="W49" s="17"/>
      <c r="X49" s="17"/>
      <c r="Y49" s="17"/>
      <c r="Z49" s="17">
        <v>0</v>
      </c>
      <c r="AA49" s="17">
        <v>0</v>
      </c>
      <c r="AB49" s="17">
        <v>3.226</v>
      </c>
      <c r="AC49" s="17">
        <v>0.50600000000000001</v>
      </c>
      <c r="AD49" s="17">
        <v>3.7869999999999999</v>
      </c>
      <c r="AE49" s="17">
        <v>0.33900000000000002</v>
      </c>
    </row>
    <row r="50" spans="1:33" x14ac:dyDescent="0.25">
      <c r="C50" s="2" t="s">
        <v>70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51.581000000000003</v>
      </c>
      <c r="Q50" s="17">
        <v>44.728000000000002</v>
      </c>
      <c r="R50" s="17"/>
      <c r="S50" s="17">
        <v>53.92</v>
      </c>
      <c r="T50" s="17">
        <v>62.311</v>
      </c>
      <c r="U50" s="17">
        <v>52.155999999999999</v>
      </c>
      <c r="V50" s="17"/>
      <c r="W50" s="17"/>
      <c r="X50" s="17"/>
      <c r="Y50" s="17"/>
      <c r="Z50" s="17">
        <v>8.2469999999999999</v>
      </c>
      <c r="AA50" s="17">
        <v>10.337999999999999</v>
      </c>
      <c r="AB50" s="17">
        <v>0</v>
      </c>
      <c r="AC50" s="17">
        <v>0</v>
      </c>
      <c r="AD50" s="17">
        <v>36.601999999999997</v>
      </c>
      <c r="AE50" s="17">
        <v>53.92</v>
      </c>
    </row>
    <row r="51" spans="1:33" x14ac:dyDescent="0.25">
      <c r="C51" s="2" t="s">
        <v>71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0</v>
      </c>
      <c r="Q51" s="17">
        <v>0</v>
      </c>
      <c r="R51" s="17"/>
      <c r="S51" s="17">
        <v>6.3369999999999997</v>
      </c>
      <c r="T51" s="17">
        <v>0</v>
      </c>
      <c r="U51" s="17">
        <v>0</v>
      </c>
      <c r="V51" s="17"/>
      <c r="W51" s="17"/>
      <c r="X51" s="17"/>
      <c r="Y51" s="17"/>
      <c r="Z51" s="17">
        <v>0.06</v>
      </c>
      <c r="AA51" s="17">
        <v>0</v>
      </c>
      <c r="AB51" s="17">
        <v>0</v>
      </c>
      <c r="AC51" s="17">
        <v>3.569</v>
      </c>
      <c r="AD51" s="17">
        <v>0</v>
      </c>
      <c r="AE51" s="17">
        <v>6.3369999999999997</v>
      </c>
    </row>
    <row r="52" spans="1:33" x14ac:dyDescent="0.25">
      <c r="C52" s="2" t="s">
        <v>72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332.90499999999997</v>
      </c>
      <c r="Q52" s="17">
        <v>298.65499999999997</v>
      </c>
      <c r="R52" s="17"/>
      <c r="S52" s="17">
        <v>341.35599999999999</v>
      </c>
      <c r="T52" s="17">
        <v>840.13</v>
      </c>
      <c r="U52" s="17">
        <v>545.81799999999998</v>
      </c>
      <c r="V52" s="17"/>
      <c r="W52" s="17"/>
      <c r="X52" s="17"/>
      <c r="Y52" s="17"/>
      <c r="Z52" s="17">
        <v>117.464</v>
      </c>
      <c r="AA52" s="17">
        <v>84.783000000000001</v>
      </c>
      <c r="AB52" s="17">
        <v>153.82400000000001</v>
      </c>
      <c r="AC52" s="17">
        <v>172.65199999999999</v>
      </c>
      <c r="AD52" s="17">
        <v>281.63200000000001</v>
      </c>
      <c r="AE52" s="17">
        <v>341.35599999999999</v>
      </c>
    </row>
    <row r="53" spans="1:33" x14ac:dyDescent="0.25">
      <c r="C53" s="1" t="s">
        <v>73</v>
      </c>
      <c r="D53" s="1">
        <f>SUM(D40:D52)</f>
        <v>0</v>
      </c>
      <c r="E53" s="1">
        <f t="shared" ref="E53:R53" si="53">SUM(E40:E52)</f>
        <v>0</v>
      </c>
      <c r="F53" s="1">
        <f t="shared" si="53"/>
        <v>0</v>
      </c>
      <c r="G53" s="1">
        <f t="shared" si="53"/>
        <v>0</v>
      </c>
      <c r="H53" s="1">
        <f t="shared" si="53"/>
        <v>0</v>
      </c>
      <c r="I53" s="1">
        <f t="shared" si="53"/>
        <v>0</v>
      </c>
      <c r="J53" s="1">
        <f t="shared" si="53"/>
        <v>0</v>
      </c>
      <c r="K53" s="1">
        <f t="shared" si="53"/>
        <v>0</v>
      </c>
      <c r="L53" s="1">
        <f t="shared" si="53"/>
        <v>0</v>
      </c>
      <c r="M53" s="1">
        <f t="shared" si="53"/>
        <v>0</v>
      </c>
      <c r="N53" s="1">
        <f t="shared" si="53"/>
        <v>0</v>
      </c>
      <c r="O53" s="1">
        <f t="shared" si="53"/>
        <v>0</v>
      </c>
      <c r="P53" s="18">
        <f t="shared" si="53"/>
        <v>1369.2239999999997</v>
      </c>
      <c r="Q53" s="18">
        <f t="shared" si="53"/>
        <v>1310.453</v>
      </c>
      <c r="R53" s="18">
        <f t="shared" si="53"/>
        <v>0</v>
      </c>
      <c r="S53" s="18">
        <f>SUM(S40:S52)</f>
        <v>1352.413</v>
      </c>
      <c r="T53" s="18">
        <f>SUM(T40:T52)</f>
        <v>1851.6770000000001</v>
      </c>
      <c r="U53" s="18">
        <f>SUM(U40:U52)</f>
        <v>1771.6169999999997</v>
      </c>
      <c r="V53" s="17"/>
      <c r="W53" s="17"/>
      <c r="X53" s="17"/>
      <c r="Y53" s="17"/>
      <c r="Z53" s="18">
        <f t="shared" ref="Z53:AE53" si="54">SUM(Z40:Z52)</f>
        <v>248.036</v>
      </c>
      <c r="AA53" s="18">
        <f t="shared" si="54"/>
        <v>431.05800000000005</v>
      </c>
      <c r="AB53" s="18">
        <f t="shared" si="54"/>
        <v>939.52500000000009</v>
      </c>
      <c r="AC53" s="18">
        <f t="shared" si="54"/>
        <v>1046.4779999999998</v>
      </c>
      <c r="AD53" s="18">
        <f t="shared" si="54"/>
        <v>1316.2610000000002</v>
      </c>
      <c r="AE53" s="18">
        <f t="shared" si="54"/>
        <v>1352.413</v>
      </c>
    </row>
    <row r="54" spans="1:33" s="1" customFormat="1" x14ac:dyDescent="0.25">
      <c r="A54" s="2"/>
      <c r="B54" s="3"/>
      <c r="C54" s="2" t="s">
        <v>74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5.6150000000000002</v>
      </c>
      <c r="Q54" s="17">
        <v>5.6150000000000002</v>
      </c>
      <c r="R54" s="17"/>
      <c r="S54" s="17">
        <v>5.7270000000000003</v>
      </c>
      <c r="T54" s="17">
        <v>6.5359999999999996</v>
      </c>
      <c r="U54" s="17">
        <v>6.5359999999999996</v>
      </c>
      <c r="V54" s="18"/>
      <c r="W54" s="18"/>
      <c r="X54" s="18"/>
      <c r="Y54" s="18"/>
      <c r="Z54" s="17">
        <v>0.107</v>
      </c>
      <c r="AA54" s="17">
        <v>0.255</v>
      </c>
      <c r="AB54" s="17">
        <v>0</v>
      </c>
      <c r="AC54" s="17">
        <v>0</v>
      </c>
      <c r="AD54" s="17">
        <v>5.6150000000000002</v>
      </c>
      <c r="AE54" s="17">
        <v>5.7270000000000003</v>
      </c>
      <c r="AF54" s="24"/>
    </row>
    <row r="55" spans="1:33" x14ac:dyDescent="0.25">
      <c r="C55" s="2" t="s">
        <v>75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549.12699999999995</v>
      </c>
      <c r="Q55" s="17">
        <v>549.12699999999995</v>
      </c>
      <c r="R55" s="17"/>
      <c r="S55" s="17">
        <v>549.01499999999999</v>
      </c>
      <c r="T55" s="17">
        <v>1018.6369999999999</v>
      </c>
      <c r="U55" s="17">
        <v>1018.6369999999999</v>
      </c>
      <c r="V55" s="17"/>
      <c r="W55" s="17"/>
      <c r="X55" s="17"/>
      <c r="Y55" s="17"/>
      <c r="Z55" s="17">
        <v>5.3890000000000002</v>
      </c>
      <c r="AA55" s="17">
        <v>272.01499999999999</v>
      </c>
      <c r="AB55" s="17">
        <v>0</v>
      </c>
      <c r="AC55" s="17">
        <v>0</v>
      </c>
      <c r="AD55" s="17">
        <v>549.12699999999995</v>
      </c>
      <c r="AE55" s="17">
        <v>549.01499999999999</v>
      </c>
    </row>
    <row r="56" spans="1:33" x14ac:dyDescent="0.25">
      <c r="C56" s="2" t="s">
        <v>76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0</v>
      </c>
      <c r="Q56" s="17">
        <v>0</v>
      </c>
      <c r="R56" s="17"/>
      <c r="S56" s="17">
        <v>-98.983999999999995</v>
      </c>
      <c r="T56" s="17">
        <v>-97.481999999999999</v>
      </c>
      <c r="U56" s="17">
        <v>-44.981999999999999</v>
      </c>
      <c r="V56" s="17"/>
      <c r="W56" s="17"/>
      <c r="X56" s="17"/>
      <c r="Y56" s="17"/>
      <c r="Z56" s="17">
        <v>-4.0000000000000001E-3</v>
      </c>
      <c r="AA56" s="17">
        <v>0</v>
      </c>
      <c r="AB56" s="17">
        <v>0</v>
      </c>
      <c r="AC56" s="17">
        <v>0</v>
      </c>
      <c r="AD56" s="17">
        <v>0</v>
      </c>
      <c r="AE56" s="17">
        <v>-98.983999999999995</v>
      </c>
    </row>
    <row r="57" spans="1:33" x14ac:dyDescent="0.25">
      <c r="C57" s="2" t="s">
        <v>77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0</v>
      </c>
      <c r="Q57" s="17">
        <v>0</v>
      </c>
      <c r="R57" s="17"/>
      <c r="S57" s="17">
        <v>0.495</v>
      </c>
      <c r="T57" s="17">
        <v>1.3640000000000001</v>
      </c>
      <c r="U57" s="17">
        <v>1.92</v>
      </c>
      <c r="V57" s="17"/>
      <c r="W57" s="17"/>
      <c r="X57" s="17"/>
      <c r="Y57" s="17"/>
      <c r="Z57" s="17">
        <v>11.22</v>
      </c>
      <c r="AA57" s="17">
        <v>0</v>
      </c>
      <c r="AB57" s="17">
        <v>0</v>
      </c>
      <c r="AC57" s="17">
        <v>0</v>
      </c>
      <c r="AD57" s="17">
        <v>0</v>
      </c>
      <c r="AE57" s="17">
        <v>0.495</v>
      </c>
    </row>
    <row r="58" spans="1:33" x14ac:dyDescent="0.25">
      <c r="C58" s="2" t="s">
        <v>78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80.332999999999998</v>
      </c>
      <c r="Q58" s="17">
        <v>70.277000000000001</v>
      </c>
      <c r="R58" s="17"/>
      <c r="S58" s="17">
        <v>76.108999999999995</v>
      </c>
      <c r="T58" s="17">
        <v>54.326999999999998</v>
      </c>
      <c r="U58" s="17">
        <v>69.036000000000001</v>
      </c>
      <c r="V58" s="17"/>
      <c r="W58" s="17"/>
      <c r="X58" s="17"/>
      <c r="Y58" s="17"/>
      <c r="Z58" s="17">
        <v>0</v>
      </c>
      <c r="AA58" s="17">
        <v>0</v>
      </c>
      <c r="AB58" s="17">
        <v>0</v>
      </c>
      <c r="AC58" s="17">
        <v>0</v>
      </c>
      <c r="AD58" s="17">
        <v>113.247</v>
      </c>
      <c r="AE58" s="17">
        <v>76.108999999999995</v>
      </c>
    </row>
    <row r="59" spans="1:33" x14ac:dyDescent="0.25">
      <c r="C59" s="2" t="s">
        <v>79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54.430999999999997</v>
      </c>
      <c r="Q59" s="17">
        <v>113.161</v>
      </c>
      <c r="R59" s="17"/>
      <c r="S59" s="17">
        <v>175.48099999999999</v>
      </c>
      <c r="T59" s="17">
        <v>181.76</v>
      </c>
      <c r="U59" s="17">
        <v>246.28700000000001</v>
      </c>
      <c r="V59" s="17"/>
      <c r="W59" s="17"/>
      <c r="X59" s="17"/>
      <c r="Y59" s="17"/>
      <c r="Z59" s="17">
        <v>114.68300000000001</v>
      </c>
      <c r="AA59" s="17">
        <v>30.629000000000001</v>
      </c>
      <c r="AB59" s="17">
        <v>487.09300000000002</v>
      </c>
      <c r="AC59" s="17">
        <v>625.28</v>
      </c>
      <c r="AD59" s="17">
        <v>50.4</v>
      </c>
      <c r="AE59" s="17">
        <v>175.48099999999999</v>
      </c>
    </row>
    <row r="60" spans="1:33" x14ac:dyDescent="0.25">
      <c r="C60" s="6" t="s">
        <v>80</v>
      </c>
      <c r="D60" s="19">
        <f t="shared" ref="D60:U60" si="55">SUM(D54:D59)</f>
        <v>0</v>
      </c>
      <c r="E60" s="19">
        <f>SUM(E54:E59)</f>
        <v>0</v>
      </c>
      <c r="F60" s="19">
        <f t="shared" si="55"/>
        <v>0</v>
      </c>
      <c r="G60" s="19">
        <f t="shared" si="55"/>
        <v>0</v>
      </c>
      <c r="H60" s="19">
        <f t="shared" si="55"/>
        <v>0</v>
      </c>
      <c r="I60" s="19">
        <f t="shared" si="55"/>
        <v>0</v>
      </c>
      <c r="J60" s="19">
        <f t="shared" si="55"/>
        <v>0</v>
      </c>
      <c r="K60" s="19">
        <f t="shared" si="55"/>
        <v>0</v>
      </c>
      <c r="L60" s="19">
        <f t="shared" si="55"/>
        <v>0</v>
      </c>
      <c r="M60" s="19">
        <f t="shared" si="55"/>
        <v>0</v>
      </c>
      <c r="N60" s="19">
        <f t="shared" si="55"/>
        <v>0</v>
      </c>
      <c r="O60" s="19">
        <f t="shared" si="55"/>
        <v>0</v>
      </c>
      <c r="P60" s="19">
        <f t="shared" si="55"/>
        <v>689.50599999999997</v>
      </c>
      <c r="Q60" s="19">
        <f t="shared" si="55"/>
        <v>738.18000000000006</v>
      </c>
      <c r="R60" s="19">
        <f t="shared" si="55"/>
        <v>0</v>
      </c>
      <c r="S60" s="19">
        <f t="shared" si="55"/>
        <v>707.84299999999996</v>
      </c>
      <c r="T60" s="19">
        <f t="shared" si="55"/>
        <v>1165.1420000000001</v>
      </c>
      <c r="U60" s="19">
        <f t="shared" si="55"/>
        <v>1297.434</v>
      </c>
      <c r="V60" s="17"/>
      <c r="W60" s="17"/>
      <c r="X60" s="17"/>
      <c r="Y60" s="17"/>
      <c r="Z60" s="19">
        <f t="shared" ref="Z60" si="56">SUM(Z54:Z59)</f>
        <v>131.39500000000001</v>
      </c>
      <c r="AA60" s="19">
        <f t="shared" ref="AA60" si="57">SUM(AA54:AA59)</f>
        <v>302.899</v>
      </c>
      <c r="AB60" s="19">
        <f t="shared" ref="AB60" si="58">SUM(AB54:AB59)</f>
        <v>487.09300000000002</v>
      </c>
      <c r="AC60" s="19">
        <f t="shared" ref="AC60" si="59">SUM(AC54:AC59)</f>
        <v>625.28</v>
      </c>
      <c r="AD60" s="19">
        <f t="shared" ref="AD60" si="60">SUM(AD54:AD59)</f>
        <v>718.3889999999999</v>
      </c>
      <c r="AE60" s="19">
        <f t="shared" ref="AE60" si="61">SUM(AE54:AE59)</f>
        <v>707.84299999999996</v>
      </c>
    </row>
    <row r="61" spans="1:33" s="6" customFormat="1" x14ac:dyDescent="0.25">
      <c r="A61" s="2"/>
      <c r="B61" s="3"/>
      <c r="C61" s="2" t="s">
        <v>81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35.997999999999998</v>
      </c>
      <c r="Q61" s="17">
        <v>0</v>
      </c>
      <c r="R61" s="17"/>
      <c r="S61" s="17">
        <v>0</v>
      </c>
      <c r="T61" s="17">
        <v>0</v>
      </c>
      <c r="U61" s="17">
        <v>0</v>
      </c>
      <c r="V61" s="17"/>
      <c r="W61" s="17"/>
      <c r="X61" s="17"/>
      <c r="Y61" s="17"/>
      <c r="Z61" s="17">
        <v>0.36499999999999999</v>
      </c>
      <c r="AA61" s="17">
        <v>40.930999999999997</v>
      </c>
      <c r="AB61" s="17">
        <v>180.27600000000001</v>
      </c>
      <c r="AC61" s="17">
        <v>126.48</v>
      </c>
      <c r="AD61" s="17">
        <v>38.406999999999996</v>
      </c>
      <c r="AE61" s="17">
        <v>0</v>
      </c>
      <c r="AF61" s="3"/>
      <c r="AG61" s="2"/>
    </row>
    <row r="62" spans="1:33" x14ac:dyDescent="0.25">
      <c r="C62" s="2" t="s">
        <v>82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72.521000000000001</v>
      </c>
      <c r="Q62" s="17">
        <v>73.450999999999993</v>
      </c>
      <c r="R62" s="17"/>
      <c r="S62" s="17">
        <v>70.349000000000004</v>
      </c>
      <c r="T62" s="17">
        <v>65.909000000000006</v>
      </c>
      <c r="U62" s="17">
        <v>72.945999999999998</v>
      </c>
      <c r="V62" s="17"/>
      <c r="W62" s="17"/>
      <c r="X62" s="17"/>
      <c r="Y62" s="17"/>
      <c r="Z62" s="17">
        <v>0</v>
      </c>
      <c r="AA62" s="17">
        <v>0</v>
      </c>
      <c r="AB62" s="17">
        <v>59.731000000000002</v>
      </c>
      <c r="AC62" s="17">
        <v>67.186999999999998</v>
      </c>
      <c r="AD62" s="17">
        <v>77.281999999999996</v>
      </c>
      <c r="AE62" s="17">
        <v>70.349000000000004</v>
      </c>
    </row>
    <row r="63" spans="1:33" x14ac:dyDescent="0.25">
      <c r="C63" s="2" t="s">
        <v>83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9.0440000000000005</v>
      </c>
      <c r="Q63" s="17">
        <v>7.9509999999999996</v>
      </c>
      <c r="R63" s="17"/>
      <c r="S63" s="17">
        <v>0.82799999999999996</v>
      </c>
      <c r="T63" s="17">
        <v>0.60399999999999998</v>
      </c>
      <c r="U63" s="17">
        <v>0.20899999999999999</v>
      </c>
      <c r="V63" s="17"/>
      <c r="W63" s="17"/>
      <c r="X63" s="17"/>
      <c r="Y63" s="17"/>
      <c r="Z63" s="17">
        <v>0</v>
      </c>
      <c r="AA63" s="17">
        <v>0</v>
      </c>
      <c r="AB63" s="17">
        <v>0</v>
      </c>
      <c r="AC63" s="17">
        <v>2.702</v>
      </c>
      <c r="AD63" s="17">
        <v>15.69</v>
      </c>
      <c r="AE63" s="17">
        <v>0.82799999999999996</v>
      </c>
    </row>
    <row r="64" spans="1:33" x14ac:dyDescent="0.25">
      <c r="C64" s="2" t="s">
        <v>84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42.988999999999997</v>
      </c>
      <c r="Q64" s="17">
        <v>42.722000000000001</v>
      </c>
      <c r="R64" s="17"/>
      <c r="S64" s="17">
        <v>40.009</v>
      </c>
      <c r="T64" s="17">
        <v>37.488999999999997</v>
      </c>
      <c r="U64" s="17">
        <v>36.637999999999998</v>
      </c>
      <c r="V64" s="17"/>
      <c r="W64" s="17"/>
      <c r="X64" s="17"/>
      <c r="Y64" s="17"/>
      <c r="Z64" s="17">
        <v>0</v>
      </c>
      <c r="AA64" s="17">
        <v>0</v>
      </c>
      <c r="AB64" s="17">
        <v>39.252000000000002</v>
      </c>
      <c r="AC64" s="17">
        <v>43.747999999999998</v>
      </c>
      <c r="AD64" s="17">
        <v>46.942</v>
      </c>
      <c r="AE64" s="17">
        <v>40.009</v>
      </c>
    </row>
    <row r="65" spans="1:32" x14ac:dyDescent="0.25">
      <c r="C65" s="2" t="s">
        <v>85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60.744</v>
      </c>
      <c r="Q65" s="17">
        <v>54.765999999999998</v>
      </c>
      <c r="R65" s="17"/>
      <c r="S65" s="17">
        <v>45.652000000000001</v>
      </c>
      <c r="T65" s="17">
        <v>58.125999999999998</v>
      </c>
      <c r="U65" s="17">
        <v>74</v>
      </c>
      <c r="V65" s="17"/>
      <c r="W65" s="18"/>
      <c r="X65" s="17"/>
      <c r="Y65" s="17"/>
      <c r="Z65" s="17">
        <v>21.643000000000001</v>
      </c>
      <c r="AA65" s="17">
        <v>43.209000000000003</v>
      </c>
      <c r="AB65" s="17">
        <v>99.733999999999995</v>
      </c>
      <c r="AC65" s="17">
        <v>114.82599999999999</v>
      </c>
      <c r="AD65" s="17">
        <v>52.149000000000001</v>
      </c>
      <c r="AE65" s="17">
        <v>45.652000000000001</v>
      </c>
    </row>
    <row r="66" spans="1:32" x14ac:dyDescent="0.25">
      <c r="C66" s="2" t="s">
        <v>86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140.92500000000001</v>
      </c>
      <c r="Q66" s="17">
        <v>119.023</v>
      </c>
      <c r="R66" s="17"/>
      <c r="S66" s="17">
        <v>166.80699999999999</v>
      </c>
      <c r="T66" s="17">
        <v>211.38900000000001</v>
      </c>
      <c r="U66" s="17">
        <v>150.404</v>
      </c>
      <c r="V66" s="17"/>
      <c r="W66" s="17"/>
      <c r="X66" s="17"/>
      <c r="Y66" s="17"/>
      <c r="Z66" s="17">
        <v>0</v>
      </c>
      <c r="AA66" s="17">
        <v>0</v>
      </c>
      <c r="AB66" s="17">
        <v>21.693999999999999</v>
      </c>
      <c r="AC66" s="17">
        <v>20.981999999999999</v>
      </c>
      <c r="AD66" s="17">
        <v>96.335999999999999</v>
      </c>
      <c r="AE66" s="17">
        <v>166.80699999999999</v>
      </c>
    </row>
    <row r="67" spans="1:32" x14ac:dyDescent="0.25">
      <c r="C67" s="2" t="s">
        <v>87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130.602</v>
      </c>
      <c r="Q67" s="17">
        <v>125.239</v>
      </c>
      <c r="R67" s="17"/>
      <c r="S67" s="17">
        <v>70.963999999999999</v>
      </c>
      <c r="T67" s="17">
        <v>80.019000000000005</v>
      </c>
      <c r="U67" s="17">
        <v>0</v>
      </c>
      <c r="V67" s="17"/>
      <c r="W67" s="17"/>
      <c r="X67" s="17"/>
      <c r="Y67" s="17"/>
      <c r="Z67" s="17">
        <v>0</v>
      </c>
      <c r="AA67" s="17">
        <v>0</v>
      </c>
      <c r="AB67" s="17">
        <v>20.347000000000001</v>
      </c>
      <c r="AC67" s="17">
        <v>14.065</v>
      </c>
      <c r="AD67" s="17">
        <v>144.42400000000001</v>
      </c>
      <c r="AE67" s="17">
        <v>70.963999999999999</v>
      </c>
    </row>
    <row r="68" spans="1:32" x14ac:dyDescent="0.25">
      <c r="C68" s="2" t="s">
        <v>88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14.03</v>
      </c>
      <c r="Q68" s="17">
        <v>14.983000000000001</v>
      </c>
      <c r="R68" s="17"/>
      <c r="S68" s="17">
        <v>17.489999999999998</v>
      </c>
      <c r="T68" s="17">
        <v>17.109000000000002</v>
      </c>
      <c r="U68" s="17">
        <v>19.959</v>
      </c>
      <c r="V68" s="17"/>
      <c r="W68" s="17"/>
      <c r="X68" s="17"/>
      <c r="Y68" s="17"/>
      <c r="Z68" s="17">
        <v>0</v>
      </c>
      <c r="AA68" s="17">
        <v>0</v>
      </c>
      <c r="AB68" s="17">
        <v>6.5369999999999999</v>
      </c>
      <c r="AC68" s="17">
        <v>13.236000000000001</v>
      </c>
      <c r="AD68" s="17">
        <v>15.118</v>
      </c>
      <c r="AE68" s="17">
        <v>17.489999999999998</v>
      </c>
    </row>
    <row r="69" spans="1:32" x14ac:dyDescent="0.25">
      <c r="C69" s="2" t="s">
        <v>89</v>
      </c>
      <c r="D69" s="1"/>
      <c r="P69" s="17">
        <v>27.638999999999999</v>
      </c>
      <c r="Q69" s="17">
        <v>38.356000000000002</v>
      </c>
      <c r="R69" s="17"/>
      <c r="S69" s="17">
        <v>32.616999999999997</v>
      </c>
      <c r="T69" s="17">
        <v>10.664999999999999</v>
      </c>
      <c r="U69" s="17">
        <v>34.540999999999997</v>
      </c>
      <c r="V69" s="17"/>
      <c r="W69" s="17"/>
      <c r="X69" s="17"/>
      <c r="Y69" s="17"/>
      <c r="Z69" s="17">
        <v>7.633</v>
      </c>
      <c r="AA69" s="17">
        <v>12.872</v>
      </c>
      <c r="AB69" s="17">
        <v>18.707000000000001</v>
      </c>
      <c r="AC69" s="17">
        <v>17.972000000000001</v>
      </c>
      <c r="AD69" s="17">
        <v>33.015000000000001</v>
      </c>
      <c r="AE69" s="17">
        <v>32.616999999999997</v>
      </c>
    </row>
    <row r="70" spans="1:32" x14ac:dyDescent="0.25">
      <c r="C70" s="2" t="s">
        <v>90</v>
      </c>
      <c r="P70" s="17">
        <v>5.4909999999999997</v>
      </c>
      <c r="Q70" s="17">
        <v>5.67</v>
      </c>
      <c r="R70" s="17"/>
      <c r="S70" s="17">
        <v>19.654</v>
      </c>
      <c r="T70" s="17">
        <v>19.068000000000001</v>
      </c>
      <c r="U70" s="17">
        <v>19.756</v>
      </c>
      <c r="V70" s="17"/>
      <c r="W70" s="17"/>
      <c r="X70" s="17"/>
      <c r="Y70" s="17"/>
      <c r="Z70" s="17">
        <v>12.323</v>
      </c>
      <c r="AA70" s="17">
        <v>13.331</v>
      </c>
      <c r="AB70" s="17">
        <v>6.1539999999999999</v>
      </c>
      <c r="AC70" s="17">
        <v>0</v>
      </c>
      <c r="AD70" s="17">
        <v>0</v>
      </c>
      <c r="AE70" s="17">
        <v>19.654</v>
      </c>
    </row>
    <row r="71" spans="1:32" x14ac:dyDescent="0.25">
      <c r="C71" s="2" t="s">
        <v>91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139.94399999999999</v>
      </c>
      <c r="Q71" s="17">
        <v>90.311999999999998</v>
      </c>
      <c r="R71" s="17"/>
      <c r="S71" s="17">
        <v>180.2</v>
      </c>
      <c r="T71" s="17">
        <v>196.17500000000001</v>
      </c>
      <c r="U71" s="17">
        <v>65.587999999999994</v>
      </c>
      <c r="V71" s="17"/>
      <c r="W71" s="17"/>
      <c r="X71" s="17"/>
      <c r="Y71" s="17"/>
      <c r="Z71" s="17">
        <v>74.676000000000002</v>
      </c>
      <c r="AA71" s="17">
        <v>17.815999999999999</v>
      </c>
      <c r="AB71" s="17">
        <v>0</v>
      </c>
      <c r="AC71" s="17">
        <v>0</v>
      </c>
      <c r="AD71" s="17">
        <v>78.509</v>
      </c>
      <c r="AE71" s="17">
        <v>180.2</v>
      </c>
    </row>
    <row r="72" spans="1:32" x14ac:dyDescent="0.25">
      <c r="C72" s="6" t="s">
        <v>92</v>
      </c>
      <c r="D72" s="19">
        <f t="shared" ref="D72:E72" si="62">SUM(D61:D71)</f>
        <v>0</v>
      </c>
      <c r="E72" s="19">
        <f t="shared" si="62"/>
        <v>0</v>
      </c>
      <c r="F72" s="19">
        <f>SUM(F61:F71)</f>
        <v>0</v>
      </c>
      <c r="G72" s="19">
        <f t="shared" ref="G72:S72" si="63">SUM(G61:G71)</f>
        <v>0</v>
      </c>
      <c r="H72" s="19">
        <f t="shared" si="63"/>
        <v>0</v>
      </c>
      <c r="I72" s="19">
        <f t="shared" si="63"/>
        <v>0</v>
      </c>
      <c r="J72" s="19">
        <f t="shared" si="63"/>
        <v>0</v>
      </c>
      <c r="K72" s="19">
        <f t="shared" si="63"/>
        <v>0</v>
      </c>
      <c r="L72" s="19">
        <f t="shared" si="63"/>
        <v>0</v>
      </c>
      <c r="M72" s="19">
        <f t="shared" si="63"/>
        <v>0</v>
      </c>
      <c r="N72" s="19">
        <f t="shared" si="63"/>
        <v>0</v>
      </c>
      <c r="O72" s="19">
        <f t="shared" si="63"/>
        <v>0</v>
      </c>
      <c r="P72" s="19">
        <f t="shared" si="63"/>
        <v>679.92699999999991</v>
      </c>
      <c r="Q72" s="19">
        <f t="shared" si="63"/>
        <v>572.47300000000007</v>
      </c>
      <c r="R72" s="19">
        <f t="shared" si="63"/>
        <v>0</v>
      </c>
      <c r="S72" s="19">
        <f t="shared" si="63"/>
        <v>644.56999999999994</v>
      </c>
      <c r="T72" s="19">
        <f t="shared" ref="T72:U72" si="64">SUM(T61:T71)</f>
        <v>696.55300000000011</v>
      </c>
      <c r="U72" s="19">
        <f t="shared" si="64"/>
        <v>474.04099999999994</v>
      </c>
      <c r="V72" s="17"/>
      <c r="W72" s="17"/>
      <c r="X72" s="17"/>
      <c r="Y72" s="17"/>
      <c r="Z72" s="19">
        <f t="shared" ref="Z72" si="65">SUM(Z61:Z71)</f>
        <v>116.64</v>
      </c>
      <c r="AA72" s="19">
        <f t="shared" ref="AA72" si="66">SUM(AA61:AA71)</f>
        <v>128.15899999999999</v>
      </c>
      <c r="AB72" s="19">
        <f t="shared" ref="AB72" si="67">SUM(AB61:AB71)</f>
        <v>452.43199999999996</v>
      </c>
      <c r="AC72" s="19">
        <f t="shared" ref="AC72" si="68">SUM(AC61:AC71)</f>
        <v>421.19799999999992</v>
      </c>
      <c r="AD72" s="19">
        <f t="shared" ref="AD72" si="69">SUM(AD61:AD71)</f>
        <v>597.87200000000007</v>
      </c>
      <c r="AE72" s="19">
        <f t="shared" ref="AE72" si="70">SUM(AE61:AE71)</f>
        <v>644.56999999999994</v>
      </c>
    </row>
    <row r="73" spans="1:32" s="6" customFormat="1" x14ac:dyDescent="0.25">
      <c r="A73" s="2"/>
      <c r="B73" s="3"/>
      <c r="C73" s="1" t="s">
        <v>93</v>
      </c>
      <c r="D73" s="18">
        <f t="shared" ref="D73:E73" si="71">D60+D72</f>
        <v>0</v>
      </c>
      <c r="E73" s="18">
        <f t="shared" si="71"/>
        <v>0</v>
      </c>
      <c r="F73" s="18">
        <f>F60+F72</f>
        <v>0</v>
      </c>
      <c r="G73" s="18">
        <f t="shared" ref="G73:S73" si="72">G60+G72</f>
        <v>0</v>
      </c>
      <c r="H73" s="18">
        <f t="shared" si="72"/>
        <v>0</v>
      </c>
      <c r="I73" s="18">
        <f t="shared" si="72"/>
        <v>0</v>
      </c>
      <c r="J73" s="18">
        <f t="shared" si="72"/>
        <v>0</v>
      </c>
      <c r="K73" s="18">
        <f t="shared" si="72"/>
        <v>0</v>
      </c>
      <c r="L73" s="18">
        <f t="shared" si="72"/>
        <v>0</v>
      </c>
      <c r="M73" s="18">
        <f t="shared" si="72"/>
        <v>0</v>
      </c>
      <c r="N73" s="18">
        <f t="shared" si="72"/>
        <v>0</v>
      </c>
      <c r="O73" s="18">
        <f t="shared" si="72"/>
        <v>0</v>
      </c>
      <c r="P73" s="18">
        <f t="shared" si="72"/>
        <v>1369.433</v>
      </c>
      <c r="Q73" s="18">
        <f t="shared" si="72"/>
        <v>1310.6530000000002</v>
      </c>
      <c r="R73" s="18">
        <f t="shared" si="72"/>
        <v>0</v>
      </c>
      <c r="S73" s="18">
        <f t="shared" si="72"/>
        <v>1352.413</v>
      </c>
      <c r="T73" s="18">
        <f t="shared" ref="T73:U73" si="73">T60+T72</f>
        <v>1861.6950000000002</v>
      </c>
      <c r="U73" s="18">
        <f t="shared" si="73"/>
        <v>1771.4749999999999</v>
      </c>
      <c r="V73" s="19"/>
      <c r="W73" s="19"/>
      <c r="X73" s="19"/>
      <c r="Y73" s="19"/>
      <c r="Z73" s="18">
        <f t="shared" ref="Z73" si="74">Z60+Z72</f>
        <v>248.03500000000003</v>
      </c>
      <c r="AA73" s="18">
        <f t="shared" ref="AA73" si="75">AA60+AA72</f>
        <v>431.05799999999999</v>
      </c>
      <c r="AB73" s="18">
        <f t="shared" ref="AB73" si="76">AB60+AB72</f>
        <v>939.52499999999998</v>
      </c>
      <c r="AC73" s="18">
        <f t="shared" ref="AC73" si="77">AC60+AC72</f>
        <v>1046.4779999999998</v>
      </c>
      <c r="AD73" s="18">
        <f t="shared" ref="AD73" si="78">AD60+AD72</f>
        <v>1316.261</v>
      </c>
      <c r="AE73" s="18">
        <f t="shared" ref="AE73" si="79">AE60+AE72</f>
        <v>1352.413</v>
      </c>
      <c r="AF73" s="57"/>
    </row>
    <row r="74" spans="1:32" s="1" customFormat="1" x14ac:dyDescent="0.25">
      <c r="A74" s="2"/>
      <c r="B74" s="3"/>
      <c r="C74" s="2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8"/>
      <c r="U74" s="18"/>
      <c r="W74" s="18"/>
      <c r="X74" s="18"/>
      <c r="Z74" s="17"/>
      <c r="AA74" s="17"/>
      <c r="AB74" s="17"/>
      <c r="AC74" s="17"/>
      <c r="AD74" s="17"/>
      <c r="AE74" s="17"/>
      <c r="AF74" s="24"/>
    </row>
    <row r="75" spans="1:32" x14ac:dyDescent="0.25">
      <c r="C75" s="1" t="s">
        <v>39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"/>
      <c r="U75" s="1"/>
      <c r="V75" s="1"/>
      <c r="W75" s="17"/>
      <c r="X75" s="17"/>
      <c r="Z75" s="17"/>
      <c r="AA75" s="17"/>
      <c r="AB75" s="17"/>
      <c r="AC75" s="17"/>
      <c r="AD75" s="17"/>
      <c r="AE75" s="17"/>
    </row>
    <row r="76" spans="1:32" x14ac:dyDescent="0.25">
      <c r="C76" s="2" t="s">
        <v>94</v>
      </c>
      <c r="D76" s="17">
        <f>D18</f>
        <v>0</v>
      </c>
      <c r="E76" s="17">
        <f t="shared" ref="E76:U76" si="80">E18</f>
        <v>0</v>
      </c>
      <c r="F76" s="17">
        <f t="shared" si="80"/>
        <v>0</v>
      </c>
      <c r="G76" s="17">
        <f t="shared" si="80"/>
        <v>0</v>
      </c>
      <c r="H76" s="17">
        <f t="shared" si="80"/>
        <v>0</v>
      </c>
      <c r="I76" s="17">
        <f t="shared" si="80"/>
        <v>0</v>
      </c>
      <c r="J76" s="17">
        <f t="shared" si="80"/>
        <v>0</v>
      </c>
      <c r="K76" s="17">
        <f t="shared" si="80"/>
        <v>0</v>
      </c>
      <c r="L76" s="17">
        <f t="shared" si="80"/>
        <v>0</v>
      </c>
      <c r="M76" s="17">
        <f t="shared" si="80"/>
        <v>0</v>
      </c>
      <c r="N76" s="17">
        <f t="shared" si="80"/>
        <v>0</v>
      </c>
      <c r="O76" s="17">
        <f t="shared" si="80"/>
        <v>0</v>
      </c>
      <c r="P76" s="17">
        <f t="shared" si="80"/>
        <v>44.026999999999973</v>
      </c>
      <c r="Q76" s="17">
        <f t="shared" si="80"/>
        <v>58.82000000000005</v>
      </c>
      <c r="R76" s="17">
        <f t="shared" si="80"/>
        <v>0</v>
      </c>
      <c r="S76" s="17">
        <f t="shared" si="80"/>
        <v>0</v>
      </c>
      <c r="T76" s="17">
        <f t="shared" si="80"/>
        <v>25.999999999999986</v>
      </c>
      <c r="U76" s="17">
        <f t="shared" si="80"/>
        <v>64.680000000000007</v>
      </c>
      <c r="V76" s="18"/>
      <c r="W76" s="17"/>
      <c r="X76" s="17"/>
      <c r="Y76" s="17"/>
      <c r="Z76" s="17">
        <f t="shared" ref="Z76:AE76" si="81">Z18</f>
        <v>47.695999999999962</v>
      </c>
      <c r="AA76" s="17">
        <f t="shared" si="81"/>
        <v>56.975000000000044</v>
      </c>
      <c r="AB76" s="17">
        <f t="shared" si="81"/>
        <v>78.730999999999938</v>
      </c>
      <c r="AC76" s="17">
        <f t="shared" si="81"/>
        <v>-72.525000000000034</v>
      </c>
      <c r="AD76" s="17">
        <f t="shared" si="81"/>
        <v>39.182000000000023</v>
      </c>
      <c r="AE76" s="17">
        <f t="shared" si="81"/>
        <v>165.08100000000016</v>
      </c>
    </row>
    <row r="77" spans="1:32" x14ac:dyDescent="0.25">
      <c r="C77" s="2" t="s">
        <v>95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44.031999999999996</v>
      </c>
      <c r="Q77" s="17">
        <v>58.728999999999999</v>
      </c>
      <c r="R77" s="17"/>
      <c r="S77" s="17"/>
      <c r="T77" s="17">
        <v>25.934999999999999</v>
      </c>
      <c r="U77" s="17">
        <v>64.527000000000001</v>
      </c>
      <c r="V77" s="18"/>
      <c r="W77" s="17"/>
      <c r="X77" s="17"/>
      <c r="Y77" s="17"/>
      <c r="Z77" s="17">
        <v>47.695999999999998</v>
      </c>
      <c r="AA77" s="17">
        <v>56.975000000000001</v>
      </c>
      <c r="AB77" s="17">
        <v>78.730999999999995</v>
      </c>
      <c r="AC77" s="17">
        <v>-72.525000000000006</v>
      </c>
      <c r="AD77" s="17">
        <v>39.182000000000002</v>
      </c>
      <c r="AE77" s="17">
        <v>165.08099999999999</v>
      </c>
    </row>
    <row r="78" spans="1:32" x14ac:dyDescent="0.25">
      <c r="C78" s="2" t="s">
        <v>96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-1.4239999999999999</v>
      </c>
      <c r="Q78" s="17">
        <v>-0.31</v>
      </c>
      <c r="R78" s="17"/>
      <c r="S78" s="17"/>
      <c r="T78" s="17">
        <v>-6.2E-2</v>
      </c>
      <c r="U78" s="17">
        <v>0.125</v>
      </c>
      <c r="V78" s="18"/>
      <c r="W78" s="17"/>
      <c r="X78" s="17"/>
      <c r="Y78" s="17"/>
      <c r="Z78" s="17">
        <v>-2.028</v>
      </c>
      <c r="AA78" s="17">
        <v>-0.32</v>
      </c>
      <c r="AB78" s="17">
        <v>-0.44400000000000001</v>
      </c>
      <c r="AC78" s="17">
        <v>0.15</v>
      </c>
      <c r="AD78" s="17">
        <v>0.13300000000000001</v>
      </c>
      <c r="AE78" s="17">
        <v>-4.0270000000000001</v>
      </c>
    </row>
    <row r="79" spans="1:32" x14ac:dyDescent="0.25">
      <c r="C79" s="2" t="s">
        <v>49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17.010999999999999</v>
      </c>
      <c r="Q79" s="17">
        <v>15.861000000000001</v>
      </c>
      <c r="R79" s="17"/>
      <c r="S79" s="17"/>
      <c r="T79" s="17">
        <v>15.699</v>
      </c>
      <c r="U79" s="17">
        <v>25.138000000000002</v>
      </c>
      <c r="V79" s="18"/>
      <c r="W79" s="17"/>
      <c r="X79" s="17"/>
      <c r="Y79" s="17"/>
      <c r="Z79" s="17">
        <v>7.3120000000000003</v>
      </c>
      <c r="AA79" s="17">
        <v>10.481</v>
      </c>
      <c r="AB79" s="17">
        <v>30.707000000000001</v>
      </c>
      <c r="AC79" s="17">
        <v>167.47</v>
      </c>
      <c r="AD79" s="17">
        <v>60.197000000000003</v>
      </c>
      <c r="AE79" s="17">
        <v>64.817999999999998</v>
      </c>
    </row>
    <row r="80" spans="1:32" x14ac:dyDescent="0.25">
      <c r="C80" s="2" t="s">
        <v>97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1.4E-2</v>
      </c>
      <c r="Q80" s="17">
        <v>-2.5999999999999999E-2</v>
      </c>
      <c r="R80" s="17"/>
      <c r="S80" s="17"/>
      <c r="T80" s="17">
        <v>0.16</v>
      </c>
      <c r="U80" s="17">
        <v>0.75700000000000001</v>
      </c>
      <c r="V80" s="17"/>
      <c r="W80" s="17"/>
      <c r="X80" s="17"/>
      <c r="Y80" s="17"/>
      <c r="Z80" s="17">
        <v>0</v>
      </c>
      <c r="AA80" s="17">
        <v>0</v>
      </c>
      <c r="AB80" s="17">
        <v>0.246</v>
      </c>
      <c r="AC80" s="17">
        <v>2.1000000000000001E-2</v>
      </c>
      <c r="AD80" s="17">
        <v>4.9000000000000002E-2</v>
      </c>
      <c r="AE80" s="17">
        <v>0.27500000000000002</v>
      </c>
    </row>
    <row r="81" spans="1:32" x14ac:dyDescent="0.25">
      <c r="C81" s="2" t="s">
        <v>98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0</v>
      </c>
      <c r="Q81" s="17">
        <v>0</v>
      </c>
      <c r="R81" s="17"/>
      <c r="S81" s="17"/>
      <c r="T81" s="17">
        <v>0.86899999999999999</v>
      </c>
      <c r="U81" s="17">
        <v>0.55500000000000005</v>
      </c>
      <c r="V81" s="17"/>
      <c r="W81" s="17"/>
      <c r="X81" s="17"/>
      <c r="Y81" s="17"/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0.495</v>
      </c>
    </row>
    <row r="82" spans="1:32" x14ac:dyDescent="0.25">
      <c r="C82" s="2" t="s">
        <v>99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1.8169999999999999</v>
      </c>
      <c r="Q82" s="17">
        <v>-7.29</v>
      </c>
      <c r="R82" s="17"/>
      <c r="S82" s="17"/>
      <c r="T82" s="17">
        <v>4.952</v>
      </c>
      <c r="U82" s="17">
        <v>-3.1720000000000002</v>
      </c>
      <c r="V82" s="17"/>
      <c r="W82" s="17"/>
      <c r="X82" s="17"/>
      <c r="Y82" s="17"/>
      <c r="Z82" s="17">
        <v>0</v>
      </c>
      <c r="AA82" s="17">
        <v>0</v>
      </c>
      <c r="AB82" s="17">
        <v>17.358000000000001</v>
      </c>
      <c r="AC82" s="17">
        <v>12.842000000000001</v>
      </c>
      <c r="AD82" s="17">
        <v>7.5049999999999999</v>
      </c>
      <c r="AE82" s="17">
        <v>-1.794</v>
      </c>
    </row>
    <row r="83" spans="1:32" x14ac:dyDescent="0.25">
      <c r="C83" s="2" t="s">
        <v>100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>
        <v>0</v>
      </c>
      <c r="AA83" s="17">
        <v>0</v>
      </c>
      <c r="AB83" s="17">
        <v>4.5919999999999996</v>
      </c>
      <c r="AC83" s="17">
        <v>3.3919999999999999</v>
      </c>
      <c r="AD83" s="17">
        <v>1.782</v>
      </c>
      <c r="AE83" s="17">
        <v>0</v>
      </c>
    </row>
    <row r="84" spans="1:32" x14ac:dyDescent="0.25">
      <c r="C84" s="2" t="s">
        <v>101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0</v>
      </c>
      <c r="Q84" s="17">
        <v>0</v>
      </c>
      <c r="R84" s="17"/>
      <c r="S84" s="17"/>
      <c r="T84" s="17">
        <v>0</v>
      </c>
      <c r="U84" s="17">
        <v>0</v>
      </c>
      <c r="V84" s="17"/>
      <c r="W84" s="17"/>
      <c r="X84" s="17"/>
      <c r="Y84" s="17"/>
      <c r="Z84" s="17">
        <v>0.63200000000000001</v>
      </c>
      <c r="AA84" s="17">
        <v>0.129</v>
      </c>
      <c r="AB84" s="17">
        <v>0</v>
      </c>
      <c r="AC84" s="17">
        <v>0</v>
      </c>
      <c r="AD84" s="17">
        <v>0</v>
      </c>
      <c r="AE84" s="17">
        <v>12.247999999999999</v>
      </c>
    </row>
    <row r="85" spans="1:32" x14ac:dyDescent="0.25">
      <c r="C85" s="2" t="s">
        <v>102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15.298</v>
      </c>
      <c r="Q85" s="17">
        <v>14.077999999999999</v>
      </c>
      <c r="R85" s="17"/>
      <c r="S85" s="17"/>
      <c r="T85" s="17">
        <v>16.135999999999999</v>
      </c>
      <c r="U85" s="17">
        <v>6.1630000000000003</v>
      </c>
      <c r="V85" s="17"/>
      <c r="W85" s="17"/>
      <c r="X85" s="17"/>
      <c r="Y85" s="17"/>
      <c r="Z85" s="17">
        <v>10.734</v>
      </c>
      <c r="AA85" s="17">
        <v>16.061</v>
      </c>
      <c r="AB85" s="17">
        <v>26.600999999999999</v>
      </c>
      <c r="AC85" s="17">
        <v>17.039000000000001</v>
      </c>
      <c r="AD85" s="17">
        <v>21.475000000000001</v>
      </c>
      <c r="AE85" s="17">
        <v>22.170999999999999</v>
      </c>
    </row>
    <row r="86" spans="1:32" x14ac:dyDescent="0.25">
      <c r="C86" s="2" t="s">
        <v>103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70.307000000000002</v>
      </c>
      <c r="Q86" s="17">
        <f>-12.468+23.223+1.152+6.486-5.978+2.298-34.928</f>
        <v>-20.215</v>
      </c>
      <c r="R86" s="17"/>
      <c r="S86" s="17"/>
      <c r="T86" s="17">
        <v>6.69</v>
      </c>
      <c r="U86" s="17">
        <f>-10.276+67.291-4.278-0.237+12.279-1.641-109.05-105.397</f>
        <v>-151.309</v>
      </c>
      <c r="V86" s="17"/>
      <c r="W86" s="17"/>
      <c r="X86" s="17"/>
      <c r="Y86" s="17"/>
      <c r="Z86" s="17">
        <v>0.66300000000000003</v>
      </c>
      <c r="AA86" s="17">
        <v>-14.196</v>
      </c>
      <c r="AB86" s="17">
        <v>-35.078000000000003</v>
      </c>
      <c r="AC86" s="17">
        <v>-42.140999999999998</v>
      </c>
      <c r="AD86" s="17">
        <v>42.250999999999998</v>
      </c>
      <c r="AE86" s="17">
        <v>10.686</v>
      </c>
    </row>
    <row r="87" spans="1:32" x14ac:dyDescent="0.25">
      <c r="C87" s="2" t="s">
        <v>104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-20.667000000000002</v>
      </c>
      <c r="Q87" s="17">
        <v>-3.4620000000000002</v>
      </c>
      <c r="R87" s="17"/>
      <c r="S87" s="17"/>
      <c r="T87" s="17">
        <v>-30.373999999999999</v>
      </c>
      <c r="U87" s="17">
        <v>-7.0339999999999998</v>
      </c>
      <c r="V87" s="17"/>
      <c r="W87" s="17"/>
      <c r="X87" s="17"/>
      <c r="Y87" s="17"/>
      <c r="Z87" s="17">
        <v>-9.09</v>
      </c>
      <c r="AA87" s="17">
        <v>-7.633</v>
      </c>
      <c r="AB87" s="17">
        <v>-27.058</v>
      </c>
      <c r="AC87" s="17">
        <v>-22.027999999999999</v>
      </c>
      <c r="AD87" s="17">
        <v>-30.966999999999999</v>
      </c>
      <c r="AE87" s="17">
        <v>-46.046999999999997</v>
      </c>
    </row>
    <row r="88" spans="1:32" x14ac:dyDescent="0.25">
      <c r="C88" s="2" t="s">
        <v>105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-4.2249999999999996</v>
      </c>
      <c r="Q88" s="17">
        <v>-1.847</v>
      </c>
      <c r="R88" s="17"/>
      <c r="S88" s="17"/>
      <c r="T88" s="17">
        <v>-1.306</v>
      </c>
      <c r="U88" s="17">
        <v>-3.0910000000000002</v>
      </c>
      <c r="V88" s="17"/>
      <c r="W88" s="17"/>
      <c r="X88" s="17"/>
      <c r="Y88" s="17"/>
      <c r="Z88" s="17">
        <v>0</v>
      </c>
      <c r="AA88" s="17">
        <v>0</v>
      </c>
      <c r="AB88" s="17">
        <v>-9.6539999999999999</v>
      </c>
      <c r="AC88" s="17">
        <v>-16.484000000000002</v>
      </c>
      <c r="AD88" s="17">
        <v>-11.436999999999999</v>
      </c>
      <c r="AE88" s="17">
        <v>-15.49</v>
      </c>
    </row>
    <row r="89" spans="1:32" x14ac:dyDescent="0.25">
      <c r="C89" s="1" t="s">
        <v>106</v>
      </c>
      <c r="D89" s="18">
        <f t="shared" ref="D89:R89" si="82">SUM(D77:D88)</f>
        <v>0</v>
      </c>
      <c r="E89" s="18">
        <f t="shared" si="82"/>
        <v>0</v>
      </c>
      <c r="F89" s="18">
        <f t="shared" si="82"/>
        <v>0</v>
      </c>
      <c r="G89" s="18">
        <f t="shared" si="82"/>
        <v>0</v>
      </c>
      <c r="H89" s="18">
        <f t="shared" si="82"/>
        <v>0</v>
      </c>
      <c r="I89" s="18">
        <f t="shared" si="82"/>
        <v>0</v>
      </c>
      <c r="J89" s="18">
        <f t="shared" si="82"/>
        <v>0</v>
      </c>
      <c r="K89" s="18">
        <f t="shared" si="82"/>
        <v>0</v>
      </c>
      <c r="L89" s="18">
        <f t="shared" si="82"/>
        <v>0</v>
      </c>
      <c r="M89" s="18">
        <f t="shared" si="82"/>
        <v>0</v>
      </c>
      <c r="N89" s="18">
        <f t="shared" si="82"/>
        <v>0</v>
      </c>
      <c r="O89" s="18">
        <f t="shared" si="82"/>
        <v>0</v>
      </c>
      <c r="P89" s="18">
        <f t="shared" si="82"/>
        <v>122.16300000000001</v>
      </c>
      <c r="Q89" s="18">
        <f t="shared" si="82"/>
        <v>55.517999999999994</v>
      </c>
      <c r="R89" s="18">
        <f t="shared" si="82"/>
        <v>0</v>
      </c>
      <c r="S89" s="18">
        <f>SUM(S77:S88)</f>
        <v>0</v>
      </c>
      <c r="T89" s="18">
        <f>SUM(T77:T88)</f>
        <v>38.698999999999998</v>
      </c>
      <c r="U89" s="18">
        <f>SUM(U77:U88)</f>
        <v>-67.34099999999998</v>
      </c>
      <c r="V89" s="17"/>
      <c r="W89" s="17"/>
      <c r="X89" s="17"/>
      <c r="Y89" s="17"/>
      <c r="Z89" s="18">
        <f t="shared" ref="Z89:AE89" si="83">SUM(Z77:Z88)</f>
        <v>55.918999999999983</v>
      </c>
      <c r="AA89" s="18">
        <f t="shared" si="83"/>
        <v>61.496999999999993</v>
      </c>
      <c r="AB89" s="18">
        <f t="shared" si="83"/>
        <v>86.001000000000005</v>
      </c>
      <c r="AC89" s="18">
        <f t="shared" si="83"/>
        <v>47.736000000000026</v>
      </c>
      <c r="AD89" s="18">
        <f t="shared" si="83"/>
        <v>130.17000000000002</v>
      </c>
      <c r="AE89" s="18">
        <f t="shared" si="83"/>
        <v>208.41599999999997</v>
      </c>
    </row>
    <row r="90" spans="1:32" s="1" customFormat="1" x14ac:dyDescent="0.25">
      <c r="A90" s="2"/>
      <c r="B90" s="3"/>
      <c r="C90" s="2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24"/>
    </row>
    <row r="91" spans="1:32" x14ac:dyDescent="0.25">
      <c r="C91" s="2" t="s">
        <v>107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1.008</v>
      </c>
      <c r="Q91" s="17">
        <v>1.294</v>
      </c>
      <c r="R91" s="17"/>
      <c r="S91" s="17"/>
      <c r="T91" s="17">
        <v>0.86799999999999999</v>
      </c>
      <c r="U91" s="17">
        <v>1.825</v>
      </c>
      <c r="V91" s="17"/>
      <c r="W91" s="17"/>
      <c r="X91" s="17"/>
      <c r="Y91" s="17"/>
      <c r="Z91" s="17">
        <v>0</v>
      </c>
      <c r="AA91" s="17">
        <v>0</v>
      </c>
      <c r="AB91" s="17">
        <v>1.0669999999999999</v>
      </c>
      <c r="AC91" s="17">
        <v>3.4649999999999999</v>
      </c>
      <c r="AD91" s="17">
        <v>18.870999999999999</v>
      </c>
      <c r="AE91" s="17">
        <v>5.1269999999999998</v>
      </c>
    </row>
    <row r="92" spans="1:32" x14ac:dyDescent="0.25">
      <c r="C92" s="2" t="s">
        <v>108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0</v>
      </c>
      <c r="Q92" s="17">
        <v>0</v>
      </c>
      <c r="R92" s="17"/>
      <c r="S92" s="17"/>
      <c r="T92" s="17">
        <v>-10.018000000000001</v>
      </c>
      <c r="U92" s="17">
        <v>-9.5259999999999998</v>
      </c>
      <c r="V92" s="17"/>
      <c r="W92" s="17"/>
      <c r="X92" s="17"/>
      <c r="Y92" s="17"/>
      <c r="Z92" s="17">
        <v>36.118000000000002</v>
      </c>
      <c r="AA92" s="17">
        <v>-1.5409999999999999</v>
      </c>
      <c r="AB92" s="17">
        <v>-0.35099999999999998</v>
      </c>
      <c r="AC92" s="17">
        <v>-2.5430000000000001</v>
      </c>
      <c r="AD92" s="17">
        <v>-1.075</v>
      </c>
      <c r="AE92" s="17">
        <v>0</v>
      </c>
    </row>
    <row r="93" spans="1:32" x14ac:dyDescent="0.25">
      <c r="C93" s="2" t="s">
        <v>109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12.185</v>
      </c>
      <c r="Q93" s="17">
        <v>1.8089999999999999</v>
      </c>
      <c r="R93" s="17"/>
      <c r="S93" s="17"/>
      <c r="T93" s="17">
        <v>6.8000000000000005E-2</v>
      </c>
      <c r="U93" s="17">
        <v>0.91500000000000004</v>
      </c>
      <c r="V93" s="17"/>
      <c r="W93" s="17"/>
      <c r="X93" s="17"/>
      <c r="Y93" s="17"/>
      <c r="Z93" s="17">
        <v>1.262</v>
      </c>
      <c r="AA93" s="17">
        <v>0.92700000000000005</v>
      </c>
      <c r="AB93" s="17">
        <v>2.0059999999999998</v>
      </c>
      <c r="AC93" s="17">
        <v>3.5529999999999999</v>
      </c>
      <c r="AD93" s="17">
        <v>1.008</v>
      </c>
      <c r="AE93" s="17">
        <v>55.081000000000003</v>
      </c>
    </row>
    <row r="94" spans="1:32" x14ac:dyDescent="0.25">
      <c r="C94" s="2" t="s">
        <v>108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0</v>
      </c>
      <c r="Q94" s="17">
        <v>0</v>
      </c>
      <c r="R94" s="17"/>
      <c r="S94" s="17"/>
      <c r="T94" s="17">
        <v>0</v>
      </c>
      <c r="U94" s="17">
        <f>-0.696-156.875</f>
        <v>-157.571</v>
      </c>
      <c r="V94" s="17"/>
      <c r="W94" s="17"/>
      <c r="X94" s="17"/>
      <c r="Y94" s="17"/>
      <c r="Z94" s="17">
        <v>0</v>
      </c>
      <c r="AA94" s="17">
        <v>0</v>
      </c>
      <c r="AB94" s="17">
        <v>-5.1999999999999998E-2</v>
      </c>
      <c r="AC94" s="17">
        <v>-7.0650000000000004</v>
      </c>
      <c r="AD94" s="17">
        <v>-2.2210000000000001</v>
      </c>
      <c r="AE94" s="17">
        <v>-0.67800000000000005</v>
      </c>
    </row>
    <row r="95" spans="1:32" x14ac:dyDescent="0.25">
      <c r="C95" s="2" t="s">
        <v>110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-35.21</v>
      </c>
      <c r="Q95" s="17">
        <v>-5.0380000000000003</v>
      </c>
      <c r="R95" s="17"/>
      <c r="S95" s="17"/>
      <c r="T95" s="17">
        <v>-19.076000000000001</v>
      </c>
      <c r="U95" s="17">
        <v>-7.19</v>
      </c>
      <c r="V95" s="17"/>
      <c r="W95" s="17"/>
      <c r="X95" s="17"/>
      <c r="Y95" s="17"/>
      <c r="Z95" s="17">
        <v>-11.162000000000001</v>
      </c>
      <c r="AA95" s="17">
        <v>-188.661</v>
      </c>
      <c r="AB95" s="17">
        <v>-167.28299999999999</v>
      </c>
      <c r="AC95" s="17">
        <v>-146.07300000000001</v>
      </c>
      <c r="AD95" s="17">
        <v>-58.037999999999997</v>
      </c>
      <c r="AE95" s="17">
        <v>-36.061</v>
      </c>
    </row>
    <row r="96" spans="1:32" x14ac:dyDescent="0.25">
      <c r="C96" s="1" t="s">
        <v>111</v>
      </c>
      <c r="D96" s="18">
        <f t="shared" ref="D96:R96" si="84">SUM(D91:D95)</f>
        <v>0</v>
      </c>
      <c r="E96" s="18">
        <f t="shared" si="84"/>
        <v>0</v>
      </c>
      <c r="F96" s="18">
        <f t="shared" si="84"/>
        <v>0</v>
      </c>
      <c r="G96" s="18">
        <f t="shared" si="84"/>
        <v>0</v>
      </c>
      <c r="H96" s="18">
        <f t="shared" si="84"/>
        <v>0</v>
      </c>
      <c r="I96" s="18">
        <f t="shared" si="84"/>
        <v>0</v>
      </c>
      <c r="J96" s="18">
        <f t="shared" si="84"/>
        <v>0</v>
      </c>
      <c r="K96" s="18">
        <f t="shared" si="84"/>
        <v>0</v>
      </c>
      <c r="L96" s="18">
        <f t="shared" si="84"/>
        <v>0</v>
      </c>
      <c r="M96" s="18">
        <f t="shared" si="84"/>
        <v>0</v>
      </c>
      <c r="N96" s="18">
        <f t="shared" si="84"/>
        <v>0</v>
      </c>
      <c r="O96" s="18">
        <f t="shared" si="84"/>
        <v>0</v>
      </c>
      <c r="P96" s="18">
        <f t="shared" si="84"/>
        <v>-22.016999999999999</v>
      </c>
      <c r="Q96" s="18">
        <f t="shared" si="84"/>
        <v>-1.9350000000000005</v>
      </c>
      <c r="R96" s="18">
        <f t="shared" si="84"/>
        <v>0</v>
      </c>
      <c r="S96" s="18">
        <f>SUM(S91:S95)</f>
        <v>0</v>
      </c>
      <c r="T96" s="18">
        <f>SUM(T91:T95)</f>
        <v>-28.158000000000001</v>
      </c>
      <c r="U96" s="18">
        <f>SUM(U91:U95)</f>
        <v>-171.547</v>
      </c>
      <c r="V96" s="17"/>
      <c r="W96" s="17"/>
      <c r="X96" s="17"/>
      <c r="Y96" s="17"/>
      <c r="Z96" s="18">
        <f t="shared" ref="Z96:AE96" si="85">SUM(Z91:Z95)</f>
        <v>26.218000000000004</v>
      </c>
      <c r="AA96" s="18">
        <f t="shared" si="85"/>
        <v>-189.27500000000001</v>
      </c>
      <c r="AB96" s="18">
        <f t="shared" si="85"/>
        <v>-164.613</v>
      </c>
      <c r="AC96" s="18">
        <f t="shared" si="85"/>
        <v>-148.66300000000001</v>
      </c>
      <c r="AD96" s="18">
        <f t="shared" si="85"/>
        <v>-41.454999999999998</v>
      </c>
      <c r="AE96" s="18">
        <f t="shared" si="85"/>
        <v>23.469000000000008</v>
      </c>
    </row>
    <row r="97" spans="1:34" s="1" customFormat="1" x14ac:dyDescent="0.25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7"/>
      <c r="Q97" s="17"/>
      <c r="R97" s="17"/>
      <c r="S97" s="17"/>
      <c r="T97" s="18"/>
      <c r="U97" s="18"/>
      <c r="V97" s="18"/>
      <c r="W97" s="18"/>
      <c r="X97" s="18"/>
      <c r="Y97" s="18"/>
      <c r="Z97" s="17"/>
      <c r="AA97" s="17"/>
      <c r="AB97" s="17"/>
      <c r="AC97" s="17"/>
      <c r="AD97" s="17"/>
      <c r="AE97" s="17"/>
      <c r="AF97" s="24"/>
    </row>
    <row r="98" spans="1:34" x14ac:dyDescent="0.25">
      <c r="C98" s="2" t="s">
        <v>112</v>
      </c>
      <c r="P98" s="17">
        <v>0</v>
      </c>
      <c r="Q98" s="17">
        <v>0</v>
      </c>
      <c r="R98" s="17"/>
      <c r="S98" s="17"/>
      <c r="T98" s="17">
        <v>80</v>
      </c>
      <c r="U98" s="17">
        <v>0</v>
      </c>
      <c r="V98" s="17"/>
      <c r="W98" s="17"/>
      <c r="X98" s="17"/>
      <c r="Y98" s="17"/>
      <c r="Z98" s="17">
        <v>0</v>
      </c>
      <c r="AA98" s="17">
        <v>40.566000000000003</v>
      </c>
      <c r="AB98" s="17">
        <v>200</v>
      </c>
      <c r="AC98" s="17">
        <v>172.965</v>
      </c>
      <c r="AD98" s="17">
        <v>198.16</v>
      </c>
      <c r="AE98" s="17">
        <v>34.268999999999998</v>
      </c>
    </row>
    <row r="99" spans="1:34" x14ac:dyDescent="0.25">
      <c r="C99" s="2" t="s">
        <v>113</v>
      </c>
      <c r="P99" s="17">
        <v>-4.7309999999999999</v>
      </c>
      <c r="Q99" s="17">
        <v>-41.360999999999997</v>
      </c>
      <c r="R99" s="17"/>
      <c r="S99" s="17"/>
      <c r="T99" s="17">
        <v>-71.7</v>
      </c>
      <c r="U99" s="17">
        <v>-80.019000000000005</v>
      </c>
      <c r="V99" s="17"/>
      <c r="W99" s="17"/>
      <c r="X99" s="17"/>
      <c r="Y99" s="17"/>
      <c r="Z99" s="17">
        <v>-4.9000000000000002E-2</v>
      </c>
      <c r="AA99" s="17">
        <v>0</v>
      </c>
      <c r="AB99" s="17">
        <v>-40.308</v>
      </c>
      <c r="AC99" s="17">
        <v>-233.06200000000001</v>
      </c>
      <c r="AD99" s="17">
        <v>-155.892</v>
      </c>
      <c r="AE99" s="17">
        <v>-146.017</v>
      </c>
    </row>
    <row r="100" spans="1:34" x14ac:dyDescent="0.25">
      <c r="C100" s="2" t="s">
        <v>238</v>
      </c>
      <c r="P100" s="17">
        <v>-4.76</v>
      </c>
      <c r="Q100" s="17">
        <v>-3.4319999999999999</v>
      </c>
      <c r="R100" s="17"/>
      <c r="S100" s="17"/>
      <c r="T100" s="17">
        <v>-4.4859999999999998</v>
      </c>
      <c r="U100" s="17">
        <v>-5.5019999999999998</v>
      </c>
      <c r="V100" s="17"/>
      <c r="W100" s="17"/>
      <c r="X100" s="17"/>
      <c r="Y100" s="17"/>
      <c r="Z100" s="17">
        <v>0</v>
      </c>
      <c r="AA100" s="17">
        <v>0</v>
      </c>
      <c r="AB100" s="17">
        <v>-7.2350000000000003</v>
      </c>
      <c r="AC100" s="17">
        <v>-14.574</v>
      </c>
      <c r="AD100" s="17">
        <v>-18.241</v>
      </c>
      <c r="AE100" s="17">
        <v>-20.056999999999999</v>
      </c>
    </row>
    <row r="101" spans="1:34" x14ac:dyDescent="0.25">
      <c r="C101" s="2" t="s">
        <v>114</v>
      </c>
      <c r="P101" s="17">
        <v>-40</v>
      </c>
      <c r="Q101" s="17">
        <v>-40</v>
      </c>
      <c r="R101" s="17"/>
      <c r="S101" s="17"/>
      <c r="T101" s="17">
        <v>-19.655999999999999</v>
      </c>
      <c r="U101" s="17">
        <v>0</v>
      </c>
      <c r="V101" s="17"/>
      <c r="W101" s="17"/>
      <c r="X101" s="17"/>
      <c r="Y101" s="17"/>
      <c r="Z101" s="17">
        <v>-35</v>
      </c>
      <c r="AA101" s="17">
        <v>-95.114999999999995</v>
      </c>
      <c r="AB101" s="17">
        <v>-14</v>
      </c>
      <c r="AC101" s="17">
        <v>-25</v>
      </c>
      <c r="AD101" s="17">
        <v>-10</v>
      </c>
      <c r="AE101" s="17">
        <v>-40</v>
      </c>
    </row>
    <row r="102" spans="1:34" x14ac:dyDescent="0.25">
      <c r="C102" s="2" t="s">
        <v>237</v>
      </c>
      <c r="P102" s="17">
        <v>0</v>
      </c>
      <c r="Q102" s="17">
        <v>0</v>
      </c>
      <c r="R102" s="17"/>
      <c r="S102" s="17"/>
      <c r="T102" s="17">
        <v>500</v>
      </c>
      <c r="U102" s="17">
        <v>-29.568999999999999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4" x14ac:dyDescent="0.25">
      <c r="C103" s="2" t="s">
        <v>115</v>
      </c>
      <c r="P103" s="17">
        <v>0</v>
      </c>
      <c r="Q103" s="17">
        <v>0</v>
      </c>
      <c r="R103" s="17"/>
      <c r="S103" s="17"/>
      <c r="T103" s="17">
        <v>0</v>
      </c>
      <c r="U103" s="17">
        <f>0+52.5</f>
        <v>52.5</v>
      </c>
      <c r="V103" s="17"/>
      <c r="W103" s="17"/>
      <c r="X103" s="17"/>
      <c r="Y103" s="17"/>
      <c r="Z103" s="17">
        <v>-2.7759999999999998</v>
      </c>
      <c r="AA103" s="17">
        <v>149.64400000000001</v>
      </c>
      <c r="AB103" s="17">
        <v>0</v>
      </c>
      <c r="AC103" s="17">
        <v>209.97200000000001</v>
      </c>
      <c r="AD103" s="17">
        <v>0</v>
      </c>
      <c r="AE103" s="17">
        <v>4.6020000000000003</v>
      </c>
    </row>
    <row r="104" spans="1:34" s="1" customFormat="1" x14ac:dyDescent="0.25">
      <c r="A104" s="2"/>
      <c r="B104" s="3"/>
      <c r="C104" s="1" t="s">
        <v>116</v>
      </c>
      <c r="D104" s="1">
        <f t="shared" ref="D104:U104" si="86">SUM(D98:D103)</f>
        <v>0</v>
      </c>
      <c r="E104" s="1">
        <f t="shared" si="86"/>
        <v>0</v>
      </c>
      <c r="F104" s="1">
        <f t="shared" si="86"/>
        <v>0</v>
      </c>
      <c r="G104" s="1">
        <f t="shared" si="86"/>
        <v>0</v>
      </c>
      <c r="H104" s="1">
        <f t="shared" si="86"/>
        <v>0</v>
      </c>
      <c r="I104" s="1">
        <f t="shared" si="86"/>
        <v>0</v>
      </c>
      <c r="J104" s="1">
        <f t="shared" si="86"/>
        <v>0</v>
      </c>
      <c r="K104" s="1">
        <f t="shared" si="86"/>
        <v>0</v>
      </c>
      <c r="L104" s="1">
        <f t="shared" si="86"/>
        <v>0</v>
      </c>
      <c r="M104" s="1">
        <f t="shared" si="86"/>
        <v>0</v>
      </c>
      <c r="N104" s="1">
        <f t="shared" si="86"/>
        <v>0</v>
      </c>
      <c r="O104" s="1">
        <f t="shared" si="86"/>
        <v>0</v>
      </c>
      <c r="P104" s="18">
        <f t="shared" si="86"/>
        <v>-49.491</v>
      </c>
      <c r="Q104" s="18">
        <f t="shared" si="86"/>
        <v>-84.793000000000006</v>
      </c>
      <c r="R104" s="18">
        <f t="shared" si="86"/>
        <v>0</v>
      </c>
      <c r="S104" s="18">
        <f t="shared" si="86"/>
        <v>0</v>
      </c>
      <c r="T104" s="18">
        <f t="shared" si="86"/>
        <v>484.15800000000002</v>
      </c>
      <c r="U104" s="18">
        <f t="shared" si="86"/>
        <v>-62.59</v>
      </c>
      <c r="V104" s="17"/>
      <c r="W104" s="17"/>
      <c r="X104" s="17"/>
      <c r="Y104" s="17"/>
      <c r="Z104" s="18">
        <f t="shared" ref="Z104:AE104" si="87">SUM(Z98:Z103)</f>
        <v>-37.825000000000003</v>
      </c>
      <c r="AA104" s="18">
        <f t="shared" si="87"/>
        <v>95.095000000000013</v>
      </c>
      <c r="AB104" s="18">
        <f t="shared" si="87"/>
        <v>138.45699999999999</v>
      </c>
      <c r="AC104" s="18">
        <f t="shared" si="87"/>
        <v>110.301</v>
      </c>
      <c r="AD104" s="18">
        <f t="shared" si="87"/>
        <v>14.027000000000001</v>
      </c>
      <c r="AE104" s="18">
        <f t="shared" si="87"/>
        <v>-167.20299999999997</v>
      </c>
      <c r="AF104" s="3"/>
      <c r="AG104" s="2"/>
      <c r="AH104" s="2"/>
    </row>
    <row r="105" spans="1:34" x14ac:dyDescent="0.25">
      <c r="P105" s="17"/>
      <c r="Q105" s="17"/>
      <c r="R105" s="17"/>
      <c r="S105" s="17"/>
      <c r="T105" s="18"/>
      <c r="U105" s="18"/>
      <c r="V105" s="18"/>
      <c r="W105" s="18"/>
      <c r="X105" s="18"/>
      <c r="Y105" s="18"/>
      <c r="Z105" s="17"/>
      <c r="AA105" s="17"/>
      <c r="AB105" s="17"/>
      <c r="AC105" s="17"/>
      <c r="AD105" s="17"/>
      <c r="AE105" s="17"/>
      <c r="AF105" s="24"/>
      <c r="AG105" s="1"/>
      <c r="AH105" s="1"/>
    </row>
    <row r="106" spans="1:34" x14ac:dyDescent="0.25">
      <c r="C106" s="2" t="s">
        <v>117</v>
      </c>
      <c r="P106" s="17">
        <v>0.61699999999999999</v>
      </c>
      <c r="Q106" s="17">
        <v>-3.04</v>
      </c>
      <c r="R106" s="17"/>
      <c r="S106" s="17"/>
      <c r="T106" s="17">
        <v>4.0750000000000002</v>
      </c>
      <c r="U106" s="17">
        <v>7.1660000000000004</v>
      </c>
      <c r="V106" s="17"/>
      <c r="W106" s="17"/>
      <c r="X106" s="17"/>
      <c r="Y106" s="17"/>
      <c r="Z106" s="17">
        <v>0</v>
      </c>
      <c r="AA106" s="17">
        <v>0</v>
      </c>
      <c r="AB106" s="17">
        <v>9.1959999999999997</v>
      </c>
      <c r="AC106" s="17">
        <v>9.4540000000000006</v>
      </c>
      <c r="AD106" s="17">
        <v>6.2380000000000004</v>
      </c>
      <c r="AE106" s="17">
        <v>-4.9580000000000002</v>
      </c>
    </row>
    <row r="107" spans="1:34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8"/>
      <c r="Q107" s="18"/>
      <c r="R107" s="18"/>
      <c r="S107" s="18"/>
      <c r="T107" s="17"/>
      <c r="U107" s="17"/>
      <c r="V107" s="17"/>
      <c r="W107" s="17"/>
      <c r="X107" s="17"/>
      <c r="Y107" s="17"/>
      <c r="Z107" s="18"/>
      <c r="AA107" s="18"/>
      <c r="AB107" s="18"/>
      <c r="AC107" s="18"/>
      <c r="AD107" s="18"/>
      <c r="AE107" s="18"/>
    </row>
    <row r="108" spans="1:34" x14ac:dyDescent="0.25">
      <c r="C108" s="2" t="s">
        <v>118</v>
      </c>
      <c r="D108" s="17">
        <f t="shared" ref="D108:T108" si="88">D89+D96+D104+D106</f>
        <v>0</v>
      </c>
      <c r="E108" s="17">
        <f t="shared" si="88"/>
        <v>0</v>
      </c>
      <c r="F108" s="17">
        <f t="shared" si="88"/>
        <v>0</v>
      </c>
      <c r="G108" s="17">
        <f t="shared" si="88"/>
        <v>0</v>
      </c>
      <c r="H108" s="17">
        <f t="shared" si="88"/>
        <v>0</v>
      </c>
      <c r="I108" s="17">
        <f t="shared" si="88"/>
        <v>0</v>
      </c>
      <c r="J108" s="17">
        <f t="shared" si="88"/>
        <v>0</v>
      </c>
      <c r="K108" s="17">
        <f t="shared" si="88"/>
        <v>0</v>
      </c>
      <c r="L108" s="17">
        <f t="shared" si="88"/>
        <v>0</v>
      </c>
      <c r="M108" s="17">
        <f t="shared" si="88"/>
        <v>0</v>
      </c>
      <c r="N108" s="17">
        <f t="shared" si="88"/>
        <v>0</v>
      </c>
      <c r="O108" s="17">
        <f t="shared" si="88"/>
        <v>0</v>
      </c>
      <c r="P108" s="17">
        <f t="shared" si="88"/>
        <v>51.272000000000013</v>
      </c>
      <c r="Q108" s="17">
        <f t="shared" si="88"/>
        <v>-34.250000000000014</v>
      </c>
      <c r="R108" s="17">
        <f t="shared" si="88"/>
        <v>0</v>
      </c>
      <c r="S108" s="17">
        <f t="shared" si="88"/>
        <v>0</v>
      </c>
      <c r="T108" s="17">
        <f t="shared" si="88"/>
        <v>498.774</v>
      </c>
      <c r="U108" s="17">
        <f t="shared" ref="U108" si="89">U89+U96+U104+U106</f>
        <v>-294.31199999999995</v>
      </c>
      <c r="V108" s="17"/>
      <c r="W108" s="18"/>
      <c r="X108" s="17"/>
      <c r="Y108" s="17"/>
      <c r="Z108" s="17">
        <f t="shared" ref="Z108:AE108" si="90">Z89+Z96+Z104+Z106</f>
        <v>44.311999999999983</v>
      </c>
      <c r="AA108" s="17">
        <f t="shared" si="90"/>
        <v>-32.683000000000007</v>
      </c>
      <c r="AB108" s="17">
        <f t="shared" si="90"/>
        <v>69.040999999999997</v>
      </c>
      <c r="AC108" s="17">
        <f t="shared" si="90"/>
        <v>18.82800000000001</v>
      </c>
      <c r="AD108" s="17">
        <f t="shared" si="90"/>
        <v>108.98000000000002</v>
      </c>
      <c r="AE108" s="17">
        <f t="shared" si="90"/>
        <v>59.724000000000018</v>
      </c>
    </row>
    <row r="109" spans="1:34" x14ac:dyDescent="0.25"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4" x14ac:dyDescent="0.25">
      <c r="C110" s="2" t="s">
        <v>119</v>
      </c>
      <c r="D110" s="17">
        <f t="shared" ref="D110:R110" si="91">D89+D95</f>
        <v>0</v>
      </c>
      <c r="E110" s="17">
        <f t="shared" si="91"/>
        <v>0</v>
      </c>
      <c r="F110" s="17">
        <f t="shared" si="91"/>
        <v>0</v>
      </c>
      <c r="G110" s="17">
        <f t="shared" si="91"/>
        <v>0</v>
      </c>
      <c r="H110" s="17">
        <f t="shared" si="91"/>
        <v>0</v>
      </c>
      <c r="I110" s="17">
        <f t="shared" si="91"/>
        <v>0</v>
      </c>
      <c r="J110" s="17">
        <f t="shared" si="91"/>
        <v>0</v>
      </c>
      <c r="K110" s="17">
        <f t="shared" si="91"/>
        <v>0</v>
      </c>
      <c r="L110" s="17">
        <f t="shared" si="91"/>
        <v>0</v>
      </c>
      <c r="M110" s="17">
        <f t="shared" si="91"/>
        <v>0</v>
      </c>
      <c r="N110" s="17">
        <f t="shared" si="91"/>
        <v>0</v>
      </c>
      <c r="O110" s="17">
        <f t="shared" si="91"/>
        <v>0</v>
      </c>
      <c r="P110" s="17">
        <f t="shared" si="91"/>
        <v>86.953000000000003</v>
      </c>
      <c r="Q110" s="17">
        <f t="shared" si="91"/>
        <v>50.47999999999999</v>
      </c>
      <c r="R110" s="17">
        <f t="shared" si="91"/>
        <v>0</v>
      </c>
      <c r="S110" s="17">
        <f>S89+S95</f>
        <v>0</v>
      </c>
      <c r="T110" s="17">
        <f>T89+T95</f>
        <v>19.622999999999998</v>
      </c>
      <c r="U110" s="17">
        <f>U89+U95</f>
        <v>-74.530999999999977</v>
      </c>
      <c r="V110" s="17"/>
      <c r="W110" s="17"/>
      <c r="X110" s="17"/>
      <c r="Y110" s="17"/>
      <c r="Z110" s="17">
        <f t="shared" ref="Z110:AE110" si="92">Z89+Z95</f>
        <v>44.756999999999984</v>
      </c>
      <c r="AA110" s="17">
        <f t="shared" si="92"/>
        <v>-127.16400000000002</v>
      </c>
      <c r="AB110" s="17">
        <f t="shared" si="92"/>
        <v>-81.281999999999982</v>
      </c>
      <c r="AC110" s="17">
        <f t="shared" si="92"/>
        <v>-98.336999999999989</v>
      </c>
      <c r="AD110" s="17">
        <f t="shared" si="92"/>
        <v>72.132000000000019</v>
      </c>
      <c r="AE110" s="17">
        <f t="shared" si="92"/>
        <v>172.35499999999996</v>
      </c>
    </row>
    <row r="111" spans="1:34" x14ac:dyDescent="0.25">
      <c r="Z111" s="17"/>
      <c r="AA111" s="17"/>
      <c r="AB111" s="17"/>
      <c r="AC111" s="17"/>
      <c r="AD111" s="17"/>
      <c r="AE111" s="17"/>
    </row>
    <row r="119" spans="3:23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3:23" x14ac:dyDescent="0.25">
      <c r="W120" s="1"/>
    </row>
    <row r="132" spans="3:23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3:23" x14ac:dyDescent="0.25">
      <c r="Q133" s="1"/>
      <c r="W133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A4:AC44"/>
  <sheetViews>
    <sheetView showGridLines="0"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C18" sqref="AC18"/>
    </sheetView>
  </sheetViews>
  <sheetFormatPr baseColWidth="10" defaultRowHeight="19" x14ac:dyDescent="0.25"/>
  <cols>
    <col min="1" max="1" width="10.83203125" style="2"/>
    <col min="2" max="2" width="23.33203125" style="2" customWidth="1"/>
    <col min="3" max="3" width="15.1640625" style="2" customWidth="1"/>
    <col min="4" max="16384" width="10.83203125" style="2"/>
  </cols>
  <sheetData>
    <row r="4" spans="1:28" x14ac:dyDescent="0.25">
      <c r="C4" s="4"/>
      <c r="D4" s="4"/>
      <c r="E4" s="4"/>
      <c r="F4" s="4"/>
      <c r="G4" s="4"/>
      <c r="H4" s="4"/>
      <c r="I4" s="4"/>
      <c r="J4" s="4"/>
      <c r="K4" s="4"/>
      <c r="L4" s="4"/>
      <c r="M4" s="4"/>
      <c r="O4" s="4"/>
      <c r="P4" s="4"/>
      <c r="Q4" s="4"/>
      <c r="R4" s="4"/>
      <c r="S4" s="4"/>
    </row>
    <row r="5" spans="1:28" x14ac:dyDescent="0.25">
      <c r="B5" s="2" t="s">
        <v>37</v>
      </c>
      <c r="C5" s="4" t="s">
        <v>3</v>
      </c>
      <c r="D5" s="4" t="s">
        <v>4</v>
      </c>
      <c r="E5" s="4" t="s">
        <v>5</v>
      </c>
      <c r="F5" s="4" t="s">
        <v>6</v>
      </c>
      <c r="G5" s="70">
        <v>2022</v>
      </c>
      <c r="H5" s="4" t="s">
        <v>7</v>
      </c>
      <c r="I5" s="4" t="s">
        <v>8</v>
      </c>
      <c r="J5" s="4" t="s">
        <v>9</v>
      </c>
      <c r="K5" s="4" t="s">
        <v>10</v>
      </c>
      <c r="L5" s="70">
        <v>2023</v>
      </c>
      <c r="M5" s="4" t="s">
        <v>11</v>
      </c>
      <c r="N5" s="4" t="s">
        <v>12</v>
      </c>
      <c r="O5" s="4" t="s">
        <v>13</v>
      </c>
      <c r="P5" s="4" t="s">
        <v>14</v>
      </c>
      <c r="Q5" s="70">
        <v>2024</v>
      </c>
      <c r="R5" s="4" t="s">
        <v>32</v>
      </c>
      <c r="S5" s="4" t="s">
        <v>29</v>
      </c>
      <c r="T5" s="4" t="s">
        <v>30</v>
      </c>
      <c r="U5" s="4" t="s">
        <v>31</v>
      </c>
      <c r="V5" s="70">
        <v>2025</v>
      </c>
      <c r="W5" s="4" t="s">
        <v>124</v>
      </c>
      <c r="X5" s="4" t="s">
        <v>125</v>
      </c>
      <c r="Y5" s="4" t="s">
        <v>126</v>
      </c>
      <c r="Z5" s="4" t="s">
        <v>127</v>
      </c>
      <c r="AA5" s="59">
        <v>2026</v>
      </c>
    </row>
    <row r="6" spans="1:28" x14ac:dyDescent="0.25">
      <c r="B6" s="18" t="s">
        <v>179</v>
      </c>
      <c r="C6" s="17"/>
      <c r="D6" s="17"/>
      <c r="E6" s="17"/>
      <c r="F6" s="17"/>
      <c r="G6" s="63"/>
      <c r="H6" s="17"/>
      <c r="I6" s="17"/>
      <c r="J6" s="17"/>
      <c r="K6" s="17"/>
      <c r="L6" s="63"/>
      <c r="M6" s="17"/>
      <c r="N6" s="17"/>
      <c r="O6" s="17"/>
      <c r="P6" s="17"/>
      <c r="Q6" s="63"/>
      <c r="R6" s="17"/>
      <c r="S6" s="17"/>
      <c r="T6" s="17"/>
      <c r="V6" s="60"/>
      <c r="AA6" s="60"/>
    </row>
    <row r="7" spans="1:28" s="15" customFormat="1" x14ac:dyDescent="0.25">
      <c r="A7" s="2"/>
      <c r="B7" s="16" t="s">
        <v>44</v>
      </c>
      <c r="C7" s="18"/>
      <c r="D7" s="18"/>
      <c r="E7" s="18"/>
      <c r="F7" s="18"/>
      <c r="G7" s="61"/>
      <c r="H7" s="18"/>
      <c r="I7" s="18"/>
      <c r="J7" s="18"/>
      <c r="K7" s="18"/>
      <c r="L7" s="61"/>
      <c r="M7" s="18"/>
      <c r="N7" s="18"/>
      <c r="O7" s="18"/>
      <c r="P7" s="18"/>
      <c r="Q7" s="61">
        <v>882.20299999999997</v>
      </c>
      <c r="R7" s="17">
        <v>318.01299999999998</v>
      </c>
      <c r="S7" s="18">
        <v>293.108</v>
      </c>
      <c r="T7" s="18"/>
      <c r="U7" s="18"/>
      <c r="V7" s="61">
        <v>1133.038</v>
      </c>
      <c r="W7" s="17">
        <v>257.02</v>
      </c>
      <c r="X7" s="17">
        <v>285.68900000000002</v>
      </c>
      <c r="Y7" s="17"/>
      <c r="Z7" s="17"/>
      <c r="AA7" s="61">
        <f>V7*1.15</f>
        <v>1302.9937</v>
      </c>
      <c r="AB7" s="16"/>
    </row>
    <row r="8" spans="1:28" s="6" customFormat="1" x14ac:dyDescent="0.25">
      <c r="A8" s="2"/>
      <c r="B8" s="6" t="s">
        <v>184</v>
      </c>
      <c r="C8" s="19"/>
      <c r="D8" s="19"/>
      <c r="E8" s="19"/>
      <c r="F8" s="19"/>
      <c r="G8" s="64"/>
      <c r="H8" s="51" t="e">
        <v>#DIV/0!</v>
      </c>
      <c r="I8" s="52" t="e">
        <f t="shared" ref="I8:U8" si="0">(I7-D7)/D7</f>
        <v>#DIV/0!</v>
      </c>
      <c r="J8" s="52" t="e">
        <f t="shared" si="0"/>
        <v>#DIV/0!</v>
      </c>
      <c r="K8" s="52" t="e">
        <f t="shared" si="0"/>
        <v>#DIV/0!</v>
      </c>
      <c r="L8" s="62" t="e">
        <f t="shared" si="0"/>
        <v>#DIV/0!</v>
      </c>
      <c r="M8" s="52" t="e">
        <f t="shared" si="0"/>
        <v>#DIV/0!</v>
      </c>
      <c r="N8" s="52" t="e">
        <f t="shared" si="0"/>
        <v>#DIV/0!</v>
      </c>
      <c r="O8" s="52" t="e">
        <f t="shared" si="0"/>
        <v>#DIV/0!</v>
      </c>
      <c r="P8" s="52" t="e">
        <f t="shared" si="0"/>
        <v>#DIV/0!</v>
      </c>
      <c r="Q8" s="62" t="e">
        <f t="shared" si="0"/>
        <v>#DIV/0!</v>
      </c>
      <c r="R8" s="52" t="e">
        <f t="shared" si="0"/>
        <v>#DIV/0!</v>
      </c>
      <c r="S8" s="52" t="e">
        <f t="shared" si="0"/>
        <v>#DIV/0!</v>
      </c>
      <c r="T8" s="52" t="e">
        <f t="shared" si="0"/>
        <v>#DIV/0!</v>
      </c>
      <c r="U8" s="52" t="e">
        <f t="shared" si="0"/>
        <v>#DIV/0!</v>
      </c>
      <c r="V8" s="62">
        <f>(V7-Q7)/Q7</f>
        <v>0.28432798346865751</v>
      </c>
      <c r="W8" s="52">
        <f t="shared" ref="W8:Z8" si="1">(W7-R7)/R7</f>
        <v>-0.19179404615534584</v>
      </c>
      <c r="X8" s="52">
        <f t="shared" si="1"/>
        <v>-2.5311489280401705E-2</v>
      </c>
      <c r="Y8" s="52" t="e">
        <f t="shared" si="1"/>
        <v>#DIV/0!</v>
      </c>
      <c r="Z8" s="52" t="e">
        <f t="shared" si="1"/>
        <v>#DIV/0!</v>
      </c>
      <c r="AA8" s="62">
        <f>(AA7-V7)/V7</f>
        <v>0.14999999999999997</v>
      </c>
    </row>
    <row r="9" spans="1:28" x14ac:dyDescent="0.25">
      <c r="B9" s="47" t="s">
        <v>181</v>
      </c>
      <c r="C9" s="17"/>
      <c r="D9" s="17"/>
      <c r="E9" s="17"/>
      <c r="F9" s="17"/>
      <c r="G9" s="63"/>
      <c r="H9" s="17"/>
      <c r="I9" s="17"/>
      <c r="J9" s="17"/>
      <c r="K9" s="17"/>
      <c r="L9" s="63"/>
      <c r="M9" s="17"/>
      <c r="N9" s="17"/>
      <c r="O9" s="17"/>
      <c r="P9" s="17"/>
      <c r="Q9" s="63">
        <v>558.43499999999995</v>
      </c>
      <c r="R9" s="17"/>
      <c r="S9" s="17"/>
      <c r="T9" s="17"/>
      <c r="U9" s="17"/>
      <c r="V9" s="63">
        <v>596.90899999999999</v>
      </c>
      <c r="W9" s="17"/>
      <c r="X9" s="17"/>
      <c r="Y9" s="17"/>
      <c r="Z9" s="17"/>
      <c r="AA9" s="63"/>
      <c r="AB9" s="17"/>
    </row>
    <row r="10" spans="1:28" s="21" customFormat="1" x14ac:dyDescent="0.25">
      <c r="A10" s="2"/>
      <c r="B10" s="6" t="s">
        <v>184</v>
      </c>
      <c r="C10" s="52"/>
      <c r="D10" s="52"/>
      <c r="E10" s="52"/>
      <c r="F10" s="52"/>
      <c r="G10" s="62"/>
      <c r="H10" s="68" t="e">
        <f t="shared" ref="H10" si="2">(H9-C9)/C9</f>
        <v>#DIV/0!</v>
      </c>
      <c r="I10" s="52" t="e">
        <f t="shared" ref="I10" si="3">(I9-D9)/D9</f>
        <v>#DIV/0!</v>
      </c>
      <c r="J10" s="52" t="e">
        <f t="shared" ref="J10" si="4">(J9-E9)/E9</f>
        <v>#DIV/0!</v>
      </c>
      <c r="K10" s="56" t="e">
        <f t="shared" ref="K10" si="5">(K9-F9)/F9</f>
        <v>#DIV/0!</v>
      </c>
      <c r="L10" s="62"/>
      <c r="M10" s="68" t="e">
        <f t="shared" ref="M10" si="6">(M9-H9)/H9</f>
        <v>#DIV/0!</v>
      </c>
      <c r="N10" s="52" t="e">
        <f>(N9-I9)/I9</f>
        <v>#DIV/0!</v>
      </c>
      <c r="O10" s="52" t="e">
        <f t="shared" ref="O10" si="7">(O9-J9)/J9</f>
        <v>#DIV/0!</v>
      </c>
      <c r="P10" s="56" t="e">
        <f t="shared" ref="P10" si="8">(P9-K9)/K9</f>
        <v>#DIV/0!</v>
      </c>
      <c r="Q10" s="62"/>
      <c r="R10" s="68" t="e">
        <f t="shared" ref="R10" si="9">(R9-M9)/M9</f>
        <v>#DIV/0!</v>
      </c>
      <c r="S10" s="52" t="e">
        <f t="shared" ref="S10" si="10">(S9-N9)/N9</f>
        <v>#DIV/0!</v>
      </c>
      <c r="T10" s="52" t="e">
        <f t="shared" ref="T10" si="11">(T9-O9)/O9</f>
        <v>#DIV/0!</v>
      </c>
      <c r="U10" s="56" t="e">
        <f t="shared" ref="U10" si="12">(U9-P9)/P9</f>
        <v>#DIV/0!</v>
      </c>
      <c r="V10" s="62">
        <f>(V9-Q9)/Q9</f>
        <v>6.889611145433229E-2</v>
      </c>
      <c r="W10" s="68" t="e">
        <f t="shared" ref="W10:AA10" si="13">(W9-R9)/R9</f>
        <v>#DIV/0!</v>
      </c>
      <c r="X10" s="52" t="e">
        <f t="shared" si="13"/>
        <v>#DIV/0!</v>
      </c>
      <c r="Y10" s="52" t="e">
        <f t="shared" si="13"/>
        <v>#DIV/0!</v>
      </c>
      <c r="Z10" s="56" t="e">
        <f t="shared" si="13"/>
        <v>#DIV/0!</v>
      </c>
      <c r="AA10" s="62">
        <f t="shared" si="13"/>
        <v>-1</v>
      </c>
    </row>
    <row r="11" spans="1:28" x14ac:dyDescent="0.25">
      <c r="B11" s="47" t="s">
        <v>182</v>
      </c>
      <c r="C11" s="17"/>
      <c r="D11" s="17"/>
      <c r="E11" s="17"/>
      <c r="F11" s="17"/>
      <c r="G11" s="63"/>
      <c r="H11" s="17"/>
      <c r="I11" s="17"/>
      <c r="J11" s="17"/>
      <c r="K11" s="17"/>
      <c r="L11" s="63"/>
      <c r="M11" s="17"/>
      <c r="N11" s="17"/>
      <c r="O11" s="17"/>
      <c r="P11" s="17"/>
      <c r="Q11" s="63">
        <v>186.99</v>
      </c>
      <c r="R11" s="17"/>
      <c r="S11" s="17"/>
      <c r="T11" s="17"/>
      <c r="U11" s="17"/>
      <c r="V11" s="63">
        <v>258.36500000000001</v>
      </c>
      <c r="W11" s="17"/>
      <c r="X11" s="17"/>
      <c r="Y11" s="17"/>
      <c r="Z11" s="17"/>
      <c r="AA11" s="63"/>
      <c r="AB11" s="17"/>
    </row>
    <row r="12" spans="1:28" s="6" customFormat="1" x14ac:dyDescent="0.25">
      <c r="A12" s="2"/>
      <c r="B12" s="6" t="s">
        <v>184</v>
      </c>
      <c r="G12" s="64"/>
      <c r="H12" s="68" t="e">
        <f t="shared" ref="H12" si="14">(H11-C11)/C11</f>
        <v>#DIV/0!</v>
      </c>
      <c r="I12" s="52" t="e">
        <f t="shared" ref="I12" si="15">(I11-D11)/D11</f>
        <v>#DIV/0!</v>
      </c>
      <c r="J12" s="52" t="e">
        <f t="shared" ref="J12" si="16">(J11-E11)/E11</f>
        <v>#DIV/0!</v>
      </c>
      <c r="K12" s="56" t="e">
        <f t="shared" ref="K12" si="17">(K11-F11)/F11</f>
        <v>#DIV/0!</v>
      </c>
      <c r="L12" s="64"/>
      <c r="M12" s="68" t="e">
        <f t="shared" ref="M12" si="18">(M11-H11)/H11</f>
        <v>#DIV/0!</v>
      </c>
      <c r="N12" s="52" t="e">
        <f t="shared" ref="N12" si="19">(N11-I11)/I11</f>
        <v>#DIV/0!</v>
      </c>
      <c r="O12" s="52" t="e">
        <f t="shared" ref="O12" si="20">(O11-J11)/J11</f>
        <v>#DIV/0!</v>
      </c>
      <c r="P12" s="56" t="e">
        <f t="shared" ref="P12" si="21">(P11-K11)/K11</f>
        <v>#DIV/0!</v>
      </c>
      <c r="Q12" s="64"/>
      <c r="R12" s="68" t="e">
        <f t="shared" ref="R12" si="22">(R11-M11)/M11</f>
        <v>#DIV/0!</v>
      </c>
      <c r="S12" s="52" t="e">
        <f t="shared" ref="S12" si="23">(S11-N11)/N11</f>
        <v>#DIV/0!</v>
      </c>
      <c r="T12" s="52" t="e">
        <f t="shared" ref="T12" si="24">(T11-O11)/O11</f>
        <v>#DIV/0!</v>
      </c>
      <c r="U12" s="56" t="e">
        <f t="shared" ref="U12" si="25">(U11-P11)/P11</f>
        <v>#DIV/0!</v>
      </c>
      <c r="V12" s="62">
        <f>(V11-Q11)/Q11</f>
        <v>0.38170490400556178</v>
      </c>
      <c r="W12" s="68" t="e">
        <f t="shared" ref="W12:AA12" si="26">(W11-R11)/R11</f>
        <v>#DIV/0!</v>
      </c>
      <c r="X12" s="52" t="e">
        <f t="shared" si="26"/>
        <v>#DIV/0!</v>
      </c>
      <c r="Y12" s="52" t="e">
        <f t="shared" si="26"/>
        <v>#DIV/0!</v>
      </c>
      <c r="Z12" s="56" t="e">
        <f t="shared" si="26"/>
        <v>#DIV/0!</v>
      </c>
      <c r="AA12" s="62">
        <f t="shared" si="26"/>
        <v>-1</v>
      </c>
    </row>
    <row r="13" spans="1:28" s="17" customFormat="1" x14ac:dyDescent="0.25">
      <c r="B13" s="50" t="s">
        <v>183</v>
      </c>
      <c r="G13" s="63"/>
      <c r="L13" s="63"/>
      <c r="Q13" s="63">
        <v>136.77799999999999</v>
      </c>
      <c r="V13" s="63">
        <v>277.76400000000001</v>
      </c>
      <c r="AA13" s="63"/>
    </row>
    <row r="14" spans="1:28" s="21" customFormat="1" x14ac:dyDescent="0.25">
      <c r="A14" s="2"/>
      <c r="B14" s="53" t="s">
        <v>184</v>
      </c>
      <c r="C14" s="53"/>
      <c r="D14" s="53"/>
      <c r="E14" s="53"/>
      <c r="F14" s="53"/>
      <c r="G14" s="65"/>
      <c r="H14" s="69" t="e">
        <f t="shared" ref="H14" si="27">(H13-C13)/C13</f>
        <v>#DIV/0!</v>
      </c>
      <c r="I14" s="54" t="e">
        <f t="shared" ref="I14" si="28">(I13-D13)/D13</f>
        <v>#DIV/0!</v>
      </c>
      <c r="J14" s="54" t="e">
        <f t="shared" ref="J14" si="29">(J13-E13)/E13</f>
        <v>#DIV/0!</v>
      </c>
      <c r="K14" s="72" t="e">
        <f t="shared" ref="K14" si="30">(K13-F13)/F13</f>
        <v>#DIV/0!</v>
      </c>
      <c r="L14" s="65"/>
      <c r="M14" s="69" t="e">
        <f t="shared" ref="M14" si="31">(M13-H13)/H13</f>
        <v>#DIV/0!</v>
      </c>
      <c r="N14" s="54" t="e">
        <f t="shared" ref="N14" si="32">(N13-I13)/I13</f>
        <v>#DIV/0!</v>
      </c>
      <c r="O14" s="54" t="e">
        <f t="shared" ref="O14" si="33">(O13-J13)/J13</f>
        <v>#DIV/0!</v>
      </c>
      <c r="P14" s="72" t="e">
        <f t="shared" ref="P14" si="34">(P13-K13)/K13</f>
        <v>#DIV/0!</v>
      </c>
      <c r="Q14" s="65"/>
      <c r="R14" s="69" t="e">
        <f t="shared" ref="R14" si="35">(R13-M13)/M13</f>
        <v>#DIV/0!</v>
      </c>
      <c r="S14" s="54" t="e">
        <f t="shared" ref="S14" si="36">(S13-N13)/N13</f>
        <v>#DIV/0!</v>
      </c>
      <c r="T14" s="54" t="e">
        <f t="shared" ref="T14" si="37">(T13-O13)/O13</f>
        <v>#DIV/0!</v>
      </c>
      <c r="U14" s="72" t="e">
        <f t="shared" ref="U14" si="38">(U13-P13)/P13</f>
        <v>#DIV/0!</v>
      </c>
      <c r="V14" s="71">
        <f>(V13-Q13)/Q13</f>
        <v>1.0307651815350425</v>
      </c>
      <c r="W14" s="69" t="e">
        <f t="shared" ref="W14:AA14" si="39">(W13-R13)/R13</f>
        <v>#DIV/0!</v>
      </c>
      <c r="X14" s="54" t="e">
        <f t="shared" si="39"/>
        <v>#DIV/0!</v>
      </c>
      <c r="Y14" s="54" t="e">
        <f t="shared" si="39"/>
        <v>#DIV/0!</v>
      </c>
      <c r="Z14" s="72" t="e">
        <f t="shared" si="39"/>
        <v>#DIV/0!</v>
      </c>
      <c r="AA14" s="71">
        <f t="shared" si="39"/>
        <v>-1</v>
      </c>
    </row>
    <row r="15" spans="1:28" s="21" customFormat="1" x14ac:dyDescent="0.25">
      <c r="A15" s="2"/>
      <c r="B15" s="2" t="s">
        <v>172</v>
      </c>
      <c r="C15" s="17"/>
      <c r="D15" s="17"/>
      <c r="E15" s="17"/>
      <c r="F15" s="17"/>
      <c r="G15" s="63"/>
      <c r="H15" s="17"/>
      <c r="I15" s="17"/>
      <c r="J15" s="17"/>
      <c r="K15" s="17"/>
      <c r="L15" s="63"/>
      <c r="M15" s="17"/>
      <c r="N15" s="17"/>
      <c r="O15" s="17"/>
      <c r="P15" s="17"/>
      <c r="Q15" s="61">
        <v>147.84200000000001</v>
      </c>
      <c r="R15" s="17">
        <v>71.168999999999997</v>
      </c>
      <c r="S15" s="17">
        <v>66</v>
      </c>
      <c r="T15" s="17"/>
      <c r="U15" s="17"/>
      <c r="V15" s="61">
        <v>210.744</v>
      </c>
      <c r="W15" s="17">
        <v>37</v>
      </c>
      <c r="X15" s="17">
        <v>49.61</v>
      </c>
      <c r="Y15" s="17"/>
      <c r="Z15" s="17"/>
      <c r="AA15" s="63"/>
      <c r="AB15" s="17"/>
    </row>
    <row r="16" spans="1:28" x14ac:dyDescent="0.25">
      <c r="B16" s="21" t="s">
        <v>185</v>
      </c>
      <c r="C16" s="15" t="e">
        <f t="shared" ref="C16:U16" si="40">C15/C7</f>
        <v>#DIV/0!</v>
      </c>
      <c r="D16" s="15" t="e">
        <f t="shared" si="40"/>
        <v>#DIV/0!</v>
      </c>
      <c r="E16" s="15" t="e">
        <f t="shared" si="40"/>
        <v>#DIV/0!</v>
      </c>
      <c r="F16" s="15" t="e">
        <f t="shared" si="40"/>
        <v>#DIV/0!</v>
      </c>
      <c r="G16" s="66" t="e">
        <f t="shared" si="40"/>
        <v>#DIV/0!</v>
      </c>
      <c r="H16" s="15" t="e">
        <f t="shared" si="40"/>
        <v>#DIV/0!</v>
      </c>
      <c r="I16" s="15" t="e">
        <f t="shared" si="40"/>
        <v>#DIV/0!</v>
      </c>
      <c r="J16" s="15" t="e">
        <f t="shared" si="40"/>
        <v>#DIV/0!</v>
      </c>
      <c r="K16" s="15" t="e">
        <f t="shared" si="40"/>
        <v>#DIV/0!</v>
      </c>
      <c r="L16" s="66" t="e">
        <f t="shared" si="40"/>
        <v>#DIV/0!</v>
      </c>
      <c r="M16" s="15" t="e">
        <f t="shared" si="40"/>
        <v>#DIV/0!</v>
      </c>
      <c r="N16" s="15" t="e">
        <f t="shared" si="40"/>
        <v>#DIV/0!</v>
      </c>
      <c r="O16" s="15" t="e">
        <f t="shared" si="40"/>
        <v>#DIV/0!</v>
      </c>
      <c r="P16" s="15" t="e">
        <f t="shared" si="40"/>
        <v>#DIV/0!</v>
      </c>
      <c r="Q16" s="66">
        <f t="shared" si="40"/>
        <v>0.16758274456105909</v>
      </c>
      <c r="R16" s="15">
        <f t="shared" si="40"/>
        <v>0.22379273803272193</v>
      </c>
      <c r="S16" s="15">
        <f t="shared" si="40"/>
        <v>0.22517297378440712</v>
      </c>
      <c r="T16" s="15" t="e">
        <f t="shared" si="40"/>
        <v>#DIV/0!</v>
      </c>
      <c r="U16" s="15" t="e">
        <f t="shared" si="40"/>
        <v>#DIV/0!</v>
      </c>
      <c r="V16" s="66">
        <f>V15/V7</f>
        <v>0.18599905740142872</v>
      </c>
      <c r="W16" s="15">
        <f t="shared" ref="W16:AA16" si="41">W15/W7</f>
        <v>0.14395766866391721</v>
      </c>
      <c r="X16" s="15">
        <f t="shared" si="41"/>
        <v>0.17365036805757308</v>
      </c>
      <c r="Y16" s="15" t="e">
        <f t="shared" si="41"/>
        <v>#DIV/0!</v>
      </c>
      <c r="Z16" s="15" t="e">
        <f t="shared" si="41"/>
        <v>#DIV/0!</v>
      </c>
      <c r="AA16" s="66">
        <f t="shared" si="41"/>
        <v>0</v>
      </c>
      <c r="AB16" s="15"/>
    </row>
    <row r="17" spans="1:29" s="6" customFormat="1" x14ac:dyDescent="0.25">
      <c r="A17" s="2"/>
      <c r="B17" s="2" t="s">
        <v>186</v>
      </c>
      <c r="C17" s="17"/>
      <c r="D17" s="17"/>
      <c r="E17" s="17"/>
      <c r="F17" s="17"/>
      <c r="G17" s="63"/>
      <c r="H17" s="17"/>
      <c r="I17" s="17"/>
      <c r="J17" s="17"/>
      <c r="K17" s="17"/>
      <c r="L17" s="63"/>
      <c r="M17" s="17"/>
      <c r="N17" s="17"/>
      <c r="O17" s="17"/>
      <c r="P17" s="17"/>
      <c r="Q17" s="61">
        <v>140.06800000000001</v>
      </c>
      <c r="R17" s="17">
        <v>68.811000000000007</v>
      </c>
      <c r="S17" s="17">
        <v>63.960999999999999</v>
      </c>
      <c r="T17" s="17"/>
      <c r="U17" s="17"/>
      <c r="V17" s="61">
        <v>199.995</v>
      </c>
      <c r="W17" s="17">
        <v>34.337000000000003</v>
      </c>
      <c r="X17" s="17">
        <v>46.954000000000001</v>
      </c>
      <c r="Y17" s="17"/>
      <c r="Z17" s="17"/>
      <c r="AA17" s="63">
        <v>210</v>
      </c>
      <c r="AB17" s="2"/>
      <c r="AC17" s="2"/>
    </row>
    <row r="18" spans="1:29" ht="20" thickBot="1" x14ac:dyDescent="0.3">
      <c r="B18" s="48" t="s">
        <v>187</v>
      </c>
      <c r="C18" s="49" t="e">
        <f t="shared" ref="C18:U18" si="42">C17/C7</f>
        <v>#DIV/0!</v>
      </c>
      <c r="D18" s="49" t="e">
        <f t="shared" si="42"/>
        <v>#DIV/0!</v>
      </c>
      <c r="E18" s="49" t="e">
        <f t="shared" si="42"/>
        <v>#DIV/0!</v>
      </c>
      <c r="F18" s="49" t="e">
        <f t="shared" si="42"/>
        <v>#DIV/0!</v>
      </c>
      <c r="G18" s="67" t="e">
        <f t="shared" si="42"/>
        <v>#DIV/0!</v>
      </c>
      <c r="H18" s="49" t="e">
        <f t="shared" si="42"/>
        <v>#DIV/0!</v>
      </c>
      <c r="I18" s="49" t="e">
        <f t="shared" si="42"/>
        <v>#DIV/0!</v>
      </c>
      <c r="J18" s="49" t="e">
        <f t="shared" si="42"/>
        <v>#DIV/0!</v>
      </c>
      <c r="K18" s="49" t="e">
        <f t="shared" si="42"/>
        <v>#DIV/0!</v>
      </c>
      <c r="L18" s="67" t="e">
        <f t="shared" si="42"/>
        <v>#DIV/0!</v>
      </c>
      <c r="M18" s="49" t="e">
        <f t="shared" si="42"/>
        <v>#DIV/0!</v>
      </c>
      <c r="N18" s="49" t="e">
        <f t="shared" si="42"/>
        <v>#DIV/0!</v>
      </c>
      <c r="O18" s="49" t="e">
        <f t="shared" si="42"/>
        <v>#DIV/0!</v>
      </c>
      <c r="P18" s="49" t="e">
        <f t="shared" si="42"/>
        <v>#DIV/0!</v>
      </c>
      <c r="Q18" s="67">
        <f t="shared" si="42"/>
        <v>0.15877071376995999</v>
      </c>
      <c r="R18" s="49">
        <f t="shared" si="42"/>
        <v>0.21637794681349509</v>
      </c>
      <c r="S18" s="49">
        <f t="shared" si="42"/>
        <v>0.21821649357915854</v>
      </c>
      <c r="T18" s="49" t="e">
        <f t="shared" si="42"/>
        <v>#DIV/0!</v>
      </c>
      <c r="U18" s="49" t="e">
        <f t="shared" si="42"/>
        <v>#DIV/0!</v>
      </c>
      <c r="V18" s="67">
        <f>V17/V7</f>
        <v>0.17651217346637976</v>
      </c>
      <c r="W18" s="49">
        <f t="shared" ref="W18:AA18" si="43">W17/W7</f>
        <v>0.13359660726791692</v>
      </c>
      <c r="X18" s="49">
        <f t="shared" si="43"/>
        <v>0.16435354528875804</v>
      </c>
      <c r="Y18" s="49" t="e">
        <f t="shared" si="43"/>
        <v>#DIV/0!</v>
      </c>
      <c r="Z18" s="49" t="e">
        <f t="shared" si="43"/>
        <v>#DIV/0!</v>
      </c>
      <c r="AA18" s="67">
        <f t="shared" si="43"/>
        <v>0.16116731800007936</v>
      </c>
      <c r="AB18" s="15"/>
    </row>
    <row r="19" spans="1:29" x14ac:dyDescent="0.25">
      <c r="B19" s="1" t="s">
        <v>180</v>
      </c>
      <c r="C19" s="17"/>
      <c r="D19" s="17"/>
      <c r="E19" s="17"/>
      <c r="F19" s="17"/>
      <c r="G19" s="63"/>
      <c r="H19" s="17"/>
      <c r="I19" s="17"/>
      <c r="J19" s="17"/>
      <c r="K19" s="17"/>
      <c r="L19" s="63"/>
      <c r="M19" s="17"/>
      <c r="N19" s="17"/>
      <c r="O19" s="17"/>
      <c r="P19" s="17"/>
      <c r="Q19" s="63"/>
      <c r="R19" s="17"/>
      <c r="S19" s="17"/>
      <c r="T19" s="17"/>
      <c r="V19" s="60"/>
      <c r="AA19" s="60"/>
    </row>
    <row r="20" spans="1:29" x14ac:dyDescent="0.25">
      <c r="B20" s="16" t="s">
        <v>44</v>
      </c>
      <c r="C20" s="18"/>
      <c r="D20" s="18"/>
      <c r="E20" s="18"/>
      <c r="F20" s="18"/>
      <c r="G20" s="61"/>
      <c r="H20" s="18"/>
      <c r="I20" s="18"/>
      <c r="J20" s="18"/>
      <c r="K20" s="18"/>
      <c r="L20" s="61"/>
      <c r="M20" s="18"/>
      <c r="N20" s="18"/>
      <c r="O20" s="18"/>
      <c r="P20" s="18"/>
      <c r="Q20" s="61">
        <v>79.048000000000002</v>
      </c>
      <c r="R20" s="17">
        <v>24.184000000000001</v>
      </c>
      <c r="S20" s="17">
        <v>23.323</v>
      </c>
      <c r="T20" s="18"/>
      <c r="U20" s="18"/>
      <c r="V20" s="61">
        <v>169.672</v>
      </c>
      <c r="W20" s="17">
        <v>73</v>
      </c>
      <c r="X20" s="17">
        <v>96.888000000000005</v>
      </c>
      <c r="Y20" s="18"/>
      <c r="Z20" s="18"/>
      <c r="AA20" s="61">
        <v>290</v>
      </c>
    </row>
    <row r="21" spans="1:29" x14ac:dyDescent="0.25">
      <c r="B21" s="6" t="s">
        <v>184</v>
      </c>
      <c r="C21" s="19"/>
      <c r="D21" s="19"/>
      <c r="E21" s="19"/>
      <c r="F21" s="19"/>
      <c r="G21" s="64"/>
      <c r="H21" s="51" t="e">
        <v>#DIV/0!</v>
      </c>
      <c r="I21" s="52" t="e">
        <f t="shared" ref="I21" si="44">(I20-D20)/D20</f>
        <v>#DIV/0!</v>
      </c>
      <c r="J21" s="52" t="e">
        <f t="shared" ref="J21" si="45">(J20-E20)/E20</f>
        <v>#DIV/0!</v>
      </c>
      <c r="K21" s="52" t="e">
        <f t="shared" ref="K21" si="46">(K20-F20)/F20</f>
        <v>#DIV/0!</v>
      </c>
      <c r="L21" s="62" t="e">
        <f t="shared" ref="L21" si="47">(L20-G20)/G20</f>
        <v>#DIV/0!</v>
      </c>
      <c r="M21" s="52" t="e">
        <f t="shared" ref="M21" si="48">(M20-H20)/H20</f>
        <v>#DIV/0!</v>
      </c>
      <c r="N21" s="52" t="e">
        <f t="shared" ref="N21" si="49">(N20-I20)/I20</f>
        <v>#DIV/0!</v>
      </c>
      <c r="O21" s="52" t="e">
        <f t="shared" ref="O21" si="50">(O20-J20)/J20</f>
        <v>#DIV/0!</v>
      </c>
      <c r="P21" s="52" t="e">
        <f t="shared" ref="P21" si="51">(P20-K20)/K20</f>
        <v>#DIV/0!</v>
      </c>
      <c r="Q21" s="62" t="e">
        <f t="shared" ref="Q21" si="52">(Q20-L20)/L20</f>
        <v>#DIV/0!</v>
      </c>
      <c r="R21" s="52" t="e">
        <f t="shared" ref="R21" si="53">(R20-M20)/M20</f>
        <v>#DIV/0!</v>
      </c>
      <c r="S21" s="52" t="e">
        <f t="shared" ref="S21" si="54">(S20-N20)/N20</f>
        <v>#DIV/0!</v>
      </c>
      <c r="T21" s="52" t="e">
        <f t="shared" ref="T21" si="55">(T20-O20)/O20</f>
        <v>#DIV/0!</v>
      </c>
      <c r="U21" s="52" t="e">
        <f t="shared" ref="U21" si="56">(U20-P20)/P20</f>
        <v>#DIV/0!</v>
      </c>
      <c r="V21" s="62">
        <f>(V20-Q20)/Q20</f>
        <v>1.1464426677461794</v>
      </c>
      <c r="W21" s="52">
        <f t="shared" ref="W21" si="57">(W20-R20)/R20</f>
        <v>2.0185246443929872</v>
      </c>
      <c r="X21" s="52">
        <f t="shared" ref="X21" si="58">(X20-S20)/S20</f>
        <v>3.154182566565193</v>
      </c>
      <c r="Y21" s="52" t="e">
        <f t="shared" ref="Y21" si="59">(Y20-T20)/T20</f>
        <v>#DIV/0!</v>
      </c>
      <c r="Z21" s="52" t="e">
        <f t="shared" ref="Z21" si="60">(Z20-U20)/U20</f>
        <v>#DIV/0!</v>
      </c>
      <c r="AA21" s="62">
        <f>(AA20-V20)/V20</f>
        <v>0.70918006506671694</v>
      </c>
    </row>
    <row r="22" spans="1:29" x14ac:dyDescent="0.25">
      <c r="B22" s="47" t="s">
        <v>181</v>
      </c>
      <c r="C22" s="17"/>
      <c r="D22" s="17"/>
      <c r="E22" s="17"/>
      <c r="F22" s="17"/>
      <c r="G22" s="63"/>
      <c r="H22" s="17"/>
      <c r="I22" s="17"/>
      <c r="J22" s="17"/>
      <c r="K22" s="17"/>
      <c r="L22" s="63"/>
      <c r="M22" s="17"/>
      <c r="N22" s="17"/>
      <c r="O22" s="17"/>
      <c r="P22" s="17"/>
      <c r="Q22" s="63">
        <v>18.119</v>
      </c>
      <c r="R22" s="17"/>
      <c r="S22" s="17"/>
      <c r="T22" s="17"/>
      <c r="U22" s="17"/>
      <c r="V22" s="63">
        <v>19.282</v>
      </c>
      <c r="W22" s="17"/>
      <c r="X22" s="17"/>
      <c r="Y22" s="17"/>
      <c r="Z22" s="17"/>
      <c r="AA22" s="63"/>
    </row>
    <row r="23" spans="1:29" x14ac:dyDescent="0.25">
      <c r="B23" s="6" t="s">
        <v>184</v>
      </c>
      <c r="C23" s="52"/>
      <c r="D23" s="52"/>
      <c r="E23" s="52"/>
      <c r="F23" s="52"/>
      <c r="G23" s="62"/>
      <c r="H23" s="68" t="e">
        <f t="shared" ref="H23" si="61">(H22-C22)/C22</f>
        <v>#DIV/0!</v>
      </c>
      <c r="I23" s="52" t="e">
        <f t="shared" ref="I23" si="62">(I22-D22)/D22</f>
        <v>#DIV/0!</v>
      </c>
      <c r="J23" s="52" t="e">
        <f t="shared" ref="J23" si="63">(J22-E22)/E22</f>
        <v>#DIV/0!</v>
      </c>
      <c r="K23" s="56" t="e">
        <f t="shared" ref="K23" si="64">(K22-F22)/F22</f>
        <v>#DIV/0!</v>
      </c>
      <c r="L23" s="62"/>
      <c r="M23" s="68" t="e">
        <f t="shared" ref="M23" si="65">(M22-H22)/H22</f>
        <v>#DIV/0!</v>
      </c>
      <c r="N23" s="52" t="e">
        <f t="shared" ref="N23" si="66">(N22-I22)/I22</f>
        <v>#DIV/0!</v>
      </c>
      <c r="O23" s="52" t="e">
        <f t="shared" ref="O23" si="67">(O22-J22)/J22</f>
        <v>#DIV/0!</v>
      </c>
      <c r="P23" s="56" t="e">
        <f t="shared" ref="P23" si="68">(P22-K22)/K22</f>
        <v>#DIV/0!</v>
      </c>
      <c r="Q23" s="62"/>
      <c r="R23" s="68" t="e">
        <f t="shared" ref="R23" si="69">(R22-M22)/M22</f>
        <v>#DIV/0!</v>
      </c>
      <c r="S23" s="52" t="e">
        <f t="shared" ref="S23" si="70">(S22-N22)/N22</f>
        <v>#DIV/0!</v>
      </c>
      <c r="T23" s="52" t="e">
        <f t="shared" ref="T23" si="71">(T22-O22)/O22</f>
        <v>#DIV/0!</v>
      </c>
      <c r="U23" s="56" t="e">
        <f t="shared" ref="U23" si="72">(U22-P22)/P22</f>
        <v>#DIV/0!</v>
      </c>
      <c r="V23" s="62">
        <f>(V22-Q22)/Q22</f>
        <v>6.4186765274021756E-2</v>
      </c>
      <c r="W23" s="68" t="e">
        <f t="shared" ref="W23" si="73">(W22-R22)/R22</f>
        <v>#DIV/0!</v>
      </c>
      <c r="X23" s="52" t="e">
        <f t="shared" ref="X23" si="74">(X22-S22)/S22</f>
        <v>#DIV/0!</v>
      </c>
      <c r="Y23" s="52" t="e">
        <f t="shared" ref="Y23" si="75">(Y22-T22)/T22</f>
        <v>#DIV/0!</v>
      </c>
      <c r="Z23" s="56" t="e">
        <f t="shared" ref="Z23:AA23" si="76">(Z22-U22)/U22</f>
        <v>#DIV/0!</v>
      </c>
      <c r="AA23" s="62">
        <f t="shared" si="76"/>
        <v>-1</v>
      </c>
    </row>
    <row r="24" spans="1:29" x14ac:dyDescent="0.25">
      <c r="B24" s="47" t="s">
        <v>182</v>
      </c>
      <c r="C24" s="17"/>
      <c r="D24" s="17"/>
      <c r="E24" s="17"/>
      <c r="F24" s="17"/>
      <c r="G24" s="63"/>
      <c r="H24" s="17"/>
      <c r="I24" s="17"/>
      <c r="J24" s="17"/>
      <c r="K24" s="17"/>
      <c r="L24" s="63"/>
      <c r="M24" s="17"/>
      <c r="N24" s="17"/>
      <c r="O24" s="17"/>
      <c r="P24" s="17"/>
      <c r="Q24" s="63">
        <v>47</v>
      </c>
      <c r="R24" s="17"/>
      <c r="S24" s="17"/>
      <c r="T24" s="17"/>
      <c r="U24" s="17"/>
      <c r="V24" s="63">
        <v>144.321</v>
      </c>
      <c r="W24" s="17"/>
      <c r="X24" s="17"/>
      <c r="Y24" s="17"/>
      <c r="Z24" s="17"/>
      <c r="AA24" s="63"/>
    </row>
    <row r="25" spans="1:29" x14ac:dyDescent="0.25">
      <c r="B25" s="6" t="s">
        <v>184</v>
      </c>
      <c r="C25" s="6"/>
      <c r="D25" s="6"/>
      <c r="E25" s="6"/>
      <c r="F25" s="6"/>
      <c r="G25" s="64"/>
      <c r="H25" s="68" t="e">
        <f t="shared" ref="H25" si="77">(H24-C24)/C24</f>
        <v>#DIV/0!</v>
      </c>
      <c r="I25" s="52" t="e">
        <f t="shared" ref="I25" si="78">(I24-D24)/D24</f>
        <v>#DIV/0!</v>
      </c>
      <c r="J25" s="52" t="e">
        <f t="shared" ref="J25" si="79">(J24-E24)/E24</f>
        <v>#DIV/0!</v>
      </c>
      <c r="K25" s="56" t="e">
        <f t="shared" ref="K25" si="80">(K24-F24)/F24</f>
        <v>#DIV/0!</v>
      </c>
      <c r="L25" s="64"/>
      <c r="M25" s="68" t="e">
        <f t="shared" ref="M25" si="81">(M24-H24)/H24</f>
        <v>#DIV/0!</v>
      </c>
      <c r="N25" s="52" t="e">
        <f t="shared" ref="N25" si="82">(N24-I24)/I24</f>
        <v>#DIV/0!</v>
      </c>
      <c r="O25" s="52" t="e">
        <f t="shared" ref="O25" si="83">(O24-J24)/J24</f>
        <v>#DIV/0!</v>
      </c>
      <c r="P25" s="56" t="e">
        <f t="shared" ref="P25" si="84">(P24-K24)/K24</f>
        <v>#DIV/0!</v>
      </c>
      <c r="Q25" s="64"/>
      <c r="R25" s="68" t="e">
        <f t="shared" ref="R25" si="85">(R24-M24)/M24</f>
        <v>#DIV/0!</v>
      </c>
      <c r="S25" s="52" t="e">
        <f t="shared" ref="S25" si="86">(S24-N24)/N24</f>
        <v>#DIV/0!</v>
      </c>
      <c r="T25" s="52" t="e">
        <f t="shared" ref="T25" si="87">(T24-O24)/O24</f>
        <v>#DIV/0!</v>
      </c>
      <c r="U25" s="56" t="e">
        <f t="shared" ref="U25" si="88">(U24-P24)/P24</f>
        <v>#DIV/0!</v>
      </c>
      <c r="V25" s="62">
        <f>(V24-Q24)/Q24</f>
        <v>2.0706595744680851</v>
      </c>
      <c r="W25" s="68" t="e">
        <f t="shared" ref="W25" si="89">(W24-R24)/R24</f>
        <v>#DIV/0!</v>
      </c>
      <c r="X25" s="52" t="e">
        <f t="shared" ref="X25" si="90">(X24-S24)/S24</f>
        <v>#DIV/0!</v>
      </c>
      <c r="Y25" s="52" t="e">
        <f t="shared" ref="Y25" si="91">(Y24-T24)/T24</f>
        <v>#DIV/0!</v>
      </c>
      <c r="Z25" s="56" t="e">
        <f t="shared" ref="Z25:AA25" si="92">(Z24-U24)/U24</f>
        <v>#DIV/0!</v>
      </c>
      <c r="AA25" s="62">
        <f t="shared" si="92"/>
        <v>-1</v>
      </c>
    </row>
    <row r="26" spans="1:29" x14ac:dyDescent="0.25">
      <c r="B26" s="50" t="s">
        <v>183</v>
      </c>
      <c r="C26" s="17"/>
      <c r="D26" s="17"/>
      <c r="E26" s="17"/>
      <c r="F26" s="17"/>
      <c r="G26" s="63"/>
      <c r="H26" s="17"/>
      <c r="I26" s="17"/>
      <c r="J26" s="17"/>
      <c r="K26" s="17"/>
      <c r="L26" s="63"/>
      <c r="M26" s="17"/>
      <c r="N26" s="17"/>
      <c r="O26" s="17"/>
      <c r="P26" s="17"/>
      <c r="Q26" s="63">
        <v>13.875999999999999</v>
      </c>
      <c r="R26" s="17"/>
      <c r="S26" s="17"/>
      <c r="T26" s="17"/>
      <c r="U26" s="17"/>
      <c r="V26" s="63">
        <v>6</v>
      </c>
      <c r="W26" s="17"/>
      <c r="X26" s="17"/>
      <c r="Y26" s="17"/>
      <c r="Z26" s="17"/>
      <c r="AA26" s="63"/>
    </row>
    <row r="27" spans="1:29" x14ac:dyDescent="0.25">
      <c r="B27" s="53" t="s">
        <v>184</v>
      </c>
      <c r="C27" s="53"/>
      <c r="D27" s="53"/>
      <c r="E27" s="53"/>
      <c r="F27" s="53"/>
      <c r="G27" s="65"/>
      <c r="H27" s="69" t="e">
        <f t="shared" ref="H27" si="93">(H26-C26)/C26</f>
        <v>#DIV/0!</v>
      </c>
      <c r="I27" s="54" t="e">
        <f t="shared" ref="I27" si="94">(I26-D26)/D26</f>
        <v>#DIV/0!</v>
      </c>
      <c r="J27" s="54" t="e">
        <f t="shared" ref="J27" si="95">(J26-E26)/E26</f>
        <v>#DIV/0!</v>
      </c>
      <c r="K27" s="72" t="e">
        <f t="shared" ref="K27" si="96">(K26-F26)/F26</f>
        <v>#DIV/0!</v>
      </c>
      <c r="L27" s="65"/>
      <c r="M27" s="69" t="e">
        <f t="shared" ref="M27" si="97">(M26-H26)/H26</f>
        <v>#DIV/0!</v>
      </c>
      <c r="N27" s="54" t="e">
        <f t="shared" ref="N27" si="98">(N26-I26)/I26</f>
        <v>#DIV/0!</v>
      </c>
      <c r="O27" s="54" t="e">
        <f t="shared" ref="O27" si="99">(O26-J26)/J26</f>
        <v>#DIV/0!</v>
      </c>
      <c r="P27" s="72" t="e">
        <f t="shared" ref="P27" si="100">(P26-K26)/K26</f>
        <v>#DIV/0!</v>
      </c>
      <c r="Q27" s="65"/>
      <c r="R27" s="69" t="e">
        <f t="shared" ref="R27" si="101">(R26-M26)/M26</f>
        <v>#DIV/0!</v>
      </c>
      <c r="S27" s="54" t="e">
        <f t="shared" ref="S27" si="102">(S26-N26)/N26</f>
        <v>#DIV/0!</v>
      </c>
      <c r="T27" s="54" t="e">
        <f t="shared" ref="T27" si="103">(T26-O26)/O26</f>
        <v>#DIV/0!</v>
      </c>
      <c r="U27" s="72" t="e">
        <f t="shared" ref="U27" si="104">(U26-P26)/P26</f>
        <v>#DIV/0!</v>
      </c>
      <c r="V27" s="71">
        <f>(V26-Q26)/Q26</f>
        <v>-0.56759873162294605</v>
      </c>
      <c r="W27" s="69" t="e">
        <f t="shared" ref="W27" si="105">(W26-R26)/R26</f>
        <v>#DIV/0!</v>
      </c>
      <c r="X27" s="54" t="e">
        <f t="shared" ref="X27" si="106">(X26-S26)/S26</f>
        <v>#DIV/0!</v>
      </c>
      <c r="Y27" s="54" t="e">
        <f t="shared" ref="Y27" si="107">(Y26-T26)/T26</f>
        <v>#DIV/0!</v>
      </c>
      <c r="Z27" s="72" t="e">
        <f t="shared" ref="Z27:AA27" si="108">(Z26-U26)/U26</f>
        <v>#DIV/0!</v>
      </c>
      <c r="AA27" s="71">
        <f t="shared" si="108"/>
        <v>-1</v>
      </c>
    </row>
    <row r="28" spans="1:29" x14ac:dyDescent="0.25">
      <c r="B28" s="2" t="s">
        <v>172</v>
      </c>
      <c r="C28" s="17"/>
      <c r="D28" s="17"/>
      <c r="E28" s="17"/>
      <c r="F28" s="17"/>
      <c r="G28" s="63"/>
      <c r="H28" s="17"/>
      <c r="I28" s="17"/>
      <c r="J28" s="17"/>
      <c r="K28" s="17"/>
      <c r="L28" s="63"/>
      <c r="M28" s="17"/>
      <c r="N28" s="17"/>
      <c r="O28" s="17"/>
      <c r="P28" s="17"/>
      <c r="Q28" s="61">
        <v>-34.433999999999997</v>
      </c>
      <c r="R28" s="17">
        <v>-6.5</v>
      </c>
      <c r="S28" s="17">
        <v>1.2749999999999999</v>
      </c>
      <c r="T28" s="17"/>
      <c r="U28" s="17"/>
      <c r="V28" s="61">
        <v>22.173999999999999</v>
      </c>
      <c r="W28" s="17">
        <v>29</v>
      </c>
      <c r="X28" s="17">
        <v>41.268999999999998</v>
      </c>
      <c r="Y28" s="17"/>
      <c r="Z28" s="17"/>
      <c r="AA28" s="63"/>
    </row>
    <row r="29" spans="1:29" x14ac:dyDescent="0.25">
      <c r="B29" s="21" t="s">
        <v>185</v>
      </c>
      <c r="C29" s="15" t="e">
        <f t="shared" ref="C29" si="109">C28/C20</f>
        <v>#DIV/0!</v>
      </c>
      <c r="D29" s="15" t="e">
        <f t="shared" ref="D29" si="110">D28/D20</f>
        <v>#DIV/0!</v>
      </c>
      <c r="E29" s="15" t="e">
        <f t="shared" ref="E29" si="111">E28/E20</f>
        <v>#DIV/0!</v>
      </c>
      <c r="F29" s="15" t="e">
        <f t="shared" ref="F29" si="112">F28/F20</f>
        <v>#DIV/0!</v>
      </c>
      <c r="G29" s="66" t="e">
        <f t="shared" ref="G29" si="113">G28/G20</f>
        <v>#DIV/0!</v>
      </c>
      <c r="H29" s="15" t="e">
        <f t="shared" ref="H29" si="114">H28/H20</f>
        <v>#DIV/0!</v>
      </c>
      <c r="I29" s="15" t="e">
        <f t="shared" ref="I29" si="115">I28/I20</f>
        <v>#DIV/0!</v>
      </c>
      <c r="J29" s="15" t="e">
        <f t="shared" ref="J29" si="116">J28/J20</f>
        <v>#DIV/0!</v>
      </c>
      <c r="K29" s="15" t="e">
        <f t="shared" ref="K29" si="117">K28/K20</f>
        <v>#DIV/0!</v>
      </c>
      <c r="L29" s="66" t="e">
        <f t="shared" ref="L29" si="118">L28/L20</f>
        <v>#DIV/0!</v>
      </c>
      <c r="M29" s="15" t="e">
        <f t="shared" ref="M29" si="119">M28/M20</f>
        <v>#DIV/0!</v>
      </c>
      <c r="N29" s="15" t="e">
        <f t="shared" ref="N29" si="120">N28/N20</f>
        <v>#DIV/0!</v>
      </c>
      <c r="O29" s="15" t="e">
        <f t="shared" ref="O29" si="121">O28/O20</f>
        <v>#DIV/0!</v>
      </c>
      <c r="P29" s="15" t="e">
        <f t="shared" ref="P29" si="122">P28/P20</f>
        <v>#DIV/0!</v>
      </c>
      <c r="Q29" s="66">
        <f t="shared" ref="Q29" si="123">Q28/Q20</f>
        <v>-0.43560874405424549</v>
      </c>
      <c r="R29" s="15">
        <f t="shared" ref="R29" si="124">R28/R20</f>
        <v>-0.26877274230896459</v>
      </c>
      <c r="S29" s="15">
        <f t="shared" ref="S29" si="125">S28/S20</f>
        <v>5.4667066843888001E-2</v>
      </c>
      <c r="T29" s="15" t="e">
        <f t="shared" ref="T29" si="126">T28/T20</f>
        <v>#DIV/0!</v>
      </c>
      <c r="U29" s="15" t="e">
        <f t="shared" ref="U29" si="127">U28/U20</f>
        <v>#DIV/0!</v>
      </c>
      <c r="V29" s="66">
        <f>V28/V20</f>
        <v>0.13068744400961857</v>
      </c>
      <c r="W29" s="15">
        <f t="shared" ref="W29" si="128">W28/W20</f>
        <v>0.39726027397260272</v>
      </c>
      <c r="X29" s="15">
        <f t="shared" ref="X29" si="129">X28/X20</f>
        <v>0.42594542151762854</v>
      </c>
      <c r="Y29" s="15" t="e">
        <f t="shared" ref="Y29" si="130">Y28/Y20</f>
        <v>#DIV/0!</v>
      </c>
      <c r="Z29" s="15" t="e">
        <f t="shared" ref="Z29" si="131">Z28/Z20</f>
        <v>#DIV/0!</v>
      </c>
      <c r="AA29" s="66">
        <f t="shared" ref="AA29" si="132">AA28/AA20</f>
        <v>0</v>
      </c>
    </row>
    <row r="30" spans="1:29" x14ac:dyDescent="0.25">
      <c r="B30" s="2" t="s">
        <v>186</v>
      </c>
      <c r="C30" s="17"/>
      <c r="D30" s="17"/>
      <c r="E30" s="17"/>
      <c r="F30" s="17"/>
      <c r="G30" s="63"/>
      <c r="H30" s="17"/>
      <c r="I30" s="17"/>
      <c r="J30" s="17"/>
      <c r="K30" s="17"/>
      <c r="L30" s="63"/>
      <c r="M30" s="17"/>
      <c r="N30" s="17"/>
      <c r="O30" s="17"/>
      <c r="P30" s="17"/>
      <c r="Q30" s="61">
        <v>-52.277999999999999</v>
      </c>
      <c r="R30" s="17">
        <v>-10.6</v>
      </c>
      <c r="S30" s="17">
        <v>-2.4</v>
      </c>
      <c r="T30" s="17"/>
      <c r="U30" s="17"/>
      <c r="V30" s="61">
        <v>6.4269999999999996</v>
      </c>
      <c r="W30" s="17">
        <v>25.265999999999998</v>
      </c>
      <c r="X30" s="17">
        <v>29.715</v>
      </c>
      <c r="Y30" s="17"/>
      <c r="Z30" s="17"/>
      <c r="AA30" s="63">
        <v>60</v>
      </c>
    </row>
    <row r="31" spans="1:29" ht="20" thickBot="1" x14ac:dyDescent="0.3">
      <c r="B31" s="48" t="s">
        <v>187</v>
      </c>
      <c r="C31" s="49" t="e">
        <f t="shared" ref="C31" si="133">C30/C20</f>
        <v>#DIV/0!</v>
      </c>
      <c r="D31" s="49" t="e">
        <f t="shared" ref="D31" si="134">D30/D20</f>
        <v>#DIV/0!</v>
      </c>
      <c r="E31" s="49" t="e">
        <f t="shared" ref="E31" si="135">E30/E20</f>
        <v>#DIV/0!</v>
      </c>
      <c r="F31" s="49" t="e">
        <f t="shared" ref="F31" si="136">F30/F20</f>
        <v>#DIV/0!</v>
      </c>
      <c r="G31" s="67" t="e">
        <f t="shared" ref="G31" si="137">G30/G20</f>
        <v>#DIV/0!</v>
      </c>
      <c r="H31" s="49" t="e">
        <f t="shared" ref="H31" si="138">H30/H20</f>
        <v>#DIV/0!</v>
      </c>
      <c r="I31" s="49" t="e">
        <f t="shared" ref="I31" si="139">I30/I20</f>
        <v>#DIV/0!</v>
      </c>
      <c r="J31" s="49" t="e">
        <f t="shared" ref="J31" si="140">J30/J20</f>
        <v>#DIV/0!</v>
      </c>
      <c r="K31" s="49" t="e">
        <f t="shared" ref="K31" si="141">K30/K20</f>
        <v>#DIV/0!</v>
      </c>
      <c r="L31" s="67" t="e">
        <f t="shared" ref="L31" si="142">L30/L20</f>
        <v>#DIV/0!</v>
      </c>
      <c r="M31" s="49" t="e">
        <f t="shared" ref="M31" si="143">M30/M20</f>
        <v>#DIV/0!</v>
      </c>
      <c r="N31" s="49" t="e">
        <f t="shared" ref="N31" si="144">N30/N20</f>
        <v>#DIV/0!</v>
      </c>
      <c r="O31" s="49" t="e">
        <f t="shared" ref="O31" si="145">O30/O20</f>
        <v>#DIV/0!</v>
      </c>
      <c r="P31" s="49" t="e">
        <f t="shared" ref="P31" si="146">P30/P20</f>
        <v>#DIV/0!</v>
      </c>
      <c r="Q31" s="67">
        <f t="shared" ref="Q31" si="147">Q30/Q20</f>
        <v>-0.66134500556623821</v>
      </c>
      <c r="R31" s="49">
        <f t="shared" ref="R31" si="148">R30/R20</f>
        <v>-0.43830631822692684</v>
      </c>
      <c r="S31" s="49">
        <f t="shared" ref="S31" si="149">S30/S20</f>
        <v>-0.1029027140590833</v>
      </c>
      <c r="T31" s="49" t="e">
        <f t="shared" ref="T31" si="150">T30/T20</f>
        <v>#DIV/0!</v>
      </c>
      <c r="U31" s="49" t="e">
        <f t="shared" ref="U31" si="151">U30/U20</f>
        <v>#DIV/0!</v>
      </c>
      <c r="V31" s="67">
        <f>V30/V20</f>
        <v>3.7878966476495829E-2</v>
      </c>
      <c r="W31" s="49">
        <f t="shared" ref="W31" si="152">W30/W20</f>
        <v>0.34610958904109584</v>
      </c>
      <c r="X31" s="49">
        <f t="shared" ref="X31" si="153">X30/X20</f>
        <v>0.3066943274708942</v>
      </c>
      <c r="Y31" s="49" t="e">
        <f t="shared" ref="Y31" si="154">Y30/Y20</f>
        <v>#DIV/0!</v>
      </c>
      <c r="Z31" s="49" t="e">
        <f t="shared" ref="Z31" si="155">Z30/Z20</f>
        <v>#DIV/0!</v>
      </c>
      <c r="AA31" s="67">
        <f t="shared" ref="AA31" si="156">AA30/AA20</f>
        <v>0.20689655172413793</v>
      </c>
    </row>
    <row r="32" spans="1:29" x14ac:dyDescent="0.25">
      <c r="B32" s="1" t="s">
        <v>189</v>
      </c>
      <c r="G32" s="77"/>
      <c r="L32" s="77"/>
      <c r="Q32" s="77"/>
      <c r="V32" s="77"/>
      <c r="AA32" s="77"/>
    </row>
    <row r="33" spans="2:27" x14ac:dyDescent="0.25">
      <c r="B33" s="1" t="s">
        <v>44</v>
      </c>
      <c r="C33" s="18"/>
      <c r="D33" s="18"/>
      <c r="E33" s="18"/>
      <c r="F33" s="18"/>
      <c r="G33" s="61"/>
      <c r="H33" s="18"/>
      <c r="I33" s="18"/>
      <c r="J33" s="18"/>
      <c r="K33" s="18"/>
      <c r="L33" s="61"/>
      <c r="M33" s="18"/>
      <c r="N33" s="18"/>
      <c r="O33" s="18"/>
      <c r="P33" s="18"/>
      <c r="Q33" s="61">
        <v>0</v>
      </c>
      <c r="R33" s="18"/>
      <c r="S33" s="18">
        <v>14.254</v>
      </c>
      <c r="T33" s="18"/>
      <c r="U33" s="18"/>
      <c r="V33" s="61">
        <v>52.704999999999998</v>
      </c>
      <c r="W33" s="18">
        <v>10.68</v>
      </c>
      <c r="X33" s="18">
        <v>11.237</v>
      </c>
      <c r="Y33" s="18"/>
      <c r="Z33" s="18"/>
      <c r="AA33" s="61"/>
    </row>
    <row r="34" spans="2:27" x14ac:dyDescent="0.25">
      <c r="B34" s="2" t="s">
        <v>172</v>
      </c>
      <c r="C34" s="17"/>
      <c r="D34" s="17"/>
      <c r="E34" s="17"/>
      <c r="F34" s="17"/>
      <c r="G34" s="63"/>
      <c r="H34" s="17"/>
      <c r="I34" s="17"/>
      <c r="J34" s="17"/>
      <c r="K34" s="17"/>
      <c r="L34" s="63"/>
      <c r="M34" s="17"/>
      <c r="N34" s="17"/>
      <c r="O34" s="17"/>
      <c r="P34" s="17"/>
      <c r="Q34" s="63">
        <v>-28</v>
      </c>
      <c r="R34" s="17"/>
      <c r="S34" s="17">
        <v>3.964</v>
      </c>
      <c r="T34" s="17"/>
      <c r="U34" s="17"/>
      <c r="V34" s="63">
        <v>-17.771000000000001</v>
      </c>
      <c r="W34" s="17">
        <v>-8.5</v>
      </c>
      <c r="X34" s="17">
        <v>-12.898999999999999</v>
      </c>
      <c r="Y34" s="17"/>
      <c r="Z34" s="17"/>
      <c r="AA34" s="63"/>
    </row>
    <row r="35" spans="2:27" ht="20" thickBot="1" x14ac:dyDescent="0.3">
      <c r="B35" s="75" t="s">
        <v>186</v>
      </c>
      <c r="C35" s="76"/>
      <c r="D35" s="76"/>
      <c r="E35" s="76"/>
      <c r="F35" s="76"/>
      <c r="G35" s="78"/>
      <c r="H35" s="76"/>
      <c r="I35" s="76"/>
      <c r="J35" s="76"/>
      <c r="K35" s="76"/>
      <c r="L35" s="78"/>
      <c r="M35" s="76"/>
      <c r="N35" s="76"/>
      <c r="O35" s="76"/>
      <c r="P35" s="76"/>
      <c r="Q35" s="78">
        <v>-28</v>
      </c>
      <c r="R35" s="76"/>
      <c r="S35" s="76">
        <v>3.964</v>
      </c>
      <c r="T35" s="76"/>
      <c r="U35" s="76"/>
      <c r="V35" s="78">
        <v>-17.785</v>
      </c>
      <c r="W35" s="76">
        <v>-8.5</v>
      </c>
      <c r="X35" s="76">
        <v>-12.906000000000001</v>
      </c>
      <c r="Y35" s="76"/>
      <c r="Z35" s="76"/>
      <c r="AA35" s="78"/>
    </row>
    <row r="36" spans="2:27" x14ac:dyDescent="0.25">
      <c r="B36" s="1" t="s">
        <v>190</v>
      </c>
      <c r="C36" s="17"/>
      <c r="D36" s="17"/>
      <c r="E36" s="17"/>
      <c r="F36" s="17"/>
      <c r="G36" s="63"/>
      <c r="H36" s="17"/>
      <c r="I36" s="17"/>
      <c r="J36" s="17"/>
      <c r="K36" s="17"/>
      <c r="L36" s="63"/>
      <c r="M36" s="17"/>
      <c r="N36" s="17"/>
      <c r="O36" s="17"/>
      <c r="P36" s="17"/>
      <c r="Q36" s="63"/>
      <c r="R36" s="17"/>
      <c r="S36" s="17"/>
      <c r="T36" s="17"/>
      <c r="U36" s="17"/>
      <c r="V36" s="63"/>
      <c r="W36" s="17"/>
      <c r="X36" s="17"/>
      <c r="Y36" s="17"/>
      <c r="Z36" s="17"/>
      <c r="AA36" s="63"/>
    </row>
    <row r="37" spans="2:27" x14ac:dyDescent="0.25">
      <c r="B37" s="1" t="s">
        <v>44</v>
      </c>
      <c r="C37" s="18"/>
      <c r="D37" s="18"/>
      <c r="E37" s="18"/>
      <c r="F37" s="18"/>
      <c r="G37" s="61"/>
      <c r="H37" s="18"/>
      <c r="I37" s="18"/>
      <c r="J37" s="18"/>
      <c r="K37" s="18"/>
      <c r="L37" s="61"/>
      <c r="M37" s="18"/>
      <c r="N37" s="18"/>
      <c r="O37" s="18"/>
      <c r="P37" s="18"/>
      <c r="Q37" s="61">
        <v>-8.3520000000000003</v>
      </c>
      <c r="R37" s="18"/>
      <c r="S37" s="18">
        <v>-22.715</v>
      </c>
      <c r="T37" s="18"/>
      <c r="U37" s="18"/>
      <c r="V37" s="61">
        <v>-75</v>
      </c>
      <c r="W37" s="18">
        <v>-16.727</v>
      </c>
      <c r="X37" s="18">
        <v>-12.675000000000001</v>
      </c>
      <c r="Y37" s="18"/>
      <c r="Z37" s="18"/>
      <c r="AA37" s="61"/>
    </row>
    <row r="38" spans="2:27" x14ac:dyDescent="0.25">
      <c r="B38" s="2" t="s">
        <v>172</v>
      </c>
      <c r="C38" s="17"/>
      <c r="D38" s="17"/>
      <c r="E38" s="17"/>
      <c r="F38" s="17"/>
      <c r="G38" s="63"/>
      <c r="H38" s="17"/>
      <c r="I38" s="17"/>
      <c r="J38" s="17"/>
      <c r="K38" s="17"/>
      <c r="L38" s="63"/>
      <c r="M38" s="17"/>
      <c r="N38" s="17"/>
      <c r="O38" s="17"/>
      <c r="P38" s="17"/>
      <c r="Q38" s="63">
        <v>10.266</v>
      </c>
      <c r="R38" s="17"/>
      <c r="S38" s="17">
        <v>0</v>
      </c>
      <c r="T38" s="17"/>
      <c r="U38" s="17"/>
      <c r="V38" s="63">
        <v>-3</v>
      </c>
      <c r="W38" s="17">
        <v>-4</v>
      </c>
      <c r="X38" s="17">
        <v>3.7549999999999999</v>
      </c>
      <c r="Y38" s="17"/>
      <c r="Z38" s="17"/>
      <c r="AA38" s="63"/>
    </row>
    <row r="39" spans="2:27" ht="20" thickBot="1" x14ac:dyDescent="0.3">
      <c r="B39" s="75" t="s">
        <v>186</v>
      </c>
      <c r="C39" s="76"/>
      <c r="D39" s="76"/>
      <c r="E39" s="76"/>
      <c r="F39" s="76"/>
      <c r="G39" s="78"/>
      <c r="H39" s="76"/>
      <c r="I39" s="76"/>
      <c r="J39" s="76"/>
      <c r="K39" s="76"/>
      <c r="L39" s="78"/>
      <c r="M39" s="76"/>
      <c r="N39" s="76"/>
      <c r="O39" s="76"/>
      <c r="P39" s="76"/>
      <c r="Q39" s="78">
        <v>10.266</v>
      </c>
      <c r="R39" s="76"/>
      <c r="S39" s="76">
        <v>0</v>
      </c>
      <c r="T39" s="76"/>
      <c r="U39" s="76"/>
      <c r="V39" s="78">
        <v>-3</v>
      </c>
      <c r="W39" s="76">
        <v>-4</v>
      </c>
      <c r="X39" s="76">
        <v>3.7549999999999999</v>
      </c>
      <c r="Y39" s="76"/>
      <c r="Z39" s="76"/>
      <c r="AA39" s="78"/>
    </row>
    <row r="42" spans="2:27" x14ac:dyDescent="0.25">
      <c r="V42" s="17"/>
    </row>
    <row r="43" spans="2:27" x14ac:dyDescent="0.25">
      <c r="Q43" s="17"/>
      <c r="V43" s="17"/>
    </row>
    <row r="44" spans="2:27" x14ac:dyDescent="0.25">
      <c r="V4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CCAA-3530-1F4D-B96B-C4B753CEBCEE}">
  <dimension ref="B4:M1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9" sqref="H19"/>
    </sheetView>
  </sheetViews>
  <sheetFormatPr baseColWidth="10" defaultRowHeight="19" x14ac:dyDescent="0.25"/>
  <cols>
    <col min="1" max="1" width="10.83203125" style="2"/>
    <col min="2" max="2" width="20.83203125" style="2" customWidth="1"/>
    <col min="3" max="3" width="15.33203125" style="2" customWidth="1"/>
    <col min="4" max="16384" width="10.83203125" style="2"/>
  </cols>
  <sheetData>
    <row r="4" spans="2:13" x14ac:dyDescent="0.25">
      <c r="B4" s="2" t="s">
        <v>37</v>
      </c>
      <c r="C4" s="24">
        <v>2024</v>
      </c>
      <c r="D4" s="4" t="s">
        <v>32</v>
      </c>
      <c r="E4" s="4" t="s">
        <v>29</v>
      </c>
      <c r="F4" s="4" t="s">
        <v>30</v>
      </c>
      <c r="G4" s="4" t="s">
        <v>31</v>
      </c>
      <c r="H4" s="70">
        <v>2025</v>
      </c>
      <c r="I4" s="4" t="s">
        <v>124</v>
      </c>
      <c r="J4" s="4" t="s">
        <v>125</v>
      </c>
      <c r="K4" s="4" t="s">
        <v>126</v>
      </c>
      <c r="L4" s="4" t="s">
        <v>127</v>
      </c>
      <c r="M4" s="59">
        <v>2026</v>
      </c>
    </row>
    <row r="5" spans="2:13" s="17" customFormat="1" x14ac:dyDescent="0.25">
      <c r="B5" s="17" t="s">
        <v>242</v>
      </c>
      <c r="C5" s="55">
        <v>577</v>
      </c>
      <c r="D5" s="17">
        <v>169.75200000000001</v>
      </c>
      <c r="E5" s="17">
        <v>153</v>
      </c>
      <c r="H5" s="61">
        <v>616</v>
      </c>
      <c r="I5" s="17">
        <v>135.197</v>
      </c>
      <c r="J5" s="17">
        <v>143</v>
      </c>
      <c r="M5" s="61">
        <f>SUM(I5:L5)</f>
        <v>278.197</v>
      </c>
    </row>
    <row r="6" spans="2:13" s="21" customFormat="1" x14ac:dyDescent="0.25">
      <c r="B6" s="21" t="s">
        <v>184</v>
      </c>
      <c r="C6" s="121"/>
      <c r="H6" s="120">
        <f t="shared" ref="H6:M6" si="0">(H5-C5)/C5</f>
        <v>6.7590987868284227E-2</v>
      </c>
      <c r="I6" s="21">
        <f t="shared" si="0"/>
        <v>-0.20356166643102883</v>
      </c>
      <c r="J6" s="21">
        <f t="shared" si="0"/>
        <v>-6.535947712418301E-2</v>
      </c>
      <c r="K6" s="21" t="e">
        <f t="shared" si="0"/>
        <v>#DIV/0!</v>
      </c>
      <c r="L6" s="21" t="e">
        <f t="shared" si="0"/>
        <v>#DIV/0!</v>
      </c>
      <c r="M6" s="120">
        <f t="shared" si="0"/>
        <v>-0.54838149350649346</v>
      </c>
    </row>
    <row r="7" spans="2:13" s="17" customFormat="1" x14ac:dyDescent="0.25">
      <c r="B7" s="17" t="s">
        <v>182</v>
      </c>
      <c r="C7" s="55">
        <v>234</v>
      </c>
      <c r="D7" s="17">
        <v>93.085999999999999</v>
      </c>
      <c r="E7" s="17">
        <f>177.307-D7</f>
        <v>84.220999999999989</v>
      </c>
      <c r="H7" s="61">
        <v>403</v>
      </c>
      <c r="I7" s="17">
        <v>124.617</v>
      </c>
      <c r="J7" s="17">
        <f>281.629-I7</f>
        <v>157.012</v>
      </c>
      <c r="M7" s="61">
        <f>SUM(I7:L7)</f>
        <v>281.62900000000002</v>
      </c>
    </row>
    <row r="8" spans="2:13" s="21" customFormat="1" x14ac:dyDescent="0.25">
      <c r="B8" s="21" t="s">
        <v>184</v>
      </c>
      <c r="C8" s="121"/>
      <c r="H8" s="120">
        <f t="shared" ref="H8:M8" si="1">(H7-C7)/C7</f>
        <v>0.72222222222222221</v>
      </c>
      <c r="I8" s="21">
        <f t="shared" si="1"/>
        <v>0.3387297767655717</v>
      </c>
      <c r="J8" s="21">
        <f t="shared" si="1"/>
        <v>0.86428562947483434</v>
      </c>
      <c r="K8" s="21" t="e">
        <f t="shared" si="1"/>
        <v>#DIV/0!</v>
      </c>
      <c r="L8" s="21" t="e">
        <f t="shared" si="1"/>
        <v>#DIV/0!</v>
      </c>
      <c r="M8" s="120">
        <f t="shared" si="1"/>
        <v>-0.30116873449131509</v>
      </c>
    </row>
    <row r="9" spans="2:13" s="17" customFormat="1" x14ac:dyDescent="0.25">
      <c r="B9" s="17" t="s">
        <v>183</v>
      </c>
      <c r="C9" s="55">
        <v>151</v>
      </c>
      <c r="D9" s="17">
        <v>78.825999999999993</v>
      </c>
      <c r="E9" s="17">
        <f>149.446-D9</f>
        <v>70.62</v>
      </c>
      <c r="H9" s="61">
        <v>284</v>
      </c>
      <c r="I9" s="17">
        <v>64.200999999999993</v>
      </c>
      <c r="J9" s="17">
        <f>144.925-I9</f>
        <v>80.724000000000018</v>
      </c>
      <c r="M9" s="61">
        <f>SUM(I9:L9)</f>
        <v>144.92500000000001</v>
      </c>
    </row>
    <row r="10" spans="2:13" s="21" customFormat="1" x14ac:dyDescent="0.25">
      <c r="B10" s="21" t="s">
        <v>184</v>
      </c>
      <c r="C10" s="119"/>
      <c r="H10" s="120">
        <f t="shared" ref="H10:M10" si="2">(H9-C9)/C9</f>
        <v>0.88079470198675491</v>
      </c>
      <c r="I10" s="21">
        <f t="shared" si="2"/>
        <v>-0.18553522949280696</v>
      </c>
      <c r="J10" s="21">
        <f t="shared" si="2"/>
        <v>0.1430756159728124</v>
      </c>
      <c r="K10" s="21" t="e">
        <f t="shared" si="2"/>
        <v>#DIV/0!</v>
      </c>
      <c r="L10" s="21" t="e">
        <f t="shared" si="2"/>
        <v>#DIV/0!</v>
      </c>
      <c r="M10" s="120">
        <f t="shared" si="2"/>
        <v>-0.48970070422535206</v>
      </c>
    </row>
    <row r="13" spans="2:13" x14ac:dyDescent="0.25">
      <c r="I1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AA86-0962-284B-AB06-6FEC823C85AD}">
  <dimension ref="A1:M67"/>
  <sheetViews>
    <sheetView showGridLines="0" zoomScale="90" zoomScaleNormal="90" workbookViewId="0">
      <selection activeCell="D11" sqref="D11"/>
    </sheetView>
  </sheetViews>
  <sheetFormatPr baseColWidth="10" defaultRowHeight="26" x14ac:dyDescent="0.3"/>
  <cols>
    <col min="1" max="2" width="10.83203125" style="22"/>
    <col min="3" max="3" width="29.5" style="22" bestFit="1" customWidth="1"/>
    <col min="4" max="4" width="22.5" style="22" customWidth="1"/>
    <col min="5" max="5" width="22.83203125" style="22" customWidth="1"/>
    <col min="6" max="6" width="22.6640625" style="22" customWidth="1"/>
    <col min="7" max="7" width="17.83203125" style="22" customWidth="1"/>
    <col min="8" max="16384" width="10.83203125" style="22"/>
  </cols>
  <sheetData>
    <row r="1" spans="1:13" x14ac:dyDescent="0.3">
      <c r="I1"/>
      <c r="J1"/>
      <c r="K1"/>
      <c r="L1"/>
      <c r="M1"/>
    </row>
    <row r="2" spans="1:13" x14ac:dyDescent="0.3">
      <c r="A2" s="22" t="s">
        <v>196</v>
      </c>
      <c r="I2"/>
      <c r="J2"/>
      <c r="K2"/>
      <c r="L2"/>
      <c r="M2"/>
    </row>
    <row r="3" spans="1:13" x14ac:dyDescent="0.3">
      <c r="A3" s="133">
        <f>Modell!AF12</f>
        <v>241.31911000000025</v>
      </c>
      <c r="D3" s="22">
        <f>SUM(D6:D9)</f>
        <v>225</v>
      </c>
      <c r="I3"/>
      <c r="J3"/>
      <c r="K3"/>
      <c r="L3"/>
      <c r="M3"/>
    </row>
    <row r="4" spans="1:13" x14ac:dyDescent="0.3">
      <c r="I4"/>
      <c r="J4"/>
      <c r="K4"/>
      <c r="L4"/>
      <c r="M4"/>
    </row>
    <row r="5" spans="1:13" x14ac:dyDescent="0.3">
      <c r="C5" s="85" t="s">
        <v>37</v>
      </c>
      <c r="D5" s="85" t="s">
        <v>196</v>
      </c>
      <c r="E5" s="85" t="s">
        <v>27</v>
      </c>
      <c r="F5" s="85" t="s">
        <v>197</v>
      </c>
      <c r="G5" s="85" t="s">
        <v>198</v>
      </c>
      <c r="I5"/>
      <c r="J5"/>
      <c r="K5"/>
      <c r="L5"/>
      <c r="M5"/>
    </row>
    <row r="6" spans="1:13" x14ac:dyDescent="0.3">
      <c r="C6" s="83" t="s">
        <v>191</v>
      </c>
      <c r="D6" s="83">
        <v>160</v>
      </c>
      <c r="E6" s="83">
        <v>15</v>
      </c>
      <c r="F6" s="89">
        <f>D6*E6</f>
        <v>2400</v>
      </c>
      <c r="G6" s="84">
        <f>F6/Modell!$B$5</f>
        <v>12.484049935658767</v>
      </c>
      <c r="I6"/>
      <c r="J6"/>
      <c r="K6"/>
      <c r="L6"/>
      <c r="M6"/>
    </row>
    <row r="7" spans="1:13" x14ac:dyDescent="0.3">
      <c r="C7" s="83" t="s">
        <v>192</v>
      </c>
      <c r="D7" s="83">
        <v>110</v>
      </c>
      <c r="E7" s="83">
        <v>25</v>
      </c>
      <c r="F7" s="89">
        <f>D7*E7</f>
        <v>2750</v>
      </c>
      <c r="G7" s="84">
        <f>F7/Modell!$B$5</f>
        <v>14.304640551275671</v>
      </c>
      <c r="I7"/>
      <c r="J7"/>
      <c r="K7"/>
      <c r="L7"/>
      <c r="M7"/>
    </row>
    <row r="8" spans="1:13" x14ac:dyDescent="0.3">
      <c r="C8" s="83" t="s">
        <v>193</v>
      </c>
      <c r="D8" s="83">
        <v>-30</v>
      </c>
      <c r="E8" s="83">
        <v>5</v>
      </c>
      <c r="F8" s="89">
        <f t="shared" ref="F8:F9" si="0">D8*E8</f>
        <v>-150</v>
      </c>
      <c r="G8" s="84">
        <f>F8/Modell!$B$5</f>
        <v>-0.78025312097867294</v>
      </c>
      <c r="I8"/>
      <c r="J8"/>
      <c r="K8"/>
      <c r="L8"/>
      <c r="M8"/>
    </row>
    <row r="9" spans="1:13" x14ac:dyDescent="0.3">
      <c r="C9" s="83" t="s">
        <v>194</v>
      </c>
      <c r="D9" s="83">
        <v>-15</v>
      </c>
      <c r="E9" s="83">
        <v>5</v>
      </c>
      <c r="F9" s="89">
        <f t="shared" si="0"/>
        <v>-75</v>
      </c>
      <c r="G9" s="84">
        <f>F9/Modell!$B$5</f>
        <v>-0.39012656048933647</v>
      </c>
      <c r="I9"/>
      <c r="J9"/>
      <c r="K9"/>
      <c r="L9"/>
      <c r="M9"/>
    </row>
    <row r="10" spans="1:13" x14ac:dyDescent="0.3">
      <c r="C10" s="85" t="s">
        <v>195</v>
      </c>
      <c r="D10" s="85">
        <f>SUM(D6:D9)</f>
        <v>225</v>
      </c>
      <c r="E10" s="85"/>
      <c r="F10" s="86"/>
      <c r="G10" s="87">
        <f>SUM(G6:G9)</f>
        <v>25.618310805466429</v>
      </c>
      <c r="I10"/>
      <c r="J10"/>
      <c r="K10"/>
      <c r="L10"/>
      <c r="M10"/>
    </row>
    <row r="11" spans="1:13" x14ac:dyDescent="0.3">
      <c r="C11" s="88"/>
      <c r="D11" s="88"/>
      <c r="E11" s="88"/>
      <c r="F11" s="88"/>
      <c r="G11" s="88"/>
      <c r="I11"/>
      <c r="J11"/>
      <c r="K11"/>
      <c r="L11"/>
      <c r="M11"/>
    </row>
    <row r="12" spans="1:13" x14ac:dyDescent="0.3">
      <c r="C12" s="83" t="s">
        <v>72</v>
      </c>
      <c r="D12" s="83"/>
      <c r="E12" s="83"/>
      <c r="F12" s="84">
        <f>Modell!B7</f>
        <v>545.81799999999998</v>
      </c>
      <c r="G12" s="84">
        <f>F12/Modell!B5</f>
        <v>2.8391746532422486</v>
      </c>
      <c r="I12"/>
      <c r="J12"/>
      <c r="K12"/>
      <c r="L12"/>
      <c r="M12"/>
    </row>
    <row r="13" spans="1:13" x14ac:dyDescent="0.3">
      <c r="C13" s="83" t="s">
        <v>199</v>
      </c>
      <c r="D13" s="83"/>
      <c r="E13" s="83"/>
      <c r="F13" s="84">
        <f>Modell!B8</f>
        <v>0</v>
      </c>
      <c r="G13" s="84">
        <f>-F13/Modell!B5</f>
        <v>0</v>
      </c>
      <c r="I13"/>
      <c r="J13"/>
      <c r="K13"/>
      <c r="L13"/>
      <c r="M13"/>
    </row>
    <row r="14" spans="1:13" x14ac:dyDescent="0.3">
      <c r="C14" s="88"/>
      <c r="D14" s="88"/>
      <c r="E14" s="88"/>
      <c r="F14" s="88"/>
      <c r="G14" s="88"/>
      <c r="I14"/>
      <c r="J14"/>
      <c r="K14"/>
      <c r="L14"/>
      <c r="M14"/>
    </row>
    <row r="15" spans="1:13" x14ac:dyDescent="0.3">
      <c r="C15" s="85" t="s">
        <v>200</v>
      </c>
      <c r="D15" s="85"/>
      <c r="E15" s="85"/>
      <c r="F15" s="86"/>
      <c r="G15" s="87">
        <f>SUM(G10:G13)</f>
        <v>28.457485458708678</v>
      </c>
      <c r="I15"/>
      <c r="J15"/>
      <c r="K15"/>
      <c r="L15"/>
      <c r="M15"/>
    </row>
    <row r="58" spans="2:3" x14ac:dyDescent="0.3">
      <c r="C58" s="116"/>
    </row>
    <row r="59" spans="2:3" x14ac:dyDescent="0.3">
      <c r="C59" s="116"/>
    </row>
    <row r="60" spans="2:3" x14ac:dyDescent="0.3">
      <c r="C60" s="116"/>
    </row>
    <row r="61" spans="2:3" x14ac:dyDescent="0.3">
      <c r="C61" s="116"/>
    </row>
    <row r="62" spans="2:3" x14ac:dyDescent="0.3">
      <c r="B62" s="117"/>
      <c r="C62" s="118"/>
    </row>
    <row r="64" spans="2:3" x14ac:dyDescent="0.3">
      <c r="C64" s="116"/>
    </row>
    <row r="65" spans="2:3" x14ac:dyDescent="0.3">
      <c r="C65" s="116"/>
    </row>
    <row r="67" spans="2:3" x14ac:dyDescent="0.3">
      <c r="B67" s="117"/>
      <c r="C67" s="1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E19" sqref="E19"/>
    </sheetView>
  </sheetViews>
  <sheetFormatPr baseColWidth="10" defaultRowHeight="16" x14ac:dyDescent="0.2"/>
  <cols>
    <col min="3" max="3" width="39.6640625" bestFit="1" customWidth="1"/>
    <col min="4" max="5" width="20.6640625" bestFit="1" customWidth="1"/>
    <col min="6" max="6" width="21.83203125" customWidth="1"/>
    <col min="7" max="7" width="18.6640625" bestFit="1" customWidth="1"/>
  </cols>
  <sheetData>
    <row r="4" spans="3:6" ht="62" x14ac:dyDescent="0.7">
      <c r="C4" s="7"/>
      <c r="D4" s="7">
        <v>2026</v>
      </c>
      <c r="E4" s="7">
        <v>2027</v>
      </c>
      <c r="F4" s="7">
        <v>2028</v>
      </c>
    </row>
    <row r="5" spans="3:6" ht="62" x14ac:dyDescent="0.7">
      <c r="C5" s="7" t="s">
        <v>246</v>
      </c>
      <c r="D5" s="74">
        <f>Modell!$B$9/Modell!AF27</f>
        <v>9.5318241374234915</v>
      </c>
      <c r="E5" s="74">
        <f>Modell!$B$9/Modell!AG27</f>
        <v>8.1344741358468386</v>
      </c>
      <c r="F5" s="74">
        <f>Modell!$B$9/Modell!AH27</f>
        <v>6.8054946480622061</v>
      </c>
    </row>
    <row r="6" spans="3:6" ht="62" x14ac:dyDescent="0.7">
      <c r="C6" s="7" t="s">
        <v>27</v>
      </c>
      <c r="D6" s="8">
        <f>Modell!$B$9/Modell!AF12</f>
        <v>12.47609508007881</v>
      </c>
      <c r="E6" s="8">
        <f>Modell!$B$9/Modell!AG12</f>
        <v>10.558662180174419</v>
      </c>
      <c r="F6" s="74">
        <f>Modell!$B$9/Modell!AH12</f>
        <v>8.8001015366529529</v>
      </c>
    </row>
    <row r="7" spans="3:6" ht="62" x14ac:dyDescent="0.7">
      <c r="C7" s="7" t="s">
        <v>28</v>
      </c>
      <c r="D7" s="74">
        <f>Modell!$B$4/Modell!AF20</f>
        <v>18.384814464656081</v>
      </c>
      <c r="E7" s="74">
        <f>Modell!$B$4/Modell!AG20</f>
        <v>15.443918418496043</v>
      </c>
      <c r="F7" s="74">
        <f>Modell!$B$4/Modell!AH20</f>
        <v>12.801703827897482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S24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24" sqref="I24"/>
    </sheetView>
  </sheetViews>
  <sheetFormatPr baseColWidth="10" defaultRowHeight="19" x14ac:dyDescent="0.25"/>
  <cols>
    <col min="1" max="1" width="10.83203125" style="2"/>
    <col min="2" max="2" width="10.83203125" style="3"/>
    <col min="3" max="3" width="37.6640625" style="2" customWidth="1"/>
    <col min="4" max="16384" width="10.83203125" style="2"/>
  </cols>
  <sheetData>
    <row r="3" spans="1:19" x14ac:dyDescent="0.25">
      <c r="A3" s="1" t="s">
        <v>35</v>
      </c>
      <c r="D3" s="4" t="s">
        <v>122</v>
      </c>
      <c r="E3" s="4" t="s">
        <v>123</v>
      </c>
      <c r="F3" s="4" t="s">
        <v>120</v>
      </c>
      <c r="G3" s="4" t="s">
        <v>121</v>
      </c>
      <c r="H3" s="4" t="s">
        <v>15</v>
      </c>
      <c r="I3" s="4" t="s">
        <v>16</v>
      </c>
      <c r="J3" s="79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</row>
    <row r="4" spans="1:19" x14ac:dyDescent="0.25">
      <c r="C4" s="1" t="s">
        <v>44</v>
      </c>
      <c r="D4" s="18">
        <v>279.976</v>
      </c>
      <c r="E4" s="18">
        <v>334.38400000000001</v>
      </c>
      <c r="F4" s="18">
        <v>629.63900000000001</v>
      </c>
      <c r="G4" s="18">
        <v>809.76900000000001</v>
      </c>
      <c r="H4" s="18">
        <v>953.26900000000001</v>
      </c>
      <c r="I4" s="18">
        <v>1280.4100000000001</v>
      </c>
      <c r="J4" s="55">
        <f>I4*1.18</f>
        <v>1510.8838000000001</v>
      </c>
      <c r="K4" s="18">
        <f t="shared" ref="K4:N4" si="0">J4*1.18</f>
        <v>1782.8428839999999</v>
      </c>
      <c r="L4" s="18">
        <f t="shared" si="0"/>
        <v>2103.75460312</v>
      </c>
      <c r="M4" s="18">
        <f t="shared" si="0"/>
        <v>2482.4304316815997</v>
      </c>
      <c r="N4" s="18">
        <f t="shared" si="0"/>
        <v>2929.2679093842876</v>
      </c>
      <c r="O4" s="18">
        <f>N4*1.15</f>
        <v>3368.6580957919305</v>
      </c>
      <c r="P4" s="18">
        <f>O4*1.12</f>
        <v>3772.8970672869623</v>
      </c>
      <c r="Q4" s="18">
        <f t="shared" ref="Q4:S4" si="1">P4*1.1</f>
        <v>4150.1867740156586</v>
      </c>
      <c r="R4" s="18">
        <f t="shared" si="1"/>
        <v>4565.205451417225</v>
      </c>
      <c r="S4" s="18">
        <f t="shared" si="1"/>
        <v>5021.7259965589483</v>
      </c>
    </row>
    <row r="5" spans="1:19" x14ac:dyDescent="0.25">
      <c r="C5" s="2" t="s">
        <v>45</v>
      </c>
      <c r="D5" s="17">
        <v>34.067999999999998</v>
      </c>
      <c r="E5" s="17">
        <v>29.344999999999999</v>
      </c>
      <c r="F5" s="17">
        <v>10.81</v>
      </c>
      <c r="G5" s="17">
        <v>7.2089999999999996</v>
      </c>
      <c r="H5" s="17">
        <v>7.3520000000000003</v>
      </c>
      <c r="I5" s="17">
        <v>23.452000000000002</v>
      </c>
      <c r="J5" s="20">
        <v>0</v>
      </c>
      <c r="K5" s="17">
        <v>0</v>
      </c>
      <c r="L5" s="17">
        <v>0</v>
      </c>
      <c r="M5" s="17"/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/>
    </row>
    <row r="6" spans="1:19" x14ac:dyDescent="0.25">
      <c r="C6" s="2" t="s">
        <v>46</v>
      </c>
      <c r="D6" s="17">
        <v>-76.896000000000001</v>
      </c>
      <c r="E6" s="17">
        <v>-101.22799999999999</v>
      </c>
      <c r="F6" s="17">
        <v>-195.172</v>
      </c>
      <c r="G6" s="17">
        <v>-247.98599999999999</v>
      </c>
      <c r="H6" s="17">
        <v>-319.815</v>
      </c>
      <c r="I6" s="17">
        <v>-459.06</v>
      </c>
      <c r="J6" s="20">
        <f>J4*-0.33</f>
        <v>-498.59165400000006</v>
      </c>
      <c r="K6" s="17">
        <f>K4*-0.32</f>
        <v>-570.50972288000003</v>
      </c>
      <c r="L6" s="17">
        <f>L4*-0.31</f>
        <v>-652.16392696719993</v>
      </c>
      <c r="M6" s="17">
        <f>M4*-0.3</f>
        <v>-744.72912950447983</v>
      </c>
      <c r="N6" s="17">
        <f t="shared" ref="N6:S6" si="2">N4*-0.3</f>
        <v>-878.78037281528623</v>
      </c>
      <c r="O6" s="17">
        <f t="shared" si="2"/>
        <v>-1010.5974287375791</v>
      </c>
      <c r="P6" s="17">
        <f t="shared" si="2"/>
        <v>-1131.8691201860886</v>
      </c>
      <c r="Q6" s="17">
        <f t="shared" si="2"/>
        <v>-1245.0560322046974</v>
      </c>
      <c r="R6" s="17">
        <f t="shared" si="2"/>
        <v>-1369.5616354251674</v>
      </c>
      <c r="S6" s="17">
        <f t="shared" si="2"/>
        <v>-1506.5177989676845</v>
      </c>
    </row>
    <row r="7" spans="1:19" x14ac:dyDescent="0.25">
      <c r="C7" s="2" t="s">
        <v>47</v>
      </c>
      <c r="D7" s="17">
        <f t="shared" ref="D7:S7" si="3">SUM(D4:D6)</f>
        <v>237.14799999999997</v>
      </c>
      <c r="E7" s="17">
        <f t="shared" si="3"/>
        <v>262.50100000000003</v>
      </c>
      <c r="F7" s="17">
        <f t="shared" si="3"/>
        <v>445.27699999999993</v>
      </c>
      <c r="G7" s="17">
        <f t="shared" si="3"/>
        <v>568.99199999999996</v>
      </c>
      <c r="H7" s="17">
        <f t="shared" si="3"/>
        <v>640.80600000000004</v>
      </c>
      <c r="I7" s="17">
        <f t="shared" si="3"/>
        <v>844.80200000000013</v>
      </c>
      <c r="J7" s="20">
        <f t="shared" si="3"/>
        <v>1012.292146</v>
      </c>
      <c r="K7" s="17">
        <f t="shared" si="3"/>
        <v>1212.3331611199999</v>
      </c>
      <c r="L7" s="17">
        <f t="shared" si="3"/>
        <v>1451.5906761527999</v>
      </c>
      <c r="M7" s="17">
        <f t="shared" si="3"/>
        <v>1737.7013021771199</v>
      </c>
      <c r="N7" s="17">
        <f t="shared" si="3"/>
        <v>2050.4875365690013</v>
      </c>
      <c r="O7" s="17">
        <f t="shared" si="3"/>
        <v>2358.0606670543511</v>
      </c>
      <c r="P7" s="17">
        <f t="shared" si="3"/>
        <v>2641.0279471008735</v>
      </c>
      <c r="Q7" s="17">
        <f t="shared" si="3"/>
        <v>2905.1307418109609</v>
      </c>
      <c r="R7" s="17">
        <f t="shared" si="3"/>
        <v>3195.6438159920576</v>
      </c>
      <c r="S7" s="17">
        <f t="shared" si="3"/>
        <v>3515.2081975912638</v>
      </c>
    </row>
    <row r="8" spans="1:19" x14ac:dyDescent="0.25">
      <c r="C8" s="2" t="s">
        <v>48</v>
      </c>
      <c r="D8" s="17">
        <v>-117.809</v>
      </c>
      <c r="E8" s="17">
        <v>-127.423</v>
      </c>
      <c r="F8" s="17">
        <v>-214.00700000000001</v>
      </c>
      <c r="G8" s="17">
        <v>-278.11399999999998</v>
      </c>
      <c r="H8" s="17">
        <v>-371.14100000000002</v>
      </c>
      <c r="I8" s="17">
        <v>-427.673</v>
      </c>
      <c r="J8" s="20">
        <f>I8*1.17</f>
        <v>-500.37741</v>
      </c>
      <c r="K8" s="17">
        <f>J8*1.18</f>
        <v>-590.44534379999993</v>
      </c>
      <c r="L8" s="17">
        <f>K8*1.18</f>
        <v>-696.72550568399993</v>
      </c>
      <c r="M8" s="17">
        <f t="shared" ref="M8:N10" si="4">L8*1.18</f>
        <v>-822.13609670711992</v>
      </c>
      <c r="N8" s="17">
        <f>M8*1.17</f>
        <v>-961.89923314733028</v>
      </c>
      <c r="O8" s="17">
        <f>N8*1.15</f>
        <v>-1106.1841181194297</v>
      </c>
      <c r="P8" s="17">
        <f>O8*1.12</f>
        <v>-1238.9262122937614</v>
      </c>
      <c r="Q8" s="17">
        <f>P8*1.1</f>
        <v>-1362.8188335231378</v>
      </c>
      <c r="R8" s="17">
        <f t="shared" ref="R8:S8" si="5">Q8*1.1</f>
        <v>-1499.1007168754516</v>
      </c>
      <c r="S8" s="17">
        <f t="shared" si="5"/>
        <v>-1649.0107885629968</v>
      </c>
    </row>
    <row r="9" spans="1:19" x14ac:dyDescent="0.25">
      <c r="C9" s="2" t="s">
        <v>49</v>
      </c>
      <c r="D9" s="17">
        <v>-7.3120000000000003</v>
      </c>
      <c r="E9" s="17">
        <v>-10.481</v>
      </c>
      <c r="F9" s="17">
        <v>-30.707000000000001</v>
      </c>
      <c r="G9" s="17">
        <v>-50.046999999999997</v>
      </c>
      <c r="H9" s="17">
        <v>-59.384999999999998</v>
      </c>
      <c r="I9" s="17">
        <v>-64.817999999999998</v>
      </c>
      <c r="J9" s="20">
        <f t="shared" ref="J9:J10" si="6">I9*1.16</f>
        <v>-75.188879999999997</v>
      </c>
      <c r="K9" s="17">
        <f t="shared" ref="K9:L10" si="7">J9*1.18</f>
        <v>-88.722878399999999</v>
      </c>
      <c r="L9" s="17">
        <f t="shared" si="7"/>
        <v>-104.69299651199999</v>
      </c>
      <c r="M9" s="17">
        <f t="shared" si="4"/>
        <v>-123.53773588415999</v>
      </c>
      <c r="N9" s="17">
        <f t="shared" si="4"/>
        <v>-145.77452834330879</v>
      </c>
      <c r="O9" s="17">
        <f t="shared" ref="O9:O10" si="8">N9*1.15</f>
        <v>-167.64070759480509</v>
      </c>
      <c r="P9" s="17">
        <f t="shared" ref="P9:P10" si="9">O9*1.12</f>
        <v>-187.75759250618171</v>
      </c>
      <c r="Q9" s="17">
        <f t="shared" ref="Q9:S10" si="10">P9*1.1</f>
        <v>-206.5333517567999</v>
      </c>
      <c r="R9" s="17">
        <f t="shared" si="10"/>
        <v>-227.18668693247992</v>
      </c>
      <c r="S9" s="17">
        <f t="shared" si="10"/>
        <v>-249.90535562572794</v>
      </c>
    </row>
    <row r="10" spans="1:19" x14ac:dyDescent="0.25">
      <c r="C10" s="2" t="s">
        <v>50</v>
      </c>
      <c r="D10" s="17">
        <v>-41.728999999999999</v>
      </c>
      <c r="E10" s="17">
        <v>-50.564</v>
      </c>
      <c r="F10" s="17">
        <v>-85.62</v>
      </c>
      <c r="G10" s="17">
        <v>-280.08300000000003</v>
      </c>
      <c r="H10" s="17">
        <v>-140.47</v>
      </c>
      <c r="I10" s="17">
        <v>-158.63200000000001</v>
      </c>
      <c r="J10" s="20">
        <f t="shared" si="6"/>
        <v>-184.01311999999999</v>
      </c>
      <c r="K10" s="17">
        <f t="shared" si="7"/>
        <v>-217.13548159999996</v>
      </c>
      <c r="L10" s="17">
        <f t="shared" si="7"/>
        <v>-256.21986828799993</v>
      </c>
      <c r="M10" s="17">
        <f t="shared" si="4"/>
        <v>-302.33944457983989</v>
      </c>
      <c r="N10" s="17">
        <f t="shared" si="4"/>
        <v>-356.76054460421108</v>
      </c>
      <c r="O10" s="17">
        <f t="shared" si="8"/>
        <v>-410.27462629484273</v>
      </c>
      <c r="P10" s="17">
        <f t="shared" si="9"/>
        <v>-459.50758145022388</v>
      </c>
      <c r="Q10" s="17">
        <f t="shared" si="10"/>
        <v>-505.45833959524629</v>
      </c>
      <c r="R10" s="17">
        <f t="shared" si="10"/>
        <v>-556.004173554771</v>
      </c>
      <c r="S10" s="17">
        <f t="shared" si="10"/>
        <v>-611.60459091024813</v>
      </c>
    </row>
    <row r="11" spans="1:19" x14ac:dyDescent="0.25">
      <c r="C11" s="2" t="s">
        <v>51</v>
      </c>
      <c r="D11" s="17">
        <v>0</v>
      </c>
      <c r="E11" s="17">
        <v>0</v>
      </c>
      <c r="F11" s="17">
        <v>0</v>
      </c>
      <c r="G11" s="17">
        <v>0</v>
      </c>
      <c r="H11" s="17">
        <v>0.13300000000000001</v>
      </c>
      <c r="I11" s="17">
        <v>-8.2210000000000001</v>
      </c>
      <c r="J11" s="20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</row>
    <row r="12" spans="1:19" x14ac:dyDescent="0.25">
      <c r="C12" s="1" t="s">
        <v>52</v>
      </c>
      <c r="D12" s="18">
        <f t="shared" ref="D12:S12" si="11">SUM(D7:D11)</f>
        <v>70.297999999999973</v>
      </c>
      <c r="E12" s="18">
        <f t="shared" si="11"/>
        <v>74.033000000000044</v>
      </c>
      <c r="F12" s="18">
        <f t="shared" si="11"/>
        <v>114.94299999999993</v>
      </c>
      <c r="G12" s="18">
        <f t="shared" si="11"/>
        <v>-39.252000000000038</v>
      </c>
      <c r="H12" s="18">
        <f t="shared" si="11"/>
        <v>69.943000000000026</v>
      </c>
      <c r="I12" s="18">
        <f t="shared" si="11"/>
        <v>185.45800000000014</v>
      </c>
      <c r="J12" s="55">
        <f t="shared" si="11"/>
        <v>252.71273600000004</v>
      </c>
      <c r="K12" s="18">
        <f t="shared" si="11"/>
        <v>316.02945732000001</v>
      </c>
      <c r="L12" s="18">
        <f t="shared" si="11"/>
        <v>393.95230566880002</v>
      </c>
      <c r="M12" s="18">
        <f t="shared" si="11"/>
        <v>489.68802500600009</v>
      </c>
      <c r="N12" s="18">
        <f t="shared" si="11"/>
        <v>586.05323047415118</v>
      </c>
      <c r="O12" s="18">
        <f t="shared" si="11"/>
        <v>673.96121504527366</v>
      </c>
      <c r="P12" s="18">
        <f t="shared" si="11"/>
        <v>754.83656085070652</v>
      </c>
      <c r="Q12" s="18">
        <f t="shared" si="11"/>
        <v>830.3202169357769</v>
      </c>
      <c r="R12" s="18">
        <f t="shared" si="11"/>
        <v>913.35223862935516</v>
      </c>
      <c r="S12" s="18">
        <f t="shared" si="11"/>
        <v>1004.6874624922909</v>
      </c>
    </row>
    <row r="13" spans="1:19" x14ac:dyDescent="0.25">
      <c r="C13" s="2" t="s">
        <v>53</v>
      </c>
      <c r="D13" s="17">
        <v>13.795999999999999</v>
      </c>
      <c r="E13" s="17">
        <v>9.7840000000000007</v>
      </c>
      <c r="F13" s="17">
        <v>20.99</v>
      </c>
      <c r="G13" s="17">
        <v>23.024999999999999</v>
      </c>
      <c r="H13" s="17">
        <v>41.228000000000002</v>
      </c>
      <c r="I13" s="17">
        <v>49.905999999999999</v>
      </c>
      <c r="J13" s="20">
        <f>I13*1.1</f>
        <v>54.896600000000007</v>
      </c>
      <c r="K13" s="17">
        <f t="shared" ref="K13:S13" si="12">J13*1.1</f>
        <v>60.386260000000014</v>
      </c>
      <c r="L13" s="17">
        <f t="shared" si="12"/>
        <v>66.424886000000015</v>
      </c>
      <c r="M13" s="17">
        <f t="shared" si="12"/>
        <v>73.067374600000022</v>
      </c>
      <c r="N13" s="17">
        <f t="shared" si="12"/>
        <v>80.37411206000003</v>
      </c>
      <c r="O13" s="17">
        <f t="shared" si="12"/>
        <v>88.411523266000046</v>
      </c>
      <c r="P13" s="17">
        <f t="shared" si="12"/>
        <v>97.252675592600056</v>
      </c>
      <c r="Q13" s="17">
        <f t="shared" si="12"/>
        <v>106.97794315186007</v>
      </c>
      <c r="R13" s="17">
        <f t="shared" si="12"/>
        <v>117.67573746704609</v>
      </c>
      <c r="S13" s="17">
        <f t="shared" si="12"/>
        <v>129.44331121375072</v>
      </c>
    </row>
    <row r="14" spans="1:19" x14ac:dyDescent="0.25">
      <c r="C14" s="2" t="s">
        <v>54</v>
      </c>
      <c r="D14" s="17">
        <v>-25.664000000000001</v>
      </c>
      <c r="E14" s="17">
        <v>-10.781000000000001</v>
      </c>
      <c r="F14" s="17">
        <v>-26.009</v>
      </c>
      <c r="G14" s="17">
        <v>-35.866999999999997</v>
      </c>
      <c r="H14" s="17">
        <v>-48.731999999999999</v>
      </c>
      <c r="I14" s="17">
        <v>-48.112000000000002</v>
      </c>
      <c r="J14" s="20">
        <f>I14*1.05</f>
        <v>-50.517600000000002</v>
      </c>
      <c r="K14" s="17">
        <f t="shared" ref="K14:S14" si="13">J14*1.05</f>
        <v>-53.043480000000002</v>
      </c>
      <c r="L14" s="17">
        <f t="shared" si="13"/>
        <v>-55.695654000000005</v>
      </c>
      <c r="M14" s="17">
        <f t="shared" si="13"/>
        <v>-58.480436700000006</v>
      </c>
      <c r="N14" s="17">
        <f t="shared" si="13"/>
        <v>-61.40445853500001</v>
      </c>
      <c r="O14" s="17">
        <f t="shared" si="13"/>
        <v>-64.474681461750009</v>
      </c>
      <c r="P14" s="17">
        <f t="shared" si="13"/>
        <v>-67.698415534837508</v>
      </c>
      <c r="Q14" s="17">
        <f t="shared" si="13"/>
        <v>-71.083336311579387</v>
      </c>
      <c r="R14" s="17">
        <f t="shared" si="13"/>
        <v>-74.637503127158354</v>
      </c>
      <c r="S14" s="17">
        <f t="shared" si="13"/>
        <v>-78.369378283516269</v>
      </c>
    </row>
    <row r="15" spans="1:19" x14ac:dyDescent="0.25">
      <c r="C15" s="2" t="s">
        <v>55</v>
      </c>
      <c r="D15" s="17">
        <v>0</v>
      </c>
      <c r="E15" s="17">
        <v>0</v>
      </c>
      <c r="F15" s="17">
        <v>-4.5919999999999996</v>
      </c>
      <c r="G15" s="17">
        <v>-3.3919999999999999</v>
      </c>
      <c r="H15" s="17">
        <v>-1.782</v>
      </c>
      <c r="I15" s="17">
        <v>0</v>
      </c>
      <c r="J15" s="20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</row>
    <row r="16" spans="1:19" x14ac:dyDescent="0.25">
      <c r="C16" s="2" t="s">
        <v>56</v>
      </c>
      <c r="D16" s="17">
        <f t="shared" ref="D16:S16" si="14">SUM(D12:D15)</f>
        <v>58.429999999999964</v>
      </c>
      <c r="E16" s="17">
        <f t="shared" si="14"/>
        <v>73.036000000000044</v>
      </c>
      <c r="F16" s="17">
        <f t="shared" si="14"/>
        <v>105.33199999999994</v>
      </c>
      <c r="G16" s="17">
        <f t="shared" si="14"/>
        <v>-55.48600000000004</v>
      </c>
      <c r="H16" s="17">
        <f t="shared" si="14"/>
        <v>60.657000000000025</v>
      </c>
      <c r="I16" s="17">
        <f t="shared" si="14"/>
        <v>187.25200000000015</v>
      </c>
      <c r="J16" s="20">
        <f t="shared" si="14"/>
        <v>257.09173600000003</v>
      </c>
      <c r="K16" s="17">
        <f t="shared" si="14"/>
        <v>323.37223732000001</v>
      </c>
      <c r="L16" s="17">
        <f t="shared" si="14"/>
        <v>404.68153766880005</v>
      </c>
      <c r="M16" s="17">
        <f t="shared" si="14"/>
        <v>504.2749629060001</v>
      </c>
      <c r="N16" s="17">
        <f t="shared" si="14"/>
        <v>605.02288399915119</v>
      </c>
      <c r="O16" s="17">
        <f t="shared" si="14"/>
        <v>697.89805684952364</v>
      </c>
      <c r="P16" s="17">
        <f t="shared" si="14"/>
        <v>784.3908209084691</v>
      </c>
      <c r="Q16" s="17">
        <f t="shared" si="14"/>
        <v>866.21482377605753</v>
      </c>
      <c r="R16" s="17">
        <f t="shared" si="14"/>
        <v>956.39047296924298</v>
      </c>
      <c r="S16" s="17">
        <f t="shared" si="14"/>
        <v>1055.7613954225255</v>
      </c>
    </row>
    <row r="17" spans="3:19" x14ac:dyDescent="0.25">
      <c r="C17" s="2" t="s">
        <v>57</v>
      </c>
      <c r="D17" s="17">
        <v>-10.734</v>
      </c>
      <c r="E17" s="17">
        <v>-16.061</v>
      </c>
      <c r="F17" s="17">
        <v>-26.600999999999999</v>
      </c>
      <c r="G17" s="17">
        <v>-17.039000000000001</v>
      </c>
      <c r="H17" s="17">
        <v>-21.475000000000001</v>
      </c>
      <c r="I17" s="17">
        <v>-22.170999999999999</v>
      </c>
      <c r="J17" s="20">
        <f>J16*-0.22</f>
        <v>-56.560181920000005</v>
      </c>
      <c r="K17" s="17">
        <f t="shared" ref="K17:S17" si="15">K16*-0.22</f>
        <v>-71.141892210400002</v>
      </c>
      <c r="L17" s="17">
        <f t="shared" si="15"/>
        <v>-89.029938287136005</v>
      </c>
      <c r="M17" s="17">
        <f t="shared" si="15"/>
        <v>-110.94049183932002</v>
      </c>
      <c r="N17" s="17">
        <f t="shared" si="15"/>
        <v>-133.10503447981327</v>
      </c>
      <c r="O17" s="17">
        <f t="shared" si="15"/>
        <v>-153.5375725068952</v>
      </c>
      <c r="P17" s="17">
        <f t="shared" si="15"/>
        <v>-172.5659805998632</v>
      </c>
      <c r="Q17" s="17">
        <f t="shared" si="15"/>
        <v>-190.56726123073267</v>
      </c>
      <c r="R17" s="17">
        <f t="shared" si="15"/>
        <v>-210.40590405323346</v>
      </c>
      <c r="S17" s="17">
        <f t="shared" si="15"/>
        <v>-232.26750699295562</v>
      </c>
    </row>
    <row r="18" spans="3:19" x14ac:dyDescent="0.25">
      <c r="C18" s="1" t="s">
        <v>58</v>
      </c>
      <c r="D18" s="18">
        <f t="shared" ref="D18:S18" si="16">SUM(D16:D17)</f>
        <v>47.695999999999962</v>
      </c>
      <c r="E18" s="18">
        <f t="shared" si="16"/>
        <v>56.975000000000044</v>
      </c>
      <c r="F18" s="18">
        <f t="shared" si="16"/>
        <v>78.730999999999938</v>
      </c>
      <c r="G18" s="18">
        <f t="shared" si="16"/>
        <v>-72.525000000000034</v>
      </c>
      <c r="H18" s="18">
        <f t="shared" si="16"/>
        <v>39.182000000000023</v>
      </c>
      <c r="I18" s="18">
        <f t="shared" si="16"/>
        <v>165.08100000000016</v>
      </c>
      <c r="J18" s="55">
        <f t="shared" si="16"/>
        <v>200.53155408000003</v>
      </c>
      <c r="K18" s="18">
        <f t="shared" si="16"/>
        <v>252.23034510960002</v>
      </c>
      <c r="L18" s="18">
        <f t="shared" si="16"/>
        <v>315.65159938166403</v>
      </c>
      <c r="M18" s="18">
        <f t="shared" si="16"/>
        <v>393.33447106668007</v>
      </c>
      <c r="N18" s="18">
        <f t="shared" si="16"/>
        <v>471.91784951933789</v>
      </c>
      <c r="O18" s="18">
        <f t="shared" si="16"/>
        <v>544.36048434262841</v>
      </c>
      <c r="P18" s="18">
        <f t="shared" si="16"/>
        <v>611.82484030860587</v>
      </c>
      <c r="Q18" s="18">
        <f t="shared" si="16"/>
        <v>675.64756254532483</v>
      </c>
      <c r="R18" s="18">
        <f t="shared" si="16"/>
        <v>745.98456891600949</v>
      </c>
      <c r="S18" s="18">
        <f t="shared" si="16"/>
        <v>823.49388842956989</v>
      </c>
    </row>
    <row r="19" spans="3:19" x14ac:dyDescent="0.25">
      <c r="C19" s="2" t="s">
        <v>59</v>
      </c>
      <c r="D19" s="25">
        <v>48.765430000000002</v>
      </c>
      <c r="E19" s="25">
        <v>48.765430000000002</v>
      </c>
      <c r="F19" s="25">
        <v>48.765430000000002</v>
      </c>
      <c r="G19" s="26">
        <v>49.32</v>
      </c>
      <c r="H19" s="25">
        <v>169.56</v>
      </c>
      <c r="I19" s="25">
        <v>168.5</v>
      </c>
      <c r="J19" s="9">
        <v>192.245306</v>
      </c>
      <c r="K19" s="25">
        <v>192.245306</v>
      </c>
      <c r="L19" s="25">
        <v>192.245306</v>
      </c>
      <c r="M19" s="25">
        <v>192.245306</v>
      </c>
      <c r="N19" s="25">
        <v>192.245306</v>
      </c>
      <c r="O19" s="25">
        <v>192.245306</v>
      </c>
      <c r="P19" s="25">
        <v>192.245306</v>
      </c>
      <c r="Q19" s="25">
        <v>192.245306</v>
      </c>
      <c r="R19" s="25">
        <v>192.245306</v>
      </c>
      <c r="S19" s="25">
        <v>192.245306</v>
      </c>
    </row>
    <row r="20" spans="3:19" x14ac:dyDescent="0.25">
      <c r="C20" s="2" t="s">
        <v>60</v>
      </c>
      <c r="D20" s="26">
        <f t="shared" ref="D20:I20" si="17">D18/D19</f>
        <v>0.97806991551186895</v>
      </c>
      <c r="E20" s="26">
        <f t="shared" si="17"/>
        <v>1.1683481515491618</v>
      </c>
      <c r="F20" s="26">
        <f t="shared" si="17"/>
        <v>1.6144838669524688</v>
      </c>
      <c r="G20" s="26">
        <f t="shared" si="17"/>
        <v>-1.4704987834549885</v>
      </c>
      <c r="H20" s="26">
        <f t="shared" si="17"/>
        <v>0.23108044350082579</v>
      </c>
      <c r="I20" s="26">
        <f t="shared" si="17"/>
        <v>0.97970919881305729</v>
      </c>
      <c r="J20" s="80">
        <f>J18/J19</f>
        <v>1.0431024728374905</v>
      </c>
      <c r="K20" s="26">
        <f t="shared" ref="K20:S20" si="18">K18/K19</f>
        <v>1.3120234265152879</v>
      </c>
      <c r="L20" s="26">
        <f t="shared" si="18"/>
        <v>1.641920970396354</v>
      </c>
      <c r="M20" s="26">
        <f t="shared" si="18"/>
        <v>2.0460029909218176</v>
      </c>
      <c r="N20" s="26">
        <f t="shared" si="18"/>
        <v>2.4547691662200477</v>
      </c>
      <c r="O20" s="26">
        <f t="shared" si="18"/>
        <v>2.8315931123053191</v>
      </c>
      <c r="P20" s="26">
        <f t="shared" si="18"/>
        <v>3.1825216076204526</v>
      </c>
      <c r="Q20" s="26">
        <f t="shared" si="18"/>
        <v>3.5145074623841523</v>
      </c>
      <c r="R20" s="26">
        <f t="shared" si="18"/>
        <v>3.8803785873243091</v>
      </c>
      <c r="S20" s="26">
        <f t="shared" si="18"/>
        <v>4.2835578436935666</v>
      </c>
    </row>
    <row r="21" spans="3:19" x14ac:dyDescent="0.25">
      <c r="J21" s="3"/>
    </row>
    <row r="22" spans="3:19" x14ac:dyDescent="0.25">
      <c r="C22" s="1" t="s">
        <v>33</v>
      </c>
      <c r="D22" s="16"/>
      <c r="E22" s="16">
        <f>(E4-D4)/D4</f>
        <v>0.19433094265222739</v>
      </c>
      <c r="F22" s="16">
        <f t="shared" ref="F22:S22" si="19">(F4-E4)/E4</f>
        <v>0.88298184123642276</v>
      </c>
      <c r="G22" s="16">
        <f t="shared" si="19"/>
        <v>0.28608456591793074</v>
      </c>
      <c r="H22" s="16">
        <f t="shared" si="19"/>
        <v>0.17721103178807784</v>
      </c>
      <c r="I22" s="16">
        <f t="shared" si="19"/>
        <v>0.34317805362389847</v>
      </c>
      <c r="J22" s="81">
        <f>(J4-I4)/I4</f>
        <v>0.17999999999999997</v>
      </c>
      <c r="K22" s="16">
        <f t="shared" si="19"/>
        <v>0.17999999999999988</v>
      </c>
      <c r="L22" s="16">
        <f t="shared" si="19"/>
        <v>0.18000000000000002</v>
      </c>
      <c r="M22" s="16">
        <f t="shared" si="19"/>
        <v>0.17999999999999985</v>
      </c>
      <c r="N22" s="16">
        <f t="shared" si="19"/>
        <v>0.18</v>
      </c>
      <c r="O22" s="16">
        <f t="shared" si="19"/>
        <v>0.14999999999999991</v>
      </c>
      <c r="P22" s="16">
        <f t="shared" si="19"/>
        <v>0.12000000000000005</v>
      </c>
      <c r="Q22" s="16">
        <f t="shared" si="19"/>
        <v>0.1</v>
      </c>
      <c r="R22" s="16">
        <f t="shared" si="19"/>
        <v>0.10000000000000016</v>
      </c>
      <c r="S22" s="16">
        <f t="shared" si="19"/>
        <v>0.10000000000000016</v>
      </c>
    </row>
    <row r="23" spans="3:19" x14ac:dyDescent="0.25">
      <c r="C23" s="2" t="s">
        <v>36</v>
      </c>
      <c r="D23" s="15">
        <f t="shared" ref="D23:S23" si="20">D7/D4</f>
        <v>0.84702974540674902</v>
      </c>
      <c r="E23" s="15">
        <f t="shared" si="20"/>
        <v>0.78502858988468349</v>
      </c>
      <c r="F23" s="15">
        <f t="shared" si="20"/>
        <v>0.70719412234629675</v>
      </c>
      <c r="G23" s="15">
        <f t="shared" si="20"/>
        <v>0.70265964738091968</v>
      </c>
      <c r="H23" s="15">
        <f t="shared" si="20"/>
        <v>0.67221948893754024</v>
      </c>
      <c r="I23" s="15">
        <f t="shared" si="20"/>
        <v>0.65979022344405314</v>
      </c>
      <c r="J23" s="58">
        <f t="shared" si="20"/>
        <v>0.66999999999999993</v>
      </c>
      <c r="K23" s="15">
        <f t="shared" si="20"/>
        <v>0.67999999999999994</v>
      </c>
      <c r="L23" s="15">
        <f t="shared" si="20"/>
        <v>0.69</v>
      </c>
      <c r="M23" s="15">
        <f t="shared" si="20"/>
        <v>0.70000000000000007</v>
      </c>
      <c r="N23" s="15">
        <f t="shared" si="20"/>
        <v>0.70000000000000007</v>
      </c>
      <c r="O23" s="15">
        <f t="shared" si="20"/>
        <v>0.7</v>
      </c>
      <c r="P23" s="15">
        <f t="shared" si="20"/>
        <v>0.7</v>
      </c>
      <c r="Q23" s="15">
        <f t="shared" si="20"/>
        <v>0.7</v>
      </c>
      <c r="R23" s="15">
        <f t="shared" si="20"/>
        <v>0.70000000000000007</v>
      </c>
      <c r="S23" s="15">
        <f t="shared" si="20"/>
        <v>0.7</v>
      </c>
    </row>
    <row r="24" spans="3:19" x14ac:dyDescent="0.25">
      <c r="C24" s="2" t="s">
        <v>34</v>
      </c>
      <c r="D24" s="15">
        <f t="shared" ref="D24:S24" si="21">D12/D4</f>
        <v>0.25108580735491604</v>
      </c>
      <c r="E24" s="15">
        <f t="shared" si="21"/>
        <v>0.22140114359538746</v>
      </c>
      <c r="F24" s="15">
        <f t="shared" si="21"/>
        <v>0.182553812581495</v>
      </c>
      <c r="G24" s="15">
        <f t="shared" si="21"/>
        <v>-4.8473083064429531E-2</v>
      </c>
      <c r="H24" s="15">
        <f t="shared" si="21"/>
        <v>7.3371734526141125E-2</v>
      </c>
      <c r="I24" s="15">
        <f t="shared" si="21"/>
        <v>0.1448426675830399</v>
      </c>
      <c r="J24" s="58">
        <f t="shared" si="21"/>
        <v>0.16726152997338381</v>
      </c>
      <c r="K24" s="15">
        <f t="shared" si="21"/>
        <v>0.17726152997338379</v>
      </c>
      <c r="L24" s="15">
        <f t="shared" si="21"/>
        <v>0.1872615299733838</v>
      </c>
      <c r="M24" s="15">
        <f t="shared" si="21"/>
        <v>0.19726152997338386</v>
      </c>
      <c r="N24" s="15">
        <f t="shared" si="21"/>
        <v>0.20006815648259896</v>
      </c>
      <c r="O24" s="15">
        <f t="shared" si="21"/>
        <v>0.20006815648259893</v>
      </c>
      <c r="P24" s="15">
        <f t="shared" si="21"/>
        <v>0.20006815648259893</v>
      </c>
      <c r="Q24" s="15">
        <f t="shared" si="21"/>
        <v>0.20006815648259885</v>
      </c>
      <c r="R24" s="15">
        <f t="shared" si="21"/>
        <v>0.20006815648259896</v>
      </c>
      <c r="S24" s="15">
        <f t="shared" si="21"/>
        <v>0.20006815648259899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Info</vt:lpstr>
      <vt:lpstr>Modell</vt:lpstr>
      <vt:lpstr>Segementer</vt:lpstr>
      <vt:lpstr>Market area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2026-09-08T07:20:27Z</dcterms:modified>
</cp:coreProperties>
</file>