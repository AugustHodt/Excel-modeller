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0E37EE7B-BB05-AA46-8BBF-9BFAD1731F87}" xr6:coauthVersionLast="47" xr6:coauthVersionMax="47" xr10:uidLastSave="{00000000-0000-0000-0000-000000000000}"/>
  <bookViews>
    <workbookView xWindow="25300" yWindow="500" windowWidth="25900" windowHeight="26740" activeTab="1" xr2:uid="{5AE0DF26-B7DD-1242-A60E-253C73A930AF}"/>
  </bookViews>
  <sheets>
    <sheet name="Info" sheetId="1" r:id="rId1"/>
    <sheet name="Modell" sheetId="2" r:id="rId2"/>
    <sheet name="Segementer" sheetId="4" r:id="rId3"/>
    <sheet name="Land" sheetId="6" r:id="rId4"/>
    <sheet name="Nøkkeltall" sheetId="3" r:id="rId5"/>
    <sheet name="Nedsideberegn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8" i="2" l="1"/>
  <c r="T80" i="2"/>
  <c r="T75" i="2"/>
  <c r="T64" i="2"/>
  <c r="T60" i="2"/>
  <c r="T47" i="2"/>
  <c r="T41" i="2"/>
  <c r="T6" i="2"/>
  <c r="T9" i="2" s="1"/>
  <c r="T18" i="2"/>
  <c r="S16" i="2"/>
  <c r="AV22" i="2"/>
  <c r="AV21" i="2"/>
  <c r="S77" i="2"/>
  <c r="B8" i="2"/>
  <c r="B7" i="2"/>
  <c r="V35" i="6"/>
  <c r="Z39" i="6"/>
  <c r="Y35" i="6"/>
  <c r="Y43" i="6" s="1"/>
  <c r="X35" i="6"/>
  <c r="X43" i="6" s="1"/>
  <c r="W35" i="6"/>
  <c r="W43" i="6" s="1"/>
  <c r="V43" i="6"/>
  <c r="Z31" i="6"/>
  <c r="Z27" i="6"/>
  <c r="Z23" i="6"/>
  <c r="Z19" i="6"/>
  <c r="Z15" i="6"/>
  <c r="Z11" i="6"/>
  <c r="Z7" i="6"/>
  <c r="AI8" i="2"/>
  <c r="AI7" i="2"/>
  <c r="AJ7" i="2" s="1"/>
  <c r="AI5" i="2"/>
  <c r="T92" i="2" l="1"/>
  <c r="T94" i="2"/>
  <c r="T61" i="2"/>
  <c r="T22" i="2"/>
  <c r="T12" i="2"/>
  <c r="T14" i="2" s="1"/>
  <c r="T16" i="2" s="1"/>
  <c r="T21" i="2"/>
  <c r="Z43" i="6"/>
  <c r="Z35" i="6"/>
  <c r="AK7" i="2"/>
  <c r="AJ4" i="2"/>
  <c r="AJ5" i="2" s="1"/>
  <c r="S6" i="2"/>
  <c r="S9" i="2" s="1"/>
  <c r="O8" i="5"/>
  <c r="O7" i="5"/>
  <c r="P5" i="5"/>
  <c r="Q5" i="5"/>
  <c r="R5" i="5"/>
  <c r="S5" i="5"/>
  <c r="T5" i="5"/>
  <c r="U5" i="5"/>
  <c r="V5" i="5"/>
  <c r="W5" i="5"/>
  <c r="X5" i="5"/>
  <c r="O5" i="5"/>
  <c r="V7" i="4"/>
  <c r="V33" i="4"/>
  <c r="V30" i="4"/>
  <c r="V27" i="4"/>
  <c r="V24" i="4"/>
  <c r="V21" i="4"/>
  <c r="V16" i="4"/>
  <c r="V13" i="4"/>
  <c r="V10" i="4"/>
  <c r="T33" i="4"/>
  <c r="U16" i="4"/>
  <c r="T16" i="4"/>
  <c r="AK4" i="2" l="1"/>
  <c r="AK5" i="2" s="1"/>
  <c r="S12" i="2"/>
  <c r="S14" i="2" s="1"/>
  <c r="B6" i="2"/>
  <c r="U7" i="6"/>
  <c r="U39" i="6"/>
  <c r="U31" i="6"/>
  <c r="U27" i="6"/>
  <c r="U23" i="6"/>
  <c r="U19" i="6"/>
  <c r="U15" i="6"/>
  <c r="U11" i="6"/>
  <c r="R77" i="2" l="1"/>
  <c r="S88" i="2"/>
  <c r="R88" i="2"/>
  <c r="S80" i="2"/>
  <c r="R80" i="2"/>
  <c r="S75" i="2"/>
  <c r="S94" i="2" s="1"/>
  <c r="R75" i="2"/>
  <c r="R94" i="2" s="1"/>
  <c r="S64" i="2"/>
  <c r="S60" i="2"/>
  <c r="R60" i="2"/>
  <c r="S47" i="2"/>
  <c r="R47" i="2"/>
  <c r="S41" i="2"/>
  <c r="R41" i="2"/>
  <c r="R6" i="2"/>
  <c r="R9" i="2" s="1"/>
  <c r="R12" i="2" s="1"/>
  <c r="R14" i="2" s="1"/>
  <c r="R64" i="2" l="1"/>
  <c r="S92" i="2"/>
  <c r="S61" i="2"/>
  <c r="R92" i="2"/>
  <c r="R61" i="2"/>
  <c r="F39" i="6" l="1"/>
  <c r="F35" i="6"/>
  <c r="F31" i="6"/>
  <c r="F27" i="6"/>
  <c r="F23" i="6"/>
  <c r="F19" i="6"/>
  <c r="F15" i="6"/>
  <c r="F11" i="6"/>
  <c r="F7" i="6"/>
  <c r="K39" i="6"/>
  <c r="K31" i="6"/>
  <c r="K27" i="6"/>
  <c r="K23" i="6"/>
  <c r="K19" i="6"/>
  <c r="K15" i="6"/>
  <c r="K11" i="6"/>
  <c r="K7" i="6"/>
  <c r="P39" i="6"/>
  <c r="P31" i="6"/>
  <c r="P27" i="6"/>
  <c r="P23" i="6"/>
  <c r="P19" i="6"/>
  <c r="P15" i="6"/>
  <c r="P11" i="6"/>
  <c r="P7" i="6"/>
  <c r="G21" i="4"/>
  <c r="G33" i="4"/>
  <c r="G30" i="4"/>
  <c r="G24" i="4"/>
  <c r="L33" i="4"/>
  <c r="L30" i="4"/>
  <c r="L27" i="4"/>
  <c r="L24" i="4"/>
  <c r="L21" i="4"/>
  <c r="Q33" i="4"/>
  <c r="Q30" i="4"/>
  <c r="Q27" i="4"/>
  <c r="Q24" i="4"/>
  <c r="Q21" i="4"/>
  <c r="Q7" i="4"/>
  <c r="Q16" i="4"/>
  <c r="Q13" i="4"/>
  <c r="Q10" i="4"/>
  <c r="L16" i="4"/>
  <c r="L13" i="4"/>
  <c r="L10" i="4"/>
  <c r="L7" i="4"/>
  <c r="G16" i="4"/>
  <c r="G13" i="4"/>
  <c r="G10" i="4"/>
  <c r="G7" i="4"/>
  <c r="S35" i="6"/>
  <c r="S43" i="6" s="1"/>
  <c r="T35" i="6"/>
  <c r="B35" i="6"/>
  <c r="B43" i="6" s="1"/>
  <c r="F43" i="6" s="1"/>
  <c r="C35" i="6"/>
  <c r="C43" i="6" s="1"/>
  <c r="D35" i="6"/>
  <c r="D43" i="6" s="1"/>
  <c r="E35" i="6"/>
  <c r="E43" i="6" s="1"/>
  <c r="G35" i="6"/>
  <c r="G43" i="6" s="1"/>
  <c r="K43" i="6" s="1"/>
  <c r="H35" i="6"/>
  <c r="H43" i="6" s="1"/>
  <c r="I35" i="6"/>
  <c r="I43" i="6" s="1"/>
  <c r="J35" i="6"/>
  <c r="J43" i="6" s="1"/>
  <c r="L35" i="6"/>
  <c r="L43" i="6" s="1"/>
  <c r="M35" i="6"/>
  <c r="M43" i="6" s="1"/>
  <c r="N35" i="6"/>
  <c r="N43" i="6" s="1"/>
  <c r="P43" i="6" s="1"/>
  <c r="O35" i="6"/>
  <c r="O43" i="6" s="1"/>
  <c r="Q35" i="6"/>
  <c r="Q43" i="6" s="1"/>
  <c r="R35" i="6"/>
  <c r="R43" i="6" s="1"/>
  <c r="C16" i="4"/>
  <c r="D16" i="4"/>
  <c r="E16" i="4"/>
  <c r="F16" i="4"/>
  <c r="H16" i="4"/>
  <c r="I16" i="4"/>
  <c r="J16" i="4"/>
  <c r="K16" i="4"/>
  <c r="M16" i="4"/>
  <c r="N16" i="4"/>
  <c r="O16" i="4"/>
  <c r="P16" i="4"/>
  <c r="R16" i="4"/>
  <c r="C33" i="4"/>
  <c r="D33" i="4"/>
  <c r="E33" i="4"/>
  <c r="F33" i="4"/>
  <c r="H33" i="4"/>
  <c r="I33" i="4"/>
  <c r="J33" i="4"/>
  <c r="K33" i="4"/>
  <c r="M33" i="4"/>
  <c r="O33" i="4"/>
  <c r="P33" i="4"/>
  <c r="S33" i="4"/>
  <c r="R33" i="4"/>
  <c r="N33" i="4"/>
  <c r="S16" i="4"/>
  <c r="AK11" i="2"/>
  <c r="AL11" i="2" s="1"/>
  <c r="AM11" i="2" s="1"/>
  <c r="AN11" i="2" s="1"/>
  <c r="AO11" i="2" s="1"/>
  <c r="AP11" i="2" s="1"/>
  <c r="AQ11" i="2" s="1"/>
  <c r="AR11" i="2" s="1"/>
  <c r="AS11" i="2" s="1"/>
  <c r="AJ11" i="2"/>
  <c r="AJ10" i="2"/>
  <c r="AK10" i="2" s="1"/>
  <c r="AL10" i="2" s="1"/>
  <c r="AM10" i="2" s="1"/>
  <c r="AN10" i="2" s="1"/>
  <c r="AO10" i="2" s="1"/>
  <c r="AP10" i="2" s="1"/>
  <c r="AQ10" i="2" s="1"/>
  <c r="AR10" i="2" s="1"/>
  <c r="AS10" i="2" s="1"/>
  <c r="T43" i="6" l="1"/>
  <c r="U43" i="6" s="1"/>
  <c r="U35" i="6"/>
  <c r="P35" i="6"/>
  <c r="K35" i="6"/>
  <c r="AL7" i="2" l="1"/>
  <c r="AM7" i="2" s="1"/>
  <c r="AN7" i="2" s="1"/>
  <c r="AO7" i="2" s="1"/>
  <c r="AP7" i="2" s="1"/>
  <c r="AQ7" i="2" s="1"/>
  <c r="AR7" i="2" s="1"/>
  <c r="AS7" i="2" s="1"/>
  <c r="F77" i="2"/>
  <c r="F6" i="2"/>
  <c r="F9" i="2" s="1"/>
  <c r="G77" i="2"/>
  <c r="G80" i="2" s="1"/>
  <c r="G6" i="2"/>
  <c r="G21" i="2" s="1"/>
  <c r="D77" i="2"/>
  <c r="D80" i="2" s="1"/>
  <c r="H77" i="2"/>
  <c r="H80" i="2" s="1"/>
  <c r="D6" i="2"/>
  <c r="D9" i="2" s="1"/>
  <c r="H6" i="2"/>
  <c r="H9" i="2" s="1"/>
  <c r="E77" i="2"/>
  <c r="I77" i="2"/>
  <c r="I80" i="2" s="1"/>
  <c r="E6" i="2"/>
  <c r="E9" i="2" s="1"/>
  <c r="I6" i="2"/>
  <c r="I9" i="2" s="1"/>
  <c r="J77" i="2"/>
  <c r="J80" i="2" s="1"/>
  <c r="N77" i="2"/>
  <c r="N80" i="2" s="1"/>
  <c r="K77" i="2"/>
  <c r="K80" i="2" s="1"/>
  <c r="O77" i="2"/>
  <c r="O80" i="2" s="1"/>
  <c r="O6" i="5"/>
  <c r="O9" i="5" s="1"/>
  <c r="O21" i="5" s="1"/>
  <c r="J6" i="2"/>
  <c r="J21" i="2" s="1"/>
  <c r="N6" i="2"/>
  <c r="N9" i="2" s="1"/>
  <c r="K6" i="2"/>
  <c r="K9" i="2" s="1"/>
  <c r="O6" i="2"/>
  <c r="O9" i="2" s="1"/>
  <c r="P7" i="5"/>
  <c r="Q7" i="5" s="1"/>
  <c r="R7" i="5" s="1"/>
  <c r="S7" i="5" s="1"/>
  <c r="T7" i="5" s="1"/>
  <c r="U7" i="5" s="1"/>
  <c r="V7" i="5" s="1"/>
  <c r="W7" i="5" s="1"/>
  <c r="X7" i="5" s="1"/>
  <c r="R6" i="5"/>
  <c r="P8" i="5"/>
  <c r="Q8" i="5" s="1"/>
  <c r="R8" i="5" s="1"/>
  <c r="S8" i="5" s="1"/>
  <c r="T8" i="5" s="1"/>
  <c r="U8" i="5" s="1"/>
  <c r="V8" i="5" s="1"/>
  <c r="W8" i="5" s="1"/>
  <c r="X8" i="5" s="1"/>
  <c r="P4" i="5"/>
  <c r="Q4" i="5"/>
  <c r="R4" i="5"/>
  <c r="R18" i="5" s="1"/>
  <c r="O4" i="5"/>
  <c r="O18" i="5" s="1"/>
  <c r="N8" i="5"/>
  <c r="N7" i="5"/>
  <c r="N4" i="5"/>
  <c r="N18" i="5" s="1"/>
  <c r="AJ8" i="2"/>
  <c r="AI6" i="2"/>
  <c r="AI21" i="2" s="1"/>
  <c r="L21" i="5"/>
  <c r="L20" i="5"/>
  <c r="K20" i="5"/>
  <c r="J20" i="5"/>
  <c r="D20" i="5"/>
  <c r="Q18" i="5"/>
  <c r="P18" i="5"/>
  <c r="M18" i="5"/>
  <c r="L18" i="5"/>
  <c r="K18" i="5"/>
  <c r="J18" i="5"/>
  <c r="I18" i="5"/>
  <c r="H18" i="5"/>
  <c r="G18" i="5"/>
  <c r="F18" i="5"/>
  <c r="E18" i="5"/>
  <c r="L12" i="5"/>
  <c r="L14" i="5" s="1"/>
  <c r="L16" i="5" s="1"/>
  <c r="K12" i="5"/>
  <c r="K14" i="5" s="1"/>
  <c r="K16" i="5" s="1"/>
  <c r="L9" i="5"/>
  <c r="K9" i="5"/>
  <c r="K21" i="5" s="1"/>
  <c r="J9" i="5"/>
  <c r="D9" i="5"/>
  <c r="D12" i="5" s="1"/>
  <c r="D14" i="5" s="1"/>
  <c r="D16" i="5" s="1"/>
  <c r="Q6" i="5"/>
  <c r="Q20" i="5" s="1"/>
  <c r="P6" i="5"/>
  <c r="P20" i="5" s="1"/>
  <c r="M6" i="5"/>
  <c r="L6" i="5"/>
  <c r="K6" i="5"/>
  <c r="J6" i="5"/>
  <c r="I6" i="5"/>
  <c r="I20" i="5" s="1"/>
  <c r="H6" i="5"/>
  <c r="H9" i="5" s="1"/>
  <c r="G6" i="5"/>
  <c r="F6" i="5"/>
  <c r="E6" i="5"/>
  <c r="D6" i="5"/>
  <c r="L77" i="2"/>
  <c r="L80" i="2" s="1"/>
  <c r="P77" i="2"/>
  <c r="P80" i="2" s="1"/>
  <c r="P60" i="2"/>
  <c r="L6" i="2"/>
  <c r="L21" i="2" s="1"/>
  <c r="P6" i="2"/>
  <c r="P9" i="2" s="1"/>
  <c r="AI18" i="2"/>
  <c r="Y6" i="2"/>
  <c r="Y9" i="2" s="1"/>
  <c r="Z6" i="2"/>
  <c r="Z21" i="2" s="1"/>
  <c r="AA6" i="2"/>
  <c r="AA9" i="2" s="1"/>
  <c r="AB6" i="2"/>
  <c r="AB9" i="2" s="1"/>
  <c r="AC84" i="2"/>
  <c r="AC88" i="2" s="1"/>
  <c r="AC77" i="2"/>
  <c r="AC80" i="2" s="1"/>
  <c r="AD84" i="2"/>
  <c r="AD88" i="2" s="1"/>
  <c r="AD77" i="2"/>
  <c r="AD80" i="2" s="1"/>
  <c r="AC6" i="2"/>
  <c r="AC9" i="2" s="1"/>
  <c r="AC64" i="2" s="1"/>
  <c r="AD6" i="2"/>
  <c r="AD21" i="2" s="1"/>
  <c r="AE77" i="2"/>
  <c r="AE80" i="2" s="1"/>
  <c r="AF77" i="2"/>
  <c r="AF80" i="2" s="1"/>
  <c r="AE6" i="2"/>
  <c r="AE9" i="2" s="1"/>
  <c r="AF6" i="2"/>
  <c r="AF9" i="2" s="1"/>
  <c r="R16" i="2"/>
  <c r="AG77" i="2"/>
  <c r="AH77" i="2"/>
  <c r="AH80" i="2" s="1"/>
  <c r="AA94" i="2"/>
  <c r="Z94" i="2"/>
  <c r="AH88" i="2"/>
  <c r="AG88" i="2"/>
  <c r="AF88" i="2"/>
  <c r="AE88" i="2"/>
  <c r="AB88" i="2"/>
  <c r="AA88" i="2"/>
  <c r="Z88" i="2"/>
  <c r="Y88" i="2"/>
  <c r="AG80" i="2"/>
  <c r="AB80" i="2"/>
  <c r="AA80" i="2"/>
  <c r="Z80" i="2"/>
  <c r="Y80" i="2"/>
  <c r="AH75" i="2"/>
  <c r="AG75" i="2"/>
  <c r="AG94" i="2" s="1"/>
  <c r="AF75" i="2"/>
  <c r="AE75" i="2"/>
  <c r="AD75" i="2"/>
  <c r="AC75" i="2"/>
  <c r="AB75" i="2"/>
  <c r="AA75" i="2"/>
  <c r="Z75" i="2"/>
  <c r="Y75" i="2"/>
  <c r="Y94" i="2" s="1"/>
  <c r="AG64" i="2"/>
  <c r="Y21" i="2"/>
  <c r="AF21" i="2"/>
  <c r="Z18" i="2"/>
  <c r="AA18" i="2"/>
  <c r="AB18" i="2"/>
  <c r="AC18" i="2"/>
  <c r="AD18" i="2"/>
  <c r="AE18" i="2"/>
  <c r="AF18" i="2"/>
  <c r="AG18" i="2"/>
  <c r="AG6" i="2"/>
  <c r="AG9" i="2" s="1"/>
  <c r="AG12" i="2" s="1"/>
  <c r="AG14" i="2" s="1"/>
  <c r="AG16" i="2" s="1"/>
  <c r="AH18" i="2"/>
  <c r="AH6" i="2"/>
  <c r="AH9" i="2" s="1"/>
  <c r="AH12" i="2" s="1"/>
  <c r="AH14" i="2" s="1"/>
  <c r="AH16" i="2" s="1"/>
  <c r="M77" i="2"/>
  <c r="D75" i="2"/>
  <c r="E75" i="2"/>
  <c r="E94" i="2" s="1"/>
  <c r="F75" i="2"/>
  <c r="G75" i="2"/>
  <c r="G94" i="2" s="1"/>
  <c r="H75" i="2"/>
  <c r="I75" i="2"/>
  <c r="J75" i="2"/>
  <c r="K75" i="2"/>
  <c r="L75" i="2"/>
  <c r="M75" i="2"/>
  <c r="N75" i="2"/>
  <c r="O75" i="2"/>
  <c r="P75" i="2"/>
  <c r="E80" i="2"/>
  <c r="F80" i="2"/>
  <c r="M80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Q77" i="2"/>
  <c r="Q75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D60" i="2"/>
  <c r="E60" i="2"/>
  <c r="F60" i="2"/>
  <c r="G60" i="2"/>
  <c r="H60" i="2"/>
  <c r="I60" i="2"/>
  <c r="J60" i="2"/>
  <c r="K60" i="2"/>
  <c r="L60" i="2"/>
  <c r="M60" i="2"/>
  <c r="N60" i="2"/>
  <c r="O60" i="2"/>
  <c r="Q60" i="2"/>
  <c r="Q47" i="2"/>
  <c r="Q41" i="2"/>
  <c r="Q18" i="2"/>
  <c r="H18" i="2"/>
  <c r="I18" i="2"/>
  <c r="J18" i="2"/>
  <c r="K18" i="2"/>
  <c r="L18" i="2"/>
  <c r="M18" i="2"/>
  <c r="N18" i="2"/>
  <c r="O18" i="2"/>
  <c r="P18" i="2"/>
  <c r="H21" i="2"/>
  <c r="P21" i="2"/>
  <c r="R18" i="2"/>
  <c r="S18" i="2"/>
  <c r="R21" i="2"/>
  <c r="S21" i="2"/>
  <c r="R22" i="2"/>
  <c r="S22" i="2"/>
  <c r="M6" i="2"/>
  <c r="M9" i="2" s="1"/>
  <c r="M12" i="2" s="1"/>
  <c r="M14" i="2" s="1"/>
  <c r="M16" i="2" s="1"/>
  <c r="Q6" i="2"/>
  <c r="Q21" i="2" s="1"/>
  <c r="I94" i="2" l="1"/>
  <c r="N21" i="2"/>
  <c r="P94" i="2"/>
  <c r="AH22" i="2"/>
  <c r="M92" i="2"/>
  <c r="K21" i="2"/>
  <c r="Q94" i="2"/>
  <c r="AB92" i="2"/>
  <c r="AH21" i="2"/>
  <c r="I21" i="2"/>
  <c r="AC21" i="2"/>
  <c r="AH64" i="2"/>
  <c r="E21" i="2"/>
  <c r="AK8" i="2"/>
  <c r="AL8" i="2" s="1"/>
  <c r="AM8" i="2" s="1"/>
  <c r="AN8" i="2" s="1"/>
  <c r="AO8" i="2" s="1"/>
  <c r="AP8" i="2" s="1"/>
  <c r="AQ8" i="2" s="1"/>
  <c r="AR8" i="2" s="1"/>
  <c r="AS8" i="2" s="1"/>
  <c r="AB94" i="2"/>
  <c r="K94" i="2"/>
  <c r="Z92" i="2"/>
  <c r="J94" i="2"/>
  <c r="AA92" i="2"/>
  <c r="AF94" i="2"/>
  <c r="AG22" i="2"/>
  <c r="AH94" i="2"/>
  <c r="AJ18" i="2"/>
  <c r="AJ6" i="2"/>
  <c r="O94" i="2"/>
  <c r="N94" i="2"/>
  <c r="AG21" i="2"/>
  <c r="Y92" i="2"/>
  <c r="F92" i="2"/>
  <c r="F64" i="2"/>
  <c r="F12" i="2"/>
  <c r="F14" i="2" s="1"/>
  <c r="F16" i="2" s="1"/>
  <c r="F22" i="2"/>
  <c r="F21" i="2"/>
  <c r="G92" i="2"/>
  <c r="G61" i="2"/>
  <c r="G9" i="2"/>
  <c r="D92" i="2"/>
  <c r="D94" i="2"/>
  <c r="H94" i="2"/>
  <c r="D61" i="2"/>
  <c r="H61" i="2"/>
  <c r="D64" i="2"/>
  <c r="D22" i="2"/>
  <c r="D12" i="2"/>
  <c r="D14" i="2" s="1"/>
  <c r="D16" i="2" s="1"/>
  <c r="D21" i="2"/>
  <c r="H12" i="2"/>
  <c r="H14" i="2" s="1"/>
  <c r="H16" i="2" s="1"/>
  <c r="H64" i="2"/>
  <c r="H22" i="2"/>
  <c r="E92" i="2"/>
  <c r="F61" i="2"/>
  <c r="M61" i="2"/>
  <c r="E61" i="2"/>
  <c r="E12" i="2"/>
  <c r="E14" i="2" s="1"/>
  <c r="E16" i="2" s="1"/>
  <c r="E64" i="2"/>
  <c r="E22" i="2"/>
  <c r="I22" i="2"/>
  <c r="I12" i="2"/>
  <c r="I14" i="2" s="1"/>
  <c r="I16" i="2" s="1"/>
  <c r="I64" i="2"/>
  <c r="N61" i="2"/>
  <c r="J9" i="2"/>
  <c r="N12" i="2"/>
  <c r="N14" i="2" s="1"/>
  <c r="N16" i="2" s="1"/>
  <c r="N22" i="2"/>
  <c r="N64" i="2"/>
  <c r="K22" i="2"/>
  <c r="K64" i="2"/>
  <c r="K12" i="2"/>
  <c r="K14" i="2" s="1"/>
  <c r="K16" i="2" s="1"/>
  <c r="O12" i="2"/>
  <c r="O14" i="2" s="1"/>
  <c r="O16" i="2" s="1"/>
  <c r="O64" i="2"/>
  <c r="O22" i="2"/>
  <c r="O21" i="2"/>
  <c r="P9" i="5"/>
  <c r="P21" i="5" s="1"/>
  <c r="R9" i="5"/>
  <c r="R21" i="5" s="1"/>
  <c r="S4" i="5"/>
  <c r="R20" i="5"/>
  <c r="Q9" i="5"/>
  <c r="Q12" i="5" s="1"/>
  <c r="N5" i="5"/>
  <c r="N6" i="5"/>
  <c r="N9" i="5" s="1"/>
  <c r="N12" i="5" s="1"/>
  <c r="AI9" i="2"/>
  <c r="H21" i="5"/>
  <c r="H12" i="5"/>
  <c r="H14" i="5" s="1"/>
  <c r="H16" i="5" s="1"/>
  <c r="I9" i="5"/>
  <c r="G20" i="5"/>
  <c r="G9" i="5"/>
  <c r="H20" i="5"/>
  <c r="D21" i="5"/>
  <c r="J21" i="5"/>
  <c r="J12" i="5"/>
  <c r="J14" i="5" s="1"/>
  <c r="J16" i="5" s="1"/>
  <c r="E20" i="5"/>
  <c r="E9" i="5"/>
  <c r="M20" i="5"/>
  <c r="M9" i="5"/>
  <c r="O20" i="5"/>
  <c r="F20" i="5"/>
  <c r="F9" i="5"/>
  <c r="L92" i="2"/>
  <c r="L94" i="2"/>
  <c r="L9" i="2"/>
  <c r="P64" i="2"/>
  <c r="P12" i="2"/>
  <c r="P14" i="2" s="1"/>
  <c r="P16" i="2" s="1"/>
  <c r="P22" i="2"/>
  <c r="Y22" i="2"/>
  <c r="Y12" i="2"/>
  <c r="Z9" i="2"/>
  <c r="AA12" i="2"/>
  <c r="AA21" i="2"/>
  <c r="AA22" i="2"/>
  <c r="AB12" i="2"/>
  <c r="AB22" i="2"/>
  <c r="AB21" i="2"/>
  <c r="AC92" i="2"/>
  <c r="AC94" i="2"/>
  <c r="AD92" i="2"/>
  <c r="AD94" i="2"/>
  <c r="AC22" i="2"/>
  <c r="AC12" i="2"/>
  <c r="AC14" i="2" s="1"/>
  <c r="AC16" i="2" s="1"/>
  <c r="AD9" i="2"/>
  <c r="AD22" i="2" s="1"/>
  <c r="AE92" i="2"/>
  <c r="AE94" i="2"/>
  <c r="AF92" i="2"/>
  <c r="AE21" i="2"/>
  <c r="AE12" i="2"/>
  <c r="AE14" i="2" s="1"/>
  <c r="AE16" i="2" s="1"/>
  <c r="AE22" i="2"/>
  <c r="AE64" i="2"/>
  <c r="AF12" i="2"/>
  <c r="AF14" i="2" s="1"/>
  <c r="AF16" i="2" s="1"/>
  <c r="AF22" i="2"/>
  <c r="AF64" i="2"/>
  <c r="AG92" i="2"/>
  <c r="AH92" i="2"/>
  <c r="Q80" i="2"/>
  <c r="Q92" i="2" s="1"/>
  <c r="F94" i="2"/>
  <c r="M64" i="2"/>
  <c r="M94" i="2"/>
  <c r="Q61" i="2"/>
  <c r="N92" i="2"/>
  <c r="O92" i="2"/>
  <c r="K92" i="2"/>
  <c r="J92" i="2"/>
  <c r="I92" i="2"/>
  <c r="P92" i="2"/>
  <c r="H92" i="2"/>
  <c r="L61" i="2"/>
  <c r="P61" i="2"/>
  <c r="O61" i="2"/>
  <c r="K61" i="2"/>
  <c r="J61" i="2"/>
  <c r="I61" i="2"/>
  <c r="Q9" i="2"/>
  <c r="M21" i="2"/>
  <c r="M22" i="2"/>
  <c r="B9" i="2"/>
  <c r="AB14" i="2" l="1"/>
  <c r="AB16" i="2" s="1"/>
  <c r="AB64" i="2"/>
  <c r="AA14" i="2"/>
  <c r="AA16" i="2" s="1"/>
  <c r="AA64" i="2"/>
  <c r="Y14" i="2"/>
  <c r="Y16" i="2" s="1"/>
  <c r="Y64" i="2"/>
  <c r="AK18" i="2"/>
  <c r="AL4" i="2"/>
  <c r="AL5" i="2" s="1"/>
  <c r="AK6" i="2"/>
  <c r="AJ9" i="2"/>
  <c r="D5" i="3" s="1"/>
  <c r="AJ21" i="2"/>
  <c r="G12" i="2"/>
  <c r="G14" i="2" s="1"/>
  <c r="G16" i="2" s="1"/>
  <c r="G22" i="2"/>
  <c r="G64" i="2"/>
  <c r="P12" i="5"/>
  <c r="P13" i="5" s="1"/>
  <c r="P14" i="5" s="1"/>
  <c r="P16" i="5" s="1"/>
  <c r="J22" i="2"/>
  <c r="J64" i="2"/>
  <c r="J12" i="2"/>
  <c r="J14" i="2" s="1"/>
  <c r="J16" i="2" s="1"/>
  <c r="R12" i="5"/>
  <c r="R13" i="5" s="1"/>
  <c r="R14" i="5" s="1"/>
  <c r="R16" i="5" s="1"/>
  <c r="Q13" i="5"/>
  <c r="Q14" i="5" s="1"/>
  <c r="Q16" i="5" s="1"/>
  <c r="Q21" i="5"/>
  <c r="S6" i="5"/>
  <c r="T4" i="5"/>
  <c r="S18" i="5"/>
  <c r="N13" i="5"/>
  <c r="N14" i="5" s="1"/>
  <c r="N16" i="5" s="1"/>
  <c r="N20" i="5"/>
  <c r="AI22" i="2"/>
  <c r="AI12" i="2"/>
  <c r="G21" i="5"/>
  <c r="G12" i="5"/>
  <c r="G14" i="5" s="1"/>
  <c r="G16" i="5" s="1"/>
  <c r="N21" i="5"/>
  <c r="O12" i="5"/>
  <c r="E12" i="5"/>
  <c r="E14" i="5" s="1"/>
  <c r="E16" i="5" s="1"/>
  <c r="E21" i="5"/>
  <c r="F21" i="5"/>
  <c r="F12" i="5"/>
  <c r="F14" i="5" s="1"/>
  <c r="F16" i="5" s="1"/>
  <c r="I12" i="5"/>
  <c r="I14" i="5" s="1"/>
  <c r="I16" i="5" s="1"/>
  <c r="I21" i="5"/>
  <c r="M12" i="5"/>
  <c r="M14" i="5" s="1"/>
  <c r="M16" i="5" s="1"/>
  <c r="M21" i="5"/>
  <c r="L12" i="2"/>
  <c r="L14" i="2" s="1"/>
  <c r="L16" i="2" s="1"/>
  <c r="L64" i="2"/>
  <c r="L22" i="2"/>
  <c r="Z22" i="2"/>
  <c r="Z12" i="2"/>
  <c r="AD12" i="2"/>
  <c r="AD14" i="2" s="1"/>
  <c r="AD16" i="2" s="1"/>
  <c r="AD64" i="2"/>
  <c r="Q22" i="2"/>
  <c r="Q64" i="2"/>
  <c r="Q12" i="2"/>
  <c r="Q14" i="2" s="1"/>
  <c r="Q16" i="2" s="1"/>
  <c r="Z14" i="2" l="1"/>
  <c r="Z16" i="2" s="1"/>
  <c r="Z64" i="2"/>
  <c r="AK21" i="2"/>
  <c r="AK9" i="2"/>
  <c r="AL18" i="2"/>
  <c r="AM4" i="2"/>
  <c r="AM5" i="2" s="1"/>
  <c r="AL6" i="2"/>
  <c r="AI13" i="2"/>
  <c r="AI14" i="2" s="1"/>
  <c r="AI16" i="2" s="1"/>
  <c r="AJ12" i="2"/>
  <c r="AJ22" i="2"/>
  <c r="O13" i="5"/>
  <c r="O14" i="5" s="1"/>
  <c r="O16" i="5" s="1"/>
  <c r="T6" i="5"/>
  <c r="U4" i="5"/>
  <c r="T18" i="5"/>
  <c r="S9" i="5"/>
  <c r="S20" i="5"/>
  <c r="AL21" i="2" l="1"/>
  <c r="AL9" i="2"/>
  <c r="F5" i="3" s="1"/>
  <c r="AN4" i="2"/>
  <c r="AN5" i="2" s="1"/>
  <c r="AM18" i="2"/>
  <c r="AM6" i="2"/>
  <c r="AK12" i="2"/>
  <c r="AK13" i="2" s="1"/>
  <c r="AK14" i="2" s="1"/>
  <c r="AK16" i="2" s="1"/>
  <c r="E6" i="3" s="1"/>
  <c r="AK22" i="2"/>
  <c r="E5" i="3"/>
  <c r="AJ13" i="2"/>
  <c r="AJ14" i="2" s="1"/>
  <c r="AJ16" i="2" s="1"/>
  <c r="D6" i="3" s="1"/>
  <c r="S12" i="5"/>
  <c r="S21" i="5"/>
  <c r="V4" i="5"/>
  <c r="U6" i="5"/>
  <c r="U18" i="5"/>
  <c r="T9" i="5"/>
  <c r="T20" i="5"/>
  <c r="AM9" i="2" l="1"/>
  <c r="AM21" i="2"/>
  <c r="AL12" i="2"/>
  <c r="AL13" i="2" s="1"/>
  <c r="AL14" i="2" s="1"/>
  <c r="AL16" i="2" s="1"/>
  <c r="F6" i="3" s="1"/>
  <c r="AL22" i="2"/>
  <c r="AN18" i="2"/>
  <c r="AN6" i="2"/>
  <c r="AO4" i="2"/>
  <c r="AO5" i="2" s="1"/>
  <c r="S13" i="5"/>
  <c r="S14" i="5" s="1"/>
  <c r="S16" i="5" s="1"/>
  <c r="T21" i="5"/>
  <c r="T12" i="5"/>
  <c r="U20" i="5"/>
  <c r="U9" i="5"/>
  <c r="V6" i="5"/>
  <c r="V18" i="5"/>
  <c r="W4" i="5"/>
  <c r="AN21" i="2" l="1"/>
  <c r="AN9" i="2"/>
  <c r="AO6" i="2"/>
  <c r="AP4" i="2"/>
  <c r="AP5" i="2" s="1"/>
  <c r="AO18" i="2"/>
  <c r="AM22" i="2"/>
  <c r="AM12" i="2"/>
  <c r="AM13" i="2" s="1"/>
  <c r="AM14" i="2" s="1"/>
  <c r="AM16" i="2" s="1"/>
  <c r="T13" i="5"/>
  <c r="T14" i="5" s="1"/>
  <c r="T16" i="5" s="1"/>
  <c r="V20" i="5"/>
  <c r="V9" i="5"/>
  <c r="X4" i="5"/>
  <c r="W6" i="5"/>
  <c r="W18" i="5"/>
  <c r="U21" i="5"/>
  <c r="U12" i="5"/>
  <c r="AP18" i="2" l="1"/>
  <c r="AQ4" i="2"/>
  <c r="AQ5" i="2" s="1"/>
  <c r="AP6" i="2"/>
  <c r="AO21" i="2"/>
  <c r="AO9" i="2"/>
  <c r="AN12" i="2"/>
  <c r="AN13" i="2" s="1"/>
  <c r="AN14" i="2" s="1"/>
  <c r="AN22" i="2"/>
  <c r="U13" i="5"/>
  <c r="U14" i="5" s="1"/>
  <c r="U16" i="5" s="1"/>
  <c r="V12" i="5"/>
  <c r="V21" i="5"/>
  <c r="W20" i="5"/>
  <c r="W9" i="5"/>
  <c r="X6" i="5"/>
  <c r="X18" i="5"/>
  <c r="AN16" i="2" l="1"/>
  <c r="AQ18" i="2"/>
  <c r="AQ6" i="2"/>
  <c r="AR4" i="2"/>
  <c r="AR5" i="2" s="1"/>
  <c r="AO22" i="2"/>
  <c r="AO12" i="2"/>
  <c r="AO13" i="2" s="1"/>
  <c r="AO14" i="2" s="1"/>
  <c r="AO16" i="2" s="1"/>
  <c r="AP21" i="2"/>
  <c r="AP9" i="2"/>
  <c r="V13" i="5"/>
  <c r="V14" i="5" s="1"/>
  <c r="V16" i="5" s="1"/>
  <c r="X20" i="5"/>
  <c r="X9" i="5"/>
  <c r="W21" i="5"/>
  <c r="W12" i="5"/>
  <c r="AQ21" i="2" l="1"/>
  <c r="AQ9" i="2"/>
  <c r="AS4" i="2"/>
  <c r="AS5" i="2" s="1"/>
  <c r="AR6" i="2"/>
  <c r="AR18" i="2"/>
  <c r="AP22" i="2"/>
  <c r="AP12" i="2"/>
  <c r="AP13" i="2" s="1"/>
  <c r="AP14" i="2" s="1"/>
  <c r="AP16" i="2" s="1"/>
  <c r="W13" i="5"/>
  <c r="W14" i="5" s="1"/>
  <c r="W16" i="5" s="1"/>
  <c r="X12" i="5"/>
  <c r="X21" i="5"/>
  <c r="AR9" i="2" l="1"/>
  <c r="AR21" i="2"/>
  <c r="AS18" i="2"/>
  <c r="AS6" i="2"/>
  <c r="AQ22" i="2"/>
  <c r="AQ12" i="2"/>
  <c r="AQ13" i="2" s="1"/>
  <c r="AQ14" i="2" s="1"/>
  <c r="X13" i="5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EG14" i="5" s="1"/>
  <c r="EH14" i="5" s="1"/>
  <c r="EI14" i="5" s="1"/>
  <c r="EJ14" i="5" s="1"/>
  <c r="EK14" i="5" s="1"/>
  <c r="EL14" i="5" s="1"/>
  <c r="EM14" i="5" s="1"/>
  <c r="EN14" i="5" s="1"/>
  <c r="EO14" i="5" s="1"/>
  <c r="EP14" i="5" s="1"/>
  <c r="EQ14" i="5" s="1"/>
  <c r="ER14" i="5" s="1"/>
  <c r="ES14" i="5" s="1"/>
  <c r="ET14" i="5" s="1"/>
  <c r="EU14" i="5" s="1"/>
  <c r="EV14" i="5" s="1"/>
  <c r="EW14" i="5" s="1"/>
  <c r="EX14" i="5" s="1"/>
  <c r="EY14" i="5" s="1"/>
  <c r="EZ14" i="5" s="1"/>
  <c r="FA14" i="5" s="1"/>
  <c r="FB14" i="5" s="1"/>
  <c r="FC14" i="5" s="1"/>
  <c r="FD14" i="5" s="1"/>
  <c r="FE14" i="5" s="1"/>
  <c r="FF14" i="5" s="1"/>
  <c r="FG14" i="5" s="1"/>
  <c r="FH14" i="5" s="1"/>
  <c r="FI14" i="5" s="1"/>
  <c r="FJ14" i="5" s="1"/>
  <c r="FK14" i="5" s="1"/>
  <c r="FL14" i="5" s="1"/>
  <c r="FM14" i="5" s="1"/>
  <c r="FN14" i="5" s="1"/>
  <c r="FO14" i="5" s="1"/>
  <c r="FP14" i="5" s="1"/>
  <c r="FQ14" i="5" s="1"/>
  <c r="FR14" i="5" s="1"/>
  <c r="FS14" i="5" s="1"/>
  <c r="FT14" i="5" s="1"/>
  <c r="FU14" i="5" s="1"/>
  <c r="FV14" i="5" s="1"/>
  <c r="FW14" i="5" s="1"/>
  <c r="FX14" i="5" s="1"/>
  <c r="FY14" i="5" s="1"/>
  <c r="FZ14" i="5" s="1"/>
  <c r="GA14" i="5" s="1"/>
  <c r="GB14" i="5" s="1"/>
  <c r="GC14" i="5" s="1"/>
  <c r="GD14" i="5" s="1"/>
  <c r="GE14" i="5" s="1"/>
  <c r="GF14" i="5" s="1"/>
  <c r="GG14" i="5" s="1"/>
  <c r="GH14" i="5" s="1"/>
  <c r="GI14" i="5" s="1"/>
  <c r="GJ14" i="5" s="1"/>
  <c r="GK14" i="5" s="1"/>
  <c r="GL14" i="5" s="1"/>
  <c r="GM14" i="5" s="1"/>
  <c r="GN14" i="5" s="1"/>
  <c r="GO14" i="5" s="1"/>
  <c r="GP14" i="5" s="1"/>
  <c r="GQ14" i="5" s="1"/>
  <c r="GR14" i="5" s="1"/>
  <c r="GS14" i="5" s="1"/>
  <c r="GT14" i="5" s="1"/>
  <c r="GU14" i="5" s="1"/>
  <c r="GV14" i="5" s="1"/>
  <c r="GW14" i="5" s="1"/>
  <c r="GX14" i="5" s="1"/>
  <c r="GY14" i="5" s="1"/>
  <c r="GZ14" i="5" s="1"/>
  <c r="HA14" i="5" s="1"/>
  <c r="HB14" i="5" s="1"/>
  <c r="HC14" i="5" s="1"/>
  <c r="HD14" i="5" s="1"/>
  <c r="HE14" i="5" s="1"/>
  <c r="HF14" i="5" s="1"/>
  <c r="HG14" i="5" s="1"/>
  <c r="AQ16" i="2" l="1"/>
  <c r="AS21" i="2"/>
  <c r="AS9" i="2"/>
  <c r="AR22" i="2"/>
  <c r="AR12" i="2"/>
  <c r="AR13" i="2" s="1"/>
  <c r="AR14" i="2" s="1"/>
  <c r="AR16" i="2" s="1"/>
  <c r="X16" i="5"/>
  <c r="AS22" i="2" l="1"/>
  <c r="AS12" i="2"/>
  <c r="AS13" i="2" s="1"/>
  <c r="AS14" i="2" s="1"/>
  <c r="AA19" i="5"/>
  <c r="AA21" i="5" s="1"/>
  <c r="AT14" i="2" l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FC14" i="2" s="1"/>
  <c r="FD14" i="2" s="1"/>
  <c r="FE14" i="2" s="1"/>
  <c r="FF14" i="2" s="1"/>
  <c r="FG14" i="2" s="1"/>
  <c r="FH14" i="2" s="1"/>
  <c r="FI14" i="2" s="1"/>
  <c r="FJ14" i="2" s="1"/>
  <c r="FK14" i="2" s="1"/>
  <c r="FL14" i="2" s="1"/>
  <c r="FM14" i="2" s="1"/>
  <c r="FN14" i="2" s="1"/>
  <c r="FO14" i="2" s="1"/>
  <c r="FP14" i="2" s="1"/>
  <c r="FQ14" i="2" s="1"/>
  <c r="FR14" i="2" s="1"/>
  <c r="FS14" i="2" s="1"/>
  <c r="FT14" i="2" s="1"/>
  <c r="FU14" i="2" s="1"/>
  <c r="FV14" i="2" s="1"/>
  <c r="FW14" i="2" s="1"/>
  <c r="FX14" i="2" s="1"/>
  <c r="FY14" i="2" s="1"/>
  <c r="FZ14" i="2" s="1"/>
  <c r="GA14" i="2" s="1"/>
  <c r="GB14" i="2" s="1"/>
  <c r="GC14" i="2" s="1"/>
  <c r="GD14" i="2" s="1"/>
  <c r="GE14" i="2" s="1"/>
  <c r="GF14" i="2" s="1"/>
  <c r="GG14" i="2" s="1"/>
  <c r="GH14" i="2" s="1"/>
  <c r="GI14" i="2" s="1"/>
  <c r="GJ14" i="2" s="1"/>
  <c r="GK14" i="2" s="1"/>
  <c r="GL14" i="2" s="1"/>
  <c r="GM14" i="2" s="1"/>
  <c r="GN14" i="2" s="1"/>
  <c r="GO14" i="2" s="1"/>
  <c r="GP14" i="2" s="1"/>
  <c r="GQ14" i="2" s="1"/>
  <c r="GR14" i="2" s="1"/>
  <c r="GS14" i="2" s="1"/>
  <c r="GT14" i="2" s="1"/>
  <c r="GU14" i="2" s="1"/>
  <c r="GV14" i="2" s="1"/>
  <c r="GW14" i="2" s="1"/>
  <c r="GX14" i="2" s="1"/>
  <c r="GY14" i="2" s="1"/>
  <c r="GZ14" i="2" s="1"/>
  <c r="HA14" i="2" s="1"/>
  <c r="HB14" i="2" s="1"/>
  <c r="HC14" i="2" s="1"/>
  <c r="HD14" i="2" s="1"/>
  <c r="HE14" i="2" s="1"/>
  <c r="HF14" i="2" s="1"/>
  <c r="HG14" i="2" s="1"/>
  <c r="HH14" i="2" s="1"/>
  <c r="HI14" i="2" s="1"/>
  <c r="HJ14" i="2" s="1"/>
  <c r="HK14" i="2" s="1"/>
  <c r="HL14" i="2" s="1"/>
  <c r="HM14" i="2" s="1"/>
  <c r="HN14" i="2" s="1"/>
  <c r="HO14" i="2" s="1"/>
  <c r="HP14" i="2" s="1"/>
  <c r="HQ14" i="2" s="1"/>
  <c r="HR14" i="2" s="1"/>
  <c r="HS14" i="2" s="1"/>
  <c r="HT14" i="2" s="1"/>
  <c r="HU14" i="2" s="1"/>
  <c r="HV14" i="2" s="1"/>
  <c r="HW14" i="2" s="1"/>
  <c r="HX14" i="2" s="1"/>
  <c r="HY14" i="2" s="1"/>
  <c r="HZ14" i="2" s="1"/>
  <c r="IA14" i="2" s="1"/>
  <c r="IB14" i="2" s="1"/>
  <c r="AV19" i="2" s="1"/>
  <c r="AS16" i="2"/>
  <c r="AA22" i="5"/>
  <c r="A6" i="5" s="1"/>
  <c r="A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tc={470F4198-F505-AC48-A56C-1CF13AFFF483}</author>
  </authors>
  <commentList>
    <comment ref="C19" authorId="0" shapeId="0" xr:uid="{470F4198-F505-AC48-A56C-1CF13AFFF48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Like-for-like + valutaeffekt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tc={BD8788F7-DF38-6B45-BC66-5F2D86A2F219}</author>
  </authors>
  <commentList>
    <comment ref="B26" authorId="0" shapeId="0" xr:uid="{BD8788F7-DF38-6B45-BC66-5F2D86A2F219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lansert i Q224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tc={A30BE777-0800-264B-A177-1C1B62EF1F1C}</author>
  </authors>
  <commentList>
    <comment ref="A38" authorId="0" shapeId="0" xr:uid="{A30BE777-0800-264B-A177-1C1B62EF1F1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Spain, canada, poland, portugal and japan</t>
      </text>
    </comment>
  </commentList>
</comments>
</file>

<file path=xl/sharedStrings.xml><?xml version="1.0" encoding="utf-8"?>
<sst xmlns="http://schemas.openxmlformats.org/spreadsheetml/2006/main" count="365" uniqueCount="216">
  <si>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</si>
  <si>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</si>
  <si>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</si>
  <si>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</si>
  <si>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</si>
  <si>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</si>
  <si>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</si>
  <si>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</si>
  <si>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</si>
  <si>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</si>
  <si>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</si>
  <si>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</si>
  <si>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</si>
  <si>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</si>
  <si>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</si>
  <si>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</si>
  <si>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</si>
  <si>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</si>
  <si>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</si>
  <si>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</si>
  <si>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</si>
  <si>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</si>
  <si>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</si>
  <si>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</si>
  <si>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</si>
  <si>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</si>
  <si>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</si>
  <si>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</si>
  <si>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</si>
  <si>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</si>
  <si>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</si>
  <si>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</si>
  <si>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</si>
  <si>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</si>
  <si>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</si>
  <si>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</si>
  <si>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</si>
  <si>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</si>
  <si>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Revenue y/y</t>
  </si>
  <si>
    <t>EBIT margin</t>
  </si>
  <si>
    <t>Nedside</t>
  </si>
  <si>
    <t>FY 2015</t>
  </si>
  <si>
    <t>FY 2016</t>
  </si>
  <si>
    <t>FY 2017</t>
  </si>
  <si>
    <t>FY 2018</t>
  </si>
  <si>
    <t>Gross margin</t>
  </si>
  <si>
    <t>DKKm</t>
  </si>
  <si>
    <t>MC DKKm</t>
  </si>
  <si>
    <t>Cash DKKm</t>
  </si>
  <si>
    <t>Debt DKKm</t>
  </si>
  <si>
    <t>EV DKKm</t>
  </si>
  <si>
    <t>Balanse DKKm</t>
  </si>
  <si>
    <t xml:space="preserve">Cash flow DKKm </t>
  </si>
  <si>
    <t>Revenue</t>
  </si>
  <si>
    <t>Cost of sales</t>
  </si>
  <si>
    <t>Gross profit</t>
  </si>
  <si>
    <t>Sales, distribution and marketing ex</t>
  </si>
  <si>
    <t>Adminstrative expenses</t>
  </si>
  <si>
    <t>Operating profit (EBIT)</t>
  </si>
  <si>
    <t>Finance income</t>
  </si>
  <si>
    <t>Finance expense</t>
  </si>
  <si>
    <t>PTP</t>
  </si>
  <si>
    <t>Tax</t>
  </si>
  <si>
    <t>Net income</t>
  </si>
  <si>
    <t xml:space="preserve">Share </t>
  </si>
  <si>
    <t>EPS</t>
  </si>
  <si>
    <t>Goodwill</t>
  </si>
  <si>
    <t>Brand</t>
  </si>
  <si>
    <t>Distribution</t>
  </si>
  <si>
    <t>Other intangiable assets</t>
  </si>
  <si>
    <t>PP&amp;E</t>
  </si>
  <si>
    <t>Right-of-use assets</t>
  </si>
  <si>
    <t>Deferred tax assets</t>
  </si>
  <si>
    <t>Other financial assets</t>
  </si>
  <si>
    <t>Inventories</t>
  </si>
  <si>
    <t>Trade receivables</t>
  </si>
  <si>
    <t>Contract assets</t>
  </si>
  <si>
    <t>Derivative financial instruments</t>
  </si>
  <si>
    <t>Other receivables</t>
  </si>
  <si>
    <t>Cash</t>
  </si>
  <si>
    <t>Total assets</t>
  </si>
  <si>
    <t>Reserves</t>
  </si>
  <si>
    <t>Proposed dividends</t>
  </si>
  <si>
    <t>Retained earnings</t>
  </si>
  <si>
    <t>Provisions</t>
  </si>
  <si>
    <t>Deferred tax liabilities</t>
  </si>
  <si>
    <t>Other payables</t>
  </si>
  <si>
    <t>Refund libailities</t>
  </si>
  <si>
    <t>Contract libailities</t>
  </si>
  <si>
    <t>Trade payables</t>
  </si>
  <si>
    <t>Income tax payable</t>
  </si>
  <si>
    <t>Total debt</t>
  </si>
  <si>
    <t>Total E/D</t>
  </si>
  <si>
    <t>Total equity</t>
  </si>
  <si>
    <t xml:space="preserve">Share capital </t>
  </si>
  <si>
    <t>Treasury shares</t>
  </si>
  <si>
    <t>Model OP</t>
  </si>
  <si>
    <t>Reported OP</t>
  </si>
  <si>
    <t>D/A</t>
  </si>
  <si>
    <t>SBC</t>
  </si>
  <si>
    <t>Change in inventories</t>
  </si>
  <si>
    <t>Change in receivables</t>
  </si>
  <si>
    <t>Change in payables and other lia</t>
  </si>
  <si>
    <t>Other non-cash</t>
  </si>
  <si>
    <t>Finance income received</t>
  </si>
  <si>
    <t>Finance costs paid</t>
  </si>
  <si>
    <t>Income tax paid</t>
  </si>
  <si>
    <t>CFFO</t>
  </si>
  <si>
    <t>Capex</t>
  </si>
  <si>
    <t>Change in other assets</t>
  </si>
  <si>
    <t>Proceeds from sale of PP&amp;E</t>
  </si>
  <si>
    <t>CFFI</t>
  </si>
  <si>
    <t>Dividend paid</t>
  </si>
  <si>
    <t>Dividend paid - withholding tax</t>
  </si>
  <si>
    <t>Buybacks</t>
  </si>
  <si>
    <t>Proceeds from loans</t>
  </si>
  <si>
    <t>Repyament of loans</t>
  </si>
  <si>
    <t>Repayment of lease commitments</t>
  </si>
  <si>
    <t>CFFF</t>
  </si>
  <si>
    <t>FX</t>
  </si>
  <si>
    <t>CIC</t>
  </si>
  <si>
    <t>FCF</t>
  </si>
  <si>
    <t>ROIC</t>
  </si>
  <si>
    <t xml:space="preserve">Like-for-Like </t>
  </si>
  <si>
    <t>Discount</t>
  </si>
  <si>
    <t>TV</t>
  </si>
  <si>
    <t>NPV</t>
  </si>
  <si>
    <t>NPV/Share</t>
  </si>
  <si>
    <t>Opp/nedside</t>
  </si>
  <si>
    <t>Current loans and borrowings</t>
  </si>
  <si>
    <t>Income tax receivables</t>
  </si>
  <si>
    <t>Non-current loans and borrowings</t>
  </si>
  <si>
    <t xml:space="preserve">Nullvekst og nedgang i marginer </t>
  </si>
  <si>
    <r>
      <t xml:space="preserve">Produksjon i Thailand, tarfiff på </t>
    </r>
    <r>
      <rPr>
        <b/>
        <sz val="14"/>
        <color theme="1"/>
        <rFont val="Calibri"/>
        <family val="2"/>
        <scheme val="minor"/>
      </rPr>
      <t>19%</t>
    </r>
    <r>
      <rPr>
        <sz val="14"/>
        <color theme="1"/>
        <rFont val="Calibri"/>
        <family val="2"/>
        <scheme val="minor"/>
      </rPr>
      <t xml:space="preserve"> til USA</t>
    </r>
  </si>
  <si>
    <t>Gull og sølv-priser er viktig innsatsfaktor</t>
  </si>
  <si>
    <t>Gulpris:</t>
  </si>
  <si>
    <t>Sølvpris:</t>
  </si>
  <si>
    <t>DKK million</t>
  </si>
  <si>
    <t>CORE</t>
  </si>
  <si>
    <t>Moments</t>
  </si>
  <si>
    <t>Like-for-like</t>
  </si>
  <si>
    <t>Collabs</t>
  </si>
  <si>
    <t>ME</t>
  </si>
  <si>
    <t>Total</t>
  </si>
  <si>
    <t>Fuel with more</t>
  </si>
  <si>
    <t>Timeless</t>
  </si>
  <si>
    <t>Signature</t>
  </si>
  <si>
    <t>PANDORA ESSENCE</t>
  </si>
  <si>
    <t>Key market</t>
  </si>
  <si>
    <t>US</t>
  </si>
  <si>
    <t>China</t>
  </si>
  <si>
    <t>UK</t>
  </si>
  <si>
    <t>Italy</t>
  </si>
  <si>
    <t>Australia</t>
  </si>
  <si>
    <t>France</t>
  </si>
  <si>
    <t>Germany</t>
  </si>
  <si>
    <t>Total key market</t>
  </si>
  <si>
    <t>Rest of Pandora</t>
  </si>
  <si>
    <t>Organic growth</t>
  </si>
  <si>
    <t xml:space="preserve">I 2023 kunngjorde Pandora at de skal ha EBIT-margin rundt 26-27% innen 26. </t>
  </si>
  <si>
    <t>Siden CMD har det oppstått headwinds fra råvarer og FX på 380 basispoint.</t>
  </si>
  <si>
    <t>Samtidig er det også 120 bp fra tariffer</t>
  </si>
  <si>
    <t>De har også et kostnadsprogram som heter "Silverstone" hvor besparelser er forevntet å sees fra Q126</t>
  </si>
  <si>
    <t>Pandora Lab-grown diamonds</t>
  </si>
  <si>
    <t>Total CORE</t>
  </si>
  <si>
    <t>Total Fuel with more</t>
  </si>
  <si>
    <t>I Q125 nedjusterte de 26-27 til "Around 25%". Nedjusterte igjen i Q225 til "Around 24%"</t>
  </si>
  <si>
    <t>Press release:</t>
  </si>
  <si>
    <t>30.09.25: Pandora CEO Alexander Lacik går av i 2026, Berta de Pablos-Barbier vil ta over. Lacik vil gå av i mars 26</t>
  </si>
  <si>
    <t>7-8%</t>
  </si>
  <si>
    <t>Organic growth:</t>
  </si>
  <si>
    <t>3-4%</t>
  </si>
  <si>
    <t>LFL:</t>
  </si>
  <si>
    <t>EBIT margin:</t>
  </si>
  <si>
    <t>around 24%</t>
  </si>
  <si>
    <t>Q325, Pandora nedjuster en gang til "around 23%"</t>
  </si>
  <si>
    <t>Hedging</t>
  </si>
  <si>
    <t>USD/oz</t>
  </si>
  <si>
    <t>USD/OZ</t>
  </si>
  <si>
    <t>Silver price</t>
  </si>
  <si>
    <t>Gold price</t>
  </si>
  <si>
    <t>Commodity hedge ratio %</t>
  </si>
  <si>
    <t>Q126</t>
  </si>
  <si>
    <t>Q226</t>
  </si>
  <si>
    <t>Q326</t>
  </si>
  <si>
    <t>Q426</t>
  </si>
  <si>
    <t>30-50%</t>
  </si>
  <si>
    <t>50-70%</t>
  </si>
  <si>
    <t>70-90%</t>
  </si>
  <si>
    <t>70-100%</t>
  </si>
  <si>
    <t>Update on CMD targets Q325</t>
  </si>
  <si>
    <t>29.12.25: Pandora kjøper tilbake 36 000 aksjer</t>
  </si>
  <si>
    <t>22.12.25: Pandora kjøper tilbake 90 000 aksjer</t>
  </si>
  <si>
    <t>15.12.25: pandora kjøper tilbake 92 000 aksjer</t>
  </si>
  <si>
    <t>08.12.25: Pandora kjøper tilbake 95 000 aksjer</t>
  </si>
  <si>
    <t>03.12.25: Avtroppende CEO Alexander Lacik har solgt 25 000 aksjer, holder 248 189 aksjer etter salget</t>
  </si>
  <si>
    <t>01.12.25: pandora kjøper tilbake 93 000 aksjer</t>
  </si>
  <si>
    <t>24.11.25: Pandora kjøper tilbake 123 000 aksjer</t>
  </si>
  <si>
    <t>21.11.25 Pandora flagger 5% av aksjene</t>
  </si>
  <si>
    <t>18.11.25: En av Pavrus sine fond flagger 5%, Pavrus holder totalt 12,50%</t>
  </si>
  <si>
    <t>17.11.25: Pandora kjøper tilbake 105 000 aksjer</t>
  </si>
  <si>
    <t>10.11.25: pandora kjøper tilbake 115 000 aksjer</t>
  </si>
  <si>
    <t>05.11.25: Styremedlem Lars Sandahl kjøper 425 aksjer, holder 425 aksjer</t>
  </si>
  <si>
    <t>03.11.25: Pandora kjøper 54 000 aksjer</t>
  </si>
  <si>
    <t>27.10.25: Padnora kjøper tilbake 37 000 aksjer</t>
  </si>
  <si>
    <t>20.10.25: Pandora kjøper tilbake 105 000 aksjer</t>
  </si>
  <si>
    <t>13.10.25: Pandora kjøper tilbake 115 000 aksjer</t>
  </si>
  <si>
    <t>06.10.25: Pandora kjøper tilbake 110 000 aksjer</t>
  </si>
  <si>
    <t>15.12.25: Berta De Pablos-Barbier tar over 1. januar istendfor i mars. Hun går fra CMO til CEO. Jennie Farmer blir ny CMO</t>
  </si>
  <si>
    <t>11.11.25: Pandora etablerer Asia HQ i Singapore for å drive utvidelse i Asia</t>
  </si>
  <si>
    <t>09.10.25: Pandora åpner nytt distribusjon senter i Maryland for å stykre US eksansjon</t>
  </si>
  <si>
    <t>17.09.25: Pavrus flagger 10%</t>
  </si>
  <si>
    <t>28.08.25: Pandora unveils tqo new collcetions, reinventing its core charm offering</t>
  </si>
  <si>
    <t>06.05.25: Pamela Naderson and Tyla wear Pandora jewellery at the Met gala</t>
  </si>
  <si>
    <t>05.01.26: Pandora kjøper tilbake 47 240 aksjer</t>
  </si>
  <si>
    <t>Guidance for 2025 (Q325):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</si>
</sst>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\ %"/>
    <numFmt numFmtId="167" formatCode="[$DKK]\ #,##0.00_);[Red]\([$DKK]\ #,##0.00\)"/>
  </numFmts>
  <fonts count="8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939E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0" fontId="2" fillId="0" borderId="1" xfId="0" applyFont="1" applyBorder="1" applyAlignment="1">
      <alignment horizontal="right"/>
    </xf>
    <xf numFmtId="2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4" fontId="2" fillId="0" borderId="1" xfId="0" applyNumberFormat="1" applyFont="1" applyBorder="1"/>
    <xf numFmtId="166" fontId="1" fillId="0" borderId="0" xfId="0" applyNumberFormat="1" applyFont="1"/>
    <xf numFmtId="10" fontId="4" fillId="0" borderId="0" xfId="0" applyNumberFormat="1" applyFont="1"/>
    <xf numFmtId="10" fontId="1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0" fontId="5" fillId="0" borderId="2" xfId="0" applyFont="1" applyBorder="1"/>
    <xf numFmtId="10" fontId="1" fillId="0" borderId="1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167" fontId="2" fillId="0" borderId="3" xfId="0" applyNumberFormat="1" applyFont="1" applyBorder="1"/>
    <xf numFmtId="167" fontId="2" fillId="0" borderId="0" xfId="0" applyNumberFormat="1" applyFont="1"/>
    <xf numFmtId="167" fontId="1" fillId="0" borderId="0" xfId="0" applyNumberFormat="1" applyFont="1"/>
    <xf numFmtId="165" fontId="6" fillId="0" borderId="2" xfId="0" applyNumberFormat="1" applyFont="1" applyBorder="1"/>
    <xf numFmtId="0" fontId="2" fillId="0" borderId="4" xfId="0" applyFont="1" applyBorder="1"/>
    <xf numFmtId="10" fontId="2" fillId="0" borderId="3" xfId="0" applyNumberFormat="1" applyFont="1" applyBorder="1"/>
    <xf numFmtId="0" fontId="1" fillId="0" borderId="3" xfId="0" applyFont="1" applyBorder="1"/>
    <xf numFmtId="10" fontId="1" fillId="0" borderId="3" xfId="0" applyNumberFormat="1" applyFont="1" applyBorder="1"/>
    <xf numFmtId="10" fontId="4" fillId="0" borderId="3" xfId="0" applyNumberFormat="1" applyFont="1" applyBorder="1"/>
    <xf numFmtId="10" fontId="3" fillId="0" borderId="3" xfId="0" applyNumberFormat="1" applyFont="1" applyBorder="1"/>
    <xf numFmtId="0" fontId="1" fillId="0" borderId="5" xfId="0" applyFont="1" applyBorder="1"/>
    <xf numFmtId="0" fontId="2" fillId="0" borderId="5" xfId="0" applyFont="1" applyBorder="1"/>
    <xf numFmtId="10" fontId="3" fillId="0" borderId="6" xfId="0" applyNumberFormat="1" applyFont="1" applyBorder="1"/>
    <xf numFmtId="10" fontId="3" fillId="0" borderId="0" xfId="0" applyNumberFormat="1" applyFont="1"/>
    <xf numFmtId="10" fontId="4" fillId="0" borderId="6" xfId="0" applyNumberFormat="1" applyFont="1" applyBorder="1"/>
    <xf numFmtId="0" fontId="1" fillId="0" borderId="8" xfId="0" applyFont="1" applyBorder="1" applyAlignment="1">
      <alignment horizontal="right"/>
    </xf>
    <xf numFmtId="0" fontId="2" fillId="0" borderId="8" xfId="0" applyFont="1" applyBorder="1"/>
    <xf numFmtId="0" fontId="1" fillId="0" borderId="8" xfId="0" applyFont="1" applyBorder="1"/>
    <xf numFmtId="10" fontId="3" fillId="0" borderId="7" xfId="0" applyNumberFormat="1" applyFont="1" applyBorder="1"/>
    <xf numFmtId="0" fontId="2" fillId="0" borderId="10" xfId="0" applyFont="1" applyBorder="1"/>
    <xf numFmtId="10" fontId="3" fillId="0" borderId="9" xfId="0" applyNumberFormat="1" applyFont="1" applyBorder="1"/>
    <xf numFmtId="0" fontId="1" fillId="0" borderId="10" xfId="0" applyFont="1" applyBorder="1"/>
    <xf numFmtId="10" fontId="3" fillId="0" borderId="8" xfId="0" applyNumberFormat="1" applyFont="1" applyBorder="1"/>
    <xf numFmtId="3" fontId="1" fillId="0" borderId="8" xfId="0" applyNumberFormat="1" applyFont="1" applyBorder="1"/>
    <xf numFmtId="16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0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4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939E"/>
      <color rgb="FFFF327F"/>
      <color rgb="FFF2FE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126999</xdr:rowOff>
    </xdr:from>
    <xdr:to>
      <xdr:col>9</xdr:col>
      <xdr:colOff>820126</xdr:colOff>
      <xdr:row>32</xdr:row>
      <xdr:rowOff>101600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9C2E25BB-CFB5-D9CA-1640-1F39319FF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70399"/>
          <a:ext cx="8859226" cy="335280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8871B6E6-CA49-A94E-9A72-CF975C8356BB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dT="2025-12-29T08:58:59.40" personId="{8871B6E6-CA49-A94E-9A72-CF975C8356BB}" id="{470F4198-F505-AC48-A56C-1CF13AFFF483}">
    <text>Like-for-like + valutaeffekt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6" dT="2025-08-17T09:26:54.37" personId="{8871B6E6-CA49-A94E-9A72-CF975C8356BB}" id="{BD8788F7-DF38-6B45-BC66-5F2D86A2F219}">
    <text xml:space="preserve">lansert i Q224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38" dT="2025-11-05T08:35:28.73" personId="{8871B6E6-CA49-A94E-9A72-CF975C8356BB}" id="{A30BE777-0800-264B-A177-1C1B62EF1F1C}">
    <text>Spain, canada, poland, portugal and japan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1F98EE-2962-2D43-968F-6EFA3039EE8A}">
  <we:reference id="wa200009404" version="1.0.0.5" store="nb-NO" storeType="OMEX"/>
  <we:alternateReferences>
    <we:reference id="wa200009404" version="1.0.0.5" store="nb-NO" storeType="OMEX"/>
  </we:alternateReferences>
  <we:properties>
    <we:property name="Office.AutoShowTaskpaneWithDocument" value="true"/>
    <we:property name="claude.fileId" value="&quot;d7860b5a-3931-47b1-93b4-03bc6c161a1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2:AA62"/>
  <sheetViews>
    <sheetView showGridLines="0" topLeftCell="G1" workbookViewId="0">
      <selection activeCell="N45" sqref="N45"/>
    </sheetView>
  </sheetViews>
  <sheetFormatPr baseColWidth="10" defaultRowHeight="19" x14ac:dyDescent="0.25"/>
  <cols>
    <col min="1" max="6" width="10.83203125" style="2"/>
    <col min="7" max="7" width="18.83203125" style="2" customWidth="1"/>
    <col min="8" max="12" width="10.83203125" style="2"/>
    <col min="13" max="13" width="18.33203125" style="2" bestFit="1" customWidth="1"/>
    <col min="14" max="16384" width="10.83203125" style="2"/>
  </cols>
  <sheetData>
    <row r="2" spans="1:27" x14ac:dyDescent="0.25">
      <c r="M2" s="56" t="s">
        <v>215</v>
      </c>
    </row>
    <row r="3" spans="1:27" x14ac:dyDescent="0.25">
      <c r="A3" s="2" t="s">
        <v>133</v>
      </c>
    </row>
    <row r="4" spans="1:27" x14ac:dyDescent="0.25">
      <c r="M4" s="1" t="s">
        <v>170</v>
      </c>
      <c r="N4" s="55" t="s">
        <v>169</v>
      </c>
    </row>
    <row r="5" spans="1:27" x14ac:dyDescent="0.25">
      <c r="A5" s="2" t="s">
        <v>134</v>
      </c>
      <c r="G5" s="1"/>
      <c r="M5" s="1" t="s">
        <v>172</v>
      </c>
      <c r="N5" s="2" t="s">
        <v>171</v>
      </c>
    </row>
    <row r="6" spans="1:27" x14ac:dyDescent="0.25">
      <c r="A6" s="1"/>
      <c r="M6" s="1" t="s">
        <v>173</v>
      </c>
      <c r="N6" s="2" t="s">
        <v>174</v>
      </c>
    </row>
    <row r="10" spans="1:27" x14ac:dyDescent="0.25">
      <c r="M10" s="1" t="s">
        <v>176</v>
      </c>
    </row>
    <row r="11" spans="1:27" x14ac:dyDescent="0.25">
      <c r="M11" s="56" t="s">
        <v>178</v>
      </c>
      <c r="N11" s="56"/>
      <c r="O11" s="56"/>
      <c r="P11" s="57" t="s">
        <v>11</v>
      </c>
      <c r="Q11" s="57" t="s">
        <v>12</v>
      </c>
      <c r="R11" s="57" t="s">
        <v>13</v>
      </c>
      <c r="S11" s="57" t="s">
        <v>14</v>
      </c>
      <c r="T11" s="57" t="s">
        <v>37</v>
      </c>
      <c r="U11" s="57" t="s">
        <v>31</v>
      </c>
      <c r="V11" s="57" t="s">
        <v>35</v>
      </c>
      <c r="W11" s="57" t="s">
        <v>36</v>
      </c>
      <c r="X11" s="57" t="s">
        <v>182</v>
      </c>
      <c r="Y11" s="57" t="s">
        <v>183</v>
      </c>
      <c r="Z11" s="57" t="s">
        <v>184</v>
      </c>
      <c r="AA11" s="57" t="s">
        <v>185</v>
      </c>
    </row>
    <row r="12" spans="1:27" x14ac:dyDescent="0.25">
      <c r="M12" s="2" t="s">
        <v>179</v>
      </c>
      <c r="P12" s="59">
        <v>23.83</v>
      </c>
      <c r="Q12" s="59">
        <v>24.87</v>
      </c>
      <c r="R12" s="59">
        <v>24.89</v>
      </c>
      <c r="S12" s="59">
        <v>24.71</v>
      </c>
      <c r="T12" s="59">
        <v>24.78</v>
      </c>
      <c r="U12" s="59">
        <v>30.6</v>
      </c>
      <c r="V12" s="59">
        <v>32.299999999999997</v>
      </c>
      <c r="W12" s="59">
        <v>32</v>
      </c>
      <c r="X12" s="59">
        <v>30.3</v>
      </c>
      <c r="Y12" s="59">
        <v>29.8</v>
      </c>
      <c r="Z12" s="59">
        <v>0</v>
      </c>
      <c r="AA12" s="59"/>
    </row>
    <row r="13" spans="1:27" x14ac:dyDescent="0.25">
      <c r="A13" s="1" t="s">
        <v>190</v>
      </c>
      <c r="M13" s="2" t="s">
        <v>180</v>
      </c>
      <c r="N13" s="14"/>
      <c r="O13" s="14"/>
      <c r="P13" s="60">
        <v>2030</v>
      </c>
      <c r="Q13" s="60">
        <v>2023</v>
      </c>
      <c r="R13" s="60">
        <v>2093</v>
      </c>
      <c r="S13" s="60">
        <v>2155</v>
      </c>
      <c r="T13" s="60">
        <v>2225</v>
      </c>
      <c r="U13" s="60">
        <v>2739</v>
      </c>
      <c r="V13" s="60">
        <v>2932</v>
      </c>
      <c r="W13" s="60">
        <v>2988</v>
      </c>
      <c r="X13" s="60">
        <v>3238</v>
      </c>
      <c r="Y13" s="60">
        <v>3604</v>
      </c>
      <c r="Z13" s="60">
        <v>3935</v>
      </c>
      <c r="AA13" s="60"/>
    </row>
    <row r="14" spans="1:27" x14ac:dyDescent="0.25">
      <c r="A14" s="2" t="s">
        <v>159</v>
      </c>
      <c r="M14" s="1" t="s">
        <v>181</v>
      </c>
      <c r="N14" s="19"/>
      <c r="O14" s="19"/>
      <c r="P14" s="58" t="s">
        <v>189</v>
      </c>
      <c r="Q14" s="58" t="s">
        <v>189</v>
      </c>
      <c r="R14" s="58">
        <v>0.92</v>
      </c>
      <c r="S14" s="58">
        <v>0.59</v>
      </c>
      <c r="T14" s="58">
        <v>0.38</v>
      </c>
      <c r="U14" s="58" t="s">
        <v>188</v>
      </c>
      <c r="V14" s="58" t="s">
        <v>189</v>
      </c>
      <c r="W14" s="58" t="s">
        <v>189</v>
      </c>
      <c r="X14" s="58" t="s">
        <v>188</v>
      </c>
      <c r="Y14" s="58" t="s">
        <v>187</v>
      </c>
      <c r="Z14" s="58" t="s">
        <v>186</v>
      </c>
      <c r="AA14" s="58"/>
    </row>
    <row r="15" spans="1:27" x14ac:dyDescent="0.25">
      <c r="A15" s="2" t="s">
        <v>160</v>
      </c>
    </row>
    <row r="16" spans="1:27" x14ac:dyDescent="0.25">
      <c r="A16" s="2" t="s">
        <v>161</v>
      </c>
      <c r="M16" s="61">
        <v>46003</v>
      </c>
    </row>
    <row r="17" spans="1:15" x14ac:dyDescent="0.25">
      <c r="A17" s="2" t="s">
        <v>166</v>
      </c>
      <c r="M17" s="1" t="s">
        <v>135</v>
      </c>
      <c r="N17" s="14">
        <v>4493</v>
      </c>
      <c r="O17" s="2" t="s">
        <v>177</v>
      </c>
    </row>
    <row r="18" spans="1:15" x14ac:dyDescent="0.25">
      <c r="A18" s="2" t="s">
        <v>175</v>
      </c>
      <c r="M18" s="1" t="s">
        <v>136</v>
      </c>
      <c r="N18" s="2">
        <v>75.3</v>
      </c>
      <c r="O18" s="2" t="s">
        <v>177</v>
      </c>
    </row>
    <row r="19" spans="1:15" x14ac:dyDescent="0.25">
      <c r="A19" s="1"/>
    </row>
    <row r="35" spans="1:1" x14ac:dyDescent="0.25">
      <c r="A35" s="2" t="s">
        <v>162</v>
      </c>
    </row>
    <row r="37" spans="1:1" x14ac:dyDescent="0.25">
      <c r="A37" s="1" t="s">
        <v>167</v>
      </c>
    </row>
    <row r="38" spans="1:1" x14ac:dyDescent="0.25">
      <c r="A38" s="2" t="s">
        <v>214</v>
      </c>
    </row>
    <row r="39" spans="1:1" x14ac:dyDescent="0.25">
      <c r="A39" s="2" t="s">
        <v>191</v>
      </c>
    </row>
    <row r="40" spans="1:1" x14ac:dyDescent="0.25">
      <c r="A40" s="2" t="s">
        <v>192</v>
      </c>
    </row>
    <row r="41" spans="1:1" x14ac:dyDescent="0.25">
      <c r="A41" s="2" t="s">
        <v>208</v>
      </c>
    </row>
    <row r="42" spans="1:1" x14ac:dyDescent="0.25">
      <c r="A42" s="2" t="s">
        <v>193</v>
      </c>
    </row>
    <row r="43" spans="1:1" x14ac:dyDescent="0.25">
      <c r="A43" s="2" t="s">
        <v>194</v>
      </c>
    </row>
    <row r="44" spans="1:1" x14ac:dyDescent="0.25">
      <c r="A44" s="2" t="s">
        <v>195</v>
      </c>
    </row>
    <row r="45" spans="1:1" x14ac:dyDescent="0.25">
      <c r="A45" s="2" t="s">
        <v>196</v>
      </c>
    </row>
    <row r="46" spans="1:1" x14ac:dyDescent="0.25">
      <c r="A46" s="2" t="s">
        <v>197</v>
      </c>
    </row>
    <row r="47" spans="1:1" x14ac:dyDescent="0.25">
      <c r="A47" s="2" t="s">
        <v>198</v>
      </c>
    </row>
    <row r="48" spans="1:1" x14ac:dyDescent="0.25">
      <c r="A48" s="2" t="s">
        <v>199</v>
      </c>
    </row>
    <row r="49" spans="1:1" x14ac:dyDescent="0.25">
      <c r="A49" s="2" t="s">
        <v>200</v>
      </c>
    </row>
    <row r="50" spans="1:1" x14ac:dyDescent="0.25">
      <c r="A50" s="2" t="s">
        <v>209</v>
      </c>
    </row>
    <row r="51" spans="1:1" x14ac:dyDescent="0.25">
      <c r="A51" s="2" t="s">
        <v>201</v>
      </c>
    </row>
    <row r="52" spans="1:1" x14ac:dyDescent="0.25">
      <c r="A52" s="2" t="s">
        <v>202</v>
      </c>
    </row>
    <row r="53" spans="1:1" x14ac:dyDescent="0.25">
      <c r="A53" s="2" t="s">
        <v>203</v>
      </c>
    </row>
    <row r="54" spans="1:1" x14ac:dyDescent="0.25">
      <c r="A54" s="2" t="s">
        <v>204</v>
      </c>
    </row>
    <row r="55" spans="1:1" x14ac:dyDescent="0.25">
      <c r="A55" s="2" t="s">
        <v>205</v>
      </c>
    </row>
    <row r="56" spans="1:1" x14ac:dyDescent="0.25">
      <c r="A56" s="2" t="s">
        <v>206</v>
      </c>
    </row>
    <row r="57" spans="1:1" x14ac:dyDescent="0.25">
      <c r="A57" s="2" t="s">
        <v>210</v>
      </c>
    </row>
    <row r="58" spans="1:1" x14ac:dyDescent="0.25">
      <c r="A58" s="2" t="s">
        <v>207</v>
      </c>
    </row>
    <row r="59" spans="1:1" x14ac:dyDescent="0.25">
      <c r="A59" s="2" t="s">
        <v>168</v>
      </c>
    </row>
    <row r="60" spans="1:1" x14ac:dyDescent="0.25">
      <c r="A60" s="2" t="s">
        <v>211</v>
      </c>
    </row>
    <row r="61" spans="1:1" x14ac:dyDescent="0.25">
      <c r="A61" s="2" t="s">
        <v>212</v>
      </c>
    </row>
    <row r="62" spans="1:1" x14ac:dyDescent="0.25">
      <c r="A62" s="2" t="s">
        <v>213</v>
      </c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IB127"/>
  <sheetViews>
    <sheetView showGridLines="0" tabSelected="1" workbookViewId="0">
      <pane xSplit="3" ySplit="3" topLeftCell="Q18" activePane="bottomRight" state="frozen"/>
      <selection pane="topRight" activeCell="D1" sqref="D1"/>
      <selection pane="bottomLeft" activeCell="A4" sqref="A4"/>
      <selection pane="bottomRight" activeCell="W29" sqref="W29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4.832031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23" width="10.83203125" style="2"/>
    <col min="24" max="24" width="14.33203125" style="2" bestFit="1" customWidth="1"/>
    <col min="25" max="46" width="10.83203125" style="2"/>
    <col min="47" max="47" width="14.1640625" style="2" bestFit="1" customWidth="1"/>
    <col min="48" max="48" width="16.6640625" style="2" bestFit="1" customWidth="1"/>
    <col min="49" max="16384" width="10.83203125" style="2"/>
  </cols>
  <sheetData>
    <row r="1" spans="1:236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E1" s="1"/>
    </row>
    <row r="3" spans="1:236" x14ac:dyDescent="0.25">
      <c r="A3" s="1" t="s">
        <v>0</v>
      </c>
      <c r="C3" s="2" t="s">
        <v>46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37</v>
      </c>
      <c r="Q3" s="7" t="s">
        <v>31</v>
      </c>
      <c r="R3" s="7" t="s">
        <v>35</v>
      </c>
      <c r="S3" s="7" t="s">
        <v>36</v>
      </c>
      <c r="T3" s="7" t="s">
        <v>182</v>
      </c>
      <c r="U3" s="7" t="s">
        <v>183</v>
      </c>
      <c r="V3" s="7" t="s">
        <v>184</v>
      </c>
      <c r="W3" s="7" t="s">
        <v>185</v>
      </c>
      <c r="Y3" s="7" t="s">
        <v>41</v>
      </c>
      <c r="Z3" s="7" t="s">
        <v>42</v>
      </c>
      <c r="AA3" s="7" t="s">
        <v>43</v>
      </c>
      <c r="AB3" s="7" t="s">
        <v>44</v>
      </c>
      <c r="AC3" s="7" t="s">
        <v>32</v>
      </c>
      <c r="AD3" s="7" t="s">
        <v>33</v>
      </c>
      <c r="AE3" s="7" t="s">
        <v>34</v>
      </c>
      <c r="AF3" s="7" t="s">
        <v>15</v>
      </c>
      <c r="AG3" s="7" t="s">
        <v>16</v>
      </c>
      <c r="AH3" s="7" t="s">
        <v>17</v>
      </c>
      <c r="AI3" s="7" t="s">
        <v>18</v>
      </c>
      <c r="AJ3" s="7" t="s">
        <v>19</v>
      </c>
      <c r="AK3" s="7" t="s">
        <v>20</v>
      </c>
      <c r="AL3" s="7" t="s">
        <v>21</v>
      </c>
      <c r="AM3" s="7" t="s">
        <v>22</v>
      </c>
      <c r="AN3" s="7" t="s">
        <v>23</v>
      </c>
      <c r="AO3" s="7" t="s">
        <v>24</v>
      </c>
      <c r="AP3" s="7" t="s">
        <v>25</v>
      </c>
      <c r="AQ3" s="7" t="s">
        <v>26</v>
      </c>
      <c r="AR3" s="7" t="s">
        <v>27</v>
      </c>
      <c r="AS3" s="7" t="s">
        <v>28</v>
      </c>
    </row>
    <row r="4" spans="1:236" x14ac:dyDescent="0.25">
      <c r="A4" s="2" t="s">
        <v>1</v>
      </c>
      <c r="B4" s="21">
        <v>480</v>
      </c>
      <c r="C4" s="1" t="s">
        <v>53</v>
      </c>
      <c r="D4" s="12">
        <v>5689</v>
      </c>
      <c r="E4" s="12">
        <v>5655</v>
      </c>
      <c r="F4" s="12">
        <v>5263</v>
      </c>
      <c r="G4" s="12">
        <v>9856</v>
      </c>
      <c r="H4" s="12">
        <v>5850</v>
      </c>
      <c r="I4" s="12">
        <v>5894</v>
      </c>
      <c r="J4" s="12">
        <v>5572</v>
      </c>
      <c r="K4" s="12">
        <v>10820</v>
      </c>
      <c r="L4" s="12">
        <v>6834</v>
      </c>
      <c r="M4" s="12">
        <v>6771</v>
      </c>
      <c r="N4" s="12">
        <v>6103</v>
      </c>
      <c r="O4" s="12">
        <v>11973</v>
      </c>
      <c r="P4" s="12">
        <v>7347</v>
      </c>
      <c r="Q4" s="12">
        <v>7075</v>
      </c>
      <c r="R4" s="12">
        <v>6269</v>
      </c>
      <c r="S4" s="12">
        <v>11900</v>
      </c>
      <c r="T4" s="12">
        <v>7109</v>
      </c>
      <c r="U4" s="12"/>
      <c r="V4" s="12"/>
      <c r="X4" s="14"/>
      <c r="Y4" s="12">
        <v>16737</v>
      </c>
      <c r="Z4" s="12">
        <v>20281</v>
      </c>
      <c r="AA4" s="12">
        <v>22781</v>
      </c>
      <c r="AB4" s="12">
        <v>22806</v>
      </c>
      <c r="AC4" s="12">
        <v>21868</v>
      </c>
      <c r="AD4" s="12">
        <v>19009</v>
      </c>
      <c r="AE4" s="12">
        <v>23394</v>
      </c>
      <c r="AF4" s="12">
        <v>26463</v>
      </c>
      <c r="AG4" s="12">
        <v>28136</v>
      </c>
      <c r="AH4" s="12">
        <v>31680</v>
      </c>
      <c r="AI4" s="12">
        <v>32591</v>
      </c>
      <c r="AJ4" s="12">
        <f>AI4*1.02</f>
        <v>33242.82</v>
      </c>
      <c r="AK4" s="12">
        <f>AJ4*1.035</f>
        <v>34406.318699999996</v>
      </c>
      <c r="AL4" s="12">
        <f t="shared" ref="AL4:AS4" si="0">AK4*1.05</f>
        <v>36126.634634999995</v>
      </c>
      <c r="AM4" s="12">
        <f t="shared" si="0"/>
        <v>37932.966366749999</v>
      </c>
      <c r="AN4" s="12">
        <f t="shared" si="0"/>
        <v>39829.614685087501</v>
      </c>
      <c r="AO4" s="12">
        <f t="shared" si="0"/>
        <v>41821.09541934188</v>
      </c>
      <c r="AP4" s="12">
        <f t="shared" si="0"/>
        <v>43912.150190308974</v>
      </c>
      <c r="AQ4" s="12">
        <f t="shared" si="0"/>
        <v>46107.757699824426</v>
      </c>
      <c r="AR4" s="12">
        <f t="shared" si="0"/>
        <v>48413.145584815647</v>
      </c>
      <c r="AS4" s="12">
        <f t="shared" si="0"/>
        <v>50833.80286405643</v>
      </c>
    </row>
    <row r="5" spans="1:236" x14ac:dyDescent="0.25">
      <c r="A5" s="2" t="s">
        <v>2</v>
      </c>
      <c r="B5" s="5">
        <v>75</v>
      </c>
      <c r="C5" s="2" t="s">
        <v>54</v>
      </c>
      <c r="D5" s="14">
        <v>-1365</v>
      </c>
      <c r="E5" s="14">
        <v>-1337</v>
      </c>
      <c r="F5" s="14">
        <v>-1227</v>
      </c>
      <c r="G5" s="14">
        <v>-2345</v>
      </c>
      <c r="H5" s="14">
        <v>-1315</v>
      </c>
      <c r="I5" s="14">
        <v>-1289</v>
      </c>
      <c r="J5" s="14">
        <v>-1168</v>
      </c>
      <c r="K5" s="14">
        <v>-2241</v>
      </c>
      <c r="L5" s="14">
        <v>-1410</v>
      </c>
      <c r="M5" s="14">
        <v>-1342</v>
      </c>
      <c r="N5" s="14">
        <v>-1217</v>
      </c>
      <c r="O5" s="14">
        <v>-2422</v>
      </c>
      <c r="P5" s="14">
        <v>-1436</v>
      </c>
      <c r="Q5" s="14">
        <v>-1468</v>
      </c>
      <c r="R5" s="14">
        <v>-1300</v>
      </c>
      <c r="S5" s="14">
        <v>-2700</v>
      </c>
      <c r="T5" s="14">
        <v>-1458</v>
      </c>
      <c r="U5" s="14"/>
      <c r="V5" s="14"/>
      <c r="W5" s="14"/>
      <c r="X5" s="14"/>
      <c r="Y5" s="14">
        <v>-4544</v>
      </c>
      <c r="Z5" s="14">
        <v>-5058</v>
      </c>
      <c r="AA5" s="14">
        <v>-5815</v>
      </c>
      <c r="AB5" s="14">
        <v>-5864</v>
      </c>
      <c r="AC5" s="14">
        <v>-5966</v>
      </c>
      <c r="AD5" s="14">
        <v>-4634</v>
      </c>
      <c r="AE5" s="14">
        <v>-5590</v>
      </c>
      <c r="AF5" s="14">
        <v>-6273</v>
      </c>
      <c r="AG5" s="14">
        <v>-6012</v>
      </c>
      <c r="AH5" s="14">
        <v>-6391</v>
      </c>
      <c r="AI5" s="14">
        <f>AI4*-0.213</f>
        <v>-6941.8829999999998</v>
      </c>
      <c r="AJ5" s="14">
        <f>AJ4*-0.215</f>
        <v>-7147.2062999999998</v>
      </c>
      <c r="AK5" s="14">
        <f t="shared" ref="AK5:AS5" si="1">AK4*-0.215</f>
        <v>-7397.358520499999</v>
      </c>
      <c r="AL5" s="14">
        <f t="shared" si="1"/>
        <v>-7767.2264465249991</v>
      </c>
      <c r="AM5" s="14">
        <f t="shared" si="1"/>
        <v>-8155.5877688512501</v>
      </c>
      <c r="AN5" s="14">
        <f t="shared" si="1"/>
        <v>-8563.3671572938129</v>
      </c>
      <c r="AO5" s="14">
        <f t="shared" si="1"/>
        <v>-8991.5355151585045</v>
      </c>
      <c r="AP5" s="14">
        <f t="shared" si="1"/>
        <v>-9441.1122909164296</v>
      </c>
      <c r="AQ5" s="14">
        <f t="shared" si="1"/>
        <v>-9913.1679054622509</v>
      </c>
      <c r="AR5" s="14">
        <f t="shared" si="1"/>
        <v>-10408.826300735363</v>
      </c>
      <c r="AS5" s="14">
        <f t="shared" si="1"/>
        <v>-10929.267615772133</v>
      </c>
    </row>
    <row r="6" spans="1:236" x14ac:dyDescent="0.25">
      <c r="A6" s="2" t="s">
        <v>47</v>
      </c>
      <c r="B6" s="5">
        <f>B4*B5</f>
        <v>36000</v>
      </c>
      <c r="C6" s="2" t="s">
        <v>55</v>
      </c>
      <c r="D6" s="14">
        <f t="shared" ref="D6:Q6" si="2">SUM(D4:D5)</f>
        <v>4324</v>
      </c>
      <c r="E6" s="14">
        <f t="shared" si="2"/>
        <v>4318</v>
      </c>
      <c r="F6" s="14">
        <f t="shared" si="2"/>
        <v>4036</v>
      </c>
      <c r="G6" s="14">
        <f t="shared" si="2"/>
        <v>7511</v>
      </c>
      <c r="H6" s="14">
        <f t="shared" si="2"/>
        <v>4535</v>
      </c>
      <c r="I6" s="14">
        <f t="shared" si="2"/>
        <v>4605</v>
      </c>
      <c r="J6" s="14">
        <f t="shared" si="2"/>
        <v>4404</v>
      </c>
      <c r="K6" s="14">
        <f t="shared" si="2"/>
        <v>8579</v>
      </c>
      <c r="L6" s="14">
        <f t="shared" si="2"/>
        <v>5424</v>
      </c>
      <c r="M6" s="14">
        <f t="shared" si="2"/>
        <v>5429</v>
      </c>
      <c r="N6" s="14">
        <f t="shared" si="2"/>
        <v>4886</v>
      </c>
      <c r="O6" s="14">
        <f t="shared" si="2"/>
        <v>9551</v>
      </c>
      <c r="P6" s="14">
        <f t="shared" si="2"/>
        <v>5911</v>
      </c>
      <c r="Q6" s="14">
        <f t="shared" si="2"/>
        <v>5607</v>
      </c>
      <c r="R6" s="14">
        <f>SUM(R4:R5)</f>
        <v>4969</v>
      </c>
      <c r="S6" s="14">
        <f>SUM(S4:S5)</f>
        <v>9200</v>
      </c>
      <c r="T6" s="14">
        <f>SUM(T4:T5)</f>
        <v>5651</v>
      </c>
      <c r="U6" s="14"/>
      <c r="V6" s="14"/>
      <c r="X6" s="14"/>
      <c r="Y6" s="14">
        <f t="shared" ref="Y6:AH6" si="3">SUM(Y4:Y5)</f>
        <v>12193</v>
      </c>
      <c r="Z6" s="14">
        <f t="shared" si="3"/>
        <v>15223</v>
      </c>
      <c r="AA6" s="14">
        <f t="shared" si="3"/>
        <v>16966</v>
      </c>
      <c r="AB6" s="14">
        <f t="shared" si="3"/>
        <v>16942</v>
      </c>
      <c r="AC6" s="14">
        <f t="shared" si="3"/>
        <v>15902</v>
      </c>
      <c r="AD6" s="14">
        <f t="shared" si="3"/>
        <v>14375</v>
      </c>
      <c r="AE6" s="14">
        <f t="shared" si="3"/>
        <v>17804</v>
      </c>
      <c r="AF6" s="14">
        <f t="shared" si="3"/>
        <v>20190</v>
      </c>
      <c r="AG6" s="14">
        <f t="shared" si="3"/>
        <v>22124</v>
      </c>
      <c r="AH6" s="14">
        <f t="shared" si="3"/>
        <v>25289</v>
      </c>
      <c r="AI6" s="14">
        <f t="shared" ref="AI6:AS6" si="4">SUM(AI4:AI5)</f>
        <v>25649.116999999998</v>
      </c>
      <c r="AJ6" s="14">
        <f t="shared" si="4"/>
        <v>26095.613700000002</v>
      </c>
      <c r="AK6" s="14">
        <f t="shared" si="4"/>
        <v>27008.960179499998</v>
      </c>
      <c r="AL6" s="14">
        <f t="shared" si="4"/>
        <v>28359.408188474998</v>
      </c>
      <c r="AM6" s="14">
        <f t="shared" si="4"/>
        <v>29777.378597898751</v>
      </c>
      <c r="AN6" s="14">
        <f t="shared" si="4"/>
        <v>31266.24752779369</v>
      </c>
      <c r="AO6" s="14">
        <f t="shared" si="4"/>
        <v>32829.559904183378</v>
      </c>
      <c r="AP6" s="14">
        <f t="shared" si="4"/>
        <v>34471.037899392541</v>
      </c>
      <c r="AQ6" s="14">
        <f t="shared" si="4"/>
        <v>36194.589794362175</v>
      </c>
      <c r="AR6" s="14">
        <f t="shared" si="4"/>
        <v>38004.31928408028</v>
      </c>
      <c r="AS6" s="14">
        <f t="shared" si="4"/>
        <v>39904.535248284301</v>
      </c>
    </row>
    <row r="7" spans="1:236" x14ac:dyDescent="0.25">
      <c r="A7" s="2" t="s">
        <v>48</v>
      </c>
      <c r="B7" s="5">
        <f>S40</f>
        <v>1305</v>
      </c>
      <c r="C7" s="2" t="s">
        <v>56</v>
      </c>
      <c r="D7" s="14">
        <v>-2505</v>
      </c>
      <c r="E7" s="14">
        <v>-2615</v>
      </c>
      <c r="F7" s="14">
        <v>-2483</v>
      </c>
      <c r="G7" s="14">
        <v>-3720</v>
      </c>
      <c r="H7" s="14">
        <v>-2718</v>
      </c>
      <c r="I7" s="14">
        <v>-2839</v>
      </c>
      <c r="J7" s="14">
        <v>-2913</v>
      </c>
      <c r="K7" s="14">
        <v>-4237</v>
      </c>
      <c r="L7" s="14">
        <v>-3325</v>
      </c>
      <c r="M7" s="14">
        <v>-3504</v>
      </c>
      <c r="N7" s="14">
        <v>-3352</v>
      </c>
      <c r="O7" s="14">
        <v>-4664</v>
      </c>
      <c r="P7" s="14">
        <v>-3657</v>
      </c>
      <c r="Q7" s="14">
        <v>-3680</v>
      </c>
      <c r="R7" s="14">
        <v>-3494</v>
      </c>
      <c r="S7" s="14">
        <v>-4500</v>
      </c>
      <c r="T7" s="14">
        <v>-3621</v>
      </c>
      <c r="U7" s="14"/>
      <c r="V7" s="14"/>
      <c r="X7" s="14"/>
      <c r="Y7" s="14">
        <v>-4722</v>
      </c>
      <c r="Z7" s="14">
        <v>-5838</v>
      </c>
      <c r="AA7" s="14">
        <v>-7045</v>
      </c>
      <c r="AB7" s="14">
        <v>-8222</v>
      </c>
      <c r="AC7" s="14">
        <v>-9305</v>
      </c>
      <c r="AD7" s="14">
        <v>-9155</v>
      </c>
      <c r="AE7" s="14">
        <v>-9939</v>
      </c>
      <c r="AF7" s="14">
        <v>-11322</v>
      </c>
      <c r="AG7" s="14">
        <v>-12707</v>
      </c>
      <c r="AH7" s="14">
        <v>-14844</v>
      </c>
      <c r="AI7" s="14">
        <f>AH7*1.035</f>
        <v>-15363.539999999999</v>
      </c>
      <c r="AJ7" s="14">
        <f>AI7*1.08</f>
        <v>-16592.623200000002</v>
      </c>
      <c r="AK7" s="14">
        <f>AJ7*1.02</f>
        <v>-16924.475664000001</v>
      </c>
      <c r="AL7" s="14">
        <f t="shared" ref="AL7:AS7" si="5">AK7*1.045</f>
        <v>-17686.07706888</v>
      </c>
      <c r="AM7" s="14">
        <f t="shared" si="5"/>
        <v>-18481.950536979599</v>
      </c>
      <c r="AN7" s="14">
        <f t="shared" si="5"/>
        <v>-19313.638311143681</v>
      </c>
      <c r="AO7" s="14">
        <f t="shared" si="5"/>
        <v>-20182.752035145146</v>
      </c>
      <c r="AP7" s="14">
        <f t="shared" si="5"/>
        <v>-21090.975876726676</v>
      </c>
      <c r="AQ7" s="14">
        <f t="shared" si="5"/>
        <v>-22040.069791179376</v>
      </c>
      <c r="AR7" s="14">
        <f t="shared" si="5"/>
        <v>-23031.872931782447</v>
      </c>
      <c r="AS7" s="14">
        <f t="shared" si="5"/>
        <v>-24068.307213712655</v>
      </c>
    </row>
    <row r="8" spans="1:236" x14ac:dyDescent="0.25">
      <c r="A8" s="2" t="s">
        <v>49</v>
      </c>
      <c r="B8" s="5">
        <f>S49+S55</f>
        <v>15024</v>
      </c>
      <c r="C8" s="2" t="s">
        <v>57</v>
      </c>
      <c r="D8" s="14">
        <v>-509</v>
      </c>
      <c r="E8" s="14">
        <v>-454</v>
      </c>
      <c r="F8" s="14">
        <v>-576</v>
      </c>
      <c r="G8" s="14">
        <v>-586</v>
      </c>
      <c r="H8" s="14">
        <v>-562</v>
      </c>
      <c r="I8" s="14">
        <v>-578</v>
      </c>
      <c r="J8" s="14">
        <v>-571</v>
      </c>
      <c r="K8" s="14">
        <v>-668</v>
      </c>
      <c r="L8" s="14">
        <v>-592</v>
      </c>
      <c r="M8" s="14">
        <v>-588</v>
      </c>
      <c r="N8" s="14">
        <v>-553</v>
      </c>
      <c r="O8" s="14">
        <v>-738</v>
      </c>
      <c r="P8" s="14">
        <v>-613</v>
      </c>
      <c r="Q8" s="14">
        <v>-640</v>
      </c>
      <c r="R8" s="14">
        <v>-596</v>
      </c>
      <c r="S8" s="14">
        <v>-700</v>
      </c>
      <c r="T8" s="14">
        <v>-543</v>
      </c>
      <c r="U8" s="14"/>
      <c r="V8" s="14"/>
      <c r="X8" s="14"/>
      <c r="Y8" s="14">
        <v>-1657</v>
      </c>
      <c r="Z8" s="14">
        <v>-1981</v>
      </c>
      <c r="AA8" s="14">
        <v>-2137</v>
      </c>
      <c r="AB8" s="14">
        <v>-2289</v>
      </c>
      <c r="AC8" s="14">
        <v>-2770</v>
      </c>
      <c r="AD8" s="14">
        <v>-2536</v>
      </c>
      <c r="AE8" s="14">
        <v>-2026</v>
      </c>
      <c r="AF8" s="14">
        <v>-2125</v>
      </c>
      <c r="AG8" s="14">
        <v>-2379</v>
      </c>
      <c r="AH8" s="14">
        <v>-2471</v>
      </c>
      <c r="AI8" s="14">
        <f>AH8*1.03</f>
        <v>-2545.13</v>
      </c>
      <c r="AJ8" s="14">
        <f>AI8*1.05</f>
        <v>-2672.3865000000001</v>
      </c>
      <c r="AK8" s="14">
        <f>AJ8*1.04</f>
        <v>-2779.2819600000003</v>
      </c>
      <c r="AL8" s="14">
        <f t="shared" ref="AL8:AS8" si="6">AK8*1.05</f>
        <v>-2918.2460580000002</v>
      </c>
      <c r="AM8" s="14">
        <f t="shared" si="6"/>
        <v>-3064.1583609000004</v>
      </c>
      <c r="AN8" s="14">
        <f t="shared" si="6"/>
        <v>-3217.3662789450004</v>
      </c>
      <c r="AO8" s="14">
        <f t="shared" si="6"/>
        <v>-3378.2345928922505</v>
      </c>
      <c r="AP8" s="14">
        <f t="shared" si="6"/>
        <v>-3547.146322536863</v>
      </c>
      <c r="AQ8" s="14">
        <f t="shared" si="6"/>
        <v>-3724.5036386637062</v>
      </c>
      <c r="AR8" s="14">
        <f t="shared" si="6"/>
        <v>-3910.7288205968916</v>
      </c>
      <c r="AS8" s="14">
        <f t="shared" si="6"/>
        <v>-4106.265261626736</v>
      </c>
    </row>
    <row r="9" spans="1:236" x14ac:dyDescent="0.25">
      <c r="A9" s="3" t="s">
        <v>50</v>
      </c>
      <c r="B9" s="6">
        <f>B6-B7+B8</f>
        <v>49719</v>
      </c>
      <c r="C9" s="1" t="s">
        <v>58</v>
      </c>
      <c r="D9" s="12">
        <f t="shared" ref="D9:Q9" si="7">SUM(D6:D8)</f>
        <v>1310</v>
      </c>
      <c r="E9" s="12">
        <f t="shared" si="7"/>
        <v>1249</v>
      </c>
      <c r="F9" s="12">
        <f t="shared" si="7"/>
        <v>977</v>
      </c>
      <c r="G9" s="12">
        <f t="shared" si="7"/>
        <v>3205</v>
      </c>
      <c r="H9" s="12">
        <f t="shared" si="7"/>
        <v>1255</v>
      </c>
      <c r="I9" s="12">
        <f t="shared" si="7"/>
        <v>1188</v>
      </c>
      <c r="J9" s="12">
        <f t="shared" si="7"/>
        <v>920</v>
      </c>
      <c r="K9" s="12">
        <f t="shared" si="7"/>
        <v>3674</v>
      </c>
      <c r="L9" s="12">
        <f t="shared" si="7"/>
        <v>1507</v>
      </c>
      <c r="M9" s="12">
        <f t="shared" si="7"/>
        <v>1337</v>
      </c>
      <c r="N9" s="12">
        <f t="shared" si="7"/>
        <v>981</v>
      </c>
      <c r="O9" s="12">
        <f t="shared" si="7"/>
        <v>4149</v>
      </c>
      <c r="P9" s="12">
        <f t="shared" si="7"/>
        <v>1641</v>
      </c>
      <c r="Q9" s="12">
        <f t="shared" si="7"/>
        <v>1287</v>
      </c>
      <c r="R9" s="12">
        <f>SUM(R6:R8)</f>
        <v>879</v>
      </c>
      <c r="S9" s="12">
        <f>SUM(S6:S8)</f>
        <v>4000</v>
      </c>
      <c r="T9" s="12">
        <f>SUM(T6:T8)</f>
        <v>1487</v>
      </c>
      <c r="U9" s="12"/>
      <c r="V9" s="12"/>
      <c r="X9" s="14"/>
      <c r="Y9" s="12">
        <f t="shared" ref="Y9:AH9" si="8">SUM(Y6:Y8)</f>
        <v>5814</v>
      </c>
      <c r="Z9" s="12">
        <f t="shared" si="8"/>
        <v>7404</v>
      </c>
      <c r="AA9" s="12">
        <f t="shared" si="8"/>
        <v>7784</v>
      </c>
      <c r="AB9" s="12">
        <f t="shared" si="8"/>
        <v>6431</v>
      </c>
      <c r="AC9" s="12">
        <f t="shared" si="8"/>
        <v>3827</v>
      </c>
      <c r="AD9" s="12">
        <f t="shared" si="8"/>
        <v>2684</v>
      </c>
      <c r="AE9" s="12">
        <f t="shared" si="8"/>
        <v>5839</v>
      </c>
      <c r="AF9" s="12">
        <f t="shared" si="8"/>
        <v>6743</v>
      </c>
      <c r="AG9" s="12">
        <f t="shared" si="8"/>
        <v>7038</v>
      </c>
      <c r="AH9" s="12">
        <f t="shared" si="8"/>
        <v>7974</v>
      </c>
      <c r="AI9" s="12">
        <f t="shared" ref="AI9:AS9" si="9">SUM(AI6:AI8)</f>
        <v>7740.4469999999992</v>
      </c>
      <c r="AJ9" s="12">
        <f t="shared" si="9"/>
        <v>6830.6039999999994</v>
      </c>
      <c r="AK9" s="12">
        <f t="shared" si="9"/>
        <v>7305.2025554999964</v>
      </c>
      <c r="AL9" s="12">
        <f t="shared" si="9"/>
        <v>7755.0850615949967</v>
      </c>
      <c r="AM9" s="12">
        <f t="shared" si="9"/>
        <v>8231.2697000191511</v>
      </c>
      <c r="AN9" s="12">
        <f t="shared" si="9"/>
        <v>8735.2429377050084</v>
      </c>
      <c r="AO9" s="12">
        <f t="shared" si="9"/>
        <v>9268.5732761459803</v>
      </c>
      <c r="AP9" s="12">
        <f t="shared" si="9"/>
        <v>9832.9157001290023</v>
      </c>
      <c r="AQ9" s="12">
        <f t="shared" si="9"/>
        <v>10430.016364519093</v>
      </c>
      <c r="AR9" s="12">
        <f t="shared" si="9"/>
        <v>11061.717531700942</v>
      </c>
      <c r="AS9" s="12">
        <f t="shared" si="9"/>
        <v>11729.962772944909</v>
      </c>
    </row>
    <row r="10" spans="1:236" x14ac:dyDescent="0.25">
      <c r="C10" s="2" t="s">
        <v>59</v>
      </c>
      <c r="D10" s="14">
        <v>88</v>
      </c>
      <c r="E10" s="14">
        <v>132</v>
      </c>
      <c r="F10" s="14">
        <v>91</v>
      </c>
      <c r="G10" s="14">
        <v>101</v>
      </c>
      <c r="H10" s="14">
        <v>92</v>
      </c>
      <c r="I10" s="14">
        <v>67</v>
      </c>
      <c r="J10" s="14">
        <v>49</v>
      </c>
      <c r="K10" s="14">
        <v>42</v>
      </c>
      <c r="L10" s="14">
        <v>47</v>
      </c>
      <c r="M10" s="14">
        <v>47</v>
      </c>
      <c r="N10" s="14">
        <v>111</v>
      </c>
      <c r="O10" s="14">
        <v>43</v>
      </c>
      <c r="P10" s="14">
        <v>38</v>
      </c>
      <c r="Q10" s="14">
        <v>77</v>
      </c>
      <c r="R10" s="14">
        <v>42</v>
      </c>
      <c r="S10" s="14">
        <v>121</v>
      </c>
      <c r="T10" s="14">
        <v>55</v>
      </c>
      <c r="U10" s="14"/>
      <c r="V10" s="14"/>
      <c r="Y10" s="14">
        <v>84</v>
      </c>
      <c r="Z10" s="14">
        <v>328</v>
      </c>
      <c r="AA10" s="14">
        <v>198</v>
      </c>
      <c r="AB10" s="14">
        <v>533</v>
      </c>
      <c r="AC10" s="14">
        <v>351</v>
      </c>
      <c r="AD10" s="14">
        <v>316</v>
      </c>
      <c r="AE10" s="14">
        <v>152</v>
      </c>
      <c r="AF10" s="14">
        <v>412</v>
      </c>
      <c r="AG10" s="14">
        <v>251</v>
      </c>
      <c r="AH10" s="14">
        <v>248</v>
      </c>
      <c r="AI10" s="14">
        <v>230</v>
      </c>
      <c r="AJ10" s="14">
        <f>AI10*1.02</f>
        <v>234.6</v>
      </c>
      <c r="AK10" s="14">
        <f t="shared" ref="AK10:AS10" si="10">AJ10*1.02</f>
        <v>239.292</v>
      </c>
      <c r="AL10" s="14">
        <f t="shared" si="10"/>
        <v>244.07784000000001</v>
      </c>
      <c r="AM10" s="14">
        <f t="shared" si="10"/>
        <v>248.95939680000001</v>
      </c>
      <c r="AN10" s="14">
        <f t="shared" si="10"/>
        <v>253.93858473600002</v>
      </c>
      <c r="AO10" s="14">
        <f t="shared" si="10"/>
        <v>259.01735643072004</v>
      </c>
      <c r="AP10" s="14">
        <f t="shared" si="10"/>
        <v>264.19770355933446</v>
      </c>
      <c r="AQ10" s="14">
        <f t="shared" si="10"/>
        <v>269.48165763052117</v>
      </c>
      <c r="AR10" s="14">
        <f t="shared" si="10"/>
        <v>274.8712907831316</v>
      </c>
      <c r="AS10" s="14">
        <f t="shared" si="10"/>
        <v>280.36871659879421</v>
      </c>
    </row>
    <row r="11" spans="1:236" x14ac:dyDescent="0.25">
      <c r="C11" s="2" t="s">
        <v>60</v>
      </c>
      <c r="D11" s="14">
        <v>-98</v>
      </c>
      <c r="E11" s="14">
        <v>-160</v>
      </c>
      <c r="F11" s="14">
        <v>-109</v>
      </c>
      <c r="G11" s="14">
        <v>-255</v>
      </c>
      <c r="H11" s="14">
        <v>-186</v>
      </c>
      <c r="I11" s="14">
        <v>-239</v>
      </c>
      <c r="J11" s="14">
        <v>-259</v>
      </c>
      <c r="K11" s="14">
        <v>-372</v>
      </c>
      <c r="L11" s="14">
        <v>-276</v>
      </c>
      <c r="M11" s="14">
        <v>-327</v>
      </c>
      <c r="N11" s="14">
        <v>-304</v>
      </c>
      <c r="O11" s="14">
        <v>-390</v>
      </c>
      <c r="P11" s="14">
        <v>-276</v>
      </c>
      <c r="Q11" s="14">
        <v>-301</v>
      </c>
      <c r="R11" s="14">
        <v>-274</v>
      </c>
      <c r="S11" s="14">
        <v>-298</v>
      </c>
      <c r="T11" s="14">
        <v>-279</v>
      </c>
      <c r="U11" s="14"/>
      <c r="V11" s="14"/>
      <c r="Y11" s="14">
        <v>-553</v>
      </c>
      <c r="Z11" s="14">
        <v>-82</v>
      </c>
      <c r="AA11" s="14">
        <v>-315</v>
      </c>
      <c r="AB11" s="14">
        <v>-382</v>
      </c>
      <c r="AC11" s="14">
        <v>-351</v>
      </c>
      <c r="AD11" s="14">
        <v>-507</v>
      </c>
      <c r="AE11" s="14">
        <v>-613</v>
      </c>
      <c r="AF11" s="14">
        <v>-622</v>
      </c>
      <c r="AG11" s="14">
        <v>-1056</v>
      </c>
      <c r="AH11" s="14">
        <v>-1297</v>
      </c>
      <c r="AI11" s="14">
        <v>-1154</v>
      </c>
      <c r="AJ11" s="14">
        <f>AI11*1.02</f>
        <v>-1177.08</v>
      </c>
      <c r="AK11" s="14">
        <f t="shared" ref="AK11:AS11" si="11">AJ11*1.02</f>
        <v>-1200.6215999999999</v>
      </c>
      <c r="AL11" s="14">
        <f t="shared" si="11"/>
        <v>-1224.6340319999999</v>
      </c>
      <c r="AM11" s="14">
        <f t="shared" si="11"/>
        <v>-1249.1267126400001</v>
      </c>
      <c r="AN11" s="14">
        <f t="shared" si="11"/>
        <v>-1274.1092468928</v>
      </c>
      <c r="AO11" s="14">
        <f t="shared" si="11"/>
        <v>-1299.5914318306561</v>
      </c>
      <c r="AP11" s="14">
        <f t="shared" si="11"/>
        <v>-1325.5832604672692</v>
      </c>
      <c r="AQ11" s="14">
        <f t="shared" si="11"/>
        <v>-1352.0949256766146</v>
      </c>
      <c r="AR11" s="14">
        <f t="shared" si="11"/>
        <v>-1379.1368241901469</v>
      </c>
      <c r="AS11" s="14">
        <f t="shared" si="11"/>
        <v>-1406.7195606739499</v>
      </c>
    </row>
    <row r="12" spans="1:236" x14ac:dyDescent="0.25">
      <c r="C12" s="2" t="s">
        <v>61</v>
      </c>
      <c r="D12" s="14">
        <f t="shared" ref="D12:Q12" si="12">SUM(D9:D11)</f>
        <v>1300</v>
      </c>
      <c r="E12" s="14">
        <f t="shared" si="12"/>
        <v>1221</v>
      </c>
      <c r="F12" s="14">
        <f t="shared" si="12"/>
        <v>959</v>
      </c>
      <c r="G12" s="14">
        <f t="shared" si="12"/>
        <v>3051</v>
      </c>
      <c r="H12" s="14">
        <f t="shared" si="12"/>
        <v>1161</v>
      </c>
      <c r="I12" s="14">
        <f t="shared" si="12"/>
        <v>1016</v>
      </c>
      <c r="J12" s="14">
        <f t="shared" si="12"/>
        <v>710</v>
      </c>
      <c r="K12" s="14">
        <f t="shared" si="12"/>
        <v>3344</v>
      </c>
      <c r="L12" s="14">
        <f t="shared" si="12"/>
        <v>1278</v>
      </c>
      <c r="M12" s="14">
        <f t="shared" si="12"/>
        <v>1057</v>
      </c>
      <c r="N12" s="14">
        <f t="shared" si="12"/>
        <v>788</v>
      </c>
      <c r="O12" s="14">
        <f t="shared" si="12"/>
        <v>3802</v>
      </c>
      <c r="P12" s="14">
        <f t="shared" si="12"/>
        <v>1403</v>
      </c>
      <c r="Q12" s="14">
        <f t="shared" si="12"/>
        <v>1063</v>
      </c>
      <c r="R12" s="14">
        <f>SUM(R9:R11)</f>
        <v>647</v>
      </c>
      <c r="S12" s="14">
        <f>SUM(S9:S11)</f>
        <v>3823</v>
      </c>
      <c r="T12" s="14">
        <f>SUM(T9:T11)</f>
        <v>1263</v>
      </c>
      <c r="U12" s="14"/>
      <c r="V12" s="14"/>
      <c r="Y12" s="14">
        <f t="shared" ref="Y12:AH12" si="13">SUM(Y9:Y11)</f>
        <v>5345</v>
      </c>
      <c r="Z12" s="14">
        <f t="shared" si="13"/>
        <v>7650</v>
      </c>
      <c r="AA12" s="14">
        <f t="shared" si="13"/>
        <v>7667</v>
      </c>
      <c r="AB12" s="14">
        <f t="shared" si="13"/>
        <v>6582</v>
      </c>
      <c r="AC12" s="14">
        <f t="shared" si="13"/>
        <v>3827</v>
      </c>
      <c r="AD12" s="14">
        <f t="shared" si="13"/>
        <v>2493</v>
      </c>
      <c r="AE12" s="14">
        <f t="shared" si="13"/>
        <v>5378</v>
      </c>
      <c r="AF12" s="14">
        <f t="shared" si="13"/>
        <v>6533</v>
      </c>
      <c r="AG12" s="14">
        <f t="shared" si="13"/>
        <v>6233</v>
      </c>
      <c r="AH12" s="14">
        <f t="shared" si="13"/>
        <v>6925</v>
      </c>
      <c r="AI12" s="14">
        <f t="shared" ref="AI12:AS12" si="14">SUM(AI9:AI11)</f>
        <v>6816.4469999999992</v>
      </c>
      <c r="AJ12" s="14">
        <f t="shared" si="14"/>
        <v>5888.1239999999998</v>
      </c>
      <c r="AK12" s="14">
        <f t="shared" si="14"/>
        <v>6343.8729554999973</v>
      </c>
      <c r="AL12" s="14">
        <f t="shared" si="14"/>
        <v>6774.5288695949966</v>
      </c>
      <c r="AM12" s="14">
        <f t="shared" si="14"/>
        <v>7231.1023841791521</v>
      </c>
      <c r="AN12" s="14">
        <f t="shared" si="14"/>
        <v>7715.0722755482093</v>
      </c>
      <c r="AO12" s="14">
        <f t="shared" si="14"/>
        <v>8227.9992007460442</v>
      </c>
      <c r="AP12" s="14">
        <f t="shared" si="14"/>
        <v>8771.5301432210672</v>
      </c>
      <c r="AQ12" s="14">
        <f t="shared" si="14"/>
        <v>9347.4030964730009</v>
      </c>
      <c r="AR12" s="14">
        <f t="shared" si="14"/>
        <v>9957.4519982939273</v>
      </c>
      <c r="AS12" s="14">
        <f t="shared" si="14"/>
        <v>10603.611928869754</v>
      </c>
    </row>
    <row r="13" spans="1:236" x14ac:dyDescent="0.25">
      <c r="C13" s="2" t="s">
        <v>62</v>
      </c>
      <c r="D13" s="14">
        <v>-306</v>
      </c>
      <c r="E13" s="14">
        <v>-287</v>
      </c>
      <c r="F13" s="14">
        <v>-226</v>
      </c>
      <c r="G13" s="14">
        <v>-686</v>
      </c>
      <c r="H13" s="14">
        <v>-273</v>
      </c>
      <c r="I13" s="14">
        <v>-239</v>
      </c>
      <c r="J13" s="14">
        <v>-167</v>
      </c>
      <c r="K13" s="14">
        <v>-815</v>
      </c>
      <c r="L13" s="14">
        <v>-313</v>
      </c>
      <c r="M13" s="14">
        <v>-260</v>
      </c>
      <c r="N13" s="14">
        <v>-193</v>
      </c>
      <c r="O13" s="14">
        <v>-933</v>
      </c>
      <c r="P13" s="14">
        <v>-302</v>
      </c>
      <c r="Q13" s="14">
        <v>-261</v>
      </c>
      <c r="R13" s="14">
        <v>-159</v>
      </c>
      <c r="S13" s="14">
        <v>-900</v>
      </c>
      <c r="T13" s="14">
        <v>-321</v>
      </c>
      <c r="U13" s="14"/>
      <c r="V13" s="14"/>
      <c r="Y13" s="14">
        <v>-1671</v>
      </c>
      <c r="Z13" s="14">
        <v>-1625</v>
      </c>
      <c r="AA13" s="14">
        <v>-1899</v>
      </c>
      <c r="AB13" s="14">
        <v>-1537</v>
      </c>
      <c r="AC13" s="14">
        <v>-884</v>
      </c>
      <c r="AD13" s="14">
        <v>-556</v>
      </c>
      <c r="AE13" s="14">
        <v>-1218</v>
      </c>
      <c r="AF13" s="14">
        <v>-1504</v>
      </c>
      <c r="AG13" s="14">
        <v>-1494</v>
      </c>
      <c r="AH13" s="14">
        <v>-1699</v>
      </c>
      <c r="AI13" s="14">
        <f>AI12*-0.24</f>
        <v>-1635.9472799999996</v>
      </c>
      <c r="AJ13" s="14">
        <f t="shared" ref="AJ13:AS13" si="15">AJ12*-0.24</f>
        <v>-1413.1497599999998</v>
      </c>
      <c r="AK13" s="14">
        <f t="shared" si="15"/>
        <v>-1522.5295093199993</v>
      </c>
      <c r="AL13" s="14">
        <f t="shared" si="15"/>
        <v>-1625.8869287027992</v>
      </c>
      <c r="AM13" s="14">
        <f t="shared" si="15"/>
        <v>-1735.4645722029964</v>
      </c>
      <c r="AN13" s="14">
        <f t="shared" si="15"/>
        <v>-1851.6173461315702</v>
      </c>
      <c r="AO13" s="14">
        <f t="shared" si="15"/>
        <v>-1974.7198081790505</v>
      </c>
      <c r="AP13" s="14">
        <f t="shared" si="15"/>
        <v>-2105.1672343730561</v>
      </c>
      <c r="AQ13" s="14">
        <f t="shared" si="15"/>
        <v>-2243.3767431535202</v>
      </c>
      <c r="AR13" s="14">
        <f t="shared" si="15"/>
        <v>-2389.7884795905425</v>
      </c>
      <c r="AS13" s="14">
        <f t="shared" si="15"/>
        <v>-2544.8668629287408</v>
      </c>
    </row>
    <row r="14" spans="1:236" x14ac:dyDescent="0.25">
      <c r="C14" s="1" t="s">
        <v>63</v>
      </c>
      <c r="D14" s="12">
        <f t="shared" ref="D14:Q14" si="16">SUM(D12:D13)</f>
        <v>994</v>
      </c>
      <c r="E14" s="12">
        <f t="shared" si="16"/>
        <v>934</v>
      </c>
      <c r="F14" s="12">
        <f t="shared" si="16"/>
        <v>733</v>
      </c>
      <c r="G14" s="12">
        <f t="shared" si="16"/>
        <v>2365</v>
      </c>
      <c r="H14" s="12">
        <f t="shared" si="16"/>
        <v>888</v>
      </c>
      <c r="I14" s="12">
        <f t="shared" si="16"/>
        <v>777</v>
      </c>
      <c r="J14" s="12">
        <f t="shared" si="16"/>
        <v>543</v>
      </c>
      <c r="K14" s="12">
        <f t="shared" si="16"/>
        <v>2529</v>
      </c>
      <c r="L14" s="12">
        <f t="shared" si="16"/>
        <v>965</v>
      </c>
      <c r="M14" s="12">
        <f t="shared" si="16"/>
        <v>797</v>
      </c>
      <c r="N14" s="12">
        <f t="shared" si="16"/>
        <v>595</v>
      </c>
      <c r="O14" s="12">
        <f t="shared" si="16"/>
        <v>2869</v>
      </c>
      <c r="P14" s="12">
        <f t="shared" si="16"/>
        <v>1101</v>
      </c>
      <c r="Q14" s="12">
        <f t="shared" si="16"/>
        <v>802</v>
      </c>
      <c r="R14" s="12">
        <f>SUM(R12:R13)</f>
        <v>488</v>
      </c>
      <c r="S14" s="12">
        <f>SUM(S12:S13)</f>
        <v>2923</v>
      </c>
      <c r="T14" s="12">
        <f>SUM(T12:T13)</f>
        <v>942</v>
      </c>
      <c r="U14" s="12"/>
      <c r="V14" s="12"/>
      <c r="Y14" s="12">
        <f t="shared" ref="Y14:AH14" si="17">SUM(Y12:Y13)</f>
        <v>3674</v>
      </c>
      <c r="Z14" s="12">
        <f t="shared" si="17"/>
        <v>6025</v>
      </c>
      <c r="AA14" s="12">
        <f t="shared" si="17"/>
        <v>5768</v>
      </c>
      <c r="AB14" s="12">
        <f t="shared" si="17"/>
        <v>5045</v>
      </c>
      <c r="AC14" s="12">
        <f t="shared" si="17"/>
        <v>2943</v>
      </c>
      <c r="AD14" s="12">
        <f t="shared" si="17"/>
        <v>1937</v>
      </c>
      <c r="AE14" s="12">
        <f t="shared" si="17"/>
        <v>4160</v>
      </c>
      <c r="AF14" s="12">
        <f t="shared" si="17"/>
        <v>5029</v>
      </c>
      <c r="AG14" s="12">
        <f t="shared" si="17"/>
        <v>4739</v>
      </c>
      <c r="AH14" s="12">
        <f t="shared" si="17"/>
        <v>5226</v>
      </c>
      <c r="AI14" s="12">
        <f t="shared" ref="AI14:AS14" si="18">SUM(AI12:AI13)</f>
        <v>5180.4997199999998</v>
      </c>
      <c r="AJ14" s="12">
        <f t="shared" si="18"/>
        <v>4474.9742399999996</v>
      </c>
      <c r="AK14" s="12">
        <f t="shared" si="18"/>
        <v>4821.343446179998</v>
      </c>
      <c r="AL14" s="12">
        <f t="shared" si="18"/>
        <v>5148.6419408921975</v>
      </c>
      <c r="AM14" s="12">
        <f t="shared" si="18"/>
        <v>5495.6378119761557</v>
      </c>
      <c r="AN14" s="12">
        <f t="shared" si="18"/>
        <v>5863.4549294166391</v>
      </c>
      <c r="AO14" s="12">
        <f t="shared" si="18"/>
        <v>6253.2793925669939</v>
      </c>
      <c r="AP14" s="12">
        <f t="shared" si="18"/>
        <v>6666.3629088480111</v>
      </c>
      <c r="AQ14" s="12">
        <f t="shared" si="18"/>
        <v>7104.0263533194811</v>
      </c>
      <c r="AR14" s="12">
        <f t="shared" si="18"/>
        <v>7567.6635187033844</v>
      </c>
      <c r="AS14" s="12">
        <f t="shared" si="18"/>
        <v>8058.7450659410133</v>
      </c>
      <c r="AT14" s="12">
        <f>AS14*(1+$AV$18)</f>
        <v>7978.1576152816033</v>
      </c>
      <c r="AU14" s="12">
        <f t="shared" ref="AU14:DF14" si="19">AT14*(1+$AV$18)</f>
        <v>7898.3760391287869</v>
      </c>
      <c r="AV14" s="12">
        <f t="shared" si="19"/>
        <v>7819.3922787374986</v>
      </c>
      <c r="AW14" s="12">
        <f t="shared" si="19"/>
        <v>7741.1983559501232</v>
      </c>
      <c r="AX14" s="12">
        <f t="shared" si="19"/>
        <v>7663.7863723906221</v>
      </c>
      <c r="AY14" s="12">
        <f t="shared" si="19"/>
        <v>7587.1485086667162</v>
      </c>
      <c r="AZ14" s="12">
        <f t="shared" si="19"/>
        <v>7511.277023580049</v>
      </c>
      <c r="BA14" s="12">
        <f t="shared" si="19"/>
        <v>7436.1642533442482</v>
      </c>
      <c r="BB14" s="12">
        <f t="shared" si="19"/>
        <v>7361.8026108108061</v>
      </c>
      <c r="BC14" s="12">
        <f t="shared" si="19"/>
        <v>7288.184584702698</v>
      </c>
      <c r="BD14" s="12">
        <f t="shared" si="19"/>
        <v>7215.3027388556711</v>
      </c>
      <c r="BE14" s="12">
        <f t="shared" si="19"/>
        <v>7143.1497114671147</v>
      </c>
      <c r="BF14" s="12">
        <f t="shared" si="19"/>
        <v>7071.7182143524433</v>
      </c>
      <c r="BG14" s="12">
        <f t="shared" si="19"/>
        <v>7001.0010322089192</v>
      </c>
      <c r="BH14" s="12">
        <f t="shared" si="19"/>
        <v>6930.9910218868299</v>
      </c>
      <c r="BI14" s="12">
        <f t="shared" si="19"/>
        <v>6861.6811116679619</v>
      </c>
      <c r="BJ14" s="12">
        <f t="shared" si="19"/>
        <v>6793.064300551282</v>
      </c>
      <c r="BK14" s="12">
        <f t="shared" si="19"/>
        <v>6725.133657545769</v>
      </c>
      <c r="BL14" s="12">
        <f t="shared" si="19"/>
        <v>6657.8823209703114</v>
      </c>
      <c r="BM14" s="12">
        <f t="shared" si="19"/>
        <v>6591.3034977606085</v>
      </c>
      <c r="BN14" s="12">
        <f t="shared" si="19"/>
        <v>6525.3904627830025</v>
      </c>
      <c r="BO14" s="12">
        <f t="shared" si="19"/>
        <v>6460.1365581551727</v>
      </c>
      <c r="BP14" s="12">
        <f t="shared" si="19"/>
        <v>6395.5351925736213</v>
      </c>
      <c r="BQ14" s="12">
        <f t="shared" si="19"/>
        <v>6331.5798406478852</v>
      </c>
      <c r="BR14" s="12">
        <f t="shared" si="19"/>
        <v>6268.2640422414061</v>
      </c>
      <c r="BS14" s="12">
        <f t="shared" si="19"/>
        <v>6205.5814018189922</v>
      </c>
      <c r="BT14" s="12">
        <f t="shared" si="19"/>
        <v>6143.525587800802</v>
      </c>
      <c r="BU14" s="12">
        <f t="shared" si="19"/>
        <v>6082.0903319227937</v>
      </c>
      <c r="BV14" s="12">
        <f t="shared" si="19"/>
        <v>6021.2694286035658</v>
      </c>
      <c r="BW14" s="12">
        <f t="shared" si="19"/>
        <v>5961.0567343175298</v>
      </c>
      <c r="BX14" s="12">
        <f t="shared" si="19"/>
        <v>5901.4461669743541</v>
      </c>
      <c r="BY14" s="12">
        <f t="shared" si="19"/>
        <v>5842.4317053046107</v>
      </c>
      <c r="BZ14" s="12">
        <f t="shared" si="19"/>
        <v>5784.0073882515644</v>
      </c>
      <c r="CA14" s="12">
        <f t="shared" si="19"/>
        <v>5726.1673143690487</v>
      </c>
      <c r="CB14" s="12">
        <f t="shared" si="19"/>
        <v>5668.9056412253585</v>
      </c>
      <c r="CC14" s="12">
        <f t="shared" si="19"/>
        <v>5612.2165848131053</v>
      </c>
      <c r="CD14" s="12">
        <f t="shared" si="19"/>
        <v>5556.0944189649745</v>
      </c>
      <c r="CE14" s="12">
        <f t="shared" si="19"/>
        <v>5500.533474775325</v>
      </c>
      <c r="CF14" s="12">
        <f t="shared" si="19"/>
        <v>5445.5281400275717</v>
      </c>
      <c r="CG14" s="12">
        <f t="shared" si="19"/>
        <v>5391.0728586272962</v>
      </c>
      <c r="CH14" s="12">
        <f t="shared" si="19"/>
        <v>5337.1621300410234</v>
      </c>
      <c r="CI14" s="12">
        <f t="shared" si="19"/>
        <v>5283.7905087406134</v>
      </c>
      <c r="CJ14" s="12">
        <f t="shared" si="19"/>
        <v>5230.952603653207</v>
      </c>
      <c r="CK14" s="12">
        <f t="shared" si="19"/>
        <v>5178.6430776166753</v>
      </c>
      <c r="CL14" s="12">
        <f t="shared" si="19"/>
        <v>5126.8566468405088</v>
      </c>
      <c r="CM14" s="12">
        <f t="shared" si="19"/>
        <v>5075.5880803721038</v>
      </c>
      <c r="CN14" s="12">
        <f t="shared" si="19"/>
        <v>5024.8321995683827</v>
      </c>
      <c r="CO14" s="12">
        <f t="shared" si="19"/>
        <v>4974.5838775726988</v>
      </c>
      <c r="CP14" s="12">
        <f t="shared" si="19"/>
        <v>4924.8380387969719</v>
      </c>
      <c r="CQ14" s="12">
        <f t="shared" si="19"/>
        <v>4875.5896584090024</v>
      </c>
      <c r="CR14" s="12">
        <f t="shared" si="19"/>
        <v>4826.8337618249125</v>
      </c>
      <c r="CS14" s="12">
        <f t="shared" si="19"/>
        <v>4778.565424206663</v>
      </c>
      <c r="CT14" s="12">
        <f t="shared" si="19"/>
        <v>4730.7797699645962</v>
      </c>
      <c r="CU14" s="12">
        <f t="shared" si="19"/>
        <v>4683.4719722649506</v>
      </c>
      <c r="CV14" s="12">
        <f t="shared" si="19"/>
        <v>4636.6372525423012</v>
      </c>
      <c r="CW14" s="12">
        <f t="shared" si="19"/>
        <v>4590.2708800168784</v>
      </c>
      <c r="CX14" s="12">
        <f t="shared" si="19"/>
        <v>4544.3681712167099</v>
      </c>
      <c r="CY14" s="12">
        <f t="shared" si="19"/>
        <v>4498.9244895045431</v>
      </c>
      <c r="CZ14" s="12">
        <f t="shared" si="19"/>
        <v>4453.9352446094972</v>
      </c>
      <c r="DA14" s="12">
        <f t="shared" si="19"/>
        <v>4409.3958921634021</v>
      </c>
      <c r="DB14" s="12">
        <f t="shared" si="19"/>
        <v>4365.301933241768</v>
      </c>
      <c r="DC14" s="12">
        <f t="shared" si="19"/>
        <v>4321.6489139093501</v>
      </c>
      <c r="DD14" s="12">
        <f t="shared" si="19"/>
        <v>4278.4324247702561</v>
      </c>
      <c r="DE14" s="12">
        <f t="shared" si="19"/>
        <v>4235.6481005225532</v>
      </c>
      <c r="DF14" s="12">
        <f t="shared" si="19"/>
        <v>4193.2916195173275</v>
      </c>
      <c r="DG14" s="12">
        <f t="shared" ref="DG14:FR14" si="20">DF14*(1+$AV$18)</f>
        <v>4151.3587033221538</v>
      </c>
      <c r="DH14" s="12">
        <f t="shared" si="20"/>
        <v>4109.8451162889323</v>
      </c>
      <c r="DI14" s="12">
        <f t="shared" si="20"/>
        <v>4068.7466651260429</v>
      </c>
      <c r="DJ14" s="12">
        <f t="shared" si="20"/>
        <v>4028.0591984747825</v>
      </c>
      <c r="DK14" s="12">
        <f t="shared" si="20"/>
        <v>3987.7786064900347</v>
      </c>
      <c r="DL14" s="12">
        <f t="shared" si="20"/>
        <v>3947.9008204251345</v>
      </c>
      <c r="DM14" s="12">
        <f t="shared" si="20"/>
        <v>3908.4218122208831</v>
      </c>
      <c r="DN14" s="12">
        <f t="shared" si="20"/>
        <v>3869.3375940986743</v>
      </c>
      <c r="DO14" s="12">
        <f t="shared" si="20"/>
        <v>3830.6442181576876</v>
      </c>
      <c r="DP14" s="12">
        <f t="shared" si="20"/>
        <v>3792.3377759761106</v>
      </c>
      <c r="DQ14" s="12">
        <f t="shared" si="20"/>
        <v>3754.4143982163496</v>
      </c>
      <c r="DR14" s="12">
        <f t="shared" si="20"/>
        <v>3716.8702542341862</v>
      </c>
      <c r="DS14" s="12">
        <f t="shared" si="20"/>
        <v>3679.7015516918441</v>
      </c>
      <c r="DT14" s="12">
        <f t="shared" si="20"/>
        <v>3642.9045361749254</v>
      </c>
      <c r="DU14" s="12">
        <f t="shared" si="20"/>
        <v>3606.4754908131763</v>
      </c>
      <c r="DV14" s="12">
        <f t="shared" si="20"/>
        <v>3570.4107359050445</v>
      </c>
      <c r="DW14" s="12">
        <f t="shared" si="20"/>
        <v>3534.7066285459941</v>
      </c>
      <c r="DX14" s="12">
        <f t="shared" si="20"/>
        <v>3499.3595622605339</v>
      </c>
      <c r="DY14" s="12">
        <f t="shared" si="20"/>
        <v>3464.3659666379285</v>
      </c>
      <c r="DZ14" s="12">
        <f t="shared" si="20"/>
        <v>3429.7223069715492</v>
      </c>
      <c r="EA14" s="12">
        <f t="shared" si="20"/>
        <v>3395.4250839018337</v>
      </c>
      <c r="EB14" s="12">
        <f t="shared" si="20"/>
        <v>3361.4708330628155</v>
      </c>
      <c r="EC14" s="12">
        <f t="shared" si="20"/>
        <v>3327.8561247321873</v>
      </c>
      <c r="ED14" s="12">
        <f t="shared" si="20"/>
        <v>3294.5775634848655</v>
      </c>
      <c r="EE14" s="12">
        <f t="shared" si="20"/>
        <v>3261.6317878500167</v>
      </c>
      <c r="EF14" s="12">
        <f t="shared" si="20"/>
        <v>3229.0154699715167</v>
      </c>
      <c r="EG14" s="12">
        <f t="shared" si="20"/>
        <v>3196.7253152718017</v>
      </c>
      <c r="EH14" s="12">
        <f t="shared" si="20"/>
        <v>3164.7580621190837</v>
      </c>
      <c r="EI14" s="12">
        <f t="shared" si="20"/>
        <v>3133.1104814978926</v>
      </c>
      <c r="EJ14" s="12">
        <f t="shared" si="20"/>
        <v>3101.7793766829136</v>
      </c>
      <c r="EK14" s="12">
        <f t="shared" si="20"/>
        <v>3070.7615829160845</v>
      </c>
      <c r="EL14" s="12">
        <f t="shared" si="20"/>
        <v>3040.0539670869239</v>
      </c>
      <c r="EM14" s="12">
        <f t="shared" si="20"/>
        <v>3009.6534274160545</v>
      </c>
      <c r="EN14" s="12">
        <f t="shared" si="20"/>
        <v>2979.5568931418939</v>
      </c>
      <c r="EO14" s="12">
        <f t="shared" si="20"/>
        <v>2949.7613242104749</v>
      </c>
      <c r="EP14" s="12">
        <f t="shared" si="20"/>
        <v>2920.2637109683701</v>
      </c>
      <c r="EQ14" s="12">
        <f t="shared" si="20"/>
        <v>2891.0610738586865</v>
      </c>
      <c r="ER14" s="12">
        <f t="shared" si="20"/>
        <v>2862.1504631200996</v>
      </c>
      <c r="ES14" s="12">
        <f t="shared" si="20"/>
        <v>2833.5289584888988</v>
      </c>
      <c r="ET14" s="12">
        <f t="shared" si="20"/>
        <v>2805.1936689040099</v>
      </c>
      <c r="EU14" s="12">
        <f t="shared" si="20"/>
        <v>2777.1417322149696</v>
      </c>
      <c r="EV14" s="12">
        <f t="shared" si="20"/>
        <v>2749.3703148928198</v>
      </c>
      <c r="EW14" s="12">
        <f t="shared" si="20"/>
        <v>2721.8766117438918</v>
      </c>
      <c r="EX14" s="12">
        <f t="shared" si="20"/>
        <v>2694.6578456264529</v>
      </c>
      <c r="EY14" s="12">
        <f t="shared" si="20"/>
        <v>2667.7112671701884</v>
      </c>
      <c r="EZ14" s="12">
        <f t="shared" si="20"/>
        <v>2641.0341544984867</v>
      </c>
      <c r="FA14" s="12">
        <f t="shared" si="20"/>
        <v>2614.6238129535018</v>
      </c>
      <c r="FB14" s="12">
        <f t="shared" si="20"/>
        <v>2588.4775748239667</v>
      </c>
      <c r="FC14" s="12">
        <f t="shared" si="20"/>
        <v>2562.5927990757268</v>
      </c>
      <c r="FD14" s="12">
        <f t="shared" si="20"/>
        <v>2536.9668710849696</v>
      </c>
      <c r="FE14" s="12">
        <f t="shared" si="20"/>
        <v>2511.5972023741201</v>
      </c>
      <c r="FF14" s="12">
        <f t="shared" si="20"/>
        <v>2486.4812303503791</v>
      </c>
      <c r="FG14" s="12">
        <f t="shared" si="20"/>
        <v>2461.6164180468754</v>
      </c>
      <c r="FH14" s="12">
        <f t="shared" si="20"/>
        <v>2437.0002538664066</v>
      </c>
      <c r="FI14" s="12">
        <f t="shared" si="20"/>
        <v>2412.6302513277424</v>
      </c>
      <c r="FJ14" s="12">
        <f t="shared" si="20"/>
        <v>2388.5039488144648</v>
      </c>
      <c r="FK14" s="12">
        <f t="shared" si="20"/>
        <v>2364.6189093263201</v>
      </c>
      <c r="FL14" s="12">
        <f t="shared" si="20"/>
        <v>2340.9727202330569</v>
      </c>
      <c r="FM14" s="12">
        <f t="shared" si="20"/>
        <v>2317.5629930307264</v>
      </c>
      <c r="FN14" s="12">
        <f t="shared" si="20"/>
        <v>2294.387363100419</v>
      </c>
      <c r="FO14" s="12">
        <f t="shared" si="20"/>
        <v>2271.4434894694145</v>
      </c>
      <c r="FP14" s="12">
        <f t="shared" si="20"/>
        <v>2248.7290545747205</v>
      </c>
      <c r="FQ14" s="12">
        <f t="shared" si="20"/>
        <v>2226.2417640289732</v>
      </c>
      <c r="FR14" s="12">
        <f t="shared" si="20"/>
        <v>2203.9793463886836</v>
      </c>
      <c r="FS14" s="12">
        <f t="shared" ref="FS14:IB14" si="21">FR14*(1+$AV$18)</f>
        <v>2181.9395529247968</v>
      </c>
      <c r="FT14" s="12">
        <f t="shared" si="21"/>
        <v>2160.1201573955486</v>
      </c>
      <c r="FU14" s="12">
        <f t="shared" si="21"/>
        <v>2138.518955821593</v>
      </c>
      <c r="FV14" s="12">
        <f t="shared" si="21"/>
        <v>2117.1337662633769</v>
      </c>
      <c r="FW14" s="12">
        <f t="shared" si="21"/>
        <v>2095.9624286007429</v>
      </c>
      <c r="FX14" s="12">
        <f t="shared" si="21"/>
        <v>2075.0028043147354</v>
      </c>
      <c r="FY14" s="12">
        <f t="shared" si="21"/>
        <v>2054.2527762715881</v>
      </c>
      <c r="FZ14" s="12">
        <f t="shared" si="21"/>
        <v>2033.7102485088722</v>
      </c>
      <c r="GA14" s="12">
        <f t="shared" si="21"/>
        <v>2013.3731460237834</v>
      </c>
      <c r="GB14" s="12">
        <f t="shared" si="21"/>
        <v>1993.2394145635456</v>
      </c>
      <c r="GC14" s="12">
        <f t="shared" si="21"/>
        <v>1973.3070204179101</v>
      </c>
      <c r="GD14" s="12">
        <f t="shared" si="21"/>
        <v>1953.573950213731</v>
      </c>
      <c r="GE14" s="12">
        <f t="shared" si="21"/>
        <v>1934.0382107115936</v>
      </c>
      <c r="GF14" s="12">
        <f t="shared" si="21"/>
        <v>1914.6978286044775</v>
      </c>
      <c r="GG14" s="12">
        <f t="shared" si="21"/>
        <v>1895.5508503184328</v>
      </c>
      <c r="GH14" s="12">
        <f t="shared" si="21"/>
        <v>1876.5953418152485</v>
      </c>
      <c r="GI14" s="12">
        <f t="shared" si="21"/>
        <v>1857.829388397096</v>
      </c>
      <c r="GJ14" s="12">
        <f t="shared" si="21"/>
        <v>1839.2510945131251</v>
      </c>
      <c r="GK14" s="12">
        <f t="shared" si="21"/>
        <v>1820.8585835679937</v>
      </c>
      <c r="GL14" s="12">
        <f t="shared" si="21"/>
        <v>1802.6499977323138</v>
      </c>
      <c r="GM14" s="12">
        <f t="shared" si="21"/>
        <v>1784.6234977549907</v>
      </c>
      <c r="GN14" s="12">
        <f t="shared" si="21"/>
        <v>1766.7772627774407</v>
      </c>
      <c r="GO14" s="12">
        <f t="shared" si="21"/>
        <v>1749.1094901496663</v>
      </c>
      <c r="GP14" s="12">
        <f t="shared" si="21"/>
        <v>1731.6183952481697</v>
      </c>
      <c r="GQ14" s="12">
        <f t="shared" si="21"/>
        <v>1714.302211295688</v>
      </c>
      <c r="GR14" s="12">
        <f t="shared" si="21"/>
        <v>1697.1591891827311</v>
      </c>
      <c r="GS14" s="12">
        <f t="shared" si="21"/>
        <v>1680.1875972909038</v>
      </c>
      <c r="GT14" s="12">
        <f t="shared" si="21"/>
        <v>1663.3857213179947</v>
      </c>
      <c r="GU14" s="12">
        <f t="shared" si="21"/>
        <v>1646.7518641048148</v>
      </c>
      <c r="GV14" s="12">
        <f t="shared" si="21"/>
        <v>1630.2843454637666</v>
      </c>
      <c r="GW14" s="12">
        <f t="shared" si="21"/>
        <v>1613.9815020091289</v>
      </c>
      <c r="GX14" s="12">
        <f t="shared" si="21"/>
        <v>1597.8416869890377</v>
      </c>
      <c r="GY14" s="12">
        <f t="shared" si="21"/>
        <v>1581.8632701191473</v>
      </c>
      <c r="GZ14" s="12">
        <f t="shared" si="21"/>
        <v>1566.0446374179558</v>
      </c>
      <c r="HA14" s="12">
        <f t="shared" si="21"/>
        <v>1550.3841910437761</v>
      </c>
      <c r="HB14" s="12">
        <f t="shared" si="21"/>
        <v>1534.8803491333383</v>
      </c>
      <c r="HC14" s="12">
        <f t="shared" si="21"/>
        <v>1519.5315456420049</v>
      </c>
      <c r="HD14" s="12">
        <f t="shared" si="21"/>
        <v>1504.3362301855848</v>
      </c>
      <c r="HE14" s="12">
        <f t="shared" si="21"/>
        <v>1489.2928678837288</v>
      </c>
      <c r="HF14" s="12">
        <f t="shared" si="21"/>
        <v>1474.3999392048916</v>
      </c>
      <c r="HG14" s="12">
        <f t="shared" si="21"/>
        <v>1459.6559398128427</v>
      </c>
      <c r="HH14" s="12">
        <f t="shared" si="21"/>
        <v>1445.0593804147143</v>
      </c>
      <c r="HI14" s="12">
        <f t="shared" si="21"/>
        <v>1430.6087866105672</v>
      </c>
      <c r="HJ14" s="12">
        <f t="shared" si="21"/>
        <v>1416.3026987444616</v>
      </c>
      <c r="HK14" s="12">
        <f t="shared" si="21"/>
        <v>1402.1396717570169</v>
      </c>
      <c r="HL14" s="12">
        <f t="shared" si="21"/>
        <v>1388.1182750394466</v>
      </c>
      <c r="HM14" s="12">
        <f t="shared" si="21"/>
        <v>1374.2370922890523</v>
      </c>
      <c r="HN14" s="12">
        <f t="shared" si="21"/>
        <v>1360.4947213661617</v>
      </c>
      <c r="HO14" s="12">
        <f t="shared" si="21"/>
        <v>1346.8897741525</v>
      </c>
      <c r="HP14" s="12">
        <f t="shared" si="21"/>
        <v>1333.4208764109749</v>
      </c>
      <c r="HQ14" s="12">
        <f t="shared" si="21"/>
        <v>1320.0866676468652</v>
      </c>
      <c r="HR14" s="12">
        <f t="shared" si="21"/>
        <v>1306.8858009703965</v>
      </c>
      <c r="HS14" s="12">
        <f t="shared" si="21"/>
        <v>1293.8169429606926</v>
      </c>
      <c r="HT14" s="12">
        <f t="shared" si="21"/>
        <v>1280.8787735310857</v>
      </c>
      <c r="HU14" s="12">
        <f t="shared" si="21"/>
        <v>1268.0699857957748</v>
      </c>
      <c r="HV14" s="12">
        <f t="shared" si="21"/>
        <v>1255.389285937817</v>
      </c>
      <c r="HW14" s="12">
        <f t="shared" si="21"/>
        <v>1242.8353930784388</v>
      </c>
      <c r="HX14" s="12">
        <f t="shared" si="21"/>
        <v>1230.4070391476544</v>
      </c>
      <c r="HY14" s="12">
        <f t="shared" si="21"/>
        <v>1218.1029687561779</v>
      </c>
      <c r="HZ14" s="12">
        <f t="shared" si="21"/>
        <v>1205.9219390686162</v>
      </c>
      <c r="IA14" s="12">
        <f t="shared" si="21"/>
        <v>1193.86271967793</v>
      </c>
      <c r="IB14" s="12">
        <f t="shared" si="21"/>
        <v>1181.9240924811506</v>
      </c>
    </row>
    <row r="15" spans="1:236" x14ac:dyDescent="0.25">
      <c r="C15" s="2" t="s">
        <v>64</v>
      </c>
      <c r="D15" s="25">
        <v>93</v>
      </c>
      <c r="E15" s="25">
        <v>93</v>
      </c>
      <c r="F15" s="25">
        <v>93</v>
      </c>
      <c r="G15" s="25">
        <v>93</v>
      </c>
      <c r="H15" s="25">
        <v>85</v>
      </c>
      <c r="I15" s="25">
        <v>85</v>
      </c>
      <c r="J15" s="25">
        <v>85</v>
      </c>
      <c r="K15" s="25">
        <v>85</v>
      </c>
      <c r="L15" s="25">
        <v>81</v>
      </c>
      <c r="M15" s="25">
        <v>81</v>
      </c>
      <c r="N15" s="25">
        <v>81</v>
      </c>
      <c r="O15" s="25">
        <v>81</v>
      </c>
      <c r="P15" s="25">
        <v>79</v>
      </c>
      <c r="Q15" s="25">
        <v>79</v>
      </c>
      <c r="R15" s="25">
        <v>79</v>
      </c>
      <c r="S15" s="25">
        <v>79</v>
      </c>
      <c r="T15" s="25">
        <v>75</v>
      </c>
      <c r="U15" s="25"/>
      <c r="V15" s="25"/>
      <c r="Y15" s="25">
        <v>119</v>
      </c>
      <c r="Z15" s="25">
        <v>114</v>
      </c>
      <c r="AA15" s="25">
        <v>111</v>
      </c>
      <c r="AB15" s="25">
        <v>107</v>
      </c>
      <c r="AC15" s="25">
        <v>97</v>
      </c>
      <c r="AD15" s="25">
        <v>97</v>
      </c>
      <c r="AE15" s="25">
        <v>99</v>
      </c>
      <c r="AF15" s="25">
        <v>93</v>
      </c>
      <c r="AG15" s="25">
        <v>85</v>
      </c>
      <c r="AH15" s="25">
        <v>81</v>
      </c>
      <c r="AI15" s="25">
        <v>79</v>
      </c>
      <c r="AJ15" s="25">
        <v>79</v>
      </c>
      <c r="AK15" s="25">
        <v>79</v>
      </c>
      <c r="AL15" s="25">
        <v>79</v>
      </c>
      <c r="AM15" s="25">
        <v>79</v>
      </c>
      <c r="AN15" s="25">
        <v>79</v>
      </c>
      <c r="AO15" s="25">
        <v>79</v>
      </c>
      <c r="AP15" s="25">
        <v>79</v>
      </c>
      <c r="AQ15" s="25">
        <v>79</v>
      </c>
      <c r="AR15" s="25">
        <v>79</v>
      </c>
      <c r="AS15" s="25">
        <v>79</v>
      </c>
    </row>
    <row r="16" spans="1:236" x14ac:dyDescent="0.25">
      <c r="C16" s="2" t="s">
        <v>65</v>
      </c>
      <c r="D16" s="25">
        <f t="shared" ref="D16:L16" si="22">D14/D15</f>
        <v>10.688172043010752</v>
      </c>
      <c r="E16" s="25">
        <f t="shared" si="22"/>
        <v>10.043010752688172</v>
      </c>
      <c r="F16" s="25">
        <f t="shared" si="22"/>
        <v>7.881720430107527</v>
      </c>
      <c r="G16" s="25">
        <f t="shared" si="22"/>
        <v>25.43010752688172</v>
      </c>
      <c r="H16" s="25">
        <f t="shared" si="22"/>
        <v>10.447058823529412</v>
      </c>
      <c r="I16" s="25">
        <f t="shared" si="22"/>
        <v>9.1411764705882348</v>
      </c>
      <c r="J16" s="25">
        <f t="shared" si="22"/>
        <v>6.3882352941176475</v>
      </c>
      <c r="K16" s="25">
        <f t="shared" si="22"/>
        <v>29.752941176470589</v>
      </c>
      <c r="L16" s="25">
        <f t="shared" si="22"/>
        <v>11.913580246913581</v>
      </c>
      <c r="M16" s="25">
        <f t="shared" ref="M16:S16" si="23">M14/M15</f>
        <v>9.8395061728395063</v>
      </c>
      <c r="N16" s="25">
        <f t="shared" si="23"/>
        <v>7.3456790123456788</v>
      </c>
      <c r="O16" s="25">
        <f t="shared" si="23"/>
        <v>35.419753086419753</v>
      </c>
      <c r="P16" s="25">
        <f t="shared" si="23"/>
        <v>13.936708860759493</v>
      </c>
      <c r="Q16" s="25">
        <f t="shared" si="23"/>
        <v>10.151898734177216</v>
      </c>
      <c r="R16" s="25">
        <f t="shared" si="23"/>
        <v>6.1772151898734178</v>
      </c>
      <c r="S16" s="25">
        <f t="shared" si="23"/>
        <v>37</v>
      </c>
      <c r="T16" s="25">
        <f t="shared" ref="T16" si="24">T14/T15</f>
        <v>12.56</v>
      </c>
      <c r="U16" s="25"/>
      <c r="V16" s="25"/>
      <c r="Y16" s="26">
        <f t="shared" ref="Y16:AF16" si="25">Y14/Y15</f>
        <v>30.873949579831933</v>
      </c>
      <c r="Z16" s="26">
        <f t="shared" si="25"/>
        <v>52.850877192982459</v>
      </c>
      <c r="AA16" s="26">
        <f t="shared" si="25"/>
        <v>51.963963963963963</v>
      </c>
      <c r="AB16" s="26">
        <f t="shared" si="25"/>
        <v>47.149532710280376</v>
      </c>
      <c r="AC16" s="26">
        <f t="shared" si="25"/>
        <v>30.340206185567009</v>
      </c>
      <c r="AD16" s="26">
        <f t="shared" si="25"/>
        <v>19.969072164948454</v>
      </c>
      <c r="AE16" s="26">
        <f t="shared" si="25"/>
        <v>42.020202020202021</v>
      </c>
      <c r="AF16" s="26">
        <f t="shared" si="25"/>
        <v>54.075268817204304</v>
      </c>
      <c r="AG16" s="26">
        <f>AG14/AG15</f>
        <v>55.752941176470586</v>
      </c>
      <c r="AH16" s="26">
        <f>AH14/AH15</f>
        <v>64.518518518518519</v>
      </c>
      <c r="AI16" s="26">
        <f t="shared" ref="AI16:AS16" si="26">AI14/AI15</f>
        <v>65.575945822784803</v>
      </c>
      <c r="AJ16" s="26">
        <f t="shared" si="26"/>
        <v>56.645243544303788</v>
      </c>
      <c r="AK16" s="26">
        <f t="shared" si="26"/>
        <v>61.02966387569618</v>
      </c>
      <c r="AL16" s="26">
        <f t="shared" si="26"/>
        <v>65.172682796103771</v>
      </c>
      <c r="AM16" s="26">
        <f t="shared" si="26"/>
        <v>69.565035594634878</v>
      </c>
      <c r="AN16" s="26">
        <f t="shared" si="26"/>
        <v>74.22094847362834</v>
      </c>
      <c r="AO16" s="26">
        <f t="shared" si="26"/>
        <v>79.155435348949297</v>
      </c>
      <c r="AP16" s="26">
        <f t="shared" si="26"/>
        <v>84.384340618329261</v>
      </c>
      <c r="AQ16" s="26">
        <f t="shared" si="26"/>
        <v>89.924384219233943</v>
      </c>
      <c r="AR16" s="26">
        <f t="shared" si="26"/>
        <v>95.793209097511195</v>
      </c>
      <c r="AS16" s="26">
        <f t="shared" si="26"/>
        <v>102.00943121444321</v>
      </c>
    </row>
    <row r="17" spans="3:48" x14ac:dyDescent="0.25"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U17" s="2" t="s">
        <v>124</v>
      </c>
      <c r="AV17" s="30">
        <v>0.08</v>
      </c>
    </row>
    <row r="18" spans="3:48" x14ac:dyDescent="0.25">
      <c r="C18" s="1" t="s">
        <v>38</v>
      </c>
      <c r="D18" s="19"/>
      <c r="E18" s="24"/>
      <c r="F18" s="24"/>
      <c r="G18" s="24"/>
      <c r="H18" s="24">
        <f t="shared" ref="H18:P18" si="27">(H4-D4)/D4</f>
        <v>2.8300228511161891E-2</v>
      </c>
      <c r="I18" s="24">
        <f t="shared" si="27"/>
        <v>4.2263483642793989E-2</v>
      </c>
      <c r="J18" s="24">
        <f t="shared" si="27"/>
        <v>5.8711761352840584E-2</v>
      </c>
      <c r="K18" s="24">
        <f t="shared" si="27"/>
        <v>9.7808441558441553E-2</v>
      </c>
      <c r="L18" s="24">
        <f t="shared" si="27"/>
        <v>0.1682051282051282</v>
      </c>
      <c r="M18" s="24">
        <f t="shared" si="27"/>
        <v>0.1487953851374279</v>
      </c>
      <c r="N18" s="24">
        <f t="shared" si="27"/>
        <v>9.5297918162239773E-2</v>
      </c>
      <c r="O18" s="24">
        <f t="shared" si="27"/>
        <v>0.10656192236598891</v>
      </c>
      <c r="P18" s="24">
        <f t="shared" si="27"/>
        <v>7.5065847234416158E-2</v>
      </c>
      <c r="Q18" s="24">
        <f>(Q4-M4)/M4</f>
        <v>4.4897356372766206E-2</v>
      </c>
      <c r="R18" s="24">
        <f>(R4-N4)/N4</f>
        <v>2.7199737833852204E-2</v>
      </c>
      <c r="S18" s="24">
        <f>(S4-O4)/O4</f>
        <v>-6.0970516996575628E-3</v>
      </c>
      <c r="T18" s="24">
        <f>(T4-P4)/P4</f>
        <v>-3.2394174492990334E-2</v>
      </c>
      <c r="U18" s="24"/>
      <c r="V18" s="24"/>
      <c r="Y18" s="14"/>
      <c r="Z18" s="24">
        <f t="shared" ref="Z18:AG18" si="28">(Z4-Y4)/Y4</f>
        <v>0.21174643006512517</v>
      </c>
      <c r="AA18" s="24">
        <f t="shared" si="28"/>
        <v>0.12326808342783886</v>
      </c>
      <c r="AB18" s="24">
        <f t="shared" si="28"/>
        <v>1.0974057328475484E-3</v>
      </c>
      <c r="AC18" s="24">
        <f t="shared" si="28"/>
        <v>-4.112952731737262E-2</v>
      </c>
      <c r="AD18" s="24">
        <f t="shared" si="28"/>
        <v>-0.13073897933052864</v>
      </c>
      <c r="AE18" s="24">
        <f t="shared" si="28"/>
        <v>0.23068020411384083</v>
      </c>
      <c r="AF18" s="24">
        <f t="shared" si="28"/>
        <v>0.13118748397024879</v>
      </c>
      <c r="AG18" s="24">
        <f t="shared" si="28"/>
        <v>6.3220345387900084E-2</v>
      </c>
      <c r="AH18" s="24">
        <f>(AH4-AG4)/AG4</f>
        <v>0.12595962468012512</v>
      </c>
      <c r="AI18" s="24">
        <f t="shared" ref="AI18:AS18" si="29">(AI4-AH4)/AH4</f>
        <v>2.8756313131313133E-2</v>
      </c>
      <c r="AJ18" s="24">
        <f t="shared" si="29"/>
        <v>1.999999999999999E-2</v>
      </c>
      <c r="AK18" s="24">
        <f t="shared" si="29"/>
        <v>3.4999999999999892E-2</v>
      </c>
      <c r="AL18" s="24">
        <f t="shared" si="29"/>
        <v>4.9999999999999968E-2</v>
      </c>
      <c r="AM18" s="24">
        <f t="shared" si="29"/>
        <v>5.0000000000000121E-2</v>
      </c>
      <c r="AN18" s="24">
        <f t="shared" si="29"/>
        <v>5.0000000000000058E-2</v>
      </c>
      <c r="AO18" s="24">
        <f t="shared" si="29"/>
        <v>5.00000000000001E-2</v>
      </c>
      <c r="AP18" s="24">
        <f t="shared" si="29"/>
        <v>4.9999999999999989E-2</v>
      </c>
      <c r="AQ18" s="24">
        <f t="shared" si="29"/>
        <v>5.0000000000000072E-2</v>
      </c>
      <c r="AR18" s="24">
        <f t="shared" si="29"/>
        <v>5.000000000000001E-2</v>
      </c>
      <c r="AS18" s="24">
        <f t="shared" si="29"/>
        <v>0.05</v>
      </c>
      <c r="AU18" s="2" t="s">
        <v>125</v>
      </c>
      <c r="AV18" s="30">
        <v>-0.01</v>
      </c>
    </row>
    <row r="19" spans="3:48" x14ac:dyDescent="0.25">
      <c r="C19" s="1" t="s">
        <v>158</v>
      </c>
      <c r="D19" s="24">
        <v>0.21</v>
      </c>
      <c r="E19" s="24">
        <v>0.03</v>
      </c>
      <c r="F19" s="24">
        <v>0.03</v>
      </c>
      <c r="G19" s="24">
        <v>0.04</v>
      </c>
      <c r="H19" s="24">
        <v>0.01</v>
      </c>
      <c r="I19" s="24">
        <v>0.05</v>
      </c>
      <c r="J19" s="24">
        <v>0.11</v>
      </c>
      <c r="K19" s="24">
        <v>0.12</v>
      </c>
      <c r="L19" s="24">
        <v>0.18</v>
      </c>
      <c r="M19" s="24">
        <v>0.15</v>
      </c>
      <c r="N19" s="24">
        <v>0.11</v>
      </c>
      <c r="O19" s="24">
        <v>0.11</v>
      </c>
      <c r="P19" s="24">
        <v>7.0000000000000007E-2</v>
      </c>
      <c r="Q19" s="24">
        <v>0.08</v>
      </c>
      <c r="R19" s="24">
        <v>0.06</v>
      </c>
      <c r="S19" s="24">
        <v>0.04</v>
      </c>
      <c r="T19" s="24">
        <v>0.02</v>
      </c>
      <c r="U19" s="24"/>
      <c r="V19" s="24"/>
      <c r="Y19" s="14"/>
      <c r="Z19" s="24"/>
      <c r="AA19" s="24">
        <v>0.11</v>
      </c>
      <c r="AB19" s="24">
        <v>-0.02</v>
      </c>
      <c r="AC19" s="24">
        <v>-0.08</v>
      </c>
      <c r="AD19" s="24">
        <v>-0.11</v>
      </c>
      <c r="AE19" s="24">
        <v>0.23</v>
      </c>
      <c r="AF19" s="24">
        <v>7.0000000000000007E-2</v>
      </c>
      <c r="AG19" s="24">
        <v>0.08</v>
      </c>
      <c r="AH19" s="24">
        <v>0.13</v>
      </c>
      <c r="AI19" s="24">
        <v>0.06</v>
      </c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U19" s="29" t="s">
        <v>126</v>
      </c>
      <c r="AV19" s="31">
        <f>NPV(AV17,AJ14:IB14)</f>
        <v>80641.486367570687</v>
      </c>
    </row>
    <row r="20" spans="3:48" x14ac:dyDescent="0.25">
      <c r="C20" s="1" t="s">
        <v>123</v>
      </c>
      <c r="D20" s="24">
        <v>0.17</v>
      </c>
      <c r="E20" s="24">
        <v>0.02</v>
      </c>
      <c r="F20" s="24">
        <v>0.01</v>
      </c>
      <c r="G20" s="24">
        <v>-0.01</v>
      </c>
      <c r="H20" s="24">
        <v>0</v>
      </c>
      <c r="I20" s="24">
        <v>0.02</v>
      </c>
      <c r="J20" s="24">
        <v>0.09</v>
      </c>
      <c r="K20" s="24">
        <v>7.0000000000000007E-2</v>
      </c>
      <c r="L20" s="24">
        <v>0.11</v>
      </c>
      <c r="M20" s="24">
        <v>0.08</v>
      </c>
      <c r="N20" s="24">
        <v>7.0000000000000007E-2</v>
      </c>
      <c r="O20" s="24">
        <v>0.06</v>
      </c>
      <c r="P20" s="24">
        <v>0.06</v>
      </c>
      <c r="Q20" s="24">
        <v>0.03</v>
      </c>
      <c r="R20" s="24">
        <v>0.02</v>
      </c>
      <c r="S20" s="24">
        <v>0</v>
      </c>
      <c r="T20" s="24">
        <v>0</v>
      </c>
      <c r="U20" s="24"/>
      <c r="V20" s="24"/>
      <c r="Y20" s="24">
        <v>0.15</v>
      </c>
      <c r="Z20" s="24">
        <v>0.08</v>
      </c>
      <c r="AA20" s="24">
        <v>0</v>
      </c>
      <c r="AB20" s="24">
        <v>-0.04</v>
      </c>
      <c r="AC20" s="24">
        <v>-0.08</v>
      </c>
      <c r="AD20" s="24">
        <v>-0.12</v>
      </c>
      <c r="AE20" s="24">
        <v>0.2</v>
      </c>
      <c r="AF20" s="24">
        <v>0.04</v>
      </c>
      <c r="AG20" s="24">
        <v>0.06</v>
      </c>
      <c r="AH20" s="24">
        <v>7.0000000000000007E-2</v>
      </c>
      <c r="AI20" s="24">
        <v>0.02</v>
      </c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U20" s="2" t="s">
        <v>2</v>
      </c>
      <c r="AV20" s="25">
        <v>79</v>
      </c>
    </row>
    <row r="21" spans="3:48" x14ac:dyDescent="0.25">
      <c r="C21" s="2" t="s">
        <v>45</v>
      </c>
      <c r="D21" s="19">
        <f t="shared" ref="D21:S21" si="30">D6/D4</f>
        <v>0.7600632800140622</v>
      </c>
      <c r="E21" s="19">
        <f t="shared" si="30"/>
        <v>0.76357206012378431</v>
      </c>
      <c r="F21" s="19">
        <f t="shared" si="30"/>
        <v>0.76686300589017675</v>
      </c>
      <c r="G21" s="19">
        <f t="shared" si="30"/>
        <v>0.76207386363636365</v>
      </c>
      <c r="H21" s="19">
        <f t="shared" si="30"/>
        <v>0.77521367521367524</v>
      </c>
      <c r="I21" s="19">
        <f t="shared" si="30"/>
        <v>0.78130302002035967</v>
      </c>
      <c r="J21" s="19">
        <f t="shared" si="30"/>
        <v>0.79038047379755927</v>
      </c>
      <c r="K21" s="19">
        <f t="shared" si="30"/>
        <v>0.79288354898336411</v>
      </c>
      <c r="L21" s="19">
        <f t="shared" si="30"/>
        <v>0.79367866549604915</v>
      </c>
      <c r="M21" s="19">
        <f t="shared" si="30"/>
        <v>0.80180180180180183</v>
      </c>
      <c r="N21" s="19">
        <f t="shared" si="30"/>
        <v>0.80058987383254132</v>
      </c>
      <c r="O21" s="19">
        <f t="shared" si="30"/>
        <v>0.79771151758122438</v>
      </c>
      <c r="P21" s="19">
        <f t="shared" si="30"/>
        <v>0.80454607322716754</v>
      </c>
      <c r="Q21" s="19">
        <f t="shared" si="30"/>
        <v>0.79250883392226146</v>
      </c>
      <c r="R21" s="19">
        <f t="shared" si="30"/>
        <v>0.79263040357313763</v>
      </c>
      <c r="S21" s="19">
        <f t="shared" si="30"/>
        <v>0.77310924369747902</v>
      </c>
      <c r="T21" s="19">
        <f t="shared" ref="T21" si="31">T6/T4</f>
        <v>0.79490786327190888</v>
      </c>
      <c r="U21" s="19"/>
      <c r="V21" s="19"/>
      <c r="Y21" s="19">
        <f t="shared" ref="Y21:AS21" si="32">Y6/Y4</f>
        <v>0.72850570592101327</v>
      </c>
      <c r="Z21" s="19">
        <f t="shared" si="32"/>
        <v>0.75060401360879636</v>
      </c>
      <c r="AA21" s="19">
        <f t="shared" si="32"/>
        <v>0.74474342653966019</v>
      </c>
      <c r="AB21" s="19">
        <f t="shared" si="32"/>
        <v>0.74287468210120144</v>
      </c>
      <c r="AC21" s="19">
        <f t="shared" si="32"/>
        <v>0.72718126943479056</v>
      </c>
      <c r="AD21" s="19">
        <f t="shared" si="32"/>
        <v>0.75622073754537322</v>
      </c>
      <c r="AE21" s="19">
        <f t="shared" si="32"/>
        <v>0.76104984183978797</v>
      </c>
      <c r="AF21" s="19">
        <f t="shared" si="32"/>
        <v>0.7629520462532593</v>
      </c>
      <c r="AG21" s="19">
        <f t="shared" si="32"/>
        <v>0.78632357122547625</v>
      </c>
      <c r="AH21" s="19">
        <f t="shared" si="32"/>
        <v>0.79826388888888888</v>
      </c>
      <c r="AI21" s="19">
        <f t="shared" si="32"/>
        <v>0.78699999999999992</v>
      </c>
      <c r="AJ21" s="19">
        <f t="shared" si="32"/>
        <v>0.78500000000000003</v>
      </c>
      <c r="AK21" s="19">
        <f t="shared" si="32"/>
        <v>0.78500000000000003</v>
      </c>
      <c r="AL21" s="19">
        <f t="shared" si="32"/>
        <v>0.78500000000000003</v>
      </c>
      <c r="AM21" s="19">
        <f t="shared" si="32"/>
        <v>0.78500000000000003</v>
      </c>
      <c r="AN21" s="19">
        <f t="shared" si="32"/>
        <v>0.78500000000000003</v>
      </c>
      <c r="AO21" s="19">
        <f t="shared" si="32"/>
        <v>0.78500000000000003</v>
      </c>
      <c r="AP21" s="19">
        <f t="shared" si="32"/>
        <v>0.78499999999999992</v>
      </c>
      <c r="AQ21" s="19">
        <f t="shared" si="32"/>
        <v>0.78500000000000003</v>
      </c>
      <c r="AR21" s="19">
        <f t="shared" si="32"/>
        <v>0.78499999999999992</v>
      </c>
      <c r="AS21" s="19">
        <f t="shared" si="32"/>
        <v>0.78500000000000003</v>
      </c>
      <c r="AU21" s="2" t="s">
        <v>127</v>
      </c>
      <c r="AV21" s="32">
        <f>AV19/AV20</f>
        <v>1020.7783084502619</v>
      </c>
    </row>
    <row r="22" spans="3:48" x14ac:dyDescent="0.25">
      <c r="C22" s="2" t="s">
        <v>39</v>
      </c>
      <c r="D22" s="19">
        <f t="shared" ref="D22:S22" si="33">D9/D4</f>
        <v>0.23026894005976445</v>
      </c>
      <c r="E22" s="19">
        <f t="shared" si="33"/>
        <v>0.22086648983200707</v>
      </c>
      <c r="F22" s="19">
        <f t="shared" si="33"/>
        <v>0.18563556906707201</v>
      </c>
      <c r="G22" s="19">
        <f t="shared" si="33"/>
        <v>0.32518262987012986</v>
      </c>
      <c r="H22" s="19">
        <f t="shared" si="33"/>
        <v>0.21452991452991452</v>
      </c>
      <c r="I22" s="19">
        <f t="shared" si="33"/>
        <v>0.2015609093993892</v>
      </c>
      <c r="J22" s="19">
        <f t="shared" si="33"/>
        <v>0.16511127063890882</v>
      </c>
      <c r="K22" s="19">
        <f t="shared" si="33"/>
        <v>0.33955637707948244</v>
      </c>
      <c r="L22" s="19">
        <f t="shared" si="33"/>
        <v>0.22051507170032192</v>
      </c>
      <c r="M22" s="19">
        <f t="shared" si="33"/>
        <v>0.19745975483680403</v>
      </c>
      <c r="N22" s="19">
        <f t="shared" si="33"/>
        <v>0.16074061936752418</v>
      </c>
      <c r="O22" s="19">
        <f t="shared" si="33"/>
        <v>0.34652969180656479</v>
      </c>
      <c r="P22" s="19">
        <f t="shared" si="33"/>
        <v>0.22335647202939976</v>
      </c>
      <c r="Q22" s="19">
        <f t="shared" si="33"/>
        <v>0.18190812720848057</v>
      </c>
      <c r="R22" s="19">
        <f t="shared" si="33"/>
        <v>0.14021375019939383</v>
      </c>
      <c r="S22" s="19">
        <f t="shared" si="33"/>
        <v>0.33613445378151263</v>
      </c>
      <c r="T22" s="19">
        <f t="shared" ref="T22" si="34">T9/T4</f>
        <v>0.20917147278098186</v>
      </c>
      <c r="U22" s="19"/>
      <c r="V22" s="19"/>
      <c r="Y22" s="19">
        <f t="shared" ref="Y22:AS22" si="35">Y9/Y4</f>
        <v>0.34737408137659076</v>
      </c>
      <c r="Z22" s="19">
        <f t="shared" si="35"/>
        <v>0.36507075587988758</v>
      </c>
      <c r="AA22" s="19">
        <f t="shared" si="35"/>
        <v>0.34168824897941269</v>
      </c>
      <c r="AB22" s="19">
        <f t="shared" si="35"/>
        <v>0.28198719635183722</v>
      </c>
      <c r="AC22" s="19">
        <f t="shared" si="35"/>
        <v>0.17500457289189683</v>
      </c>
      <c r="AD22" s="19">
        <f t="shared" si="35"/>
        <v>0.14119627544847177</v>
      </c>
      <c r="AE22" s="19">
        <f t="shared" si="35"/>
        <v>0.24959391296913738</v>
      </c>
      <c r="AF22" s="19">
        <f t="shared" si="35"/>
        <v>0.25480860068775268</v>
      </c>
      <c r="AG22" s="19">
        <f t="shared" si="35"/>
        <v>0.25014216661927779</v>
      </c>
      <c r="AH22" s="19">
        <f t="shared" si="35"/>
        <v>0.25170454545454546</v>
      </c>
      <c r="AI22" s="19">
        <f t="shared" si="35"/>
        <v>0.23750259274032706</v>
      </c>
      <c r="AJ22" s="19">
        <f t="shared" si="35"/>
        <v>0.20547606971971691</v>
      </c>
      <c r="AK22" s="19">
        <f t="shared" si="35"/>
        <v>0.21232153951710031</v>
      </c>
      <c r="AL22" s="19">
        <f t="shared" si="35"/>
        <v>0.21466392150686964</v>
      </c>
      <c r="AM22" s="19">
        <f t="shared" si="35"/>
        <v>0.21699514929668776</v>
      </c>
      <c r="AN22" s="19">
        <f t="shared" si="35"/>
        <v>0.21931527600179238</v>
      </c>
      <c r="AO22" s="19">
        <f t="shared" si="35"/>
        <v>0.22162435448449178</v>
      </c>
      <c r="AP22" s="19">
        <f t="shared" si="35"/>
        <v>0.22392243735536868</v>
      </c>
      <c r="AQ22" s="19">
        <f t="shared" si="35"/>
        <v>0.22620957697447971</v>
      </c>
      <c r="AR22" s="19">
        <f t="shared" si="35"/>
        <v>0.22848582545254717</v>
      </c>
      <c r="AS22" s="19">
        <f t="shared" si="35"/>
        <v>0.23075123465214784</v>
      </c>
      <c r="AU22" s="1" t="s">
        <v>128</v>
      </c>
      <c r="AV22" s="24">
        <f>(AV21-B4)/B4</f>
        <v>1.1266214759380455</v>
      </c>
    </row>
    <row r="23" spans="3:48" x14ac:dyDescent="0.25">
      <c r="C23" s="2" t="s">
        <v>122</v>
      </c>
      <c r="M23" s="9"/>
      <c r="Q23" s="9"/>
      <c r="Y23" s="19">
        <v>0.72</v>
      </c>
      <c r="Z23" s="19">
        <v>0.8</v>
      </c>
      <c r="AA23" s="19">
        <v>0.68</v>
      </c>
      <c r="AB23" s="19">
        <v>0.53</v>
      </c>
      <c r="AC23" s="19">
        <v>0.27</v>
      </c>
      <c r="AD23" s="19">
        <v>0.2</v>
      </c>
      <c r="AE23" s="19">
        <v>0.52</v>
      </c>
      <c r="AF23" s="19">
        <v>0.49</v>
      </c>
      <c r="AG23" s="19">
        <v>0.45</v>
      </c>
      <c r="AH23" s="19">
        <v>0.46</v>
      </c>
    </row>
    <row r="24" spans="3:48" x14ac:dyDescent="0.25">
      <c r="M24" s="18"/>
      <c r="Q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</row>
    <row r="25" spans="3:48" x14ac:dyDescent="0.25">
      <c r="C25" s="1" t="s">
        <v>51</v>
      </c>
    </row>
    <row r="26" spans="3:48" x14ac:dyDescent="0.25">
      <c r="C26" s="2" t="s">
        <v>66</v>
      </c>
      <c r="D26" s="14">
        <v>4660</v>
      </c>
      <c r="E26" s="14">
        <v>4743</v>
      </c>
      <c r="F26" s="14">
        <v>4995</v>
      </c>
      <c r="G26" s="14">
        <v>4822</v>
      </c>
      <c r="H26" s="14">
        <v>4798</v>
      </c>
      <c r="I26" s="14">
        <v>4882</v>
      </c>
      <c r="J26" s="14">
        <v>4977</v>
      </c>
      <c r="K26" s="14">
        <v>4914</v>
      </c>
      <c r="L26" s="14">
        <v>5017</v>
      </c>
      <c r="M26" s="14">
        <v>5070</v>
      </c>
      <c r="N26" s="14">
        <v>5003</v>
      </c>
      <c r="O26" s="14">
        <v>5126</v>
      </c>
      <c r="P26" s="14">
        <v>5124</v>
      </c>
      <c r="Q26" s="14">
        <v>5027</v>
      </c>
      <c r="R26" s="14">
        <v>5014</v>
      </c>
      <c r="S26" s="14">
        <v>5020</v>
      </c>
      <c r="T26" s="14">
        <v>5088</v>
      </c>
      <c r="U26" s="14"/>
      <c r="V26" s="14"/>
      <c r="W26" s="1"/>
      <c r="X26" s="1"/>
      <c r="Y26" s="22"/>
      <c r="Z26" s="22"/>
      <c r="AA26" s="22"/>
      <c r="AB26" s="22"/>
      <c r="AC26" s="22"/>
      <c r="AD26" s="22"/>
      <c r="AE26" s="22"/>
      <c r="AF26" s="22"/>
      <c r="AG26" s="22"/>
      <c r="AH26" s="22"/>
    </row>
    <row r="27" spans="3:48" x14ac:dyDescent="0.25">
      <c r="C27" s="2" t="s">
        <v>67</v>
      </c>
      <c r="D27" s="14">
        <v>1057</v>
      </c>
      <c r="E27" s="14">
        <v>1057</v>
      </c>
      <c r="F27" s="14">
        <v>1057</v>
      </c>
      <c r="G27" s="14">
        <v>1057</v>
      </c>
      <c r="H27" s="14">
        <v>1057</v>
      </c>
      <c r="I27" s="14">
        <v>1057</v>
      </c>
      <c r="J27" s="14">
        <v>1057</v>
      </c>
      <c r="K27" s="14">
        <v>1057</v>
      </c>
      <c r="L27" s="14">
        <v>1057</v>
      </c>
      <c r="M27" s="14">
        <v>1057</v>
      </c>
      <c r="N27" s="14">
        <v>1057</v>
      </c>
      <c r="O27" s="14">
        <v>1057</v>
      </c>
      <c r="P27" s="14">
        <v>1057</v>
      </c>
      <c r="Q27" s="14">
        <v>1057</v>
      </c>
      <c r="R27" s="14">
        <v>1057</v>
      </c>
      <c r="S27" s="14">
        <v>1057</v>
      </c>
      <c r="T27" s="14">
        <v>1057</v>
      </c>
      <c r="U27" s="14"/>
      <c r="V27" s="14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3:48" x14ac:dyDescent="0.25">
      <c r="C28" s="2" t="s">
        <v>68</v>
      </c>
      <c r="D28" s="14">
        <v>1072</v>
      </c>
      <c r="E28" s="14">
        <v>1064</v>
      </c>
      <c r="F28" s="14">
        <v>1055</v>
      </c>
      <c r="G28" s="14">
        <v>1047</v>
      </c>
      <c r="H28" s="14">
        <v>1041</v>
      </c>
      <c r="I28" s="14">
        <v>1040</v>
      </c>
      <c r="J28" s="14">
        <v>1040</v>
      </c>
      <c r="K28" s="14">
        <v>1039</v>
      </c>
      <c r="L28" s="14">
        <v>1038</v>
      </c>
      <c r="M28" s="14">
        <v>1034</v>
      </c>
      <c r="N28" s="14">
        <v>1034</v>
      </c>
      <c r="O28" s="14">
        <v>1034</v>
      </c>
      <c r="P28" s="14">
        <v>1034</v>
      </c>
      <c r="Q28" s="14">
        <v>1034</v>
      </c>
      <c r="R28" s="14">
        <v>1034</v>
      </c>
      <c r="S28" s="14">
        <v>1034</v>
      </c>
      <c r="T28" s="14">
        <v>1034</v>
      </c>
      <c r="U28" s="14"/>
      <c r="V28" s="14"/>
      <c r="W28" s="19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3:48" x14ac:dyDescent="0.25">
      <c r="C29" s="2" t="s">
        <v>69</v>
      </c>
      <c r="D29" s="14">
        <v>559</v>
      </c>
      <c r="E29" s="14">
        <v>568</v>
      </c>
      <c r="F29" s="14">
        <v>605</v>
      </c>
      <c r="G29" s="14">
        <v>642</v>
      </c>
      <c r="H29" s="14">
        <v>679</v>
      </c>
      <c r="I29" s="14">
        <v>687</v>
      </c>
      <c r="J29" s="14">
        <v>678</v>
      </c>
      <c r="K29" s="14">
        <v>790</v>
      </c>
      <c r="L29" s="14">
        <v>872</v>
      </c>
      <c r="M29" s="14">
        <v>949</v>
      </c>
      <c r="N29" s="14">
        <v>969</v>
      </c>
      <c r="O29" s="14">
        <v>1015</v>
      </c>
      <c r="P29" s="14">
        <v>1046</v>
      </c>
      <c r="Q29" s="14">
        <v>1126</v>
      </c>
      <c r="R29" s="14">
        <v>1223</v>
      </c>
      <c r="S29" s="14">
        <v>1252</v>
      </c>
      <c r="T29" s="14">
        <v>1266</v>
      </c>
      <c r="U29" s="14"/>
      <c r="V29" s="14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3:48" x14ac:dyDescent="0.25">
      <c r="C30" s="2" t="s">
        <v>70</v>
      </c>
      <c r="D30" s="14">
        <v>1823</v>
      </c>
      <c r="E30" s="14">
        <v>1937</v>
      </c>
      <c r="F30" s="14">
        <v>2076</v>
      </c>
      <c r="G30" s="14">
        <v>2226</v>
      </c>
      <c r="H30" s="14">
        <v>2247</v>
      </c>
      <c r="I30" s="14">
        <v>2382</v>
      </c>
      <c r="J30" s="14">
        <v>2550</v>
      </c>
      <c r="K30" s="14">
        <v>2746</v>
      </c>
      <c r="L30" s="14">
        <v>2818</v>
      </c>
      <c r="M30" s="14">
        <v>2955</v>
      </c>
      <c r="N30" s="14">
        <v>3169</v>
      </c>
      <c r="O30" s="14">
        <v>3475</v>
      </c>
      <c r="P30" s="14">
        <v>3506</v>
      </c>
      <c r="Q30" s="14">
        <v>3598</v>
      </c>
      <c r="R30" s="14">
        <v>3754</v>
      </c>
      <c r="S30" s="14">
        <v>3817</v>
      </c>
      <c r="T30" s="14">
        <v>3883</v>
      </c>
      <c r="U30" s="14"/>
      <c r="V30" s="14"/>
    </row>
    <row r="31" spans="3:48" x14ac:dyDescent="0.25">
      <c r="C31" s="2" t="s">
        <v>71</v>
      </c>
      <c r="D31" s="14">
        <v>2610</v>
      </c>
      <c r="E31" s="14">
        <v>2704</v>
      </c>
      <c r="F31" s="14">
        <v>2825</v>
      </c>
      <c r="G31" s="14">
        <v>2978</v>
      </c>
      <c r="H31" s="14">
        <v>3109</v>
      </c>
      <c r="I31" s="14">
        <v>3367</v>
      </c>
      <c r="J31" s="14">
        <v>3541</v>
      </c>
      <c r="K31" s="14">
        <v>3779</v>
      </c>
      <c r="L31" s="14">
        <v>3966</v>
      </c>
      <c r="M31" s="14">
        <v>4454</v>
      </c>
      <c r="N31" s="14">
        <v>4698</v>
      </c>
      <c r="O31" s="14">
        <v>4997</v>
      </c>
      <c r="P31" s="14">
        <v>5009</v>
      </c>
      <c r="Q31" s="14">
        <v>5105</v>
      </c>
      <c r="R31" s="14">
        <v>5368</v>
      </c>
      <c r="S31" s="14">
        <v>5335</v>
      </c>
      <c r="T31" s="14">
        <v>5583</v>
      </c>
      <c r="U31" s="14"/>
      <c r="V31" s="14"/>
    </row>
    <row r="32" spans="3:48" x14ac:dyDescent="0.25">
      <c r="C32" s="2" t="s">
        <v>72</v>
      </c>
      <c r="D32" s="14">
        <v>1030</v>
      </c>
      <c r="E32" s="14">
        <v>1174</v>
      </c>
      <c r="F32" s="14">
        <v>1426</v>
      </c>
      <c r="G32" s="14">
        <v>1261</v>
      </c>
      <c r="H32" s="14">
        <v>1273</v>
      </c>
      <c r="I32" s="14">
        <v>1299</v>
      </c>
      <c r="J32" s="14">
        <v>1317</v>
      </c>
      <c r="K32" s="14">
        <v>1260</v>
      </c>
      <c r="L32" s="14">
        <v>1347</v>
      </c>
      <c r="M32" s="14">
        <v>1417</v>
      </c>
      <c r="N32" s="14">
        <v>1632</v>
      </c>
      <c r="O32" s="14">
        <v>1530</v>
      </c>
      <c r="P32" s="14">
        <v>1787</v>
      </c>
      <c r="Q32" s="14">
        <v>1675</v>
      </c>
      <c r="R32" s="14">
        <v>1806</v>
      </c>
      <c r="S32" s="14">
        <v>1566</v>
      </c>
      <c r="T32" s="14">
        <v>1638</v>
      </c>
      <c r="U32" s="14"/>
      <c r="V32" s="14"/>
    </row>
    <row r="33" spans="3:22" x14ac:dyDescent="0.25">
      <c r="C33" s="2" t="s">
        <v>73</v>
      </c>
      <c r="D33" s="14">
        <v>216</v>
      </c>
      <c r="E33" s="14">
        <v>221</v>
      </c>
      <c r="F33" s="14">
        <v>243</v>
      </c>
      <c r="G33" s="14">
        <v>249</v>
      </c>
      <c r="H33" s="14">
        <v>240</v>
      </c>
      <c r="I33" s="14">
        <v>214</v>
      </c>
      <c r="J33" s="14">
        <v>225</v>
      </c>
      <c r="K33" s="14">
        <v>215</v>
      </c>
      <c r="L33" s="14">
        <v>249</v>
      </c>
      <c r="M33" s="14">
        <v>267</v>
      </c>
      <c r="N33" s="14">
        <v>280</v>
      </c>
      <c r="O33" s="14">
        <v>298</v>
      </c>
      <c r="P33" s="14">
        <v>286</v>
      </c>
      <c r="Q33" s="14">
        <v>291</v>
      </c>
      <c r="R33" s="14">
        <v>301</v>
      </c>
      <c r="S33" s="14">
        <v>296</v>
      </c>
      <c r="T33" s="14">
        <v>300</v>
      </c>
      <c r="U33" s="14"/>
      <c r="V33" s="14"/>
    </row>
    <row r="34" spans="3:22" x14ac:dyDescent="0.25">
      <c r="C34" s="2" t="s">
        <v>74</v>
      </c>
      <c r="D34" s="14">
        <v>3534</v>
      </c>
      <c r="E34" s="14">
        <v>4239</v>
      </c>
      <c r="F34" s="14">
        <v>5155</v>
      </c>
      <c r="G34" s="14">
        <v>4211</v>
      </c>
      <c r="H34" s="14">
        <v>4327</v>
      </c>
      <c r="I34" s="14">
        <v>4460</v>
      </c>
      <c r="J34" s="14">
        <v>4824</v>
      </c>
      <c r="K34" s="14">
        <v>4166</v>
      </c>
      <c r="L34" s="14">
        <v>4425</v>
      </c>
      <c r="M34" s="14">
        <v>4459</v>
      </c>
      <c r="N34" s="14">
        <v>4898</v>
      </c>
      <c r="O34" s="14">
        <v>4426</v>
      </c>
      <c r="P34" s="14">
        <v>4604</v>
      </c>
      <c r="Q34" s="14">
        <v>4735</v>
      </c>
      <c r="R34" s="14">
        <v>5369</v>
      </c>
      <c r="S34" s="14">
        <v>4883</v>
      </c>
      <c r="T34" s="14">
        <v>5283</v>
      </c>
      <c r="U34" s="14"/>
      <c r="V34" s="14"/>
    </row>
    <row r="35" spans="3:22" x14ac:dyDescent="0.25">
      <c r="C35" s="2" t="s">
        <v>75</v>
      </c>
      <c r="D35" s="14">
        <v>790</v>
      </c>
      <c r="E35" s="14">
        <v>663</v>
      </c>
      <c r="F35" s="14">
        <v>880</v>
      </c>
      <c r="G35" s="14">
        <v>1262</v>
      </c>
      <c r="H35" s="14">
        <v>840</v>
      </c>
      <c r="I35" s="14">
        <v>791</v>
      </c>
      <c r="J35" s="14">
        <v>931</v>
      </c>
      <c r="K35" s="14">
        <v>1342</v>
      </c>
      <c r="L35" s="14">
        <v>1104</v>
      </c>
      <c r="M35" s="14">
        <v>854</v>
      </c>
      <c r="N35" s="14">
        <v>757</v>
      </c>
      <c r="O35" s="14">
        <v>1217</v>
      </c>
      <c r="P35" s="14">
        <v>719</v>
      </c>
      <c r="Q35" s="14">
        <v>661</v>
      </c>
      <c r="R35" s="14">
        <v>695</v>
      </c>
      <c r="S35" s="14">
        <v>1163</v>
      </c>
      <c r="T35" s="14">
        <v>813</v>
      </c>
      <c r="U35" s="14"/>
      <c r="V35" s="14"/>
    </row>
    <row r="36" spans="3:22" x14ac:dyDescent="0.25">
      <c r="C36" s="2" t="s">
        <v>76</v>
      </c>
      <c r="D36" s="14">
        <v>52</v>
      </c>
      <c r="E36" s="14">
        <v>52</v>
      </c>
      <c r="F36" s="14">
        <v>42</v>
      </c>
      <c r="G36" s="14">
        <v>54</v>
      </c>
      <c r="H36" s="14">
        <v>39</v>
      </c>
      <c r="I36" s="14">
        <v>39</v>
      </c>
      <c r="J36" s="14">
        <v>37</v>
      </c>
      <c r="K36" s="14">
        <v>55</v>
      </c>
      <c r="L36" s="14">
        <v>48</v>
      </c>
      <c r="M36" s="14">
        <v>53</v>
      </c>
      <c r="N36" s="14">
        <v>51</v>
      </c>
      <c r="O36" s="14">
        <v>91</v>
      </c>
      <c r="P36" s="14">
        <v>70</v>
      </c>
      <c r="Q36" s="14">
        <v>60</v>
      </c>
      <c r="R36" s="14">
        <v>65</v>
      </c>
      <c r="S36" s="14">
        <v>72</v>
      </c>
      <c r="T36" s="14">
        <v>60</v>
      </c>
      <c r="U36" s="14"/>
      <c r="V36" s="14"/>
    </row>
    <row r="37" spans="3:22" x14ac:dyDescent="0.25">
      <c r="C37" s="2" t="s">
        <v>77</v>
      </c>
      <c r="D37" s="14">
        <v>206</v>
      </c>
      <c r="E37" s="14">
        <v>124</v>
      </c>
      <c r="F37" s="14">
        <v>174</v>
      </c>
      <c r="G37" s="14">
        <v>231</v>
      </c>
      <c r="H37" s="14">
        <v>253</v>
      </c>
      <c r="I37" s="14">
        <v>117</v>
      </c>
      <c r="J37" s="14">
        <v>43</v>
      </c>
      <c r="K37" s="14">
        <v>87</v>
      </c>
      <c r="L37" s="14">
        <v>127</v>
      </c>
      <c r="M37" s="14">
        <v>283</v>
      </c>
      <c r="N37" s="14">
        <v>369</v>
      </c>
      <c r="O37" s="14">
        <v>162</v>
      </c>
      <c r="P37" s="14">
        <v>325</v>
      </c>
      <c r="Q37" s="14">
        <v>629</v>
      </c>
      <c r="R37" s="14">
        <v>922</v>
      </c>
      <c r="S37" s="14">
        <v>1709</v>
      </c>
      <c r="T37" s="14">
        <v>976</v>
      </c>
      <c r="U37" s="14"/>
      <c r="V37" s="14"/>
    </row>
    <row r="38" spans="3:22" x14ac:dyDescent="0.25">
      <c r="C38" s="2" t="s">
        <v>130</v>
      </c>
      <c r="D38" s="14">
        <v>126</v>
      </c>
      <c r="E38" s="14">
        <v>207</v>
      </c>
      <c r="F38" s="14">
        <v>80</v>
      </c>
      <c r="G38" s="14">
        <v>155</v>
      </c>
      <c r="H38" s="14">
        <v>156</v>
      </c>
      <c r="I38" s="14">
        <v>182</v>
      </c>
      <c r="J38" s="14">
        <v>185</v>
      </c>
      <c r="K38" s="14">
        <v>103</v>
      </c>
      <c r="L38" s="14">
        <v>104</v>
      </c>
      <c r="M38" s="14">
        <v>218</v>
      </c>
      <c r="N38" s="14">
        <v>174</v>
      </c>
      <c r="O38" s="14">
        <v>153</v>
      </c>
      <c r="P38" s="14">
        <v>150</v>
      </c>
      <c r="Q38" s="14">
        <v>338</v>
      </c>
      <c r="R38" s="14">
        <v>163</v>
      </c>
      <c r="S38" s="14">
        <v>158</v>
      </c>
      <c r="T38" s="14">
        <v>98</v>
      </c>
      <c r="U38" s="14"/>
      <c r="V38" s="14"/>
    </row>
    <row r="39" spans="3:22" x14ac:dyDescent="0.25">
      <c r="C39" s="2" t="s">
        <v>78</v>
      </c>
      <c r="D39" s="14">
        <v>966</v>
      </c>
      <c r="E39" s="14">
        <v>744</v>
      </c>
      <c r="F39" s="14">
        <v>901</v>
      </c>
      <c r="G39" s="14">
        <v>1024</v>
      </c>
      <c r="H39" s="14">
        <v>920</v>
      </c>
      <c r="I39" s="14">
        <v>738</v>
      </c>
      <c r="J39" s="14">
        <v>872</v>
      </c>
      <c r="K39" s="14">
        <v>849</v>
      </c>
      <c r="L39" s="14">
        <v>886</v>
      </c>
      <c r="M39" s="14">
        <v>831</v>
      </c>
      <c r="N39" s="14">
        <v>763</v>
      </c>
      <c r="O39" s="14">
        <v>782</v>
      </c>
      <c r="P39" s="14">
        <v>984</v>
      </c>
      <c r="Q39" s="14">
        <v>853</v>
      </c>
      <c r="R39" s="14">
        <v>899</v>
      </c>
      <c r="S39" s="14">
        <v>936</v>
      </c>
      <c r="T39" s="14">
        <v>1048</v>
      </c>
      <c r="U39" s="14"/>
      <c r="V39" s="14"/>
    </row>
    <row r="40" spans="3:22" x14ac:dyDescent="0.25">
      <c r="C40" s="2" t="s">
        <v>79</v>
      </c>
      <c r="D40" s="14">
        <v>716</v>
      </c>
      <c r="E40" s="14">
        <v>1005</v>
      </c>
      <c r="F40" s="14">
        <v>260</v>
      </c>
      <c r="G40" s="14">
        <v>794</v>
      </c>
      <c r="H40" s="14">
        <v>541</v>
      </c>
      <c r="I40" s="14">
        <v>855</v>
      </c>
      <c r="J40" s="14">
        <v>848</v>
      </c>
      <c r="K40" s="14">
        <v>1397</v>
      </c>
      <c r="L40" s="14">
        <v>934</v>
      </c>
      <c r="M40" s="14">
        <v>897</v>
      </c>
      <c r="N40" s="14">
        <v>676</v>
      </c>
      <c r="O40" s="14">
        <v>2394</v>
      </c>
      <c r="P40" s="14">
        <v>744</v>
      </c>
      <c r="Q40" s="14">
        <v>817</v>
      </c>
      <c r="R40" s="14">
        <v>765</v>
      </c>
      <c r="S40" s="14">
        <v>1305</v>
      </c>
      <c r="T40" s="14">
        <v>826</v>
      </c>
      <c r="U40" s="14"/>
      <c r="V40" s="14"/>
    </row>
    <row r="41" spans="3:22" x14ac:dyDescent="0.25">
      <c r="C41" s="1" t="s">
        <v>80</v>
      </c>
      <c r="D41" s="12">
        <f t="shared" ref="D41:P41" si="36">SUM(D26:D40)</f>
        <v>19417</v>
      </c>
      <c r="E41" s="12">
        <f t="shared" si="36"/>
        <v>20502</v>
      </c>
      <c r="F41" s="12">
        <f t="shared" si="36"/>
        <v>21774</v>
      </c>
      <c r="G41" s="12">
        <f t="shared" si="36"/>
        <v>22013</v>
      </c>
      <c r="H41" s="12">
        <f t="shared" si="36"/>
        <v>21520</v>
      </c>
      <c r="I41" s="12">
        <f t="shared" si="36"/>
        <v>22110</v>
      </c>
      <c r="J41" s="12">
        <f t="shared" si="36"/>
        <v>23125</v>
      </c>
      <c r="K41" s="12">
        <f t="shared" si="36"/>
        <v>23799</v>
      </c>
      <c r="L41" s="12">
        <f t="shared" si="36"/>
        <v>23992</v>
      </c>
      <c r="M41" s="12">
        <f t="shared" si="36"/>
        <v>24798</v>
      </c>
      <c r="N41" s="12">
        <f t="shared" si="36"/>
        <v>25530</v>
      </c>
      <c r="O41" s="12">
        <f t="shared" si="36"/>
        <v>27757</v>
      </c>
      <c r="P41" s="12">
        <f t="shared" si="36"/>
        <v>26445</v>
      </c>
      <c r="Q41" s="12">
        <f>SUM(Q26:Q40)</f>
        <v>27006</v>
      </c>
      <c r="R41" s="12">
        <f>SUM(R26:R40)</f>
        <v>28435</v>
      </c>
      <c r="S41" s="12">
        <f>SUM(S26:S40)</f>
        <v>29603</v>
      </c>
      <c r="T41" s="12">
        <f>SUM(T26:T40)</f>
        <v>28953</v>
      </c>
      <c r="U41" s="12"/>
      <c r="V41" s="12"/>
    </row>
    <row r="42" spans="3:22" x14ac:dyDescent="0.25">
      <c r="C42" s="2" t="s">
        <v>94</v>
      </c>
      <c r="D42" s="14">
        <v>100</v>
      </c>
      <c r="E42" s="14">
        <v>96</v>
      </c>
      <c r="F42" s="14">
        <v>96</v>
      </c>
      <c r="G42" s="14">
        <v>96</v>
      </c>
      <c r="H42" s="14">
        <v>96</v>
      </c>
      <c r="I42" s="14">
        <v>89</v>
      </c>
      <c r="J42" s="14">
        <v>89</v>
      </c>
      <c r="K42" s="14">
        <v>89</v>
      </c>
      <c r="L42" s="14">
        <v>89</v>
      </c>
      <c r="M42" s="14">
        <v>82</v>
      </c>
      <c r="N42" s="14">
        <v>82</v>
      </c>
      <c r="O42" s="14">
        <v>82</v>
      </c>
      <c r="P42" s="14">
        <v>82</v>
      </c>
      <c r="Q42" s="14">
        <v>79</v>
      </c>
      <c r="R42" s="14">
        <v>79</v>
      </c>
      <c r="S42" s="14">
        <v>79</v>
      </c>
      <c r="T42" s="14">
        <v>79</v>
      </c>
      <c r="U42" s="14"/>
      <c r="V42" s="14"/>
    </row>
    <row r="43" spans="3:22" x14ac:dyDescent="0.25">
      <c r="C43" s="2" t="s">
        <v>95</v>
      </c>
      <c r="D43" s="14">
        <v>-4458</v>
      </c>
      <c r="E43" s="14">
        <v>-1690</v>
      </c>
      <c r="F43" s="14">
        <v>-2485</v>
      </c>
      <c r="G43" s="14">
        <v>-3320</v>
      </c>
      <c r="H43" s="14">
        <v>-4489</v>
      </c>
      <c r="I43" s="14">
        <v>-2337</v>
      </c>
      <c r="J43" s="14">
        <v>-3647</v>
      </c>
      <c r="K43" s="14">
        <v>-4353</v>
      </c>
      <c r="L43" s="14">
        <v>-5184</v>
      </c>
      <c r="M43" s="14">
        <v>-1092</v>
      </c>
      <c r="N43" s="14">
        <v>-2189</v>
      </c>
      <c r="O43" s="14">
        <v>-3228</v>
      </c>
      <c r="P43" s="14">
        <v>-4123</v>
      </c>
      <c r="Q43" s="14">
        <v>-1868</v>
      </c>
      <c r="R43" s="14">
        <v>-3329</v>
      </c>
      <c r="S43" s="14">
        <v>-4236</v>
      </c>
      <c r="T43" s="14">
        <v>-4026</v>
      </c>
      <c r="U43" s="14"/>
      <c r="V43" s="14"/>
    </row>
    <row r="44" spans="3:22" x14ac:dyDescent="0.25">
      <c r="C44" s="2" t="s">
        <v>81</v>
      </c>
      <c r="D44" s="16">
        <v>1043</v>
      </c>
      <c r="E44" s="14">
        <v>911</v>
      </c>
      <c r="F44" s="14">
        <v>1011</v>
      </c>
      <c r="G44" s="14">
        <v>918</v>
      </c>
      <c r="H44" s="14">
        <v>914</v>
      </c>
      <c r="I44" s="14">
        <v>650</v>
      </c>
      <c r="J44" s="14">
        <v>657</v>
      </c>
      <c r="K44" s="14">
        <v>610</v>
      </c>
      <c r="L44" s="14">
        <v>678</v>
      </c>
      <c r="M44" s="14">
        <v>818</v>
      </c>
      <c r="N44" s="14">
        <v>750</v>
      </c>
      <c r="O44" s="14">
        <v>858</v>
      </c>
      <c r="P44" s="14">
        <v>703</v>
      </c>
      <c r="Q44" s="14">
        <v>492</v>
      </c>
      <c r="R44" s="14">
        <v>792</v>
      </c>
      <c r="S44" s="14">
        <v>1263</v>
      </c>
      <c r="T44" s="14">
        <v>731</v>
      </c>
      <c r="U44" s="14"/>
      <c r="V44" s="14"/>
    </row>
    <row r="45" spans="3:22" x14ac:dyDescent="0.25">
      <c r="C45" s="2" t="s">
        <v>82</v>
      </c>
      <c r="D45" s="14">
        <v>0</v>
      </c>
      <c r="E45" s="14">
        <v>0</v>
      </c>
      <c r="F45" s="2">
        <v>0</v>
      </c>
      <c r="G45" s="14">
        <v>1430</v>
      </c>
      <c r="H45" s="14">
        <v>0</v>
      </c>
      <c r="I45" s="14">
        <v>0</v>
      </c>
      <c r="J45" s="14">
        <v>0</v>
      </c>
      <c r="K45" s="14">
        <v>1480</v>
      </c>
      <c r="L45" s="14">
        <v>0</v>
      </c>
      <c r="M45" s="14">
        <v>0</v>
      </c>
      <c r="N45" s="14">
        <v>0</v>
      </c>
      <c r="O45" s="14">
        <v>1576</v>
      </c>
      <c r="P45" s="14">
        <v>0</v>
      </c>
      <c r="Q45" s="14">
        <v>0</v>
      </c>
      <c r="R45" s="14">
        <v>0</v>
      </c>
      <c r="S45" s="14">
        <v>1641</v>
      </c>
      <c r="T45" s="14">
        <v>0</v>
      </c>
      <c r="U45" s="14"/>
      <c r="V45" s="14"/>
    </row>
    <row r="46" spans="3:22" x14ac:dyDescent="0.25">
      <c r="C46" s="2" t="s">
        <v>83</v>
      </c>
      <c r="D46" s="14">
        <v>8841</v>
      </c>
      <c r="E46" s="14">
        <v>6301</v>
      </c>
      <c r="F46" s="14">
        <v>7058</v>
      </c>
      <c r="G46" s="14">
        <v>8044</v>
      </c>
      <c r="H46" s="14">
        <v>8734</v>
      </c>
      <c r="I46" s="14">
        <v>5843</v>
      </c>
      <c r="J46" s="14">
        <v>6422</v>
      </c>
      <c r="K46" s="14">
        <v>7530</v>
      </c>
      <c r="L46" s="14">
        <v>8379</v>
      </c>
      <c r="M46" s="14">
        <v>4268</v>
      </c>
      <c r="N46" s="14">
        <v>4871</v>
      </c>
      <c r="O46" s="14">
        <v>6219</v>
      </c>
      <c r="P46" s="14">
        <v>7171</v>
      </c>
      <c r="Q46" s="14">
        <v>4846</v>
      </c>
      <c r="R46" s="14">
        <v>5379</v>
      </c>
      <c r="S46" s="14">
        <v>6535</v>
      </c>
      <c r="T46" s="14">
        <v>7236</v>
      </c>
      <c r="U46" s="14"/>
      <c r="V46" s="14"/>
    </row>
    <row r="47" spans="3:22" x14ac:dyDescent="0.25">
      <c r="C47" s="11" t="s">
        <v>93</v>
      </c>
      <c r="D47" s="16">
        <f t="shared" ref="D47:P47" si="37">SUM(D42:D46)</f>
        <v>5526</v>
      </c>
      <c r="E47" s="16">
        <f t="shared" si="37"/>
        <v>5618</v>
      </c>
      <c r="F47" s="16">
        <f>SUM(F42:F46)</f>
        <v>5680</v>
      </c>
      <c r="G47" s="16">
        <f t="shared" si="37"/>
        <v>7168</v>
      </c>
      <c r="H47" s="16">
        <f t="shared" si="37"/>
        <v>5255</v>
      </c>
      <c r="I47" s="16">
        <f t="shared" si="37"/>
        <v>4245</v>
      </c>
      <c r="J47" s="16">
        <f t="shared" si="37"/>
        <v>3521</v>
      </c>
      <c r="K47" s="16">
        <f t="shared" si="37"/>
        <v>5356</v>
      </c>
      <c r="L47" s="16">
        <f t="shared" si="37"/>
        <v>3962</v>
      </c>
      <c r="M47" s="16">
        <f t="shared" si="37"/>
        <v>4076</v>
      </c>
      <c r="N47" s="16">
        <f t="shared" si="37"/>
        <v>3514</v>
      </c>
      <c r="O47" s="16">
        <f t="shared" si="37"/>
        <v>5507</v>
      </c>
      <c r="P47" s="16">
        <f t="shared" si="37"/>
        <v>3833</v>
      </c>
      <c r="Q47" s="16">
        <f>SUM(Q42:Q46)</f>
        <v>3549</v>
      </c>
      <c r="R47" s="16">
        <f>SUM(R42:R46)</f>
        <v>2921</v>
      </c>
      <c r="S47" s="16">
        <f>SUM(S42:S46)</f>
        <v>5282</v>
      </c>
      <c r="T47" s="16">
        <f>SUM(T42:T46)</f>
        <v>4020</v>
      </c>
      <c r="U47" s="16"/>
      <c r="V47" s="16"/>
    </row>
    <row r="48" spans="3:22" x14ac:dyDescent="0.25">
      <c r="C48" s="2" t="s">
        <v>84</v>
      </c>
      <c r="D48" s="14">
        <v>425</v>
      </c>
      <c r="E48" s="14">
        <v>386</v>
      </c>
      <c r="F48" s="14">
        <v>331</v>
      </c>
      <c r="G48" s="14">
        <v>363</v>
      </c>
      <c r="H48" s="14">
        <v>329</v>
      </c>
      <c r="I48" s="14">
        <v>369</v>
      </c>
      <c r="J48" s="14">
        <v>378</v>
      </c>
      <c r="K48" s="14">
        <v>408</v>
      </c>
      <c r="L48" s="14">
        <v>435</v>
      </c>
      <c r="M48" s="14">
        <v>467</v>
      </c>
      <c r="N48" s="14">
        <v>488</v>
      </c>
      <c r="O48" s="14">
        <v>494</v>
      </c>
      <c r="P48" s="14">
        <v>492</v>
      </c>
      <c r="Q48" s="14">
        <v>541</v>
      </c>
      <c r="R48" s="14">
        <v>545</v>
      </c>
      <c r="S48" s="14">
        <v>558</v>
      </c>
      <c r="T48" s="14">
        <v>559</v>
      </c>
      <c r="U48" s="14"/>
      <c r="V48" s="14"/>
    </row>
    <row r="49" spans="3:34" x14ac:dyDescent="0.25">
      <c r="C49" s="2" t="s">
        <v>131</v>
      </c>
      <c r="D49" s="14">
        <v>6566</v>
      </c>
      <c r="E49" s="14">
        <v>7998</v>
      </c>
      <c r="F49" s="14">
        <v>7014</v>
      </c>
      <c r="G49" s="14">
        <v>3130</v>
      </c>
      <c r="H49" s="14">
        <v>9360</v>
      </c>
      <c r="I49" s="14">
        <v>10555</v>
      </c>
      <c r="J49" s="14">
        <v>11970</v>
      </c>
      <c r="K49" s="14">
        <v>9737</v>
      </c>
      <c r="L49" s="14">
        <v>8056</v>
      </c>
      <c r="M49" s="14">
        <v>11978</v>
      </c>
      <c r="N49" s="14">
        <v>11537</v>
      </c>
      <c r="O49" s="14">
        <v>11625</v>
      </c>
      <c r="P49" s="14">
        <v>12360</v>
      </c>
      <c r="Q49" s="14">
        <v>11693</v>
      </c>
      <c r="R49" s="14">
        <v>11948</v>
      </c>
      <c r="S49" s="14">
        <v>11922</v>
      </c>
      <c r="T49" s="14">
        <v>14393</v>
      </c>
      <c r="U49" s="14"/>
      <c r="V49" s="14"/>
    </row>
    <row r="50" spans="3:34" x14ac:dyDescent="0.25">
      <c r="C50" s="2" t="s">
        <v>85</v>
      </c>
      <c r="D50" s="14">
        <v>193</v>
      </c>
      <c r="E50" s="14">
        <v>145</v>
      </c>
      <c r="F50" s="14">
        <v>145</v>
      </c>
      <c r="G50" s="14">
        <v>172</v>
      </c>
      <c r="H50" s="14">
        <v>234</v>
      </c>
      <c r="I50" s="14">
        <v>174</v>
      </c>
      <c r="J50" s="14">
        <v>138</v>
      </c>
      <c r="K50" s="14">
        <v>164</v>
      </c>
      <c r="L50" s="14">
        <v>222</v>
      </c>
      <c r="M50" s="14">
        <v>243</v>
      </c>
      <c r="N50" s="14">
        <v>280</v>
      </c>
      <c r="O50" s="14">
        <v>102</v>
      </c>
      <c r="P50" s="14">
        <v>163</v>
      </c>
      <c r="Q50" s="14">
        <v>161</v>
      </c>
      <c r="R50" s="14">
        <v>254</v>
      </c>
      <c r="S50" s="14">
        <v>462</v>
      </c>
      <c r="T50" s="14">
        <v>270</v>
      </c>
      <c r="U50" s="14"/>
      <c r="V50" s="14"/>
    </row>
    <row r="51" spans="3:34" x14ac:dyDescent="0.25">
      <c r="C51" s="2" t="s">
        <v>86</v>
      </c>
      <c r="D51" s="2">
        <v>0</v>
      </c>
      <c r="E51" s="14">
        <v>0</v>
      </c>
      <c r="F51" s="14">
        <v>0</v>
      </c>
      <c r="G51" s="2">
        <v>0</v>
      </c>
      <c r="H51" s="2">
        <v>0</v>
      </c>
      <c r="I51" s="2">
        <v>0</v>
      </c>
      <c r="J51" s="14">
        <v>0</v>
      </c>
      <c r="K51" s="14">
        <v>80</v>
      </c>
      <c r="L51" s="14">
        <v>139</v>
      </c>
      <c r="M51" s="14">
        <v>189</v>
      </c>
      <c r="N51" s="14">
        <v>175</v>
      </c>
      <c r="O51" s="14">
        <v>152</v>
      </c>
      <c r="P51" s="14">
        <v>156</v>
      </c>
      <c r="Q51" s="14">
        <v>156</v>
      </c>
      <c r="R51" s="14">
        <v>156</v>
      </c>
      <c r="S51" s="14">
        <v>127</v>
      </c>
      <c r="T51" s="14">
        <v>128</v>
      </c>
      <c r="U51" s="14"/>
      <c r="V51" s="14"/>
    </row>
    <row r="52" spans="3:34" x14ac:dyDescent="0.25">
      <c r="C52" s="2" t="s">
        <v>84</v>
      </c>
      <c r="D52" s="14">
        <v>25</v>
      </c>
      <c r="E52" s="14">
        <v>26</v>
      </c>
      <c r="F52" s="14">
        <v>26</v>
      </c>
      <c r="G52" s="14">
        <v>21</v>
      </c>
      <c r="H52" s="14">
        <v>20</v>
      </c>
      <c r="I52" s="14">
        <v>19</v>
      </c>
      <c r="J52" s="14">
        <v>18</v>
      </c>
      <c r="K52" s="14">
        <v>23</v>
      </c>
      <c r="L52" s="14">
        <v>24</v>
      </c>
      <c r="M52" s="14">
        <v>20</v>
      </c>
      <c r="N52" s="14">
        <v>22</v>
      </c>
      <c r="O52" s="14">
        <v>49</v>
      </c>
      <c r="P52" s="14">
        <v>50</v>
      </c>
      <c r="Q52" s="14">
        <v>41</v>
      </c>
      <c r="R52" s="14">
        <v>27</v>
      </c>
      <c r="S52" s="14">
        <v>33</v>
      </c>
      <c r="T52" s="14">
        <v>33</v>
      </c>
      <c r="U52" s="14"/>
      <c r="V52" s="14"/>
    </row>
    <row r="53" spans="3:34" x14ac:dyDescent="0.25">
      <c r="C53" s="2" t="s">
        <v>87</v>
      </c>
      <c r="D53" s="14">
        <v>575</v>
      </c>
      <c r="E53" s="14">
        <v>583</v>
      </c>
      <c r="F53" s="14">
        <v>502</v>
      </c>
      <c r="G53" s="14">
        <v>628</v>
      </c>
      <c r="H53" s="14">
        <v>454</v>
      </c>
      <c r="I53" s="14">
        <v>478</v>
      </c>
      <c r="J53" s="14">
        <v>464</v>
      </c>
      <c r="K53" s="14">
        <v>721</v>
      </c>
      <c r="L53" s="14">
        <v>552</v>
      </c>
      <c r="M53" s="14">
        <v>583</v>
      </c>
      <c r="N53" s="14">
        <v>554</v>
      </c>
      <c r="O53" s="14">
        <v>840</v>
      </c>
      <c r="P53" s="14">
        <v>589</v>
      </c>
      <c r="Q53" s="14">
        <v>565</v>
      </c>
      <c r="R53" s="14">
        <v>540</v>
      </c>
      <c r="S53" s="14">
        <v>793</v>
      </c>
      <c r="T53" s="14">
        <v>554</v>
      </c>
      <c r="U53" s="14"/>
      <c r="V53" s="14"/>
      <c r="AC53" s="1"/>
      <c r="AD53" s="1"/>
      <c r="AE53" s="1"/>
      <c r="AF53" s="1"/>
      <c r="AG53" s="1"/>
      <c r="AH53" s="1"/>
    </row>
    <row r="54" spans="3:34" x14ac:dyDescent="0.25">
      <c r="C54" s="2" t="s">
        <v>88</v>
      </c>
      <c r="D54" s="14">
        <v>127</v>
      </c>
      <c r="E54" s="14">
        <v>127</v>
      </c>
      <c r="F54" s="14">
        <v>129</v>
      </c>
      <c r="G54" s="14">
        <v>136</v>
      </c>
      <c r="H54" s="14">
        <v>129</v>
      </c>
      <c r="I54" s="14">
        <v>126</v>
      </c>
      <c r="J54" s="14">
        <v>177</v>
      </c>
      <c r="K54" s="14">
        <v>185</v>
      </c>
      <c r="L54" s="14">
        <v>168</v>
      </c>
      <c r="M54" s="14">
        <v>177</v>
      </c>
      <c r="N54" s="14">
        <v>186</v>
      </c>
      <c r="O54" s="14">
        <v>237</v>
      </c>
      <c r="P54" s="14">
        <v>220</v>
      </c>
      <c r="Q54" s="14">
        <v>221</v>
      </c>
      <c r="R54" s="14">
        <v>223</v>
      </c>
      <c r="S54" s="14">
        <v>271</v>
      </c>
      <c r="T54" s="14">
        <v>227</v>
      </c>
      <c r="U54" s="14"/>
      <c r="V54" s="14"/>
    </row>
    <row r="55" spans="3:34" x14ac:dyDescent="0.25">
      <c r="C55" s="2" t="s">
        <v>129</v>
      </c>
      <c r="D55" s="14">
        <v>1308</v>
      </c>
      <c r="E55" s="14">
        <v>933</v>
      </c>
      <c r="F55" s="14">
        <v>2421</v>
      </c>
      <c r="G55" s="14">
        <v>4458</v>
      </c>
      <c r="H55" s="14">
        <v>1408</v>
      </c>
      <c r="I55" s="14">
        <v>1663</v>
      </c>
      <c r="J55" s="14">
        <v>1585</v>
      </c>
      <c r="K55" s="14">
        <v>1430</v>
      </c>
      <c r="L55" s="14">
        <v>5521</v>
      </c>
      <c r="M55" s="14">
        <v>2321</v>
      </c>
      <c r="N55" s="14">
        <v>3636</v>
      </c>
      <c r="O55" s="14">
        <v>1776</v>
      </c>
      <c r="P55" s="14">
        <v>2853</v>
      </c>
      <c r="Q55" s="14">
        <v>4420</v>
      </c>
      <c r="R55" s="14">
        <v>5971</v>
      </c>
      <c r="S55" s="14">
        <v>3102</v>
      </c>
      <c r="T55" s="14">
        <v>2523</v>
      </c>
      <c r="U55" s="14"/>
      <c r="V55" s="14"/>
    </row>
    <row r="56" spans="3:34" x14ac:dyDescent="0.25">
      <c r="C56" s="2" t="s">
        <v>77</v>
      </c>
      <c r="D56" s="14">
        <v>162</v>
      </c>
      <c r="E56" s="14">
        <v>423</v>
      </c>
      <c r="F56" s="14">
        <v>554</v>
      </c>
      <c r="G56" s="14">
        <v>74</v>
      </c>
      <c r="H56" s="14">
        <v>54</v>
      </c>
      <c r="I56" s="14">
        <v>206</v>
      </c>
      <c r="J56" s="14">
        <v>271</v>
      </c>
      <c r="K56" s="14">
        <v>128</v>
      </c>
      <c r="L56" s="14">
        <v>190</v>
      </c>
      <c r="M56" s="14">
        <v>109</v>
      </c>
      <c r="N56" s="14">
        <v>69</v>
      </c>
      <c r="O56" s="14">
        <v>152</v>
      </c>
      <c r="P56" s="14">
        <v>109</v>
      </c>
      <c r="Q56" s="14">
        <v>159</v>
      </c>
      <c r="R56" s="14">
        <v>122</v>
      </c>
      <c r="S56" s="14">
        <v>35</v>
      </c>
      <c r="T56" s="14">
        <v>78</v>
      </c>
      <c r="U56" s="14"/>
      <c r="V56" s="14"/>
    </row>
    <row r="57" spans="3:34" x14ac:dyDescent="0.25">
      <c r="C57" s="2" t="s">
        <v>89</v>
      </c>
      <c r="D57" s="14">
        <v>2504</v>
      </c>
      <c r="E57" s="14">
        <v>2385</v>
      </c>
      <c r="F57" s="14">
        <v>2674</v>
      </c>
      <c r="G57" s="14">
        <v>3131</v>
      </c>
      <c r="H57" s="14">
        <v>2192</v>
      </c>
      <c r="I57" s="14">
        <v>2277</v>
      </c>
      <c r="J57" s="14">
        <v>2364</v>
      </c>
      <c r="K57" s="14">
        <v>3211</v>
      </c>
      <c r="L57" s="14">
        <v>2675</v>
      </c>
      <c r="M57" s="14">
        <v>2769</v>
      </c>
      <c r="N57" s="14">
        <v>2950</v>
      </c>
      <c r="O57" s="14">
        <v>3894</v>
      </c>
      <c r="P57" s="14">
        <v>3255</v>
      </c>
      <c r="Q57" s="14">
        <v>3271</v>
      </c>
      <c r="R57" s="14">
        <v>3555</v>
      </c>
      <c r="S57" s="16">
        <v>4623</v>
      </c>
      <c r="T57" s="16">
        <v>4259</v>
      </c>
      <c r="U57" s="16"/>
      <c r="V57" s="16"/>
      <c r="AC57" s="1"/>
      <c r="AD57" s="1"/>
      <c r="AE57" s="1"/>
      <c r="AF57" s="1"/>
      <c r="AG57" s="1"/>
      <c r="AH57" s="1"/>
    </row>
    <row r="58" spans="3:34" x14ac:dyDescent="0.25">
      <c r="C58" s="2" t="s">
        <v>90</v>
      </c>
      <c r="D58" s="14">
        <v>712</v>
      </c>
      <c r="E58" s="14">
        <v>981</v>
      </c>
      <c r="F58" s="14">
        <v>1175</v>
      </c>
      <c r="G58" s="14">
        <v>1068</v>
      </c>
      <c r="H58" s="14">
        <v>864</v>
      </c>
      <c r="I58" s="14">
        <v>964</v>
      </c>
      <c r="J58" s="14">
        <v>1079</v>
      </c>
      <c r="K58" s="14">
        <v>583</v>
      </c>
      <c r="L58" s="14">
        <v>534</v>
      </c>
      <c r="M58" s="14">
        <v>718</v>
      </c>
      <c r="N58" s="14">
        <v>950</v>
      </c>
      <c r="O58" s="14">
        <v>871</v>
      </c>
      <c r="P58" s="14">
        <v>761</v>
      </c>
      <c r="Q58" s="14">
        <v>989</v>
      </c>
      <c r="R58" s="14">
        <v>1049</v>
      </c>
      <c r="S58" s="16">
        <v>685</v>
      </c>
      <c r="T58" s="16">
        <v>526</v>
      </c>
      <c r="U58" s="16"/>
      <c r="V58" s="16"/>
      <c r="W58" s="11"/>
      <c r="X58" s="11"/>
    </row>
    <row r="59" spans="3:34" x14ac:dyDescent="0.25">
      <c r="C59" s="2" t="s">
        <v>86</v>
      </c>
      <c r="D59" s="14">
        <v>1296</v>
      </c>
      <c r="E59" s="14">
        <v>898</v>
      </c>
      <c r="F59" s="14">
        <v>1126</v>
      </c>
      <c r="G59" s="14">
        <v>1666</v>
      </c>
      <c r="H59" s="14">
        <v>1221</v>
      </c>
      <c r="I59" s="14">
        <v>1036</v>
      </c>
      <c r="J59" s="14">
        <v>1162</v>
      </c>
      <c r="K59" s="14">
        <v>1773</v>
      </c>
      <c r="L59" s="14">
        <v>1517</v>
      </c>
      <c r="M59" s="14">
        <v>1145</v>
      </c>
      <c r="N59" s="14">
        <v>1166</v>
      </c>
      <c r="O59" s="14">
        <v>2057</v>
      </c>
      <c r="P59" s="14">
        <v>1608</v>
      </c>
      <c r="Q59" s="14">
        <v>1240</v>
      </c>
      <c r="R59" s="14">
        <v>1126</v>
      </c>
      <c r="S59" s="14">
        <v>1710</v>
      </c>
      <c r="T59" s="14">
        <v>1384</v>
      </c>
      <c r="U59" s="12"/>
      <c r="V59" s="12"/>
    </row>
    <row r="60" spans="3:34" x14ac:dyDescent="0.25">
      <c r="C60" s="11" t="s">
        <v>91</v>
      </c>
      <c r="D60" s="16">
        <f>SUM(D48:D59)</f>
        <v>13893</v>
      </c>
      <c r="E60" s="16">
        <f t="shared" ref="E60:O60" si="38">SUM(E48:E59)</f>
        <v>14885</v>
      </c>
      <c r="F60" s="16">
        <f t="shared" si="38"/>
        <v>16097</v>
      </c>
      <c r="G60" s="16">
        <f t="shared" si="38"/>
        <v>14847</v>
      </c>
      <c r="H60" s="16">
        <f>SUM(H48:H59)</f>
        <v>16265</v>
      </c>
      <c r="I60" s="16">
        <f>SUM(I48:I59)</f>
        <v>17867</v>
      </c>
      <c r="J60" s="16">
        <f t="shared" si="38"/>
        <v>19606</v>
      </c>
      <c r="K60" s="16">
        <f t="shared" si="38"/>
        <v>18443</v>
      </c>
      <c r="L60" s="16">
        <f t="shared" si="38"/>
        <v>20033</v>
      </c>
      <c r="M60" s="16">
        <f t="shared" si="38"/>
        <v>20719</v>
      </c>
      <c r="N60" s="16">
        <f t="shared" si="38"/>
        <v>22013</v>
      </c>
      <c r="O60" s="16">
        <f t="shared" si="38"/>
        <v>22249</v>
      </c>
      <c r="P60" s="16">
        <f>SUM(P48:P59)</f>
        <v>22616</v>
      </c>
      <c r="Q60" s="16">
        <f>SUM(Q48:Q59)</f>
        <v>23457</v>
      </c>
      <c r="R60" s="16">
        <f>SUM(R48:R59)</f>
        <v>25516</v>
      </c>
      <c r="S60" s="16">
        <f>SUM(S48:S59)</f>
        <v>24321</v>
      </c>
      <c r="T60" s="16">
        <f>SUM(T48:T59)</f>
        <v>24934</v>
      </c>
      <c r="U60" s="16"/>
      <c r="V60" s="16"/>
      <c r="W60" s="16"/>
    </row>
    <row r="61" spans="3:34" x14ac:dyDescent="0.25">
      <c r="C61" s="1" t="s">
        <v>92</v>
      </c>
      <c r="D61" s="12">
        <f t="shared" ref="D61:P61" si="39">D47+D60</f>
        <v>19419</v>
      </c>
      <c r="E61" s="12">
        <f t="shared" si="39"/>
        <v>20503</v>
      </c>
      <c r="F61" s="12">
        <f t="shared" si="39"/>
        <v>21777</v>
      </c>
      <c r="G61" s="12">
        <f t="shared" si="39"/>
        <v>22015</v>
      </c>
      <c r="H61" s="12">
        <f t="shared" si="39"/>
        <v>21520</v>
      </c>
      <c r="I61" s="12">
        <f t="shared" si="39"/>
        <v>22112</v>
      </c>
      <c r="J61" s="12">
        <f t="shared" si="39"/>
        <v>23127</v>
      </c>
      <c r="K61" s="12">
        <f t="shared" si="39"/>
        <v>23799</v>
      </c>
      <c r="L61" s="12">
        <f t="shared" si="39"/>
        <v>23995</v>
      </c>
      <c r="M61" s="12">
        <f t="shared" si="39"/>
        <v>24795</v>
      </c>
      <c r="N61" s="12">
        <f t="shared" si="39"/>
        <v>25527</v>
      </c>
      <c r="O61" s="12">
        <f t="shared" si="39"/>
        <v>27756</v>
      </c>
      <c r="P61" s="12">
        <f t="shared" si="39"/>
        <v>26449</v>
      </c>
      <c r="Q61" s="12">
        <f>Q47+Q60</f>
        <v>27006</v>
      </c>
      <c r="R61" s="12">
        <f>R47+R60</f>
        <v>28437</v>
      </c>
      <c r="S61" s="12">
        <f>S47+S60</f>
        <v>29603</v>
      </c>
      <c r="T61" s="12">
        <f>T47+T60</f>
        <v>28954</v>
      </c>
      <c r="U61" s="12"/>
      <c r="V61" s="12"/>
      <c r="W61" s="12"/>
      <c r="X61" s="1"/>
      <c r="Y61" s="1"/>
      <c r="Z61" s="1"/>
      <c r="AA61" s="1"/>
      <c r="AB61" s="1"/>
    </row>
    <row r="62" spans="3:34" x14ac:dyDescent="0.25"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"/>
      <c r="X62" s="1"/>
      <c r="Y62" s="1"/>
      <c r="Z62" s="1"/>
      <c r="AA62" s="1"/>
      <c r="AB62" s="1"/>
    </row>
    <row r="63" spans="3:34" x14ac:dyDescent="0.25">
      <c r="C63" s="1" t="s">
        <v>52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3:34" x14ac:dyDescent="0.25">
      <c r="C64" s="2" t="s">
        <v>96</v>
      </c>
      <c r="D64" s="14">
        <f t="shared" ref="D64:T64" si="40">D9</f>
        <v>1310</v>
      </c>
      <c r="E64" s="14">
        <f t="shared" si="40"/>
        <v>1249</v>
      </c>
      <c r="F64" s="14">
        <f t="shared" si="40"/>
        <v>977</v>
      </c>
      <c r="G64" s="14">
        <f t="shared" si="40"/>
        <v>3205</v>
      </c>
      <c r="H64" s="14">
        <f t="shared" si="40"/>
        <v>1255</v>
      </c>
      <c r="I64" s="14">
        <f t="shared" si="40"/>
        <v>1188</v>
      </c>
      <c r="J64" s="14">
        <f t="shared" si="40"/>
        <v>920</v>
      </c>
      <c r="K64" s="14">
        <f t="shared" si="40"/>
        <v>3674</v>
      </c>
      <c r="L64" s="14">
        <f t="shared" si="40"/>
        <v>1507</v>
      </c>
      <c r="M64" s="14">
        <f t="shared" si="40"/>
        <v>1337</v>
      </c>
      <c r="N64" s="14">
        <f t="shared" si="40"/>
        <v>981</v>
      </c>
      <c r="O64" s="14">
        <f t="shared" si="40"/>
        <v>4149</v>
      </c>
      <c r="P64" s="14">
        <f t="shared" si="40"/>
        <v>1641</v>
      </c>
      <c r="Q64" s="14">
        <f t="shared" si="40"/>
        <v>1287</v>
      </c>
      <c r="R64" s="14">
        <f t="shared" si="40"/>
        <v>879</v>
      </c>
      <c r="S64" s="14">
        <f t="shared" si="40"/>
        <v>4000</v>
      </c>
      <c r="T64" s="14">
        <f t="shared" si="40"/>
        <v>1487</v>
      </c>
      <c r="U64" s="14"/>
      <c r="V64" s="14"/>
      <c r="W64" s="1"/>
      <c r="X64" s="1"/>
      <c r="Y64" s="14">
        <f>Y12</f>
        <v>5345</v>
      </c>
      <c r="Z64" s="14">
        <f>Z12</f>
        <v>7650</v>
      </c>
      <c r="AA64" s="14">
        <f>AA12</f>
        <v>7667</v>
      </c>
      <c r="AB64" s="14">
        <f>AB12</f>
        <v>6582</v>
      </c>
      <c r="AC64" s="14">
        <f t="shared" ref="AC64:AH64" si="41">AC9</f>
        <v>3827</v>
      </c>
      <c r="AD64" s="14">
        <f t="shared" si="41"/>
        <v>2684</v>
      </c>
      <c r="AE64" s="14">
        <f t="shared" si="41"/>
        <v>5839</v>
      </c>
      <c r="AF64" s="14">
        <f t="shared" si="41"/>
        <v>6743</v>
      </c>
      <c r="AG64" s="14">
        <f t="shared" si="41"/>
        <v>7038</v>
      </c>
      <c r="AH64" s="14">
        <f t="shared" si="41"/>
        <v>7974</v>
      </c>
    </row>
    <row r="65" spans="3:34" x14ac:dyDescent="0.25">
      <c r="C65" s="2" t="s">
        <v>97</v>
      </c>
      <c r="D65" s="14">
        <v>1310</v>
      </c>
      <c r="E65" s="14">
        <v>1249</v>
      </c>
      <c r="F65" s="14">
        <v>978</v>
      </c>
      <c r="G65" s="14">
        <v>3206</v>
      </c>
      <c r="H65" s="14">
        <v>1256</v>
      </c>
      <c r="I65" s="14">
        <v>1188</v>
      </c>
      <c r="J65" s="14">
        <v>920</v>
      </c>
      <c r="K65" s="14">
        <v>3674</v>
      </c>
      <c r="L65" s="14">
        <v>1507</v>
      </c>
      <c r="M65" s="14">
        <v>1338</v>
      </c>
      <c r="N65" s="14">
        <v>980</v>
      </c>
      <c r="O65" s="14">
        <v>4149</v>
      </c>
      <c r="P65" s="14">
        <v>1641</v>
      </c>
      <c r="Q65" s="14">
        <v>1287</v>
      </c>
      <c r="R65" s="14">
        <v>880</v>
      </c>
      <c r="S65" s="14">
        <v>3975</v>
      </c>
      <c r="T65" s="14">
        <v>1487</v>
      </c>
      <c r="U65" s="14"/>
      <c r="V65" s="14"/>
      <c r="W65" s="1"/>
      <c r="X65" s="1"/>
      <c r="Y65" s="14"/>
      <c r="Z65" s="14"/>
      <c r="AA65" s="14"/>
      <c r="AB65" s="14"/>
      <c r="AC65" s="14">
        <v>3829</v>
      </c>
      <c r="AD65" s="14">
        <v>2684</v>
      </c>
      <c r="AE65" s="14">
        <v>5839</v>
      </c>
      <c r="AF65" s="14">
        <v>6743</v>
      </c>
      <c r="AG65" s="14">
        <v>7039</v>
      </c>
      <c r="AH65" s="14">
        <v>7974</v>
      </c>
    </row>
    <row r="66" spans="3:34" x14ac:dyDescent="0.25">
      <c r="C66" s="2" t="s">
        <v>98</v>
      </c>
      <c r="D66" s="14">
        <v>461</v>
      </c>
      <c r="E66" s="14">
        <v>488</v>
      </c>
      <c r="F66" s="14">
        <v>518</v>
      </c>
      <c r="G66" s="14">
        <v>506</v>
      </c>
      <c r="H66" s="14">
        <v>497</v>
      </c>
      <c r="I66" s="14">
        <v>502</v>
      </c>
      <c r="J66" s="14">
        <v>527</v>
      </c>
      <c r="K66" s="14">
        <v>553</v>
      </c>
      <c r="L66" s="14">
        <v>561</v>
      </c>
      <c r="M66" s="14">
        <v>579</v>
      </c>
      <c r="N66" s="14">
        <v>591</v>
      </c>
      <c r="O66" s="14">
        <v>623</v>
      </c>
      <c r="P66" s="14">
        <v>624</v>
      </c>
      <c r="Q66" s="14">
        <v>623</v>
      </c>
      <c r="R66" s="14">
        <v>644</v>
      </c>
      <c r="S66" s="14">
        <v>695</v>
      </c>
      <c r="T66" s="14">
        <v>659</v>
      </c>
      <c r="U66" s="14"/>
      <c r="V66" s="14"/>
      <c r="W66" s="1"/>
      <c r="X66" s="1"/>
      <c r="Y66" s="14"/>
      <c r="Z66" s="14"/>
      <c r="AA66" s="14"/>
      <c r="AB66" s="14"/>
      <c r="AC66" s="14">
        <v>2319</v>
      </c>
      <c r="AD66" s="14">
        <v>2315</v>
      </c>
      <c r="AE66" s="14">
        <v>1999</v>
      </c>
      <c r="AF66" s="14">
        <v>1973</v>
      </c>
      <c r="AG66" s="14">
        <v>2079</v>
      </c>
      <c r="AH66" s="14">
        <v>2353</v>
      </c>
    </row>
    <row r="67" spans="3:34" x14ac:dyDescent="0.25">
      <c r="C67" s="2" t="s">
        <v>99</v>
      </c>
      <c r="D67" s="14">
        <v>14</v>
      </c>
      <c r="E67" s="14">
        <v>22</v>
      </c>
      <c r="F67" s="14">
        <v>26</v>
      </c>
      <c r="G67" s="14">
        <v>25</v>
      </c>
      <c r="H67" s="14">
        <v>24</v>
      </c>
      <c r="I67" s="14">
        <v>30</v>
      </c>
      <c r="J67" s="14">
        <v>30</v>
      </c>
      <c r="K67" s="14">
        <v>21</v>
      </c>
      <c r="L67" s="14">
        <v>59</v>
      </c>
      <c r="M67" s="14">
        <v>40</v>
      </c>
      <c r="N67" s="14">
        <v>19</v>
      </c>
      <c r="O67" s="14">
        <v>49</v>
      </c>
      <c r="P67" s="14">
        <v>17</v>
      </c>
      <c r="Q67" s="14">
        <v>46</v>
      </c>
      <c r="R67" s="14">
        <v>51</v>
      </c>
      <c r="S67" s="14">
        <v>-11</v>
      </c>
      <c r="T67" s="14">
        <v>-11</v>
      </c>
      <c r="U67" s="14"/>
      <c r="V67" s="14"/>
      <c r="W67" s="1"/>
      <c r="X67" s="1"/>
      <c r="Y67" s="12"/>
      <c r="Z67" s="12"/>
      <c r="AA67" s="12"/>
      <c r="AB67" s="12"/>
      <c r="AC67" s="14">
        <v>20</v>
      </c>
      <c r="AD67" s="14">
        <v>70</v>
      </c>
      <c r="AE67" s="14">
        <v>166</v>
      </c>
      <c r="AF67" s="14">
        <v>87</v>
      </c>
      <c r="AG67" s="14">
        <v>105</v>
      </c>
      <c r="AH67" s="14">
        <v>166</v>
      </c>
    </row>
    <row r="68" spans="3:34" x14ac:dyDescent="0.25">
      <c r="C68" s="2" t="s">
        <v>100</v>
      </c>
      <c r="D68" s="2">
        <v>-354</v>
      </c>
      <c r="E68" s="2">
        <v>-594</v>
      </c>
      <c r="F68" s="2">
        <v>-699</v>
      </c>
      <c r="G68" s="2">
        <v>635</v>
      </c>
      <c r="H68" s="2">
        <v>-82</v>
      </c>
      <c r="I68" s="2">
        <v>-97</v>
      </c>
      <c r="J68" s="2">
        <v>-196</v>
      </c>
      <c r="K68" s="2">
        <v>585</v>
      </c>
      <c r="L68" s="2">
        <v>-160</v>
      </c>
      <c r="M68" s="2">
        <v>-76</v>
      </c>
      <c r="N68" s="2">
        <v>-515</v>
      </c>
      <c r="O68" s="2">
        <v>625</v>
      </c>
      <c r="P68" s="2">
        <v>-248</v>
      </c>
      <c r="Q68" s="2">
        <v>-199</v>
      </c>
      <c r="R68" s="2">
        <v>-631</v>
      </c>
      <c r="S68" s="2">
        <v>514</v>
      </c>
      <c r="T68" s="2">
        <v>-352</v>
      </c>
      <c r="Y68" s="14"/>
      <c r="Z68" s="14"/>
      <c r="AA68" s="14"/>
      <c r="AB68" s="14"/>
      <c r="AC68" s="14">
        <v>1284</v>
      </c>
      <c r="AD68" s="14">
        <v>-96</v>
      </c>
      <c r="AE68" s="14">
        <v>-799</v>
      </c>
      <c r="AF68" s="14">
        <v>-1012</v>
      </c>
      <c r="AG68" s="14">
        <v>210</v>
      </c>
      <c r="AH68" s="14">
        <v>-126</v>
      </c>
    </row>
    <row r="69" spans="3:34" x14ac:dyDescent="0.25">
      <c r="C69" s="2" t="s">
        <v>101</v>
      </c>
      <c r="D69" s="14">
        <v>46</v>
      </c>
      <c r="E69" s="14">
        <v>371</v>
      </c>
      <c r="F69" s="14">
        <v>-339</v>
      </c>
      <c r="G69" s="14">
        <v>-609</v>
      </c>
      <c r="H69" s="14">
        <v>549</v>
      </c>
      <c r="I69" s="14">
        <v>228</v>
      </c>
      <c r="J69" s="14">
        <v>-270</v>
      </c>
      <c r="K69" s="14">
        <v>-450</v>
      </c>
      <c r="L69" s="14">
        <v>193</v>
      </c>
      <c r="M69" s="14">
        <v>222</v>
      </c>
      <c r="N69" s="14">
        <v>141</v>
      </c>
      <c r="O69" s="14">
        <v>-450</v>
      </c>
      <c r="P69" s="14">
        <v>323</v>
      </c>
      <c r="Q69" s="14">
        <v>114</v>
      </c>
      <c r="R69" s="14">
        <v>-87</v>
      </c>
      <c r="S69" s="14">
        <v>-775</v>
      </c>
      <c r="T69" s="14">
        <v>185</v>
      </c>
      <c r="U69" s="14"/>
      <c r="V69" s="14"/>
      <c r="Y69" s="14"/>
      <c r="Z69" s="14"/>
      <c r="AA69" s="14"/>
      <c r="AB69" s="14"/>
      <c r="AC69" s="14">
        <v>-65</v>
      </c>
      <c r="AD69" s="14">
        <v>869</v>
      </c>
      <c r="AE69" s="14">
        <v>-77</v>
      </c>
      <c r="AF69" s="14">
        <v>-531</v>
      </c>
      <c r="AG69" s="14">
        <v>56</v>
      </c>
      <c r="AH69" s="14">
        <v>106</v>
      </c>
    </row>
    <row r="70" spans="3:34" x14ac:dyDescent="0.25">
      <c r="C70" s="2" t="s">
        <v>102</v>
      </c>
      <c r="D70" s="14">
        <v>-1811</v>
      </c>
      <c r="E70" s="14">
        <v>-267</v>
      </c>
      <c r="F70" s="14">
        <v>260</v>
      </c>
      <c r="G70" s="14">
        <v>1259</v>
      </c>
      <c r="H70" s="14">
        <v>-1894</v>
      </c>
      <c r="I70" s="14">
        <v>153</v>
      </c>
      <c r="J70" s="14">
        <v>307</v>
      </c>
      <c r="K70" s="14">
        <v>1844</v>
      </c>
      <c r="L70" s="14">
        <v>-1415</v>
      </c>
      <c r="M70" s="14">
        <v>169</v>
      </c>
      <c r="N70" s="14">
        <v>232</v>
      </c>
      <c r="O70" s="14">
        <v>1947</v>
      </c>
      <c r="P70" s="14">
        <v>-1804</v>
      </c>
      <c r="Q70" s="14">
        <v>105</v>
      </c>
      <c r="R70" s="14">
        <v>250</v>
      </c>
      <c r="S70" s="14">
        <v>2008</v>
      </c>
      <c r="T70" s="14">
        <v>-1275</v>
      </c>
      <c r="U70" s="14"/>
      <c r="V70" s="14"/>
      <c r="Y70" s="14"/>
      <c r="Z70" s="14"/>
      <c r="AA70" s="14"/>
      <c r="AB70" s="14"/>
      <c r="AC70" s="14">
        <v>808</v>
      </c>
      <c r="AD70" s="14">
        <v>724</v>
      </c>
      <c r="AE70" s="14">
        <v>327</v>
      </c>
      <c r="AF70" s="14">
        <v>-559</v>
      </c>
      <c r="AG70" s="14">
        <v>454</v>
      </c>
      <c r="AH70" s="14">
        <v>932</v>
      </c>
    </row>
    <row r="71" spans="3:34" x14ac:dyDescent="0.25">
      <c r="C71" s="2" t="s">
        <v>103</v>
      </c>
      <c r="D71" s="14">
        <v>55</v>
      </c>
      <c r="E71" s="14">
        <v>-26</v>
      </c>
      <c r="F71" s="14">
        <v>10</v>
      </c>
      <c r="G71" s="14">
        <v>-57</v>
      </c>
      <c r="H71" s="14">
        <v>14</v>
      </c>
      <c r="I71" s="14">
        <v>-41</v>
      </c>
      <c r="J71" s="14">
        <v>0</v>
      </c>
      <c r="K71" s="14">
        <v>7</v>
      </c>
      <c r="L71" s="14">
        <v>-9</v>
      </c>
      <c r="M71" s="14">
        <v>-21</v>
      </c>
      <c r="N71" s="14">
        <v>-10</v>
      </c>
      <c r="O71" s="14">
        <v>-5</v>
      </c>
      <c r="P71" s="14">
        <v>-4</v>
      </c>
      <c r="Q71" s="14">
        <v>-26</v>
      </c>
      <c r="R71" s="14">
        <v>1</v>
      </c>
      <c r="S71" s="14">
        <v>62</v>
      </c>
      <c r="T71" s="14">
        <v>7</v>
      </c>
      <c r="U71" s="14"/>
      <c r="V71" s="14"/>
      <c r="Y71" s="14"/>
      <c r="Z71" s="14"/>
      <c r="AA71" s="14"/>
      <c r="AB71" s="14"/>
      <c r="AC71" s="14">
        <v>-20</v>
      </c>
      <c r="AD71" s="14">
        <v>-155</v>
      </c>
      <c r="AE71" s="14">
        <v>70</v>
      </c>
      <c r="AF71" s="14">
        <v>-18</v>
      </c>
      <c r="AG71" s="14">
        <v>-63</v>
      </c>
      <c r="AH71" s="14">
        <v>-44</v>
      </c>
    </row>
    <row r="72" spans="3:34" x14ac:dyDescent="0.25">
      <c r="C72" s="2" t="s">
        <v>104</v>
      </c>
      <c r="D72" s="14">
        <v>1</v>
      </c>
      <c r="E72" s="14">
        <v>1</v>
      </c>
      <c r="F72" s="14">
        <v>2</v>
      </c>
      <c r="G72" s="14">
        <v>3</v>
      </c>
      <c r="H72" s="14">
        <v>5</v>
      </c>
      <c r="I72" s="14">
        <v>5</v>
      </c>
      <c r="J72" s="14">
        <v>4</v>
      </c>
      <c r="K72" s="14">
        <v>6</v>
      </c>
      <c r="L72" s="14">
        <v>4</v>
      </c>
      <c r="M72" s="14">
        <v>4</v>
      </c>
      <c r="N72" s="14">
        <v>7</v>
      </c>
      <c r="O72" s="14">
        <v>5</v>
      </c>
      <c r="P72" s="14">
        <v>9</v>
      </c>
      <c r="Q72" s="14">
        <v>19</v>
      </c>
      <c r="R72" s="14">
        <v>4</v>
      </c>
      <c r="S72" s="14">
        <v>142</v>
      </c>
      <c r="T72" s="14">
        <v>8</v>
      </c>
      <c r="U72" s="14"/>
      <c r="V72" s="14"/>
      <c r="Y72" s="14"/>
      <c r="Z72" s="14"/>
      <c r="AA72" s="14"/>
      <c r="AB72" s="14"/>
      <c r="AC72" s="14">
        <v>13</v>
      </c>
      <c r="AD72" s="14">
        <v>3</v>
      </c>
      <c r="AE72" s="14">
        <v>3</v>
      </c>
      <c r="AF72" s="14">
        <v>7</v>
      </c>
      <c r="AG72" s="14">
        <v>19</v>
      </c>
      <c r="AH72" s="14">
        <v>19</v>
      </c>
    </row>
    <row r="73" spans="3:34" x14ac:dyDescent="0.25">
      <c r="C73" s="2" t="s">
        <v>105</v>
      </c>
      <c r="D73" s="14">
        <v>-100</v>
      </c>
      <c r="E73" s="14">
        <v>-98</v>
      </c>
      <c r="F73" s="14">
        <v>-79</v>
      </c>
      <c r="G73" s="14">
        <v>-189</v>
      </c>
      <c r="H73" s="14">
        <v>-116</v>
      </c>
      <c r="I73" s="14">
        <v>-133</v>
      </c>
      <c r="J73" s="14">
        <v>-179</v>
      </c>
      <c r="K73" s="14">
        <v>-256</v>
      </c>
      <c r="L73" s="14">
        <v>-191</v>
      </c>
      <c r="M73" s="14">
        <v>-349</v>
      </c>
      <c r="N73" s="14">
        <v>-155</v>
      </c>
      <c r="O73" s="14">
        <v>-226</v>
      </c>
      <c r="P73" s="14">
        <v>-196</v>
      </c>
      <c r="Q73" s="14">
        <v>-425</v>
      </c>
      <c r="R73" s="14">
        <v>-104</v>
      </c>
      <c r="S73" s="14">
        <v>-284</v>
      </c>
      <c r="T73" s="14">
        <v>-167</v>
      </c>
      <c r="U73" s="14"/>
      <c r="V73" s="14"/>
      <c r="Y73" s="14"/>
      <c r="Z73" s="14"/>
      <c r="AA73" s="14"/>
      <c r="AB73" s="14"/>
      <c r="AC73" s="14">
        <v>-178</v>
      </c>
      <c r="AD73" s="14">
        <v>-247</v>
      </c>
      <c r="AE73" s="14">
        <v>-468</v>
      </c>
      <c r="AF73" s="14">
        <v>-466</v>
      </c>
      <c r="AG73" s="14">
        <v>-683</v>
      </c>
      <c r="AH73" s="14">
        <v>-922</v>
      </c>
    </row>
    <row r="74" spans="3:34" x14ac:dyDescent="0.25">
      <c r="C74" s="2" t="s">
        <v>106</v>
      </c>
      <c r="D74" s="14">
        <v>-733</v>
      </c>
      <c r="E74" s="14">
        <v>-219</v>
      </c>
      <c r="F74" s="14">
        <v>-135</v>
      </c>
      <c r="G74" s="14">
        <v>-704</v>
      </c>
      <c r="H74" s="14">
        <v>-396</v>
      </c>
      <c r="I74" s="14">
        <v>-207</v>
      </c>
      <c r="J74" s="14">
        <v>-66</v>
      </c>
      <c r="K74" s="14">
        <v>-1163</v>
      </c>
      <c r="L74" s="14">
        <v>-361</v>
      </c>
      <c r="M74" s="14">
        <v>-277</v>
      </c>
      <c r="N74" s="14">
        <v>-109</v>
      </c>
      <c r="O74" s="14">
        <v>-992</v>
      </c>
      <c r="P74" s="14">
        <v>-651</v>
      </c>
      <c r="Q74" s="14">
        <v>-157</v>
      </c>
      <c r="R74" s="14">
        <v>-48</v>
      </c>
      <c r="S74" s="14">
        <v>-1025</v>
      </c>
      <c r="T74" s="14">
        <v>-501</v>
      </c>
      <c r="U74" s="14"/>
      <c r="V74" s="14"/>
      <c r="Y74" s="14"/>
      <c r="Z74" s="14"/>
      <c r="AA74" s="14"/>
      <c r="AB74" s="14"/>
      <c r="AC74" s="14">
        <v>-1233</v>
      </c>
      <c r="AD74" s="14">
        <v>-192</v>
      </c>
      <c r="AE74" s="14">
        <v>-832</v>
      </c>
      <c r="AF74" s="14">
        <v>-1790</v>
      </c>
      <c r="AG74" s="14">
        <v>-1832</v>
      </c>
      <c r="AH74" s="14">
        <v>-1738</v>
      </c>
    </row>
    <row r="75" spans="3:34" x14ac:dyDescent="0.25">
      <c r="C75" s="1" t="s">
        <v>107</v>
      </c>
      <c r="D75" s="12">
        <f t="shared" ref="D75:P75" si="42">SUM(D65:D74)</f>
        <v>-1111</v>
      </c>
      <c r="E75" s="12">
        <f t="shared" si="42"/>
        <v>927</v>
      </c>
      <c r="F75" s="12">
        <f t="shared" si="42"/>
        <v>542</v>
      </c>
      <c r="G75" s="12">
        <f t="shared" si="42"/>
        <v>4075</v>
      </c>
      <c r="H75" s="12">
        <f t="shared" si="42"/>
        <v>-143</v>
      </c>
      <c r="I75" s="12">
        <f t="shared" si="42"/>
        <v>1628</v>
      </c>
      <c r="J75" s="12">
        <f t="shared" si="42"/>
        <v>1077</v>
      </c>
      <c r="K75" s="12">
        <f t="shared" si="42"/>
        <v>4821</v>
      </c>
      <c r="L75" s="12">
        <f t="shared" si="42"/>
        <v>188</v>
      </c>
      <c r="M75" s="12">
        <f t="shared" si="42"/>
        <v>1629</v>
      </c>
      <c r="N75" s="12">
        <f t="shared" si="42"/>
        <v>1181</v>
      </c>
      <c r="O75" s="12">
        <f t="shared" si="42"/>
        <v>5725</v>
      </c>
      <c r="P75" s="12">
        <f t="shared" si="42"/>
        <v>-289</v>
      </c>
      <c r="Q75" s="12">
        <f>SUM(Q65:Q74)</f>
        <v>1387</v>
      </c>
      <c r="R75" s="12">
        <f>SUM(R65:R74)</f>
        <v>960</v>
      </c>
      <c r="S75" s="12">
        <f>SUM(S65:S74)</f>
        <v>5301</v>
      </c>
      <c r="T75" s="12">
        <f>SUM(T65:T74)</f>
        <v>40</v>
      </c>
      <c r="U75" s="12"/>
      <c r="V75" s="12"/>
      <c r="Y75" s="12">
        <f t="shared" ref="Y75:AH75" si="43">SUM(Y65:Y74)</f>
        <v>0</v>
      </c>
      <c r="Z75" s="12">
        <f t="shared" si="43"/>
        <v>0</v>
      </c>
      <c r="AA75" s="12">
        <f t="shared" si="43"/>
        <v>0</v>
      </c>
      <c r="AB75" s="12">
        <f t="shared" si="43"/>
        <v>0</v>
      </c>
      <c r="AC75" s="12">
        <f t="shared" si="43"/>
        <v>6777</v>
      </c>
      <c r="AD75" s="12">
        <f t="shared" si="43"/>
        <v>5975</v>
      </c>
      <c r="AE75" s="12">
        <f t="shared" si="43"/>
        <v>6228</v>
      </c>
      <c r="AF75" s="12">
        <f t="shared" si="43"/>
        <v>4434</v>
      </c>
      <c r="AG75" s="12">
        <f t="shared" si="43"/>
        <v>7384</v>
      </c>
      <c r="AH75" s="12">
        <f t="shared" si="43"/>
        <v>8720</v>
      </c>
    </row>
    <row r="76" spans="3:34" x14ac:dyDescent="0.25"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3:34" x14ac:dyDescent="0.25">
      <c r="C77" s="2" t="s">
        <v>108</v>
      </c>
      <c r="D77" s="14">
        <f>-291-65-99</f>
        <v>-455</v>
      </c>
      <c r="E77" s="14">
        <f>-2-75-198</f>
        <v>-275</v>
      </c>
      <c r="F77" s="14">
        <f>-247-109-225</f>
        <v>-581</v>
      </c>
      <c r="G77" s="14">
        <f>-22-104-316</f>
        <v>-442</v>
      </c>
      <c r="H77" s="14">
        <f>-45-114-226</f>
        <v>-385</v>
      </c>
      <c r="I77" s="14">
        <f>-111-56-226</f>
        <v>-393</v>
      </c>
      <c r="J77" s="14">
        <f>-156-107-286</f>
        <v>-549</v>
      </c>
      <c r="K77" s="14">
        <f>-37-83-391</f>
        <v>-511</v>
      </c>
      <c r="L77" s="14">
        <f>-115-39-256</f>
        <v>-410</v>
      </c>
      <c r="M77" s="14">
        <f>-49-106-317</f>
        <v>-472</v>
      </c>
      <c r="N77" s="14">
        <f>-7-101-368</f>
        <v>-476</v>
      </c>
      <c r="O77" s="14">
        <f>-23-97-396</f>
        <v>-516</v>
      </c>
      <c r="P77" s="14">
        <f>-180-129-240</f>
        <v>-549</v>
      </c>
      <c r="Q77" s="14">
        <f>-182-117-398</f>
        <v>-697</v>
      </c>
      <c r="R77" s="14">
        <f>-6-120-394</f>
        <v>-520</v>
      </c>
      <c r="S77" s="14">
        <f>-4-95-416</f>
        <v>-515</v>
      </c>
      <c r="T77" s="14">
        <v>-427</v>
      </c>
      <c r="U77" s="14"/>
      <c r="V77" s="14"/>
      <c r="Y77" s="14"/>
      <c r="Z77" s="14"/>
      <c r="AA77" s="14"/>
      <c r="AB77" s="14"/>
      <c r="AC77" s="14">
        <f>-148-272-540</f>
        <v>-960</v>
      </c>
      <c r="AD77" s="14">
        <f>-12-130-374</f>
        <v>-516</v>
      </c>
      <c r="AE77" s="14">
        <f>-66-289-296</f>
        <v>-651</v>
      </c>
      <c r="AF77" s="14">
        <f>-562-353-838</f>
        <v>-1753</v>
      </c>
      <c r="AG77" s="14">
        <f>-349-359-1129</f>
        <v>-1837</v>
      </c>
      <c r="AH77" s="14">
        <f>-194-343-1336</f>
        <v>-1873</v>
      </c>
    </row>
    <row r="78" spans="3:34" x14ac:dyDescent="0.25">
      <c r="C78" s="2" t="s">
        <v>109</v>
      </c>
      <c r="D78" s="2">
        <v>6</v>
      </c>
      <c r="E78" s="2">
        <v>-3</v>
      </c>
      <c r="F78" s="2">
        <v>-19</v>
      </c>
      <c r="G78" s="2">
        <v>-20</v>
      </c>
      <c r="H78" s="2">
        <v>8</v>
      </c>
      <c r="I78" s="2">
        <v>21</v>
      </c>
      <c r="J78" s="2">
        <v>-5</v>
      </c>
      <c r="K78" s="2">
        <v>13</v>
      </c>
      <c r="L78" s="2">
        <v>2</v>
      </c>
      <c r="M78" s="2">
        <v>-6</v>
      </c>
      <c r="N78" s="2">
        <v>-8</v>
      </c>
      <c r="O78" s="2">
        <v>-17</v>
      </c>
      <c r="P78" s="2">
        <v>4</v>
      </c>
      <c r="Q78" s="2">
        <v>-6</v>
      </c>
      <c r="R78" s="2">
        <v>-7</v>
      </c>
      <c r="S78" s="2">
        <v>-1</v>
      </c>
      <c r="T78" s="2">
        <v>-2</v>
      </c>
      <c r="Y78" s="14"/>
      <c r="Z78" s="14"/>
      <c r="AA78" s="14"/>
      <c r="AB78" s="14"/>
      <c r="AC78" s="14">
        <v>66</v>
      </c>
      <c r="AD78" s="14">
        <v>19</v>
      </c>
      <c r="AE78" s="14">
        <v>17</v>
      </c>
      <c r="AF78" s="14">
        <v>-36</v>
      </c>
      <c r="AG78" s="14">
        <v>37</v>
      </c>
      <c r="AH78" s="14">
        <v>-29</v>
      </c>
    </row>
    <row r="79" spans="3:34" x14ac:dyDescent="0.25">
      <c r="C79" s="2" t="s">
        <v>110</v>
      </c>
      <c r="D79" s="2">
        <v>3</v>
      </c>
      <c r="E79" s="2">
        <v>1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3</v>
      </c>
      <c r="M79" s="2">
        <v>5</v>
      </c>
      <c r="N79" s="2">
        <v>-4</v>
      </c>
      <c r="O79" s="2">
        <v>2</v>
      </c>
      <c r="P79" s="2">
        <v>0</v>
      </c>
      <c r="Q79" s="2">
        <v>5</v>
      </c>
      <c r="R79" s="2">
        <v>3</v>
      </c>
      <c r="S79" s="2">
        <v>0</v>
      </c>
      <c r="T79" s="2">
        <v>3</v>
      </c>
      <c r="Y79" s="14"/>
      <c r="Z79" s="14"/>
      <c r="AA79" s="14"/>
      <c r="AB79" s="14"/>
      <c r="AC79" s="14">
        <v>18</v>
      </c>
      <c r="AD79" s="14">
        <v>13</v>
      </c>
      <c r="AE79" s="14">
        <v>2</v>
      </c>
      <c r="AF79" s="14">
        <v>5</v>
      </c>
      <c r="AG79" s="14">
        <v>0</v>
      </c>
      <c r="AH79" s="14">
        <v>14</v>
      </c>
    </row>
    <row r="80" spans="3:34" x14ac:dyDescent="0.25">
      <c r="C80" s="1" t="s">
        <v>111</v>
      </c>
      <c r="D80" s="12">
        <f t="shared" ref="D80:P80" si="44">SUM(D77:D79)</f>
        <v>-446</v>
      </c>
      <c r="E80" s="12">
        <f t="shared" si="44"/>
        <v>-277</v>
      </c>
      <c r="F80" s="12">
        <f t="shared" si="44"/>
        <v>-600</v>
      </c>
      <c r="G80" s="12">
        <f t="shared" si="44"/>
        <v>-461</v>
      </c>
      <c r="H80" s="12">
        <f t="shared" si="44"/>
        <v>-377</v>
      </c>
      <c r="I80" s="12">
        <f t="shared" si="44"/>
        <v>-372</v>
      </c>
      <c r="J80" s="12">
        <f t="shared" si="44"/>
        <v>-554</v>
      </c>
      <c r="K80" s="12">
        <f t="shared" si="44"/>
        <v>-498</v>
      </c>
      <c r="L80" s="12">
        <f t="shared" si="44"/>
        <v>-405</v>
      </c>
      <c r="M80" s="12">
        <f t="shared" si="44"/>
        <v>-473</v>
      </c>
      <c r="N80" s="12">
        <f t="shared" si="44"/>
        <v>-488</v>
      </c>
      <c r="O80" s="12">
        <f t="shared" si="44"/>
        <v>-531</v>
      </c>
      <c r="P80" s="12">
        <f t="shared" si="44"/>
        <v>-545</v>
      </c>
      <c r="Q80" s="12">
        <f>SUM(Q77:Q79)</f>
        <v>-698</v>
      </c>
      <c r="R80" s="12">
        <f>SUM(R77:R79)</f>
        <v>-524</v>
      </c>
      <c r="S80" s="12">
        <f>SUM(S77:S79)</f>
        <v>-516</v>
      </c>
      <c r="T80" s="12">
        <f>SUM(T77:T79)</f>
        <v>-426</v>
      </c>
      <c r="U80" s="12"/>
      <c r="V80" s="12"/>
      <c r="Y80" s="12">
        <f t="shared" ref="Y80:AH80" si="45">SUM(Y77:Y79)</f>
        <v>0</v>
      </c>
      <c r="Z80" s="12">
        <f t="shared" si="45"/>
        <v>0</v>
      </c>
      <c r="AA80" s="12">
        <f t="shared" si="45"/>
        <v>0</v>
      </c>
      <c r="AB80" s="12">
        <f t="shared" si="45"/>
        <v>0</v>
      </c>
      <c r="AC80" s="12">
        <f t="shared" si="45"/>
        <v>-876</v>
      </c>
      <c r="AD80" s="12">
        <f t="shared" si="45"/>
        <v>-484</v>
      </c>
      <c r="AE80" s="12">
        <f t="shared" si="45"/>
        <v>-632</v>
      </c>
      <c r="AF80" s="12">
        <f t="shared" si="45"/>
        <v>-1784</v>
      </c>
      <c r="AG80" s="12">
        <f t="shared" si="45"/>
        <v>-1800</v>
      </c>
      <c r="AH80" s="12">
        <f t="shared" si="45"/>
        <v>-1888</v>
      </c>
    </row>
    <row r="81" spans="3:37" x14ac:dyDescent="0.25"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3:37" x14ac:dyDescent="0.25">
      <c r="C82" s="2" t="s">
        <v>112</v>
      </c>
      <c r="D82" s="14">
        <v>-1514</v>
      </c>
      <c r="E82" s="14">
        <v>0</v>
      </c>
      <c r="F82" s="14">
        <v>0</v>
      </c>
      <c r="G82" s="14">
        <v>0</v>
      </c>
      <c r="H82" s="14">
        <v>-1412</v>
      </c>
      <c r="I82" s="14">
        <v>0</v>
      </c>
      <c r="J82" s="14">
        <v>0</v>
      </c>
      <c r="K82" s="14">
        <v>0</v>
      </c>
      <c r="L82" s="14">
        <v>-1471</v>
      </c>
      <c r="M82" s="14">
        <v>0</v>
      </c>
      <c r="N82" s="14">
        <v>0</v>
      </c>
      <c r="O82" s="14">
        <v>0</v>
      </c>
      <c r="P82" s="14">
        <v>-1567</v>
      </c>
      <c r="Q82" s="14">
        <v>0</v>
      </c>
      <c r="R82" s="14">
        <v>0</v>
      </c>
      <c r="S82" s="14">
        <v>0</v>
      </c>
      <c r="T82" s="14">
        <v>-1646</v>
      </c>
      <c r="U82" s="14"/>
      <c r="V82" s="14"/>
      <c r="X82" s="14"/>
      <c r="Y82" s="14"/>
      <c r="Z82" s="14"/>
      <c r="AA82" s="14"/>
      <c r="AB82" s="14"/>
      <c r="AC82" s="14">
        <v>-1756</v>
      </c>
      <c r="AD82" s="14">
        <v>-825</v>
      </c>
      <c r="AE82" s="14">
        <v>-1479</v>
      </c>
      <c r="AF82" s="14">
        <v>-1514</v>
      </c>
      <c r="AG82" s="14">
        <v>-1412</v>
      </c>
      <c r="AH82" s="14">
        <v>-1471</v>
      </c>
    </row>
    <row r="83" spans="3:37" x14ac:dyDescent="0.25">
      <c r="C83" s="2" t="s">
        <v>113</v>
      </c>
      <c r="D83" s="14">
        <v>345</v>
      </c>
      <c r="E83" s="14">
        <v>-345</v>
      </c>
      <c r="F83" s="14">
        <v>0</v>
      </c>
      <c r="G83" s="14">
        <v>0</v>
      </c>
      <c r="H83" s="14">
        <v>337</v>
      </c>
      <c r="I83" s="14">
        <v>-337</v>
      </c>
      <c r="J83" s="14">
        <v>0</v>
      </c>
      <c r="K83" s="14">
        <v>0</v>
      </c>
      <c r="L83" s="14">
        <v>361</v>
      </c>
      <c r="M83" s="14">
        <v>-361</v>
      </c>
      <c r="N83" s="14">
        <v>0</v>
      </c>
      <c r="O83" s="14">
        <v>0</v>
      </c>
      <c r="P83" s="14">
        <v>383</v>
      </c>
      <c r="Q83" s="14">
        <v>-383</v>
      </c>
      <c r="R83" s="14">
        <v>0</v>
      </c>
      <c r="S83" s="14">
        <v>0</v>
      </c>
      <c r="T83" s="14">
        <v>395</v>
      </c>
      <c r="U83" s="14"/>
      <c r="V83" s="14"/>
      <c r="Y83" s="14"/>
      <c r="Z83" s="14"/>
      <c r="AA83" s="14"/>
      <c r="AB83" s="14"/>
      <c r="AC83" s="14">
        <v>-311</v>
      </c>
      <c r="AD83" s="14">
        <v>-42</v>
      </c>
      <c r="AE83" s="14">
        <v>0</v>
      </c>
      <c r="AF83" s="14">
        <v>0</v>
      </c>
      <c r="AG83" s="14">
        <v>0</v>
      </c>
      <c r="AH83" s="14">
        <v>0</v>
      </c>
      <c r="AJ83" s="14"/>
    </row>
    <row r="84" spans="3:37" x14ac:dyDescent="0.25">
      <c r="C84" s="2" t="s">
        <v>114</v>
      </c>
      <c r="D84" s="14">
        <v>-1239</v>
      </c>
      <c r="E84" s="14">
        <v>-719</v>
      </c>
      <c r="F84" s="14">
        <v>-796</v>
      </c>
      <c r="G84" s="14">
        <v>-774</v>
      </c>
      <c r="H84" s="14">
        <v>-1449</v>
      </c>
      <c r="I84" s="14">
        <v>-1451</v>
      </c>
      <c r="J84" s="14">
        <v>-1353</v>
      </c>
      <c r="K84" s="14">
        <v>-769</v>
      </c>
      <c r="L84" s="14">
        <v>-988</v>
      </c>
      <c r="M84" s="14">
        <v>-879</v>
      </c>
      <c r="N84" s="14">
        <v>-1150</v>
      </c>
      <c r="O84" s="14">
        <v>-997</v>
      </c>
      <c r="P84" s="14">
        <v>-1011</v>
      </c>
      <c r="Q84" s="14">
        <v>-887</v>
      </c>
      <c r="R84" s="14">
        <v>-1565</v>
      </c>
      <c r="S84" s="14">
        <v>-921</v>
      </c>
      <c r="T84" s="14">
        <v>-34</v>
      </c>
      <c r="U84" s="14"/>
      <c r="V84" s="14"/>
      <c r="X84" s="14"/>
      <c r="Y84" s="14"/>
      <c r="Z84" s="14"/>
      <c r="AA84" s="14"/>
      <c r="AB84" s="14"/>
      <c r="AC84" s="14">
        <f>-2583</f>
        <v>-2583</v>
      </c>
      <c r="AD84" s="14">
        <f>-431+1778</f>
        <v>1347</v>
      </c>
      <c r="AE84" s="14">
        <v>-3325</v>
      </c>
      <c r="AF84" s="14">
        <v>-3527</v>
      </c>
      <c r="AG84" s="14">
        <v>-5022</v>
      </c>
      <c r="AH84" s="14">
        <v>-4013</v>
      </c>
      <c r="AK84" s="14"/>
    </row>
    <row r="85" spans="3:37" x14ac:dyDescent="0.25">
      <c r="C85" s="2" t="s">
        <v>115</v>
      </c>
      <c r="D85" s="14">
        <v>3885</v>
      </c>
      <c r="E85" s="14">
        <v>1212</v>
      </c>
      <c r="F85" s="14">
        <v>368</v>
      </c>
      <c r="G85" s="14">
        <v>-198</v>
      </c>
      <c r="H85" s="14">
        <v>6154</v>
      </c>
      <c r="I85" s="14">
        <v>1175</v>
      </c>
      <c r="J85" s="14">
        <v>1054</v>
      </c>
      <c r="K85" s="14">
        <v>-2456</v>
      </c>
      <c r="L85" s="14">
        <v>3829</v>
      </c>
      <c r="M85" s="14">
        <v>696</v>
      </c>
      <c r="N85" s="14">
        <v>1247</v>
      </c>
      <c r="O85" s="14">
        <v>-2098</v>
      </c>
      <c r="P85" s="14">
        <v>1495</v>
      </c>
      <c r="Q85" s="14">
        <v>1195</v>
      </c>
      <c r="R85" s="14">
        <v>1257</v>
      </c>
      <c r="S85" s="14">
        <v>-2747</v>
      </c>
      <c r="T85" s="14">
        <v>2242</v>
      </c>
      <c r="U85" s="14"/>
      <c r="V85" s="14"/>
      <c r="X85" s="14"/>
      <c r="Y85" s="14"/>
      <c r="Z85" s="14"/>
      <c r="AA85" s="14"/>
      <c r="AB85" s="14"/>
      <c r="AC85" s="14">
        <v>5626</v>
      </c>
      <c r="AD85" s="14">
        <v>5861</v>
      </c>
      <c r="AE85" s="14">
        <v>1315</v>
      </c>
      <c r="AF85" s="14">
        <v>4994</v>
      </c>
      <c r="AG85" s="14">
        <v>5927</v>
      </c>
      <c r="AH85" s="14">
        <v>3674</v>
      </c>
    </row>
    <row r="86" spans="3:37" x14ac:dyDescent="0.25">
      <c r="C86" s="2" t="s">
        <v>116</v>
      </c>
      <c r="D86" s="14">
        <v>0</v>
      </c>
      <c r="E86" s="14">
        <v>-273</v>
      </c>
      <c r="F86" s="14">
        <v>0</v>
      </c>
      <c r="G86" s="14">
        <v>-1985</v>
      </c>
      <c r="H86" s="14">
        <v>-3160</v>
      </c>
      <c r="I86" s="14">
        <v>99</v>
      </c>
      <c r="J86" s="14">
        <v>0</v>
      </c>
      <c r="K86" s="14">
        <v>-260</v>
      </c>
      <c r="L86" s="14">
        <v>-1875</v>
      </c>
      <c r="M86" s="14">
        <v>-54</v>
      </c>
      <c r="N86" s="14">
        <v>-746</v>
      </c>
      <c r="O86" s="14">
        <v>-54</v>
      </c>
      <c r="P86" s="14">
        <v>0</v>
      </c>
      <c r="Q86" s="14">
        <v>-59</v>
      </c>
      <c r="R86" s="14">
        <v>0</v>
      </c>
      <c r="S86" s="14">
        <v>-50</v>
      </c>
      <c r="T86" s="14">
        <v>-1000</v>
      </c>
      <c r="U86" s="14"/>
      <c r="V86" s="14"/>
      <c r="Y86" s="14"/>
      <c r="Z86" s="14"/>
      <c r="AA86" s="14"/>
      <c r="AB86" s="14"/>
      <c r="AC86" s="14">
        <v>-6088</v>
      </c>
      <c r="AD86" s="14">
        <v>-9073</v>
      </c>
      <c r="AE86" s="14">
        <v>-3004</v>
      </c>
      <c r="AF86" s="14">
        <v>-1985</v>
      </c>
      <c r="AG86" s="14">
        <v>-3321</v>
      </c>
      <c r="AH86" s="14">
        <v>-2729</v>
      </c>
    </row>
    <row r="87" spans="3:37" x14ac:dyDescent="0.25">
      <c r="C87" s="2" t="s">
        <v>117</v>
      </c>
      <c r="D87" s="14">
        <v>-274</v>
      </c>
      <c r="E87" s="14">
        <v>-245</v>
      </c>
      <c r="F87" s="14">
        <v>-266</v>
      </c>
      <c r="G87" s="14">
        <v>-283</v>
      </c>
      <c r="H87" s="14">
        <v>-251</v>
      </c>
      <c r="I87" s="14">
        <v>-264</v>
      </c>
      <c r="J87" s="14">
        <v>-259</v>
      </c>
      <c r="K87" s="14">
        <v>-333</v>
      </c>
      <c r="L87" s="14">
        <v>-271</v>
      </c>
      <c r="M87" s="14">
        <v>-293</v>
      </c>
      <c r="N87" s="14">
        <v>-286</v>
      </c>
      <c r="O87" s="14">
        <v>-312</v>
      </c>
      <c r="P87" s="14">
        <v>-314</v>
      </c>
      <c r="Q87" s="14">
        <v>-322</v>
      </c>
      <c r="R87" s="14">
        <v>-324</v>
      </c>
      <c r="S87" s="14">
        <v>-300</v>
      </c>
      <c r="T87" s="14">
        <v>-364</v>
      </c>
      <c r="U87" s="14"/>
      <c r="V87" s="14"/>
      <c r="Y87" s="14"/>
      <c r="Z87" s="14"/>
      <c r="AA87" s="14"/>
      <c r="AB87" s="14"/>
      <c r="AC87" s="14">
        <v>-1138</v>
      </c>
      <c r="AD87" s="14">
        <v>-839</v>
      </c>
      <c r="AE87" s="14">
        <v>-991</v>
      </c>
      <c r="AF87" s="14">
        <v>-1068</v>
      </c>
      <c r="AG87" s="14">
        <v>-1107</v>
      </c>
      <c r="AH87" s="14">
        <v>-1162</v>
      </c>
    </row>
    <row r="88" spans="3:37" x14ac:dyDescent="0.25">
      <c r="C88" s="1" t="s">
        <v>118</v>
      </c>
      <c r="D88" s="12">
        <f t="shared" ref="D88:P88" si="46">SUM(D82:D87)</f>
        <v>1203</v>
      </c>
      <c r="E88" s="12">
        <f t="shared" si="46"/>
        <v>-370</v>
      </c>
      <c r="F88" s="12">
        <f t="shared" si="46"/>
        <v>-694</v>
      </c>
      <c r="G88" s="12">
        <f t="shared" si="46"/>
        <v>-3240</v>
      </c>
      <c r="H88" s="12">
        <f t="shared" si="46"/>
        <v>219</v>
      </c>
      <c r="I88" s="12">
        <f t="shared" si="46"/>
        <v>-778</v>
      </c>
      <c r="J88" s="12">
        <f t="shared" si="46"/>
        <v>-558</v>
      </c>
      <c r="K88" s="12">
        <f t="shared" si="46"/>
        <v>-3818</v>
      </c>
      <c r="L88" s="12">
        <f t="shared" si="46"/>
        <v>-415</v>
      </c>
      <c r="M88" s="12">
        <f t="shared" si="46"/>
        <v>-891</v>
      </c>
      <c r="N88" s="12">
        <f t="shared" si="46"/>
        <v>-935</v>
      </c>
      <c r="O88" s="12">
        <f t="shared" si="46"/>
        <v>-3461</v>
      </c>
      <c r="P88" s="12">
        <f t="shared" si="46"/>
        <v>-1014</v>
      </c>
      <c r="Q88" s="12">
        <f>SUM(Q82:Q87)</f>
        <v>-456</v>
      </c>
      <c r="R88" s="12">
        <f>SUM(R82:R87)</f>
        <v>-632</v>
      </c>
      <c r="S88" s="12">
        <f>SUM(S82:S87)</f>
        <v>-4018</v>
      </c>
      <c r="T88" s="12">
        <f>SUM(T82:T87)</f>
        <v>-407</v>
      </c>
      <c r="U88" s="12"/>
      <c r="V88" s="12"/>
      <c r="Y88" s="12">
        <f t="shared" ref="Y88:AG88" si="47">SUM(Y82:Y87)</f>
        <v>0</v>
      </c>
      <c r="Z88" s="12">
        <f t="shared" si="47"/>
        <v>0</v>
      </c>
      <c r="AA88" s="12">
        <f t="shared" si="47"/>
        <v>0</v>
      </c>
      <c r="AB88" s="12">
        <f t="shared" si="47"/>
        <v>0</v>
      </c>
      <c r="AC88" s="12">
        <f t="shared" si="47"/>
        <v>-6250</v>
      </c>
      <c r="AD88" s="12">
        <f t="shared" si="47"/>
        <v>-3571</v>
      </c>
      <c r="AE88" s="12">
        <f t="shared" si="47"/>
        <v>-7484</v>
      </c>
      <c r="AF88" s="12">
        <f t="shared" si="47"/>
        <v>-3100</v>
      </c>
      <c r="AG88" s="12">
        <f t="shared" si="47"/>
        <v>-4935</v>
      </c>
      <c r="AH88" s="12">
        <f>SUM(AH82:AH87)</f>
        <v>-5701</v>
      </c>
    </row>
    <row r="89" spans="3:37" x14ac:dyDescent="0.25"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3:37" x14ac:dyDescent="0.25">
      <c r="C90" s="2" t="s">
        <v>119</v>
      </c>
      <c r="D90" s="14">
        <v>28</v>
      </c>
      <c r="E90" s="14">
        <v>8</v>
      </c>
      <c r="F90" s="14">
        <v>7</v>
      </c>
      <c r="G90" s="14">
        <v>-39</v>
      </c>
      <c r="H90" s="14">
        <v>-7</v>
      </c>
      <c r="I90" s="14">
        <v>-17</v>
      </c>
      <c r="J90" s="14">
        <v>-4</v>
      </c>
      <c r="K90" s="14">
        <v>-35</v>
      </c>
      <c r="L90" s="14">
        <v>-4</v>
      </c>
      <c r="M90" s="14">
        <v>-4</v>
      </c>
      <c r="N90" s="14">
        <v>-13</v>
      </c>
      <c r="O90" s="14">
        <v>11</v>
      </c>
      <c r="P90" s="14">
        <v>-16</v>
      </c>
      <c r="Q90" s="14">
        <v>-37</v>
      </c>
      <c r="R90" s="14">
        <v>-8</v>
      </c>
      <c r="S90" s="14">
        <v>-4</v>
      </c>
      <c r="T90" s="14">
        <v>16</v>
      </c>
      <c r="U90" s="14"/>
      <c r="V90" s="14"/>
      <c r="Y90" s="14"/>
      <c r="Z90" s="14"/>
      <c r="AA90" s="14"/>
      <c r="AB90" s="14"/>
      <c r="AC90" s="14">
        <v>19</v>
      </c>
      <c r="AD90" s="14">
        <v>-62</v>
      </c>
      <c r="AE90" s="14">
        <v>18</v>
      </c>
      <c r="AF90" s="14">
        <v>4</v>
      </c>
      <c r="AG90" s="14">
        <v>-61</v>
      </c>
      <c r="AH90" s="14">
        <v>-11</v>
      </c>
    </row>
    <row r="91" spans="3:37" x14ac:dyDescent="0.25"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3:37" x14ac:dyDescent="0.25">
      <c r="C92" s="2" t="s">
        <v>120</v>
      </c>
      <c r="D92" s="14">
        <f>D75+D80+D88+D90</f>
        <v>-326</v>
      </c>
      <c r="E92" s="14">
        <f t="shared" ref="E92:P92" si="48">E75+E80+E88+E90</f>
        <v>288</v>
      </c>
      <c r="F92" s="14">
        <f t="shared" si="48"/>
        <v>-745</v>
      </c>
      <c r="G92" s="14">
        <f t="shared" si="48"/>
        <v>335</v>
      </c>
      <c r="H92" s="14">
        <f t="shared" si="48"/>
        <v>-308</v>
      </c>
      <c r="I92" s="14">
        <f t="shared" si="48"/>
        <v>461</v>
      </c>
      <c r="J92" s="14">
        <f t="shared" si="48"/>
        <v>-39</v>
      </c>
      <c r="K92" s="14">
        <f t="shared" si="48"/>
        <v>470</v>
      </c>
      <c r="L92" s="14">
        <f t="shared" si="48"/>
        <v>-636</v>
      </c>
      <c r="M92" s="14">
        <f t="shared" si="48"/>
        <v>261</v>
      </c>
      <c r="N92" s="14">
        <f t="shared" si="48"/>
        <v>-255</v>
      </c>
      <c r="O92" s="14">
        <f t="shared" si="48"/>
        <v>1744</v>
      </c>
      <c r="P92" s="14">
        <f t="shared" si="48"/>
        <v>-1864</v>
      </c>
      <c r="Q92" s="14">
        <f>Q75+Q80+Q88+Q90</f>
        <v>196</v>
      </c>
      <c r="R92" s="14">
        <f>R75+R80+R88+R90</f>
        <v>-204</v>
      </c>
      <c r="S92" s="14">
        <f>S75+S80+S88+S90</f>
        <v>763</v>
      </c>
      <c r="T92" s="14">
        <f>T75+T80+T88+T90</f>
        <v>-777</v>
      </c>
      <c r="U92" s="14"/>
      <c r="V92" s="14"/>
      <c r="Y92" s="14">
        <f t="shared" ref="Y92:AH92" si="49">Y75+Y80+Y88+Y90</f>
        <v>0</v>
      </c>
      <c r="Z92" s="14">
        <f t="shared" si="49"/>
        <v>0</v>
      </c>
      <c r="AA92" s="14">
        <f t="shared" si="49"/>
        <v>0</v>
      </c>
      <c r="AB92" s="14">
        <f t="shared" si="49"/>
        <v>0</v>
      </c>
      <c r="AC92" s="14">
        <f t="shared" si="49"/>
        <v>-330</v>
      </c>
      <c r="AD92" s="14">
        <f t="shared" si="49"/>
        <v>1858</v>
      </c>
      <c r="AE92" s="14">
        <f t="shared" si="49"/>
        <v>-1870</v>
      </c>
      <c r="AF92" s="14">
        <f t="shared" si="49"/>
        <v>-446</v>
      </c>
      <c r="AG92" s="14">
        <f t="shared" si="49"/>
        <v>588</v>
      </c>
      <c r="AH92" s="14">
        <f t="shared" si="49"/>
        <v>1120</v>
      </c>
    </row>
    <row r="93" spans="3:37" x14ac:dyDescent="0.25"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3:37" x14ac:dyDescent="0.25">
      <c r="C94" s="2" t="s">
        <v>121</v>
      </c>
      <c r="D94" s="14">
        <f>D75+D77</f>
        <v>-1566</v>
      </c>
      <c r="E94" s="14">
        <f t="shared" ref="E94:P94" si="50">E75+E77</f>
        <v>652</v>
      </c>
      <c r="F94" s="14">
        <f t="shared" si="50"/>
        <v>-39</v>
      </c>
      <c r="G94" s="14">
        <f t="shared" si="50"/>
        <v>3633</v>
      </c>
      <c r="H94" s="14">
        <f t="shared" si="50"/>
        <v>-528</v>
      </c>
      <c r="I94" s="14">
        <f t="shared" si="50"/>
        <v>1235</v>
      </c>
      <c r="J94" s="14">
        <f t="shared" si="50"/>
        <v>528</v>
      </c>
      <c r="K94" s="14">
        <f t="shared" si="50"/>
        <v>4310</v>
      </c>
      <c r="L94" s="14">
        <f t="shared" si="50"/>
        <v>-222</v>
      </c>
      <c r="M94" s="14">
        <f t="shared" si="50"/>
        <v>1157</v>
      </c>
      <c r="N94" s="14">
        <f t="shared" si="50"/>
        <v>705</v>
      </c>
      <c r="O94" s="14">
        <f t="shared" si="50"/>
        <v>5209</v>
      </c>
      <c r="P94" s="14">
        <f t="shared" si="50"/>
        <v>-838</v>
      </c>
      <c r="Q94" s="14">
        <f>Q75+Q77</f>
        <v>690</v>
      </c>
      <c r="R94" s="14">
        <f>R75+R77</f>
        <v>440</v>
      </c>
      <c r="S94" s="14">
        <f>S75+S77</f>
        <v>4786</v>
      </c>
      <c r="T94" s="14">
        <f>T75+T77</f>
        <v>-387</v>
      </c>
      <c r="U94" s="14"/>
      <c r="V94" s="14"/>
      <c r="Y94" s="14">
        <f t="shared" ref="Y94:AH94" si="51">Y75+Y77</f>
        <v>0</v>
      </c>
      <c r="Z94" s="14">
        <f t="shared" si="51"/>
        <v>0</v>
      </c>
      <c r="AA94" s="14">
        <f t="shared" si="51"/>
        <v>0</v>
      </c>
      <c r="AB94" s="14">
        <f t="shared" si="51"/>
        <v>0</v>
      </c>
      <c r="AC94" s="14">
        <f t="shared" si="51"/>
        <v>5817</v>
      </c>
      <c r="AD94" s="14">
        <f t="shared" si="51"/>
        <v>5459</v>
      </c>
      <c r="AE94" s="14">
        <f t="shared" si="51"/>
        <v>5577</v>
      </c>
      <c r="AF94" s="14">
        <f t="shared" si="51"/>
        <v>2681</v>
      </c>
      <c r="AG94" s="14">
        <f t="shared" si="51"/>
        <v>5547</v>
      </c>
      <c r="AH94" s="14">
        <f t="shared" si="51"/>
        <v>6847</v>
      </c>
    </row>
    <row r="95" spans="3:37" x14ac:dyDescent="0.25"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</row>
    <row r="96" spans="3:37" x14ac:dyDescent="0.25"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1"/>
      <c r="X96" s="11"/>
      <c r="Y96" s="11"/>
      <c r="Z96" s="23"/>
      <c r="AA96" s="23"/>
      <c r="AB96" s="23"/>
      <c r="AC96" s="23"/>
      <c r="AD96" s="23"/>
      <c r="AE96" s="23"/>
      <c r="AF96" s="23"/>
      <c r="AG96" s="23"/>
      <c r="AH96" s="23"/>
      <c r="AI96" s="23"/>
    </row>
    <row r="97" spans="3:34" x14ac:dyDescent="0.25">
      <c r="C97" s="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3:34" x14ac:dyDescent="0.25">
      <c r="C98" s="1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3:34" x14ac:dyDescent="0.25">
      <c r="C99" s="11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3:34" x14ac:dyDescent="0.25"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3:34" x14ac:dyDescent="0.25"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3:34" x14ac:dyDescent="0.25"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3:34" x14ac:dyDescent="0.25"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3:34" x14ac:dyDescent="0.25"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3:34" x14ac:dyDescent="0.25"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3:34" x14ac:dyDescent="0.25"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3:34" x14ac:dyDescent="0.25"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</row>
    <row r="108" spans="3:34" x14ac:dyDescent="0.25"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3:34" x14ac:dyDescent="0.25"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3:34" x14ac:dyDescent="0.25">
      <c r="C110" s="1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3:34" x14ac:dyDescent="0.25"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3:34" x14ac:dyDescent="0.25"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3:34" x14ac:dyDescent="0.25"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3:34" x14ac:dyDescent="0.25"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3:34" x14ac:dyDescent="0.25"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3:34" x14ac:dyDescent="0.25"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3:34" x14ac:dyDescent="0.25"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3:34" x14ac:dyDescent="0.25"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3:34" x14ac:dyDescent="0.25"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3:34" x14ac:dyDescent="0.25"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</row>
    <row r="121" spans="3:34" x14ac:dyDescent="0.25"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3:34" x14ac:dyDescent="0.25"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2"/>
      <c r="R122" s="14"/>
      <c r="S122" s="14"/>
      <c r="T122" s="14"/>
      <c r="U122" s="14"/>
      <c r="V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3:34" x14ac:dyDescent="0.25">
      <c r="C123" s="1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3:34" x14ac:dyDescent="0.25"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3:34" x14ac:dyDescent="0.25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3:34" x14ac:dyDescent="0.25"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3:34" x14ac:dyDescent="0.25"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4:V34"/>
  <sheetViews>
    <sheetView showGridLines="0" topLeftCell="B1" workbookViewId="0">
      <pane xSplit="1" ySplit="4" topLeftCell="K11" activePane="bottomRight" state="frozen"/>
      <selection activeCell="B1" sqref="B1"/>
      <selection pane="topRight" activeCell="C1" sqref="C1"/>
      <selection pane="bottomLeft" activeCell="B5" sqref="B5"/>
      <selection pane="bottomRight" activeCell="V21" sqref="V21"/>
    </sheetView>
  </sheetViews>
  <sheetFormatPr baseColWidth="10" defaultRowHeight="19" x14ac:dyDescent="0.25"/>
  <cols>
    <col min="1" max="1" width="10.83203125" style="2"/>
    <col min="2" max="2" width="30.1640625" style="2" customWidth="1"/>
    <col min="3" max="16384" width="10.83203125" style="2"/>
  </cols>
  <sheetData>
    <row r="4" spans="2:22" x14ac:dyDescent="0.25">
      <c r="B4" s="2" t="s">
        <v>137</v>
      </c>
      <c r="C4" s="7" t="s">
        <v>3</v>
      </c>
      <c r="D4" s="7" t="s">
        <v>4</v>
      </c>
      <c r="E4" s="7" t="s">
        <v>5</v>
      </c>
      <c r="F4" s="7" t="s">
        <v>6</v>
      </c>
      <c r="G4" s="46">
        <v>2022</v>
      </c>
      <c r="H4" s="7" t="s">
        <v>7</v>
      </c>
      <c r="I4" s="7" t="s">
        <v>8</v>
      </c>
      <c r="J4" s="7" t="s">
        <v>9</v>
      </c>
      <c r="K4" s="7" t="s">
        <v>10</v>
      </c>
      <c r="L4" s="46">
        <v>2023</v>
      </c>
      <c r="M4" s="7" t="s">
        <v>11</v>
      </c>
      <c r="N4" s="7" t="s">
        <v>12</v>
      </c>
      <c r="O4" s="7" t="s">
        <v>13</v>
      </c>
      <c r="P4" s="7" t="s">
        <v>14</v>
      </c>
      <c r="Q4" s="46">
        <v>2024</v>
      </c>
      <c r="R4" s="7" t="s">
        <v>37</v>
      </c>
      <c r="S4" s="7" t="s">
        <v>31</v>
      </c>
      <c r="T4" s="7" t="s">
        <v>35</v>
      </c>
      <c r="U4" s="7" t="s">
        <v>36</v>
      </c>
      <c r="V4" s="1">
        <v>2025</v>
      </c>
    </row>
    <row r="5" spans="2:22" x14ac:dyDescent="0.25">
      <c r="B5" s="1" t="s">
        <v>138</v>
      </c>
      <c r="G5" s="47"/>
      <c r="L5" s="48"/>
      <c r="Q5" s="48"/>
      <c r="V5" s="48"/>
    </row>
    <row r="6" spans="2:22" x14ac:dyDescent="0.25">
      <c r="B6" s="1" t="s">
        <v>139</v>
      </c>
      <c r="G6" s="47"/>
      <c r="L6" s="48"/>
      <c r="Q6" s="48"/>
      <c r="V6" s="48"/>
    </row>
    <row r="7" spans="2:22" x14ac:dyDescent="0.25">
      <c r="B7" s="2" t="s">
        <v>53</v>
      </c>
      <c r="C7" s="14">
        <v>3863</v>
      </c>
      <c r="D7" s="14">
        <v>3916</v>
      </c>
      <c r="E7" s="14">
        <v>3479</v>
      </c>
      <c r="F7" s="14">
        <v>6045</v>
      </c>
      <c r="G7" s="54">
        <f>SUM(C7:F7)</f>
        <v>17303</v>
      </c>
      <c r="H7" s="14">
        <v>3859</v>
      </c>
      <c r="I7" s="14">
        <v>4025</v>
      </c>
      <c r="J7" s="14">
        <v>3604</v>
      </c>
      <c r="K7" s="14">
        <v>6880</v>
      </c>
      <c r="L7" s="54">
        <f>SUM(H7:K7)</f>
        <v>18368</v>
      </c>
      <c r="M7" s="14">
        <v>4231</v>
      </c>
      <c r="N7" s="14">
        <v>4346</v>
      </c>
      <c r="O7" s="14">
        <v>3895</v>
      </c>
      <c r="P7" s="14">
        <v>7462</v>
      </c>
      <c r="Q7" s="54">
        <f>SUM(M7:P7)</f>
        <v>19934</v>
      </c>
      <c r="R7" s="14">
        <v>4376</v>
      </c>
      <c r="S7" s="14">
        <v>4413</v>
      </c>
      <c r="T7" s="14">
        <v>3861</v>
      </c>
      <c r="U7" s="14"/>
      <c r="V7" s="54">
        <f>SUM(R7:U7)</f>
        <v>12650</v>
      </c>
    </row>
    <row r="8" spans="2:22" x14ac:dyDescent="0.25">
      <c r="B8" s="39" t="s">
        <v>140</v>
      </c>
      <c r="C8" s="39"/>
      <c r="D8" s="39">
        <v>0.01</v>
      </c>
      <c r="E8" s="39">
        <v>-0.01</v>
      </c>
      <c r="F8" s="39">
        <v>0</v>
      </c>
      <c r="G8" s="51">
        <v>0.03</v>
      </c>
      <c r="H8" s="39">
        <v>-0.03</v>
      </c>
      <c r="I8" s="39">
        <v>0</v>
      </c>
      <c r="J8" s="39">
        <v>7.0000000000000007E-2</v>
      </c>
      <c r="K8" s="39">
        <v>0.04</v>
      </c>
      <c r="L8" s="51">
        <v>0.02</v>
      </c>
      <c r="M8" s="39">
        <v>0.05</v>
      </c>
      <c r="N8" s="39">
        <v>0.03</v>
      </c>
      <c r="O8" s="39">
        <v>0.02</v>
      </c>
      <c r="P8" s="39">
        <v>0.03</v>
      </c>
      <c r="Q8" s="51">
        <v>0.03</v>
      </c>
      <c r="R8" s="39">
        <v>0</v>
      </c>
      <c r="S8" s="39">
        <v>-0.01</v>
      </c>
      <c r="T8" s="39">
        <v>-0.02</v>
      </c>
      <c r="U8" s="39"/>
      <c r="V8" s="51"/>
    </row>
    <row r="9" spans="2:22" x14ac:dyDescent="0.25">
      <c r="B9" s="1" t="s">
        <v>141</v>
      </c>
      <c r="G9" s="48"/>
      <c r="L9" s="48"/>
      <c r="Q9" s="48"/>
      <c r="V9" s="48"/>
    </row>
    <row r="10" spans="2:22" x14ac:dyDescent="0.25">
      <c r="B10" s="2" t="s">
        <v>53</v>
      </c>
      <c r="C10" s="14">
        <v>595</v>
      </c>
      <c r="D10" s="14">
        <v>543</v>
      </c>
      <c r="E10" s="14">
        <v>492</v>
      </c>
      <c r="F10" s="14">
        <v>983</v>
      </c>
      <c r="G10" s="54">
        <f>SUM(C10:F10)</f>
        <v>2613</v>
      </c>
      <c r="H10" s="14">
        <v>610</v>
      </c>
      <c r="I10" s="14">
        <v>545</v>
      </c>
      <c r="J10" s="14">
        <v>561</v>
      </c>
      <c r="K10" s="14">
        <v>965</v>
      </c>
      <c r="L10" s="54">
        <f>SUM(H10:K10)</f>
        <v>2681</v>
      </c>
      <c r="M10" s="14">
        <v>560</v>
      </c>
      <c r="N10" s="14">
        <v>526</v>
      </c>
      <c r="O10" s="14">
        <v>514</v>
      </c>
      <c r="P10" s="14">
        <v>964</v>
      </c>
      <c r="Q10" s="54">
        <f>SUM(M10:P10)</f>
        <v>2564</v>
      </c>
      <c r="R10" s="14">
        <v>672</v>
      </c>
      <c r="S10" s="14">
        <v>643</v>
      </c>
      <c r="T10" s="14">
        <v>614</v>
      </c>
      <c r="U10" s="14"/>
      <c r="V10" s="54">
        <f>SUM(R10:U10)</f>
        <v>1929</v>
      </c>
    </row>
    <row r="11" spans="2:22" x14ac:dyDescent="0.25">
      <c r="B11" s="39" t="s">
        <v>140</v>
      </c>
      <c r="C11" s="39"/>
      <c r="D11" s="39">
        <v>0.34</v>
      </c>
      <c r="E11" s="39">
        <v>0.24</v>
      </c>
      <c r="F11" s="39">
        <v>0.02</v>
      </c>
      <c r="G11" s="51">
        <v>0.2</v>
      </c>
      <c r="H11" s="39">
        <v>-0.04</v>
      </c>
      <c r="I11" s="39">
        <v>0.01</v>
      </c>
      <c r="J11" s="39">
        <v>0.1</v>
      </c>
      <c r="K11" s="39">
        <v>0.01</v>
      </c>
      <c r="L11" s="51">
        <v>0.01</v>
      </c>
      <c r="M11" s="39">
        <v>-0.14000000000000001</v>
      </c>
      <c r="N11" s="39">
        <v>-0.14000000000000001</v>
      </c>
      <c r="O11" s="39">
        <v>-0.06</v>
      </c>
      <c r="P11" s="39">
        <v>-0.05</v>
      </c>
      <c r="Q11" s="51">
        <v>-0.09</v>
      </c>
      <c r="R11" s="39">
        <v>0.19</v>
      </c>
      <c r="S11" s="39">
        <v>0.19</v>
      </c>
      <c r="T11" s="39">
        <v>0.11</v>
      </c>
      <c r="U11" s="39"/>
      <c r="V11" s="51"/>
    </row>
    <row r="12" spans="2:22" x14ac:dyDescent="0.25">
      <c r="B12" s="1" t="s">
        <v>142</v>
      </c>
      <c r="G12" s="48"/>
      <c r="L12" s="48"/>
      <c r="Q12" s="48"/>
      <c r="V12" s="48"/>
    </row>
    <row r="13" spans="2:22" x14ac:dyDescent="0.25">
      <c r="B13" s="2" t="s">
        <v>53</v>
      </c>
      <c r="C13" s="14">
        <v>142</v>
      </c>
      <c r="D13" s="14">
        <v>159</v>
      </c>
      <c r="E13" s="14">
        <v>199</v>
      </c>
      <c r="F13" s="14">
        <v>314</v>
      </c>
      <c r="G13" s="54">
        <f>SUM(C13:F13)</f>
        <v>814</v>
      </c>
      <c r="H13" s="14">
        <v>169</v>
      </c>
      <c r="I13" s="14">
        <v>194</v>
      </c>
      <c r="J13" s="14">
        <v>202</v>
      </c>
      <c r="K13" s="14">
        <v>335</v>
      </c>
      <c r="L13" s="54">
        <f>SUM(H13:K13)</f>
        <v>900</v>
      </c>
      <c r="M13" s="14">
        <v>224</v>
      </c>
      <c r="N13" s="14">
        <v>236</v>
      </c>
      <c r="O13" s="14">
        <v>226</v>
      </c>
      <c r="P13" s="14">
        <v>358</v>
      </c>
      <c r="Q13" s="54">
        <f>SUM(M13:P13)</f>
        <v>1044</v>
      </c>
      <c r="R13" s="14">
        <v>249</v>
      </c>
      <c r="S13" s="14">
        <v>258</v>
      </c>
      <c r="T13" s="14">
        <v>313</v>
      </c>
      <c r="U13" s="14"/>
      <c r="V13" s="54">
        <f>SUM(R13:U13)</f>
        <v>820</v>
      </c>
    </row>
    <row r="14" spans="2:22" x14ac:dyDescent="0.25">
      <c r="B14" s="39" t="s">
        <v>140</v>
      </c>
      <c r="C14" s="39"/>
      <c r="D14" s="39">
        <v>0.72</v>
      </c>
      <c r="E14" s="39">
        <v>1.25</v>
      </c>
      <c r="F14" s="39">
        <v>-0.04</v>
      </c>
      <c r="G14" s="51">
        <v>0.4</v>
      </c>
      <c r="H14" s="39">
        <v>0.21</v>
      </c>
      <c r="I14" s="39">
        <v>0.17</v>
      </c>
      <c r="J14" s="39">
        <v>0.12</v>
      </c>
      <c r="K14" s="39">
        <v>0.06</v>
      </c>
      <c r="L14" s="51">
        <v>0.12</v>
      </c>
      <c r="M14" s="39">
        <v>0.26</v>
      </c>
      <c r="N14" s="39">
        <v>0.14000000000000001</v>
      </c>
      <c r="O14" s="39">
        <v>0.21</v>
      </c>
      <c r="P14" s="39">
        <v>0.02</v>
      </c>
      <c r="Q14" s="51">
        <v>0.13</v>
      </c>
      <c r="R14" s="39">
        <v>0.06</v>
      </c>
      <c r="S14" s="39">
        <v>0.06</v>
      </c>
      <c r="T14" s="39">
        <v>0.34</v>
      </c>
      <c r="U14" s="39"/>
      <c r="V14" s="51"/>
    </row>
    <row r="15" spans="2:22" x14ac:dyDescent="0.25">
      <c r="B15" s="1" t="s">
        <v>164</v>
      </c>
      <c r="G15" s="48"/>
      <c r="L15" s="48"/>
      <c r="Q15" s="48"/>
      <c r="V15" s="48"/>
    </row>
    <row r="16" spans="2:22" x14ac:dyDescent="0.25">
      <c r="B16" s="1" t="s">
        <v>53</v>
      </c>
      <c r="C16" s="12">
        <f t="shared" ref="C16:R16" si="0">C7+C10+C13</f>
        <v>4600</v>
      </c>
      <c r="D16" s="12">
        <f t="shared" si="0"/>
        <v>4618</v>
      </c>
      <c r="E16" s="12">
        <f t="shared" si="0"/>
        <v>4170</v>
      </c>
      <c r="F16" s="12">
        <f t="shared" si="0"/>
        <v>7342</v>
      </c>
      <c r="G16" s="54">
        <f>SUM(C16:F16)</f>
        <v>20730</v>
      </c>
      <c r="H16" s="12">
        <f t="shared" si="0"/>
        <v>4638</v>
      </c>
      <c r="I16" s="12">
        <f t="shared" si="0"/>
        <v>4764</v>
      </c>
      <c r="J16" s="12">
        <f t="shared" si="0"/>
        <v>4367</v>
      </c>
      <c r="K16" s="12">
        <f t="shared" si="0"/>
        <v>8180</v>
      </c>
      <c r="L16" s="54">
        <f>SUM(H16:K16)</f>
        <v>21949</v>
      </c>
      <c r="M16" s="12">
        <f t="shared" si="0"/>
        <v>5015</v>
      </c>
      <c r="N16" s="12">
        <f t="shared" si="0"/>
        <v>5108</v>
      </c>
      <c r="O16" s="12">
        <f t="shared" si="0"/>
        <v>4635</v>
      </c>
      <c r="P16" s="12">
        <f t="shared" si="0"/>
        <v>8784</v>
      </c>
      <c r="Q16" s="54">
        <f>SUM(M16:P16)</f>
        <v>23542</v>
      </c>
      <c r="R16" s="12">
        <f t="shared" si="0"/>
        <v>5297</v>
      </c>
      <c r="S16" s="12">
        <f>S7+S10+S13</f>
        <v>5314</v>
      </c>
      <c r="T16" s="12">
        <f>T7+T10+T13</f>
        <v>4788</v>
      </c>
      <c r="U16" s="12">
        <f>U7+U10+U13</f>
        <v>0</v>
      </c>
      <c r="V16" s="54">
        <f>SUM(R16:U16)</f>
        <v>15399</v>
      </c>
    </row>
    <row r="17" spans="2:22" ht="20" thickBot="1" x14ac:dyDescent="0.3">
      <c r="B17" s="43" t="s">
        <v>140</v>
      </c>
      <c r="C17" s="43"/>
      <c r="D17" s="43">
        <v>0.04</v>
      </c>
      <c r="E17" s="43">
        <v>0.02</v>
      </c>
      <c r="F17" s="43">
        <v>0</v>
      </c>
      <c r="G17" s="49">
        <v>0.05</v>
      </c>
      <c r="H17" s="43">
        <v>-0.03</v>
      </c>
      <c r="I17" s="43">
        <v>0</v>
      </c>
      <c r="J17" s="43">
        <v>7.0000000000000007E-2</v>
      </c>
      <c r="K17" s="43">
        <v>0.04</v>
      </c>
      <c r="L17" s="49">
        <v>0.02</v>
      </c>
      <c r="M17" s="43">
        <v>0.03</v>
      </c>
      <c r="N17" s="43">
        <v>0.01</v>
      </c>
      <c r="O17" s="43">
        <v>0.02</v>
      </c>
      <c r="P17" s="43">
        <v>0.02</v>
      </c>
      <c r="Q17" s="49">
        <v>0.02</v>
      </c>
      <c r="R17" s="43">
        <v>0.02</v>
      </c>
      <c r="S17" s="43">
        <v>0.01</v>
      </c>
      <c r="T17" s="43">
        <v>0.02</v>
      </c>
      <c r="U17" s="43">
        <v>0</v>
      </c>
      <c r="V17" s="49"/>
    </row>
    <row r="18" spans="2:22" x14ac:dyDescent="0.25">
      <c r="G18" s="48"/>
      <c r="L18" s="48"/>
      <c r="Q18" s="47"/>
      <c r="V18" s="47"/>
    </row>
    <row r="19" spans="2:22" x14ac:dyDescent="0.25">
      <c r="B19" s="41" t="s">
        <v>144</v>
      </c>
      <c r="C19" s="42"/>
      <c r="D19" s="42"/>
      <c r="E19" s="42"/>
      <c r="F19" s="42"/>
      <c r="G19" s="52"/>
      <c r="H19" s="42"/>
      <c r="I19" s="42"/>
      <c r="J19" s="42"/>
      <c r="K19" s="42"/>
      <c r="L19" s="52"/>
      <c r="M19" s="42"/>
      <c r="N19" s="42"/>
      <c r="O19" s="42"/>
      <c r="P19" s="42"/>
      <c r="Q19" s="50"/>
      <c r="R19" s="42"/>
      <c r="S19" s="42"/>
      <c r="T19" s="42"/>
      <c r="U19" s="42"/>
      <c r="V19" s="50"/>
    </row>
    <row r="20" spans="2:22" x14ac:dyDescent="0.25">
      <c r="B20" s="1" t="s">
        <v>145</v>
      </c>
      <c r="G20" s="48"/>
      <c r="L20" s="48"/>
      <c r="Q20" s="47"/>
      <c r="V20" s="47"/>
    </row>
    <row r="21" spans="2:22" x14ac:dyDescent="0.25">
      <c r="B21" s="2" t="s">
        <v>53</v>
      </c>
      <c r="C21" s="14">
        <v>829</v>
      </c>
      <c r="D21" s="14">
        <v>788</v>
      </c>
      <c r="E21" s="14">
        <v>664</v>
      </c>
      <c r="F21" s="14">
        <v>1773</v>
      </c>
      <c r="G21" s="54">
        <f>SUM(C21:F21)</f>
        <v>4054</v>
      </c>
      <c r="H21" s="14">
        <v>949</v>
      </c>
      <c r="I21" s="14">
        <v>880</v>
      </c>
      <c r="J21" s="14">
        <v>843</v>
      </c>
      <c r="K21" s="14">
        <v>2117</v>
      </c>
      <c r="L21" s="54">
        <f>SUM(H21:K21)</f>
        <v>4789</v>
      </c>
      <c r="M21" s="14">
        <v>1523</v>
      </c>
      <c r="N21" s="14">
        <v>1225</v>
      </c>
      <c r="O21" s="14">
        <v>1065</v>
      </c>
      <c r="P21" s="14">
        <v>2527</v>
      </c>
      <c r="Q21" s="54">
        <f>SUM(M21:P21)</f>
        <v>6340</v>
      </c>
      <c r="R21" s="14">
        <v>1636</v>
      </c>
      <c r="S21" s="14">
        <v>1299</v>
      </c>
      <c r="T21" s="14">
        <v>1114</v>
      </c>
      <c r="U21" s="14"/>
      <c r="V21" s="54">
        <f>SUM(R21:U21)</f>
        <v>4049</v>
      </c>
    </row>
    <row r="22" spans="2:22" x14ac:dyDescent="0.25">
      <c r="B22" s="39" t="s">
        <v>140</v>
      </c>
      <c r="C22" s="39"/>
      <c r="D22" s="39">
        <v>-7.0000000000000007E-2</v>
      </c>
      <c r="E22" s="39">
        <v>-0.02</v>
      </c>
      <c r="F22" s="39">
        <v>-0.03</v>
      </c>
      <c r="G22" s="51">
        <v>-0.02</v>
      </c>
      <c r="H22" s="39">
        <v>0.11</v>
      </c>
      <c r="I22" s="39">
        <v>7.0000000000000007E-2</v>
      </c>
      <c r="J22" s="39">
        <v>0.21</v>
      </c>
      <c r="K22" s="39">
        <v>0.31</v>
      </c>
      <c r="L22" s="51">
        <v>0.2</v>
      </c>
      <c r="M22" s="39">
        <v>0.43</v>
      </c>
      <c r="N22" s="39">
        <v>0.28999999999999998</v>
      </c>
      <c r="O22" s="39">
        <v>0.18</v>
      </c>
      <c r="P22" s="39">
        <v>0.11</v>
      </c>
      <c r="Q22" s="51">
        <v>0.22</v>
      </c>
      <c r="R22" s="39">
        <v>7.0000000000000007E-2</v>
      </c>
      <c r="S22" s="39">
        <v>0.02</v>
      </c>
      <c r="T22" s="39">
        <v>0.04</v>
      </c>
      <c r="U22" s="39">
        <v>0</v>
      </c>
      <c r="V22" s="51"/>
    </row>
    <row r="23" spans="2:22" x14ac:dyDescent="0.25">
      <c r="B23" s="1" t="s">
        <v>146</v>
      </c>
      <c r="G23" s="48"/>
      <c r="L23" s="48"/>
      <c r="Q23" s="48"/>
      <c r="V23" s="48"/>
    </row>
    <row r="24" spans="2:22" x14ac:dyDescent="0.25">
      <c r="B24" s="2" t="s">
        <v>53</v>
      </c>
      <c r="C24" s="14">
        <v>251</v>
      </c>
      <c r="D24" s="14">
        <v>240</v>
      </c>
      <c r="E24" s="14">
        <v>316</v>
      </c>
      <c r="F24" s="14">
        <v>660</v>
      </c>
      <c r="G24" s="54">
        <f>SUM(C24:F24)</f>
        <v>1467</v>
      </c>
      <c r="H24" s="14">
        <v>229</v>
      </c>
      <c r="I24" s="14">
        <v>218</v>
      </c>
      <c r="J24" s="14">
        <v>275</v>
      </c>
      <c r="K24" s="14">
        <v>407</v>
      </c>
      <c r="L24" s="54">
        <f>SUM(H24:K24)</f>
        <v>1129</v>
      </c>
      <c r="M24" s="14">
        <v>232</v>
      </c>
      <c r="N24" s="14">
        <v>205</v>
      </c>
      <c r="O24" s="14">
        <v>170</v>
      </c>
      <c r="P24" s="14">
        <v>304</v>
      </c>
      <c r="Q24" s="54">
        <f>SUM(M24:P24)</f>
        <v>911</v>
      </c>
      <c r="R24" s="14">
        <v>172</v>
      </c>
      <c r="S24" s="14">
        <v>147</v>
      </c>
      <c r="T24" s="14">
        <v>114</v>
      </c>
      <c r="U24" s="14"/>
      <c r="V24" s="54">
        <f>SUM(R24:U24)</f>
        <v>433</v>
      </c>
    </row>
    <row r="25" spans="2:22" x14ac:dyDescent="0.25">
      <c r="B25" s="39" t="s">
        <v>140</v>
      </c>
      <c r="C25" s="39"/>
      <c r="D25" s="39">
        <v>-0.13</v>
      </c>
      <c r="E25" s="39">
        <v>-0.2</v>
      </c>
      <c r="F25" s="39">
        <v>-0.14000000000000001</v>
      </c>
      <c r="G25" s="51">
        <v>-0.12</v>
      </c>
      <c r="H25" s="39">
        <v>-0.12</v>
      </c>
      <c r="I25" s="39">
        <v>-0.06</v>
      </c>
      <c r="J25" s="39">
        <v>-0.12</v>
      </c>
      <c r="K25" s="39">
        <v>-0.11</v>
      </c>
      <c r="L25" s="51">
        <v>-0.11</v>
      </c>
      <c r="M25" s="39">
        <v>-0.08</v>
      </c>
      <c r="N25" s="39">
        <v>-0.13</v>
      </c>
      <c r="O25" s="39">
        <v>-0.32</v>
      </c>
      <c r="P25" s="39">
        <v>-0.27</v>
      </c>
      <c r="Q25" s="51">
        <v>-0.21</v>
      </c>
      <c r="R25" s="39">
        <v>-0.24</v>
      </c>
      <c r="S25" s="39">
        <v>-0.27</v>
      </c>
      <c r="T25" s="39">
        <v>-0.31</v>
      </c>
      <c r="U25" s="39"/>
      <c r="V25" s="51"/>
    </row>
    <row r="26" spans="2:22" x14ac:dyDescent="0.25">
      <c r="B26" s="1" t="s">
        <v>147</v>
      </c>
      <c r="G26" s="48"/>
      <c r="L26" s="48"/>
      <c r="Q26" s="48"/>
      <c r="V26" s="48"/>
    </row>
    <row r="27" spans="2:22" x14ac:dyDescent="0.25">
      <c r="B27" s="2" t="s">
        <v>53</v>
      </c>
      <c r="C27" s="2">
        <v>0</v>
      </c>
      <c r="D27" s="2">
        <v>0</v>
      </c>
      <c r="E27" s="2">
        <v>0</v>
      </c>
      <c r="F27" s="2">
        <v>0</v>
      </c>
      <c r="G27" s="48">
        <v>0</v>
      </c>
      <c r="H27" s="2">
        <v>0</v>
      </c>
      <c r="I27" s="2">
        <v>0</v>
      </c>
      <c r="J27" s="2">
        <v>0</v>
      </c>
      <c r="K27" s="2">
        <v>2</v>
      </c>
      <c r="L27" s="48">
        <f>SUM(H27:K27)</f>
        <v>2</v>
      </c>
      <c r="M27" s="2">
        <v>1</v>
      </c>
      <c r="N27" s="2">
        <v>172</v>
      </c>
      <c r="O27" s="2">
        <v>169</v>
      </c>
      <c r="P27" s="2">
        <v>232</v>
      </c>
      <c r="Q27" s="48">
        <f>SUM(M27:P27)</f>
        <v>574</v>
      </c>
      <c r="R27" s="2">
        <v>151</v>
      </c>
      <c r="S27" s="2">
        <v>230</v>
      </c>
      <c r="T27" s="2">
        <v>178</v>
      </c>
      <c r="V27" s="48">
        <f>SUM(R27:U27)</f>
        <v>559</v>
      </c>
    </row>
    <row r="28" spans="2:22" x14ac:dyDescent="0.25">
      <c r="B28" s="39" t="s">
        <v>140</v>
      </c>
      <c r="C28" s="39">
        <v>0</v>
      </c>
      <c r="D28" s="39">
        <v>0</v>
      </c>
      <c r="E28" s="39">
        <v>0</v>
      </c>
      <c r="F28" s="39">
        <v>0</v>
      </c>
      <c r="G28" s="51">
        <v>0</v>
      </c>
      <c r="H28" s="39">
        <v>0</v>
      </c>
      <c r="I28" s="39">
        <v>0</v>
      </c>
      <c r="J28" s="39">
        <v>0</v>
      </c>
      <c r="K28" s="39">
        <v>0</v>
      </c>
      <c r="L28" s="51">
        <v>0</v>
      </c>
      <c r="M28" s="39">
        <v>0</v>
      </c>
      <c r="N28" s="39">
        <v>0</v>
      </c>
      <c r="O28" s="39">
        <v>0</v>
      </c>
      <c r="P28" s="39">
        <v>0</v>
      </c>
      <c r="Q28" s="51">
        <v>0</v>
      </c>
      <c r="R28" s="39">
        <v>0</v>
      </c>
      <c r="S28" s="39">
        <v>1.02</v>
      </c>
      <c r="T28" s="39">
        <v>0.13</v>
      </c>
      <c r="U28" s="39">
        <v>0.15</v>
      </c>
      <c r="V28" s="51"/>
    </row>
    <row r="29" spans="2:22" x14ac:dyDescent="0.25">
      <c r="B29" s="1" t="s">
        <v>163</v>
      </c>
      <c r="G29" s="48"/>
      <c r="L29" s="48"/>
      <c r="Q29" s="48"/>
      <c r="V29" s="48"/>
    </row>
    <row r="30" spans="2:22" x14ac:dyDescent="0.25">
      <c r="B30" s="2" t="s">
        <v>53</v>
      </c>
      <c r="C30" s="2">
        <v>9</v>
      </c>
      <c r="D30" s="2">
        <v>10</v>
      </c>
      <c r="E30" s="2">
        <v>113</v>
      </c>
      <c r="F30" s="2">
        <v>81</v>
      </c>
      <c r="G30" s="48">
        <f>SUM(C30:F30)</f>
        <v>213</v>
      </c>
      <c r="H30" s="2">
        <v>34</v>
      </c>
      <c r="I30" s="2">
        <v>32</v>
      </c>
      <c r="J30" s="2">
        <v>86</v>
      </c>
      <c r="K30" s="2">
        <v>113</v>
      </c>
      <c r="L30" s="48">
        <f>SUM(H30:K30)</f>
        <v>265</v>
      </c>
      <c r="M30" s="2">
        <v>63</v>
      </c>
      <c r="N30" s="2">
        <v>61</v>
      </c>
      <c r="O30" s="2">
        <v>64</v>
      </c>
      <c r="P30" s="2">
        <v>127</v>
      </c>
      <c r="Q30" s="48">
        <f>SUM(M30:P30)</f>
        <v>315</v>
      </c>
      <c r="R30" s="2">
        <v>90</v>
      </c>
      <c r="S30" s="2">
        <v>85</v>
      </c>
      <c r="T30" s="2">
        <v>75</v>
      </c>
      <c r="V30" s="48">
        <f>SUM(R30:U30)</f>
        <v>250</v>
      </c>
    </row>
    <row r="31" spans="2:22" x14ac:dyDescent="0.25">
      <c r="B31" s="39" t="s">
        <v>140</v>
      </c>
      <c r="C31" s="39"/>
      <c r="D31" s="39">
        <v>-0.22</v>
      </c>
      <c r="E31" s="39">
        <v>0.97</v>
      </c>
      <c r="F31" s="39">
        <v>1.96</v>
      </c>
      <c r="G31" s="51">
        <v>1.3</v>
      </c>
      <c r="H31" s="39">
        <v>2.4700000000000002</v>
      </c>
      <c r="I31" s="39">
        <v>2.91</v>
      </c>
      <c r="J31" s="39">
        <v>0.84</v>
      </c>
      <c r="K31" s="39">
        <v>0.83</v>
      </c>
      <c r="L31" s="51">
        <v>1.1599999999999999</v>
      </c>
      <c r="M31" s="39">
        <v>0.87</v>
      </c>
      <c r="N31" s="39">
        <v>0.88</v>
      </c>
      <c r="O31" s="39">
        <v>0.34</v>
      </c>
      <c r="P31" s="39">
        <v>0.18</v>
      </c>
      <c r="Q31" s="51">
        <v>0.43</v>
      </c>
      <c r="R31" s="39">
        <v>0.43</v>
      </c>
      <c r="S31" s="39">
        <v>0.36</v>
      </c>
      <c r="T31" s="39">
        <v>0.19</v>
      </c>
      <c r="U31" s="39"/>
      <c r="V31" s="51"/>
    </row>
    <row r="32" spans="2:22" x14ac:dyDescent="0.25">
      <c r="B32" s="1" t="s">
        <v>165</v>
      </c>
      <c r="G32" s="48"/>
      <c r="L32" s="48"/>
      <c r="Q32" s="48"/>
      <c r="V32" s="48"/>
    </row>
    <row r="33" spans="2:22" x14ac:dyDescent="0.25">
      <c r="B33" s="1" t="s">
        <v>53</v>
      </c>
      <c r="C33" s="12">
        <f>C21+C24+C27+C30</f>
        <v>1089</v>
      </c>
      <c r="D33" s="12">
        <f>D21+D24+D27+D30</f>
        <v>1038</v>
      </c>
      <c r="E33" s="12">
        <f t="shared" ref="E33:R33" si="1">E21+E24+E27+E30</f>
        <v>1093</v>
      </c>
      <c r="F33" s="12">
        <f t="shared" si="1"/>
        <v>2514</v>
      </c>
      <c r="G33" s="54">
        <f>SUM(C33:F33)</f>
        <v>5734</v>
      </c>
      <c r="H33" s="12">
        <f t="shared" si="1"/>
        <v>1212</v>
      </c>
      <c r="I33" s="12">
        <f t="shared" si="1"/>
        <v>1130</v>
      </c>
      <c r="J33" s="12">
        <f t="shared" si="1"/>
        <v>1204</v>
      </c>
      <c r="K33" s="12">
        <f t="shared" si="1"/>
        <v>2639</v>
      </c>
      <c r="L33" s="54">
        <f>SUM(H33:K33)</f>
        <v>6185</v>
      </c>
      <c r="M33" s="12">
        <f t="shared" si="1"/>
        <v>1819</v>
      </c>
      <c r="N33" s="12">
        <f t="shared" si="1"/>
        <v>1663</v>
      </c>
      <c r="O33" s="12">
        <f t="shared" si="1"/>
        <v>1468</v>
      </c>
      <c r="P33" s="12">
        <f t="shared" si="1"/>
        <v>3190</v>
      </c>
      <c r="Q33" s="54">
        <f>SUM(M33:P33)</f>
        <v>8140</v>
      </c>
      <c r="R33" s="12">
        <f t="shared" si="1"/>
        <v>2049</v>
      </c>
      <c r="S33" s="12">
        <f>S21+S24+S27+S30</f>
        <v>1761</v>
      </c>
      <c r="T33" s="12">
        <f>T21+T24+T27+T30</f>
        <v>1481</v>
      </c>
      <c r="U33" s="12"/>
      <c r="V33" s="54">
        <f>SUM(R33:U33)</f>
        <v>5291</v>
      </c>
    </row>
    <row r="34" spans="2:22" ht="20" thickBot="1" x14ac:dyDescent="0.3">
      <c r="B34" s="43" t="s">
        <v>140</v>
      </c>
      <c r="C34" s="43"/>
      <c r="D34" s="43">
        <v>-0.04</v>
      </c>
      <c r="E34" s="43">
        <v>-0.02</v>
      </c>
      <c r="F34" s="43">
        <v>-0.04</v>
      </c>
      <c r="G34" s="49">
        <v>-0.01</v>
      </c>
      <c r="H34" s="43">
        <v>0.09</v>
      </c>
      <c r="I34" s="43">
        <v>0.08</v>
      </c>
      <c r="J34" s="43">
        <v>0.14000000000000001</v>
      </c>
      <c r="K34" s="43">
        <v>0.23</v>
      </c>
      <c r="L34" s="49">
        <v>0.14000000000000001</v>
      </c>
      <c r="M34" s="43">
        <v>0.34</v>
      </c>
      <c r="N34" s="43">
        <v>0.28999999999999998</v>
      </c>
      <c r="O34" s="43">
        <v>0.21</v>
      </c>
      <c r="P34" s="43">
        <v>0.13</v>
      </c>
      <c r="Q34" s="49">
        <v>0.22</v>
      </c>
      <c r="R34" s="43">
        <v>0.12</v>
      </c>
      <c r="S34" s="43">
        <v>0.05</v>
      </c>
      <c r="T34" s="43">
        <v>0.02</v>
      </c>
      <c r="U34" s="43">
        <v>-0.03</v>
      </c>
      <c r="V34" s="4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9D6B-CF1E-A543-BF78-96E0789410BB}">
  <dimension ref="A4:Z4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B34" sqref="AB34"/>
    </sheetView>
  </sheetViews>
  <sheetFormatPr baseColWidth="10" defaultRowHeight="19" x14ac:dyDescent="0.25"/>
  <cols>
    <col min="1" max="1" width="29.6640625" style="2" customWidth="1"/>
    <col min="2" max="2" width="9.83203125" style="2" customWidth="1"/>
    <col min="3" max="3" width="9.1640625" style="2" customWidth="1"/>
    <col min="4" max="8" width="10.83203125" style="2"/>
    <col min="9" max="9" width="11.5" style="2" bestFit="1" customWidth="1"/>
    <col min="10" max="16384" width="10.83203125" style="2"/>
  </cols>
  <sheetData>
    <row r="4" spans="1:26" x14ac:dyDescent="0.25">
      <c r="A4" s="2" t="s">
        <v>137</v>
      </c>
      <c r="B4" s="7" t="s">
        <v>3</v>
      </c>
      <c r="C4" s="7" t="s">
        <v>4</v>
      </c>
      <c r="D4" s="7" t="s">
        <v>5</v>
      </c>
      <c r="E4" s="7" t="s">
        <v>6</v>
      </c>
      <c r="F4" s="46">
        <v>2022</v>
      </c>
      <c r="G4" s="7" t="s">
        <v>7</v>
      </c>
      <c r="H4" s="7" t="s">
        <v>8</v>
      </c>
      <c r="I4" s="7" t="s">
        <v>9</v>
      </c>
      <c r="J4" s="7" t="s">
        <v>10</v>
      </c>
      <c r="K4" s="46">
        <v>2023</v>
      </c>
      <c r="L4" s="7" t="s">
        <v>11</v>
      </c>
      <c r="M4" s="7" t="s">
        <v>12</v>
      </c>
      <c r="N4" s="7" t="s">
        <v>13</v>
      </c>
      <c r="O4" s="7" t="s">
        <v>14</v>
      </c>
      <c r="P4" s="46">
        <v>2024</v>
      </c>
      <c r="Q4" s="7" t="s">
        <v>37</v>
      </c>
      <c r="R4" s="7" t="s">
        <v>31</v>
      </c>
      <c r="S4" s="7" t="s">
        <v>35</v>
      </c>
      <c r="T4" s="7" t="s">
        <v>36</v>
      </c>
      <c r="U4" s="1">
        <v>2025</v>
      </c>
      <c r="V4" s="7" t="s">
        <v>182</v>
      </c>
      <c r="W4" s="7" t="s">
        <v>183</v>
      </c>
      <c r="X4" s="7" t="s">
        <v>184</v>
      </c>
      <c r="Y4" s="7" t="s">
        <v>185</v>
      </c>
      <c r="Z4" s="1">
        <v>2026</v>
      </c>
    </row>
    <row r="5" spans="1:26" x14ac:dyDescent="0.25">
      <c r="A5" s="1" t="s">
        <v>148</v>
      </c>
      <c r="F5" s="48"/>
      <c r="K5" s="48"/>
      <c r="P5" s="48"/>
      <c r="U5" s="48"/>
      <c r="Z5" s="48"/>
    </row>
    <row r="6" spans="1:26" x14ac:dyDescent="0.25">
      <c r="A6" s="1" t="s">
        <v>149</v>
      </c>
      <c r="F6" s="48"/>
      <c r="K6" s="48"/>
      <c r="P6" s="48"/>
      <c r="U6" s="48"/>
      <c r="Z6" s="48"/>
    </row>
    <row r="7" spans="1:26" x14ac:dyDescent="0.25">
      <c r="A7" s="2" t="s">
        <v>53</v>
      </c>
      <c r="B7" s="14">
        <v>1650</v>
      </c>
      <c r="C7" s="14">
        <v>1841</v>
      </c>
      <c r="D7" s="14">
        <v>1597</v>
      </c>
      <c r="E7" s="14">
        <v>2820</v>
      </c>
      <c r="F7" s="54">
        <f>SUM(B7:E7)</f>
        <v>7908</v>
      </c>
      <c r="G7" s="14">
        <v>1716</v>
      </c>
      <c r="H7" s="14">
        <v>1834</v>
      </c>
      <c r="I7" s="14">
        <v>1566</v>
      </c>
      <c r="J7" s="14">
        <v>3190</v>
      </c>
      <c r="K7" s="54">
        <f>SUM(G7:J7)</f>
        <v>8306</v>
      </c>
      <c r="L7" s="14">
        <v>2027</v>
      </c>
      <c r="M7" s="14">
        <v>2173</v>
      </c>
      <c r="N7" s="14">
        <v>1796</v>
      </c>
      <c r="O7" s="14">
        <v>3713</v>
      </c>
      <c r="P7" s="54">
        <f>SUM(L7:O7)</f>
        <v>9709</v>
      </c>
      <c r="Q7" s="14">
        <v>2368</v>
      </c>
      <c r="R7" s="14">
        <v>2374</v>
      </c>
      <c r="S7" s="14">
        <v>1896</v>
      </c>
      <c r="T7" s="14">
        <v>3700</v>
      </c>
      <c r="U7" s="54">
        <f>SUM(Q7:T7)</f>
        <v>10338</v>
      </c>
      <c r="V7" s="14"/>
      <c r="W7" s="14"/>
      <c r="X7" s="14"/>
      <c r="Y7" s="14"/>
      <c r="Z7" s="54">
        <f>SUM(V7:Y7)</f>
        <v>0</v>
      </c>
    </row>
    <row r="8" spans="1:26" x14ac:dyDescent="0.25">
      <c r="A8" s="23" t="s">
        <v>140</v>
      </c>
      <c r="B8" s="23"/>
      <c r="C8" s="23"/>
      <c r="D8" s="23">
        <v>-0.09</v>
      </c>
      <c r="E8" s="23">
        <v>-7.0000000000000007E-2</v>
      </c>
      <c r="F8" s="53">
        <v>-7.0000000000000007E-2</v>
      </c>
      <c r="G8" s="23">
        <v>-7.0000000000000007E-2</v>
      </c>
      <c r="H8" s="23">
        <v>-0.04</v>
      </c>
      <c r="I8" s="23">
        <v>0.05</v>
      </c>
      <c r="J8" s="23">
        <v>0.1</v>
      </c>
      <c r="K8" s="53">
        <v>0.02</v>
      </c>
      <c r="L8" s="23">
        <v>0.09</v>
      </c>
      <c r="M8" s="23">
        <v>0.05</v>
      </c>
      <c r="N8" s="23">
        <v>0.06</v>
      </c>
      <c r="O8" s="23">
        <v>0.09</v>
      </c>
      <c r="P8" s="53">
        <v>0.08</v>
      </c>
      <c r="Q8" s="23">
        <v>0.11</v>
      </c>
      <c r="R8" s="23">
        <v>0.08</v>
      </c>
      <c r="S8" s="23">
        <v>0.06</v>
      </c>
      <c r="T8" s="23">
        <v>0.02</v>
      </c>
      <c r="U8" s="53"/>
      <c r="V8" s="23"/>
      <c r="W8" s="23"/>
      <c r="X8" s="23"/>
      <c r="Y8" s="23"/>
      <c r="Z8" s="53"/>
    </row>
    <row r="9" spans="1:26" x14ac:dyDescent="0.25">
      <c r="A9" s="39" t="s">
        <v>158</v>
      </c>
      <c r="B9" s="39"/>
      <c r="C9" s="39"/>
      <c r="D9" s="39">
        <v>-0.03</v>
      </c>
      <c r="E9" s="39">
        <v>-0.03</v>
      </c>
      <c r="F9" s="51">
        <v>-0.03</v>
      </c>
      <c r="G9" s="39">
        <v>-0.04</v>
      </c>
      <c r="H9" s="39">
        <v>0</v>
      </c>
      <c r="I9" s="39">
        <v>0.04</v>
      </c>
      <c r="J9" s="39">
        <v>0.15</v>
      </c>
      <c r="K9" s="51">
        <v>0.05</v>
      </c>
      <c r="L9" s="39">
        <v>0.16</v>
      </c>
      <c r="M9" s="39">
        <v>0.14000000000000001</v>
      </c>
      <c r="N9" s="39">
        <v>0.14000000000000001</v>
      </c>
      <c r="O9" s="39">
        <v>0.13</v>
      </c>
      <c r="P9" s="51">
        <v>0.14000000000000001</v>
      </c>
      <c r="Q9" s="39">
        <v>0.12</v>
      </c>
      <c r="R9" s="39">
        <v>0.12</v>
      </c>
      <c r="S9" s="39">
        <v>0.09</v>
      </c>
      <c r="T9" s="39">
        <v>0.09</v>
      </c>
      <c r="U9" s="51"/>
      <c r="V9" s="39"/>
      <c r="W9" s="39"/>
      <c r="X9" s="39"/>
      <c r="Y9" s="39"/>
      <c r="Z9" s="51"/>
    </row>
    <row r="10" spans="1:26" x14ac:dyDescent="0.25">
      <c r="A10" s="1" t="s">
        <v>150</v>
      </c>
      <c r="F10" s="48"/>
      <c r="K10" s="48"/>
      <c r="P10" s="48"/>
      <c r="U10" s="48"/>
      <c r="Z10" s="48"/>
    </row>
    <row r="11" spans="1:26" x14ac:dyDescent="0.25">
      <c r="A11" s="2" t="s">
        <v>53</v>
      </c>
      <c r="B11" s="2">
        <v>254</v>
      </c>
      <c r="C11" s="2">
        <v>179</v>
      </c>
      <c r="D11" s="2">
        <v>162</v>
      </c>
      <c r="E11" s="2">
        <v>143</v>
      </c>
      <c r="F11" s="48">
        <f>SUM(B11:E11)</f>
        <v>738</v>
      </c>
      <c r="G11" s="2">
        <v>161</v>
      </c>
      <c r="H11" s="2">
        <v>156</v>
      </c>
      <c r="I11" s="2">
        <v>132</v>
      </c>
      <c r="J11" s="2">
        <v>116</v>
      </c>
      <c r="K11" s="48">
        <f>SUM(G11:J11)</f>
        <v>565</v>
      </c>
      <c r="L11" s="2">
        <v>110</v>
      </c>
      <c r="M11" s="2">
        <v>118</v>
      </c>
      <c r="N11" s="2">
        <v>84</v>
      </c>
      <c r="O11" s="2">
        <v>104</v>
      </c>
      <c r="P11" s="48">
        <f>SUM(L11:O11)</f>
        <v>416</v>
      </c>
      <c r="Q11" s="2">
        <v>96</v>
      </c>
      <c r="R11" s="2">
        <v>95</v>
      </c>
      <c r="S11" s="2">
        <v>68</v>
      </c>
      <c r="T11" s="2">
        <v>100</v>
      </c>
      <c r="U11" s="48">
        <f>SUM(Q11:T11)</f>
        <v>359</v>
      </c>
      <c r="Z11" s="48">
        <f>SUM(V11:Y11)</f>
        <v>0</v>
      </c>
    </row>
    <row r="12" spans="1:26" x14ac:dyDescent="0.25">
      <c r="A12" s="23" t="s">
        <v>140</v>
      </c>
      <c r="B12" s="23"/>
      <c r="C12" s="23"/>
      <c r="D12" s="23">
        <v>-0.46</v>
      </c>
      <c r="E12" s="23">
        <v>-0.41</v>
      </c>
      <c r="F12" s="53">
        <v>-0.47</v>
      </c>
      <c r="G12" s="23">
        <v>-0.26</v>
      </c>
      <c r="H12" s="23">
        <v>0.05</v>
      </c>
      <c r="I12" s="23">
        <v>0</v>
      </c>
      <c r="J12" s="23">
        <v>-0.11</v>
      </c>
      <c r="K12" s="53">
        <v>-0.09</v>
      </c>
      <c r="L12" s="23">
        <v>-0.17</v>
      </c>
      <c r="M12" s="23">
        <v>-0.23</v>
      </c>
      <c r="N12" s="23">
        <v>-0.33</v>
      </c>
      <c r="O12" s="23">
        <v>-0.1</v>
      </c>
      <c r="P12" s="53">
        <v>-0.21</v>
      </c>
      <c r="Q12" s="23">
        <v>-0.11</v>
      </c>
      <c r="R12" s="23">
        <v>-0.15</v>
      </c>
      <c r="S12" s="23">
        <v>-0.06</v>
      </c>
      <c r="T12" s="23">
        <v>-0.1</v>
      </c>
      <c r="U12" s="53"/>
      <c r="V12" s="23"/>
      <c r="W12" s="23"/>
      <c r="X12" s="23"/>
      <c r="Y12" s="23"/>
      <c r="Z12" s="53"/>
    </row>
    <row r="13" spans="1:26" x14ac:dyDescent="0.25">
      <c r="A13" s="39" t="s">
        <v>158</v>
      </c>
      <c r="B13" s="39"/>
      <c r="C13" s="39"/>
      <c r="D13" s="39">
        <v>-0.37</v>
      </c>
      <c r="E13" s="39">
        <v>-0.36</v>
      </c>
      <c r="F13" s="51">
        <v>-0.39</v>
      </c>
      <c r="G13" s="39">
        <v>-0.35</v>
      </c>
      <c r="H13" s="39">
        <v>-0.06</v>
      </c>
      <c r="I13" s="39">
        <v>-7.0000000000000007E-2</v>
      </c>
      <c r="J13" s="39">
        <v>-0.13</v>
      </c>
      <c r="K13" s="51">
        <v>-0.18</v>
      </c>
      <c r="L13" s="39">
        <v>-0.27</v>
      </c>
      <c r="M13" s="39">
        <v>-0.23</v>
      </c>
      <c r="N13" s="39">
        <v>-0.36</v>
      </c>
      <c r="O13" s="39">
        <v>-0.12</v>
      </c>
      <c r="P13" s="51">
        <v>-0.25</v>
      </c>
      <c r="Q13" s="39">
        <v>-0.15</v>
      </c>
      <c r="R13" s="39">
        <v>-0.15</v>
      </c>
      <c r="S13" s="39">
        <v>-0.14000000000000001</v>
      </c>
      <c r="T13" s="39">
        <v>-0.21</v>
      </c>
      <c r="U13" s="51"/>
      <c r="V13" s="39"/>
      <c r="W13" s="39"/>
      <c r="X13" s="39"/>
      <c r="Y13" s="39"/>
      <c r="Z13" s="51"/>
    </row>
    <row r="14" spans="1:26" x14ac:dyDescent="0.25">
      <c r="A14" s="1" t="s">
        <v>151</v>
      </c>
      <c r="B14" s="23"/>
      <c r="C14" s="23"/>
      <c r="D14" s="23"/>
      <c r="E14" s="23"/>
      <c r="F14" s="53"/>
      <c r="G14" s="23"/>
      <c r="H14" s="23"/>
      <c r="I14" s="23"/>
      <c r="J14" s="23"/>
      <c r="K14" s="53"/>
      <c r="L14" s="23"/>
      <c r="M14" s="23"/>
      <c r="N14" s="23"/>
      <c r="O14" s="23"/>
      <c r="P14" s="53"/>
      <c r="Q14" s="23"/>
      <c r="R14" s="23"/>
      <c r="S14" s="23"/>
      <c r="T14" s="23"/>
      <c r="U14" s="53"/>
      <c r="V14" s="23"/>
      <c r="W14" s="23"/>
      <c r="X14" s="23"/>
      <c r="Y14" s="23"/>
      <c r="Z14" s="53"/>
    </row>
    <row r="15" spans="1:26" x14ac:dyDescent="0.25">
      <c r="A15" s="2" t="s">
        <v>53</v>
      </c>
      <c r="B15" s="14">
        <v>808</v>
      </c>
      <c r="C15" s="14">
        <v>665</v>
      </c>
      <c r="D15" s="14">
        <v>717</v>
      </c>
      <c r="E15" s="14">
        <v>1613</v>
      </c>
      <c r="F15" s="54">
        <f>SUM(B15:E15)</f>
        <v>3803</v>
      </c>
      <c r="G15" s="14">
        <v>809</v>
      </c>
      <c r="H15" s="14">
        <v>656</v>
      </c>
      <c r="I15" s="14">
        <v>729</v>
      </c>
      <c r="J15" s="14">
        <v>1627</v>
      </c>
      <c r="K15" s="54">
        <f>SUM(G15:J15)</f>
        <v>3821</v>
      </c>
      <c r="L15" s="14">
        <v>854</v>
      </c>
      <c r="M15" s="14">
        <v>694</v>
      </c>
      <c r="N15" s="14">
        <v>740</v>
      </c>
      <c r="O15" s="14">
        <v>1640</v>
      </c>
      <c r="P15" s="54">
        <f>SUM(L15:O15)</f>
        <v>3928</v>
      </c>
      <c r="Q15" s="14">
        <v>864</v>
      </c>
      <c r="R15" s="14">
        <v>659</v>
      </c>
      <c r="S15" s="14">
        <v>685</v>
      </c>
      <c r="T15" s="14">
        <v>1500</v>
      </c>
      <c r="U15" s="54">
        <f>SUM(Q15:T15)</f>
        <v>3708</v>
      </c>
      <c r="V15" s="14"/>
      <c r="W15" s="14"/>
      <c r="X15" s="14"/>
      <c r="Y15" s="14"/>
      <c r="Z15" s="54">
        <f>SUM(V15:Y15)</f>
        <v>0</v>
      </c>
    </row>
    <row r="16" spans="1:26" x14ac:dyDescent="0.25">
      <c r="A16" s="23" t="s">
        <v>140</v>
      </c>
      <c r="B16" s="23"/>
      <c r="C16" s="23"/>
      <c r="D16" s="23">
        <v>0.05</v>
      </c>
      <c r="E16" s="23">
        <v>0.01</v>
      </c>
      <c r="F16" s="53">
        <v>0.1</v>
      </c>
      <c r="G16" s="23">
        <v>0.01</v>
      </c>
      <c r="H16" s="23">
        <v>0</v>
      </c>
      <c r="I16" s="23">
        <v>-0.01</v>
      </c>
      <c r="J16" s="23">
        <v>-0.02</v>
      </c>
      <c r="K16" s="53">
        <v>-0.01</v>
      </c>
      <c r="L16" s="23">
        <v>-0.01</v>
      </c>
      <c r="M16" s="23">
        <v>0.01</v>
      </c>
      <c r="N16" s="23">
        <v>-0.02</v>
      </c>
      <c r="O16" s="23">
        <v>-0.03</v>
      </c>
      <c r="P16" s="53">
        <v>-0.02</v>
      </c>
      <c r="Q16" s="23">
        <v>0.02</v>
      </c>
      <c r="R16" s="23">
        <v>-0.09</v>
      </c>
      <c r="S16" s="23">
        <v>-0.08</v>
      </c>
      <c r="T16" s="23">
        <v>-0.04</v>
      </c>
      <c r="U16" s="53"/>
      <c r="V16" s="23"/>
      <c r="W16" s="23"/>
      <c r="X16" s="23"/>
      <c r="Y16" s="23"/>
      <c r="Z16" s="53"/>
    </row>
    <row r="17" spans="1:26" x14ac:dyDescent="0.25">
      <c r="A17" s="39" t="s">
        <v>158</v>
      </c>
      <c r="B17" s="39"/>
      <c r="C17" s="39"/>
      <c r="D17" s="39">
        <v>0.13</v>
      </c>
      <c r="E17" s="39">
        <v>0.09</v>
      </c>
      <c r="F17" s="51">
        <v>0.15</v>
      </c>
      <c r="G17" s="39">
        <v>0.06</v>
      </c>
      <c r="H17" s="39">
        <v>0.01</v>
      </c>
      <c r="I17" s="39">
        <v>0.02</v>
      </c>
      <c r="J17" s="39">
        <v>0</v>
      </c>
      <c r="K17" s="51">
        <v>0.02</v>
      </c>
      <c r="L17" s="39">
        <v>0.02</v>
      </c>
      <c r="M17" s="39">
        <v>0.04</v>
      </c>
      <c r="N17" s="39">
        <v>0</v>
      </c>
      <c r="O17" s="39">
        <v>-0.03</v>
      </c>
      <c r="P17" s="51">
        <v>0</v>
      </c>
      <c r="Q17" s="39">
        <v>-0.01</v>
      </c>
      <c r="R17" s="39">
        <v>-0.05</v>
      </c>
      <c r="S17" s="39">
        <v>-0.05</v>
      </c>
      <c r="T17" s="39">
        <v>-0.02</v>
      </c>
      <c r="U17" s="51"/>
      <c r="V17" s="39"/>
      <c r="W17" s="39"/>
      <c r="X17" s="39"/>
      <c r="Y17" s="39"/>
      <c r="Z17" s="51"/>
    </row>
    <row r="18" spans="1:26" x14ac:dyDescent="0.25">
      <c r="A18" s="1" t="s">
        <v>152</v>
      </c>
      <c r="F18" s="48"/>
      <c r="K18" s="48"/>
      <c r="P18" s="48"/>
      <c r="U18" s="48"/>
      <c r="Z18" s="48"/>
    </row>
    <row r="19" spans="1:26" x14ac:dyDescent="0.25">
      <c r="A19" s="2" t="s">
        <v>53</v>
      </c>
      <c r="B19" s="14">
        <v>586</v>
      </c>
      <c r="C19" s="14">
        <v>595</v>
      </c>
      <c r="D19" s="14">
        <v>486</v>
      </c>
      <c r="E19" s="14">
        <v>913</v>
      </c>
      <c r="F19" s="54">
        <f>SUM(B19:E19)</f>
        <v>2580</v>
      </c>
      <c r="G19" s="14">
        <v>539</v>
      </c>
      <c r="H19" s="14">
        <v>584</v>
      </c>
      <c r="I19" s="14">
        <v>496</v>
      </c>
      <c r="J19" s="14">
        <v>921</v>
      </c>
      <c r="K19" s="54">
        <f>SUM(G19:J19)</f>
        <v>2540</v>
      </c>
      <c r="L19" s="14">
        <v>565</v>
      </c>
      <c r="M19" s="14">
        <v>568</v>
      </c>
      <c r="N19" s="14">
        <v>466</v>
      </c>
      <c r="O19" s="14">
        <v>879</v>
      </c>
      <c r="P19" s="54">
        <f>SUM(L19:O19)</f>
        <v>2478</v>
      </c>
      <c r="Q19" s="14">
        <v>508</v>
      </c>
      <c r="R19" s="14">
        <v>529</v>
      </c>
      <c r="S19" s="14">
        <v>448</v>
      </c>
      <c r="T19" s="14">
        <v>800</v>
      </c>
      <c r="U19" s="54">
        <f>SUM(Q19:T19)</f>
        <v>2285</v>
      </c>
      <c r="V19" s="14"/>
      <c r="W19" s="14"/>
      <c r="X19" s="14"/>
      <c r="Y19" s="14"/>
      <c r="Z19" s="54">
        <f>SUM(V19:Y19)</f>
        <v>0</v>
      </c>
    </row>
    <row r="20" spans="1:26" x14ac:dyDescent="0.25">
      <c r="A20" s="23" t="s">
        <v>140</v>
      </c>
      <c r="B20" s="23"/>
      <c r="C20" s="23"/>
      <c r="D20" s="23">
        <v>-0.05</v>
      </c>
      <c r="E20" s="23">
        <v>-0.09</v>
      </c>
      <c r="F20" s="53">
        <v>0.05</v>
      </c>
      <c r="G20" s="23">
        <v>-0.05</v>
      </c>
      <c r="H20" s="23">
        <v>-0.05</v>
      </c>
      <c r="I20" s="23">
        <v>-0.01</v>
      </c>
      <c r="J20" s="23">
        <v>-0.01</v>
      </c>
      <c r="K20" s="53">
        <v>-0.03</v>
      </c>
      <c r="L20" s="23">
        <v>-0.02</v>
      </c>
      <c r="M20" s="23">
        <v>-0.06</v>
      </c>
      <c r="N20" s="23">
        <v>-0.08</v>
      </c>
      <c r="O20" s="23">
        <v>-0.1</v>
      </c>
      <c r="P20" s="53">
        <v>-7.0000000000000007E-2</v>
      </c>
      <c r="Q20" s="23">
        <v>-0.09</v>
      </c>
      <c r="R20" s="23">
        <v>-0.08</v>
      </c>
      <c r="S20" s="23">
        <v>-0.04</v>
      </c>
      <c r="T20" s="23">
        <v>-0.12</v>
      </c>
      <c r="U20" s="53"/>
      <c r="V20" s="23"/>
      <c r="W20" s="23"/>
      <c r="X20" s="23"/>
      <c r="Y20" s="23"/>
      <c r="Z20" s="53"/>
    </row>
    <row r="21" spans="1:26" x14ac:dyDescent="0.25">
      <c r="A21" s="39" t="s">
        <v>158</v>
      </c>
      <c r="B21" s="39"/>
      <c r="C21" s="39"/>
      <c r="D21" s="39">
        <v>-0.08</v>
      </c>
      <c r="E21" s="39">
        <v>-0.05</v>
      </c>
      <c r="F21" s="51">
        <v>0.06</v>
      </c>
      <c r="G21" s="39">
        <v>-0.08</v>
      </c>
      <c r="H21" s="39">
        <v>-0.02</v>
      </c>
      <c r="I21" s="39">
        <v>0.02</v>
      </c>
      <c r="J21" s="39">
        <v>0.01</v>
      </c>
      <c r="K21" s="51">
        <v>-0.02</v>
      </c>
      <c r="L21" s="39">
        <v>0.05</v>
      </c>
      <c r="M21" s="39">
        <v>-0.03</v>
      </c>
      <c r="N21" s="39">
        <v>-7.0000000000000007E-2</v>
      </c>
      <c r="O21" s="39">
        <v>-0.05</v>
      </c>
      <c r="P21" s="51">
        <v>-0.03</v>
      </c>
      <c r="Q21" s="39">
        <v>-0.11</v>
      </c>
      <c r="R21" s="39">
        <v>-7.0000000000000007E-2</v>
      </c>
      <c r="S21" s="39">
        <v>-0.04</v>
      </c>
      <c r="T21" s="39">
        <v>-0.1</v>
      </c>
      <c r="U21" s="51"/>
      <c r="V21" s="39"/>
      <c r="W21" s="39"/>
      <c r="X21" s="39"/>
      <c r="Y21" s="39"/>
      <c r="Z21" s="51"/>
    </row>
    <row r="22" spans="1:26" x14ac:dyDescent="0.25">
      <c r="A22" s="1" t="s">
        <v>153</v>
      </c>
      <c r="B22" s="23"/>
      <c r="C22" s="23"/>
      <c r="D22" s="23"/>
      <c r="E22" s="23"/>
      <c r="F22" s="53"/>
      <c r="G22" s="23"/>
      <c r="H22" s="23"/>
      <c r="I22" s="23"/>
      <c r="J22" s="23"/>
      <c r="K22" s="53"/>
      <c r="L22" s="23"/>
      <c r="M22" s="23"/>
      <c r="N22" s="23"/>
      <c r="O22" s="23"/>
      <c r="P22" s="53"/>
      <c r="Q22" s="23"/>
      <c r="R22" s="23"/>
      <c r="S22" s="23"/>
      <c r="T22" s="23"/>
      <c r="U22" s="53"/>
      <c r="V22" s="23"/>
      <c r="W22" s="23"/>
      <c r="X22" s="23"/>
      <c r="Y22" s="23"/>
      <c r="Z22" s="53"/>
    </row>
    <row r="23" spans="1:26" x14ac:dyDescent="0.25">
      <c r="A23" s="2" t="s">
        <v>53</v>
      </c>
      <c r="B23" s="14">
        <v>245</v>
      </c>
      <c r="C23" s="14">
        <v>246</v>
      </c>
      <c r="D23" s="14">
        <v>246</v>
      </c>
      <c r="E23" s="14">
        <v>535</v>
      </c>
      <c r="F23" s="54">
        <f>SUM(B23:E23)</f>
        <v>1272</v>
      </c>
      <c r="G23" s="14">
        <v>220</v>
      </c>
      <c r="H23" s="14">
        <v>218</v>
      </c>
      <c r="I23" s="14">
        <v>221</v>
      </c>
      <c r="J23" s="14">
        <v>502</v>
      </c>
      <c r="K23" s="54">
        <f>SUM(G23:J23)</f>
        <v>1161</v>
      </c>
      <c r="L23" s="14">
        <v>203</v>
      </c>
      <c r="M23" s="14">
        <v>211</v>
      </c>
      <c r="N23" s="14">
        <v>195</v>
      </c>
      <c r="O23" s="14">
        <v>486</v>
      </c>
      <c r="P23" s="54">
        <f>SUM(L23:O23)</f>
        <v>1095</v>
      </c>
      <c r="Q23" s="14">
        <v>234</v>
      </c>
      <c r="R23" s="14">
        <v>229</v>
      </c>
      <c r="S23" s="14">
        <v>212</v>
      </c>
      <c r="T23" s="14">
        <v>500</v>
      </c>
      <c r="U23" s="54">
        <f>SUM(Q23:T23)</f>
        <v>1175</v>
      </c>
      <c r="V23" s="14"/>
      <c r="W23" s="14"/>
      <c r="X23" s="14"/>
      <c r="Y23" s="14"/>
      <c r="Z23" s="54">
        <f>SUM(V23:Y23)</f>
        <v>0</v>
      </c>
    </row>
    <row r="24" spans="1:26" x14ac:dyDescent="0.25">
      <c r="A24" s="23" t="s">
        <v>140</v>
      </c>
      <c r="B24" s="23"/>
      <c r="C24" s="23"/>
      <c r="D24" s="23">
        <v>0.4</v>
      </c>
      <c r="E24" s="23">
        <v>0.01</v>
      </c>
      <c r="F24" s="53">
        <v>0.06</v>
      </c>
      <c r="G24" s="23">
        <v>-0.05</v>
      </c>
      <c r="H24" s="23">
        <v>-0.05</v>
      </c>
      <c r="I24" s="23">
        <v>-0.08</v>
      </c>
      <c r="J24" s="23">
        <v>-0.06</v>
      </c>
      <c r="K24" s="53">
        <v>-0.06</v>
      </c>
      <c r="L24" s="23">
        <v>-0.03</v>
      </c>
      <c r="M24" s="23">
        <v>-0.08</v>
      </c>
      <c r="N24" s="23">
        <v>-0.02</v>
      </c>
      <c r="O24" s="23">
        <v>-0.04</v>
      </c>
      <c r="P24" s="53">
        <v>-0.04</v>
      </c>
      <c r="Q24" s="23">
        <v>0.02</v>
      </c>
      <c r="R24" s="23">
        <v>7.0000000000000007E-2</v>
      </c>
      <c r="S24" s="23">
        <v>0.04</v>
      </c>
      <c r="T24" s="23">
        <v>-0.03</v>
      </c>
      <c r="U24" s="53"/>
      <c r="V24" s="23"/>
      <c r="W24" s="23"/>
      <c r="X24" s="23"/>
      <c r="Y24" s="23"/>
      <c r="Z24" s="53"/>
    </row>
    <row r="25" spans="1:26" x14ac:dyDescent="0.25">
      <c r="A25" s="39" t="s">
        <v>158</v>
      </c>
      <c r="B25" s="39"/>
      <c r="C25" s="39"/>
      <c r="D25" s="39">
        <v>0.33</v>
      </c>
      <c r="E25" s="39">
        <v>0.08</v>
      </c>
      <c r="F25" s="51">
        <v>0.09</v>
      </c>
      <c r="G25" s="39">
        <v>-0.09</v>
      </c>
      <c r="H25" s="39">
        <v>-0.03</v>
      </c>
      <c r="I25" s="39">
        <v>0.01</v>
      </c>
      <c r="J25" s="39">
        <v>-0.09</v>
      </c>
      <c r="K25" s="51">
        <v>-0.06</v>
      </c>
      <c r="L25" s="39">
        <v>-0.03</v>
      </c>
      <c r="M25" s="39">
        <v>-0.03</v>
      </c>
      <c r="N25" s="39">
        <v>-0.13</v>
      </c>
      <c r="O25" s="39">
        <v>0.05</v>
      </c>
      <c r="P25" s="51">
        <v>-0.02</v>
      </c>
      <c r="Q25" s="39">
        <v>0.17</v>
      </c>
      <c r="R25" s="39">
        <v>0.18</v>
      </c>
      <c r="S25" s="39">
        <v>0.18</v>
      </c>
      <c r="T25" s="39">
        <v>0.01</v>
      </c>
      <c r="U25" s="51"/>
      <c r="V25" s="39"/>
      <c r="W25" s="39"/>
      <c r="X25" s="39"/>
      <c r="Y25" s="39"/>
      <c r="Z25" s="51"/>
    </row>
    <row r="26" spans="1:26" x14ac:dyDescent="0.25">
      <c r="A26" s="1" t="s">
        <v>154</v>
      </c>
      <c r="F26" s="48"/>
      <c r="K26" s="48"/>
      <c r="P26" s="48"/>
      <c r="U26" s="48"/>
      <c r="Z26" s="48"/>
    </row>
    <row r="27" spans="1:26" x14ac:dyDescent="0.25">
      <c r="A27" s="2" t="s">
        <v>53</v>
      </c>
      <c r="B27" s="14">
        <v>262</v>
      </c>
      <c r="C27" s="14">
        <v>237</v>
      </c>
      <c r="D27" s="14">
        <v>217</v>
      </c>
      <c r="E27" s="14">
        <v>475</v>
      </c>
      <c r="F27" s="54">
        <f>SUM(B27:E27)</f>
        <v>1191</v>
      </c>
      <c r="G27" s="14">
        <v>243</v>
      </c>
      <c r="H27" s="14">
        <v>231</v>
      </c>
      <c r="I27" s="14">
        <v>220</v>
      </c>
      <c r="J27" s="14">
        <v>502</v>
      </c>
      <c r="K27" s="54">
        <f>SUM(G27:J27)</f>
        <v>1196</v>
      </c>
      <c r="L27" s="14">
        <v>274</v>
      </c>
      <c r="M27" s="14">
        <v>261</v>
      </c>
      <c r="N27" s="14">
        <v>227</v>
      </c>
      <c r="O27" s="14">
        <v>456</v>
      </c>
      <c r="P27" s="54">
        <f>SUM(L27:O27)</f>
        <v>1218</v>
      </c>
      <c r="Q27" s="14">
        <v>255</v>
      </c>
      <c r="R27" s="14">
        <v>256</v>
      </c>
      <c r="S27" s="14">
        <v>215</v>
      </c>
      <c r="T27" s="14">
        <v>400</v>
      </c>
      <c r="U27" s="54">
        <f>SUM(Q27:T27)</f>
        <v>1126</v>
      </c>
      <c r="V27" s="14"/>
      <c r="W27" s="14"/>
      <c r="X27" s="14"/>
      <c r="Y27" s="14"/>
      <c r="Z27" s="54">
        <f>SUM(V27:Y27)</f>
        <v>0</v>
      </c>
    </row>
    <row r="28" spans="1:26" x14ac:dyDescent="0.25">
      <c r="A28" s="23" t="s">
        <v>140</v>
      </c>
      <c r="B28" s="23"/>
      <c r="C28" s="23"/>
      <c r="D28" s="23">
        <v>-0.01</v>
      </c>
      <c r="E28" s="23">
        <v>-0.09</v>
      </c>
      <c r="F28" s="53">
        <v>0.04</v>
      </c>
      <c r="G28" s="23">
        <v>-0.05</v>
      </c>
      <c r="H28" s="23">
        <v>-0.05</v>
      </c>
      <c r="I28" s="23">
        <v>0.05</v>
      </c>
      <c r="J28" s="23">
        <v>0.06</v>
      </c>
      <c r="K28" s="53">
        <v>0.01</v>
      </c>
      <c r="L28" s="23">
        <v>0.02</v>
      </c>
      <c r="M28" s="23">
        <v>0</v>
      </c>
      <c r="N28" s="23">
        <v>-0.01</v>
      </c>
      <c r="O28" s="23">
        <v>-0.14000000000000001</v>
      </c>
      <c r="P28" s="53">
        <v>-0.05</v>
      </c>
      <c r="Q28" s="23">
        <v>-0.06</v>
      </c>
      <c r="R28" s="23">
        <v>-7.0000000000000007E-2</v>
      </c>
      <c r="S28" s="23">
        <v>-7.0000000000000007E-2</v>
      </c>
      <c r="T28" s="23">
        <v>-0.04</v>
      </c>
      <c r="U28" s="53"/>
      <c r="V28" s="23"/>
      <c r="W28" s="23"/>
      <c r="X28" s="23"/>
      <c r="Y28" s="23"/>
      <c r="Z28" s="53"/>
    </row>
    <row r="29" spans="1:26" x14ac:dyDescent="0.25">
      <c r="A29" s="39" t="s">
        <v>158</v>
      </c>
      <c r="B29" s="39"/>
      <c r="C29" s="39"/>
      <c r="D29" s="39">
        <v>-0.02</v>
      </c>
      <c r="E29" s="39">
        <v>-0.05</v>
      </c>
      <c r="F29" s="51">
        <v>0.06</v>
      </c>
      <c r="G29" s="39">
        <v>-7.0000000000000007E-2</v>
      </c>
      <c r="H29" s="39">
        <v>-0.03</v>
      </c>
      <c r="I29" s="39">
        <v>0.01</v>
      </c>
      <c r="J29" s="39">
        <v>0.06</v>
      </c>
      <c r="K29" s="51">
        <v>0</v>
      </c>
      <c r="L29" s="39">
        <v>0.12</v>
      </c>
      <c r="M29" s="39">
        <v>0.13</v>
      </c>
      <c r="N29" s="39">
        <v>0.03</v>
      </c>
      <c r="O29" s="39">
        <v>-0.09</v>
      </c>
      <c r="P29" s="51">
        <v>0.02</v>
      </c>
      <c r="Q29" s="39">
        <v>-7.0000000000000007E-2</v>
      </c>
      <c r="R29" s="39">
        <v>-0.02</v>
      </c>
      <c r="S29" s="39">
        <v>-0.05</v>
      </c>
      <c r="T29" s="39">
        <v>-0.05</v>
      </c>
      <c r="U29" s="51"/>
      <c r="V29" s="39"/>
      <c r="W29" s="39"/>
      <c r="X29" s="39"/>
      <c r="Y29" s="39"/>
      <c r="Z29" s="51"/>
    </row>
    <row r="30" spans="1:26" x14ac:dyDescent="0.25">
      <c r="A30" s="1" t="s">
        <v>155</v>
      </c>
      <c r="F30" s="48"/>
      <c r="K30" s="48"/>
      <c r="P30" s="48"/>
      <c r="U30" s="48"/>
      <c r="Z30" s="48"/>
    </row>
    <row r="31" spans="1:26" x14ac:dyDescent="0.25">
      <c r="A31" s="2" t="s">
        <v>53</v>
      </c>
      <c r="B31" s="14">
        <v>273</v>
      </c>
      <c r="C31" s="14">
        <v>285</v>
      </c>
      <c r="D31" s="14">
        <v>254</v>
      </c>
      <c r="E31" s="14">
        <v>494</v>
      </c>
      <c r="F31" s="54">
        <f>SUM(B31:E31)</f>
        <v>1306</v>
      </c>
      <c r="G31" s="14">
        <v>269</v>
      </c>
      <c r="H31" s="14">
        <v>295</v>
      </c>
      <c r="I31" s="14">
        <v>301</v>
      </c>
      <c r="J31" s="14">
        <v>662</v>
      </c>
      <c r="K31" s="54">
        <f>SUM(G31:J31)</f>
        <v>1527</v>
      </c>
      <c r="L31" s="14">
        <v>472</v>
      </c>
      <c r="M31" s="14">
        <v>464</v>
      </c>
      <c r="N31" s="14">
        <v>431</v>
      </c>
      <c r="O31" s="14">
        <v>839</v>
      </c>
      <c r="P31" s="54">
        <f>SUM(L31:O31)</f>
        <v>2206</v>
      </c>
      <c r="Q31" s="14">
        <v>499</v>
      </c>
      <c r="R31" s="14">
        <v>472</v>
      </c>
      <c r="S31" s="14">
        <v>402</v>
      </c>
      <c r="T31" s="14">
        <v>800</v>
      </c>
      <c r="U31" s="54">
        <f>SUM(Q31:T31)</f>
        <v>2173</v>
      </c>
      <c r="V31" s="14"/>
      <c r="W31" s="14"/>
      <c r="X31" s="14"/>
      <c r="Y31" s="14"/>
      <c r="Z31" s="54">
        <f>SUM(V31:Y31)</f>
        <v>0</v>
      </c>
    </row>
    <row r="32" spans="1:26" x14ac:dyDescent="0.25">
      <c r="A32" s="23" t="s">
        <v>140</v>
      </c>
      <c r="B32" s="23"/>
      <c r="C32" s="23"/>
      <c r="D32" s="23">
        <v>0.03</v>
      </c>
      <c r="E32" s="23">
        <v>-0.03</v>
      </c>
      <c r="F32" s="53">
        <v>0.18</v>
      </c>
      <c r="G32" s="23">
        <v>0.11</v>
      </c>
      <c r="H32" s="23">
        <v>0.11</v>
      </c>
      <c r="I32" s="23">
        <v>0.31</v>
      </c>
      <c r="J32" s="23">
        <v>0.39</v>
      </c>
      <c r="K32" s="53">
        <v>0.26</v>
      </c>
      <c r="L32" s="23">
        <v>0.67</v>
      </c>
      <c r="M32" s="23">
        <v>0.65</v>
      </c>
      <c r="N32" s="23">
        <v>0.42</v>
      </c>
      <c r="O32" s="23">
        <v>0.28000000000000003</v>
      </c>
      <c r="P32" s="53">
        <v>0.45</v>
      </c>
      <c r="Q32" s="23">
        <v>0.01</v>
      </c>
      <c r="R32" s="23">
        <v>-0.06</v>
      </c>
      <c r="S32" s="23">
        <v>-0.09</v>
      </c>
      <c r="T32" s="23">
        <v>-0.06</v>
      </c>
      <c r="U32" s="53"/>
      <c r="V32" s="23"/>
      <c r="W32" s="23"/>
      <c r="X32" s="23"/>
      <c r="Y32" s="23"/>
      <c r="Z32" s="53"/>
    </row>
    <row r="33" spans="1:26" ht="20" thickBot="1" x14ac:dyDescent="0.3">
      <c r="A33" s="45" t="s">
        <v>158</v>
      </c>
      <c r="B33" s="45"/>
      <c r="C33" s="45"/>
      <c r="D33" s="45">
        <v>-0.09</v>
      </c>
      <c r="E33" s="45">
        <v>-0.03</v>
      </c>
      <c r="F33" s="49">
        <v>0.1</v>
      </c>
      <c r="G33" s="45">
        <v>-0.02</v>
      </c>
      <c r="H33" s="45">
        <v>0.03</v>
      </c>
      <c r="I33" s="45">
        <v>0.18</v>
      </c>
      <c r="J33" s="45">
        <v>0.34</v>
      </c>
      <c r="K33" s="49">
        <v>0.17</v>
      </c>
      <c r="L33" s="45">
        <v>0.75</v>
      </c>
      <c r="M33" s="45">
        <v>0.56999999999999995</v>
      </c>
      <c r="N33" s="45">
        <v>0.43</v>
      </c>
      <c r="O33" s="45">
        <v>0.27</v>
      </c>
      <c r="P33" s="49">
        <v>0.44</v>
      </c>
      <c r="Q33" s="45">
        <v>0.06</v>
      </c>
      <c r="R33" s="45">
        <v>0.02</v>
      </c>
      <c r="S33" s="45">
        <v>-7.0000000000000007E-2</v>
      </c>
      <c r="T33" s="45">
        <v>-0.04</v>
      </c>
      <c r="U33" s="49"/>
      <c r="V33" s="45"/>
      <c r="W33" s="45"/>
      <c r="X33" s="45"/>
      <c r="Y33" s="45"/>
      <c r="Z33" s="49"/>
    </row>
    <row r="34" spans="1:26" x14ac:dyDescent="0.25">
      <c r="A34" s="1" t="s">
        <v>156</v>
      </c>
      <c r="B34" s="44"/>
      <c r="C34" s="44"/>
      <c r="D34" s="44"/>
      <c r="E34" s="44"/>
      <c r="F34" s="53"/>
      <c r="G34" s="44"/>
      <c r="H34" s="44"/>
      <c r="I34" s="44"/>
      <c r="J34" s="44"/>
      <c r="K34" s="53"/>
      <c r="L34" s="44"/>
      <c r="M34" s="44"/>
      <c r="N34" s="44"/>
      <c r="O34" s="44"/>
      <c r="P34" s="53"/>
      <c r="Q34" s="44"/>
      <c r="R34" s="44"/>
      <c r="S34" s="44"/>
      <c r="T34" s="44"/>
      <c r="U34" s="53"/>
      <c r="V34" s="44"/>
      <c r="W34" s="44"/>
      <c r="X34" s="44"/>
      <c r="Y34" s="44"/>
      <c r="Z34" s="53"/>
    </row>
    <row r="35" spans="1:26" x14ac:dyDescent="0.25">
      <c r="A35" s="2" t="s">
        <v>53</v>
      </c>
      <c r="B35" s="12">
        <f t="shared" ref="B35:Q35" si="0">B7+B11+B15+B19+B23+B27+B31</f>
        <v>4078</v>
      </c>
      <c r="C35" s="12">
        <f t="shared" si="0"/>
        <v>4048</v>
      </c>
      <c r="D35" s="12">
        <f t="shared" si="0"/>
        <v>3679</v>
      </c>
      <c r="E35" s="12">
        <f t="shared" si="0"/>
        <v>6993</v>
      </c>
      <c r="F35" s="54">
        <f>SUM(B35:E35)</f>
        <v>18798</v>
      </c>
      <c r="G35" s="12">
        <f t="shared" si="0"/>
        <v>3957</v>
      </c>
      <c r="H35" s="12">
        <f t="shared" si="0"/>
        <v>3974</v>
      </c>
      <c r="I35" s="12">
        <f t="shared" si="0"/>
        <v>3665</v>
      </c>
      <c r="J35" s="12">
        <f t="shared" si="0"/>
        <v>7520</v>
      </c>
      <c r="K35" s="54">
        <f>SUM(G35:J35)</f>
        <v>19116</v>
      </c>
      <c r="L35" s="12">
        <f t="shared" si="0"/>
        <v>4505</v>
      </c>
      <c r="M35" s="12">
        <f t="shared" si="0"/>
        <v>4489</v>
      </c>
      <c r="N35" s="12">
        <f t="shared" si="0"/>
        <v>3939</v>
      </c>
      <c r="O35" s="12">
        <f t="shared" si="0"/>
        <v>8117</v>
      </c>
      <c r="P35" s="54">
        <f>SUM(L35:O35)</f>
        <v>21050</v>
      </c>
      <c r="Q35" s="12">
        <f t="shared" si="0"/>
        <v>4824</v>
      </c>
      <c r="R35" s="12">
        <f>R7+R11+R15+R19+R23+R27+R31</f>
        <v>4614</v>
      </c>
      <c r="S35" s="12">
        <f>S7+S11+S15+S19+S23+S27+S31</f>
        <v>3926</v>
      </c>
      <c r="T35" s="12">
        <f>T7+T11+T15+T19+T23+T27+T31</f>
        <v>7800</v>
      </c>
      <c r="U35" s="54">
        <f>SUM(Q35:T35)</f>
        <v>21164</v>
      </c>
      <c r="V35" s="12">
        <f>V7+V11+V15+V19+V23+V27+V31</f>
        <v>0</v>
      </c>
      <c r="W35" s="12">
        <f>W7+W11+W15+W19+W23+W27+W31</f>
        <v>0</v>
      </c>
      <c r="X35" s="12">
        <f>X7+X11+X15+X19+X23+X27+X31</f>
        <v>0</v>
      </c>
      <c r="Y35" s="12">
        <f>Y7+Y11+Y15+Y19+Y23+Y27+Y31</f>
        <v>0</v>
      </c>
      <c r="Z35" s="54">
        <f>SUM(V35:Y35)</f>
        <v>0</v>
      </c>
    </row>
    <row r="36" spans="1:26" x14ac:dyDescent="0.25">
      <c r="A36" s="23" t="s">
        <v>140</v>
      </c>
      <c r="B36" s="44"/>
      <c r="C36" s="44"/>
      <c r="D36" s="44">
        <v>-0.04</v>
      </c>
      <c r="E36" s="44">
        <v>-0.05</v>
      </c>
      <c r="F36" s="53">
        <v>-0.02</v>
      </c>
      <c r="G36" s="44">
        <v>-0.05</v>
      </c>
      <c r="H36" s="44">
        <v>-0.02</v>
      </c>
      <c r="I36" s="44">
        <v>0.03</v>
      </c>
      <c r="J36" s="44">
        <v>0.06</v>
      </c>
      <c r="K36" s="53">
        <v>0.01</v>
      </c>
      <c r="L36" s="44">
        <v>7.0000000000000007E-2</v>
      </c>
      <c r="M36" s="44">
        <v>0.05</v>
      </c>
      <c r="N36" s="44">
        <v>0.03</v>
      </c>
      <c r="O36" s="44">
        <v>0.03</v>
      </c>
      <c r="P36" s="53">
        <v>0.04</v>
      </c>
      <c r="Q36" s="44">
        <v>0.04</v>
      </c>
      <c r="R36" s="44">
        <v>0.01</v>
      </c>
      <c r="S36" s="44">
        <v>0</v>
      </c>
      <c r="T36" s="44">
        <v>-0.02</v>
      </c>
      <c r="U36" s="53"/>
      <c r="V36" s="44"/>
      <c r="W36" s="44"/>
      <c r="X36" s="44"/>
      <c r="Y36" s="44"/>
      <c r="Z36" s="53"/>
    </row>
    <row r="37" spans="1:26" x14ac:dyDescent="0.25">
      <c r="A37" s="39" t="s">
        <v>158</v>
      </c>
      <c r="B37" s="40"/>
      <c r="C37" s="40"/>
      <c r="D37" s="40">
        <v>-0.02</v>
      </c>
      <c r="E37" s="40">
        <v>-0.01</v>
      </c>
      <c r="F37" s="51">
        <v>0.01</v>
      </c>
      <c r="G37" s="40">
        <v>-0.05</v>
      </c>
      <c r="H37" s="40">
        <v>-0.01</v>
      </c>
      <c r="I37" s="40">
        <v>0.04</v>
      </c>
      <c r="J37" s="40">
        <v>0.08</v>
      </c>
      <c r="K37" s="51">
        <v>0.02</v>
      </c>
      <c r="L37" s="40">
        <v>0.13</v>
      </c>
      <c r="M37" s="40">
        <v>0.11</v>
      </c>
      <c r="N37" s="40">
        <v>7.0000000000000007E-2</v>
      </c>
      <c r="O37" s="40">
        <v>0.06</v>
      </c>
      <c r="P37" s="51">
        <v>0.09</v>
      </c>
      <c r="Q37" s="40">
        <v>0.04</v>
      </c>
      <c r="R37" s="40">
        <v>0.05</v>
      </c>
      <c r="S37" s="40">
        <v>0.02</v>
      </c>
      <c r="T37" s="40">
        <v>0.02</v>
      </c>
      <c r="U37" s="51"/>
      <c r="V37" s="40"/>
      <c r="W37" s="40"/>
      <c r="X37" s="40"/>
      <c r="Y37" s="40"/>
      <c r="Z37" s="51"/>
    </row>
    <row r="38" spans="1:26" x14ac:dyDescent="0.25">
      <c r="A38" s="1" t="s">
        <v>157</v>
      </c>
      <c r="F38" s="48"/>
      <c r="K38" s="48"/>
      <c r="P38" s="48"/>
      <c r="U38" s="48"/>
      <c r="Z38" s="48"/>
    </row>
    <row r="39" spans="1:26" x14ac:dyDescent="0.25">
      <c r="A39" s="2" t="s">
        <v>53</v>
      </c>
      <c r="B39" s="12">
        <v>1612</v>
      </c>
      <c r="C39" s="12">
        <v>1607</v>
      </c>
      <c r="D39" s="12">
        <v>1585</v>
      </c>
      <c r="E39" s="12">
        <v>2865</v>
      </c>
      <c r="F39" s="54">
        <f>SUM(B39:E39)</f>
        <v>7669</v>
      </c>
      <c r="G39" s="12">
        <v>1892</v>
      </c>
      <c r="H39" s="12">
        <v>1922</v>
      </c>
      <c r="I39" s="12">
        <v>1906</v>
      </c>
      <c r="J39" s="12">
        <v>3341</v>
      </c>
      <c r="K39" s="54">
        <f>SUM(G39:J39)</f>
        <v>9061</v>
      </c>
      <c r="L39" s="12">
        <v>2328</v>
      </c>
      <c r="M39" s="12">
        <v>2281</v>
      </c>
      <c r="N39" s="12">
        <v>2165</v>
      </c>
      <c r="O39" s="12">
        <v>3856</v>
      </c>
      <c r="P39" s="54">
        <f>SUM(L39:O39)</f>
        <v>10630</v>
      </c>
      <c r="Q39" s="12">
        <v>2523</v>
      </c>
      <c r="R39" s="12">
        <v>2460</v>
      </c>
      <c r="S39" s="12">
        <v>2344</v>
      </c>
      <c r="T39" s="12">
        <v>4000</v>
      </c>
      <c r="U39" s="54">
        <f>SUM(Q39:T39)</f>
        <v>11327</v>
      </c>
      <c r="V39" s="12"/>
      <c r="W39" s="12"/>
      <c r="X39" s="12"/>
      <c r="Y39" s="12"/>
      <c r="Z39" s="54">
        <f>SUM(V39:Y39)</f>
        <v>0</v>
      </c>
    </row>
    <row r="40" spans="1:26" x14ac:dyDescent="0.25">
      <c r="A40" s="23" t="s">
        <v>140</v>
      </c>
      <c r="B40" s="44"/>
      <c r="C40" s="44"/>
      <c r="D40" s="44">
        <v>0.17</v>
      </c>
      <c r="E40" s="44">
        <v>0.14000000000000001</v>
      </c>
      <c r="F40" s="53">
        <v>0.21</v>
      </c>
      <c r="G40" s="44">
        <v>0.12</v>
      </c>
      <c r="H40" s="44">
        <v>0.12</v>
      </c>
      <c r="I40" s="44">
        <v>0.22</v>
      </c>
      <c r="J40" s="44">
        <v>0.16</v>
      </c>
      <c r="K40" s="53">
        <v>0.16</v>
      </c>
      <c r="L40" s="44">
        <v>0.18</v>
      </c>
      <c r="M40" s="44">
        <v>0.13</v>
      </c>
      <c r="N40" s="44">
        <v>0.14000000000000001</v>
      </c>
      <c r="O40" s="44">
        <v>0.11</v>
      </c>
      <c r="P40" s="53">
        <v>0.13</v>
      </c>
      <c r="Q40" s="44">
        <v>0.08</v>
      </c>
      <c r="R40" s="44">
        <v>0.06</v>
      </c>
      <c r="S40" s="44">
        <v>0.06</v>
      </c>
      <c r="T40" s="44">
        <v>0.04</v>
      </c>
      <c r="U40" s="53"/>
      <c r="V40" s="44"/>
      <c r="W40" s="44"/>
      <c r="X40" s="44"/>
      <c r="Y40" s="44"/>
      <c r="Z40" s="53"/>
    </row>
    <row r="41" spans="1:26" x14ac:dyDescent="0.25">
      <c r="A41" s="39" t="s">
        <v>158</v>
      </c>
      <c r="B41" s="40"/>
      <c r="C41" s="40"/>
      <c r="D41" s="40">
        <v>0.15</v>
      </c>
      <c r="E41" s="40">
        <v>0.18</v>
      </c>
      <c r="F41" s="51">
        <v>0.23</v>
      </c>
      <c r="G41" s="40">
        <v>0.15</v>
      </c>
      <c r="H41" s="40">
        <v>0.21</v>
      </c>
      <c r="I41" s="40">
        <v>0.27</v>
      </c>
      <c r="J41" s="40">
        <v>0.2</v>
      </c>
      <c r="K41" s="51">
        <v>0.21</v>
      </c>
      <c r="L41" s="40">
        <v>0.28999999999999998</v>
      </c>
      <c r="M41" s="40">
        <v>0.24</v>
      </c>
      <c r="N41" s="40">
        <v>0.19</v>
      </c>
      <c r="O41" s="40">
        <v>0.21</v>
      </c>
      <c r="P41" s="51">
        <v>0.23</v>
      </c>
      <c r="Q41" s="40">
        <v>0.11</v>
      </c>
      <c r="R41" s="40">
        <v>0.13</v>
      </c>
      <c r="S41" s="40">
        <v>0.13</v>
      </c>
      <c r="T41" s="40">
        <v>0.08</v>
      </c>
      <c r="U41" s="51"/>
      <c r="V41" s="40"/>
      <c r="W41" s="40"/>
      <c r="X41" s="40"/>
      <c r="Y41" s="40"/>
      <c r="Z41" s="51"/>
    </row>
    <row r="42" spans="1:26" x14ac:dyDescent="0.25">
      <c r="A42" s="1" t="s">
        <v>143</v>
      </c>
      <c r="F42" s="48"/>
      <c r="K42" s="48"/>
      <c r="P42" s="48"/>
      <c r="U42" s="48"/>
      <c r="Z42" s="48"/>
    </row>
    <row r="43" spans="1:26" x14ac:dyDescent="0.25">
      <c r="A43" s="1" t="s">
        <v>53</v>
      </c>
      <c r="B43" s="12">
        <f t="shared" ref="B43:Q43" si="1">B35+B39</f>
        <v>5690</v>
      </c>
      <c r="C43" s="12">
        <f t="shared" si="1"/>
        <v>5655</v>
      </c>
      <c r="D43" s="12">
        <f t="shared" si="1"/>
        <v>5264</v>
      </c>
      <c r="E43" s="12">
        <f t="shared" si="1"/>
        <v>9858</v>
      </c>
      <c r="F43" s="54">
        <f>SUM(B43:E43)</f>
        <v>26467</v>
      </c>
      <c r="G43" s="12">
        <f t="shared" si="1"/>
        <v>5849</v>
      </c>
      <c r="H43" s="12">
        <f t="shared" si="1"/>
        <v>5896</v>
      </c>
      <c r="I43" s="12">
        <f t="shared" si="1"/>
        <v>5571</v>
      </c>
      <c r="J43" s="12">
        <f t="shared" si="1"/>
        <v>10861</v>
      </c>
      <c r="K43" s="54">
        <f>SUM(G43:J43)</f>
        <v>28177</v>
      </c>
      <c r="L43" s="12">
        <f t="shared" si="1"/>
        <v>6833</v>
      </c>
      <c r="M43" s="12">
        <f t="shared" si="1"/>
        <v>6770</v>
      </c>
      <c r="N43" s="12">
        <f t="shared" si="1"/>
        <v>6104</v>
      </c>
      <c r="O43" s="12">
        <f t="shared" si="1"/>
        <v>11973</v>
      </c>
      <c r="P43" s="54">
        <f>SUM(L43:O43)</f>
        <v>31680</v>
      </c>
      <c r="Q43" s="12">
        <f t="shared" si="1"/>
        <v>7347</v>
      </c>
      <c r="R43" s="12">
        <f>R35+R39</f>
        <v>7074</v>
      </c>
      <c r="S43" s="12">
        <f>S35+S39</f>
        <v>6270</v>
      </c>
      <c r="T43" s="12">
        <f>T35+T39</f>
        <v>11800</v>
      </c>
      <c r="U43" s="54">
        <f>SUM(Q43:T43)</f>
        <v>32491</v>
      </c>
      <c r="V43" s="12">
        <f>V35+V39</f>
        <v>0</v>
      </c>
      <c r="W43" s="12">
        <f>W35+W39</f>
        <v>0</v>
      </c>
      <c r="X43" s="12">
        <f>X35+X39</f>
        <v>0</v>
      </c>
      <c r="Y43" s="12">
        <f>Y35+Y39</f>
        <v>0</v>
      </c>
      <c r="Z43" s="54">
        <f>SUM(V43:Y43)</f>
        <v>0</v>
      </c>
    </row>
    <row r="44" spans="1:26" x14ac:dyDescent="0.25">
      <c r="A44" s="44" t="s">
        <v>140</v>
      </c>
      <c r="B44" s="44"/>
      <c r="C44" s="44"/>
      <c r="D44" s="44">
        <v>0.01</v>
      </c>
      <c r="E44" s="44">
        <v>-0.01</v>
      </c>
      <c r="F44" s="53">
        <v>0.04</v>
      </c>
      <c r="G44" s="44">
        <v>0</v>
      </c>
      <c r="H44" s="44">
        <v>0.01</v>
      </c>
      <c r="I44" s="44">
        <v>0.03</v>
      </c>
      <c r="J44" s="44">
        <v>0.09</v>
      </c>
      <c r="K44" s="53">
        <v>0.06</v>
      </c>
      <c r="L44" s="44">
        <v>0.11</v>
      </c>
      <c r="M44" s="44">
        <v>0.08</v>
      </c>
      <c r="N44" s="44">
        <v>7.0000000000000007E-2</v>
      </c>
      <c r="O44" s="44">
        <v>0.06</v>
      </c>
      <c r="P44" s="53">
        <v>7.0000000000000007E-2</v>
      </c>
      <c r="Q44" s="44">
        <v>0.06</v>
      </c>
      <c r="R44" s="44">
        <v>0.03</v>
      </c>
      <c r="S44" s="44">
        <v>0.02</v>
      </c>
      <c r="T44" s="44">
        <v>0</v>
      </c>
      <c r="U44" s="53"/>
      <c r="V44" s="44"/>
      <c r="W44" s="44"/>
      <c r="X44" s="44"/>
      <c r="Y44" s="44"/>
      <c r="Z44" s="53"/>
    </row>
    <row r="45" spans="1:26" x14ac:dyDescent="0.25">
      <c r="A45" s="40" t="s">
        <v>158</v>
      </c>
      <c r="B45" s="40"/>
      <c r="C45" s="40"/>
      <c r="D45" s="40">
        <v>0.03</v>
      </c>
      <c r="E45" s="40">
        <v>0.04</v>
      </c>
      <c r="F45" s="51">
        <v>7.0000000000000007E-2</v>
      </c>
      <c r="G45" s="40">
        <v>0.01</v>
      </c>
      <c r="H45" s="40">
        <v>0.03</v>
      </c>
      <c r="I45" s="40">
        <v>0.05</v>
      </c>
      <c r="J45" s="40">
        <v>0.12</v>
      </c>
      <c r="K45" s="51">
        <v>0.08</v>
      </c>
      <c r="L45" s="40">
        <v>0.18</v>
      </c>
      <c r="M45" s="40">
        <v>0.15</v>
      </c>
      <c r="N45" s="40">
        <v>0.11</v>
      </c>
      <c r="O45" s="40">
        <v>0.11</v>
      </c>
      <c r="P45" s="51">
        <v>0.13</v>
      </c>
      <c r="Q45" s="40">
        <v>7.0000000000000007E-2</v>
      </c>
      <c r="R45" s="40">
        <v>0.08</v>
      </c>
      <c r="S45" s="40">
        <v>0.06</v>
      </c>
      <c r="T45" s="40">
        <v>0.04</v>
      </c>
      <c r="U45" s="51"/>
      <c r="V45" s="40"/>
      <c r="W45" s="40"/>
      <c r="X45" s="40"/>
      <c r="Y45" s="40"/>
      <c r="Z45" s="5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D4" sqref="D4:D6"/>
    </sheetView>
  </sheetViews>
  <sheetFormatPr baseColWidth="10" defaultRowHeight="16" x14ac:dyDescent="0.2"/>
  <cols>
    <col min="3" max="3" width="29.5" bestFit="1" customWidth="1"/>
    <col min="4" max="4" width="28.5" bestFit="1" customWidth="1"/>
    <col min="5" max="6" width="20.6640625" bestFit="1" customWidth="1"/>
    <col min="7" max="7" width="18.6640625" bestFit="1" customWidth="1"/>
  </cols>
  <sheetData>
    <row r="4" spans="3:6" ht="62" x14ac:dyDescent="0.7">
      <c r="C4" s="27"/>
      <c r="D4" s="27">
        <v>2026</v>
      </c>
      <c r="E4" s="27">
        <v>2027</v>
      </c>
      <c r="F4" s="27">
        <v>2028</v>
      </c>
    </row>
    <row r="5" spans="3:6" ht="62" x14ac:dyDescent="0.7">
      <c r="C5" s="27" t="s">
        <v>29</v>
      </c>
      <c r="D5" s="34">
        <f>Modell!$B$9/Modell!AJ9</f>
        <v>7.2788585021178225</v>
      </c>
      <c r="E5" s="34">
        <f>Modell!$B$9/Modell!AK9</f>
        <v>6.8059714460028466</v>
      </c>
      <c r="F5" s="34">
        <f>Modell!$B$9/Modell!AL9</f>
        <v>6.4111482472603907</v>
      </c>
    </row>
    <row r="6" spans="3:6" ht="62" x14ac:dyDescent="0.7">
      <c r="C6" s="27" t="s">
        <v>30</v>
      </c>
      <c r="D6" s="34">
        <f>Modell!$B$4/Modell!AJ16</f>
        <v>8.4737917955031641</v>
      </c>
      <c r="E6" s="34">
        <f>Modell!$B$4/Modell!AK16</f>
        <v>7.8650277507287765</v>
      </c>
      <c r="F6" s="34">
        <f>Modell!$B$4/Modell!AL16</f>
        <v>7.3650489654032762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HG22"/>
  <sheetViews>
    <sheetView showGridLines="0" workbookViewId="0">
      <pane xSplit="3" ySplit="3" topLeftCell="J4" activePane="bottomRight" state="frozen"/>
      <selection pane="topRight" activeCell="D1" sqref="D1"/>
      <selection pane="bottomLeft" activeCell="A4" sqref="A4"/>
      <selection pane="bottomRight" activeCell="N35" sqref="N35"/>
    </sheetView>
  </sheetViews>
  <sheetFormatPr baseColWidth="10" defaultRowHeight="19" x14ac:dyDescent="0.25"/>
  <cols>
    <col min="1" max="1" width="13.1640625" style="2" customWidth="1"/>
    <col min="2" max="2" width="19.6640625" style="4" customWidth="1"/>
    <col min="3" max="3" width="31.5" style="2" customWidth="1"/>
    <col min="4" max="25" width="10.83203125" style="2"/>
    <col min="26" max="26" width="14.1640625" style="2" bestFit="1" customWidth="1"/>
    <col min="27" max="27" width="15.33203125" style="2" bestFit="1" customWidth="1"/>
    <col min="28" max="16384" width="10.83203125" style="2"/>
  </cols>
  <sheetData>
    <row r="3" spans="1:215" x14ac:dyDescent="0.25">
      <c r="A3" s="1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32</v>
      </c>
      <c r="I3" s="7" t="s">
        <v>33</v>
      </c>
      <c r="J3" s="7" t="s">
        <v>34</v>
      </c>
      <c r="K3" s="7" t="s">
        <v>15</v>
      </c>
      <c r="L3" s="7" t="s">
        <v>16</v>
      </c>
      <c r="M3" s="7" t="s">
        <v>17</v>
      </c>
      <c r="N3" s="1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</row>
    <row r="4" spans="1:215" x14ac:dyDescent="0.25">
      <c r="A4" s="1" t="s">
        <v>132</v>
      </c>
      <c r="C4" s="1" t="s">
        <v>53</v>
      </c>
      <c r="D4" s="12">
        <v>16737</v>
      </c>
      <c r="E4" s="12">
        <v>20281</v>
      </c>
      <c r="F4" s="12">
        <v>22781</v>
      </c>
      <c r="G4" s="12">
        <v>22806</v>
      </c>
      <c r="H4" s="12">
        <v>21868</v>
      </c>
      <c r="I4" s="12">
        <v>19009</v>
      </c>
      <c r="J4" s="12">
        <v>23394</v>
      </c>
      <c r="K4" s="12">
        <v>26463</v>
      </c>
      <c r="L4" s="12">
        <v>28136</v>
      </c>
      <c r="M4" s="12">
        <v>31680</v>
      </c>
      <c r="N4" s="13">
        <f>M4*1.06</f>
        <v>33580.800000000003</v>
      </c>
      <c r="O4" s="12">
        <f>N4</f>
        <v>33580.800000000003</v>
      </c>
      <c r="P4" s="12">
        <f t="shared" ref="P4:X4" si="0">O4</f>
        <v>33580.800000000003</v>
      </c>
      <c r="Q4" s="12">
        <f t="shared" si="0"/>
        <v>33580.800000000003</v>
      </c>
      <c r="R4" s="12">
        <f t="shared" si="0"/>
        <v>33580.800000000003</v>
      </c>
      <c r="S4" s="12">
        <f t="shared" si="0"/>
        <v>33580.800000000003</v>
      </c>
      <c r="T4" s="12">
        <f t="shared" si="0"/>
        <v>33580.800000000003</v>
      </c>
      <c r="U4" s="12">
        <f t="shared" si="0"/>
        <v>33580.800000000003</v>
      </c>
      <c r="V4" s="12">
        <f t="shared" si="0"/>
        <v>33580.800000000003</v>
      </c>
      <c r="W4" s="12">
        <f t="shared" si="0"/>
        <v>33580.800000000003</v>
      </c>
      <c r="X4" s="12">
        <f t="shared" si="0"/>
        <v>33580.800000000003</v>
      </c>
    </row>
    <row r="5" spans="1:215" x14ac:dyDescent="0.25">
      <c r="A5" s="33">
        <f>AA21</f>
        <v>557.23600619460524</v>
      </c>
      <c r="C5" s="2" t="s">
        <v>54</v>
      </c>
      <c r="D5" s="14">
        <v>-4544</v>
      </c>
      <c r="E5" s="14">
        <v>-5058</v>
      </c>
      <c r="F5" s="14">
        <v>-5815</v>
      </c>
      <c r="G5" s="14">
        <v>-5864</v>
      </c>
      <c r="H5" s="14">
        <v>-5966</v>
      </c>
      <c r="I5" s="14">
        <v>-4634</v>
      </c>
      <c r="J5" s="14">
        <v>-5590</v>
      </c>
      <c r="K5" s="14">
        <v>-6273</v>
      </c>
      <c r="L5" s="14">
        <v>-6012</v>
      </c>
      <c r="M5" s="14">
        <v>-6391</v>
      </c>
      <c r="N5" s="15">
        <f>N4*-0.205</f>
        <v>-6884.0640000000003</v>
      </c>
      <c r="O5" s="14">
        <f>O4*-0.28</f>
        <v>-9402.6240000000016</v>
      </c>
      <c r="P5" s="14">
        <f t="shared" ref="P5:X5" si="1">P4*-0.28</f>
        <v>-9402.6240000000016</v>
      </c>
      <c r="Q5" s="14">
        <f t="shared" si="1"/>
        <v>-9402.6240000000016</v>
      </c>
      <c r="R5" s="14">
        <f t="shared" si="1"/>
        <v>-9402.6240000000016</v>
      </c>
      <c r="S5" s="14">
        <f t="shared" si="1"/>
        <v>-9402.6240000000016</v>
      </c>
      <c r="T5" s="14">
        <f t="shared" si="1"/>
        <v>-9402.6240000000016</v>
      </c>
      <c r="U5" s="14">
        <f t="shared" si="1"/>
        <v>-9402.6240000000016</v>
      </c>
      <c r="V5" s="14">
        <f t="shared" si="1"/>
        <v>-9402.6240000000016</v>
      </c>
      <c r="W5" s="14">
        <f t="shared" si="1"/>
        <v>-9402.6240000000016</v>
      </c>
      <c r="X5" s="14">
        <f t="shared" si="1"/>
        <v>-9402.6240000000016</v>
      </c>
    </row>
    <row r="6" spans="1:215" x14ac:dyDescent="0.25">
      <c r="A6" s="24">
        <f>AA22</f>
        <v>0.16090834623876091</v>
      </c>
      <c r="C6" s="2" t="s">
        <v>55</v>
      </c>
      <c r="D6" s="14">
        <f t="shared" ref="D6:M6" si="2">SUM(D4:D5)</f>
        <v>12193</v>
      </c>
      <c r="E6" s="14">
        <f t="shared" si="2"/>
        <v>15223</v>
      </c>
      <c r="F6" s="14">
        <f t="shared" si="2"/>
        <v>16966</v>
      </c>
      <c r="G6" s="14">
        <f t="shared" si="2"/>
        <v>16942</v>
      </c>
      <c r="H6" s="14">
        <f t="shared" si="2"/>
        <v>15902</v>
      </c>
      <c r="I6" s="14">
        <f t="shared" si="2"/>
        <v>14375</v>
      </c>
      <c r="J6" s="14">
        <f t="shared" si="2"/>
        <v>17804</v>
      </c>
      <c r="K6" s="14">
        <f t="shared" si="2"/>
        <v>20190</v>
      </c>
      <c r="L6" s="14">
        <f t="shared" si="2"/>
        <v>22124</v>
      </c>
      <c r="M6" s="14">
        <f t="shared" si="2"/>
        <v>25289</v>
      </c>
      <c r="N6" s="15">
        <f>SUM(N4:N5)</f>
        <v>26696.736000000004</v>
      </c>
      <c r="O6" s="14">
        <f t="shared" ref="O6:X6" si="3">SUM(O4:O5)</f>
        <v>24178.175999999999</v>
      </c>
      <c r="P6" s="14">
        <f t="shared" si="3"/>
        <v>24178.175999999999</v>
      </c>
      <c r="Q6" s="14">
        <f t="shared" si="3"/>
        <v>24178.175999999999</v>
      </c>
      <c r="R6" s="14">
        <f t="shared" si="3"/>
        <v>24178.175999999999</v>
      </c>
      <c r="S6" s="14">
        <f t="shared" si="3"/>
        <v>24178.175999999999</v>
      </c>
      <c r="T6" s="14">
        <f t="shared" si="3"/>
        <v>24178.175999999999</v>
      </c>
      <c r="U6" s="14">
        <f t="shared" si="3"/>
        <v>24178.175999999999</v>
      </c>
      <c r="V6" s="14">
        <f t="shared" si="3"/>
        <v>24178.175999999999</v>
      </c>
      <c r="W6" s="14">
        <f t="shared" si="3"/>
        <v>24178.175999999999</v>
      </c>
      <c r="X6" s="14">
        <f t="shared" si="3"/>
        <v>24178.175999999999</v>
      </c>
    </row>
    <row r="7" spans="1:215" x14ac:dyDescent="0.25">
      <c r="C7" s="2" t="s">
        <v>56</v>
      </c>
      <c r="D7" s="14">
        <v>-4722</v>
      </c>
      <c r="E7" s="14">
        <v>-5838</v>
      </c>
      <c r="F7" s="14">
        <v>-7045</v>
      </c>
      <c r="G7" s="14">
        <v>-8222</v>
      </c>
      <c r="H7" s="14">
        <v>-9305</v>
      </c>
      <c r="I7" s="14">
        <v>-9155</v>
      </c>
      <c r="J7" s="14">
        <v>-9939</v>
      </c>
      <c r="K7" s="14">
        <v>-11322</v>
      </c>
      <c r="L7" s="14">
        <v>-12707</v>
      </c>
      <c r="M7" s="14">
        <v>-14844</v>
      </c>
      <c r="N7" s="15">
        <f>M7*1.06</f>
        <v>-15734.640000000001</v>
      </c>
      <c r="O7" s="14">
        <f>N7*1.05</f>
        <v>-16521.372000000003</v>
      </c>
      <c r="P7" s="14">
        <f>O7</f>
        <v>-16521.372000000003</v>
      </c>
      <c r="Q7" s="14">
        <f t="shared" ref="Q7:X7" si="4">P7</f>
        <v>-16521.372000000003</v>
      </c>
      <c r="R7" s="14">
        <f t="shared" si="4"/>
        <v>-16521.372000000003</v>
      </c>
      <c r="S7" s="14">
        <f t="shared" si="4"/>
        <v>-16521.372000000003</v>
      </c>
      <c r="T7" s="14">
        <f t="shared" si="4"/>
        <v>-16521.372000000003</v>
      </c>
      <c r="U7" s="14">
        <f t="shared" si="4"/>
        <v>-16521.372000000003</v>
      </c>
      <c r="V7" s="14">
        <f t="shared" si="4"/>
        <v>-16521.372000000003</v>
      </c>
      <c r="W7" s="14">
        <f t="shared" si="4"/>
        <v>-16521.372000000003</v>
      </c>
      <c r="X7" s="14">
        <f t="shared" si="4"/>
        <v>-16521.372000000003</v>
      </c>
    </row>
    <row r="8" spans="1:215" x14ac:dyDescent="0.25">
      <c r="C8" s="2" t="s">
        <v>57</v>
      </c>
      <c r="D8" s="14">
        <v>-1657</v>
      </c>
      <c r="E8" s="14">
        <v>-1981</v>
      </c>
      <c r="F8" s="14">
        <v>-2137</v>
      </c>
      <c r="G8" s="14">
        <v>-2289</v>
      </c>
      <c r="H8" s="14">
        <v>-2770</v>
      </c>
      <c r="I8" s="14">
        <v>-2536</v>
      </c>
      <c r="J8" s="14">
        <v>-2026</v>
      </c>
      <c r="K8" s="14">
        <v>-2125</v>
      </c>
      <c r="L8" s="14">
        <v>-2379</v>
      </c>
      <c r="M8" s="14">
        <v>-2471</v>
      </c>
      <c r="N8" s="15">
        <f>M8*1.06</f>
        <v>-2619.2600000000002</v>
      </c>
      <c r="O8" s="14">
        <f>N8*1.05</f>
        <v>-2750.2230000000004</v>
      </c>
      <c r="P8" s="14">
        <f>O8</f>
        <v>-2750.2230000000004</v>
      </c>
      <c r="Q8" s="14">
        <f t="shared" ref="Q8:X8" si="5">P8</f>
        <v>-2750.2230000000004</v>
      </c>
      <c r="R8" s="14">
        <f t="shared" si="5"/>
        <v>-2750.2230000000004</v>
      </c>
      <c r="S8" s="14">
        <f t="shared" si="5"/>
        <v>-2750.2230000000004</v>
      </c>
      <c r="T8" s="14">
        <f t="shared" si="5"/>
        <v>-2750.2230000000004</v>
      </c>
      <c r="U8" s="14">
        <f t="shared" si="5"/>
        <v>-2750.2230000000004</v>
      </c>
      <c r="V8" s="14">
        <f t="shared" si="5"/>
        <v>-2750.2230000000004</v>
      </c>
      <c r="W8" s="14">
        <f t="shared" si="5"/>
        <v>-2750.2230000000004</v>
      </c>
      <c r="X8" s="14">
        <f t="shared" si="5"/>
        <v>-2750.2230000000004</v>
      </c>
    </row>
    <row r="9" spans="1:215" x14ac:dyDescent="0.25">
      <c r="C9" s="1" t="s">
        <v>58</v>
      </c>
      <c r="D9" s="12">
        <f t="shared" ref="D9:M9" si="6">SUM(D6:D8)</f>
        <v>5814</v>
      </c>
      <c r="E9" s="12">
        <f t="shared" si="6"/>
        <v>7404</v>
      </c>
      <c r="F9" s="12">
        <f t="shared" si="6"/>
        <v>7784</v>
      </c>
      <c r="G9" s="12">
        <f t="shared" si="6"/>
        <v>6431</v>
      </c>
      <c r="H9" s="12">
        <f t="shared" si="6"/>
        <v>3827</v>
      </c>
      <c r="I9" s="12">
        <f t="shared" si="6"/>
        <v>2684</v>
      </c>
      <c r="J9" s="12">
        <f t="shared" si="6"/>
        <v>5839</v>
      </c>
      <c r="K9" s="12">
        <f t="shared" si="6"/>
        <v>6743</v>
      </c>
      <c r="L9" s="12">
        <f t="shared" si="6"/>
        <v>7038</v>
      </c>
      <c r="M9" s="12">
        <f t="shared" si="6"/>
        <v>7974</v>
      </c>
      <c r="N9" s="13">
        <f>SUM(N6:N8)</f>
        <v>8342.836000000003</v>
      </c>
      <c r="O9" s="12">
        <f t="shared" ref="O9:X9" si="7">SUM(O6:O8)</f>
        <v>4906.5809999999965</v>
      </c>
      <c r="P9" s="12">
        <f t="shared" si="7"/>
        <v>4906.5809999999965</v>
      </c>
      <c r="Q9" s="12">
        <f t="shared" si="7"/>
        <v>4906.5809999999965</v>
      </c>
      <c r="R9" s="12">
        <f t="shared" si="7"/>
        <v>4906.5809999999965</v>
      </c>
      <c r="S9" s="12">
        <f t="shared" si="7"/>
        <v>4906.5809999999965</v>
      </c>
      <c r="T9" s="12">
        <f t="shared" si="7"/>
        <v>4906.5809999999965</v>
      </c>
      <c r="U9" s="12">
        <f t="shared" si="7"/>
        <v>4906.5809999999965</v>
      </c>
      <c r="V9" s="12">
        <f t="shared" si="7"/>
        <v>4906.5809999999965</v>
      </c>
      <c r="W9" s="12">
        <f t="shared" si="7"/>
        <v>4906.5809999999965</v>
      </c>
      <c r="X9" s="12">
        <f t="shared" si="7"/>
        <v>4906.5809999999965</v>
      </c>
    </row>
    <row r="10" spans="1:215" x14ac:dyDescent="0.25">
      <c r="C10" s="2" t="s">
        <v>59</v>
      </c>
      <c r="D10" s="14">
        <v>84</v>
      </c>
      <c r="E10" s="14">
        <v>328</v>
      </c>
      <c r="F10" s="14">
        <v>198</v>
      </c>
      <c r="G10" s="14">
        <v>533</v>
      </c>
      <c r="H10" s="14">
        <v>351</v>
      </c>
      <c r="I10" s="14">
        <v>316</v>
      </c>
      <c r="J10" s="14">
        <v>152</v>
      </c>
      <c r="K10" s="14">
        <v>412</v>
      </c>
      <c r="L10" s="14">
        <v>251</v>
      </c>
      <c r="M10" s="14">
        <v>248</v>
      </c>
      <c r="N10" s="15">
        <v>230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</row>
    <row r="11" spans="1:215" x14ac:dyDescent="0.25">
      <c r="C11" s="2" t="s">
        <v>60</v>
      </c>
      <c r="D11" s="14">
        <v>-553</v>
      </c>
      <c r="E11" s="14">
        <v>-82</v>
      </c>
      <c r="F11" s="14">
        <v>-315</v>
      </c>
      <c r="G11" s="14">
        <v>-382</v>
      </c>
      <c r="H11" s="14">
        <v>-351</v>
      </c>
      <c r="I11" s="14">
        <v>-507</v>
      </c>
      <c r="J11" s="14">
        <v>-613</v>
      </c>
      <c r="K11" s="14">
        <v>-622</v>
      </c>
      <c r="L11" s="14">
        <v>-1056</v>
      </c>
      <c r="M11" s="14">
        <v>-1297</v>
      </c>
      <c r="N11" s="15">
        <v>-1154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</row>
    <row r="12" spans="1:215" x14ac:dyDescent="0.25">
      <c r="C12" s="2" t="s">
        <v>61</v>
      </c>
      <c r="D12" s="14">
        <f t="shared" ref="D12:M12" si="8">SUM(D9:D11)</f>
        <v>5345</v>
      </c>
      <c r="E12" s="14">
        <f t="shared" si="8"/>
        <v>7650</v>
      </c>
      <c r="F12" s="14">
        <f t="shared" si="8"/>
        <v>7667</v>
      </c>
      <c r="G12" s="14">
        <f t="shared" si="8"/>
        <v>6582</v>
      </c>
      <c r="H12" s="14">
        <f t="shared" si="8"/>
        <v>3827</v>
      </c>
      <c r="I12" s="14">
        <f t="shared" si="8"/>
        <v>2493</v>
      </c>
      <c r="J12" s="14">
        <f t="shared" si="8"/>
        <v>5378</v>
      </c>
      <c r="K12" s="14">
        <f t="shared" si="8"/>
        <v>6533</v>
      </c>
      <c r="L12" s="14">
        <f t="shared" si="8"/>
        <v>6233</v>
      </c>
      <c r="M12" s="14">
        <f t="shared" si="8"/>
        <v>6925</v>
      </c>
      <c r="N12" s="15">
        <f>SUM(N9:N11)</f>
        <v>7418.836000000003</v>
      </c>
      <c r="O12" s="14">
        <f t="shared" ref="O12:X12" si="9">SUM(O9:O11)</f>
        <v>4906.5809999999965</v>
      </c>
      <c r="P12" s="14">
        <f t="shared" si="9"/>
        <v>4906.5809999999965</v>
      </c>
      <c r="Q12" s="14">
        <f t="shared" si="9"/>
        <v>4906.5809999999965</v>
      </c>
      <c r="R12" s="14">
        <f t="shared" si="9"/>
        <v>4906.5809999999965</v>
      </c>
      <c r="S12" s="14">
        <f t="shared" si="9"/>
        <v>4906.5809999999965</v>
      </c>
      <c r="T12" s="14">
        <f t="shared" si="9"/>
        <v>4906.5809999999965</v>
      </c>
      <c r="U12" s="14">
        <f t="shared" si="9"/>
        <v>4906.5809999999965</v>
      </c>
      <c r="V12" s="14">
        <f t="shared" si="9"/>
        <v>4906.5809999999965</v>
      </c>
      <c r="W12" s="14">
        <f t="shared" si="9"/>
        <v>4906.5809999999965</v>
      </c>
      <c r="X12" s="14">
        <f t="shared" si="9"/>
        <v>4906.5809999999965</v>
      </c>
    </row>
    <row r="13" spans="1:215" x14ac:dyDescent="0.25">
      <c r="C13" s="2" t="s">
        <v>62</v>
      </c>
      <c r="D13" s="14">
        <v>-1671</v>
      </c>
      <c r="E13" s="14">
        <v>-1625</v>
      </c>
      <c r="F13" s="14">
        <v>-1899</v>
      </c>
      <c r="G13" s="14">
        <v>-1537</v>
      </c>
      <c r="H13" s="14">
        <v>-884</v>
      </c>
      <c r="I13" s="14">
        <v>-556</v>
      </c>
      <c r="J13" s="14">
        <v>-1218</v>
      </c>
      <c r="K13" s="14">
        <v>-1504</v>
      </c>
      <c r="L13" s="14">
        <v>-1494</v>
      </c>
      <c r="M13" s="14">
        <v>-1699</v>
      </c>
      <c r="N13" s="15">
        <f>N12*-0.24</f>
        <v>-1780.5206400000006</v>
      </c>
      <c r="O13" s="14">
        <f t="shared" ref="O13:X13" si="10">O12*-0.24</f>
        <v>-1177.5794399999991</v>
      </c>
      <c r="P13" s="14">
        <f t="shared" si="10"/>
        <v>-1177.5794399999991</v>
      </c>
      <c r="Q13" s="14">
        <f t="shared" si="10"/>
        <v>-1177.5794399999991</v>
      </c>
      <c r="R13" s="14">
        <f t="shared" si="10"/>
        <v>-1177.5794399999991</v>
      </c>
      <c r="S13" s="14">
        <f t="shared" si="10"/>
        <v>-1177.5794399999991</v>
      </c>
      <c r="T13" s="14">
        <f t="shared" si="10"/>
        <v>-1177.5794399999991</v>
      </c>
      <c r="U13" s="14">
        <f t="shared" si="10"/>
        <v>-1177.5794399999991</v>
      </c>
      <c r="V13" s="14">
        <f t="shared" si="10"/>
        <v>-1177.5794399999991</v>
      </c>
      <c r="W13" s="14">
        <f t="shared" si="10"/>
        <v>-1177.5794399999991</v>
      </c>
      <c r="X13" s="14">
        <f t="shared" si="10"/>
        <v>-1177.5794399999991</v>
      </c>
    </row>
    <row r="14" spans="1:215" x14ac:dyDescent="0.25">
      <c r="C14" s="1" t="s">
        <v>63</v>
      </c>
      <c r="D14" s="12">
        <f t="shared" ref="D14:M14" si="11">SUM(D12:D13)</f>
        <v>3674</v>
      </c>
      <c r="E14" s="12">
        <f t="shared" si="11"/>
        <v>6025</v>
      </c>
      <c r="F14" s="12">
        <f t="shared" si="11"/>
        <v>5768</v>
      </c>
      <c r="G14" s="12">
        <f t="shared" si="11"/>
        <v>5045</v>
      </c>
      <c r="H14" s="12">
        <f t="shared" si="11"/>
        <v>2943</v>
      </c>
      <c r="I14" s="12">
        <f t="shared" si="11"/>
        <v>1937</v>
      </c>
      <c r="J14" s="12">
        <f t="shared" si="11"/>
        <v>4160</v>
      </c>
      <c r="K14" s="12">
        <f t="shared" si="11"/>
        <v>5029</v>
      </c>
      <c r="L14" s="12">
        <f t="shared" si="11"/>
        <v>4739</v>
      </c>
      <c r="M14" s="12">
        <f t="shared" si="11"/>
        <v>5226</v>
      </c>
      <c r="N14" s="13">
        <f>SUM(N12:N13)</f>
        <v>5638.3153600000023</v>
      </c>
      <c r="O14" s="12">
        <f t="shared" ref="O14:X14" si="12">SUM(O12:O13)</f>
        <v>3729.0015599999974</v>
      </c>
      <c r="P14" s="12">
        <f t="shared" si="12"/>
        <v>3729.0015599999974</v>
      </c>
      <c r="Q14" s="12">
        <f t="shared" si="12"/>
        <v>3729.0015599999974</v>
      </c>
      <c r="R14" s="12">
        <f t="shared" si="12"/>
        <v>3729.0015599999974</v>
      </c>
      <c r="S14" s="12">
        <f t="shared" si="12"/>
        <v>3729.0015599999974</v>
      </c>
      <c r="T14" s="12">
        <f t="shared" si="12"/>
        <v>3729.0015599999974</v>
      </c>
      <c r="U14" s="12">
        <f t="shared" si="12"/>
        <v>3729.0015599999974</v>
      </c>
      <c r="V14" s="12">
        <f t="shared" si="12"/>
        <v>3729.0015599999974</v>
      </c>
      <c r="W14" s="12">
        <f t="shared" si="12"/>
        <v>3729.0015599999974</v>
      </c>
      <c r="X14" s="12">
        <f t="shared" si="12"/>
        <v>3729.0015599999974</v>
      </c>
      <c r="Y14" s="12">
        <f>X14*(1+$AA$18)</f>
        <v>3691.7115443999974</v>
      </c>
      <c r="Z14" s="12">
        <f t="shared" ref="Z14:CK14" si="13">Y14*(1+$AA$18)</f>
        <v>3654.7944289559973</v>
      </c>
      <c r="AA14" s="12">
        <f t="shared" si="13"/>
        <v>3618.2464846664375</v>
      </c>
      <c r="AB14" s="12">
        <f t="shared" si="13"/>
        <v>3582.064019819773</v>
      </c>
      <c r="AC14" s="12">
        <f t="shared" si="13"/>
        <v>3546.2433796215751</v>
      </c>
      <c r="AD14" s="12">
        <f t="shared" si="13"/>
        <v>3510.7809458253591</v>
      </c>
      <c r="AE14" s="12">
        <f t="shared" si="13"/>
        <v>3475.6731363671056</v>
      </c>
      <c r="AF14" s="12">
        <f t="shared" si="13"/>
        <v>3440.9164050034346</v>
      </c>
      <c r="AG14" s="12">
        <f t="shared" si="13"/>
        <v>3406.5072409534005</v>
      </c>
      <c r="AH14" s="12">
        <f t="shared" si="13"/>
        <v>3372.4421685438665</v>
      </c>
      <c r="AI14" s="12">
        <f t="shared" si="13"/>
        <v>3338.7177468584277</v>
      </c>
      <c r="AJ14" s="12">
        <f t="shared" si="13"/>
        <v>3305.3305693898433</v>
      </c>
      <c r="AK14" s="12">
        <f t="shared" si="13"/>
        <v>3272.2772636959448</v>
      </c>
      <c r="AL14" s="12">
        <f t="shared" si="13"/>
        <v>3239.5544910589851</v>
      </c>
      <c r="AM14" s="12">
        <f t="shared" si="13"/>
        <v>3207.1589461483954</v>
      </c>
      <c r="AN14" s="12">
        <f t="shared" si="13"/>
        <v>3175.0873566869113</v>
      </c>
      <c r="AO14" s="12">
        <f t="shared" si="13"/>
        <v>3143.336483120042</v>
      </c>
      <c r="AP14" s="12">
        <f t="shared" si="13"/>
        <v>3111.9031182888416</v>
      </c>
      <c r="AQ14" s="12">
        <f t="shared" si="13"/>
        <v>3080.7840871059529</v>
      </c>
      <c r="AR14" s="12">
        <f t="shared" si="13"/>
        <v>3049.9762462348936</v>
      </c>
      <c r="AS14" s="12">
        <f t="shared" si="13"/>
        <v>3019.4764837725447</v>
      </c>
      <c r="AT14" s="12">
        <f t="shared" si="13"/>
        <v>2989.2817189348193</v>
      </c>
      <c r="AU14" s="12">
        <f t="shared" si="13"/>
        <v>2959.3889017454712</v>
      </c>
      <c r="AV14" s="12">
        <f t="shared" si="13"/>
        <v>2929.7950127280164</v>
      </c>
      <c r="AW14" s="12">
        <f t="shared" si="13"/>
        <v>2900.4970626007362</v>
      </c>
      <c r="AX14" s="12">
        <f t="shared" si="13"/>
        <v>2871.4920919747287</v>
      </c>
      <c r="AY14" s="12">
        <f t="shared" si="13"/>
        <v>2842.7771710549814</v>
      </c>
      <c r="AZ14" s="12">
        <f t="shared" si="13"/>
        <v>2814.3493993444317</v>
      </c>
      <c r="BA14" s="12">
        <f t="shared" si="13"/>
        <v>2786.2059053509875</v>
      </c>
      <c r="BB14" s="12">
        <f t="shared" si="13"/>
        <v>2758.3438462974777</v>
      </c>
      <c r="BC14" s="12">
        <f t="shared" si="13"/>
        <v>2730.760407834503</v>
      </c>
      <c r="BD14" s="12">
        <f t="shared" si="13"/>
        <v>2703.4528037561581</v>
      </c>
      <c r="BE14" s="12">
        <f t="shared" si="13"/>
        <v>2676.4182757185963</v>
      </c>
      <c r="BF14" s="12">
        <f t="shared" si="13"/>
        <v>2649.6540929614102</v>
      </c>
      <c r="BG14" s="12">
        <f t="shared" si="13"/>
        <v>2623.1575520317961</v>
      </c>
      <c r="BH14" s="12">
        <f t="shared" si="13"/>
        <v>2596.925976511478</v>
      </c>
      <c r="BI14" s="12">
        <f t="shared" si="13"/>
        <v>2570.9567167463633</v>
      </c>
      <c r="BJ14" s="12">
        <f t="shared" si="13"/>
        <v>2545.2471495788996</v>
      </c>
      <c r="BK14" s="12">
        <f t="shared" si="13"/>
        <v>2519.7946780831107</v>
      </c>
      <c r="BL14" s="12">
        <f t="shared" si="13"/>
        <v>2494.5967313022797</v>
      </c>
      <c r="BM14" s="12">
        <f t="shared" si="13"/>
        <v>2469.650763989257</v>
      </c>
      <c r="BN14" s="12">
        <f t="shared" si="13"/>
        <v>2444.9542563493646</v>
      </c>
      <c r="BO14" s="12">
        <f t="shared" si="13"/>
        <v>2420.504713785871</v>
      </c>
      <c r="BP14" s="12">
        <f t="shared" si="13"/>
        <v>2396.2996666480121</v>
      </c>
      <c r="BQ14" s="12">
        <f t="shared" si="13"/>
        <v>2372.3366699815319</v>
      </c>
      <c r="BR14" s="12">
        <f t="shared" si="13"/>
        <v>2348.6133032817165</v>
      </c>
      <c r="BS14" s="12">
        <f t="shared" si="13"/>
        <v>2325.1271702488993</v>
      </c>
      <c r="BT14" s="12">
        <f t="shared" si="13"/>
        <v>2301.8758985464106</v>
      </c>
      <c r="BU14" s="12">
        <f t="shared" si="13"/>
        <v>2278.8571395609465</v>
      </c>
      <c r="BV14" s="12">
        <f t="shared" si="13"/>
        <v>2256.0685681653372</v>
      </c>
      <c r="BW14" s="12">
        <f t="shared" si="13"/>
        <v>2233.5078824836837</v>
      </c>
      <c r="BX14" s="12">
        <f t="shared" si="13"/>
        <v>2211.172803658847</v>
      </c>
      <c r="BY14" s="12">
        <f t="shared" si="13"/>
        <v>2189.0610756222586</v>
      </c>
      <c r="BZ14" s="12">
        <f t="shared" si="13"/>
        <v>2167.1704648660361</v>
      </c>
      <c r="CA14" s="12">
        <f t="shared" si="13"/>
        <v>2145.4987602173755</v>
      </c>
      <c r="CB14" s="12">
        <f t="shared" si="13"/>
        <v>2124.0437726152018</v>
      </c>
      <c r="CC14" s="12">
        <f t="shared" si="13"/>
        <v>2102.8033348890499</v>
      </c>
      <c r="CD14" s="12">
        <f t="shared" si="13"/>
        <v>2081.7753015401595</v>
      </c>
      <c r="CE14" s="12">
        <f t="shared" si="13"/>
        <v>2060.9575485247578</v>
      </c>
      <c r="CF14" s="12">
        <f t="shared" si="13"/>
        <v>2040.3479730395102</v>
      </c>
      <c r="CG14" s="12">
        <f t="shared" si="13"/>
        <v>2019.9444933091152</v>
      </c>
      <c r="CH14" s="12">
        <f t="shared" si="13"/>
        <v>1999.745048376024</v>
      </c>
      <c r="CI14" s="12">
        <f t="shared" si="13"/>
        <v>1979.7475978922637</v>
      </c>
      <c r="CJ14" s="12">
        <f t="shared" si="13"/>
        <v>1959.950121913341</v>
      </c>
      <c r="CK14" s="12">
        <f t="shared" si="13"/>
        <v>1940.3506206942077</v>
      </c>
      <c r="CL14" s="12">
        <f t="shared" ref="CL14:EW14" si="14">CK14*(1+$AA$18)</f>
        <v>1920.9471144872657</v>
      </c>
      <c r="CM14" s="12">
        <f t="shared" si="14"/>
        <v>1901.7376433423931</v>
      </c>
      <c r="CN14" s="12">
        <f t="shared" si="14"/>
        <v>1882.7202669089691</v>
      </c>
      <c r="CO14" s="12">
        <f t="shared" si="14"/>
        <v>1863.8930642398793</v>
      </c>
      <c r="CP14" s="12">
        <f t="shared" si="14"/>
        <v>1845.2541335974804</v>
      </c>
      <c r="CQ14" s="12">
        <f t="shared" si="14"/>
        <v>1826.8015922615057</v>
      </c>
      <c r="CR14" s="12">
        <f t="shared" si="14"/>
        <v>1808.5335763388905</v>
      </c>
      <c r="CS14" s="12">
        <f t="shared" si="14"/>
        <v>1790.4482405755016</v>
      </c>
      <c r="CT14" s="12">
        <f t="shared" si="14"/>
        <v>1772.5437581697465</v>
      </c>
      <c r="CU14" s="12">
        <f t="shared" si="14"/>
        <v>1754.8183205880491</v>
      </c>
      <c r="CV14" s="12">
        <f t="shared" si="14"/>
        <v>1737.2701373821685</v>
      </c>
      <c r="CW14" s="12">
        <f t="shared" si="14"/>
        <v>1719.8974360083469</v>
      </c>
      <c r="CX14" s="12">
        <f t="shared" si="14"/>
        <v>1702.6984616482634</v>
      </c>
      <c r="CY14" s="12">
        <f t="shared" si="14"/>
        <v>1685.6714770317808</v>
      </c>
      <c r="CZ14" s="12">
        <f t="shared" si="14"/>
        <v>1668.8147622614629</v>
      </c>
      <c r="DA14" s="12">
        <f t="shared" si="14"/>
        <v>1652.1266146388482</v>
      </c>
      <c r="DB14" s="12">
        <f t="shared" si="14"/>
        <v>1635.6053484924596</v>
      </c>
      <c r="DC14" s="12">
        <f t="shared" si="14"/>
        <v>1619.249295007535</v>
      </c>
      <c r="DD14" s="12">
        <f t="shared" si="14"/>
        <v>1603.0568020574597</v>
      </c>
      <c r="DE14" s="12">
        <f t="shared" si="14"/>
        <v>1587.0262340368849</v>
      </c>
      <c r="DF14" s="12">
        <f t="shared" si="14"/>
        <v>1571.1559716965162</v>
      </c>
      <c r="DG14" s="12">
        <f t="shared" si="14"/>
        <v>1555.444411979551</v>
      </c>
      <c r="DH14" s="12">
        <f t="shared" si="14"/>
        <v>1539.8899678597554</v>
      </c>
      <c r="DI14" s="12">
        <f t="shared" si="14"/>
        <v>1524.4910681811577</v>
      </c>
      <c r="DJ14" s="12">
        <f t="shared" si="14"/>
        <v>1509.2461574993461</v>
      </c>
      <c r="DK14" s="12">
        <f t="shared" si="14"/>
        <v>1494.1536959243526</v>
      </c>
      <c r="DL14" s="12">
        <f t="shared" si="14"/>
        <v>1479.212158965109</v>
      </c>
      <c r="DM14" s="12">
        <f t="shared" si="14"/>
        <v>1464.4200373754579</v>
      </c>
      <c r="DN14" s="12">
        <f t="shared" si="14"/>
        <v>1449.7758370017034</v>
      </c>
      <c r="DO14" s="12">
        <f t="shared" si="14"/>
        <v>1435.2780786316864</v>
      </c>
      <c r="DP14" s="12">
        <f t="shared" si="14"/>
        <v>1420.9252978453696</v>
      </c>
      <c r="DQ14" s="12">
        <f t="shared" si="14"/>
        <v>1406.716044866916</v>
      </c>
      <c r="DR14" s="12">
        <f t="shared" si="14"/>
        <v>1392.6488844182468</v>
      </c>
      <c r="DS14" s="12">
        <f t="shared" si="14"/>
        <v>1378.7223955740642</v>
      </c>
      <c r="DT14" s="12">
        <f t="shared" si="14"/>
        <v>1364.9351716183235</v>
      </c>
      <c r="DU14" s="12">
        <f t="shared" si="14"/>
        <v>1351.2858199021402</v>
      </c>
      <c r="DV14" s="12">
        <f t="shared" si="14"/>
        <v>1337.7729617031189</v>
      </c>
      <c r="DW14" s="12">
        <f t="shared" si="14"/>
        <v>1324.3952320860876</v>
      </c>
      <c r="DX14" s="12">
        <f t="shared" si="14"/>
        <v>1311.1512797652267</v>
      </c>
      <c r="DY14" s="12">
        <f t="shared" si="14"/>
        <v>1298.0397669675745</v>
      </c>
      <c r="DZ14" s="12">
        <f t="shared" si="14"/>
        <v>1285.0593692978987</v>
      </c>
      <c r="EA14" s="12">
        <f t="shared" si="14"/>
        <v>1272.2087756049198</v>
      </c>
      <c r="EB14" s="12">
        <f t="shared" si="14"/>
        <v>1259.4866878488706</v>
      </c>
      <c r="EC14" s="12">
        <f t="shared" si="14"/>
        <v>1246.8918209703818</v>
      </c>
      <c r="ED14" s="12">
        <f t="shared" si="14"/>
        <v>1234.422902760678</v>
      </c>
      <c r="EE14" s="12">
        <f t="shared" si="14"/>
        <v>1222.0786737330711</v>
      </c>
      <c r="EF14" s="12">
        <f t="shared" si="14"/>
        <v>1209.8578869957405</v>
      </c>
      <c r="EG14" s="12">
        <f t="shared" si="14"/>
        <v>1197.759308125783</v>
      </c>
      <c r="EH14" s="12">
        <f t="shared" si="14"/>
        <v>1185.7817150445253</v>
      </c>
      <c r="EI14" s="12">
        <f t="shared" si="14"/>
        <v>1173.92389789408</v>
      </c>
      <c r="EJ14" s="12">
        <f t="shared" si="14"/>
        <v>1162.1846589151392</v>
      </c>
      <c r="EK14" s="12">
        <f t="shared" si="14"/>
        <v>1150.5628123259878</v>
      </c>
      <c r="EL14" s="12">
        <f t="shared" si="14"/>
        <v>1139.057184202728</v>
      </c>
      <c r="EM14" s="12">
        <f t="shared" si="14"/>
        <v>1127.6666123607006</v>
      </c>
      <c r="EN14" s="12">
        <f t="shared" si="14"/>
        <v>1116.3899462370935</v>
      </c>
      <c r="EO14" s="12">
        <f t="shared" si="14"/>
        <v>1105.2260467747226</v>
      </c>
      <c r="EP14" s="12">
        <f t="shared" si="14"/>
        <v>1094.1737863069754</v>
      </c>
      <c r="EQ14" s="12">
        <f t="shared" si="14"/>
        <v>1083.2320484439056</v>
      </c>
      <c r="ER14" s="12">
        <f t="shared" si="14"/>
        <v>1072.3997279594664</v>
      </c>
      <c r="ES14" s="12">
        <f t="shared" si="14"/>
        <v>1061.6757306798718</v>
      </c>
      <c r="ET14" s="12">
        <f t="shared" si="14"/>
        <v>1051.0589733730731</v>
      </c>
      <c r="EU14" s="12">
        <f t="shared" si="14"/>
        <v>1040.5483836393423</v>
      </c>
      <c r="EV14" s="12">
        <f t="shared" si="14"/>
        <v>1030.1428998029489</v>
      </c>
      <c r="EW14" s="12">
        <f t="shared" si="14"/>
        <v>1019.8414708049195</v>
      </c>
      <c r="EX14" s="12">
        <f t="shared" ref="EX14:HG14" si="15">EW14*(1+$AA$18)</f>
        <v>1009.6430560968703</v>
      </c>
      <c r="EY14" s="12">
        <f t="shared" si="15"/>
        <v>999.54662553590163</v>
      </c>
      <c r="EZ14" s="12">
        <f t="shared" si="15"/>
        <v>989.55115928054261</v>
      </c>
      <c r="FA14" s="12">
        <f t="shared" si="15"/>
        <v>979.6556476877372</v>
      </c>
      <c r="FB14" s="12">
        <f t="shared" si="15"/>
        <v>969.85909121085979</v>
      </c>
      <c r="FC14" s="12">
        <f t="shared" si="15"/>
        <v>960.16050029875123</v>
      </c>
      <c r="FD14" s="12">
        <f t="shared" si="15"/>
        <v>950.5588952957637</v>
      </c>
      <c r="FE14" s="12">
        <f t="shared" si="15"/>
        <v>941.05330634280608</v>
      </c>
      <c r="FF14" s="12">
        <f t="shared" si="15"/>
        <v>931.64277327937805</v>
      </c>
      <c r="FG14" s="12">
        <f t="shared" si="15"/>
        <v>922.32634554658421</v>
      </c>
      <c r="FH14" s="12">
        <f t="shared" si="15"/>
        <v>913.10308209111838</v>
      </c>
      <c r="FI14" s="12">
        <f t="shared" si="15"/>
        <v>903.9720512702072</v>
      </c>
      <c r="FJ14" s="12">
        <f t="shared" si="15"/>
        <v>894.93233075750516</v>
      </c>
      <c r="FK14" s="12">
        <f t="shared" si="15"/>
        <v>885.98300744993014</v>
      </c>
      <c r="FL14" s="12">
        <f t="shared" si="15"/>
        <v>877.12317737543083</v>
      </c>
      <c r="FM14" s="12">
        <f t="shared" si="15"/>
        <v>868.35194560167656</v>
      </c>
      <c r="FN14" s="12">
        <f t="shared" si="15"/>
        <v>859.66842614565974</v>
      </c>
      <c r="FO14" s="12">
        <f t="shared" si="15"/>
        <v>851.07174188420311</v>
      </c>
      <c r="FP14" s="12">
        <f t="shared" si="15"/>
        <v>842.56102446536102</v>
      </c>
      <c r="FQ14" s="12">
        <f t="shared" si="15"/>
        <v>834.13541422070739</v>
      </c>
      <c r="FR14" s="12">
        <f t="shared" si="15"/>
        <v>825.79406007850025</v>
      </c>
      <c r="FS14" s="12">
        <f t="shared" si="15"/>
        <v>817.53611947771526</v>
      </c>
      <c r="FT14" s="12">
        <f t="shared" si="15"/>
        <v>809.36075828293815</v>
      </c>
      <c r="FU14" s="12">
        <f t="shared" si="15"/>
        <v>801.2671507001088</v>
      </c>
      <c r="FV14" s="12">
        <f t="shared" si="15"/>
        <v>793.25447919310773</v>
      </c>
      <c r="FW14" s="12">
        <f t="shared" si="15"/>
        <v>785.32193440117669</v>
      </c>
      <c r="FX14" s="12">
        <f t="shared" si="15"/>
        <v>777.4687150571649</v>
      </c>
      <c r="FY14" s="12">
        <f t="shared" si="15"/>
        <v>769.69402790659319</v>
      </c>
      <c r="FZ14" s="12">
        <f t="shared" si="15"/>
        <v>761.99708762752721</v>
      </c>
      <c r="GA14" s="12">
        <f t="shared" si="15"/>
        <v>754.37711675125195</v>
      </c>
      <c r="GB14" s="12">
        <f t="shared" si="15"/>
        <v>746.8333455837394</v>
      </c>
      <c r="GC14" s="12">
        <f t="shared" si="15"/>
        <v>739.36501212790199</v>
      </c>
      <c r="GD14" s="12">
        <f t="shared" si="15"/>
        <v>731.97136200662294</v>
      </c>
      <c r="GE14" s="12">
        <f t="shared" si="15"/>
        <v>724.65164838655676</v>
      </c>
      <c r="GF14" s="12">
        <f t="shared" si="15"/>
        <v>717.40513190269121</v>
      </c>
      <c r="GG14" s="12">
        <f t="shared" si="15"/>
        <v>710.23108058366427</v>
      </c>
      <c r="GH14" s="12">
        <f t="shared" si="15"/>
        <v>703.12876977782764</v>
      </c>
      <c r="GI14" s="12">
        <f t="shared" si="15"/>
        <v>696.0974820800493</v>
      </c>
      <c r="GJ14" s="12">
        <f t="shared" si="15"/>
        <v>689.13650725924879</v>
      </c>
      <c r="GK14" s="12">
        <f t="shared" si="15"/>
        <v>682.24514218665627</v>
      </c>
      <c r="GL14" s="12">
        <f t="shared" si="15"/>
        <v>675.42269076478965</v>
      </c>
      <c r="GM14" s="12">
        <f t="shared" si="15"/>
        <v>668.66846385714177</v>
      </c>
      <c r="GN14" s="12">
        <f t="shared" si="15"/>
        <v>661.9817792185703</v>
      </c>
      <c r="GO14" s="12">
        <f t="shared" si="15"/>
        <v>655.3619614263846</v>
      </c>
      <c r="GP14" s="12">
        <f t="shared" si="15"/>
        <v>648.80834181212072</v>
      </c>
      <c r="GQ14" s="12">
        <f t="shared" si="15"/>
        <v>642.32025839399955</v>
      </c>
      <c r="GR14" s="12">
        <f t="shared" si="15"/>
        <v>635.89705581005956</v>
      </c>
      <c r="GS14" s="12">
        <f t="shared" si="15"/>
        <v>629.53808525195893</v>
      </c>
      <c r="GT14" s="12">
        <f t="shared" si="15"/>
        <v>623.24270439943939</v>
      </c>
      <c r="GU14" s="12">
        <f t="shared" si="15"/>
        <v>617.01027735544494</v>
      </c>
      <c r="GV14" s="12">
        <f t="shared" si="15"/>
        <v>610.84017458189044</v>
      </c>
      <c r="GW14" s="12">
        <f t="shared" si="15"/>
        <v>604.73177283607151</v>
      </c>
      <c r="GX14" s="12">
        <f t="shared" si="15"/>
        <v>598.68445510771085</v>
      </c>
      <c r="GY14" s="12">
        <f t="shared" si="15"/>
        <v>592.69761055663378</v>
      </c>
      <c r="GZ14" s="12">
        <f t="shared" si="15"/>
        <v>586.77063445106739</v>
      </c>
      <c r="HA14" s="12">
        <f t="shared" si="15"/>
        <v>580.90292810655671</v>
      </c>
      <c r="HB14" s="12">
        <f t="shared" si="15"/>
        <v>575.09389882549112</v>
      </c>
      <c r="HC14" s="12">
        <f t="shared" si="15"/>
        <v>569.34295983723621</v>
      </c>
      <c r="HD14" s="12">
        <f t="shared" si="15"/>
        <v>563.6495302388638</v>
      </c>
      <c r="HE14" s="12">
        <f t="shared" si="15"/>
        <v>558.01303493647515</v>
      </c>
      <c r="HF14" s="12">
        <f t="shared" si="15"/>
        <v>552.43290458711044</v>
      </c>
      <c r="HG14" s="12">
        <f t="shared" si="15"/>
        <v>546.90857554123932</v>
      </c>
    </row>
    <row r="15" spans="1:215" x14ac:dyDescent="0.25">
      <c r="C15" s="2" t="s">
        <v>64</v>
      </c>
      <c r="D15" s="25">
        <v>119</v>
      </c>
      <c r="E15" s="25">
        <v>114</v>
      </c>
      <c r="F15" s="25">
        <v>111</v>
      </c>
      <c r="G15" s="25">
        <v>107</v>
      </c>
      <c r="H15" s="25">
        <v>97</v>
      </c>
      <c r="I15" s="25">
        <v>97</v>
      </c>
      <c r="J15" s="25">
        <v>99</v>
      </c>
      <c r="K15" s="25">
        <v>93</v>
      </c>
      <c r="L15" s="25">
        <v>85</v>
      </c>
      <c r="M15" s="25">
        <v>81</v>
      </c>
      <c r="N15" s="5">
        <v>79</v>
      </c>
      <c r="O15" s="25">
        <v>79</v>
      </c>
      <c r="P15" s="25">
        <v>79</v>
      </c>
      <c r="Q15" s="25">
        <v>79</v>
      </c>
      <c r="R15" s="25">
        <v>79</v>
      </c>
      <c r="S15" s="25">
        <v>79</v>
      </c>
      <c r="T15" s="25">
        <v>79</v>
      </c>
      <c r="U15" s="25">
        <v>79</v>
      </c>
      <c r="V15" s="25">
        <v>79</v>
      </c>
      <c r="W15" s="25">
        <v>79</v>
      </c>
      <c r="X15" s="25">
        <v>79</v>
      </c>
    </row>
    <row r="16" spans="1:215" x14ac:dyDescent="0.25">
      <c r="C16" s="2" t="s">
        <v>65</v>
      </c>
      <c r="D16" s="26">
        <f t="shared" ref="D16:K16" si="16">D14/D15</f>
        <v>30.873949579831933</v>
      </c>
      <c r="E16" s="26">
        <f t="shared" si="16"/>
        <v>52.850877192982459</v>
      </c>
      <c r="F16" s="26">
        <f t="shared" si="16"/>
        <v>51.963963963963963</v>
      </c>
      <c r="G16" s="26">
        <f t="shared" si="16"/>
        <v>47.149532710280376</v>
      </c>
      <c r="H16" s="26">
        <f t="shared" si="16"/>
        <v>30.340206185567009</v>
      </c>
      <c r="I16" s="26">
        <f t="shared" si="16"/>
        <v>19.969072164948454</v>
      </c>
      <c r="J16" s="26">
        <f t="shared" si="16"/>
        <v>42.020202020202021</v>
      </c>
      <c r="K16" s="26">
        <f t="shared" si="16"/>
        <v>54.075268817204304</v>
      </c>
      <c r="L16" s="26">
        <f>L14/L15</f>
        <v>55.752941176470586</v>
      </c>
      <c r="M16" s="26">
        <f>M14/M15</f>
        <v>64.518518518518519</v>
      </c>
      <c r="N16" s="21">
        <f t="shared" ref="N16:X16" si="17">N14/N15</f>
        <v>71.37108050632915</v>
      </c>
      <c r="O16" s="26">
        <f t="shared" si="17"/>
        <v>47.202551392405027</v>
      </c>
      <c r="P16" s="26">
        <f t="shared" si="17"/>
        <v>47.202551392405027</v>
      </c>
      <c r="Q16" s="26">
        <f t="shared" si="17"/>
        <v>47.202551392405027</v>
      </c>
      <c r="R16" s="26">
        <f t="shared" si="17"/>
        <v>47.202551392405027</v>
      </c>
      <c r="S16" s="26">
        <f t="shared" si="17"/>
        <v>47.202551392405027</v>
      </c>
      <c r="T16" s="26">
        <f t="shared" si="17"/>
        <v>47.202551392405027</v>
      </c>
      <c r="U16" s="26">
        <f t="shared" si="17"/>
        <v>47.202551392405027</v>
      </c>
      <c r="V16" s="26">
        <f t="shared" si="17"/>
        <v>47.202551392405027</v>
      </c>
      <c r="W16" s="26">
        <f t="shared" si="17"/>
        <v>47.202551392405027</v>
      </c>
      <c r="X16" s="26">
        <f t="shared" si="17"/>
        <v>47.202551392405027</v>
      </c>
    </row>
    <row r="17" spans="2:27" x14ac:dyDescent="0.25"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Z17" s="2" t="s">
        <v>124</v>
      </c>
      <c r="AA17" s="30">
        <v>0.08</v>
      </c>
    </row>
    <row r="18" spans="2:27" x14ac:dyDescent="0.25">
      <c r="C18" s="1" t="s">
        <v>38</v>
      </c>
      <c r="D18" s="14"/>
      <c r="E18" s="24">
        <f t="shared" ref="E18:L18" si="18">(E4-D4)/D4</f>
        <v>0.21174643006512517</v>
      </c>
      <c r="F18" s="24">
        <f t="shared" si="18"/>
        <v>0.12326808342783886</v>
      </c>
      <c r="G18" s="24">
        <f t="shared" si="18"/>
        <v>1.0974057328475484E-3</v>
      </c>
      <c r="H18" s="24">
        <f t="shared" si="18"/>
        <v>-4.112952731737262E-2</v>
      </c>
      <c r="I18" s="24">
        <f t="shared" si="18"/>
        <v>-0.13073897933052864</v>
      </c>
      <c r="J18" s="24">
        <f t="shared" si="18"/>
        <v>0.23068020411384083</v>
      </c>
      <c r="K18" s="24">
        <f t="shared" si="18"/>
        <v>0.13118748397024879</v>
      </c>
      <c r="L18" s="24">
        <f t="shared" si="18"/>
        <v>6.3220345387900084E-2</v>
      </c>
      <c r="M18" s="24">
        <f>(M4-L4)/L4</f>
        <v>0.12595962468012512</v>
      </c>
      <c r="N18" s="28">
        <f t="shared" ref="N18:X18" si="19">(N4-M4)/M4</f>
        <v>6.0000000000000095E-2</v>
      </c>
      <c r="O18" s="24">
        <f t="shared" si="19"/>
        <v>0</v>
      </c>
      <c r="P18" s="24">
        <f t="shared" si="19"/>
        <v>0</v>
      </c>
      <c r="Q18" s="24">
        <f t="shared" si="19"/>
        <v>0</v>
      </c>
      <c r="R18" s="24">
        <f t="shared" si="19"/>
        <v>0</v>
      </c>
      <c r="S18" s="24">
        <f t="shared" si="19"/>
        <v>0</v>
      </c>
      <c r="T18" s="24">
        <f t="shared" si="19"/>
        <v>0</v>
      </c>
      <c r="U18" s="24">
        <f t="shared" si="19"/>
        <v>0</v>
      </c>
      <c r="V18" s="24">
        <f t="shared" si="19"/>
        <v>0</v>
      </c>
      <c r="W18" s="24">
        <f t="shared" si="19"/>
        <v>0</v>
      </c>
      <c r="X18" s="24">
        <f t="shared" si="19"/>
        <v>0</v>
      </c>
      <c r="Z18" s="2" t="s">
        <v>125</v>
      </c>
      <c r="AA18" s="30">
        <v>-0.01</v>
      </c>
    </row>
    <row r="19" spans="2:27" x14ac:dyDescent="0.25">
      <c r="C19" s="1" t="s">
        <v>123</v>
      </c>
      <c r="D19" s="24">
        <v>0.15</v>
      </c>
      <c r="E19" s="24">
        <v>0.08</v>
      </c>
      <c r="F19" s="24">
        <v>0</v>
      </c>
      <c r="G19" s="24">
        <v>-0.04</v>
      </c>
      <c r="H19" s="24">
        <v>-0.08</v>
      </c>
      <c r="I19" s="24">
        <v>-0.12</v>
      </c>
      <c r="J19" s="24">
        <v>0.2</v>
      </c>
      <c r="K19" s="24">
        <v>0.04</v>
      </c>
      <c r="L19" s="24">
        <v>0.06</v>
      </c>
      <c r="M19" s="24">
        <v>7.0000000000000007E-2</v>
      </c>
      <c r="N19" s="4"/>
      <c r="Z19" s="29" t="s">
        <v>126</v>
      </c>
      <c r="AA19" s="31">
        <f>NPV(AA17,O14:HG14)</f>
        <v>44021.644489373815</v>
      </c>
    </row>
    <row r="20" spans="2:27" x14ac:dyDescent="0.25">
      <c r="C20" s="2" t="s">
        <v>45</v>
      </c>
      <c r="D20" s="19">
        <f t="shared" ref="D20:L20" si="20">D6/D4</f>
        <v>0.72850570592101327</v>
      </c>
      <c r="E20" s="19">
        <f t="shared" si="20"/>
        <v>0.75060401360879636</v>
      </c>
      <c r="F20" s="19">
        <f t="shared" si="20"/>
        <v>0.74474342653966019</v>
      </c>
      <c r="G20" s="19">
        <f t="shared" si="20"/>
        <v>0.74287468210120144</v>
      </c>
      <c r="H20" s="19">
        <f t="shared" si="20"/>
        <v>0.72718126943479056</v>
      </c>
      <c r="I20" s="19">
        <f t="shared" si="20"/>
        <v>0.75622073754537322</v>
      </c>
      <c r="J20" s="19">
        <f t="shared" si="20"/>
        <v>0.76104984183978797</v>
      </c>
      <c r="K20" s="19">
        <f t="shared" si="20"/>
        <v>0.7629520462532593</v>
      </c>
      <c r="L20" s="19">
        <f t="shared" si="20"/>
        <v>0.78632357122547625</v>
      </c>
      <c r="M20" s="19">
        <f>M6/M4</f>
        <v>0.79826388888888888</v>
      </c>
      <c r="N20" s="20">
        <f t="shared" ref="N20:X20" si="21">N6/N4</f>
        <v>0.79500000000000004</v>
      </c>
      <c r="O20" s="19">
        <f t="shared" si="21"/>
        <v>0.72</v>
      </c>
      <c r="P20" s="19">
        <f t="shared" si="21"/>
        <v>0.72</v>
      </c>
      <c r="Q20" s="19">
        <f t="shared" si="21"/>
        <v>0.72</v>
      </c>
      <c r="R20" s="19">
        <f t="shared" si="21"/>
        <v>0.72</v>
      </c>
      <c r="S20" s="19">
        <f t="shared" si="21"/>
        <v>0.72</v>
      </c>
      <c r="T20" s="19">
        <f t="shared" si="21"/>
        <v>0.72</v>
      </c>
      <c r="U20" s="19">
        <f t="shared" si="21"/>
        <v>0.72</v>
      </c>
      <c r="V20" s="19">
        <f t="shared" si="21"/>
        <v>0.72</v>
      </c>
      <c r="W20" s="19">
        <f t="shared" si="21"/>
        <v>0.72</v>
      </c>
      <c r="X20" s="19">
        <f t="shared" si="21"/>
        <v>0.72</v>
      </c>
      <c r="Z20" s="2" t="s">
        <v>2</v>
      </c>
      <c r="AA20" s="25">
        <v>79</v>
      </c>
    </row>
    <row r="21" spans="2:27" x14ac:dyDescent="0.25">
      <c r="C21" s="2" t="s">
        <v>39</v>
      </c>
      <c r="D21" s="19">
        <f t="shared" ref="D21:L21" si="22">D9/D4</f>
        <v>0.34737408137659076</v>
      </c>
      <c r="E21" s="19">
        <f t="shared" si="22"/>
        <v>0.36507075587988758</v>
      </c>
      <c r="F21" s="19">
        <f t="shared" si="22"/>
        <v>0.34168824897941269</v>
      </c>
      <c r="G21" s="19">
        <f t="shared" si="22"/>
        <v>0.28198719635183722</v>
      </c>
      <c r="H21" s="19">
        <f t="shared" si="22"/>
        <v>0.17500457289189683</v>
      </c>
      <c r="I21" s="19">
        <f t="shared" si="22"/>
        <v>0.14119627544847177</v>
      </c>
      <c r="J21" s="19">
        <f t="shared" si="22"/>
        <v>0.24959391296913738</v>
      </c>
      <c r="K21" s="19">
        <f t="shared" si="22"/>
        <v>0.25480860068775268</v>
      </c>
      <c r="L21" s="19">
        <f t="shared" si="22"/>
        <v>0.25014216661927779</v>
      </c>
      <c r="M21" s="19">
        <f>M9/M4</f>
        <v>0.25170454545454546</v>
      </c>
      <c r="N21" s="20">
        <f t="shared" ref="N21:X21" si="23">N9/N4</f>
        <v>0.24844065656565664</v>
      </c>
      <c r="O21" s="19">
        <f>O9/O4</f>
        <v>0.14611268939393929</v>
      </c>
      <c r="P21" s="19">
        <f t="shared" si="23"/>
        <v>0.14611268939393929</v>
      </c>
      <c r="Q21" s="19">
        <f t="shared" si="23"/>
        <v>0.14611268939393929</v>
      </c>
      <c r="R21" s="19">
        <f t="shared" si="23"/>
        <v>0.14611268939393929</v>
      </c>
      <c r="S21" s="19">
        <f t="shared" si="23"/>
        <v>0.14611268939393929</v>
      </c>
      <c r="T21" s="19">
        <f t="shared" si="23"/>
        <v>0.14611268939393929</v>
      </c>
      <c r="U21" s="19">
        <f t="shared" si="23"/>
        <v>0.14611268939393929</v>
      </c>
      <c r="V21" s="19">
        <f t="shared" si="23"/>
        <v>0.14611268939393929</v>
      </c>
      <c r="W21" s="19">
        <f t="shared" si="23"/>
        <v>0.14611268939393929</v>
      </c>
      <c r="X21" s="19">
        <f t="shared" si="23"/>
        <v>0.14611268939393929</v>
      </c>
      <c r="Z21" s="2" t="s">
        <v>127</v>
      </c>
      <c r="AA21" s="32">
        <f>AA19/AA20</f>
        <v>557.23600619460524</v>
      </c>
    </row>
    <row r="22" spans="2:27" s="29" customFormat="1" x14ac:dyDescent="0.25">
      <c r="B22" s="35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5"/>
      <c r="Z22" s="37" t="s">
        <v>128</v>
      </c>
      <c r="AA22" s="38">
        <f>(AA21-Modell!B4)/Modell!B4</f>
        <v>0.16090834623876091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Land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2026-05-28T17:02:23Z</dcterms:modified>
</cp:coreProperties>
</file>