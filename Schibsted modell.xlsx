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FED680BD-CB2C-8D4C-B1A8-AEBCAA549013}" xr6:coauthVersionLast="47" xr6:coauthVersionMax="47" xr10:uidLastSave="{00000000-0000-0000-0000-000000000000}"/>
  <bookViews>
    <workbookView xWindow="25120" yWindow="500" windowWidth="26080" windowHeight="26740" xr2:uid="{CF2EC152-6970-7944-95E4-562C87096A91}"/>
  </bookViews>
  <sheets>
    <sheet name="Info" sheetId="1" r:id="rId1"/>
    <sheet name="Modell" sheetId="2" r:id="rId2"/>
    <sheet name="SOTP" sheetId="5" r:id="rId3"/>
    <sheet name="Segmenter" sheetId="4" r:id="rId4"/>
    <sheet name="ARPA" sheetId="7" r:id="rId5"/>
    <sheet name="NAA" sheetId="8" r:id="rId6"/>
    <sheet name="Recommerce" sheetId="9" r:id="rId7"/>
    <sheet name="Nøkkeltall" sheetId="3" r:id="rId8"/>
    <sheet name="Nedsideberegning" sheetId="6" r:id="rId9"/>
  </sheets>
  <definedNames>
    <definedName name="_xlchart.v1.0" hidden="1">SOTP!$A$87:$A$101</definedName>
    <definedName name="_xlchart.v1.1" hidden="1">SOTP!$B$87:$B$101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F7" i="5"/>
  <c r="W50" i="1"/>
  <c r="Y50" i="1"/>
  <c r="V17" i="2"/>
  <c r="Y49" i="1"/>
  <c r="W49" i="1"/>
  <c r="C1048576" i="5"/>
  <c r="W17" i="2" l="1"/>
  <c r="Y48" i="1"/>
  <c r="W48" i="1"/>
  <c r="V10" i="9"/>
  <c r="V19" i="8"/>
  <c r="Y47" i="1"/>
  <c r="W47" i="1"/>
  <c r="E13" i="5"/>
  <c r="V39" i="2"/>
  <c r="W39" i="2"/>
  <c r="V40" i="2"/>
  <c r="W40" i="2"/>
  <c r="V41" i="2"/>
  <c r="W41" i="2"/>
  <c r="V42" i="2"/>
  <c r="W42" i="2"/>
  <c r="V34" i="2"/>
  <c r="W34" i="2"/>
  <c r="V35" i="2"/>
  <c r="W35" i="2"/>
  <c r="V36" i="2"/>
  <c r="W36" i="2"/>
  <c r="V37" i="2"/>
  <c r="W37" i="2"/>
  <c r="Y46" i="1"/>
  <c r="W46" i="1"/>
  <c r="Y45" i="1"/>
  <c r="W45" i="1"/>
  <c r="W44" i="1"/>
  <c r="Y44" i="1"/>
  <c r="Y43" i="1"/>
  <c r="W43" i="1"/>
  <c r="B12" i="2"/>
  <c r="Y41" i="1"/>
  <c r="W41" i="1"/>
  <c r="Y40" i="1"/>
  <c r="W40" i="1"/>
  <c r="Y39" i="1"/>
  <c r="W39" i="1"/>
  <c r="Y38" i="1"/>
  <c r="W38" i="1"/>
  <c r="B94" i="5"/>
  <c r="C11" i="5"/>
  <c r="A3" i="5"/>
  <c r="F14" i="5"/>
  <c r="B95" i="5" s="1"/>
  <c r="E18" i="5"/>
  <c r="F18" i="5" s="1"/>
  <c r="B99" i="5" s="1"/>
  <c r="E17" i="5"/>
  <c r="F17" i="5" s="1"/>
  <c r="B98" i="5" s="1"/>
  <c r="E10" i="5"/>
  <c r="F10" i="5" s="1"/>
  <c r="B91" i="5" s="1"/>
  <c r="E9" i="5"/>
  <c r="F9" i="5" s="1"/>
  <c r="B90" i="5" s="1"/>
  <c r="E8" i="5"/>
  <c r="F8" i="5" s="1"/>
  <c r="B89" i="5" s="1"/>
  <c r="E7" i="5"/>
  <c r="B88" i="5" s="1"/>
  <c r="E6" i="5"/>
  <c r="F6" i="5" s="1"/>
  <c r="B87" i="5" s="1"/>
  <c r="AG15" i="2"/>
  <c r="AG16" i="2"/>
  <c r="AG14" i="2"/>
  <c r="B8" i="2"/>
  <c r="B7" i="2"/>
  <c r="F15" i="5" l="1"/>
  <c r="E15" i="5"/>
  <c r="F11" i="5"/>
  <c r="B92" i="5" s="1"/>
  <c r="E11" i="5"/>
  <c r="B96" i="5"/>
  <c r="AH4" i="2"/>
  <c r="AG12" i="2"/>
  <c r="AG7" i="2"/>
  <c r="AG6" i="2"/>
  <c r="AG5" i="2"/>
  <c r="AG4" i="2"/>
  <c r="U95" i="2"/>
  <c r="U101" i="2"/>
  <c r="U81" i="2"/>
  <c r="U30" i="2"/>
  <c r="U31" i="2" s="1"/>
  <c r="U28" i="2"/>
  <c r="U22" i="2"/>
  <c r="U17" i="2"/>
  <c r="U13" i="2"/>
  <c r="V16" i="9"/>
  <c r="V13" i="9"/>
  <c r="V7" i="9"/>
  <c r="V26" i="8"/>
  <c r="V23" i="8"/>
  <c r="V21" i="8"/>
  <c r="V16" i="8"/>
  <c r="V14" i="8"/>
  <c r="V12" i="8"/>
  <c r="V10" i="8"/>
  <c r="V8" i="8"/>
  <c r="V6" i="8"/>
  <c r="V26" i="7"/>
  <c r="V23" i="7"/>
  <c r="V21" i="7"/>
  <c r="V19" i="7"/>
  <c r="V16" i="7"/>
  <c r="V14" i="7"/>
  <c r="V12" i="7"/>
  <c r="V10" i="7"/>
  <c r="V8" i="7"/>
  <c r="V6" i="7"/>
  <c r="E20" i="5" l="1"/>
  <c r="D11" i="5"/>
  <c r="F20" i="5"/>
  <c r="B101" i="5" s="1"/>
  <c r="U111" i="2"/>
  <c r="U93" i="2"/>
  <c r="U117" i="2" s="1"/>
  <c r="U77" i="2"/>
  <c r="U65" i="2"/>
  <c r="U61" i="2"/>
  <c r="U45" i="2"/>
  <c r="U42" i="2"/>
  <c r="U41" i="2"/>
  <c r="U40" i="2"/>
  <c r="U39" i="2"/>
  <c r="U37" i="2"/>
  <c r="U35" i="2"/>
  <c r="U34" i="2"/>
  <c r="U36" i="2"/>
  <c r="Y37" i="1"/>
  <c r="W37" i="1"/>
  <c r="Y36" i="1"/>
  <c r="W36" i="1"/>
  <c r="Y35" i="1"/>
  <c r="W35" i="1"/>
  <c r="Y34" i="1"/>
  <c r="W34" i="1"/>
  <c r="T7" i="9"/>
  <c r="S7" i="9"/>
  <c r="U16" i="9"/>
  <c r="U13" i="9"/>
  <c r="T13" i="9"/>
  <c r="S13" i="9"/>
  <c r="U10" i="9"/>
  <c r="T10" i="9"/>
  <c r="S10" i="9"/>
  <c r="U7" i="9"/>
  <c r="U10" i="7"/>
  <c r="U26" i="8"/>
  <c r="T26" i="8"/>
  <c r="S26" i="8"/>
  <c r="R26" i="8"/>
  <c r="Q26" i="8"/>
  <c r="U23" i="8"/>
  <c r="T23" i="8"/>
  <c r="S23" i="8"/>
  <c r="R23" i="8"/>
  <c r="Q23" i="8"/>
  <c r="U21" i="8"/>
  <c r="T21" i="8"/>
  <c r="S21" i="8"/>
  <c r="R21" i="8"/>
  <c r="Q21" i="8"/>
  <c r="U19" i="8"/>
  <c r="T19" i="8"/>
  <c r="S19" i="8"/>
  <c r="R19" i="8"/>
  <c r="Q19" i="8"/>
  <c r="U16" i="8"/>
  <c r="T16" i="8"/>
  <c r="S16" i="8"/>
  <c r="R16" i="8"/>
  <c r="Q16" i="8"/>
  <c r="U14" i="8"/>
  <c r="T14" i="8"/>
  <c r="S14" i="8"/>
  <c r="R14" i="8"/>
  <c r="Q14" i="8"/>
  <c r="U12" i="8"/>
  <c r="T12" i="8"/>
  <c r="S12" i="8"/>
  <c r="R12" i="8"/>
  <c r="Q12" i="8"/>
  <c r="U10" i="8"/>
  <c r="T10" i="8"/>
  <c r="S10" i="8"/>
  <c r="R10" i="8"/>
  <c r="Q10" i="8"/>
  <c r="U8" i="8"/>
  <c r="T8" i="8"/>
  <c r="S8" i="8"/>
  <c r="R8" i="8"/>
  <c r="Q8" i="8"/>
  <c r="U6" i="8"/>
  <c r="T6" i="8"/>
  <c r="S6" i="8"/>
  <c r="R6" i="8"/>
  <c r="Q6" i="8"/>
  <c r="U115" i="2" l="1"/>
  <c r="U78" i="2"/>
  <c r="T26" i="7"/>
  <c r="S26" i="7"/>
  <c r="R26" i="7"/>
  <c r="Q26" i="7"/>
  <c r="T23" i="7"/>
  <c r="S23" i="7"/>
  <c r="R23" i="7"/>
  <c r="Q23" i="7"/>
  <c r="T21" i="7"/>
  <c r="S21" i="7"/>
  <c r="R21" i="7"/>
  <c r="Q21" i="7"/>
  <c r="T19" i="7"/>
  <c r="S19" i="7"/>
  <c r="R19" i="7"/>
  <c r="Q19" i="7"/>
  <c r="T16" i="7"/>
  <c r="S16" i="7"/>
  <c r="R16" i="7"/>
  <c r="Q16" i="7"/>
  <c r="T14" i="7"/>
  <c r="S14" i="7"/>
  <c r="R14" i="7"/>
  <c r="Q14" i="7"/>
  <c r="T12" i="7"/>
  <c r="S12" i="7"/>
  <c r="R12" i="7"/>
  <c r="Q12" i="7"/>
  <c r="T10" i="7"/>
  <c r="S10" i="7"/>
  <c r="R10" i="7"/>
  <c r="Q10" i="7"/>
  <c r="Q8" i="7"/>
  <c r="R8" i="7"/>
  <c r="S8" i="7"/>
  <c r="T8" i="7"/>
  <c r="U26" i="7"/>
  <c r="U23" i="7"/>
  <c r="U21" i="7"/>
  <c r="U19" i="7"/>
  <c r="U16" i="7"/>
  <c r="U14" i="7"/>
  <c r="U12" i="7"/>
  <c r="U8" i="7"/>
  <c r="Q6" i="7"/>
  <c r="R6" i="7"/>
  <c r="S6" i="7"/>
  <c r="T6" i="7"/>
  <c r="U6" i="7"/>
  <c r="W33" i="1"/>
  <c r="W32" i="1"/>
  <c r="W31" i="1"/>
  <c r="W30" i="1"/>
  <c r="W29" i="1"/>
  <c r="Y28" i="1"/>
  <c r="X29" i="1" s="1"/>
  <c r="W28" i="1"/>
  <c r="AI5" i="2"/>
  <c r="AJ40" i="2" s="1"/>
  <c r="AH15" i="2"/>
  <c r="AH45" i="2" s="1"/>
  <c r="AH16" i="2"/>
  <c r="AH14" i="2"/>
  <c r="AH6" i="2"/>
  <c r="AI6" i="2" s="1"/>
  <c r="AH5" i="2"/>
  <c r="AH7" i="2"/>
  <c r="AH42" i="2" s="1"/>
  <c r="AG11" i="2"/>
  <c r="AG39" i="2"/>
  <c r="AF11" i="2"/>
  <c r="AF77" i="2"/>
  <c r="AF65" i="2"/>
  <c r="AF78" i="2" s="1"/>
  <c r="AF61" i="2"/>
  <c r="AE77" i="2"/>
  <c r="AD77" i="2"/>
  <c r="AC77" i="2"/>
  <c r="AB77" i="2"/>
  <c r="AA77" i="2"/>
  <c r="Z77" i="2"/>
  <c r="AE65" i="2"/>
  <c r="AD65" i="2"/>
  <c r="AC65" i="2"/>
  <c r="AB65" i="2"/>
  <c r="AA65" i="2"/>
  <c r="Z65" i="2"/>
  <c r="Z78" i="2" s="1"/>
  <c r="AE61" i="2"/>
  <c r="AD61" i="2"/>
  <c r="AC61" i="2"/>
  <c r="AB61" i="2"/>
  <c r="AA61" i="2"/>
  <c r="Z61" i="2"/>
  <c r="AK39" i="2"/>
  <c r="AL39" i="2"/>
  <c r="AM39" i="2"/>
  <c r="AN39" i="2"/>
  <c r="AO39" i="2"/>
  <c r="AP39" i="2"/>
  <c r="AK40" i="2"/>
  <c r="AL40" i="2"/>
  <c r="AM40" i="2"/>
  <c r="AN40" i="2"/>
  <c r="AO40" i="2"/>
  <c r="AP40" i="2"/>
  <c r="AL41" i="2"/>
  <c r="AM41" i="2"/>
  <c r="AN41" i="2"/>
  <c r="AO41" i="2"/>
  <c r="AP41" i="2"/>
  <c r="AK42" i="2"/>
  <c r="AL42" i="2"/>
  <c r="AM42" i="2"/>
  <c r="AN42" i="2"/>
  <c r="AO42" i="2"/>
  <c r="AP42" i="2"/>
  <c r="AG41" i="2"/>
  <c r="AG42" i="2"/>
  <c r="U47" i="2"/>
  <c r="V45" i="2"/>
  <c r="W45" i="2"/>
  <c r="W46" i="2" s="1"/>
  <c r="AD46" i="2"/>
  <c r="AE46" i="2"/>
  <c r="AF45" i="2"/>
  <c r="AF46" i="2" s="1"/>
  <c r="AE45" i="2"/>
  <c r="AE47" i="2" s="1"/>
  <c r="AD45" i="2"/>
  <c r="AD47" i="2" s="1"/>
  <c r="AC45" i="2"/>
  <c r="AC47" i="2" s="1"/>
  <c r="AB45" i="2"/>
  <c r="AB47" i="2" s="1"/>
  <c r="AA45" i="2"/>
  <c r="AA47" i="2" s="1"/>
  <c r="Z45" i="2"/>
  <c r="Z47" i="2" s="1"/>
  <c r="H46" i="2"/>
  <c r="O46" i="2"/>
  <c r="P46" i="2"/>
  <c r="P45" i="2"/>
  <c r="E45" i="2"/>
  <c r="F45" i="2"/>
  <c r="G45" i="2"/>
  <c r="H45" i="2"/>
  <c r="I45" i="2"/>
  <c r="I46" i="2" s="1"/>
  <c r="J45" i="2"/>
  <c r="K45" i="2"/>
  <c r="K46" i="2" s="1"/>
  <c r="L45" i="2"/>
  <c r="L46" i="2" s="1"/>
  <c r="M45" i="2"/>
  <c r="M46" i="2" s="1"/>
  <c r="N45" i="2"/>
  <c r="N46" i="2" s="1"/>
  <c r="O45" i="2"/>
  <c r="Q45" i="2"/>
  <c r="Q46" i="2" s="1"/>
  <c r="R45" i="2"/>
  <c r="S45" i="2"/>
  <c r="S46" i="2" s="1"/>
  <c r="T45" i="2"/>
  <c r="T46" i="2" s="1"/>
  <c r="D45" i="2"/>
  <c r="W11" i="2"/>
  <c r="V11" i="2"/>
  <c r="T100" i="2"/>
  <c r="T95" i="2"/>
  <c r="T101" i="2" s="1"/>
  <c r="T111" i="2"/>
  <c r="T93" i="2"/>
  <c r="T77" i="2"/>
  <c r="T65" i="2"/>
  <c r="T61" i="2"/>
  <c r="W26" i="1"/>
  <c r="W25" i="1"/>
  <c r="W24" i="1"/>
  <c r="W23" i="1"/>
  <c r="W22" i="1"/>
  <c r="W21" i="1"/>
  <c r="W20" i="1"/>
  <c r="W19" i="1"/>
  <c r="W18" i="1"/>
  <c r="W17" i="1"/>
  <c r="W16" i="1"/>
  <c r="W15" i="1"/>
  <c r="W13" i="1"/>
  <c r="W12" i="1"/>
  <c r="W11" i="1"/>
  <c r="W10" i="1"/>
  <c r="Y8" i="1"/>
  <c r="X9" i="1"/>
  <c r="V47" i="2" l="1"/>
  <c r="AH17" i="2"/>
  <c r="AH11" i="2"/>
  <c r="AH12" i="2" s="1"/>
  <c r="AI4" i="2"/>
  <c r="AJ39" i="2" s="1"/>
  <c r="AH41" i="2"/>
  <c r="AI7" i="2"/>
  <c r="AJ42" i="2" s="1"/>
  <c r="AI41" i="2"/>
  <c r="AJ41" i="2"/>
  <c r="AI40" i="2"/>
  <c r="AI11" i="2"/>
  <c r="AI12" i="2" s="1"/>
  <c r="AI39" i="2"/>
  <c r="Y30" i="1"/>
  <c r="Y29" i="1"/>
  <c r="Y32" i="1"/>
  <c r="Y33" i="1"/>
  <c r="Y31" i="1"/>
  <c r="Y9" i="1"/>
  <c r="X10" i="1" s="1"/>
  <c r="AI42" i="2"/>
  <c r="AK41" i="2"/>
  <c r="AH40" i="2"/>
  <c r="AH39" i="2"/>
  <c r="AG40" i="2"/>
  <c r="AD78" i="2"/>
  <c r="AC78" i="2"/>
  <c r="AB78" i="2"/>
  <c r="AA78" i="2"/>
  <c r="AE78" i="2"/>
  <c r="W47" i="2"/>
  <c r="AC46" i="2"/>
  <c r="V46" i="2"/>
  <c r="U46" i="2"/>
  <c r="R46" i="2"/>
  <c r="J46" i="2"/>
  <c r="T47" i="2"/>
  <c r="AB46" i="2"/>
  <c r="AA46" i="2"/>
  <c r="T115" i="2"/>
  <c r="T117" i="2"/>
  <c r="T78" i="2"/>
  <c r="W14" i="1"/>
  <c r="W9" i="1"/>
  <c r="W8" i="1"/>
  <c r="Y10" i="1" l="1"/>
  <c r="X11" i="1" s="1"/>
  <c r="T39" i="2"/>
  <c r="T40" i="2"/>
  <c r="T41" i="2"/>
  <c r="T42" i="2"/>
  <c r="AF47" i="2"/>
  <c r="Y11" i="1" l="1"/>
  <c r="X12" i="1" s="1"/>
  <c r="Y12" i="1"/>
  <c r="X13" i="1" s="1"/>
  <c r="AG45" i="2"/>
  <c r="T13" i="2"/>
  <c r="T17" i="2" s="1"/>
  <c r="AH46" i="2" l="1"/>
  <c r="AG47" i="2"/>
  <c r="Y13" i="1"/>
  <c r="X14" i="1" s="1"/>
  <c r="AG46" i="2"/>
  <c r="T36" i="2"/>
  <c r="T22" i="2"/>
  <c r="T35" i="2"/>
  <c r="S95" i="2"/>
  <c r="S101" i="2" s="1"/>
  <c r="Z59" i="4"/>
  <c r="Y59" i="4"/>
  <c r="X59" i="4"/>
  <c r="W59" i="4"/>
  <c r="T59" i="4"/>
  <c r="AA58" i="4"/>
  <c r="AA57" i="4"/>
  <c r="Z48" i="4"/>
  <c r="AA47" i="4"/>
  <c r="Y46" i="4"/>
  <c r="Z45" i="4"/>
  <c r="Y45" i="4"/>
  <c r="Y48" i="4" s="1"/>
  <c r="X45" i="4"/>
  <c r="X48" i="4" s="1"/>
  <c r="W45" i="4"/>
  <c r="W48" i="4" s="1"/>
  <c r="AA44" i="4"/>
  <c r="AA43" i="4"/>
  <c r="AA42" i="4"/>
  <c r="AA41" i="4"/>
  <c r="AA40" i="4"/>
  <c r="Y37" i="4"/>
  <c r="AA36" i="4"/>
  <c r="Z34" i="4"/>
  <c r="Y34" i="4"/>
  <c r="Y35" i="4" s="1"/>
  <c r="X34" i="4"/>
  <c r="X35" i="4" s="1"/>
  <c r="AA33" i="4"/>
  <c r="AA32" i="4"/>
  <c r="AA31" i="4"/>
  <c r="AA30" i="4"/>
  <c r="AA29" i="4"/>
  <c r="W34" i="4"/>
  <c r="AA25" i="4"/>
  <c r="Z23" i="4"/>
  <c r="Y23" i="4"/>
  <c r="Y26" i="4" s="1"/>
  <c r="X23" i="4"/>
  <c r="X26" i="4" s="1"/>
  <c r="AA22" i="4"/>
  <c r="AA21" i="4"/>
  <c r="AA20" i="4"/>
  <c r="AA19" i="4"/>
  <c r="AA18" i="4"/>
  <c r="AA17" i="4" s="1"/>
  <c r="W23" i="4"/>
  <c r="AA14" i="4"/>
  <c r="Z12" i="4"/>
  <c r="Z15" i="4" s="1"/>
  <c r="Y12" i="4"/>
  <c r="Y13" i="4" s="1"/>
  <c r="X12" i="4"/>
  <c r="X13" i="4" s="1"/>
  <c r="AA11" i="4"/>
  <c r="AA10" i="4"/>
  <c r="AA9" i="4"/>
  <c r="AA8" i="4"/>
  <c r="AA7" i="4"/>
  <c r="W12" i="4"/>
  <c r="AG19" i="2"/>
  <c r="AH19" i="2" s="1"/>
  <c r="AI19" i="2" s="1"/>
  <c r="AJ19" i="2" s="1"/>
  <c r="AK19" i="2" s="1"/>
  <c r="AL19" i="2" s="1"/>
  <c r="AM19" i="2" s="1"/>
  <c r="AN19" i="2" s="1"/>
  <c r="AO19" i="2" s="1"/>
  <c r="AP19" i="2" s="1"/>
  <c r="AG20" i="2"/>
  <c r="AH20" i="2" s="1"/>
  <c r="AI20" i="2" s="1"/>
  <c r="AJ20" i="2" s="1"/>
  <c r="AK20" i="2" s="1"/>
  <c r="AL20" i="2" s="1"/>
  <c r="AM20" i="2" s="1"/>
  <c r="AN20" i="2" s="1"/>
  <c r="AO20" i="2" s="1"/>
  <c r="AP20" i="2" s="1"/>
  <c r="AG21" i="2"/>
  <c r="AH21" i="2" s="1"/>
  <c r="AI21" i="2" s="1"/>
  <c r="AJ21" i="2" s="1"/>
  <c r="AK21" i="2" s="1"/>
  <c r="AL21" i="2" s="1"/>
  <c r="AM21" i="2" s="1"/>
  <c r="AN21" i="2" s="1"/>
  <c r="AO21" i="2" s="1"/>
  <c r="AP21" i="2" s="1"/>
  <c r="AG18" i="2"/>
  <c r="AH18" i="2" s="1"/>
  <c r="AI18" i="2" s="1"/>
  <c r="AJ18" i="2" s="1"/>
  <c r="AK18" i="2" s="1"/>
  <c r="AL18" i="2" s="1"/>
  <c r="AM18" i="2" s="1"/>
  <c r="AN18" i="2" s="1"/>
  <c r="AO18" i="2" s="1"/>
  <c r="AP18" i="2" s="1"/>
  <c r="AI15" i="2"/>
  <c r="AJ15" i="2" s="1"/>
  <c r="AK15" i="2" s="1"/>
  <c r="AL15" i="2" s="1"/>
  <c r="AM15" i="2" s="1"/>
  <c r="AN15" i="2" s="1"/>
  <c r="AO15" i="2" s="1"/>
  <c r="AP15" i="2" s="1"/>
  <c r="AI16" i="2"/>
  <c r="AJ16" i="2" s="1"/>
  <c r="AK16" i="2" s="1"/>
  <c r="AL16" i="2" s="1"/>
  <c r="AM16" i="2" s="1"/>
  <c r="AN16" i="2" s="1"/>
  <c r="AO16" i="2" s="1"/>
  <c r="AP16" i="2" s="1"/>
  <c r="G57" i="4"/>
  <c r="L57" i="4"/>
  <c r="Q57" i="4"/>
  <c r="V57" i="4"/>
  <c r="V50" i="4"/>
  <c r="S59" i="4"/>
  <c r="V59" i="4"/>
  <c r="Q59" i="4"/>
  <c r="L59" i="4"/>
  <c r="G59" i="4"/>
  <c r="V58" i="4"/>
  <c r="Q58" i="4"/>
  <c r="L58" i="4"/>
  <c r="G58" i="4"/>
  <c r="Q111" i="2"/>
  <c r="R111" i="2"/>
  <c r="S111" i="2"/>
  <c r="Q101" i="2"/>
  <c r="R101" i="2"/>
  <c r="Q93" i="2"/>
  <c r="Q117" i="2" s="1"/>
  <c r="R93" i="2"/>
  <c r="R117" i="2" s="1"/>
  <c r="S93" i="2"/>
  <c r="Q77" i="2"/>
  <c r="R77" i="2"/>
  <c r="S77" i="2"/>
  <c r="Q65" i="2"/>
  <c r="R65" i="2"/>
  <c r="S65" i="2"/>
  <c r="Q61" i="2"/>
  <c r="R61" i="2"/>
  <c r="S61" i="2"/>
  <c r="Q11" i="2"/>
  <c r="R11" i="2"/>
  <c r="R47" i="2" s="1"/>
  <c r="S11" i="2"/>
  <c r="Q39" i="2"/>
  <c r="R39" i="2"/>
  <c r="S39" i="2"/>
  <c r="Q40" i="2"/>
  <c r="R40" i="2"/>
  <c r="S40" i="2"/>
  <c r="Q41" i="2"/>
  <c r="R41" i="2"/>
  <c r="S41" i="2"/>
  <c r="Q42" i="2"/>
  <c r="R42" i="2"/>
  <c r="S42" i="2"/>
  <c r="D11" i="2"/>
  <c r="H39" i="2"/>
  <c r="I39" i="2"/>
  <c r="H40" i="2"/>
  <c r="I40" i="2"/>
  <c r="H41" i="2"/>
  <c r="I41" i="2"/>
  <c r="H42" i="2"/>
  <c r="I42" i="2"/>
  <c r="H43" i="2"/>
  <c r="I43" i="2"/>
  <c r="E11" i="2"/>
  <c r="J40" i="2"/>
  <c r="J39" i="2"/>
  <c r="J41" i="2"/>
  <c r="J42" i="2"/>
  <c r="J43" i="2"/>
  <c r="F11" i="2"/>
  <c r="F47" i="2" s="1"/>
  <c r="K43" i="2"/>
  <c r="K39" i="2"/>
  <c r="K40" i="2"/>
  <c r="K41" i="2"/>
  <c r="K42" i="2"/>
  <c r="G11" i="2"/>
  <c r="L39" i="2"/>
  <c r="L40" i="2"/>
  <c r="L41" i="2"/>
  <c r="L42" i="2"/>
  <c r="L43" i="2"/>
  <c r="H11" i="2"/>
  <c r="F52" i="4"/>
  <c r="E52" i="4"/>
  <c r="D52" i="4"/>
  <c r="D55" i="4"/>
  <c r="C52" i="4"/>
  <c r="R53" i="4"/>
  <c r="O17" i="4"/>
  <c r="P17" i="4"/>
  <c r="O23" i="4"/>
  <c r="K52" i="4"/>
  <c r="K55" i="4"/>
  <c r="J52" i="4"/>
  <c r="J55" i="4"/>
  <c r="I52" i="4"/>
  <c r="I55" i="4"/>
  <c r="H52" i="4"/>
  <c r="H55" i="4"/>
  <c r="O52" i="4"/>
  <c r="N52" i="4"/>
  <c r="P52" i="4"/>
  <c r="U53" i="4"/>
  <c r="F55" i="4"/>
  <c r="E55" i="4"/>
  <c r="C55" i="4"/>
  <c r="P53" i="4"/>
  <c r="N55" i="4"/>
  <c r="O55" i="4"/>
  <c r="S55" i="4"/>
  <c r="T55" i="4"/>
  <c r="U55" i="4"/>
  <c r="S53" i="4"/>
  <c r="T53" i="4"/>
  <c r="G54" i="4"/>
  <c r="G52" i="4"/>
  <c r="G51" i="4"/>
  <c r="G50" i="4"/>
  <c r="L54" i="4"/>
  <c r="L51" i="4"/>
  <c r="L50" i="4"/>
  <c r="Q54" i="4"/>
  <c r="Q51" i="4"/>
  <c r="Q50" i="4"/>
  <c r="V54" i="4"/>
  <c r="V51" i="4"/>
  <c r="V52" i="4"/>
  <c r="V55" i="4" s="1"/>
  <c r="M52" i="4"/>
  <c r="M55" i="4"/>
  <c r="R55" i="4"/>
  <c r="R52" i="4"/>
  <c r="V47" i="4"/>
  <c r="Q47" i="4"/>
  <c r="L47" i="4"/>
  <c r="G47" i="4"/>
  <c r="U45" i="4"/>
  <c r="Z46" i="4" s="1"/>
  <c r="U48" i="4"/>
  <c r="T45" i="4"/>
  <c r="T46" i="4" s="1"/>
  <c r="T48" i="4"/>
  <c r="S45" i="4"/>
  <c r="S48" i="4"/>
  <c r="V44" i="4"/>
  <c r="Q44" i="4"/>
  <c r="L44" i="4"/>
  <c r="G44" i="4"/>
  <c r="V43" i="4"/>
  <c r="Q43" i="4"/>
  <c r="L43" i="4"/>
  <c r="G43" i="4"/>
  <c r="V42" i="4"/>
  <c r="Q42" i="4"/>
  <c r="L42" i="4"/>
  <c r="G42" i="4"/>
  <c r="V41" i="4"/>
  <c r="Q41" i="4"/>
  <c r="L41" i="4"/>
  <c r="L39" i="4"/>
  <c r="G41" i="4"/>
  <c r="V40" i="4"/>
  <c r="Q40" i="4"/>
  <c r="L40" i="4"/>
  <c r="G40" i="4"/>
  <c r="R39" i="4"/>
  <c r="R45" i="4"/>
  <c r="P39" i="4"/>
  <c r="P45" i="4"/>
  <c r="P48" i="4"/>
  <c r="O39" i="4"/>
  <c r="O45" i="4"/>
  <c r="O46" i="4"/>
  <c r="N39" i="4"/>
  <c r="N45" i="4"/>
  <c r="M39" i="4"/>
  <c r="M45" i="4"/>
  <c r="K39" i="4"/>
  <c r="K45" i="4"/>
  <c r="J39" i="4"/>
  <c r="J45" i="4"/>
  <c r="J48" i="4"/>
  <c r="I39" i="4"/>
  <c r="I45" i="4"/>
  <c r="I48" i="4"/>
  <c r="H39" i="4"/>
  <c r="H45" i="4"/>
  <c r="H48" i="4"/>
  <c r="F39" i="4"/>
  <c r="F45" i="4"/>
  <c r="F48" i="4"/>
  <c r="E39" i="4"/>
  <c r="E45" i="4"/>
  <c r="E48" i="4"/>
  <c r="D39" i="4"/>
  <c r="D45" i="4"/>
  <c r="C39" i="4"/>
  <c r="C45" i="4"/>
  <c r="V36" i="4"/>
  <c r="Q36" i="4"/>
  <c r="L36" i="4"/>
  <c r="G36" i="4"/>
  <c r="U34" i="4"/>
  <c r="U35" i="4" s="1"/>
  <c r="T34" i="4"/>
  <c r="T35" i="4" s="1"/>
  <c r="S34" i="4"/>
  <c r="S37" i="4"/>
  <c r="F34" i="4"/>
  <c r="F37" i="4"/>
  <c r="V33" i="4"/>
  <c r="Q33" i="4"/>
  <c r="L33" i="4"/>
  <c r="G33" i="4"/>
  <c r="V32" i="4"/>
  <c r="Q32" i="4"/>
  <c r="L32" i="4"/>
  <c r="G32" i="4"/>
  <c r="V31" i="4"/>
  <c r="Q31" i="4"/>
  <c r="L31" i="4"/>
  <c r="G31" i="4"/>
  <c r="V30" i="4"/>
  <c r="Q30" i="4"/>
  <c r="L30" i="4"/>
  <c r="G30" i="4"/>
  <c r="V29" i="4"/>
  <c r="Q29" i="4"/>
  <c r="L29" i="4"/>
  <c r="G29" i="4"/>
  <c r="R28" i="4"/>
  <c r="R34" i="4"/>
  <c r="P28" i="4"/>
  <c r="P34" i="4"/>
  <c r="P37" i="4"/>
  <c r="O28" i="4"/>
  <c r="O34" i="4"/>
  <c r="N28" i="4"/>
  <c r="N34" i="4"/>
  <c r="N37" i="4"/>
  <c r="M28" i="4"/>
  <c r="M34" i="4"/>
  <c r="M37" i="4"/>
  <c r="K28" i="4"/>
  <c r="K34" i="4"/>
  <c r="K37" i="4"/>
  <c r="J28" i="4"/>
  <c r="J34" i="4"/>
  <c r="J37" i="4"/>
  <c r="I28" i="4"/>
  <c r="I34" i="4"/>
  <c r="I37" i="4"/>
  <c r="H28" i="4"/>
  <c r="H34" i="4"/>
  <c r="H37" i="4"/>
  <c r="F28" i="4"/>
  <c r="E28" i="4"/>
  <c r="E34" i="4"/>
  <c r="E37" i="4"/>
  <c r="D28" i="4"/>
  <c r="D34" i="4"/>
  <c r="D37" i="4"/>
  <c r="C28" i="4"/>
  <c r="C34" i="4"/>
  <c r="C37" i="4"/>
  <c r="V25" i="4"/>
  <c r="Q25" i="4"/>
  <c r="L25" i="4"/>
  <c r="G25" i="4"/>
  <c r="U23" i="4"/>
  <c r="U26" i="4" s="1"/>
  <c r="T23" i="4"/>
  <c r="T26" i="4" s="1"/>
  <c r="S23" i="4"/>
  <c r="S26" i="4"/>
  <c r="K23" i="4"/>
  <c r="K26" i="4"/>
  <c r="F23" i="4"/>
  <c r="F26" i="4"/>
  <c r="E23" i="4"/>
  <c r="E26" i="4"/>
  <c r="V22" i="4"/>
  <c r="Q22" i="4"/>
  <c r="L22" i="4"/>
  <c r="G22" i="4"/>
  <c r="V21" i="4"/>
  <c r="Q21" i="4"/>
  <c r="L21" i="4"/>
  <c r="G21" i="4"/>
  <c r="V20" i="4"/>
  <c r="Q20" i="4"/>
  <c r="L20" i="4"/>
  <c r="G20" i="4"/>
  <c r="V19" i="4"/>
  <c r="V17" i="4" s="1"/>
  <c r="Q19" i="4"/>
  <c r="L19" i="4"/>
  <c r="G19" i="4"/>
  <c r="V18" i="4"/>
  <c r="Q18" i="4"/>
  <c r="L18" i="4"/>
  <c r="G18" i="4"/>
  <c r="R17" i="4"/>
  <c r="R23" i="4"/>
  <c r="P23" i="4"/>
  <c r="P26" i="4"/>
  <c r="N17" i="4"/>
  <c r="N23" i="4"/>
  <c r="M17" i="4"/>
  <c r="M23" i="4"/>
  <c r="M26" i="4"/>
  <c r="K17" i="4"/>
  <c r="J17" i="4"/>
  <c r="I17" i="4"/>
  <c r="I23" i="4"/>
  <c r="I26" i="4"/>
  <c r="H17" i="4"/>
  <c r="H23" i="4"/>
  <c r="H26" i="4"/>
  <c r="F17" i="4"/>
  <c r="E17" i="4"/>
  <c r="D17" i="4"/>
  <c r="D23" i="4"/>
  <c r="D26" i="4"/>
  <c r="C17" i="4"/>
  <c r="C23" i="4"/>
  <c r="C26" i="4"/>
  <c r="G14" i="4"/>
  <c r="G11" i="4"/>
  <c r="G10" i="4"/>
  <c r="G9" i="4"/>
  <c r="G8" i="4"/>
  <c r="G7" i="4"/>
  <c r="L14" i="4"/>
  <c r="L11" i="4"/>
  <c r="L10" i="4"/>
  <c r="L9" i="4"/>
  <c r="L8" i="4"/>
  <c r="L7" i="4"/>
  <c r="V14" i="4"/>
  <c r="V11" i="4"/>
  <c r="V10" i="4"/>
  <c r="V9" i="4"/>
  <c r="V8" i="4"/>
  <c r="V7" i="4"/>
  <c r="Q14" i="4"/>
  <c r="Q10" i="4"/>
  <c r="Q11" i="4"/>
  <c r="Q9" i="4"/>
  <c r="Q8" i="4"/>
  <c r="S12" i="4"/>
  <c r="S15" i="4"/>
  <c r="T12" i="4"/>
  <c r="T15" i="4" s="1"/>
  <c r="U12" i="4"/>
  <c r="U15" i="4" s="1"/>
  <c r="C6" i="4"/>
  <c r="C12" i="4"/>
  <c r="C15" i="4"/>
  <c r="D6" i="4"/>
  <c r="D12" i="4"/>
  <c r="D15" i="4"/>
  <c r="E6" i="4"/>
  <c r="E12" i="4"/>
  <c r="E15" i="4"/>
  <c r="F6" i="4"/>
  <c r="F12" i="4"/>
  <c r="F15" i="4"/>
  <c r="H6" i="4"/>
  <c r="H12" i="4"/>
  <c r="I6" i="4"/>
  <c r="I12" i="4"/>
  <c r="J6" i="4"/>
  <c r="J12" i="4"/>
  <c r="K6" i="4"/>
  <c r="K12" i="4"/>
  <c r="K15" i="4"/>
  <c r="M6" i="4"/>
  <c r="M12" i="4"/>
  <c r="O6" i="4"/>
  <c r="O12" i="4"/>
  <c r="P6" i="4"/>
  <c r="P12" i="4"/>
  <c r="R6" i="4"/>
  <c r="R12" i="4"/>
  <c r="R15" i="4"/>
  <c r="O40" i="2"/>
  <c r="M39" i="2"/>
  <c r="N39" i="2"/>
  <c r="O39" i="2"/>
  <c r="M40" i="2"/>
  <c r="N40" i="2"/>
  <c r="M41" i="2"/>
  <c r="N41" i="2"/>
  <c r="O41" i="2"/>
  <c r="M42" i="2"/>
  <c r="N42" i="2"/>
  <c r="O42" i="2"/>
  <c r="M43" i="2"/>
  <c r="N43" i="2"/>
  <c r="O43" i="2"/>
  <c r="P40" i="2"/>
  <c r="P41" i="2"/>
  <c r="P42" i="2"/>
  <c r="P43" i="2"/>
  <c r="P39" i="2"/>
  <c r="Z95" i="2"/>
  <c r="Z86" i="2"/>
  <c r="Z93" i="2" s="1"/>
  <c r="AA95" i="2"/>
  <c r="AA101" i="2" s="1"/>
  <c r="AA87" i="2"/>
  <c r="AA93" i="2"/>
  <c r="Z21" i="2"/>
  <c r="Z13" i="2"/>
  <c r="Z17" i="2" s="1"/>
  <c r="AA21" i="2"/>
  <c r="AA13" i="2"/>
  <c r="AA35" i="2" s="1"/>
  <c r="AB95" i="2"/>
  <c r="AB88" i="2"/>
  <c r="AB93" i="2" s="1"/>
  <c r="AB117" i="2" s="1"/>
  <c r="AC95" i="2"/>
  <c r="AC101" i="2" s="1"/>
  <c r="AC88" i="2"/>
  <c r="AC93" i="2" s="1"/>
  <c r="AB13" i="2"/>
  <c r="AB17" i="2" s="1"/>
  <c r="AC13" i="2"/>
  <c r="AC35" i="2" s="1"/>
  <c r="AD103" i="2"/>
  <c r="AD111" i="2" s="1"/>
  <c r="AD95" i="2"/>
  <c r="AD101" i="2" s="1"/>
  <c r="AD88" i="2"/>
  <c r="AD93" i="2" s="1"/>
  <c r="AE95" i="2"/>
  <c r="AE101" i="2" s="1"/>
  <c r="AA111" i="2"/>
  <c r="AB111" i="2"/>
  <c r="AC111" i="2"/>
  <c r="AE111" i="2"/>
  <c r="AF111" i="2"/>
  <c r="Z111" i="2"/>
  <c r="AB101" i="2"/>
  <c r="AF101" i="2"/>
  <c r="AE93" i="2"/>
  <c r="AF93" i="2"/>
  <c r="AF117" i="2" s="1"/>
  <c r="AA34" i="2"/>
  <c r="AB34" i="2"/>
  <c r="AC34" i="2"/>
  <c r="AD34" i="2"/>
  <c r="AE34" i="2"/>
  <c r="AD13" i="2"/>
  <c r="AD35" i="2" s="1"/>
  <c r="AE13" i="2"/>
  <c r="AE17" i="2" s="1"/>
  <c r="G28" i="4"/>
  <c r="G34" i="4"/>
  <c r="G37" i="4"/>
  <c r="D48" i="4"/>
  <c r="I46" i="4"/>
  <c r="N48" i="4"/>
  <c r="N46" i="4"/>
  <c r="N26" i="4"/>
  <c r="N24" i="4"/>
  <c r="S24" i="4"/>
  <c r="C48" i="4"/>
  <c r="H46" i="4"/>
  <c r="M48" i="4"/>
  <c r="M46" i="4"/>
  <c r="S46" i="4"/>
  <c r="G55" i="4"/>
  <c r="H53" i="4"/>
  <c r="G6" i="4"/>
  <c r="G12" i="4"/>
  <c r="G15" i="4"/>
  <c r="M24" i="4"/>
  <c r="N53" i="4"/>
  <c r="I53" i="4"/>
  <c r="G17" i="4"/>
  <c r="G23" i="4"/>
  <c r="G26" i="4"/>
  <c r="H24" i="4"/>
  <c r="K53" i="4"/>
  <c r="S35" i="4"/>
  <c r="I24" i="4"/>
  <c r="G39" i="4"/>
  <c r="G45" i="4"/>
  <c r="G48" i="4"/>
  <c r="M35" i="4"/>
  <c r="H35" i="4"/>
  <c r="N35" i="4"/>
  <c r="I35" i="4"/>
  <c r="J23" i="4"/>
  <c r="O24" i="4"/>
  <c r="I15" i="4"/>
  <c r="I13" i="4"/>
  <c r="M13" i="4"/>
  <c r="R13" i="4"/>
  <c r="M15" i="4"/>
  <c r="H15" i="4"/>
  <c r="H13" i="4"/>
  <c r="O53" i="4"/>
  <c r="J53" i="4"/>
  <c r="L52" i="4"/>
  <c r="L53" i="4"/>
  <c r="J46" i="4"/>
  <c r="O48" i="4"/>
  <c r="Q39" i="4"/>
  <c r="Q45" i="4"/>
  <c r="J35" i="4"/>
  <c r="O37" i="4"/>
  <c r="O35" i="4"/>
  <c r="J24" i="4"/>
  <c r="O26" i="4"/>
  <c r="T24" i="4"/>
  <c r="J15" i="4"/>
  <c r="J13" i="4"/>
  <c r="O13" i="4"/>
  <c r="O15" i="4"/>
  <c r="P55" i="4"/>
  <c r="Q52" i="4"/>
  <c r="V53" i="4"/>
  <c r="L45" i="4"/>
  <c r="L48" i="4"/>
  <c r="K48" i="4"/>
  <c r="K46" i="4"/>
  <c r="P46" i="4"/>
  <c r="U46" i="4"/>
  <c r="L28" i="4"/>
  <c r="L34" i="4"/>
  <c r="K35" i="4"/>
  <c r="P35" i="4"/>
  <c r="Q28" i="4"/>
  <c r="Q34" i="4"/>
  <c r="L17" i="4"/>
  <c r="L23" i="4"/>
  <c r="K24" i="4"/>
  <c r="P24" i="4"/>
  <c r="K13" i="4"/>
  <c r="L6" i="4"/>
  <c r="L12" i="4"/>
  <c r="P15" i="4"/>
  <c r="P13" i="4"/>
  <c r="M53" i="4"/>
  <c r="V39" i="4"/>
  <c r="R46" i="4"/>
  <c r="R48" i="4"/>
  <c r="R35" i="4"/>
  <c r="R37" i="4"/>
  <c r="Q17" i="4"/>
  <c r="Q23" i="4"/>
  <c r="R24" i="4"/>
  <c r="R26" i="4"/>
  <c r="L35" i="4"/>
  <c r="L24" i="4"/>
  <c r="J26" i="4"/>
  <c r="L13" i="4"/>
  <c r="L46" i="4"/>
  <c r="L55" i="4"/>
  <c r="Q55" i="4"/>
  <c r="Q46" i="4"/>
  <c r="Q48" i="4"/>
  <c r="Q35" i="4"/>
  <c r="L37" i="4"/>
  <c r="Q37" i="4"/>
  <c r="L26" i="4"/>
  <c r="Q24" i="4"/>
  <c r="Q53" i="4"/>
  <c r="Q26" i="4"/>
  <c r="L15" i="4"/>
  <c r="E95" i="2"/>
  <c r="E101" i="2" s="1"/>
  <c r="E88" i="2"/>
  <c r="E93" i="2" s="1"/>
  <c r="F95" i="2"/>
  <c r="F101" i="2" s="1"/>
  <c r="G95" i="2"/>
  <c r="G101" i="2" s="1"/>
  <c r="D95" i="2"/>
  <c r="D101" i="2" s="1"/>
  <c r="D93" i="2"/>
  <c r="H95" i="2"/>
  <c r="H101" i="2" s="1"/>
  <c r="I95" i="2"/>
  <c r="I101" i="2" s="1"/>
  <c r="I88" i="2"/>
  <c r="I93" i="2" s="1"/>
  <c r="M95" i="2"/>
  <c r="M101" i="2" s="1"/>
  <c r="I11" i="2"/>
  <c r="M11" i="2"/>
  <c r="J95" i="2"/>
  <c r="N95" i="2"/>
  <c r="N101" i="2" s="1"/>
  <c r="J11" i="2"/>
  <c r="N11" i="2"/>
  <c r="K103" i="2"/>
  <c r="K111" i="2" s="1"/>
  <c r="K95" i="2"/>
  <c r="K101" i="2" s="1"/>
  <c r="O95" i="2"/>
  <c r="O101" i="2" s="1"/>
  <c r="O93" i="2"/>
  <c r="L95" i="2"/>
  <c r="L101" i="2" s="1"/>
  <c r="L11" i="2"/>
  <c r="D111" i="2"/>
  <c r="E111" i="2"/>
  <c r="F111" i="2"/>
  <c r="G111" i="2"/>
  <c r="H111" i="2"/>
  <c r="I111" i="2"/>
  <c r="J111" i="2"/>
  <c r="L111" i="2"/>
  <c r="M111" i="2"/>
  <c r="N111" i="2"/>
  <c r="O111" i="2"/>
  <c r="P111" i="2"/>
  <c r="P95" i="2"/>
  <c r="P101" i="2" s="1"/>
  <c r="F93" i="2"/>
  <c r="G93" i="2"/>
  <c r="H93" i="2"/>
  <c r="J93" i="2"/>
  <c r="K93" i="2"/>
  <c r="L93" i="2"/>
  <c r="M93" i="2"/>
  <c r="N93" i="2"/>
  <c r="P93" i="2"/>
  <c r="D61" i="2"/>
  <c r="E61" i="2"/>
  <c r="F61" i="2"/>
  <c r="G61" i="2"/>
  <c r="H61" i="2"/>
  <c r="I61" i="2"/>
  <c r="J61" i="2"/>
  <c r="K61" i="2"/>
  <c r="L61" i="2"/>
  <c r="M61" i="2"/>
  <c r="N61" i="2"/>
  <c r="D65" i="2"/>
  <c r="E65" i="2"/>
  <c r="F65" i="2"/>
  <c r="G65" i="2"/>
  <c r="H65" i="2"/>
  <c r="I65" i="2"/>
  <c r="J65" i="2"/>
  <c r="K65" i="2"/>
  <c r="L65" i="2"/>
  <c r="M65" i="2"/>
  <c r="N65" i="2"/>
  <c r="D77" i="2"/>
  <c r="E77" i="2"/>
  <c r="F77" i="2"/>
  <c r="G77" i="2"/>
  <c r="H77" i="2"/>
  <c r="I77" i="2"/>
  <c r="J77" i="2"/>
  <c r="K77" i="2"/>
  <c r="L77" i="2"/>
  <c r="M77" i="2"/>
  <c r="N77" i="2"/>
  <c r="P77" i="2"/>
  <c r="P65" i="2"/>
  <c r="P61" i="2"/>
  <c r="P11" i="2"/>
  <c r="F13" i="2"/>
  <c r="F35" i="2" s="1"/>
  <c r="O77" i="2"/>
  <c r="O65" i="2"/>
  <c r="O61" i="2"/>
  <c r="K11" i="2"/>
  <c r="K47" i="2" s="1"/>
  <c r="O11" i="2"/>
  <c r="B6" i="2"/>
  <c r="Q7" i="4"/>
  <c r="Q6" i="4"/>
  <c r="Q12" i="4"/>
  <c r="Q13" i="4"/>
  <c r="N6" i="4"/>
  <c r="N12" i="4"/>
  <c r="N15" i="4"/>
  <c r="N13" i="4"/>
  <c r="Q15" i="4"/>
  <c r="S13" i="4"/>
  <c r="AA59" i="4" l="1"/>
  <c r="X46" i="4"/>
  <c r="AA28" i="4"/>
  <c r="X37" i="4"/>
  <c r="X24" i="4"/>
  <c r="Y14" i="1"/>
  <c r="X15" i="1" s="1"/>
  <c r="T34" i="2"/>
  <c r="P47" i="2"/>
  <c r="Q13" i="2"/>
  <c r="Q17" i="2" s="1"/>
  <c r="Q47" i="2"/>
  <c r="K13" i="2"/>
  <c r="N13" i="2"/>
  <c r="N47" i="2"/>
  <c r="D13" i="2"/>
  <c r="D35" i="2" s="1"/>
  <c r="D47" i="2"/>
  <c r="O13" i="2"/>
  <c r="O47" i="2"/>
  <c r="L13" i="2"/>
  <c r="L35" i="2" s="1"/>
  <c r="L47" i="2"/>
  <c r="R13" i="2"/>
  <c r="R17" i="2" s="1"/>
  <c r="R36" i="2" s="1"/>
  <c r="H13" i="2"/>
  <c r="H35" i="2" s="1"/>
  <c r="H47" i="2"/>
  <c r="O117" i="2"/>
  <c r="M13" i="2"/>
  <c r="M35" i="2" s="1"/>
  <c r="M47" i="2"/>
  <c r="AA117" i="2"/>
  <c r="J13" i="2"/>
  <c r="J35" i="2" s="1"/>
  <c r="J47" i="2"/>
  <c r="G13" i="2"/>
  <c r="G35" i="2" s="1"/>
  <c r="G47" i="2"/>
  <c r="F17" i="2"/>
  <c r="F22" i="2" s="1"/>
  <c r="I34" i="2"/>
  <c r="I47" i="2"/>
  <c r="E13" i="2"/>
  <c r="E35" i="2" s="1"/>
  <c r="E47" i="2"/>
  <c r="S13" i="2"/>
  <c r="S17" i="2" s="1"/>
  <c r="S47" i="2"/>
  <c r="AI14" i="2"/>
  <c r="O34" i="2"/>
  <c r="K117" i="2"/>
  <c r="G78" i="2"/>
  <c r="AB35" i="2"/>
  <c r="I13" i="2"/>
  <c r="I35" i="2" s="1"/>
  <c r="N78" i="2"/>
  <c r="F78" i="2"/>
  <c r="G117" i="2"/>
  <c r="N115" i="2"/>
  <c r="L117" i="2"/>
  <c r="T28" i="2"/>
  <c r="T37" i="2"/>
  <c r="AD17" i="2"/>
  <c r="AD36" i="2" s="1"/>
  <c r="L34" i="2"/>
  <c r="D115" i="2"/>
  <c r="P78" i="2"/>
  <c r="K78" i="2"/>
  <c r="AE117" i="2"/>
  <c r="R78" i="2"/>
  <c r="R115" i="2"/>
  <c r="AA39" i="4"/>
  <c r="AA45" i="4" s="1"/>
  <c r="AA48" i="4" s="1"/>
  <c r="W46" i="4"/>
  <c r="AA23" i="4"/>
  <c r="AA6" i="4"/>
  <c r="AA12" i="4" s="1"/>
  <c r="AA15" i="4" s="1"/>
  <c r="O17" i="2"/>
  <c r="O36" i="2" s="1"/>
  <c r="O35" i="2"/>
  <c r="AH34" i="2"/>
  <c r="AB22" i="2"/>
  <c r="AB28" i="2" s="1"/>
  <c r="AB36" i="2"/>
  <c r="F36" i="2"/>
  <c r="AB115" i="2"/>
  <c r="AE35" i="2"/>
  <c r="AC17" i="2"/>
  <c r="AC22" i="2" s="1"/>
  <c r="AC37" i="2" s="1"/>
  <c r="O78" i="2"/>
  <c r="P117" i="2"/>
  <c r="M78" i="2"/>
  <c r="E78" i="2"/>
  <c r="AD22" i="2"/>
  <c r="AD28" i="2" s="1"/>
  <c r="AD81" i="2" s="1"/>
  <c r="AE115" i="2"/>
  <c r="Z117" i="2"/>
  <c r="AD117" i="2"/>
  <c r="R22" i="2"/>
  <c r="E115" i="2"/>
  <c r="E117" i="2"/>
  <c r="AE36" i="2"/>
  <c r="AE22" i="2"/>
  <c r="AE37" i="2" s="1"/>
  <c r="M34" i="2"/>
  <c r="K34" i="2"/>
  <c r="J78" i="2"/>
  <c r="J117" i="2"/>
  <c r="B9" i="2"/>
  <c r="B6" i="6" s="1"/>
  <c r="P34" i="2"/>
  <c r="I78" i="2"/>
  <c r="L78" i="2"/>
  <c r="D78" i="2"/>
  <c r="AC115" i="2"/>
  <c r="AD115" i="2"/>
  <c r="N117" i="2"/>
  <c r="H115" i="2"/>
  <c r="Z101" i="2"/>
  <c r="Z115" i="2" s="1"/>
  <c r="Q115" i="2"/>
  <c r="G115" i="2"/>
  <c r="F115" i="2"/>
  <c r="M17" i="2"/>
  <c r="M22" i="2" s="1"/>
  <c r="M37" i="2" s="1"/>
  <c r="M115" i="2"/>
  <c r="J101" i="2"/>
  <c r="J115" i="2" s="1"/>
  <c r="D117" i="2"/>
  <c r="AF115" i="2"/>
  <c r="AA17" i="2"/>
  <c r="J17" i="2"/>
  <c r="F37" i="2"/>
  <c r="F28" i="2"/>
  <c r="Z36" i="2"/>
  <c r="Z22" i="2"/>
  <c r="P13" i="2"/>
  <c r="AH13" i="2"/>
  <c r="I117" i="2"/>
  <c r="I115" i="2"/>
  <c r="L17" i="2"/>
  <c r="Z35" i="2"/>
  <c r="Q78" i="2"/>
  <c r="J34" i="2"/>
  <c r="F117" i="2"/>
  <c r="AC28" i="2"/>
  <c r="AC36" i="2"/>
  <c r="AA115" i="2"/>
  <c r="H34" i="2"/>
  <c r="H78" i="2"/>
  <c r="P115" i="2"/>
  <c r="H117" i="2"/>
  <c r="AC117" i="2"/>
  <c r="Q22" i="2"/>
  <c r="Q36" i="2"/>
  <c r="L115" i="2"/>
  <c r="Q34" i="2"/>
  <c r="K115" i="2"/>
  <c r="O115" i="2"/>
  <c r="M117" i="2"/>
  <c r="Q35" i="2"/>
  <c r="AG34" i="2"/>
  <c r="AG13" i="2"/>
  <c r="AF34" i="2"/>
  <c r="AF13" i="2"/>
  <c r="S115" i="2"/>
  <c r="S117" i="2"/>
  <c r="S78" i="2"/>
  <c r="U37" i="4"/>
  <c r="V28" i="4"/>
  <c r="Z35" i="4"/>
  <c r="U24" i="4"/>
  <c r="Z24" i="4"/>
  <c r="U13" i="4"/>
  <c r="S35" i="2"/>
  <c r="S34" i="2"/>
  <c r="AA26" i="4"/>
  <c r="AA34" i="4"/>
  <c r="AA37" i="4" s="1"/>
  <c r="W13" i="4"/>
  <c r="W15" i="4"/>
  <c r="W26" i="4"/>
  <c r="W24" i="4"/>
  <c r="W35" i="4"/>
  <c r="W37" i="4"/>
  <c r="X15" i="4"/>
  <c r="Z37" i="4"/>
  <c r="Z13" i="4"/>
  <c r="Y15" i="4"/>
  <c r="Z26" i="4"/>
  <c r="Y24" i="4"/>
  <c r="V45" i="4"/>
  <c r="V46" i="4" s="1"/>
  <c r="T37" i="4"/>
  <c r="V34" i="4"/>
  <c r="V23" i="4"/>
  <c r="V26" i="4" s="1"/>
  <c r="V6" i="4"/>
  <c r="V12" i="4" s="1"/>
  <c r="V15" i="4" s="1"/>
  <c r="T13" i="4"/>
  <c r="N34" i="2"/>
  <c r="N17" i="2"/>
  <c r="N35" i="2"/>
  <c r="R34" i="2"/>
  <c r="AJ14" i="2" l="1"/>
  <c r="AI45" i="2"/>
  <c r="Y15" i="1"/>
  <c r="X16" i="1" s="1"/>
  <c r="K17" i="2"/>
  <c r="K35" i="2"/>
  <c r="R35" i="2"/>
  <c r="E17" i="2"/>
  <c r="E22" i="2" s="1"/>
  <c r="H17" i="2"/>
  <c r="D17" i="2"/>
  <c r="D36" i="2" s="1"/>
  <c r="G17" i="2"/>
  <c r="G22" i="2" s="1"/>
  <c r="AH47" i="2"/>
  <c r="I17" i="2"/>
  <c r="O22" i="2"/>
  <c r="O28" i="2" s="1"/>
  <c r="AJ11" i="2"/>
  <c r="AJ12" i="2" s="1"/>
  <c r="AI13" i="2"/>
  <c r="AI35" i="2" s="1"/>
  <c r="T30" i="2"/>
  <c r="T31" i="2" s="1"/>
  <c r="T81" i="2"/>
  <c r="AD37" i="2"/>
  <c r="AA35" i="4"/>
  <c r="AI34" i="2"/>
  <c r="M36" i="2"/>
  <c r="AB37" i="2"/>
  <c r="M28" i="2"/>
  <c r="AD30" i="2"/>
  <c r="AD31" i="2" s="1"/>
  <c r="AE28" i="2"/>
  <c r="AE30" i="2" s="1"/>
  <c r="AE31" i="2" s="1"/>
  <c r="AA22" i="2"/>
  <c r="AA36" i="2"/>
  <c r="R37" i="2"/>
  <c r="R28" i="2"/>
  <c r="AF17" i="2"/>
  <c r="AF35" i="2"/>
  <c r="AC30" i="2"/>
  <c r="AC31" i="2" s="1"/>
  <c r="AC81" i="2"/>
  <c r="AG17" i="2"/>
  <c r="AG35" i="2"/>
  <c r="Z37" i="2"/>
  <c r="Z28" i="2"/>
  <c r="G36" i="2"/>
  <c r="O37" i="2"/>
  <c r="L22" i="2"/>
  <c r="L36" i="2"/>
  <c r="M30" i="2"/>
  <c r="M31" i="2" s="1"/>
  <c r="M81" i="2"/>
  <c r="AH35" i="2"/>
  <c r="F30" i="2"/>
  <c r="F31" i="2" s="1"/>
  <c r="F81" i="2"/>
  <c r="Q37" i="2"/>
  <c r="Q28" i="2"/>
  <c r="P35" i="2"/>
  <c r="P17" i="2"/>
  <c r="E36" i="2"/>
  <c r="AB30" i="2"/>
  <c r="AB31" i="2" s="1"/>
  <c r="AB81" i="2"/>
  <c r="J36" i="2"/>
  <c r="J22" i="2"/>
  <c r="I22" i="2"/>
  <c r="I36" i="2"/>
  <c r="AA46" i="4"/>
  <c r="V35" i="4"/>
  <c r="V37" i="4"/>
  <c r="AA24" i="4"/>
  <c r="AA13" i="4"/>
  <c r="S22" i="2"/>
  <c r="S36" i="2"/>
  <c r="V48" i="4"/>
  <c r="V24" i="4"/>
  <c r="V13" i="4"/>
  <c r="N36" i="2"/>
  <c r="N22" i="2"/>
  <c r="B14" i="2" l="1"/>
  <c r="AI46" i="2"/>
  <c r="AI47" i="2"/>
  <c r="AK14" i="2"/>
  <c r="AJ45" i="2"/>
  <c r="AJ34" i="2"/>
  <c r="B4" i="6"/>
  <c r="B19" i="6" s="1"/>
  <c r="Y16" i="1"/>
  <c r="X17" i="1" s="1"/>
  <c r="Y17" i="1" s="1"/>
  <c r="X18" i="1" s="1"/>
  <c r="Y18" i="1" s="1"/>
  <c r="X19" i="1" s="1"/>
  <c r="Y19" i="1" s="1"/>
  <c r="X20" i="1" s="1"/>
  <c r="Y20" i="1" s="1"/>
  <c r="X21" i="1" s="1"/>
  <c r="Y21" i="1" s="1"/>
  <c r="X22" i="1" s="1"/>
  <c r="Y22" i="1" s="1"/>
  <c r="X23" i="1" s="1"/>
  <c r="Y23" i="1" s="1"/>
  <c r="X24" i="1" s="1"/>
  <c r="Y24" i="1" s="1"/>
  <c r="X25" i="1" s="1"/>
  <c r="Y25" i="1" s="1"/>
  <c r="X26" i="1" s="1"/>
  <c r="Y26" i="1" s="1"/>
  <c r="AJ13" i="2"/>
  <c r="AJ35" i="2" s="1"/>
  <c r="AK11" i="2"/>
  <c r="D22" i="2"/>
  <c r="H36" i="2"/>
  <c r="H22" i="2"/>
  <c r="K22" i="2"/>
  <c r="K36" i="2"/>
  <c r="AE81" i="2"/>
  <c r="AI17" i="2"/>
  <c r="R81" i="2"/>
  <c r="R30" i="2"/>
  <c r="R31" i="2" s="1"/>
  <c r="AA28" i="2"/>
  <c r="AA37" i="2"/>
  <c r="O30" i="2"/>
  <c r="O31" i="2" s="1"/>
  <c r="O81" i="2"/>
  <c r="E37" i="2"/>
  <c r="E28" i="2"/>
  <c r="Z81" i="2"/>
  <c r="Z30" i="2"/>
  <c r="Z31" i="2" s="1"/>
  <c r="P36" i="2"/>
  <c r="P22" i="2"/>
  <c r="I37" i="2"/>
  <c r="I28" i="2"/>
  <c r="J28" i="2"/>
  <c r="J37" i="2"/>
  <c r="Q81" i="2"/>
  <c r="Q30" i="2"/>
  <c r="Q31" i="2" s="1"/>
  <c r="D28" i="2"/>
  <c r="D37" i="2"/>
  <c r="L37" i="2"/>
  <c r="L28" i="2"/>
  <c r="AG22" i="2"/>
  <c r="AG36" i="2"/>
  <c r="D5" i="3"/>
  <c r="AH22" i="2"/>
  <c r="AH36" i="2"/>
  <c r="E5" i="3"/>
  <c r="G37" i="2"/>
  <c r="G28" i="2"/>
  <c r="AF22" i="2"/>
  <c r="AF36" i="2"/>
  <c r="S28" i="2"/>
  <c r="S37" i="2"/>
  <c r="N37" i="2"/>
  <c r="N28" i="2"/>
  <c r="B21" i="6" l="1"/>
  <c r="B28" i="6"/>
  <c r="D28" i="6" s="1"/>
  <c r="B25" i="6"/>
  <c r="C25" i="6" s="1"/>
  <c r="AL14" i="2"/>
  <c r="AK45" i="2"/>
  <c r="AK46" i="2" s="1"/>
  <c r="AJ47" i="2"/>
  <c r="AJ46" i="2"/>
  <c r="B10" i="6"/>
  <c r="C10" i="6" s="1"/>
  <c r="B17" i="6"/>
  <c r="B12" i="6"/>
  <c r="C12" i="6" s="1"/>
  <c r="B27" i="6"/>
  <c r="C27" i="6" s="1"/>
  <c r="B22" i="6"/>
  <c r="D22" i="6" s="1"/>
  <c r="B9" i="6"/>
  <c r="D9" i="6" s="1"/>
  <c r="B20" i="6"/>
  <c r="D20" i="6" s="1"/>
  <c r="B29" i="6"/>
  <c r="D29" i="6" s="1"/>
  <c r="B15" i="6"/>
  <c r="B23" i="6"/>
  <c r="C23" i="6" s="1"/>
  <c r="B18" i="6"/>
  <c r="C18" i="6" s="1"/>
  <c r="B13" i="6"/>
  <c r="C13" i="6" s="1"/>
  <c r="B26" i="6"/>
  <c r="C26" i="6" s="1"/>
  <c r="AJ17" i="2"/>
  <c r="AJ22" i="2" s="1"/>
  <c r="B16" i="6"/>
  <c r="C16" i="6" s="1"/>
  <c r="B24" i="6"/>
  <c r="C24" i="6" s="1"/>
  <c r="AK34" i="2"/>
  <c r="AK12" i="2"/>
  <c r="AK13" i="2" s="1"/>
  <c r="AK35" i="2" s="1"/>
  <c r="AI36" i="2"/>
  <c r="B14" i="6"/>
  <c r="C14" i="6" s="1"/>
  <c r="B11" i="6"/>
  <c r="C11" i="6" s="1"/>
  <c r="AL11" i="2"/>
  <c r="K37" i="2"/>
  <c r="K28" i="2"/>
  <c r="H37" i="2"/>
  <c r="H28" i="2"/>
  <c r="AI22" i="2"/>
  <c r="C19" i="6"/>
  <c r="D19" i="6"/>
  <c r="C17" i="6"/>
  <c r="D17" i="6"/>
  <c r="D25" i="6"/>
  <c r="C21" i="6"/>
  <c r="D21" i="6"/>
  <c r="C28" i="6"/>
  <c r="F5" i="3"/>
  <c r="AA81" i="2"/>
  <c r="AA30" i="2"/>
  <c r="AA31" i="2" s="1"/>
  <c r="D30" i="2"/>
  <c r="D31" i="2" s="1"/>
  <c r="D81" i="2"/>
  <c r="AH37" i="2"/>
  <c r="AH28" i="2"/>
  <c r="E6" i="3"/>
  <c r="E30" i="2"/>
  <c r="E31" i="2" s="1"/>
  <c r="E81" i="2"/>
  <c r="AF37" i="2"/>
  <c r="AF28" i="2"/>
  <c r="P37" i="2"/>
  <c r="P28" i="2"/>
  <c r="G30" i="2"/>
  <c r="G31" i="2" s="1"/>
  <c r="G81" i="2"/>
  <c r="AG28" i="2"/>
  <c r="AG37" i="2"/>
  <c r="D6" i="3"/>
  <c r="J81" i="2"/>
  <c r="J30" i="2"/>
  <c r="J31" i="2" s="1"/>
  <c r="L30" i="2"/>
  <c r="L31" i="2" s="1"/>
  <c r="L81" i="2"/>
  <c r="I81" i="2"/>
  <c r="I30" i="2"/>
  <c r="I31" i="2" s="1"/>
  <c r="S81" i="2"/>
  <c r="S30" i="2"/>
  <c r="S31" i="2" s="1"/>
  <c r="N30" i="2"/>
  <c r="N31" i="2" s="1"/>
  <c r="N81" i="2"/>
  <c r="C15" i="6" l="1"/>
  <c r="D15" i="6"/>
  <c r="D10" i="6"/>
  <c r="AK47" i="2"/>
  <c r="AM14" i="2"/>
  <c r="AL45" i="2"/>
  <c r="AL46" i="2" s="1"/>
  <c r="D24" i="6"/>
  <c r="C9" i="6"/>
  <c r="D26" i="6"/>
  <c r="D12" i="6"/>
  <c r="D27" i="6"/>
  <c r="AJ36" i="2"/>
  <c r="C29" i="6"/>
  <c r="C22" i="6"/>
  <c r="C20" i="6"/>
  <c r="D18" i="6"/>
  <c r="D23" i="6"/>
  <c r="D13" i="6"/>
  <c r="D16" i="6"/>
  <c r="D11" i="6"/>
  <c r="D14" i="6"/>
  <c r="AK17" i="2"/>
  <c r="AK36" i="2" s="1"/>
  <c r="AI28" i="2"/>
  <c r="AI29" i="2" s="1"/>
  <c r="AI30" i="2" s="1"/>
  <c r="AI31" i="2" s="1"/>
  <c r="AL34" i="2"/>
  <c r="AL12" i="2"/>
  <c r="AL13" i="2" s="1"/>
  <c r="AM11" i="2"/>
  <c r="AM12" i="2" s="1"/>
  <c r="F6" i="3"/>
  <c r="H30" i="2"/>
  <c r="H31" i="2" s="1"/>
  <c r="H81" i="2"/>
  <c r="AI37" i="2"/>
  <c r="K81" i="2"/>
  <c r="K30" i="2"/>
  <c r="K31" i="2" s="1"/>
  <c r="AF30" i="2"/>
  <c r="AF81" i="2"/>
  <c r="AH29" i="2"/>
  <c r="AH30" i="2" s="1"/>
  <c r="AH31" i="2" s="1"/>
  <c r="AJ28" i="2"/>
  <c r="AJ37" i="2"/>
  <c r="AG29" i="2"/>
  <c r="AG30" i="2" s="1"/>
  <c r="AG31" i="2" s="1"/>
  <c r="P81" i="2"/>
  <c r="P30" i="2"/>
  <c r="P31" i="2" s="1"/>
  <c r="AL47" i="2" l="1"/>
  <c r="AN14" i="2"/>
  <c r="AM45" i="2"/>
  <c r="AM46" i="2" s="1"/>
  <c r="D7" i="3"/>
  <c r="F7" i="3"/>
  <c r="E7" i="3"/>
  <c r="AK22" i="2"/>
  <c r="AK28" i="2" s="1"/>
  <c r="AM34" i="2"/>
  <c r="AN11" i="2"/>
  <c r="AN12" i="2" s="1"/>
  <c r="AL17" i="2"/>
  <c r="AL36" i="2" s="1"/>
  <c r="AL35" i="2"/>
  <c r="AM47" i="2"/>
  <c r="AM13" i="2"/>
  <c r="AM35" i="2" s="1"/>
  <c r="AF31" i="2"/>
  <c r="AN13" i="2"/>
  <c r="AN35" i="2" s="1"/>
  <c r="AJ29" i="2"/>
  <c r="AJ30" i="2" s="1"/>
  <c r="AJ31" i="2" s="1"/>
  <c r="AN34" i="2" l="1"/>
  <c r="AO11" i="2"/>
  <c r="AO12" i="2" s="1"/>
  <c r="AO13" i="2" s="1"/>
  <c r="AO35" i="2" s="1"/>
  <c r="AO14" i="2"/>
  <c r="AN45" i="2"/>
  <c r="AM17" i="2"/>
  <c r="AM22" i="2" s="1"/>
  <c r="AK37" i="2"/>
  <c r="AL22" i="2"/>
  <c r="AL28" i="2" s="1"/>
  <c r="AP11" i="2"/>
  <c r="AP12" i="2" s="1"/>
  <c r="AO34" i="2"/>
  <c r="AN17" i="2"/>
  <c r="AK29" i="2"/>
  <c r="AK30" i="2" s="1"/>
  <c r="AK31" i="2" s="1"/>
  <c r="AM36" i="2" l="1"/>
  <c r="AN46" i="2"/>
  <c r="AN47" i="2"/>
  <c r="AL37" i="2"/>
  <c r="AP14" i="2"/>
  <c r="AP45" i="2" s="1"/>
  <c r="AP47" i="2" s="1"/>
  <c r="AO45" i="2"/>
  <c r="AL29" i="2"/>
  <c r="AL30" i="2" s="1"/>
  <c r="AO17" i="2"/>
  <c r="AN36" i="2"/>
  <c r="AN22" i="2"/>
  <c r="AP34" i="2"/>
  <c r="AP13" i="2"/>
  <c r="AP35" i="2" s="1"/>
  <c r="AM37" i="2"/>
  <c r="AM28" i="2"/>
  <c r="AO46" i="2" l="1"/>
  <c r="AO47" i="2"/>
  <c r="AP46" i="2"/>
  <c r="AL31" i="2"/>
  <c r="AP17" i="2"/>
  <c r="AN28" i="2"/>
  <c r="AN37" i="2"/>
  <c r="AO36" i="2"/>
  <c r="AO22" i="2"/>
  <c r="AM29" i="2"/>
  <c r="AM30" i="2" s="1"/>
  <c r="AM31" i="2" l="1"/>
  <c r="AO37" i="2"/>
  <c r="AO28" i="2"/>
  <c r="AN29" i="2"/>
  <c r="AN30" i="2" s="1"/>
  <c r="AN31" i="2" s="1"/>
  <c r="AP36" i="2"/>
  <c r="AP22" i="2"/>
  <c r="AP37" i="2" l="1"/>
  <c r="AP28" i="2"/>
  <c r="AO29" i="2"/>
  <c r="AO30" i="2" s="1"/>
  <c r="AO31" i="2" l="1"/>
  <c r="AP29" i="2"/>
  <c r="AP30" i="2"/>
  <c r="AQ30" i="2" l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DS30" i="2" s="1"/>
  <c r="DT30" i="2" s="1"/>
  <c r="DU30" i="2" s="1"/>
  <c r="DV30" i="2" s="1"/>
  <c r="DW30" i="2" s="1"/>
  <c r="DX30" i="2" s="1"/>
  <c r="DY30" i="2" s="1"/>
  <c r="DZ30" i="2" s="1"/>
  <c r="EA30" i="2" s="1"/>
  <c r="EB30" i="2" s="1"/>
  <c r="EC30" i="2" s="1"/>
  <c r="ED30" i="2" s="1"/>
  <c r="EE30" i="2" s="1"/>
  <c r="EF30" i="2" s="1"/>
  <c r="EG30" i="2" s="1"/>
  <c r="EH30" i="2" s="1"/>
  <c r="EI30" i="2" s="1"/>
  <c r="EJ30" i="2" s="1"/>
  <c r="EK30" i="2" s="1"/>
  <c r="EL30" i="2" s="1"/>
  <c r="EM30" i="2" s="1"/>
  <c r="EN30" i="2" s="1"/>
  <c r="EO30" i="2" s="1"/>
  <c r="EP30" i="2" s="1"/>
  <c r="EQ30" i="2" s="1"/>
  <c r="ER30" i="2" s="1"/>
  <c r="ES30" i="2" s="1"/>
  <c r="ET30" i="2" s="1"/>
  <c r="EU30" i="2" s="1"/>
  <c r="EV30" i="2" s="1"/>
  <c r="EW30" i="2" s="1"/>
  <c r="EX30" i="2" s="1"/>
  <c r="EY30" i="2" s="1"/>
  <c r="EZ30" i="2" s="1"/>
  <c r="FA30" i="2" s="1"/>
  <c r="FB30" i="2" s="1"/>
  <c r="FC30" i="2" s="1"/>
  <c r="AS35" i="2" s="1"/>
  <c r="AS37" i="2" s="1"/>
  <c r="AS38" i="2" s="1"/>
  <c r="AP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 hodt</author>
    <author>tc={E12E7203-2CF8-8E48-A492-C1105660C944}</author>
    <author>tc={7A425012-D7CB-0A4F-922F-5BACC68FEDEE}</author>
    <author>tc={E5699847-6F38-F14C-9990-E3D93B3EBEA3}</author>
  </authors>
  <commentList>
    <comment ref="O19" authorId="0" shapeId="0" xr:uid="{01B913F9-AB89-8C4F-8F46-959F7412C6D4}">
      <text>
        <r>
          <rPr>
            <b/>
            <sz val="10"/>
            <color rgb="FF000000"/>
            <rFont val="Tahoma"/>
            <family val="2"/>
          </rPr>
          <t>august hodt: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One-of impairment
</t>
        </r>
      </text>
    </comment>
    <comment ref="C47" authorId="1" shapeId="0" xr:uid="{E12E7203-2CF8-8E48-A492-C1105660C94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Mål om 40%</t>
      </text>
    </comment>
    <comment ref="C95" authorId="2" shapeId="0" xr:uid="{7A425012-D7CB-0A4F-922F-5BACC68FEDEE}">
      <text>
        <t>[Kommentartråd]
Din versjon av Excel lar deg lese denne kommentartråden. Eventuelle endringer i den vil imidlertid bli fjernet hvis filen åpnes i en nyere versjon av Excel. Finn ut mer: https://go.microsoft.com/fwlink/?linkid=870924
Kommentar:
    5% of sales</t>
      </text>
    </comment>
    <comment ref="Q100" authorId="3" shapeId="0" xr:uid="{E5699847-6F38-F14C-9990-E3D93B3EBEA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Proceeds from capital repayment 3 883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tc={B32C33F5-9CF2-C84E-A4AF-C90DD328F4C1}</author>
    <author>tc={6EDC1685-C675-7D4F-968E-11169C0624E5}</author>
  </authors>
  <commentList>
    <comment ref="B13" authorId="0" shapeId="0" xr:uid="{B32C33F5-9CF2-C84E-A4AF-C90DD328F4C1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14% eier
</t>
      </text>
    </comment>
    <comment ref="A94" authorId="1" shapeId="0" xr:uid="{6EDC1685-C675-7D4F-968E-11169C0624E5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14% eier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tc={1F58B890-B0DB-3C4B-9FE0-786E9C5D127B}</author>
  </authors>
  <commentList>
    <comment ref="AA58" authorId="0" shapeId="0" xr:uid="{1F58B890-B0DB-3C4B-9FE0-786E9C5D127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Expect 300 mill Q226 call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tc={2EDCE919-97FE-3C4A-9ED1-492F491396BC}</author>
    <author>tc={5721A1CA-DAD0-6D4C-931E-50DA55EB8D05}</author>
    <author>tc={47370B81-A1A0-7946-B0FE-FCABF156DC86}</author>
    <author>tc={855CE0B9-BC63-6348-846F-F9982993BC6D}</author>
    <author>tc={681C1A77-2E6E-6149-A4EC-4992728B70CF}</author>
    <author>august hodt</author>
  </authors>
  <commentList>
    <comment ref="AA4" authorId="0" shapeId="0" xr:uid="{2EDCE919-97FE-3C4A-9ED1-492F491396B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januar-februar</t>
      </text>
    </comment>
    <comment ref="AB4" authorId="1" shapeId="0" xr:uid="{5721A1CA-DAD0-6D4C-931E-50DA55EB8D05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April-mai
</t>
      </text>
    </comment>
    <comment ref="AC4" authorId="2" shapeId="0" xr:uid="{47370B81-A1A0-7946-B0FE-FCABF156DC8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Juli-august</t>
      </text>
    </comment>
    <comment ref="AD4" authorId="3" shapeId="0" xr:uid="{855CE0B9-BC63-6348-846F-F9982993BC6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Oktober-november</t>
      </text>
    </comment>
    <comment ref="C18" authorId="4" shapeId="0" xr:uid="{681C1A77-2E6E-6149-A4EC-4992728B70CF}">
      <text>
        <t>[Kommentartråd]
Din versjon av Excel lar deg lese denne kommentartråden. Eventuelle endringer i den vil imidlertid bli fjernet hvis filen åpnes i en nyere versjon av Excel. Finn ut mer: https://go.microsoft.com/fwlink/?linkid=870924
Kommentar:
    Le på antall listede boliger fra eiendomNorge</t>
      </text>
    </comment>
    <comment ref="U22" authorId="5" shapeId="0" xr:uid="{2E231A30-FD59-F54E-9238-4034B6230763}">
      <text>
        <r>
          <rPr>
            <b/>
            <sz val="10"/>
            <color rgb="FF000000"/>
            <rFont val="Tahoma"/>
            <family val="2"/>
          </rPr>
          <t>august hodt: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Månedlig gjennomsnitt antall eiendomskontorer (ikke annonser) med aktiv subscription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tc={BD81F970-C185-BF49-9356-556DCEF192C8}</author>
    <author>tc={8167A84A-6715-914C-9F78-89DA8FC5973F}</author>
  </authors>
  <commentList>
    <comment ref="Z5" authorId="0" shapeId="0" xr:uid="{BD81F970-C185-BF49-9356-556DCEF192C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januar-februar</t>
      </text>
    </comment>
    <comment ref="AA5" authorId="1" shapeId="0" xr:uid="{8167A84A-6715-914C-9F78-89DA8FC5973F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April-mai
</t>
      </text>
    </comment>
  </commentList>
</comments>
</file>

<file path=xl/sharedStrings.xml><?xml version="1.0" encoding="utf-8"?>
<sst xmlns="http://schemas.openxmlformats.org/spreadsheetml/2006/main" count="592" uniqueCount="350">
  <si>
    <t>Kapitalstruktur</t>
  </si>
  <si>
    <t>Price</t>
  </si>
  <si>
    <t>MC NOKm</t>
  </si>
  <si>
    <t>Cash NOKm</t>
  </si>
  <si>
    <t>Debt NOKm</t>
  </si>
  <si>
    <t>EV NOKm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</si>
  <si>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</si>
  <si>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</si>
  <si>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</si>
  <si>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</si>
  <si>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</si>
  <si>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</si>
  <si>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</si>
  <si>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</si>
  <si>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</si>
  <si>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</si>
  <si>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</si>
  <si>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</si>
  <si>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</si>
  <si>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</si>
  <si>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</si>
  <si>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</si>
  <si>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</si>
  <si>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</si>
  <si>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</si>
  <si>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</si>
  <si>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</si>
  <si>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</si>
  <si>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</si>
  <si>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</si>
  <si>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</si>
  <si>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</si>
  <si>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S/O (m)</t>
  </si>
  <si>
    <t>Operating revenue</t>
  </si>
  <si>
    <t>COGS</t>
  </si>
  <si>
    <t>Personnel expenses</t>
  </si>
  <si>
    <t>Marketing expenses</t>
  </si>
  <si>
    <t>Other opex</t>
  </si>
  <si>
    <t>D/A</t>
  </si>
  <si>
    <t>Impairment</t>
  </si>
  <si>
    <t>Other income</t>
  </si>
  <si>
    <t>other expenses</t>
  </si>
  <si>
    <t>NOK million</t>
  </si>
  <si>
    <t>Share of JV</t>
  </si>
  <si>
    <t>Impairment on JV</t>
  </si>
  <si>
    <t>Gains/losses on JV</t>
  </si>
  <si>
    <t>Financial income</t>
  </si>
  <si>
    <t>Financial expenses</t>
  </si>
  <si>
    <t>PTP</t>
  </si>
  <si>
    <t>Net income</t>
  </si>
  <si>
    <t>EPS</t>
  </si>
  <si>
    <t>Shares</t>
  </si>
  <si>
    <t>Mobility</t>
  </si>
  <si>
    <t>Real estate</t>
  </si>
  <si>
    <t>Jobs</t>
  </si>
  <si>
    <t>Recommerce</t>
  </si>
  <si>
    <t>Delivery</t>
  </si>
  <si>
    <t>Revenue y/y</t>
  </si>
  <si>
    <t>EBITDA margin</t>
  </si>
  <si>
    <t>Other/HQ</t>
  </si>
  <si>
    <t>Eliminations</t>
  </si>
  <si>
    <t>Balanse NOKm</t>
  </si>
  <si>
    <t>Intangible assets</t>
  </si>
  <si>
    <t>PP&amp;E</t>
  </si>
  <si>
    <t>Right-of-use assets</t>
  </si>
  <si>
    <t>Investments in JV</t>
  </si>
  <si>
    <t>Deferrd tax assets</t>
  </si>
  <si>
    <t>Equity instruments</t>
  </si>
  <si>
    <t>Other non-current assets</t>
  </si>
  <si>
    <t>Contract assets</t>
  </si>
  <si>
    <t>Trade receivables</t>
  </si>
  <si>
    <t>Cash</t>
  </si>
  <si>
    <t>Assets for sale</t>
  </si>
  <si>
    <t>Total assets</t>
  </si>
  <si>
    <t>Paid-in equity</t>
  </si>
  <si>
    <t>Other equity</t>
  </si>
  <si>
    <t>Non-controlling interests</t>
  </si>
  <si>
    <t xml:space="preserve">Equity </t>
  </si>
  <si>
    <t>Deferred tax liabilities</t>
  </si>
  <si>
    <t>Pension liabilities</t>
  </si>
  <si>
    <t>Non-current IB loans</t>
  </si>
  <si>
    <t>Non-current lease lia</t>
  </si>
  <si>
    <t>Other non-current lia</t>
  </si>
  <si>
    <t>Current IB loans</t>
  </si>
  <si>
    <t>Income tax payable</t>
  </si>
  <si>
    <t>Current lease liabilities</t>
  </si>
  <si>
    <t>Contract liabilities</t>
  </si>
  <si>
    <t>Other current liabilities</t>
  </si>
  <si>
    <t>Liabiliteis held for sale</t>
  </si>
  <si>
    <t>Total debt</t>
  </si>
  <si>
    <t>Total E/D</t>
  </si>
  <si>
    <t>CFFO</t>
  </si>
  <si>
    <t>CFFI</t>
  </si>
  <si>
    <t>CFFF</t>
  </si>
  <si>
    <t>Taxes</t>
  </si>
  <si>
    <t>EV/EBIT</t>
  </si>
  <si>
    <t>P/E</t>
  </si>
  <si>
    <t>Q125</t>
  </si>
  <si>
    <t>Q225</t>
  </si>
  <si>
    <t>Q325</t>
  </si>
  <si>
    <t>Q425</t>
  </si>
  <si>
    <t xml:space="preserve">Gross profit </t>
  </si>
  <si>
    <t>Gross profit</t>
  </si>
  <si>
    <t>Model PTP</t>
  </si>
  <si>
    <t>Reported PTP</t>
  </si>
  <si>
    <t>PTP from discontinued ops</t>
  </si>
  <si>
    <t>D/A/I</t>
  </si>
  <si>
    <t>Net interest expense (income)</t>
  </si>
  <si>
    <t>Net effect pension liabilties</t>
  </si>
  <si>
    <t>Share of loss (profit) of JV</t>
  </si>
  <si>
    <t>Interest received</t>
  </si>
  <si>
    <t>Interest paid</t>
  </si>
  <si>
    <t>Taxes paid</t>
  </si>
  <si>
    <t>Non-operating gains and losses</t>
  </si>
  <si>
    <t>WC</t>
  </si>
  <si>
    <t>Capex</t>
  </si>
  <si>
    <t>Proceeds from sale of intangible PP&amp;E</t>
  </si>
  <si>
    <t>Proceeds from sale of subsidiaries</t>
  </si>
  <si>
    <t>Cash outflows from other investments</t>
  </si>
  <si>
    <t>Cash inflows from other investments</t>
  </si>
  <si>
    <t>New IB loans and borrowings</t>
  </si>
  <si>
    <t>Repayment of IB loans and borrowings</t>
  </si>
  <si>
    <t>Payment of principal of lease liabilities</t>
  </si>
  <si>
    <t>Increase in ownership interest in subs</t>
  </si>
  <si>
    <t>Capital increase</t>
  </si>
  <si>
    <t>Net sale (purchase) of treasury shares</t>
  </si>
  <si>
    <t>Dividends paid to owners of parent</t>
  </si>
  <si>
    <t>Dividend paid til non-controlling interests</t>
  </si>
  <si>
    <t>FX</t>
  </si>
  <si>
    <t>CIC</t>
  </si>
  <si>
    <t>FCF</t>
  </si>
  <si>
    <t>Sale of other shares</t>
  </si>
  <si>
    <t>EBITDA</t>
  </si>
  <si>
    <t>EBIT margin</t>
  </si>
  <si>
    <t>Norge:</t>
  </si>
  <si>
    <t>Nettbil: Salg av bruktbil. Brukeren registrerer bilen, og bilforhandlere byr på den</t>
  </si>
  <si>
    <t>Wheelaway: Fleksibelt bilabonnementsløsning</t>
  </si>
  <si>
    <t xml:space="preserve">Sverige: </t>
  </si>
  <si>
    <t>Bilbasen: Danmarks ledende markedsplass for kjøp og salg av nye og ubrukte biler</t>
  </si>
  <si>
    <t>Qasa: Leie av bolig</t>
  </si>
  <si>
    <t>HomeQ: Søke og leie boliger fra profesjonelle utleiere</t>
  </si>
  <si>
    <t xml:space="preserve">Finland: </t>
  </si>
  <si>
    <t>Tori: Finsk FINN</t>
  </si>
  <si>
    <t>Oikotie: Markedsplass for jobb og eiendom</t>
  </si>
  <si>
    <t>Autovex: Kjøp og salg av bruktbil</t>
  </si>
  <si>
    <t>Danmark:</t>
  </si>
  <si>
    <t>dba (Den blå avis): Danmarks største markedsplass for bruktvarer. Dansk FINN?</t>
  </si>
  <si>
    <t>Etter at Schibsted solgte ut news media i 2024, har de begynt ferden</t>
  </si>
  <si>
    <t>mot et rendyrket marketplace selskap.</t>
  </si>
  <si>
    <r>
      <rPr>
        <b/>
        <sz val="14"/>
        <color theme="1"/>
        <rFont val="Calibri"/>
        <family val="2"/>
        <scheme val="minor"/>
      </rPr>
      <t>Mobility:</t>
    </r>
    <r>
      <rPr>
        <sz val="14"/>
        <color theme="1"/>
        <rFont val="Calibri"/>
        <family val="2"/>
        <scheme val="minor"/>
      </rPr>
      <t xml:space="preserve"> Kobler kjøpere og selgere av brukte biler gjennom ledende digitale markedsplasser for å gjøre mobilitetsvalg enklere og mer transaprente</t>
    </r>
  </si>
  <si>
    <r>
      <rPr>
        <b/>
        <sz val="14"/>
        <color theme="1"/>
        <rFont val="Calibri"/>
        <family val="2"/>
        <scheme val="minor"/>
      </rPr>
      <t>Jobs:</t>
    </r>
    <r>
      <rPr>
        <sz val="14"/>
        <color theme="1"/>
        <rFont val="Calibri"/>
        <family val="2"/>
        <scheme val="minor"/>
      </rPr>
      <t xml:space="preserve"> Matcher arbeidstakere med givere, og støtter rekutterere med innovative løsninger.</t>
    </r>
  </si>
  <si>
    <r>
      <rPr>
        <b/>
        <sz val="14"/>
        <color theme="1"/>
        <rFont val="Calibri"/>
        <family val="2"/>
        <scheme val="minor"/>
      </rPr>
      <t>Real estate:</t>
    </r>
    <r>
      <rPr>
        <sz val="14"/>
        <color theme="1"/>
        <rFont val="Calibri"/>
        <family val="2"/>
        <scheme val="minor"/>
      </rPr>
      <t xml:space="preserve"> Smarte boligvalg gjennom digitale plattformer for kjøp, salg og utleie av eiendom. </t>
    </r>
  </si>
  <si>
    <r>
      <rPr>
        <b/>
        <sz val="14"/>
        <color theme="1"/>
        <rFont val="Calibri"/>
        <family val="2"/>
        <scheme val="minor"/>
      </rPr>
      <t xml:space="preserve">Recommerce: </t>
    </r>
    <r>
      <rPr>
        <sz val="14"/>
        <color theme="1"/>
        <rFont val="Calibri"/>
        <family val="2"/>
        <scheme val="minor"/>
      </rPr>
      <t xml:space="preserve">Fremmer gjenbruk hvor folk kan kjøpe og selge brukte varer på en bærekraftig og enkel måte. </t>
    </r>
  </si>
  <si>
    <r>
      <rPr>
        <b/>
        <sz val="14"/>
        <color theme="1"/>
        <rFont val="Calibri"/>
        <family val="2"/>
        <scheme val="minor"/>
      </rPr>
      <t>Delivery:</t>
    </r>
    <r>
      <rPr>
        <sz val="14"/>
        <color theme="1"/>
        <rFont val="Calibri"/>
        <family val="2"/>
        <scheme val="minor"/>
      </rPr>
      <t xml:space="preserve"> Distribusjon og netthandel-levering med fokus på dør-til-dør tjenester for både medier og varer</t>
    </r>
  </si>
  <si>
    <t>FY 2021</t>
  </si>
  <si>
    <t>FY 2020</t>
  </si>
  <si>
    <t>FY 2019</t>
  </si>
  <si>
    <t>Mobility y/y</t>
  </si>
  <si>
    <t>Real estate y/y</t>
  </si>
  <si>
    <t>Jobs y/y</t>
  </si>
  <si>
    <t>Recommerce y/y</t>
  </si>
  <si>
    <t>Delivery y/y</t>
  </si>
  <si>
    <t>NOKm</t>
  </si>
  <si>
    <t>Of which professional</t>
  </si>
  <si>
    <t>Of which Private</t>
  </si>
  <si>
    <t>Transactional revenue</t>
  </si>
  <si>
    <t>Advertising revenues</t>
  </si>
  <si>
    <t>Other operating revenues</t>
  </si>
  <si>
    <t>Operating revenues</t>
  </si>
  <si>
    <t>Classified revenues</t>
  </si>
  <si>
    <t>y/y</t>
  </si>
  <si>
    <t>Ditribution revenues</t>
  </si>
  <si>
    <t>FINN: En av norges største markedsplasser. Brukes til kjøp og salg av eiendom, jobbannonser, biler, småting (recommerce) osv</t>
  </si>
  <si>
    <t>Blocket: Svensk FINN</t>
  </si>
  <si>
    <t xml:space="preserve">Press releases: </t>
  </si>
  <si>
    <t>20.12.25: Vend kjøper tilbake 499 000 aksjer</t>
  </si>
  <si>
    <t>Marketplaces</t>
  </si>
  <si>
    <t>Adevinta</t>
  </si>
  <si>
    <t>Other / HQ</t>
  </si>
  <si>
    <t>EBITDA Margin</t>
  </si>
  <si>
    <t>P/B</t>
  </si>
  <si>
    <t>EV/EBITDA</t>
  </si>
  <si>
    <t>Operating profit (EBIT)</t>
  </si>
  <si>
    <t>Discount</t>
  </si>
  <si>
    <t>TV</t>
  </si>
  <si>
    <t>NPV</t>
  </si>
  <si>
    <t>S/O</t>
  </si>
  <si>
    <t>NPV/Share</t>
  </si>
  <si>
    <t>Opp/nedside</t>
  </si>
  <si>
    <t>FINN</t>
  </si>
  <si>
    <t>Blocket</t>
  </si>
  <si>
    <t>Bilbasen</t>
  </si>
  <si>
    <t>AutoVex</t>
  </si>
  <si>
    <t xml:space="preserve">FINN </t>
  </si>
  <si>
    <t>Oikotie</t>
  </si>
  <si>
    <t>Qasa</t>
  </si>
  <si>
    <t>HomeQ</t>
  </si>
  <si>
    <t>Tori</t>
  </si>
  <si>
    <t>DBA</t>
  </si>
  <si>
    <t>Helthjem</t>
  </si>
  <si>
    <t>19.12.25: Innsider Yale Varty kjøper 13 789 aksjer</t>
  </si>
  <si>
    <t>19.12.25: CEO kjøper 1000 aksjer</t>
  </si>
  <si>
    <t>15.12.25: Vend kjøper tilbake 311 000 aksjer</t>
  </si>
  <si>
    <t>10.12.25: Vend selger Mittandbud (Norge), Servicefinder (Sverige), Remppatori (Finland) og 3byggetilbud (Danmark) for 550 mill</t>
  </si>
  <si>
    <t>08.12.25: Vend kjøper tilbake 377 500 aksjer</t>
  </si>
  <si>
    <t>02.12.25: Vend kjøper tilbake 285 500 aksjer</t>
  </si>
  <si>
    <t>28.11.25: Vend kjøper tilbake obligasjonen VEND02 bond for 240 mill</t>
  </si>
  <si>
    <t>25.11.25: Vend starter tilbakekjøp av aksjer opp 2 mrd kr</t>
  </si>
  <si>
    <t>18.11.25: Vend kjøper tilbake bonds, VEND03 for 75 mill og VEND 02 for 366 mill</t>
  </si>
  <si>
    <t>13.11.25: Styremedlem Rolv Ryssdal kjøper 3 375 aksjer</t>
  </si>
  <si>
    <t>30.10.25: EVP recommerce Cathrine Laksfoss selger 1 100 aksjer</t>
  </si>
  <si>
    <t>29.10.25: CFO selger 5 676 aksjer</t>
  </si>
  <si>
    <t>26.09.25: Vend velger å gå over til 1 aksjeklasse</t>
  </si>
  <si>
    <t>19.09.25: Vend velger å selge Lendo group for 1 mrd</t>
  </si>
  <si>
    <t>20.08.25: Vend får bot fra finanstilsynet  på 10 mill mtp pre-close policy</t>
  </si>
  <si>
    <t>Nettbil</t>
  </si>
  <si>
    <t>29.12.25: Vend kjøper tilbake 167 000 aksjer</t>
  </si>
  <si>
    <t>05.01.26: Vend kjøper tilbake 69 503 aksjer</t>
  </si>
  <si>
    <t>12.01.26: Vend kjøper tilbake  215 459 aksjer</t>
  </si>
  <si>
    <t>19.01.26: Vend kjøper tilbake 389 822 aksjer</t>
  </si>
  <si>
    <t>26.01.26: Vend kjøper tilbake 379 473 aksjer</t>
  </si>
  <si>
    <t>29.01.26: Konkuransetilsynet har hatt en Razzia hos Nettbil, en etterfosking er i gang, men Vend kommenterer ikke hva det innebærer</t>
  </si>
  <si>
    <t>Q126</t>
  </si>
  <si>
    <t>Q226</t>
  </si>
  <si>
    <t>Q326</t>
  </si>
  <si>
    <t>Q426</t>
  </si>
  <si>
    <t>02.02.26: Vend kjøper tilbake 460 917 aksjer</t>
  </si>
  <si>
    <t>09.02.26: Vend kjøper tilbake 487 000 aksjer</t>
  </si>
  <si>
    <t>09.02.26: Wenche Agerup, kone til styreleder Karl-Christian Agerup, kjøper 2 000 aksjer</t>
  </si>
  <si>
    <t>16.02.26: Vend kjøper tilbake 495 753 aksjer</t>
  </si>
  <si>
    <t>23.02.26:Vend kjøper tilbake 510 000 aksjer</t>
  </si>
  <si>
    <t>Nedsideberegning – EV/EBITDA sensitivitet</t>
  </si>
  <si>
    <t>Inputs</t>
  </si>
  <si>
    <t>EBITDA 2027e (NOKm)</t>
  </si>
  <si>
    <t>Antall aksjer (m)</t>
  </si>
  <si>
    <t>Nåværende EV (NOKm)</t>
  </si>
  <si>
    <t>Implisitt EV (NOKm)</t>
  </si>
  <si>
    <t>Pris/aksje (NOK)</t>
  </si>
  <si>
    <t>vs. nåv. EV</t>
  </si>
  <si>
    <t>10,0x</t>
  </si>
  <si>
    <t>12,0x</t>
  </si>
  <si>
    <t>14,0x</t>
  </si>
  <si>
    <t>16,0x</t>
  </si>
  <si>
    <t>18,0x</t>
  </si>
  <si>
    <t>20,0x</t>
  </si>
  <si>
    <t>22,0x</t>
  </si>
  <si>
    <t>24,0x</t>
  </si>
  <si>
    <t>26,0x</t>
  </si>
  <si>
    <t>28,0x</t>
  </si>
  <si>
    <t>30,0x</t>
  </si>
  <si>
    <t>02.03.26: Vend kjøper tilbake 525 000 aksjer</t>
  </si>
  <si>
    <t>27.02.26: Adevinta selger sin spanske virksomhet til EQT, Vend får inn NOK 3,2mrd som skal rett ut til aksjonærene</t>
  </si>
  <si>
    <t>05.03.26: COO kjøper 2 158 aksjer til pris 242,54</t>
  </si>
  <si>
    <t>09.03.26: Vend kjøper tilbake 560 000 aksjer</t>
  </si>
  <si>
    <t>16.03.26: Vend kjøper tilbake 458 492 aksjer</t>
  </si>
  <si>
    <t>23.03.26: Vend kjøper tilbake 529 856 aksjer</t>
  </si>
  <si>
    <t>Tilbakekjøpsprogram</t>
  </si>
  <si>
    <t>Dato kjøp</t>
  </si>
  <si>
    <t>Antall aksjer</t>
  </si>
  <si>
    <t>Akummelert antall aksjer</t>
  </si>
  <si>
    <t xml:space="preserve">Kjøp </t>
  </si>
  <si>
    <t xml:space="preserve">Akkumelert kjøp </t>
  </si>
  <si>
    <t>30.03.26: Vend kjøper tilbake 521 708 aksjer</t>
  </si>
  <si>
    <t>07.04.26: Vend kjøper tilbake 300 000 aksjer</t>
  </si>
  <si>
    <t>11,0x</t>
  </si>
  <si>
    <t>13,0x</t>
  </si>
  <si>
    <t>15,0x</t>
  </si>
  <si>
    <t>17,0x</t>
  </si>
  <si>
    <t>19,0x</t>
  </si>
  <si>
    <t>21,0x</t>
  </si>
  <si>
    <t>23,0x</t>
  </si>
  <si>
    <t>25,0x</t>
  </si>
  <si>
    <t>27,0x</t>
  </si>
  <si>
    <t>29,0x</t>
  </si>
  <si>
    <t>Mobility ble nedjustert til mid to high singel digit growth in the middle term</t>
  </si>
  <si>
    <t>Opex ex cogs</t>
  </si>
  <si>
    <t>40% Opex to sales</t>
  </si>
  <si>
    <t>Opex to sales</t>
  </si>
  <si>
    <t>5% Capex to sales</t>
  </si>
  <si>
    <t>06.05.26: COO kjøper 2 863 aksjer til 247,23NOK</t>
  </si>
  <si>
    <t>11.05.26: Vend kjøper tilbake 770 000  aksjer</t>
  </si>
  <si>
    <t>18.05.26: Vend kjøper tilbake 619 000 aksjer</t>
  </si>
  <si>
    <t>26.05.26: Vend kjøper tilbake 725 000 aksjer</t>
  </si>
  <si>
    <t>01.06.26: Vend kjøper tilbake 500 000 aksjer</t>
  </si>
  <si>
    <t>08.06.26: Styreleder kjøper 4 000 aksjer</t>
  </si>
  <si>
    <t>08.06.26: Vend kjøper tilbake 644 000 aksjer</t>
  </si>
  <si>
    <t>08.06.26: Polaris media selger seg helt ut av Vend med et salg av 3 218 304 aksjer til 239</t>
  </si>
  <si>
    <t>15.06.26: Vend kjøper tilbake 667 000 aksjer</t>
  </si>
  <si>
    <t>Vertical</t>
  </si>
  <si>
    <t>Country</t>
  </si>
  <si>
    <t>Category</t>
  </si>
  <si>
    <t>Norway</t>
  </si>
  <si>
    <t>Professional</t>
  </si>
  <si>
    <t>Sweden</t>
  </si>
  <si>
    <t>Private</t>
  </si>
  <si>
    <t>Denmark</t>
  </si>
  <si>
    <t>Real Estate</t>
  </si>
  <si>
    <t>Total</t>
  </si>
  <si>
    <t>Residential for sale</t>
  </si>
  <si>
    <t>Finland</t>
  </si>
  <si>
    <t>Tallene er i tusen</t>
  </si>
  <si>
    <t>QTD</t>
  </si>
  <si>
    <t>Q1</t>
  </si>
  <si>
    <t>Q2</t>
  </si>
  <si>
    <t>Q3</t>
  </si>
  <si>
    <t>Q4</t>
  </si>
  <si>
    <t>Take rate</t>
  </si>
  <si>
    <t>GMV = Gross merchandise value</t>
  </si>
  <si>
    <t>Transacted GMV (million)</t>
  </si>
  <si>
    <t>22.06.26: Vend kjøper tilbake 614 000 aksjer</t>
  </si>
  <si>
    <t>Torget</t>
  </si>
  <si>
    <t>29.06.26: Vend kjøper tilbake 631 000 aksjer</t>
  </si>
  <si>
    <t>30.04.26: Initierer første transje av tilbakekjøpsprogrammet av hele 4 NOK mrd, første transje går fra 4.mai 2026 til 30.oktober 2026</t>
  </si>
  <si>
    <t>06.07.26: Vend kjøper tilbake 637 000 aksjer</t>
  </si>
  <si>
    <t>13.07.26: Vend kjøper tilbake 682 000 aksjer</t>
  </si>
  <si>
    <t>Ned opex 150 mill y/y, opp fra 100 mill Q226</t>
  </si>
  <si>
    <t>dba</t>
  </si>
  <si>
    <t>Bilinfo</t>
  </si>
  <si>
    <t>bytbil</t>
  </si>
  <si>
    <t>Carweb</t>
  </si>
  <si>
    <t>Gearing</t>
  </si>
  <si>
    <t>EBITDA 26E</t>
  </si>
  <si>
    <t>Value</t>
  </si>
  <si>
    <t>Value/Share</t>
  </si>
  <si>
    <t>Net debt</t>
  </si>
  <si>
    <t>Debt</t>
  </si>
  <si>
    <t xml:space="preserve">Cash </t>
  </si>
  <si>
    <t>Equity value</t>
  </si>
  <si>
    <t>Adevinta equity V</t>
  </si>
  <si>
    <t>20.07.26: Vend kjøper tilbake 397 000 aksjer</t>
  </si>
  <si>
    <t>27.07.26: Vend kjøper tilbake 603 000 aksjer</t>
  </si>
  <si>
    <t>03.08.26: Vend kjøper tilbake 560 000 aksjer</t>
  </si>
  <si>
    <t>06.08.26: Vend kjøper tilbake 175 547 aksjer og fullfører første transje av tilbakekjøpsprogrammet</t>
  </si>
  <si>
    <t>06.08.26: Vend starter andre transje av tilbakekjøpsprogrammet</t>
  </si>
  <si>
    <t>Cash Flow NOKm</t>
  </si>
  <si>
    <t>11.08.26: Vend kjøper tilbake 263 000 aksjer</t>
  </si>
  <si>
    <t>Transje 1</t>
  </si>
  <si>
    <t>Transje 2</t>
  </si>
  <si>
    <t>17.08.26: Vend kjøper tilbake 591 000 aksjer</t>
  </si>
  <si>
    <t>24.08.26: Vend kjøper tilbake 400 000 aksjer</t>
  </si>
  <si>
    <t>31.08.26: Vend kjøper tilbake 210 000 aksjer</t>
  </si>
  <si>
    <t>07.09.26. Vend kjøper tilbake 286 000 aksjer</t>
  </si>
  <si>
    <t>Liten øker 15%</t>
  </si>
  <si>
    <t>Medium øker 20%</t>
  </si>
  <si>
    <t>Stor øker 5%</t>
  </si>
  <si>
    <t>Antar 60/40 mellom med og stor</t>
  </si>
  <si>
    <t>Innebører en arpa vekst på 11% i 2027</t>
  </si>
  <si>
    <t>14.09.26: Vend kjøper tilbake 328 000 aksjer</t>
  </si>
  <si>
    <t>21.09.26: Vend kjøper tilbake 420 000 aksjer</t>
  </si>
  <si>
    <t>28.09.26: Vend kjøper tilbake 500 000 aksjer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</si>
</sst>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kr&quot;\ #,##0.00_);[Red]\(&quot;kr&quot;\ #,##0.00\)"/>
    <numFmt numFmtId="164" formatCode="0.0"/>
    <numFmt numFmtId="165" formatCode="#,##0.0"/>
    <numFmt numFmtId="166" formatCode="0.0\ %"/>
    <numFmt numFmtId="167" formatCode="0.0%"/>
    <numFmt numFmtId="168" formatCode="0.0000"/>
    <numFmt numFmtId="169" formatCode="#,##0.000"/>
    <numFmt numFmtId="170" formatCode="&quot;kr&quot;\ #,##0"/>
    <numFmt numFmtId="171" formatCode="[$SEK]\ #,##0"/>
    <numFmt numFmtId="172" formatCode="[$DKK]\ #,##0"/>
    <numFmt numFmtId="173" formatCode="[$EUR]\ #,##0"/>
  </numFmts>
  <fonts count="1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8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D9D9D9"/>
      </top>
      <bottom style="medium">
        <color rgb="FF000000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5" fontId="3" fillId="0" borderId="1" xfId="0" applyNumberFormat="1" applyFont="1" applyBorder="1"/>
    <xf numFmtId="164" fontId="1" fillId="0" borderId="0" xfId="0" applyNumberFormat="1" applyFont="1"/>
    <xf numFmtId="2" fontId="1" fillId="0" borderId="0" xfId="0" applyNumberFormat="1" applyFont="1"/>
    <xf numFmtId="3" fontId="1" fillId="0" borderId="1" xfId="0" applyNumberFormat="1" applyFont="1" applyBorder="1"/>
    <xf numFmtId="3" fontId="2" fillId="0" borderId="1" xfId="0" applyNumberFormat="1" applyFont="1" applyBorder="1"/>
    <xf numFmtId="0" fontId="6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2" fillId="0" borderId="0" xfId="0" applyNumberFormat="1" applyFont="1"/>
    <xf numFmtId="0" fontId="7" fillId="0" borderId="2" xfId="0" applyFont="1" applyBorder="1"/>
    <xf numFmtId="3" fontId="6" fillId="0" borderId="0" xfId="0" applyNumberFormat="1" applyFont="1"/>
    <xf numFmtId="166" fontId="2" fillId="0" borderId="0" xfId="0" applyNumberFormat="1" applyFont="1"/>
    <xf numFmtId="166" fontId="2" fillId="0" borderId="1" xfId="0" applyNumberFormat="1" applyFont="1" applyBorder="1"/>
    <xf numFmtId="166" fontId="1" fillId="0" borderId="0" xfId="0" applyNumberFormat="1" applyFont="1"/>
    <xf numFmtId="166" fontId="1" fillId="0" borderId="1" xfId="0" applyNumberFormat="1" applyFont="1" applyBorder="1"/>
    <xf numFmtId="10" fontId="6" fillId="0" borderId="0" xfId="0" applyNumberFormat="1" applyFont="1"/>
    <xf numFmtId="0" fontId="6" fillId="0" borderId="4" xfId="0" applyFont="1" applyBorder="1"/>
    <xf numFmtId="10" fontId="6" fillId="0" borderId="4" xfId="0" applyNumberFormat="1" applyFont="1" applyBorder="1"/>
    <xf numFmtId="0" fontId="2" fillId="0" borderId="6" xfId="0" applyFont="1" applyBorder="1" applyAlignment="1">
      <alignment horizontal="right"/>
    </xf>
    <xf numFmtId="0" fontId="1" fillId="0" borderId="6" xfId="0" applyFont="1" applyBorder="1"/>
    <xf numFmtId="0" fontId="6" fillId="0" borderId="6" xfId="0" applyFont="1" applyBorder="1"/>
    <xf numFmtId="0" fontId="2" fillId="0" borderId="6" xfId="0" applyFont="1" applyBorder="1"/>
    <xf numFmtId="10" fontId="6" fillId="0" borderId="5" xfId="0" applyNumberFormat="1" applyFont="1" applyBorder="1"/>
    <xf numFmtId="0" fontId="9" fillId="0" borderId="0" xfId="0" applyFont="1" applyAlignment="1">
      <alignment horizontal="left" indent="1"/>
    </xf>
    <xf numFmtId="0" fontId="9" fillId="0" borderId="0" xfId="0" applyFont="1"/>
    <xf numFmtId="0" fontId="9" fillId="0" borderId="6" xfId="0" applyFont="1" applyBorder="1"/>
    <xf numFmtId="0" fontId="1" fillId="0" borderId="3" xfId="0" applyFont="1" applyBorder="1"/>
    <xf numFmtId="10" fontId="6" fillId="0" borderId="6" xfId="0" applyNumberFormat="1" applyFont="1" applyBorder="1"/>
    <xf numFmtId="166" fontId="6" fillId="0" borderId="6" xfId="0" applyNumberFormat="1" applyFont="1" applyBorder="1"/>
    <xf numFmtId="166" fontId="6" fillId="0" borderId="5" xfId="0" applyNumberFormat="1" applyFont="1" applyBorder="1"/>
    <xf numFmtId="166" fontId="6" fillId="0" borderId="4" xfId="0" applyNumberFormat="1" applyFont="1" applyBorder="1"/>
    <xf numFmtId="166" fontId="6" fillId="0" borderId="0" xfId="0" applyNumberFormat="1" applyFont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10" fontId="2" fillId="0" borderId="0" xfId="0" applyNumberFormat="1" applyFont="1"/>
    <xf numFmtId="164" fontId="8" fillId="0" borderId="2" xfId="0" applyNumberFormat="1" applyFont="1" applyBorder="1"/>
    <xf numFmtId="0" fontId="1" fillId="0" borderId="4" xfId="0" applyFont="1" applyBorder="1"/>
    <xf numFmtId="9" fontId="1" fillId="0" borderId="0" xfId="0" applyNumberFormat="1" applyFont="1"/>
    <xf numFmtId="8" fontId="1" fillId="0" borderId="4" xfId="0" applyNumberFormat="1" applyFont="1" applyBorder="1"/>
    <xf numFmtId="8" fontId="1" fillId="0" borderId="0" xfId="0" applyNumberFormat="1" applyFont="1"/>
    <xf numFmtId="0" fontId="2" fillId="2" borderId="2" xfId="0" applyFont="1" applyFill="1" applyBorder="1"/>
    <xf numFmtId="0" fontId="1" fillId="0" borderId="2" xfId="0" applyFont="1" applyBorder="1"/>
    <xf numFmtId="0" fontId="2" fillId="0" borderId="2" xfId="0" applyFont="1" applyBorder="1"/>
    <xf numFmtId="164" fontId="2" fillId="0" borderId="2" xfId="0" applyNumberFormat="1" applyFont="1" applyBorder="1"/>
    <xf numFmtId="0" fontId="1" fillId="3" borderId="2" xfId="0" applyFont="1" applyFill="1" applyBorder="1"/>
    <xf numFmtId="1" fontId="1" fillId="0" borderId="0" xfId="0" applyNumberFormat="1" applyFont="1"/>
    <xf numFmtId="1" fontId="2" fillId="0" borderId="0" xfId="0" applyNumberFormat="1" applyFont="1"/>
    <xf numFmtId="3" fontId="2" fillId="0" borderId="6" xfId="0" applyNumberFormat="1" applyFont="1" applyBorder="1"/>
    <xf numFmtId="0" fontId="7" fillId="0" borderId="7" xfId="0" applyFont="1" applyBorder="1"/>
    <xf numFmtId="164" fontId="8" fillId="0" borderId="7" xfId="0" applyNumberFormat="1" applyFont="1" applyBorder="1"/>
    <xf numFmtId="0" fontId="7" fillId="0" borderId="9" xfId="0" applyFont="1" applyBorder="1"/>
    <xf numFmtId="164" fontId="8" fillId="0" borderId="8" xfId="0" applyNumberFormat="1" applyFont="1" applyBorder="1"/>
    <xf numFmtId="164" fontId="8" fillId="0" borderId="9" xfId="0" applyNumberFormat="1" applyFont="1" applyBorder="1"/>
    <xf numFmtId="0" fontId="11" fillId="0" borderId="0" xfId="0" applyFont="1"/>
    <xf numFmtId="3" fontId="12" fillId="0" borderId="0" xfId="0" applyNumberFormat="1" applyFont="1"/>
    <xf numFmtId="0" fontId="2" fillId="4" borderId="10" xfId="0" applyFont="1" applyFill="1" applyBorder="1"/>
    <xf numFmtId="0" fontId="13" fillId="0" borderId="0" xfId="0" applyFont="1"/>
    <xf numFmtId="0" fontId="13" fillId="0" borderId="1" xfId="0" applyFont="1" applyBorder="1"/>
    <xf numFmtId="3" fontId="13" fillId="0" borderId="0" xfId="0" applyNumberFormat="1" applyFont="1"/>
    <xf numFmtId="3" fontId="13" fillId="0" borderId="1" xfId="0" applyNumberFormat="1" applyFont="1" applyBorder="1"/>
    <xf numFmtId="14" fontId="1" fillId="0" borderId="0" xfId="0" applyNumberFormat="1" applyFont="1"/>
    <xf numFmtId="0" fontId="1" fillId="3" borderId="0" xfId="0" applyFont="1" applyFill="1"/>
    <xf numFmtId="168" fontId="1" fillId="0" borderId="0" xfId="0" applyNumberFormat="1" applyFont="1"/>
    <xf numFmtId="2" fontId="2" fillId="0" borderId="0" xfId="0" applyNumberFormat="1" applyFont="1"/>
    <xf numFmtId="4" fontId="1" fillId="0" borderId="0" xfId="0" applyNumberFormat="1" applyFont="1"/>
    <xf numFmtId="169" fontId="1" fillId="0" borderId="0" xfId="0" applyNumberFormat="1" applyFont="1"/>
    <xf numFmtId="0" fontId="2" fillId="4" borderId="17" xfId="0" applyFont="1" applyFill="1" applyBorder="1"/>
    <xf numFmtId="0" fontId="14" fillId="5" borderId="15" xfId="0" applyFont="1" applyFill="1" applyBorder="1" applyAlignment="1">
      <alignment horizontal="center"/>
    </xf>
    <xf numFmtId="3" fontId="14" fillId="5" borderId="16" xfId="0" applyNumberFormat="1" applyFont="1" applyFill="1" applyBorder="1"/>
    <xf numFmtId="0" fontId="14" fillId="5" borderId="12" xfId="0" applyFont="1" applyFill="1" applyBorder="1" applyAlignment="1">
      <alignment horizontal="center"/>
    </xf>
    <xf numFmtId="3" fontId="14" fillId="5" borderId="13" xfId="0" applyNumberFormat="1" applyFont="1" applyFill="1" applyBorder="1"/>
    <xf numFmtId="0" fontId="15" fillId="5" borderId="12" xfId="0" applyFont="1" applyFill="1" applyBorder="1" applyAlignment="1">
      <alignment horizontal="center"/>
    </xf>
    <xf numFmtId="3" fontId="15" fillId="5" borderId="13" xfId="0" applyNumberFormat="1" applyFont="1" applyFill="1" applyBorder="1"/>
    <xf numFmtId="0" fontId="14" fillId="5" borderId="11" xfId="0" applyFont="1" applyFill="1" applyBorder="1" applyAlignment="1">
      <alignment horizontal="center"/>
    </xf>
    <xf numFmtId="3" fontId="14" fillId="5" borderId="14" xfId="0" applyNumberFormat="1" applyFont="1" applyFill="1" applyBorder="1"/>
    <xf numFmtId="0" fontId="1" fillId="0" borderId="18" xfId="0" applyFont="1" applyBorder="1"/>
    <xf numFmtId="3" fontId="1" fillId="0" borderId="6" xfId="0" applyNumberFormat="1" applyFont="1" applyBorder="1"/>
    <xf numFmtId="3" fontId="9" fillId="0" borderId="0" xfId="0" applyNumberFormat="1" applyFont="1" applyAlignment="1">
      <alignment horizontal="left" indent="1"/>
    </xf>
    <xf numFmtId="3" fontId="9" fillId="0" borderId="0" xfId="0" applyNumberFormat="1" applyFont="1"/>
    <xf numFmtId="3" fontId="9" fillId="0" borderId="6" xfId="0" applyNumberFormat="1" applyFont="1" applyBorder="1"/>
    <xf numFmtId="3" fontId="10" fillId="0" borderId="0" xfId="1" applyNumberFormat="1"/>
    <xf numFmtId="0" fontId="2" fillId="4" borderId="19" xfId="0" applyFont="1" applyFill="1" applyBorder="1"/>
    <xf numFmtId="167" fontId="14" fillId="5" borderId="20" xfId="0" applyNumberFormat="1" applyFont="1" applyFill="1" applyBorder="1"/>
    <xf numFmtId="167" fontId="14" fillId="5" borderId="21" xfId="0" applyNumberFormat="1" applyFont="1" applyFill="1" applyBorder="1"/>
    <xf numFmtId="167" fontId="15" fillId="5" borderId="21" xfId="0" applyNumberFormat="1" applyFont="1" applyFill="1" applyBorder="1"/>
    <xf numFmtId="167" fontId="14" fillId="5" borderId="22" xfId="0" applyNumberFormat="1" applyFont="1" applyFill="1" applyBorder="1"/>
    <xf numFmtId="14" fontId="1" fillId="0" borderId="0" xfId="0" applyNumberFormat="1" applyFont="1" applyAlignment="1">
      <alignment horizontal="right"/>
    </xf>
    <xf numFmtId="170" fontId="2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9" fontId="16" fillId="0" borderId="0" xfId="0" applyNumberFormat="1" applyFont="1"/>
    <xf numFmtId="9" fontId="9" fillId="0" borderId="0" xfId="0" applyNumberFormat="1" applyFont="1"/>
    <xf numFmtId="9" fontId="0" fillId="0" borderId="0" xfId="0" applyNumberFormat="1"/>
    <xf numFmtId="9" fontId="2" fillId="0" borderId="0" xfId="0" applyNumberFormat="1" applyFont="1"/>
    <xf numFmtId="9" fontId="9" fillId="0" borderId="1" xfId="0" applyNumberFormat="1" applyFont="1" applyBorder="1"/>
    <xf numFmtId="9" fontId="0" fillId="0" borderId="1" xfId="0" applyNumberFormat="1" applyBorder="1"/>
    <xf numFmtId="0" fontId="1" fillId="3" borderId="1" xfId="0" applyFont="1" applyFill="1" applyBorder="1"/>
    <xf numFmtId="9" fontId="1" fillId="0" borderId="1" xfId="0" applyNumberFormat="1" applyFont="1" applyBorder="1"/>
    <xf numFmtId="10" fontId="0" fillId="0" borderId="0" xfId="0" applyNumberFormat="1"/>
    <xf numFmtId="171" fontId="0" fillId="0" borderId="0" xfId="0" applyNumberFormat="1"/>
    <xf numFmtId="173" fontId="0" fillId="0" borderId="0" xfId="0" applyNumberFormat="1"/>
    <xf numFmtId="0" fontId="0" fillId="0" borderId="18" xfId="0" applyBorder="1"/>
    <xf numFmtId="0" fontId="1" fillId="0" borderId="18" xfId="0" applyFont="1" applyBorder="1" applyAlignment="1">
      <alignment horizontal="right"/>
    </xf>
    <xf numFmtId="170" fontId="1" fillId="0" borderId="18" xfId="0" applyNumberFormat="1" applyFont="1" applyBorder="1"/>
    <xf numFmtId="9" fontId="0" fillId="0" borderId="18" xfId="0" applyNumberFormat="1" applyBorder="1"/>
    <xf numFmtId="9" fontId="1" fillId="0" borderId="18" xfId="0" applyNumberFormat="1" applyFont="1" applyBorder="1"/>
    <xf numFmtId="171" fontId="0" fillId="0" borderId="18" xfId="0" applyNumberFormat="1" applyBorder="1"/>
    <xf numFmtId="173" fontId="0" fillId="0" borderId="18" xfId="0" applyNumberFormat="1" applyBorder="1"/>
    <xf numFmtId="172" fontId="1" fillId="0" borderId="18" xfId="0" applyNumberFormat="1" applyFont="1" applyBorder="1"/>
    <xf numFmtId="10" fontId="0" fillId="0" borderId="18" xfId="0" applyNumberFormat="1" applyBorder="1"/>
    <xf numFmtId="3" fontId="1" fillId="0" borderId="2" xfId="0" applyNumberFormat="1" applyFont="1" applyBorder="1"/>
    <xf numFmtId="3" fontId="2" fillId="0" borderId="2" xfId="0" applyNumberFormat="1" applyFont="1" applyBorder="1"/>
    <xf numFmtId="3" fontId="1" fillId="3" borderId="2" xfId="0" applyNumberFormat="1" applyFont="1" applyFill="1" applyBorder="1"/>
    <xf numFmtId="14" fontId="1" fillId="3" borderId="0" xfId="0" applyNumberFormat="1" applyFont="1" applyFill="1" applyAlignment="1">
      <alignment horizontal="right"/>
    </xf>
    <xf numFmtId="3" fontId="2" fillId="3" borderId="0" xfId="0" applyNumberFormat="1" applyFont="1" applyFill="1"/>
    <xf numFmtId="3" fontId="1" fillId="3" borderId="0" xfId="0" applyNumberFormat="1" applyFont="1" applyFill="1"/>
    <xf numFmtId="164" fontId="2" fillId="0" borderId="0" xfId="0" applyNumberFormat="1" applyFont="1"/>
    <xf numFmtId="164" fontId="14" fillId="0" borderId="1" xfId="0" applyNumberFormat="1" applyFont="1" applyBorder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VEND SOTP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VEND SOTP</a:t>
          </a:r>
        </a:p>
      </cx:txPr>
    </cx:title>
    <cx:plotArea>
      <cx:plotAreaRegion>
        <cx:series layoutId="waterfall" uniqueId="{00000000-CBA5-AE40-88C5-38FFE4EFA48D}">
          <cx:dataPt idx="3">
            <cx:spPr>
              <a:solidFill>
                <a:srgbClr val="FF0000"/>
              </a:solidFill>
            </cx:spPr>
          </cx:dataPt>
          <cx:dataPt idx="4">
            <cx:spPr>
              <a:solidFill>
                <a:srgbClr val="FF0000"/>
              </a:solidFill>
            </cx:spPr>
          </cx:dataPt>
          <cx:dataPt idx="5"/>
          <cx:dataPt idx="8">
            <cx:spPr>
              <a:solidFill>
                <a:srgbClr val="FF0000"/>
              </a:solidFill>
            </cx:spPr>
          </cx:dataPt>
          <cx:dataPt idx="9"/>
          <cx:dataPt idx="12">
            <cx:spPr>
              <a:solidFill>
                <a:srgbClr val="FF0000"/>
              </a:solidFill>
            </cx:spPr>
          </cx:dataPt>
          <cx:dataPt idx="14"/>
          <cx:dataLabels pos="outEnd">
            <cx:visibility seriesName="0" categoryName="0" value="1"/>
          </cx:dataLabels>
          <cx:dataId val="0"/>
          <cx:layoutPr>
            <cx:subtotals>
              <cx:idx val="5"/>
              <cx:idx val="9"/>
              <cx:idx val="1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0</xdr:rowOff>
    </xdr:from>
    <xdr:to>
      <xdr:col>5</xdr:col>
      <xdr:colOff>772344</xdr:colOff>
      <xdr:row>13</xdr:row>
      <xdr:rowOff>25400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2587B420-F1A2-80A5-AC47-C9319D515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9" y="0"/>
          <a:ext cx="4963345" cy="3162300"/>
        </a:xfrm>
        <a:prstGeom prst="rect">
          <a:avLst/>
        </a:prstGeom>
      </xdr:spPr>
    </xdr:pic>
    <xdr:clientData/>
  </xdr:twoCellAnchor>
  <xdr:twoCellAnchor editAs="oneCell">
    <xdr:from>
      <xdr:col>12</xdr:col>
      <xdr:colOff>812800</xdr:colOff>
      <xdr:row>27</xdr:row>
      <xdr:rowOff>203200</xdr:rowOff>
    </xdr:from>
    <xdr:to>
      <xdr:col>17</xdr:col>
      <xdr:colOff>215900</xdr:colOff>
      <xdr:row>43</xdr:row>
      <xdr:rowOff>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BA6F193B-59F2-CE49-56D2-E76D4CCA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5000" y="6718300"/>
          <a:ext cx="39878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4</xdr:row>
      <xdr:rowOff>63500</xdr:rowOff>
    </xdr:from>
    <xdr:to>
      <xdr:col>12</xdr:col>
      <xdr:colOff>393700</xdr:colOff>
      <xdr:row>19</xdr:row>
      <xdr:rowOff>215900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 5">
              <a:extLst>
                <a:ext uri="{FF2B5EF4-FFF2-40B4-BE49-F238E27FC236}">
                  <a16:creationId xmlns:a16="http://schemas.microsoft.com/office/drawing/2014/main" id="{220835F5-0559-2518-F121-FDAA5015D6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6050" y="1028700"/>
              <a:ext cx="6102350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53D900F6-2C25-4947-A6FB-0AC1CDDED5CD}" userId="a530012ce760c12d" providerId="Windows Live"/>
  <person displayName="(Student) Hodt, August" id="{2D39DD3A-A459-8948-B7BD-8142FDC1AAEC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7" dT="2026-05-01T10:31:06.54" personId="{2D39DD3A-A459-8948-B7BD-8142FDC1AAEC}" id="{E12E7203-2CF8-8E48-A492-C1105660C944}">
    <text>Mål om 40%</text>
  </threadedComment>
  <threadedComment ref="C95" dT="2026-07-17T12:21:47.49" personId="{2D39DD3A-A459-8948-B7BD-8142FDC1AAEC}" id="{7A425012-D7CB-0A4F-922F-5BACC68FEDEE}">
    <text>5% of sales</text>
  </threadedComment>
  <threadedComment ref="Q100" dT="2025-12-21T11:34:01.11" personId="{53D900F6-2C25-4947-A6FB-0AC1CDDED5CD}" id="{E5699847-6F38-F14C-9990-E3D93B3EBEA3}">
    <text>Proceeds from capital repayment 3 883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3" dT="2026-07-17T18:16:30.06" personId="{2D39DD3A-A459-8948-B7BD-8142FDC1AAEC}" id="{B32C33F5-9CF2-C84E-A4AF-C90DD328F4C1}">
    <text xml:space="preserve">14% eier
</text>
  </threadedComment>
  <threadedComment ref="A94" dT="2026-07-17T18:16:30.06" personId="{2D39DD3A-A459-8948-B7BD-8142FDC1AAEC}" id="{6EDC1685-C675-7D4F-968E-11169C0624E5}">
    <text xml:space="preserve">14% eier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A58" dT="2026-07-17T12:27:25.48" personId="{2D39DD3A-A459-8948-B7BD-8142FDC1AAEC}" id="{1F58B890-B0DB-3C4B-9FE0-786E9C5D127B}">
    <text>Expect 300 mill Q226 call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A4" dT="2026-06-16T09:48:34.02" personId="{2D39DD3A-A459-8948-B7BD-8142FDC1AAEC}" id="{2EDCE919-97FE-3C4A-9ED1-492F491396BC}">
    <text>januar-februar</text>
  </threadedComment>
  <threadedComment ref="AB4" dT="2026-06-16T09:45:54.53" personId="{2D39DD3A-A459-8948-B7BD-8142FDC1AAEC}" id="{5721A1CA-DAD0-6D4C-931E-50DA55EB8D05}">
    <text xml:space="preserve">April-mai
</text>
  </threadedComment>
  <threadedComment ref="AC4" dT="2026-09-01T18:39:14.16" personId="{53D900F6-2C25-4947-A6FB-0AC1CDDED5CD}" id="{47370B81-A1A0-7946-B0FE-FCABF156DC86}">
    <text>Juli-august</text>
  </threadedComment>
  <threadedComment ref="AD4" dT="2026-09-14T06:44:18.64" personId="{53D900F6-2C25-4947-A6FB-0AC1CDDED5CD}" id="{855CE0B9-BC63-6348-846F-F9982993BC6D}">
    <text>Oktober-november</text>
  </threadedComment>
  <threadedComment ref="C18" dT="2026-09-14T06:51:24.59" personId="{53D900F6-2C25-4947-A6FB-0AC1CDDED5CD}" id="{681C1A77-2E6E-6149-A4EC-4992728B70CF}">
    <text>Le på antall listede boliger fra eiendomNorge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Z5" dT="2026-06-16T09:48:34.02" personId="{2D39DD3A-A459-8948-B7BD-8142FDC1AAEC}" id="{BD81F970-C185-BF49-9356-556DCEF192C8}">
    <text>januar-februar</text>
  </threadedComment>
  <threadedComment ref="AA5" dT="2026-06-16T09:45:54.53" personId="{2D39DD3A-A459-8948-B7BD-8142FDC1AAEC}" id="{8167A84A-6715-914C-9F78-89DA8FC5973F}">
    <text xml:space="preserve">April-mai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5F4F1D-E4F7-0443-B3E5-EB77F965B0E2}">
  <we:reference id="wa200009404" version="1.0.0.5" store="nb-NO" storeType="OMEX"/>
  <we:alternateReferences>
    <we:reference id="wa200009404" version="1.0.0.5" store="nb-NO" storeType="OMEX"/>
  </we:alternateReferences>
  <we:properties>
    <we:property name="claude.fileId" value="&quot;b59386d4-b6cf-4e88-9101-80d85e2939a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mailto:17@" TargetMode="Externa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8142-E94C-684E-8A27-765BEE6464F1}">
  <dimension ref="A1:AA88"/>
  <sheetViews>
    <sheetView showGridLines="0" tabSelected="1" topLeftCell="A10" workbookViewId="0">
      <selection activeCell="K40" sqref="K40"/>
    </sheetView>
  </sheetViews>
  <sheetFormatPr baseColWidth="10" defaultColWidth="10.83203125" defaultRowHeight="19" x14ac:dyDescent="0.25"/>
  <cols>
    <col min="1" max="1" width="11.83203125" style="1" bestFit="1" customWidth="1"/>
    <col min="2" max="13" width="10.83203125" style="1"/>
    <col min="14" max="14" width="12.6640625" style="1" customWidth="1"/>
    <col min="15" max="15" width="10.83203125" style="1"/>
    <col min="16" max="16" width="12" style="1" bestFit="1" customWidth="1"/>
    <col min="17" max="17" width="13.83203125" style="1" bestFit="1" customWidth="1"/>
    <col min="18" max="20" width="10.83203125" style="1"/>
    <col min="21" max="21" width="13" style="93" customWidth="1"/>
    <col min="22" max="22" width="16.5" style="14" customWidth="1"/>
    <col min="23" max="23" width="26.1640625" style="14" customWidth="1"/>
    <col min="24" max="24" width="17.6640625" style="14" customWidth="1"/>
    <col min="25" max="25" width="19.5" style="14" customWidth="1"/>
    <col min="26" max="26" width="14.33203125" style="1" bestFit="1" customWidth="1"/>
    <col min="27" max="16384" width="10.83203125" style="1"/>
  </cols>
  <sheetData>
    <row r="1" spans="1:25" x14ac:dyDescent="0.25">
      <c r="H1" s="2" t="s">
        <v>134</v>
      </c>
      <c r="U1" s="1"/>
      <c r="V1" s="1"/>
      <c r="W1" s="1"/>
      <c r="X1" s="1"/>
      <c r="Y1" s="1"/>
    </row>
    <row r="2" spans="1:25" x14ac:dyDescent="0.25">
      <c r="H2" s="1" t="s">
        <v>172</v>
      </c>
      <c r="U2" s="1"/>
      <c r="V2" s="1"/>
      <c r="W2" s="1"/>
      <c r="X2" s="1"/>
      <c r="Y2" s="1"/>
    </row>
    <row r="3" spans="1:25" x14ac:dyDescent="0.25">
      <c r="H3" s="1" t="s">
        <v>135</v>
      </c>
      <c r="U3" s="1"/>
      <c r="V3" s="1"/>
      <c r="W3" s="1"/>
      <c r="X3" s="1"/>
      <c r="Y3" s="1"/>
    </row>
    <row r="4" spans="1:25" x14ac:dyDescent="0.25">
      <c r="H4" s="1" t="s">
        <v>136</v>
      </c>
      <c r="U4" s="1"/>
      <c r="V4" s="1"/>
      <c r="W4" s="1"/>
      <c r="X4" s="1"/>
      <c r="Y4" s="1"/>
    </row>
    <row r="5" spans="1:25" x14ac:dyDescent="0.25">
      <c r="U5" s="1"/>
      <c r="V5" s="1"/>
      <c r="W5" s="1"/>
      <c r="X5" s="1"/>
      <c r="Y5" s="1"/>
    </row>
    <row r="6" spans="1:25" x14ac:dyDescent="0.25">
      <c r="H6" s="2" t="s">
        <v>137</v>
      </c>
      <c r="N6" s="2" t="s">
        <v>145</v>
      </c>
      <c r="U6" s="2" t="s">
        <v>256</v>
      </c>
      <c r="V6" s="1"/>
      <c r="W6" s="1"/>
      <c r="X6" s="1"/>
      <c r="Y6" s="1"/>
    </row>
    <row r="7" spans="1:25" x14ac:dyDescent="0.25">
      <c r="H7" s="1" t="s">
        <v>173</v>
      </c>
      <c r="N7" s="1" t="s">
        <v>146</v>
      </c>
      <c r="U7" s="2" t="s">
        <v>257</v>
      </c>
      <c r="V7" s="2" t="s">
        <v>258</v>
      </c>
      <c r="W7" s="2" t="s">
        <v>259</v>
      </c>
      <c r="X7" s="2" t="s">
        <v>260</v>
      </c>
      <c r="Y7" s="2" t="s">
        <v>261</v>
      </c>
    </row>
    <row r="8" spans="1:25" x14ac:dyDescent="0.25">
      <c r="H8" s="1" t="s">
        <v>139</v>
      </c>
      <c r="N8" s="1" t="s">
        <v>138</v>
      </c>
      <c r="U8" s="67">
        <v>45993</v>
      </c>
      <c r="V8" s="14">
        <v>285500</v>
      </c>
      <c r="W8" s="14">
        <f>V8</f>
        <v>285500</v>
      </c>
      <c r="X8" s="14">
        <v>80545390</v>
      </c>
      <c r="Y8" s="14">
        <f>X8</f>
        <v>80545390</v>
      </c>
    </row>
    <row r="9" spans="1:25" x14ac:dyDescent="0.25">
      <c r="H9" s="1" t="s">
        <v>140</v>
      </c>
      <c r="U9" s="67">
        <v>45999</v>
      </c>
      <c r="V9" s="14">
        <v>337500</v>
      </c>
      <c r="W9" s="14">
        <f>SUM(V8:V9)</f>
        <v>623000</v>
      </c>
      <c r="X9" s="14">
        <f>184167334-X8</f>
        <v>103621944</v>
      </c>
      <c r="Y9" s="14">
        <f>SUM(X8:X9)</f>
        <v>184167334</v>
      </c>
    </row>
    <row r="10" spans="1:25" x14ac:dyDescent="0.25">
      <c r="U10" s="67">
        <v>46006</v>
      </c>
      <c r="V10" s="14">
        <v>311000</v>
      </c>
      <c r="W10" s="14">
        <f>SUM(V8:V10)</f>
        <v>934000</v>
      </c>
      <c r="X10" s="14">
        <f>272941684-Y9</f>
        <v>88774350</v>
      </c>
      <c r="Y10" s="14">
        <f>SUM(X8:X10)</f>
        <v>272941684</v>
      </c>
    </row>
    <row r="11" spans="1:25" x14ac:dyDescent="0.25">
      <c r="H11" s="2" t="s">
        <v>141</v>
      </c>
      <c r="U11" s="67">
        <v>46011</v>
      </c>
      <c r="V11" s="14">
        <v>499000</v>
      </c>
      <c r="W11" s="14">
        <f>SUM(V8:V11)</f>
        <v>1433000</v>
      </c>
      <c r="X11" s="14">
        <f>407677083-Y10</f>
        <v>134735399</v>
      </c>
      <c r="Y11" s="14">
        <f>SUM(X8:X11)</f>
        <v>407677083</v>
      </c>
    </row>
    <row r="12" spans="1:25" x14ac:dyDescent="0.25">
      <c r="H12" s="1" t="s">
        <v>142</v>
      </c>
      <c r="U12" s="67">
        <v>46020</v>
      </c>
      <c r="V12" s="14">
        <v>167000</v>
      </c>
      <c r="W12" s="14">
        <f>SUM(V8:V12)</f>
        <v>1600000</v>
      </c>
      <c r="X12" s="14">
        <f>452156033-Y11</f>
        <v>44478950</v>
      </c>
      <c r="Y12" s="14">
        <f>SUM(X8:X12)</f>
        <v>452156033</v>
      </c>
    </row>
    <row r="13" spans="1:25" x14ac:dyDescent="0.25">
      <c r="H13" s="1" t="s">
        <v>143</v>
      </c>
      <c r="U13" s="67">
        <v>46027</v>
      </c>
      <c r="V13" s="14">
        <v>69503</v>
      </c>
      <c r="W13" s="14">
        <f>SUM(V8:V13)</f>
        <v>1669503</v>
      </c>
      <c r="X13" s="14">
        <f>471443676-Y12</f>
        <v>19287643</v>
      </c>
      <c r="Y13" s="14">
        <f>SUM(X8:X13)</f>
        <v>471443676</v>
      </c>
    </row>
    <row r="14" spans="1:25" x14ac:dyDescent="0.25">
      <c r="H14" s="1" t="s">
        <v>144</v>
      </c>
      <c r="U14" s="67">
        <v>46034</v>
      </c>
      <c r="V14" s="14">
        <v>215459</v>
      </c>
      <c r="W14" s="14">
        <f>SUM(V8:V149)</f>
        <v>18750530</v>
      </c>
      <c r="X14" s="14">
        <f>532167563-Y13</f>
        <v>60723887</v>
      </c>
      <c r="Y14" s="14">
        <f>SUM(X8:X14)</f>
        <v>532167563</v>
      </c>
    </row>
    <row r="15" spans="1:25" x14ac:dyDescent="0.25">
      <c r="A15" s="1" t="s">
        <v>147</v>
      </c>
      <c r="U15" s="67">
        <v>46041</v>
      </c>
      <c r="V15" s="14">
        <v>389822</v>
      </c>
      <c r="W15" s="14">
        <f>SUM(V8:V15)</f>
        <v>2274784</v>
      </c>
      <c r="X15" s="14">
        <f>645088863-Y14</f>
        <v>112921300</v>
      </c>
      <c r="Y15" s="14">
        <f>SUM(X8:X15)</f>
        <v>645088863</v>
      </c>
    </row>
    <row r="16" spans="1:25" x14ac:dyDescent="0.25">
      <c r="A16" s="1" t="s">
        <v>148</v>
      </c>
      <c r="U16" s="67">
        <v>46048</v>
      </c>
      <c r="V16" s="14">
        <v>379473</v>
      </c>
      <c r="W16" s="14">
        <f>SUM(V8:V16)</f>
        <v>2654257</v>
      </c>
      <c r="X16" s="14">
        <f>752136480-Y15</f>
        <v>107047617</v>
      </c>
      <c r="Y16" s="14">
        <f>SUM(X8:X16)</f>
        <v>752136480</v>
      </c>
    </row>
    <row r="17" spans="1:26" x14ac:dyDescent="0.25">
      <c r="U17" s="67">
        <v>46055</v>
      </c>
      <c r="V17" s="14">
        <v>460917</v>
      </c>
      <c r="W17" s="14">
        <f>SUM(V8:V17)</f>
        <v>3115174</v>
      </c>
      <c r="X17" s="14">
        <f>879219174-Y16</f>
        <v>127082694</v>
      </c>
      <c r="Y17" s="14">
        <f>SUM(X8:X17)</f>
        <v>879219174</v>
      </c>
    </row>
    <row r="18" spans="1:26" x14ac:dyDescent="0.25">
      <c r="A18" s="1" t="s">
        <v>149</v>
      </c>
      <c r="N18" s="47" t="s">
        <v>52</v>
      </c>
      <c r="O18" s="47" t="s">
        <v>54</v>
      </c>
      <c r="P18" s="47" t="s">
        <v>53</v>
      </c>
      <c r="Q18" s="47" t="s">
        <v>55</v>
      </c>
      <c r="R18" s="47" t="s">
        <v>56</v>
      </c>
      <c r="U18" s="67">
        <v>46062</v>
      </c>
      <c r="V18" s="14">
        <v>487000</v>
      </c>
      <c r="W18" s="14">
        <f>SUM(V8:V18)</f>
        <v>3602174</v>
      </c>
      <c r="X18" s="14">
        <f>1003542299-Y17</f>
        <v>124323125</v>
      </c>
      <c r="Y18" s="14">
        <f>SUM(X8:X18)</f>
        <v>1003542299</v>
      </c>
    </row>
    <row r="19" spans="1:26" x14ac:dyDescent="0.25">
      <c r="A19" s="1" t="s">
        <v>150</v>
      </c>
      <c r="N19" s="48" t="s">
        <v>189</v>
      </c>
      <c r="O19" s="48" t="s">
        <v>189</v>
      </c>
      <c r="P19" s="48" t="s">
        <v>193</v>
      </c>
      <c r="Q19" s="48" t="s">
        <v>189</v>
      </c>
      <c r="R19" s="48" t="s">
        <v>199</v>
      </c>
      <c r="U19" s="67">
        <v>46069</v>
      </c>
      <c r="V19" s="14">
        <v>495753</v>
      </c>
      <c r="W19" s="14">
        <f>SUM(V8:V19)</f>
        <v>4097927</v>
      </c>
      <c r="X19" s="14">
        <f>1131670018-Y18</f>
        <v>128127719</v>
      </c>
      <c r="Y19" s="14">
        <f>SUM(X8:X19)</f>
        <v>1131670018</v>
      </c>
    </row>
    <row r="20" spans="1:26" x14ac:dyDescent="0.25">
      <c r="A20" s="1" t="s">
        <v>151</v>
      </c>
      <c r="N20" s="48" t="s">
        <v>190</v>
      </c>
      <c r="O20" s="48" t="s">
        <v>190</v>
      </c>
      <c r="P20" s="48" t="s">
        <v>194</v>
      </c>
      <c r="Q20" s="48" t="s">
        <v>190</v>
      </c>
      <c r="R20" s="48"/>
      <c r="U20" s="67">
        <v>46076</v>
      </c>
      <c r="V20" s="14">
        <v>510000</v>
      </c>
      <c r="W20" s="14">
        <f>SUM(V8:V20)</f>
        <v>4607927</v>
      </c>
      <c r="X20" s="14">
        <f>1251319546-Y19</f>
        <v>119649528</v>
      </c>
      <c r="Y20" s="14">
        <f>SUM(X8:X20)</f>
        <v>1251319546</v>
      </c>
    </row>
    <row r="21" spans="1:26" x14ac:dyDescent="0.25">
      <c r="A21" s="1" t="s">
        <v>152</v>
      </c>
      <c r="N21" s="48" t="s">
        <v>215</v>
      </c>
      <c r="O21" s="48"/>
      <c r="P21" s="48" t="s">
        <v>195</v>
      </c>
      <c r="Q21" s="48" t="s">
        <v>197</v>
      </c>
      <c r="R21" s="48"/>
      <c r="U21" s="67">
        <v>46083</v>
      </c>
      <c r="V21" s="14">
        <v>525000</v>
      </c>
      <c r="W21" s="14">
        <f>SUM(V8:V21)</f>
        <v>5132927</v>
      </c>
      <c r="X21" s="14">
        <f>1373166827-Y20</f>
        <v>121847281</v>
      </c>
      <c r="Y21" s="14">
        <f>SUM(X8:X21)</f>
        <v>1373166827</v>
      </c>
    </row>
    <row r="22" spans="1:26" x14ac:dyDescent="0.25">
      <c r="A22" s="1" t="s">
        <v>153</v>
      </c>
      <c r="N22" s="48" t="s">
        <v>191</v>
      </c>
      <c r="O22" s="48"/>
      <c r="P22" s="48" t="s">
        <v>196</v>
      </c>
      <c r="Q22" s="48" t="s">
        <v>198</v>
      </c>
      <c r="R22" s="48"/>
      <c r="U22" s="67">
        <v>46090</v>
      </c>
      <c r="V22" s="14">
        <v>560000</v>
      </c>
      <c r="W22" s="14">
        <f>SUM(V8:V22)</f>
        <v>5692927</v>
      </c>
      <c r="X22" s="14">
        <f>1510767923-Y21</f>
        <v>137601096</v>
      </c>
      <c r="Y22" s="14">
        <f>SUM(X8:X22)</f>
        <v>1510767923</v>
      </c>
    </row>
    <row r="23" spans="1:26" x14ac:dyDescent="0.25">
      <c r="N23" s="48" t="s">
        <v>192</v>
      </c>
      <c r="O23" s="48"/>
      <c r="Q23" s="48"/>
      <c r="R23" s="48"/>
      <c r="U23" s="67">
        <v>46097</v>
      </c>
      <c r="V23" s="14">
        <v>458492</v>
      </c>
      <c r="W23" s="14">
        <f>SUM(V8:V23)</f>
        <v>6151419</v>
      </c>
      <c r="X23" s="14">
        <f>1629012853-Y22</f>
        <v>118244930</v>
      </c>
      <c r="Y23" s="14">
        <f>SUM(X8:X23)</f>
        <v>1629012853</v>
      </c>
    </row>
    <row r="24" spans="1:26" x14ac:dyDescent="0.25">
      <c r="N24" s="48" t="s">
        <v>316</v>
      </c>
      <c r="O24" s="48"/>
      <c r="P24" s="48"/>
      <c r="Q24" s="48"/>
      <c r="R24" s="48"/>
      <c r="U24" s="67">
        <v>46104</v>
      </c>
      <c r="V24" s="14">
        <v>529856</v>
      </c>
      <c r="W24" s="14">
        <f>SUM(V8:V24)</f>
        <v>6681275</v>
      </c>
      <c r="X24" s="14">
        <f>1761497962-Y23</f>
        <v>132485109</v>
      </c>
      <c r="Y24" s="14">
        <f>SUM(X8:X24)</f>
        <v>1761497962</v>
      </c>
    </row>
    <row r="25" spans="1:26" x14ac:dyDescent="0.25">
      <c r="N25" s="48" t="s">
        <v>317</v>
      </c>
      <c r="O25" s="48"/>
      <c r="P25" s="48"/>
      <c r="Q25" s="48"/>
      <c r="R25" s="48"/>
      <c r="U25" s="67">
        <v>46111</v>
      </c>
      <c r="V25" s="14">
        <v>521708</v>
      </c>
      <c r="W25" s="14">
        <f>SUM(V8:V25)</f>
        <v>7202983</v>
      </c>
      <c r="X25" s="14">
        <f>1885232872-Y24</f>
        <v>123734910</v>
      </c>
      <c r="Y25" s="14">
        <f>SUM(X8:X25)</f>
        <v>1885232872</v>
      </c>
    </row>
    <row r="26" spans="1:26" x14ac:dyDescent="0.25">
      <c r="A26" s="2" t="s">
        <v>174</v>
      </c>
      <c r="N26" s="48" t="s">
        <v>318</v>
      </c>
      <c r="O26" s="48"/>
      <c r="P26" s="48"/>
      <c r="Q26" s="48"/>
      <c r="R26" s="48"/>
      <c r="U26" s="67">
        <v>46119</v>
      </c>
      <c r="V26" s="14">
        <v>300000</v>
      </c>
      <c r="W26" s="14">
        <f>SUM(V8:V26)</f>
        <v>7502983</v>
      </c>
      <c r="X26" s="14">
        <f>1956441444-Y25</f>
        <v>71208572</v>
      </c>
      <c r="Y26" s="14">
        <f>SUM(X8:X26)</f>
        <v>1956441444</v>
      </c>
      <c r="Z26" s="14"/>
    </row>
    <row r="27" spans="1:26" x14ac:dyDescent="0.25">
      <c r="A27" s="1" t="s">
        <v>349</v>
      </c>
      <c r="N27" s="48" t="s">
        <v>319</v>
      </c>
      <c r="O27" s="49"/>
      <c r="P27" s="49"/>
      <c r="Q27" s="48"/>
      <c r="R27" s="48"/>
      <c r="U27" s="68"/>
      <c r="V27" s="68"/>
      <c r="W27" s="68"/>
      <c r="X27" s="68"/>
      <c r="Y27" s="68"/>
    </row>
    <row r="28" spans="1:26" x14ac:dyDescent="0.25">
      <c r="A28" s="1" t="s">
        <v>348</v>
      </c>
      <c r="T28" s="1" t="s">
        <v>336</v>
      </c>
      <c r="U28" s="93">
        <v>46153</v>
      </c>
      <c r="V28" s="14">
        <v>770000</v>
      </c>
      <c r="W28" s="14">
        <f>V28</f>
        <v>770000</v>
      </c>
      <c r="X28" s="14">
        <v>192208337</v>
      </c>
      <c r="Y28" s="14">
        <f>X28</f>
        <v>192208337</v>
      </c>
    </row>
    <row r="29" spans="1:26" x14ac:dyDescent="0.25">
      <c r="A29" s="1" t="s">
        <v>347</v>
      </c>
      <c r="U29" s="93">
        <v>46160</v>
      </c>
      <c r="V29" s="14">
        <v>619000</v>
      </c>
      <c r="W29" s="14">
        <f>SUM(V28:V29)</f>
        <v>1389000</v>
      </c>
      <c r="X29" s="14">
        <f>341582292-Y28</f>
        <v>149373955</v>
      </c>
      <c r="Y29" s="14">
        <f>SUM(X28:X29)</f>
        <v>341582292</v>
      </c>
    </row>
    <row r="30" spans="1:26" x14ac:dyDescent="0.25">
      <c r="A30" s="1" t="s">
        <v>341</v>
      </c>
      <c r="U30" s="93">
        <v>46168</v>
      </c>
      <c r="V30" s="14">
        <v>725000</v>
      </c>
      <c r="W30" s="14">
        <f>SUM(V28:V30)</f>
        <v>2114000</v>
      </c>
      <c r="X30" s="14">
        <v>177335022</v>
      </c>
      <c r="Y30" s="14">
        <f>SUM(X28:X30)</f>
        <v>518917314</v>
      </c>
    </row>
    <row r="31" spans="1:26" x14ac:dyDescent="0.25">
      <c r="A31" s="67" t="s">
        <v>340</v>
      </c>
      <c r="U31" s="93">
        <v>46174</v>
      </c>
      <c r="V31" s="14">
        <v>500000</v>
      </c>
      <c r="W31" s="14">
        <f>SUM(V28:V31)</f>
        <v>2614000</v>
      </c>
      <c r="X31" s="14">
        <v>120735826</v>
      </c>
      <c r="Y31" s="14">
        <f>SUM(X28:X31)</f>
        <v>639653140</v>
      </c>
    </row>
    <row r="32" spans="1:26" x14ac:dyDescent="0.25">
      <c r="A32" s="1" t="s">
        <v>339</v>
      </c>
      <c r="U32" s="93">
        <v>46181</v>
      </c>
      <c r="V32" s="14">
        <v>677000</v>
      </c>
      <c r="W32" s="14">
        <f>SUM(V28:V32)</f>
        <v>3291000</v>
      </c>
      <c r="X32" s="14">
        <v>160627648</v>
      </c>
      <c r="Y32" s="14">
        <f>SUM(X28:X32)</f>
        <v>800280788</v>
      </c>
    </row>
    <row r="33" spans="1:27" x14ac:dyDescent="0.25">
      <c r="A33" s="1" t="s">
        <v>338</v>
      </c>
      <c r="U33" s="93">
        <v>46188</v>
      </c>
      <c r="V33" s="14">
        <v>677000</v>
      </c>
      <c r="W33" s="14">
        <f>SUM(V28:V33)</f>
        <v>3968000</v>
      </c>
      <c r="X33" s="14">
        <v>163700945</v>
      </c>
      <c r="Y33" s="14">
        <f>SUM(X28:X33)</f>
        <v>963981733</v>
      </c>
    </row>
    <row r="34" spans="1:27" x14ac:dyDescent="0.25">
      <c r="A34" s="1" t="s">
        <v>335</v>
      </c>
      <c r="T34" s="14"/>
      <c r="U34" s="93">
        <v>46195</v>
      </c>
      <c r="V34" s="14">
        <v>614000</v>
      </c>
      <c r="W34" s="14">
        <f>SUM(V29:V34)</f>
        <v>3812000</v>
      </c>
      <c r="X34" s="14">
        <v>148378751</v>
      </c>
      <c r="Y34" s="14">
        <f>SUM(X28:X34)</f>
        <v>1112360484</v>
      </c>
    </row>
    <row r="35" spans="1:27" x14ac:dyDescent="0.25">
      <c r="A35" s="1" t="s">
        <v>333</v>
      </c>
      <c r="U35" s="93">
        <v>46202</v>
      </c>
      <c r="V35" s="14">
        <v>631000</v>
      </c>
      <c r="W35" s="14">
        <f>SUM(V28:V35)</f>
        <v>5213000</v>
      </c>
      <c r="X35" s="14">
        <v>151084102</v>
      </c>
      <c r="Y35" s="14">
        <f>SUM(X28:X35)</f>
        <v>1263444586</v>
      </c>
    </row>
    <row r="36" spans="1:27" x14ac:dyDescent="0.25">
      <c r="A36" s="1" t="s">
        <v>332</v>
      </c>
      <c r="T36" s="14"/>
      <c r="U36" s="93">
        <v>46209</v>
      </c>
      <c r="V36" s="14">
        <v>637000</v>
      </c>
      <c r="W36" s="14">
        <f>SUM(V28:V36)</f>
        <v>5850000</v>
      </c>
      <c r="X36" s="14">
        <v>154597651</v>
      </c>
      <c r="Y36" s="14">
        <f>SUM(X28:X36)</f>
        <v>1418042237</v>
      </c>
    </row>
    <row r="37" spans="1:27" x14ac:dyDescent="0.25">
      <c r="A37" s="1" t="s">
        <v>331</v>
      </c>
      <c r="U37" s="93">
        <v>46216</v>
      </c>
      <c r="V37" s="14">
        <v>682000</v>
      </c>
      <c r="W37" s="14">
        <f>SUM(V28:V37)</f>
        <v>6532000</v>
      </c>
      <c r="X37" s="14">
        <v>166493018</v>
      </c>
      <c r="Y37" s="14">
        <f>SUM(X28:X37)</f>
        <v>1584535255</v>
      </c>
    </row>
    <row r="38" spans="1:27" x14ac:dyDescent="0.25">
      <c r="A38" s="1" t="s">
        <v>330</v>
      </c>
      <c r="U38" s="93">
        <v>46223</v>
      </c>
      <c r="V38" s="14">
        <v>397000</v>
      </c>
      <c r="W38" s="14">
        <f>SUM(V28:V38)</f>
        <v>6929000</v>
      </c>
      <c r="X38" s="14">
        <v>96960234</v>
      </c>
      <c r="Y38" s="14">
        <f>SUM(X28:X38)</f>
        <v>1681495489</v>
      </c>
    </row>
    <row r="39" spans="1:27" x14ac:dyDescent="0.25">
      <c r="A39" s="1" t="s">
        <v>329</v>
      </c>
      <c r="U39" s="93">
        <v>46230</v>
      </c>
      <c r="V39" s="14">
        <v>603000</v>
      </c>
      <c r="W39" s="14">
        <f>SUM(V28:V39)</f>
        <v>7532000</v>
      </c>
      <c r="X39" s="14">
        <v>142546014</v>
      </c>
      <c r="Y39" s="14">
        <f>SUM(X28:X39)</f>
        <v>1824041503</v>
      </c>
    </row>
    <row r="40" spans="1:27" x14ac:dyDescent="0.25">
      <c r="A40" s="1" t="s">
        <v>314</v>
      </c>
      <c r="U40" s="93">
        <v>46237</v>
      </c>
      <c r="V40" s="14">
        <v>560000</v>
      </c>
      <c r="W40" s="14">
        <f>SUM(V28:V40)</f>
        <v>8092000</v>
      </c>
      <c r="X40" s="14">
        <v>133057783</v>
      </c>
      <c r="Y40" s="14">
        <f>SUM(X28:X40)</f>
        <v>1957099286</v>
      </c>
      <c r="AA40" s="70"/>
    </row>
    <row r="41" spans="1:27" x14ac:dyDescent="0.25">
      <c r="A41" s="1" t="s">
        <v>313</v>
      </c>
      <c r="U41" s="93">
        <v>46240</v>
      </c>
      <c r="V41" s="14">
        <v>175547</v>
      </c>
      <c r="W41" s="14">
        <f>SUM(V28:V41)</f>
        <v>8267547</v>
      </c>
      <c r="X41" s="14">
        <v>42900586</v>
      </c>
      <c r="Y41" s="14">
        <f>SUM(X28:X41)</f>
        <v>1999999872</v>
      </c>
      <c r="AA41" s="69"/>
    </row>
    <row r="42" spans="1:27" x14ac:dyDescent="0.25">
      <c r="A42" s="1" t="s">
        <v>311</v>
      </c>
      <c r="U42" s="122"/>
      <c r="V42" s="123"/>
      <c r="W42" s="124"/>
      <c r="X42" s="124"/>
      <c r="Y42" s="124"/>
      <c r="AA42" s="70"/>
    </row>
    <row r="43" spans="1:27" x14ac:dyDescent="0.25">
      <c r="A43" s="1" t="s">
        <v>309</v>
      </c>
      <c r="T43" s="1" t="s">
        <v>337</v>
      </c>
      <c r="U43" s="93">
        <v>46244</v>
      </c>
      <c r="V43" s="14">
        <v>263000</v>
      </c>
      <c r="W43" s="14">
        <f>V43</f>
        <v>263000</v>
      </c>
      <c r="X43" s="14">
        <v>64394860</v>
      </c>
      <c r="Y43" s="14">
        <f>X43</f>
        <v>64394860</v>
      </c>
    </row>
    <row r="44" spans="1:27" x14ac:dyDescent="0.25">
      <c r="A44" s="67" t="s">
        <v>287</v>
      </c>
      <c r="U44" s="93">
        <v>46251</v>
      </c>
      <c r="V44" s="14">
        <v>591000</v>
      </c>
      <c r="W44" s="14">
        <f>SUM(V43:V44)</f>
        <v>854000</v>
      </c>
      <c r="X44" s="14">
        <v>145454868</v>
      </c>
      <c r="Y44" s="14">
        <f>SUM(X43:X44)</f>
        <v>209849728</v>
      </c>
    </row>
    <row r="45" spans="1:27" x14ac:dyDescent="0.25">
      <c r="A45" s="1" t="s">
        <v>286</v>
      </c>
      <c r="U45" s="93">
        <v>46258</v>
      </c>
      <c r="V45" s="14">
        <v>400000</v>
      </c>
      <c r="W45" s="14">
        <f>SUM(V43:V45)</f>
        <v>1254000</v>
      </c>
      <c r="X45" s="14">
        <v>99156697</v>
      </c>
      <c r="Y45" s="14">
        <f>SUM(X43:X45)</f>
        <v>309006425</v>
      </c>
    </row>
    <row r="46" spans="1:27" x14ac:dyDescent="0.25">
      <c r="A46" s="1" t="s">
        <v>285</v>
      </c>
      <c r="N46" s="1" t="s">
        <v>274</v>
      </c>
      <c r="U46" s="93">
        <v>46265</v>
      </c>
      <c r="V46" s="14">
        <v>210000</v>
      </c>
      <c r="W46" s="14">
        <f>SUM(V43:V46)</f>
        <v>1464000</v>
      </c>
      <c r="X46" s="14">
        <v>54369915</v>
      </c>
      <c r="Y46" s="14">
        <f>SUM(X43:X46)</f>
        <v>363376340</v>
      </c>
    </row>
    <row r="47" spans="1:27" x14ac:dyDescent="0.25">
      <c r="A47" s="1" t="s">
        <v>284</v>
      </c>
      <c r="U47" s="93">
        <v>46272</v>
      </c>
      <c r="V47" s="14">
        <v>268000</v>
      </c>
      <c r="W47" s="14">
        <f>SUM(V43:V47)</f>
        <v>1732000</v>
      </c>
      <c r="X47" s="14">
        <v>71677964</v>
      </c>
      <c r="Y47" s="14">
        <f>SUM(X43:X47)</f>
        <v>435054304</v>
      </c>
    </row>
    <row r="48" spans="1:27" x14ac:dyDescent="0.25">
      <c r="A48" s="1" t="s">
        <v>283</v>
      </c>
      <c r="N48" s="1" t="s">
        <v>276</v>
      </c>
      <c r="U48" s="93">
        <v>46279</v>
      </c>
      <c r="V48" s="14">
        <v>328000</v>
      </c>
      <c r="W48" s="14">
        <f>SUM(V43:V48)</f>
        <v>2060000</v>
      </c>
      <c r="X48" s="14">
        <v>78509529</v>
      </c>
      <c r="Y48" s="14">
        <f>SUM(X43:X48)</f>
        <v>513563833</v>
      </c>
    </row>
    <row r="49" spans="1:25" x14ac:dyDescent="0.25">
      <c r="A49" s="1" t="s">
        <v>282</v>
      </c>
      <c r="N49" s="1" t="s">
        <v>278</v>
      </c>
      <c r="U49" s="93">
        <v>46286</v>
      </c>
      <c r="V49" s="14">
        <v>420000</v>
      </c>
      <c r="W49" s="14">
        <f>SUM(V43:V49)</f>
        <v>2480000</v>
      </c>
      <c r="X49" s="14">
        <v>98741830</v>
      </c>
      <c r="Y49" s="14">
        <f>SUM(X43:X49)</f>
        <v>612305663</v>
      </c>
    </row>
    <row r="50" spans="1:25" x14ac:dyDescent="0.25">
      <c r="A50" s="1" t="s">
        <v>281</v>
      </c>
      <c r="U50" s="93">
        <v>46293</v>
      </c>
      <c r="V50" s="14">
        <v>500000</v>
      </c>
      <c r="W50" s="14">
        <f>SUM(V43:V50)</f>
        <v>2980000</v>
      </c>
      <c r="X50" s="14">
        <v>109826562</v>
      </c>
      <c r="Y50" s="14">
        <f>SUM(X43:X50)</f>
        <v>722132225</v>
      </c>
    </row>
    <row r="51" spans="1:25" x14ac:dyDescent="0.25">
      <c r="A51" s="1" t="s">
        <v>280</v>
      </c>
      <c r="N51" s="1" t="s">
        <v>315</v>
      </c>
    </row>
    <row r="52" spans="1:25" x14ac:dyDescent="0.25">
      <c r="A52" s="1" t="s">
        <v>279</v>
      </c>
    </row>
    <row r="53" spans="1:25" x14ac:dyDescent="0.25">
      <c r="A53" s="1" t="s">
        <v>312</v>
      </c>
    </row>
    <row r="54" spans="1:25" x14ac:dyDescent="0.25">
      <c r="A54" s="1" t="s">
        <v>263</v>
      </c>
    </row>
    <row r="55" spans="1:25" x14ac:dyDescent="0.25">
      <c r="A55" s="1" t="s">
        <v>262</v>
      </c>
    </row>
    <row r="56" spans="1:25" x14ac:dyDescent="0.25">
      <c r="A56" s="1" t="s">
        <v>255</v>
      </c>
    </row>
    <row r="57" spans="1:25" x14ac:dyDescent="0.25">
      <c r="A57" s="1" t="s">
        <v>254</v>
      </c>
    </row>
    <row r="58" spans="1:25" x14ac:dyDescent="0.25">
      <c r="A58" s="1" t="s">
        <v>253</v>
      </c>
    </row>
    <row r="59" spans="1:25" x14ac:dyDescent="0.25">
      <c r="A59" s="1" t="s">
        <v>252</v>
      </c>
    </row>
    <row r="60" spans="1:25" x14ac:dyDescent="0.25">
      <c r="A60" s="1" t="s">
        <v>250</v>
      </c>
    </row>
    <row r="61" spans="1:25" x14ac:dyDescent="0.25">
      <c r="A61" s="1" t="s">
        <v>251</v>
      </c>
    </row>
    <row r="62" spans="1:25" x14ac:dyDescent="0.25">
      <c r="A62" s="1" t="s">
        <v>230</v>
      </c>
    </row>
    <row r="63" spans="1:25" x14ac:dyDescent="0.25">
      <c r="A63" s="1" t="s">
        <v>229</v>
      </c>
    </row>
    <row r="64" spans="1:25" x14ac:dyDescent="0.25">
      <c r="A64" s="1" t="s">
        <v>228</v>
      </c>
    </row>
    <row r="65" spans="1:1" x14ac:dyDescent="0.25">
      <c r="A65" s="1" t="s">
        <v>227</v>
      </c>
    </row>
    <row r="66" spans="1:1" x14ac:dyDescent="0.25">
      <c r="A66" s="1" t="s">
        <v>226</v>
      </c>
    </row>
    <row r="67" spans="1:1" x14ac:dyDescent="0.25">
      <c r="A67" s="1" t="s">
        <v>221</v>
      </c>
    </row>
    <row r="68" spans="1:1" x14ac:dyDescent="0.25">
      <c r="A68" s="1" t="s">
        <v>220</v>
      </c>
    </row>
    <row r="69" spans="1:1" x14ac:dyDescent="0.25">
      <c r="A69" s="1" t="s">
        <v>219</v>
      </c>
    </row>
    <row r="70" spans="1:1" x14ac:dyDescent="0.25">
      <c r="A70" s="1" t="s">
        <v>218</v>
      </c>
    </row>
    <row r="71" spans="1:1" x14ac:dyDescent="0.25">
      <c r="A71" s="1" t="s">
        <v>217</v>
      </c>
    </row>
    <row r="72" spans="1:1" x14ac:dyDescent="0.25">
      <c r="A72" s="1" t="s">
        <v>216</v>
      </c>
    </row>
    <row r="73" spans="1:1" x14ac:dyDescent="0.25">
      <c r="A73" s="1" t="s">
        <v>175</v>
      </c>
    </row>
    <row r="74" spans="1:1" x14ac:dyDescent="0.25">
      <c r="A74" s="1" t="s">
        <v>200</v>
      </c>
    </row>
    <row r="75" spans="1:1" x14ac:dyDescent="0.25">
      <c r="A75" s="1" t="s">
        <v>201</v>
      </c>
    </row>
    <row r="76" spans="1:1" x14ac:dyDescent="0.25">
      <c r="A76" s="1" t="s">
        <v>202</v>
      </c>
    </row>
    <row r="77" spans="1:1" x14ac:dyDescent="0.25">
      <c r="A77" s="1" t="s">
        <v>203</v>
      </c>
    </row>
    <row r="78" spans="1:1" x14ac:dyDescent="0.25">
      <c r="A78" s="1" t="s">
        <v>204</v>
      </c>
    </row>
    <row r="79" spans="1:1" x14ac:dyDescent="0.25">
      <c r="A79" s="1" t="s">
        <v>205</v>
      </c>
    </row>
    <row r="80" spans="1:1" x14ac:dyDescent="0.25">
      <c r="A80" s="1" t="s">
        <v>206</v>
      </c>
    </row>
    <row r="81" spans="1:1" x14ac:dyDescent="0.25">
      <c r="A81" s="1" t="s">
        <v>207</v>
      </c>
    </row>
    <row r="82" spans="1:1" x14ac:dyDescent="0.25">
      <c r="A82" s="1" t="s">
        <v>208</v>
      </c>
    </row>
    <row r="83" spans="1:1" x14ac:dyDescent="0.25">
      <c r="A83" s="1" t="s">
        <v>209</v>
      </c>
    </row>
    <row r="84" spans="1:1" x14ac:dyDescent="0.25">
      <c r="A84" s="1" t="s">
        <v>210</v>
      </c>
    </row>
    <row r="85" spans="1:1" x14ac:dyDescent="0.25">
      <c r="A85" s="1" t="s">
        <v>211</v>
      </c>
    </row>
    <row r="86" spans="1:1" x14ac:dyDescent="0.25">
      <c r="A86" s="1" t="s">
        <v>212</v>
      </c>
    </row>
    <row r="87" spans="1:1" x14ac:dyDescent="0.25">
      <c r="A87" s="1" t="s">
        <v>213</v>
      </c>
    </row>
    <row r="88" spans="1:1" x14ac:dyDescent="0.25">
      <c r="A88" s="1" t="s">
        <v>214</v>
      </c>
    </row>
  </sheetData>
  <pageMargins left="0.7" right="0.7" top="0.75" bottom="0.75" header="0.3" footer="0.3"/>
  <ignoredErrors>
    <ignoredError sqref="W1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77DB-31C0-454E-B308-416C9ACF593D}">
  <dimension ref="A3:FC156"/>
  <sheetViews>
    <sheetView showGridLines="0" workbookViewId="0">
      <pane xSplit="3" ySplit="3" topLeftCell="N4" activePane="bottomRight" state="frozen"/>
      <selection pane="topRight" activeCell="D1" sqref="D1"/>
      <selection pane="bottomLeft" activeCell="A4" sqref="A4"/>
      <selection pane="bottomRight" activeCell="U29" sqref="U29"/>
    </sheetView>
  </sheetViews>
  <sheetFormatPr baseColWidth="10" defaultColWidth="10.83203125" defaultRowHeight="19" x14ac:dyDescent="0.25"/>
  <cols>
    <col min="1" max="1" width="15.1640625" style="1" bestFit="1" customWidth="1"/>
    <col min="2" max="2" width="10.83203125" style="4"/>
    <col min="3" max="3" width="39.1640625" style="1" customWidth="1"/>
    <col min="4" max="22" width="10.83203125" style="1"/>
    <col min="23" max="23" width="11.6640625" style="1" customWidth="1"/>
    <col min="24" max="32" width="10.83203125" style="1"/>
    <col min="33" max="33" width="10.83203125" style="4"/>
    <col min="34" max="43" width="10.83203125" style="1"/>
    <col min="44" max="44" width="14.1640625" style="1" bestFit="1" customWidth="1"/>
    <col min="45" max="45" width="13.33203125" style="1" bestFit="1" customWidth="1"/>
    <col min="46" max="16384" width="10.83203125" style="1"/>
  </cols>
  <sheetData>
    <row r="3" spans="1:42" x14ac:dyDescent="0.25">
      <c r="A3" s="1" t="s">
        <v>0</v>
      </c>
      <c r="C3" s="1" t="s">
        <v>42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97</v>
      </c>
      <c r="Q3" s="13" t="s">
        <v>98</v>
      </c>
      <c r="R3" s="13" t="s">
        <v>99</v>
      </c>
      <c r="S3" s="13" t="s">
        <v>100</v>
      </c>
      <c r="T3" s="13" t="s">
        <v>222</v>
      </c>
      <c r="U3" s="13" t="s">
        <v>223</v>
      </c>
      <c r="V3" s="13" t="s">
        <v>224</v>
      </c>
      <c r="W3" s="13" t="s">
        <v>225</v>
      </c>
      <c r="X3" s="13"/>
      <c r="Y3" s="13"/>
      <c r="Z3" s="13" t="s">
        <v>156</v>
      </c>
      <c r="AA3" s="13" t="s">
        <v>155</v>
      </c>
      <c r="AB3" s="13" t="s">
        <v>154</v>
      </c>
      <c r="AC3" s="13" t="s">
        <v>18</v>
      </c>
      <c r="AD3" s="13" t="s">
        <v>19</v>
      </c>
      <c r="AE3" s="13" t="s">
        <v>20</v>
      </c>
      <c r="AF3" s="13" t="s">
        <v>21</v>
      </c>
      <c r="AG3" s="39" t="s">
        <v>22</v>
      </c>
      <c r="AH3" s="13" t="s">
        <v>23</v>
      </c>
      <c r="AI3" s="13" t="s">
        <v>24</v>
      </c>
      <c r="AJ3" s="13" t="s">
        <v>25</v>
      </c>
      <c r="AK3" s="13" t="s">
        <v>26</v>
      </c>
      <c r="AL3" s="13" t="s">
        <v>27</v>
      </c>
      <c r="AM3" s="13" t="s">
        <v>28</v>
      </c>
      <c r="AN3" s="13" t="s">
        <v>29</v>
      </c>
      <c r="AO3" s="13" t="s">
        <v>30</v>
      </c>
      <c r="AP3" s="13" t="s">
        <v>31</v>
      </c>
    </row>
    <row r="4" spans="1:42" x14ac:dyDescent="0.25">
      <c r="A4" s="1" t="s">
        <v>1</v>
      </c>
      <c r="B4" s="4">
        <v>205</v>
      </c>
      <c r="C4" s="1" t="s">
        <v>52</v>
      </c>
      <c r="D4" s="14">
        <v>427</v>
      </c>
      <c r="E4" s="14">
        <v>493</v>
      </c>
      <c r="F4" s="14">
        <v>500</v>
      </c>
      <c r="G4" s="14">
        <v>475</v>
      </c>
      <c r="H4" s="14">
        <v>485</v>
      </c>
      <c r="I4" s="14">
        <v>599</v>
      </c>
      <c r="J4" s="14">
        <v>572</v>
      </c>
      <c r="K4" s="14">
        <v>550</v>
      </c>
      <c r="L4" s="14">
        <v>551</v>
      </c>
      <c r="M4" s="14">
        <v>633</v>
      </c>
      <c r="N4" s="14">
        <v>620</v>
      </c>
      <c r="O4" s="14">
        <v>559</v>
      </c>
      <c r="P4" s="14">
        <v>556</v>
      </c>
      <c r="Q4" s="1">
        <v>676</v>
      </c>
      <c r="R4" s="14">
        <v>678</v>
      </c>
      <c r="S4" s="14">
        <v>627</v>
      </c>
      <c r="T4" s="14">
        <v>573</v>
      </c>
      <c r="U4" s="14">
        <v>682</v>
      </c>
      <c r="V4" s="14"/>
      <c r="W4" s="14"/>
      <c r="X4" s="14"/>
      <c r="Y4" s="14"/>
      <c r="AF4" s="14">
        <v>2537</v>
      </c>
      <c r="AG4" s="10">
        <f>AF4*1.02</f>
        <v>2587.7400000000002</v>
      </c>
      <c r="AH4" s="14">
        <f>AG4*1.05</f>
        <v>2717.1270000000004</v>
      </c>
      <c r="AI4" s="14">
        <f>AH4*1.08</f>
        <v>2934.4971600000008</v>
      </c>
      <c r="AJ4" s="14"/>
      <c r="AK4" s="14"/>
      <c r="AL4" s="14"/>
      <c r="AM4" s="14"/>
      <c r="AN4" s="14"/>
      <c r="AO4" s="14"/>
      <c r="AP4" s="14"/>
    </row>
    <row r="5" spans="1:42" x14ac:dyDescent="0.25">
      <c r="A5" s="1" t="s">
        <v>32</v>
      </c>
      <c r="B5" s="126">
        <v>195.9</v>
      </c>
      <c r="C5" s="1" t="s">
        <v>53</v>
      </c>
      <c r="D5" s="14">
        <v>177</v>
      </c>
      <c r="E5" s="14">
        <v>226</v>
      </c>
      <c r="F5" s="14">
        <v>221</v>
      </c>
      <c r="G5" s="14">
        <v>206</v>
      </c>
      <c r="H5" s="14">
        <v>216</v>
      </c>
      <c r="I5" s="14">
        <v>295</v>
      </c>
      <c r="J5" s="14">
        <v>280</v>
      </c>
      <c r="K5" s="14">
        <v>236</v>
      </c>
      <c r="L5" s="14">
        <v>250</v>
      </c>
      <c r="M5" s="14">
        <v>341</v>
      </c>
      <c r="N5" s="14">
        <v>316</v>
      </c>
      <c r="O5" s="14">
        <v>263</v>
      </c>
      <c r="P5" s="14">
        <v>301</v>
      </c>
      <c r="Q5" s="1">
        <v>379</v>
      </c>
      <c r="R5" s="14">
        <v>345</v>
      </c>
      <c r="S5" s="14">
        <v>302</v>
      </c>
      <c r="T5" s="14">
        <v>341</v>
      </c>
      <c r="U5" s="14">
        <v>431</v>
      </c>
      <c r="V5" s="14"/>
      <c r="W5" s="14"/>
      <c r="X5" s="14"/>
      <c r="Y5" s="14"/>
      <c r="AF5" s="14">
        <v>1327</v>
      </c>
      <c r="AG5" s="10">
        <f>AF5*1.13</f>
        <v>1499.5099999999998</v>
      </c>
      <c r="AH5" s="14">
        <f>AG5*1.14</f>
        <v>1709.4413999999995</v>
      </c>
      <c r="AI5" s="14">
        <f>AH5*1.14</f>
        <v>1948.7631959999992</v>
      </c>
      <c r="AJ5" s="14"/>
      <c r="AK5" s="14"/>
      <c r="AL5" s="14"/>
      <c r="AM5" s="14"/>
      <c r="AN5" s="14"/>
      <c r="AO5" s="14"/>
      <c r="AP5" s="14"/>
    </row>
    <row r="6" spans="1:42" x14ac:dyDescent="0.25">
      <c r="A6" s="1" t="s">
        <v>2</v>
      </c>
      <c r="B6" s="6">
        <f>B4*B5</f>
        <v>40159.5</v>
      </c>
      <c r="C6" s="1" t="s">
        <v>54</v>
      </c>
      <c r="D6" s="14">
        <v>397</v>
      </c>
      <c r="E6" s="14">
        <v>367</v>
      </c>
      <c r="F6" s="14">
        <v>312</v>
      </c>
      <c r="G6" s="14">
        <v>324</v>
      </c>
      <c r="H6" s="14">
        <v>375</v>
      </c>
      <c r="I6" s="14">
        <v>329</v>
      </c>
      <c r="J6" s="14">
        <v>288</v>
      </c>
      <c r="K6" s="14">
        <v>296</v>
      </c>
      <c r="L6" s="14">
        <v>349</v>
      </c>
      <c r="M6" s="14">
        <v>321</v>
      </c>
      <c r="N6" s="14">
        <v>281</v>
      </c>
      <c r="O6" s="14">
        <v>270</v>
      </c>
      <c r="P6" s="14">
        <v>314</v>
      </c>
      <c r="Q6" s="1">
        <v>286</v>
      </c>
      <c r="R6" s="14">
        <v>247</v>
      </c>
      <c r="S6" s="14">
        <v>271</v>
      </c>
      <c r="T6" s="14">
        <v>340</v>
      </c>
      <c r="U6" s="14">
        <v>301</v>
      </c>
      <c r="V6" s="14"/>
      <c r="W6" s="14"/>
      <c r="X6" s="14"/>
      <c r="Y6" s="14"/>
      <c r="AF6" s="14">
        <v>1118</v>
      </c>
      <c r="AG6" s="10">
        <f>AF6*1.06</f>
        <v>1185.0800000000002</v>
      </c>
      <c r="AH6" s="14">
        <f>AG6*1.1</f>
        <v>1303.5880000000002</v>
      </c>
      <c r="AI6" s="14">
        <f>AH6*1.1</f>
        <v>1433.9468000000004</v>
      </c>
      <c r="AJ6" s="14"/>
      <c r="AK6" s="14"/>
      <c r="AL6" s="14"/>
      <c r="AM6" s="14"/>
      <c r="AN6" s="14"/>
      <c r="AO6" s="14"/>
      <c r="AP6" s="14"/>
    </row>
    <row r="7" spans="1:42" x14ac:dyDescent="0.25">
      <c r="A7" s="1" t="s">
        <v>3</v>
      </c>
      <c r="B7" s="10">
        <f>U59</f>
        <v>4222</v>
      </c>
      <c r="C7" s="1" t="s">
        <v>55</v>
      </c>
      <c r="D7" s="14">
        <v>131</v>
      </c>
      <c r="E7" s="14">
        <v>134</v>
      </c>
      <c r="F7" s="14">
        <v>125</v>
      </c>
      <c r="G7" s="14">
        <v>158</v>
      </c>
      <c r="H7" s="14">
        <v>155</v>
      </c>
      <c r="I7" s="14">
        <v>173</v>
      </c>
      <c r="J7" s="14">
        <v>180</v>
      </c>
      <c r="K7" s="14">
        <v>208</v>
      </c>
      <c r="L7" s="14">
        <v>190</v>
      </c>
      <c r="M7" s="14">
        <v>201</v>
      </c>
      <c r="N7" s="14">
        <v>210</v>
      </c>
      <c r="O7" s="14">
        <v>224</v>
      </c>
      <c r="P7" s="14">
        <v>180</v>
      </c>
      <c r="Q7" s="1">
        <v>192</v>
      </c>
      <c r="R7" s="14">
        <v>207</v>
      </c>
      <c r="S7" s="14">
        <v>234</v>
      </c>
      <c r="T7" s="14">
        <v>223</v>
      </c>
      <c r="U7" s="14">
        <v>237</v>
      </c>
      <c r="V7" s="14"/>
      <c r="W7" s="14"/>
      <c r="X7" s="14"/>
      <c r="Y7" s="14"/>
      <c r="AF7" s="14">
        <v>813</v>
      </c>
      <c r="AG7" s="10">
        <f>AF7*1.23</f>
        <v>999.99</v>
      </c>
      <c r="AH7" s="14">
        <f>AG7*1.2</f>
        <v>1199.9880000000001</v>
      </c>
      <c r="AI7" s="14">
        <f>AH7*1.2</f>
        <v>1439.9856</v>
      </c>
      <c r="AJ7" s="14"/>
      <c r="AK7" s="14"/>
      <c r="AL7" s="14"/>
      <c r="AM7" s="14"/>
      <c r="AN7" s="14"/>
      <c r="AO7" s="14"/>
      <c r="AP7" s="14"/>
    </row>
    <row r="8" spans="1:42" x14ac:dyDescent="0.25">
      <c r="A8" s="1" t="s">
        <v>4</v>
      </c>
      <c r="B8" s="10">
        <f>U68+U71</f>
        <v>2244</v>
      </c>
      <c r="C8" s="1" t="s">
        <v>56</v>
      </c>
      <c r="D8" s="14">
        <v>477</v>
      </c>
      <c r="E8" s="14">
        <v>413</v>
      </c>
      <c r="F8" s="14">
        <v>425</v>
      </c>
      <c r="G8" s="14">
        <v>506</v>
      </c>
      <c r="H8" s="14">
        <v>471</v>
      </c>
      <c r="I8" s="14">
        <v>428</v>
      </c>
      <c r="J8" s="14">
        <v>410</v>
      </c>
      <c r="K8" s="14">
        <v>443</v>
      </c>
      <c r="L8" s="14">
        <v>430</v>
      </c>
      <c r="M8" s="14">
        <v>469</v>
      </c>
      <c r="N8" s="14">
        <v>599</v>
      </c>
      <c r="O8" s="14">
        <v>625</v>
      </c>
      <c r="P8" s="14">
        <v>535</v>
      </c>
      <c r="Q8" s="1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/>
      <c r="Y8" s="14"/>
      <c r="AF8" s="14"/>
      <c r="AG8" s="10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</row>
    <row r="9" spans="1:42" x14ac:dyDescent="0.25">
      <c r="A9" s="3" t="s">
        <v>5</v>
      </c>
      <c r="B9" s="7">
        <f>B6-B7+B8</f>
        <v>38181.5</v>
      </c>
      <c r="C9" s="1" t="s">
        <v>59</v>
      </c>
      <c r="D9" s="14">
        <v>450</v>
      </c>
      <c r="E9" s="14">
        <v>487</v>
      </c>
      <c r="F9" s="14">
        <v>537</v>
      </c>
      <c r="G9" s="14">
        <v>562</v>
      </c>
      <c r="H9" s="14">
        <v>458</v>
      </c>
      <c r="I9" s="14">
        <v>523</v>
      </c>
      <c r="J9" s="14">
        <v>496</v>
      </c>
      <c r="K9" s="14">
        <v>302</v>
      </c>
      <c r="L9" s="14">
        <v>299</v>
      </c>
      <c r="M9" s="14">
        <v>453</v>
      </c>
      <c r="N9" s="14">
        <v>496</v>
      </c>
      <c r="O9" s="14">
        <v>334</v>
      </c>
      <c r="P9" s="14">
        <v>171</v>
      </c>
      <c r="Q9" s="1">
        <v>170</v>
      </c>
      <c r="R9" s="14">
        <v>123</v>
      </c>
      <c r="S9" s="14">
        <v>83</v>
      </c>
      <c r="T9" s="14">
        <v>63</v>
      </c>
      <c r="U9" s="14">
        <v>45</v>
      </c>
      <c r="V9" s="14"/>
      <c r="W9" s="14"/>
      <c r="X9" s="14"/>
      <c r="Y9" s="14"/>
      <c r="AF9" s="14">
        <v>546</v>
      </c>
      <c r="AG9" s="10">
        <v>0</v>
      </c>
      <c r="AH9" s="14">
        <v>0</v>
      </c>
      <c r="AI9" s="14">
        <v>0</v>
      </c>
      <c r="AJ9" s="14"/>
      <c r="AK9" s="14"/>
      <c r="AL9" s="14"/>
      <c r="AM9" s="14"/>
      <c r="AN9" s="14"/>
      <c r="AO9" s="14"/>
      <c r="AP9" s="14"/>
    </row>
    <row r="10" spans="1:42" x14ac:dyDescent="0.25">
      <c r="C10" s="1" t="s">
        <v>60</v>
      </c>
      <c r="D10" s="14">
        <v>1489</v>
      </c>
      <c r="E10" s="14">
        <v>1760</v>
      </c>
      <c r="F10" s="14">
        <v>1636</v>
      </c>
      <c r="G10" s="14">
        <v>1757</v>
      </c>
      <c r="H10" s="14">
        <v>1634</v>
      </c>
      <c r="I10" s="14">
        <v>109</v>
      </c>
      <c r="J10" s="14">
        <v>133</v>
      </c>
      <c r="K10" s="14">
        <v>-146</v>
      </c>
      <c r="L10" s="14">
        <v>-153</v>
      </c>
      <c r="M10" s="14">
        <v>107</v>
      </c>
      <c r="N10" s="14">
        <v>85</v>
      </c>
      <c r="O10" s="14">
        <v>-171</v>
      </c>
      <c r="P10" s="14">
        <v>-42</v>
      </c>
      <c r="Q10" s="1">
        <v>-8</v>
      </c>
      <c r="R10" s="14">
        <v>-6</v>
      </c>
      <c r="S10" s="14">
        <v>-6</v>
      </c>
      <c r="T10" s="14">
        <v>0</v>
      </c>
      <c r="U10" s="14"/>
      <c r="V10" s="14"/>
      <c r="W10" s="14"/>
      <c r="X10" s="14"/>
      <c r="Y10" s="14"/>
      <c r="AF10" s="14">
        <v>-24</v>
      </c>
      <c r="AG10" s="10">
        <v>-20</v>
      </c>
      <c r="AH10" s="14">
        <v>-10</v>
      </c>
      <c r="AI10" s="14">
        <v>-10</v>
      </c>
      <c r="AJ10" s="14">
        <v>-10</v>
      </c>
      <c r="AK10" s="14">
        <v>-10</v>
      </c>
      <c r="AL10" s="14">
        <v>-10</v>
      </c>
      <c r="AM10" s="14">
        <v>-10</v>
      </c>
      <c r="AN10" s="14">
        <v>-10</v>
      </c>
      <c r="AO10" s="14">
        <v>-10</v>
      </c>
      <c r="AP10" s="14">
        <v>-10</v>
      </c>
    </row>
    <row r="11" spans="1:42" x14ac:dyDescent="0.25">
      <c r="C11" s="2" t="s">
        <v>33</v>
      </c>
      <c r="D11" s="15">
        <f t="shared" ref="D11:S11" si="0">SUM(D4:D10)</f>
        <v>3548</v>
      </c>
      <c r="E11" s="15">
        <f t="shared" si="0"/>
        <v>3880</v>
      </c>
      <c r="F11" s="15">
        <f t="shared" si="0"/>
        <v>3756</v>
      </c>
      <c r="G11" s="15">
        <f t="shared" si="0"/>
        <v>3988</v>
      </c>
      <c r="H11" s="15">
        <f t="shared" si="0"/>
        <v>3794</v>
      </c>
      <c r="I11" s="15">
        <f t="shared" si="0"/>
        <v>2456</v>
      </c>
      <c r="J11" s="15">
        <f t="shared" si="0"/>
        <v>2359</v>
      </c>
      <c r="K11" s="15">
        <f t="shared" si="0"/>
        <v>1889</v>
      </c>
      <c r="L11" s="15">
        <f t="shared" si="0"/>
        <v>1916</v>
      </c>
      <c r="M11" s="15">
        <f t="shared" si="0"/>
        <v>2525</v>
      </c>
      <c r="N11" s="15">
        <f t="shared" si="0"/>
        <v>2607</v>
      </c>
      <c r="O11" s="15">
        <f t="shared" si="0"/>
        <v>2104</v>
      </c>
      <c r="P11" s="15">
        <f t="shared" si="0"/>
        <v>2015</v>
      </c>
      <c r="Q11" s="15">
        <f t="shared" si="0"/>
        <v>1695</v>
      </c>
      <c r="R11" s="15">
        <f t="shared" si="0"/>
        <v>1594</v>
      </c>
      <c r="S11" s="15">
        <f t="shared" si="0"/>
        <v>1511</v>
      </c>
      <c r="T11" s="15">
        <v>1543</v>
      </c>
      <c r="U11" s="15">
        <v>1696</v>
      </c>
      <c r="V11" s="15">
        <f t="shared" ref="V11:W11" si="1">SUM(V4:V10)</f>
        <v>0</v>
      </c>
      <c r="W11" s="15">
        <f t="shared" si="1"/>
        <v>0</v>
      </c>
      <c r="X11" s="15"/>
      <c r="Y11" s="14"/>
      <c r="Z11" s="15">
        <v>12653</v>
      </c>
      <c r="AA11" s="15">
        <v>12908</v>
      </c>
      <c r="AB11" s="15">
        <v>14623</v>
      </c>
      <c r="AC11" s="15">
        <v>15272</v>
      </c>
      <c r="AD11" s="15">
        <v>7617</v>
      </c>
      <c r="AE11" s="15">
        <v>8325</v>
      </c>
      <c r="AF11" s="15">
        <f>SUM(AF4:AF10)</f>
        <v>6317</v>
      </c>
      <c r="AG11" s="11">
        <f>SUM(AG4:AG10)</f>
        <v>6252.32</v>
      </c>
      <c r="AH11" s="15">
        <f>SUM(AH4:AH10)</f>
        <v>6920.1444000000001</v>
      </c>
      <c r="AI11" s="15">
        <f>SUM(AI4:AI10)</f>
        <v>7747.1927560000004</v>
      </c>
      <c r="AJ11" s="15">
        <f>AI11*1.14</f>
        <v>8831.7997418399991</v>
      </c>
      <c r="AK11" s="15">
        <f t="shared" ref="AK11:AP11" si="2">AJ11*1.14</f>
        <v>10068.251705697598</v>
      </c>
      <c r="AL11" s="15">
        <f t="shared" si="2"/>
        <v>11477.80694449526</v>
      </c>
      <c r="AM11" s="15">
        <f t="shared" si="2"/>
        <v>13084.699916724596</v>
      </c>
      <c r="AN11" s="15">
        <f t="shared" si="2"/>
        <v>14916.557905066038</v>
      </c>
      <c r="AO11" s="15">
        <f t="shared" si="2"/>
        <v>17004.876011775283</v>
      </c>
      <c r="AP11" s="15">
        <f t="shared" si="2"/>
        <v>19385.558653423821</v>
      </c>
    </row>
    <row r="12" spans="1:42" x14ac:dyDescent="0.25">
      <c r="A12" s="1" t="s">
        <v>180</v>
      </c>
      <c r="B12" s="40">
        <f>B4/(U65/B5)</f>
        <v>2.4432378171199125</v>
      </c>
      <c r="C12" s="1" t="s">
        <v>34</v>
      </c>
      <c r="D12" s="14">
        <v>-148</v>
      </c>
      <c r="E12" s="14">
        <v>-138</v>
      </c>
      <c r="F12" s="14">
        <v>-125</v>
      </c>
      <c r="G12" s="14">
        <v>-139</v>
      </c>
      <c r="H12" s="14">
        <v>-125</v>
      </c>
      <c r="I12" s="14">
        <v>-23</v>
      </c>
      <c r="J12" s="14">
        <v>-23</v>
      </c>
      <c r="K12" s="14">
        <v>-139</v>
      </c>
      <c r="L12" s="14">
        <v>-137</v>
      </c>
      <c r="M12" s="14">
        <v>-20</v>
      </c>
      <c r="N12" s="14">
        <v>-19</v>
      </c>
      <c r="O12" s="14">
        <v>-173</v>
      </c>
      <c r="P12" s="14">
        <v>-157</v>
      </c>
      <c r="Q12" s="1">
        <v>-139</v>
      </c>
      <c r="R12" s="14">
        <v>-145</v>
      </c>
      <c r="S12" s="14">
        <v>-166</v>
      </c>
      <c r="T12" s="14">
        <v>-136</v>
      </c>
      <c r="U12" s="14">
        <v>-144</v>
      </c>
      <c r="V12" s="14"/>
      <c r="W12" s="14"/>
      <c r="X12" s="14"/>
      <c r="Y12" s="14"/>
      <c r="Z12" s="14">
        <v>-416</v>
      </c>
      <c r="AA12" s="14">
        <v>-454</v>
      </c>
      <c r="AB12" s="14">
        <v>-531</v>
      </c>
      <c r="AC12" s="14">
        <v>-549</v>
      </c>
      <c r="AD12" s="14">
        <v>-493</v>
      </c>
      <c r="AE12" s="14">
        <v>-599</v>
      </c>
      <c r="AF12" s="14">
        <v>-595</v>
      </c>
      <c r="AG12" s="10">
        <f>AG11*-0.09</f>
        <v>-562.7088</v>
      </c>
      <c r="AH12" s="14">
        <f>AH11*-0.09</f>
        <v>-622.812996</v>
      </c>
      <c r="AI12" s="14">
        <f t="shared" ref="AI12:AP12" si="3">AI11*-0.09</f>
        <v>-697.24734804000002</v>
      </c>
      <c r="AJ12" s="14">
        <f t="shared" si="3"/>
        <v>-794.86197676559993</v>
      </c>
      <c r="AK12" s="14">
        <f t="shared" si="3"/>
        <v>-906.1426535127838</v>
      </c>
      <c r="AL12" s="14">
        <f t="shared" si="3"/>
        <v>-1033.0026250045732</v>
      </c>
      <c r="AM12" s="14">
        <f t="shared" si="3"/>
        <v>-1177.6229925052137</v>
      </c>
      <c r="AN12" s="14">
        <f t="shared" si="3"/>
        <v>-1342.4902114559434</v>
      </c>
      <c r="AO12" s="14">
        <f t="shared" si="3"/>
        <v>-1530.4388410597753</v>
      </c>
      <c r="AP12" s="14">
        <f t="shared" si="3"/>
        <v>-1744.7002788081438</v>
      </c>
    </row>
    <row r="13" spans="1:42" x14ac:dyDescent="0.25">
      <c r="C13" s="1" t="s">
        <v>101</v>
      </c>
      <c r="D13" s="14">
        <f t="shared" ref="D13:N13" si="4">SUM(D11:D12)</f>
        <v>3400</v>
      </c>
      <c r="E13" s="14">
        <f t="shared" si="4"/>
        <v>3742</v>
      </c>
      <c r="F13" s="14">
        <f t="shared" si="4"/>
        <v>3631</v>
      </c>
      <c r="G13" s="14">
        <f t="shared" si="4"/>
        <v>3849</v>
      </c>
      <c r="H13" s="14">
        <f t="shared" si="4"/>
        <v>3669</v>
      </c>
      <c r="I13" s="14">
        <f t="shared" si="4"/>
        <v>2433</v>
      </c>
      <c r="J13" s="14">
        <f t="shared" si="4"/>
        <v>2336</v>
      </c>
      <c r="K13" s="14">
        <f t="shared" si="4"/>
        <v>1750</v>
      </c>
      <c r="L13" s="14">
        <f t="shared" si="4"/>
        <v>1779</v>
      </c>
      <c r="M13" s="14">
        <f t="shared" si="4"/>
        <v>2505</v>
      </c>
      <c r="N13" s="14">
        <f t="shared" si="4"/>
        <v>2588</v>
      </c>
      <c r="O13" s="14">
        <f>SUM(O11:O12)</f>
        <v>1931</v>
      </c>
      <c r="P13" s="14">
        <f>SUM(P11:P12)</f>
        <v>1858</v>
      </c>
      <c r="Q13" s="14">
        <f t="shared" ref="Q13:U13" si="5">SUM(Q11:Q12)</f>
        <v>1556</v>
      </c>
      <c r="R13" s="14">
        <f t="shared" si="5"/>
        <v>1449</v>
      </c>
      <c r="S13" s="14">
        <f t="shared" si="5"/>
        <v>1345</v>
      </c>
      <c r="T13" s="14">
        <f t="shared" si="5"/>
        <v>1407</v>
      </c>
      <c r="U13" s="14">
        <f t="shared" si="5"/>
        <v>1552</v>
      </c>
      <c r="V13" s="72"/>
      <c r="W13" s="14"/>
      <c r="X13" s="14"/>
      <c r="Y13" s="14"/>
      <c r="Z13" s="14">
        <f t="shared" ref="Z13:AE13" si="6">SUM(Z11:Z12)</f>
        <v>12237</v>
      </c>
      <c r="AA13" s="14">
        <f t="shared" si="6"/>
        <v>12454</v>
      </c>
      <c r="AB13" s="14">
        <f t="shared" si="6"/>
        <v>14092</v>
      </c>
      <c r="AC13" s="14">
        <f t="shared" si="6"/>
        <v>14723</v>
      </c>
      <c r="AD13" s="14">
        <f t="shared" si="6"/>
        <v>7124</v>
      </c>
      <c r="AE13" s="14">
        <f t="shared" si="6"/>
        <v>7726</v>
      </c>
      <c r="AF13" s="14">
        <f t="shared" ref="AF13:AP13" si="7">SUM(AF11:AF12)</f>
        <v>5722</v>
      </c>
      <c r="AG13" s="10">
        <f t="shared" si="7"/>
        <v>5689.6111999999994</v>
      </c>
      <c r="AH13" s="14">
        <f t="shared" si="7"/>
        <v>6297.3314040000005</v>
      </c>
      <c r="AI13" s="14">
        <f t="shared" si="7"/>
        <v>7049.94540796</v>
      </c>
      <c r="AJ13" s="14">
        <f t="shared" si="7"/>
        <v>8036.9377650743991</v>
      </c>
      <c r="AK13" s="14">
        <f t="shared" si="7"/>
        <v>9162.1090521848146</v>
      </c>
      <c r="AL13" s="14">
        <f t="shared" si="7"/>
        <v>10444.804319490686</v>
      </c>
      <c r="AM13" s="14">
        <f t="shared" si="7"/>
        <v>11907.076924219382</v>
      </c>
      <c r="AN13" s="14">
        <f t="shared" si="7"/>
        <v>13574.067693610095</v>
      </c>
      <c r="AO13" s="14">
        <f t="shared" si="7"/>
        <v>15474.437170715508</v>
      </c>
      <c r="AP13" s="14">
        <f t="shared" si="7"/>
        <v>17640.858374615676</v>
      </c>
    </row>
    <row r="14" spans="1:42" x14ac:dyDescent="0.25">
      <c r="A14" s="1" t="s">
        <v>320</v>
      </c>
      <c r="B14" s="40">
        <f>(B8-B7)/AG17</f>
        <v>-0.81797689914138083</v>
      </c>
      <c r="C14" s="1" t="s">
        <v>35</v>
      </c>
      <c r="D14" s="14">
        <v>-1453</v>
      </c>
      <c r="E14" s="14">
        <v>-1534</v>
      </c>
      <c r="F14" s="14">
        <v>-1389</v>
      </c>
      <c r="G14" s="14">
        <v>-1554</v>
      </c>
      <c r="H14" s="14">
        <v>-1572</v>
      </c>
      <c r="I14" s="14">
        <v>-839</v>
      </c>
      <c r="J14" s="14">
        <v>-750</v>
      </c>
      <c r="K14" s="14">
        <v>-703</v>
      </c>
      <c r="L14" s="14">
        <v>-731</v>
      </c>
      <c r="M14" s="14">
        <v>-866</v>
      </c>
      <c r="N14" s="14">
        <v>-797</v>
      </c>
      <c r="O14" s="14">
        <v>-755</v>
      </c>
      <c r="P14" s="14">
        <v>-715</v>
      </c>
      <c r="Q14" s="1">
        <v>-483</v>
      </c>
      <c r="R14" s="14">
        <v>-394</v>
      </c>
      <c r="S14" s="14">
        <v>-463</v>
      </c>
      <c r="T14" s="14">
        <v>-486</v>
      </c>
      <c r="U14" s="14">
        <v>-493</v>
      </c>
      <c r="V14" s="14"/>
      <c r="W14" s="14"/>
      <c r="X14" s="14"/>
      <c r="Y14" s="14"/>
      <c r="Z14" s="14">
        <v>-4793</v>
      </c>
      <c r="AA14" s="14">
        <v>-4905</v>
      </c>
      <c r="AB14" s="14">
        <v>-5486</v>
      </c>
      <c r="AC14" s="14">
        <v>-5929</v>
      </c>
      <c r="AD14" s="14">
        <v>-2669</v>
      </c>
      <c r="AE14" s="14">
        <v>-2859</v>
      </c>
      <c r="AF14" s="14">
        <v>-1819</v>
      </c>
      <c r="AG14" s="10">
        <f>AF14*0.91</f>
        <v>-1655.29</v>
      </c>
      <c r="AH14" s="14">
        <f>AG14*1.015</f>
        <v>-1680.1193499999997</v>
      </c>
      <c r="AI14" s="14">
        <f>AH14*1</f>
        <v>-1680.1193499999997</v>
      </c>
      <c r="AJ14" s="14">
        <f t="shared" ref="AJ14" si="8">AI14*1</f>
        <v>-1680.1193499999997</v>
      </c>
      <c r="AK14" s="14">
        <f>AJ14*1.1</f>
        <v>-1848.1312849999999</v>
      </c>
      <c r="AL14" s="14">
        <f t="shared" ref="AL14:AP14" si="9">AK14*1.1</f>
        <v>-2032.9444135000001</v>
      </c>
      <c r="AM14" s="14">
        <f t="shared" si="9"/>
        <v>-2236.2388548500003</v>
      </c>
      <c r="AN14" s="14">
        <f t="shared" si="9"/>
        <v>-2459.8627403350006</v>
      </c>
      <c r="AO14" s="14">
        <f t="shared" si="9"/>
        <v>-2705.8490143685008</v>
      </c>
      <c r="AP14" s="14">
        <f t="shared" si="9"/>
        <v>-2976.4339158053513</v>
      </c>
    </row>
    <row r="15" spans="1:42" x14ac:dyDescent="0.25">
      <c r="C15" s="1" t="s">
        <v>36</v>
      </c>
      <c r="D15" s="14">
        <v>-1566</v>
      </c>
      <c r="E15" s="14">
        <v>-1589</v>
      </c>
      <c r="F15" s="14">
        <v>-1587</v>
      </c>
      <c r="G15" s="14">
        <v>-1645</v>
      </c>
      <c r="H15" s="14">
        <v>-1656</v>
      </c>
      <c r="I15" s="14">
        <v>-1056</v>
      </c>
      <c r="J15" s="14">
        <v>-1013</v>
      </c>
      <c r="K15" s="14">
        <v>-105</v>
      </c>
      <c r="L15" s="14">
        <v>-126</v>
      </c>
      <c r="M15" s="14">
        <v>-1093</v>
      </c>
      <c r="N15" s="14">
        <v>-1121</v>
      </c>
      <c r="O15" s="14">
        <v>-112</v>
      </c>
      <c r="P15" s="14">
        <v>-98</v>
      </c>
      <c r="Q15" s="1">
        <v>-102</v>
      </c>
      <c r="R15" s="14">
        <v>-117</v>
      </c>
      <c r="S15" s="14">
        <v>-90</v>
      </c>
      <c r="T15" s="14">
        <v>-101</v>
      </c>
      <c r="U15" s="14">
        <v>-125</v>
      </c>
      <c r="V15" s="14"/>
      <c r="W15" s="14"/>
      <c r="X15" s="14"/>
      <c r="Y15" s="14"/>
      <c r="Z15" s="14">
        <v>-5467</v>
      </c>
      <c r="AA15" s="14">
        <v>-5422</v>
      </c>
      <c r="AB15" s="14">
        <v>-5865</v>
      </c>
      <c r="AC15" s="14">
        <v>-6387</v>
      </c>
      <c r="AD15" s="14">
        <v>-447</v>
      </c>
      <c r="AE15" s="14">
        <v>-513</v>
      </c>
      <c r="AF15" s="14">
        <v>-401</v>
      </c>
      <c r="AG15" s="10">
        <f t="shared" ref="AG15:AG16" si="10">AF15*0.91</f>
        <v>-364.91</v>
      </c>
      <c r="AH15" s="14">
        <f t="shared" ref="AH15:AH16" si="11">AG15*1.015</f>
        <v>-370.38364999999999</v>
      </c>
      <c r="AI15" s="14">
        <f>AH15*1</f>
        <v>-370.38364999999999</v>
      </c>
      <c r="AJ15" s="14">
        <f t="shared" ref="AJ15" si="12">AI15*1</f>
        <v>-370.38364999999999</v>
      </c>
      <c r="AK15" s="14">
        <f t="shared" ref="AK15:AP16" si="13">AJ15*1.1</f>
        <v>-407.42201500000004</v>
      </c>
      <c r="AL15" s="14">
        <f t="shared" si="13"/>
        <v>-448.16421650000007</v>
      </c>
      <c r="AM15" s="14">
        <f t="shared" si="13"/>
        <v>-492.98063815000012</v>
      </c>
      <c r="AN15" s="14">
        <f t="shared" si="13"/>
        <v>-542.27870196500021</v>
      </c>
      <c r="AO15" s="14">
        <f t="shared" si="13"/>
        <v>-596.50657216150023</v>
      </c>
      <c r="AP15" s="14">
        <f t="shared" si="13"/>
        <v>-656.15722937765031</v>
      </c>
    </row>
    <row r="16" spans="1:42" x14ac:dyDescent="0.25">
      <c r="C16" s="1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-616</v>
      </c>
      <c r="L16" s="14">
        <v>-589</v>
      </c>
      <c r="M16" s="14">
        <v>0</v>
      </c>
      <c r="N16" s="14">
        <v>0</v>
      </c>
      <c r="O16" s="14">
        <v>-727</v>
      </c>
      <c r="P16" s="14">
        <v>-650</v>
      </c>
      <c r="Q16" s="1">
        <v>-386</v>
      </c>
      <c r="R16" s="14">
        <v>-299</v>
      </c>
      <c r="S16" s="14">
        <v>-300</v>
      </c>
      <c r="T16" s="14">
        <v>-258</v>
      </c>
      <c r="U16" s="14">
        <v>-260</v>
      </c>
      <c r="V16" s="71"/>
      <c r="W16" s="71"/>
      <c r="X16" s="14"/>
      <c r="Y16" s="14"/>
      <c r="Z16" s="14">
        <v>0</v>
      </c>
      <c r="AA16" s="14">
        <v>0</v>
      </c>
      <c r="AB16" s="14">
        <v>0</v>
      </c>
      <c r="AC16" s="14">
        <v>0</v>
      </c>
      <c r="AD16" s="14">
        <v>-2419</v>
      </c>
      <c r="AE16" s="14">
        <v>-2657</v>
      </c>
      <c r="AF16" s="14">
        <v>-1375</v>
      </c>
      <c r="AG16" s="10">
        <f t="shared" si="10"/>
        <v>-1251.25</v>
      </c>
      <c r="AH16" s="14">
        <f t="shared" si="11"/>
        <v>-1270.01875</v>
      </c>
      <c r="AI16" s="14">
        <f>AH16*1</f>
        <v>-1270.01875</v>
      </c>
      <c r="AJ16" s="14">
        <f t="shared" ref="AJ16" si="14">AI16*1</f>
        <v>-1270.01875</v>
      </c>
      <c r="AK16" s="14">
        <f t="shared" si="13"/>
        <v>-1397.0206250000001</v>
      </c>
      <c r="AL16" s="14">
        <f t="shared" si="13"/>
        <v>-1536.7226875000003</v>
      </c>
      <c r="AM16" s="14">
        <f t="shared" si="13"/>
        <v>-1690.3949562500006</v>
      </c>
      <c r="AN16" s="14">
        <f t="shared" si="13"/>
        <v>-1859.4344518750008</v>
      </c>
      <c r="AO16" s="14">
        <f t="shared" si="13"/>
        <v>-2045.377897062501</v>
      </c>
      <c r="AP16" s="14">
        <f t="shared" si="13"/>
        <v>-2249.9156867687511</v>
      </c>
    </row>
    <row r="17" spans="3:159" x14ac:dyDescent="0.25">
      <c r="C17" s="2" t="s">
        <v>132</v>
      </c>
      <c r="D17" s="15">
        <f t="shared" ref="D17:N17" si="15">SUM(D13:D16)</f>
        <v>381</v>
      </c>
      <c r="E17" s="15">
        <f t="shared" si="15"/>
        <v>619</v>
      </c>
      <c r="F17" s="15">
        <f t="shared" si="15"/>
        <v>655</v>
      </c>
      <c r="G17" s="15">
        <f t="shared" si="15"/>
        <v>650</v>
      </c>
      <c r="H17" s="15">
        <f t="shared" si="15"/>
        <v>441</v>
      </c>
      <c r="I17" s="15">
        <f t="shared" si="15"/>
        <v>538</v>
      </c>
      <c r="J17" s="15">
        <f t="shared" si="15"/>
        <v>573</v>
      </c>
      <c r="K17" s="15">
        <f t="shared" si="15"/>
        <v>326</v>
      </c>
      <c r="L17" s="15">
        <f t="shared" si="15"/>
        <v>333</v>
      </c>
      <c r="M17" s="15">
        <f t="shared" si="15"/>
        <v>546</v>
      </c>
      <c r="N17" s="15">
        <f t="shared" si="15"/>
        <v>670</v>
      </c>
      <c r="O17" s="15">
        <f>SUM(O13:O16)</f>
        <v>337</v>
      </c>
      <c r="P17" s="15">
        <f>SUM(P13:P16)</f>
        <v>395</v>
      </c>
      <c r="Q17" s="15">
        <f t="shared" ref="Q17:U17" si="16">SUM(Q13:Q16)</f>
        <v>585</v>
      </c>
      <c r="R17" s="15">
        <f t="shared" si="16"/>
        <v>639</v>
      </c>
      <c r="S17" s="15">
        <f t="shared" si="16"/>
        <v>492</v>
      </c>
      <c r="T17" s="15">
        <f t="shared" si="16"/>
        <v>562</v>
      </c>
      <c r="U17" s="15">
        <f t="shared" si="16"/>
        <v>674</v>
      </c>
      <c r="V17" s="15">
        <f>R17*1.14</f>
        <v>728.45999999999992</v>
      </c>
      <c r="W17" s="15">
        <f>S17*1.14</f>
        <v>560.88</v>
      </c>
      <c r="X17" s="15"/>
      <c r="Y17" s="71"/>
      <c r="Z17" s="15">
        <f t="shared" ref="Z17:AE17" si="17">SUM(Z13:Z16)</f>
        <v>1977</v>
      </c>
      <c r="AA17" s="15">
        <f t="shared" si="17"/>
        <v>2127</v>
      </c>
      <c r="AB17" s="15">
        <f t="shared" si="17"/>
        <v>2741</v>
      </c>
      <c r="AC17" s="15">
        <f t="shared" si="17"/>
        <v>2407</v>
      </c>
      <c r="AD17" s="15">
        <f t="shared" si="17"/>
        <v>1589</v>
      </c>
      <c r="AE17" s="15">
        <f t="shared" si="17"/>
        <v>1697</v>
      </c>
      <c r="AF17" s="15">
        <f t="shared" ref="AF17:AP17" si="18">SUM(AF13:AF16)</f>
        <v>2127</v>
      </c>
      <c r="AG17" s="11">
        <f t="shared" si="18"/>
        <v>2418.1611999999996</v>
      </c>
      <c r="AH17" s="15">
        <f t="shared" si="18"/>
        <v>2976.8096540000006</v>
      </c>
      <c r="AI17" s="15">
        <f t="shared" si="18"/>
        <v>3729.4236579600001</v>
      </c>
      <c r="AJ17" s="15">
        <f t="shared" si="18"/>
        <v>4716.4160150743992</v>
      </c>
      <c r="AK17" s="15">
        <f t="shared" si="18"/>
        <v>5509.5351271848149</v>
      </c>
      <c r="AL17" s="15">
        <f t="shared" si="18"/>
        <v>6426.9730019906856</v>
      </c>
      <c r="AM17" s="15">
        <f t="shared" si="18"/>
        <v>7487.4624749693812</v>
      </c>
      <c r="AN17" s="15">
        <f t="shared" si="18"/>
        <v>8712.4917994350944</v>
      </c>
      <c r="AO17" s="15">
        <f t="shared" si="18"/>
        <v>10126.703687123005</v>
      </c>
      <c r="AP17" s="15">
        <f t="shared" si="18"/>
        <v>11758.351542663924</v>
      </c>
    </row>
    <row r="18" spans="3:159" x14ac:dyDescent="0.25">
      <c r="C18" s="1" t="s">
        <v>38</v>
      </c>
      <c r="D18" s="14">
        <v>-263</v>
      </c>
      <c r="E18" s="14">
        <v>-278</v>
      </c>
      <c r="F18" s="14">
        <v>-283</v>
      </c>
      <c r="G18" s="14">
        <v>-292</v>
      </c>
      <c r="H18" s="14">
        <v>-314</v>
      </c>
      <c r="I18" s="14">
        <v>-183</v>
      </c>
      <c r="J18" s="14">
        <v>-181</v>
      </c>
      <c r="K18" s="14">
        <v>-176</v>
      </c>
      <c r="L18" s="14">
        <v>-157</v>
      </c>
      <c r="M18" s="14">
        <v>-199</v>
      </c>
      <c r="N18" s="14">
        <v>-234</v>
      </c>
      <c r="O18" s="14">
        <v>-198</v>
      </c>
      <c r="P18" s="14">
        <v>-143</v>
      </c>
      <c r="Q18" s="1">
        <v>-134</v>
      </c>
      <c r="R18" s="14">
        <v>-149</v>
      </c>
      <c r="S18" s="14">
        <v>-142</v>
      </c>
      <c r="T18" s="14">
        <v>-146</v>
      </c>
      <c r="U18" s="14">
        <v>-129</v>
      </c>
      <c r="V18" s="14"/>
      <c r="W18" s="14"/>
      <c r="Y18" s="14"/>
      <c r="Z18" s="14">
        <v>-813</v>
      </c>
      <c r="AA18" s="14">
        <v>-829</v>
      </c>
      <c r="AB18" s="14">
        <v>-984</v>
      </c>
      <c r="AC18" s="14">
        <v>-1117</v>
      </c>
      <c r="AD18" s="14">
        <v>-607</v>
      </c>
      <c r="AE18" s="14">
        <v>-702</v>
      </c>
      <c r="AF18" s="14">
        <v>-549</v>
      </c>
      <c r="AG18" s="10">
        <f>AF18</f>
        <v>-549</v>
      </c>
      <c r="AH18" s="14">
        <f>AG18*1</f>
        <v>-549</v>
      </c>
      <c r="AI18" s="14">
        <f>AH18*1.09</f>
        <v>-598.41000000000008</v>
      </c>
      <c r="AJ18" s="14">
        <f t="shared" ref="AJ18:AP18" si="19">AI18*1.09</f>
        <v>-652.26690000000019</v>
      </c>
      <c r="AK18" s="14">
        <f t="shared" si="19"/>
        <v>-710.97092100000032</v>
      </c>
      <c r="AL18" s="14">
        <f t="shared" si="19"/>
        <v>-774.95830389000037</v>
      </c>
      <c r="AM18" s="14">
        <f t="shared" si="19"/>
        <v>-844.7045512401005</v>
      </c>
      <c r="AN18" s="14">
        <f t="shared" si="19"/>
        <v>-920.72796085170967</v>
      </c>
      <c r="AO18" s="14">
        <f t="shared" si="19"/>
        <v>-1003.5934773283636</v>
      </c>
      <c r="AP18" s="14">
        <f t="shared" si="19"/>
        <v>-1093.9168902879164</v>
      </c>
    </row>
    <row r="19" spans="3:159" x14ac:dyDescent="0.25">
      <c r="C19" s="1" t="s">
        <v>39</v>
      </c>
      <c r="D19" s="14">
        <v>-2</v>
      </c>
      <c r="E19" s="14">
        <v>-6</v>
      </c>
      <c r="F19" s="14">
        <v>0</v>
      </c>
      <c r="G19" s="14">
        <v>-23</v>
      </c>
      <c r="H19" s="14">
        <v>-9</v>
      </c>
      <c r="I19" s="14">
        <v>0</v>
      </c>
      <c r="J19" s="14">
        <v>-22</v>
      </c>
      <c r="K19" s="14">
        <v>-16</v>
      </c>
      <c r="L19" s="14">
        <v>0</v>
      </c>
      <c r="M19" s="14">
        <v>-2</v>
      </c>
      <c r="N19" s="14">
        <v>0</v>
      </c>
      <c r="O19" s="14">
        <v>-1336</v>
      </c>
      <c r="P19" s="14">
        <v>-9</v>
      </c>
      <c r="Q19" s="1">
        <v>-7</v>
      </c>
      <c r="R19" s="14">
        <v>-4</v>
      </c>
      <c r="S19" s="14">
        <v>-46</v>
      </c>
      <c r="T19" s="14">
        <v>0</v>
      </c>
      <c r="U19" s="14">
        <v>-4</v>
      </c>
      <c r="V19" s="71"/>
      <c r="W19" s="14"/>
      <c r="Y19" s="14"/>
      <c r="Z19" s="14">
        <v>-35</v>
      </c>
      <c r="AA19" s="14">
        <v>-61</v>
      </c>
      <c r="AB19" s="14">
        <v>-119</v>
      </c>
      <c r="AC19" s="14">
        <v>-31</v>
      </c>
      <c r="AD19" s="14">
        <v>-38</v>
      </c>
      <c r="AE19" s="14">
        <v>-1337</v>
      </c>
      <c r="AF19" s="14">
        <v>-66</v>
      </c>
      <c r="AG19" s="10">
        <f t="shared" ref="AG19:AG21" si="20">AF19</f>
        <v>-66</v>
      </c>
      <c r="AH19" s="14">
        <f t="shared" ref="AH19:AH21" si="21">AG19*1</f>
        <v>-66</v>
      </c>
      <c r="AI19" s="14">
        <f t="shared" ref="AI19:AP21" si="22">AH19*1.09</f>
        <v>-71.940000000000012</v>
      </c>
      <c r="AJ19" s="14">
        <f t="shared" si="22"/>
        <v>-78.414600000000021</v>
      </c>
      <c r="AK19" s="14">
        <f t="shared" si="22"/>
        <v>-85.471914000000027</v>
      </c>
      <c r="AL19" s="14">
        <f t="shared" si="22"/>
        <v>-93.164386260000029</v>
      </c>
      <c r="AM19" s="14">
        <f t="shared" si="22"/>
        <v>-101.54918102340004</v>
      </c>
      <c r="AN19" s="14">
        <f t="shared" si="22"/>
        <v>-110.68860731550605</v>
      </c>
      <c r="AO19" s="14">
        <f t="shared" si="22"/>
        <v>-120.65058197390159</v>
      </c>
      <c r="AP19" s="14">
        <f t="shared" si="22"/>
        <v>-131.50913435155275</v>
      </c>
    </row>
    <row r="20" spans="3:159" x14ac:dyDescent="0.25">
      <c r="C20" s="1" t="s">
        <v>40</v>
      </c>
      <c r="D20" s="14">
        <v>0</v>
      </c>
      <c r="E20" s="14">
        <v>10</v>
      </c>
      <c r="F20" s="14">
        <v>2</v>
      </c>
      <c r="G20" s="14">
        <v>1</v>
      </c>
      <c r="H20" s="14">
        <v>36</v>
      </c>
      <c r="I20" s="14">
        <v>17</v>
      </c>
      <c r="J20" s="14">
        <v>12</v>
      </c>
      <c r="K20" s="14">
        <v>3</v>
      </c>
      <c r="L20" s="14">
        <v>0</v>
      </c>
      <c r="M20" s="14">
        <v>0</v>
      </c>
      <c r="N20" s="14">
        <v>5</v>
      </c>
      <c r="O20" s="14">
        <v>8</v>
      </c>
      <c r="P20" s="14">
        <v>0</v>
      </c>
      <c r="Q20" s="1">
        <v>8</v>
      </c>
      <c r="R20" s="14">
        <v>13</v>
      </c>
      <c r="S20" s="14">
        <v>4</v>
      </c>
      <c r="T20" s="14">
        <v>2</v>
      </c>
      <c r="U20" s="14">
        <v>14</v>
      </c>
      <c r="V20" s="14"/>
      <c r="W20" s="14"/>
      <c r="Y20" s="14"/>
      <c r="Z20" s="14">
        <v>11</v>
      </c>
      <c r="AA20" s="14">
        <v>146</v>
      </c>
      <c r="AB20" s="14">
        <v>181</v>
      </c>
      <c r="AC20" s="14">
        <v>13</v>
      </c>
      <c r="AD20" s="14">
        <v>55</v>
      </c>
      <c r="AE20" s="14">
        <v>9</v>
      </c>
      <c r="AF20" s="14">
        <v>0</v>
      </c>
      <c r="AG20" s="10">
        <f t="shared" si="20"/>
        <v>0</v>
      </c>
      <c r="AH20" s="14">
        <f t="shared" si="21"/>
        <v>0</v>
      </c>
      <c r="AI20" s="14">
        <f t="shared" si="22"/>
        <v>0</v>
      </c>
      <c r="AJ20" s="14">
        <f t="shared" si="22"/>
        <v>0</v>
      </c>
      <c r="AK20" s="14">
        <f t="shared" si="22"/>
        <v>0</v>
      </c>
      <c r="AL20" s="14">
        <f t="shared" si="22"/>
        <v>0</v>
      </c>
      <c r="AM20" s="14">
        <f t="shared" si="22"/>
        <v>0</v>
      </c>
      <c r="AN20" s="14">
        <f t="shared" si="22"/>
        <v>0</v>
      </c>
      <c r="AO20" s="14">
        <f t="shared" si="22"/>
        <v>0</v>
      </c>
      <c r="AP20" s="14">
        <f t="shared" si="22"/>
        <v>0</v>
      </c>
    </row>
    <row r="21" spans="3:159" x14ac:dyDescent="0.25">
      <c r="C21" s="1" t="s">
        <v>41</v>
      </c>
      <c r="D21" s="14">
        <v>-32</v>
      </c>
      <c r="E21" s="14">
        <v>-57</v>
      </c>
      <c r="F21" s="14">
        <v>-32</v>
      </c>
      <c r="G21" s="14">
        <v>-52</v>
      </c>
      <c r="H21" s="14">
        <v>-116</v>
      </c>
      <c r="I21" s="14">
        <v>-15</v>
      </c>
      <c r="J21" s="14">
        <v>-4</v>
      </c>
      <c r="K21" s="14">
        <v>-68</v>
      </c>
      <c r="L21" s="14">
        <v>-103</v>
      </c>
      <c r="M21" s="14">
        <v>-128</v>
      </c>
      <c r="N21" s="14">
        <v>-97</v>
      </c>
      <c r="O21" s="14">
        <v>-196</v>
      </c>
      <c r="P21" s="14">
        <v>-58</v>
      </c>
      <c r="Q21" s="1">
        <v>-121</v>
      </c>
      <c r="R21" s="14">
        <v>-60</v>
      </c>
      <c r="S21" s="14">
        <v>-73</v>
      </c>
      <c r="T21" s="14">
        <v>-88</v>
      </c>
      <c r="U21" s="14">
        <v>-108</v>
      </c>
      <c r="V21" s="14"/>
      <c r="W21" s="14"/>
      <c r="Y21" s="14"/>
      <c r="Z21" s="14">
        <f>-162-58</f>
        <v>-220</v>
      </c>
      <c r="AA21" s="14">
        <f>-237-44</f>
        <v>-281</v>
      </c>
      <c r="AB21" s="14">
        <v>-172</v>
      </c>
      <c r="AC21" s="14">
        <v>-173</v>
      </c>
      <c r="AD21" s="14">
        <v>-111</v>
      </c>
      <c r="AE21" s="14">
        <v>-518</v>
      </c>
      <c r="AF21" s="14">
        <v>-285</v>
      </c>
      <c r="AG21" s="10">
        <f t="shared" si="20"/>
        <v>-285</v>
      </c>
      <c r="AH21" s="14">
        <f t="shared" si="21"/>
        <v>-285</v>
      </c>
      <c r="AI21" s="14">
        <f t="shared" si="22"/>
        <v>-310.65000000000003</v>
      </c>
      <c r="AJ21" s="14">
        <f t="shared" si="22"/>
        <v>-338.60850000000005</v>
      </c>
      <c r="AK21" s="14">
        <f t="shared" si="22"/>
        <v>-369.0832650000001</v>
      </c>
      <c r="AL21" s="14">
        <f t="shared" si="22"/>
        <v>-402.30075885000014</v>
      </c>
      <c r="AM21" s="14">
        <f t="shared" si="22"/>
        <v>-438.50782714650018</v>
      </c>
      <c r="AN21" s="14">
        <f t="shared" si="22"/>
        <v>-477.97353158968525</v>
      </c>
      <c r="AO21" s="14">
        <f t="shared" si="22"/>
        <v>-520.99114943275697</v>
      </c>
      <c r="AP21" s="14">
        <f t="shared" si="22"/>
        <v>-567.88035288170511</v>
      </c>
    </row>
    <row r="22" spans="3:159" x14ac:dyDescent="0.25">
      <c r="C22" s="2" t="s">
        <v>182</v>
      </c>
      <c r="D22" s="15">
        <f t="shared" ref="D22:U22" si="23">SUM(D17:D21)</f>
        <v>84</v>
      </c>
      <c r="E22" s="15">
        <f t="shared" si="23"/>
        <v>288</v>
      </c>
      <c r="F22" s="15">
        <f t="shared" si="23"/>
        <v>342</v>
      </c>
      <c r="G22" s="15">
        <f t="shared" si="23"/>
        <v>284</v>
      </c>
      <c r="H22" s="15">
        <f t="shared" si="23"/>
        <v>38</v>
      </c>
      <c r="I22" s="15">
        <f t="shared" si="23"/>
        <v>357</v>
      </c>
      <c r="J22" s="15">
        <f t="shared" si="23"/>
        <v>378</v>
      </c>
      <c r="K22" s="15">
        <f t="shared" si="23"/>
        <v>69</v>
      </c>
      <c r="L22" s="15">
        <f>SUM(L17:L21)</f>
        <v>73</v>
      </c>
      <c r="M22" s="15">
        <f t="shared" si="23"/>
        <v>217</v>
      </c>
      <c r="N22" s="15">
        <f t="shared" si="23"/>
        <v>344</v>
      </c>
      <c r="O22" s="15">
        <f t="shared" si="23"/>
        <v>-1385</v>
      </c>
      <c r="P22" s="15">
        <f t="shared" si="23"/>
        <v>185</v>
      </c>
      <c r="Q22" s="15">
        <f t="shared" si="23"/>
        <v>331</v>
      </c>
      <c r="R22" s="15">
        <f t="shared" si="23"/>
        <v>439</v>
      </c>
      <c r="S22" s="15">
        <f t="shared" si="23"/>
        <v>235</v>
      </c>
      <c r="T22" s="15">
        <f t="shared" si="23"/>
        <v>330</v>
      </c>
      <c r="U22" s="15">
        <f t="shared" si="23"/>
        <v>447</v>
      </c>
      <c r="V22" s="15"/>
      <c r="W22" s="15"/>
      <c r="Y22" s="14"/>
      <c r="Z22" s="15">
        <f t="shared" ref="Z22:AA22" si="24">SUM(Z17:Z21)</f>
        <v>920</v>
      </c>
      <c r="AA22" s="15">
        <f t="shared" si="24"/>
        <v>1102</v>
      </c>
      <c r="AB22" s="15">
        <f t="shared" ref="AB22:AC22" si="25">SUM(AB17:AB21)</f>
        <v>1647</v>
      </c>
      <c r="AC22" s="15">
        <f t="shared" si="25"/>
        <v>1099</v>
      </c>
      <c r="AD22" s="15">
        <f t="shared" ref="AD22:AE22" si="26">SUM(AD17:AD21)</f>
        <v>888</v>
      </c>
      <c r="AE22" s="15">
        <f t="shared" si="26"/>
        <v>-851</v>
      </c>
      <c r="AF22" s="15">
        <f t="shared" ref="AF22:AP22" si="27">SUM(AF17:AF21)</f>
        <v>1227</v>
      </c>
      <c r="AG22" s="11">
        <f t="shared" si="27"/>
        <v>1518.1611999999996</v>
      </c>
      <c r="AH22" s="15">
        <f t="shared" si="27"/>
        <v>2076.8096540000006</v>
      </c>
      <c r="AI22" s="15">
        <f t="shared" si="27"/>
        <v>2748.4236579600001</v>
      </c>
      <c r="AJ22" s="15">
        <f t="shared" si="27"/>
        <v>3647.1260150743992</v>
      </c>
      <c r="AK22" s="15">
        <f t="shared" si="27"/>
        <v>4344.0090271848148</v>
      </c>
      <c r="AL22" s="15">
        <f t="shared" si="27"/>
        <v>5156.5495529906848</v>
      </c>
      <c r="AM22" s="15">
        <f t="shared" si="27"/>
        <v>6102.7009155593814</v>
      </c>
      <c r="AN22" s="15">
        <f t="shared" si="27"/>
        <v>7203.1016996781937</v>
      </c>
      <c r="AO22" s="15">
        <f t="shared" si="27"/>
        <v>8481.468478387982</v>
      </c>
      <c r="AP22" s="15">
        <f t="shared" si="27"/>
        <v>9965.0451651427502</v>
      </c>
    </row>
    <row r="23" spans="3:159" x14ac:dyDescent="0.25">
      <c r="C23" s="1" t="s">
        <v>43</v>
      </c>
      <c r="D23" s="14">
        <v>-53</v>
      </c>
      <c r="E23" s="14">
        <v>11</v>
      </c>
      <c r="F23" s="14">
        <v>-170</v>
      </c>
      <c r="G23" s="14">
        <v>-270</v>
      </c>
      <c r="H23" s="14">
        <v>-5295</v>
      </c>
      <c r="I23" s="14">
        <v>-1</v>
      </c>
      <c r="J23" s="14">
        <v>-23</v>
      </c>
      <c r="K23" s="14">
        <v>-24</v>
      </c>
      <c r="L23" s="14">
        <v>-17</v>
      </c>
      <c r="M23" s="14">
        <v>-26</v>
      </c>
      <c r="N23" s="14">
        <v>-13</v>
      </c>
      <c r="O23" s="14">
        <v>-28</v>
      </c>
      <c r="P23" s="14">
        <v>-15</v>
      </c>
      <c r="Q23" s="1">
        <v>-8</v>
      </c>
      <c r="R23" s="14">
        <v>-11</v>
      </c>
      <c r="S23" s="14">
        <v>-11</v>
      </c>
      <c r="T23" s="14">
        <v>-10</v>
      </c>
      <c r="U23" s="14">
        <v>10</v>
      </c>
      <c r="V23" s="14"/>
      <c r="W23" s="14"/>
      <c r="Y23" s="14"/>
      <c r="Z23" s="14">
        <v>89</v>
      </c>
      <c r="AA23" s="14">
        <v>37</v>
      </c>
      <c r="AB23" s="14">
        <v>-193</v>
      </c>
      <c r="AC23" s="14">
        <v>-482</v>
      </c>
      <c r="AD23" s="14">
        <v>-70</v>
      </c>
      <c r="AE23" s="14">
        <v>-83</v>
      </c>
      <c r="AF23" s="14">
        <v>-47</v>
      </c>
      <c r="AG23" s="10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</row>
    <row r="24" spans="3:159" x14ac:dyDescent="0.25">
      <c r="C24" s="1" t="s">
        <v>44</v>
      </c>
      <c r="D24" s="14">
        <v>-13531</v>
      </c>
      <c r="E24" s="14">
        <v>-6564</v>
      </c>
      <c r="F24" s="14">
        <v>-3153</v>
      </c>
      <c r="G24" s="14">
        <v>424</v>
      </c>
      <c r="H24" s="14">
        <v>7281</v>
      </c>
      <c r="I24" s="14">
        <v>-6</v>
      </c>
      <c r="J24" s="14">
        <v>-34</v>
      </c>
      <c r="K24" s="14">
        <v>-38</v>
      </c>
      <c r="L24" s="14">
        <v>-43</v>
      </c>
      <c r="M24" s="14">
        <v>-3</v>
      </c>
      <c r="N24" s="14">
        <v>-49</v>
      </c>
      <c r="O24" s="14">
        <v>-32</v>
      </c>
      <c r="P24" s="14">
        <v>-14</v>
      </c>
      <c r="Q24" s="1">
        <v>-11</v>
      </c>
      <c r="R24" s="14">
        <v>0</v>
      </c>
      <c r="S24" s="14">
        <v>-9</v>
      </c>
      <c r="T24" s="14">
        <v>0</v>
      </c>
      <c r="U24" s="14">
        <v>-7</v>
      </c>
      <c r="V24" s="14"/>
      <c r="W24" s="14"/>
      <c r="Y24" s="14"/>
      <c r="Z24" s="14">
        <v>-179</v>
      </c>
      <c r="AA24" s="14">
        <v>-197</v>
      </c>
      <c r="AB24" s="14">
        <v>-20000</v>
      </c>
      <c r="AC24" s="14">
        <v>-22823</v>
      </c>
      <c r="AD24" s="14">
        <v>-88</v>
      </c>
      <c r="AE24" s="14">
        <v>-127</v>
      </c>
      <c r="AF24" s="14">
        <v>-33</v>
      </c>
      <c r="AG24" s="10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</row>
    <row r="25" spans="3:159" x14ac:dyDescent="0.25">
      <c r="C25" s="1" t="s">
        <v>45</v>
      </c>
      <c r="D25" s="14">
        <v>1</v>
      </c>
      <c r="E25" s="14">
        <v>1</v>
      </c>
      <c r="F25" s="14">
        <v>16</v>
      </c>
      <c r="G25" s="14">
        <v>657</v>
      </c>
      <c r="H25" s="14">
        <v>0</v>
      </c>
      <c r="I25" s="14">
        <v>0</v>
      </c>
      <c r="J25" s="14">
        <v>1</v>
      </c>
      <c r="K25" s="14">
        <v>1</v>
      </c>
      <c r="L25" s="14">
        <v>-2</v>
      </c>
      <c r="M25" s="14">
        <v>0</v>
      </c>
      <c r="N25" s="14">
        <v>0</v>
      </c>
      <c r="O25" s="14">
        <v>-8</v>
      </c>
      <c r="P25" s="14">
        <v>6</v>
      </c>
      <c r="Q25" s="1">
        <v>0</v>
      </c>
      <c r="R25" s="14">
        <v>44</v>
      </c>
      <c r="S25" s="14">
        <v>152</v>
      </c>
      <c r="T25" s="14">
        <v>6</v>
      </c>
      <c r="U25" s="14">
        <v>3</v>
      </c>
      <c r="V25" s="14"/>
      <c r="W25" s="14"/>
      <c r="Y25" s="14"/>
      <c r="Z25" s="14">
        <v>0</v>
      </c>
      <c r="AA25" s="14">
        <v>0</v>
      </c>
      <c r="AB25" s="14">
        <v>148</v>
      </c>
      <c r="AC25" s="14">
        <v>675</v>
      </c>
      <c r="AD25" s="14">
        <v>2</v>
      </c>
      <c r="AE25" s="14">
        <v>-10</v>
      </c>
      <c r="AF25" s="14">
        <v>202</v>
      </c>
      <c r="AG25" s="10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</row>
    <row r="26" spans="3:159" x14ac:dyDescent="0.25">
      <c r="C26" s="1" t="s">
        <v>46</v>
      </c>
      <c r="D26" s="14">
        <v>83</v>
      </c>
      <c r="E26" s="14">
        <v>13</v>
      </c>
      <c r="F26" s="14">
        <v>4</v>
      </c>
      <c r="G26" s="14">
        <v>17</v>
      </c>
      <c r="H26" s="14">
        <v>321</v>
      </c>
      <c r="I26" s="14">
        <v>47</v>
      </c>
      <c r="J26" s="14">
        <v>1297</v>
      </c>
      <c r="K26" s="14">
        <v>222</v>
      </c>
      <c r="L26" s="14">
        <v>27</v>
      </c>
      <c r="M26" s="14">
        <v>116</v>
      </c>
      <c r="N26" s="14">
        <v>5125</v>
      </c>
      <c r="O26" s="14">
        <v>1180</v>
      </c>
      <c r="P26" s="14">
        <v>78</v>
      </c>
      <c r="Q26" s="14">
        <v>4671</v>
      </c>
      <c r="R26" s="14">
        <v>50</v>
      </c>
      <c r="S26" s="14">
        <v>61</v>
      </c>
      <c r="T26" s="14">
        <v>69</v>
      </c>
      <c r="U26" s="14">
        <v>113</v>
      </c>
      <c r="V26" s="14"/>
      <c r="W26" s="14"/>
      <c r="Y26" s="14"/>
      <c r="Z26" s="14">
        <v>0</v>
      </c>
      <c r="AA26" s="14">
        <v>0</v>
      </c>
      <c r="AB26" s="14">
        <v>28</v>
      </c>
      <c r="AC26" s="14">
        <v>117</v>
      </c>
      <c r="AD26" s="14">
        <v>1729</v>
      </c>
      <c r="AE26" s="14">
        <v>6436</v>
      </c>
      <c r="AF26" s="14">
        <v>291</v>
      </c>
      <c r="AG26" s="10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</row>
    <row r="27" spans="3:159" x14ac:dyDescent="0.25">
      <c r="C27" s="1" t="s">
        <v>47</v>
      </c>
      <c r="D27" s="14">
        <v>-73</v>
      </c>
      <c r="E27" s="14">
        <v>-100</v>
      </c>
      <c r="F27" s="14">
        <v>-101</v>
      </c>
      <c r="G27" s="14">
        <v>-553</v>
      </c>
      <c r="H27" s="14">
        <v>-148</v>
      </c>
      <c r="I27" s="14">
        <v>-394</v>
      </c>
      <c r="J27" s="14">
        <v>-125</v>
      </c>
      <c r="K27" s="14">
        <v>-128</v>
      </c>
      <c r="L27" s="14">
        <v>-121</v>
      </c>
      <c r="M27" s="14">
        <v>-119</v>
      </c>
      <c r="N27" s="14">
        <v>-268</v>
      </c>
      <c r="O27" s="14">
        <v>-76</v>
      </c>
      <c r="P27" s="14">
        <v>-2502</v>
      </c>
      <c r="Q27" s="1">
        <v>-71</v>
      </c>
      <c r="R27" s="14">
        <v>-1158</v>
      </c>
      <c r="S27" s="14">
        <v>-2880</v>
      </c>
      <c r="T27" s="14">
        <v>-5862</v>
      </c>
      <c r="U27" s="14">
        <v>-51</v>
      </c>
      <c r="V27" s="14"/>
      <c r="W27" s="14"/>
      <c r="Y27" s="14"/>
      <c r="Z27" s="14">
        <v>0</v>
      </c>
      <c r="AA27" s="14">
        <v>0</v>
      </c>
      <c r="AB27" s="14">
        <v>-248</v>
      </c>
      <c r="AC27" s="14">
        <v>-830</v>
      </c>
      <c r="AD27" s="14">
        <v>-622</v>
      </c>
      <c r="AE27" s="14">
        <v>-565</v>
      </c>
      <c r="AF27" s="14">
        <v>-2036</v>
      </c>
      <c r="AG27" s="10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</row>
    <row r="28" spans="3:159" x14ac:dyDescent="0.25">
      <c r="C28" s="1" t="s">
        <v>48</v>
      </c>
      <c r="D28" s="14">
        <f t="shared" ref="D28:U28" si="28">SUM(D22:D27)</f>
        <v>-13489</v>
      </c>
      <c r="E28" s="14">
        <f t="shared" si="28"/>
        <v>-6351</v>
      </c>
      <c r="F28" s="14">
        <f t="shared" si="28"/>
        <v>-3062</v>
      </c>
      <c r="G28" s="14">
        <f t="shared" si="28"/>
        <v>559</v>
      </c>
      <c r="H28" s="14">
        <f t="shared" si="28"/>
        <v>2197</v>
      </c>
      <c r="I28" s="14">
        <f t="shared" si="28"/>
        <v>3</v>
      </c>
      <c r="J28" s="14">
        <f t="shared" si="28"/>
        <v>1494</v>
      </c>
      <c r="K28" s="14">
        <f t="shared" si="28"/>
        <v>102</v>
      </c>
      <c r="L28" s="14">
        <f t="shared" si="28"/>
        <v>-83</v>
      </c>
      <c r="M28" s="14">
        <f t="shared" si="28"/>
        <v>185</v>
      </c>
      <c r="N28" s="14">
        <f t="shared" si="28"/>
        <v>5139</v>
      </c>
      <c r="O28" s="14">
        <f t="shared" si="28"/>
        <v>-349</v>
      </c>
      <c r="P28" s="14">
        <f t="shared" si="28"/>
        <v>-2262</v>
      </c>
      <c r="Q28" s="14">
        <f t="shared" si="28"/>
        <v>4912</v>
      </c>
      <c r="R28" s="14">
        <f t="shared" si="28"/>
        <v>-636</v>
      </c>
      <c r="S28" s="14">
        <f t="shared" si="28"/>
        <v>-2452</v>
      </c>
      <c r="T28" s="14">
        <f t="shared" si="28"/>
        <v>-5467</v>
      </c>
      <c r="U28" s="14">
        <f t="shared" si="28"/>
        <v>515</v>
      </c>
      <c r="V28" s="14"/>
      <c r="W28" s="14"/>
      <c r="Y28" s="14"/>
      <c r="Z28" s="14">
        <f t="shared" ref="Z28:AA28" si="29">SUM(Z22:Z27)</f>
        <v>830</v>
      </c>
      <c r="AA28" s="14">
        <f t="shared" si="29"/>
        <v>942</v>
      </c>
      <c r="AB28" s="14">
        <f t="shared" ref="AB28:AC28" si="30">SUM(AB22:AB27)</f>
        <v>-18618</v>
      </c>
      <c r="AC28" s="14">
        <f t="shared" si="30"/>
        <v>-22244</v>
      </c>
      <c r="AD28" s="14">
        <f t="shared" ref="AD28:AE28" si="31">SUM(AD22:AD27)</f>
        <v>1839</v>
      </c>
      <c r="AE28" s="14">
        <f t="shared" si="31"/>
        <v>4800</v>
      </c>
      <c r="AF28" s="14">
        <f t="shared" ref="AF28:AP28" si="32">SUM(AF22:AF27)</f>
        <v>-396</v>
      </c>
      <c r="AG28" s="10">
        <f t="shared" si="32"/>
        <v>1518.1611999999996</v>
      </c>
      <c r="AH28" s="14">
        <f t="shared" si="32"/>
        <v>2076.8096540000006</v>
      </c>
      <c r="AI28" s="14">
        <f t="shared" si="32"/>
        <v>2748.4236579600001</v>
      </c>
      <c r="AJ28" s="14">
        <f t="shared" si="32"/>
        <v>3647.1260150743992</v>
      </c>
      <c r="AK28" s="14">
        <f t="shared" si="32"/>
        <v>4344.0090271848148</v>
      </c>
      <c r="AL28" s="14">
        <f t="shared" si="32"/>
        <v>5156.5495529906848</v>
      </c>
      <c r="AM28" s="14">
        <f t="shared" si="32"/>
        <v>6102.7009155593814</v>
      </c>
      <c r="AN28" s="14">
        <f t="shared" si="32"/>
        <v>7203.1016996781937</v>
      </c>
      <c r="AO28" s="14">
        <f t="shared" si="32"/>
        <v>8481.468478387982</v>
      </c>
      <c r="AP28" s="14">
        <f t="shared" si="32"/>
        <v>9965.0451651427502</v>
      </c>
    </row>
    <row r="29" spans="3:159" x14ac:dyDescent="0.25">
      <c r="C29" s="1" t="s">
        <v>94</v>
      </c>
      <c r="D29" s="14">
        <v>-45</v>
      </c>
      <c r="E29" s="14">
        <v>-62</v>
      </c>
      <c r="F29" s="14">
        <v>-75</v>
      </c>
      <c r="G29" s="14">
        <v>-72</v>
      </c>
      <c r="H29" s="14">
        <v>-9</v>
      </c>
      <c r="I29" s="14">
        <v>-78</v>
      </c>
      <c r="J29" s="14">
        <v>-88</v>
      </c>
      <c r="K29" s="14">
        <v>-24</v>
      </c>
      <c r="L29" s="14">
        <v>-31</v>
      </c>
      <c r="M29" s="14">
        <v>-65</v>
      </c>
      <c r="N29" s="14">
        <v>-106</v>
      </c>
      <c r="O29" s="14">
        <v>31</v>
      </c>
      <c r="P29" s="14">
        <v>-25</v>
      </c>
      <c r="Q29" s="1">
        <v>-46</v>
      </c>
      <c r="R29" s="14">
        <v>-106</v>
      </c>
      <c r="S29" s="14">
        <v>-66</v>
      </c>
      <c r="T29" s="14">
        <v>-77</v>
      </c>
      <c r="U29" s="14">
        <v>-104</v>
      </c>
      <c r="V29" s="14"/>
      <c r="W29" s="14"/>
      <c r="Y29" s="14"/>
      <c r="Z29" s="14">
        <v>-275</v>
      </c>
      <c r="AA29" s="14">
        <v>128</v>
      </c>
      <c r="AB29" s="14">
        <v>-280</v>
      </c>
      <c r="AC29" s="14">
        <v>-254</v>
      </c>
      <c r="AD29" s="14">
        <v>-205</v>
      </c>
      <c r="AE29" s="14">
        <v>-149</v>
      </c>
      <c r="AF29" s="14">
        <v>-283</v>
      </c>
      <c r="AG29" s="10">
        <f>AG28*-0.22</f>
        <v>-333.99546399999991</v>
      </c>
      <c r="AH29" s="14">
        <f t="shared" ref="AH29:AP29" si="33">AH28*-0.22</f>
        <v>-456.89812388000013</v>
      </c>
      <c r="AI29" s="14">
        <f t="shared" si="33"/>
        <v>-604.65320475120006</v>
      </c>
      <c r="AJ29" s="14">
        <f t="shared" si="33"/>
        <v>-802.3677233163678</v>
      </c>
      <c r="AK29" s="14">
        <f t="shared" si="33"/>
        <v>-955.68198598065931</v>
      </c>
      <c r="AL29" s="14">
        <f t="shared" si="33"/>
        <v>-1134.4409016579507</v>
      </c>
      <c r="AM29" s="14">
        <f t="shared" si="33"/>
        <v>-1342.5942014230639</v>
      </c>
      <c r="AN29" s="14">
        <f t="shared" si="33"/>
        <v>-1584.6823739292026</v>
      </c>
      <c r="AO29" s="14">
        <f t="shared" si="33"/>
        <v>-1865.9230652453562</v>
      </c>
      <c r="AP29" s="14">
        <f t="shared" si="33"/>
        <v>-2192.309936331405</v>
      </c>
    </row>
    <row r="30" spans="3:159" x14ac:dyDescent="0.25">
      <c r="C30" s="2" t="s">
        <v>49</v>
      </c>
      <c r="D30" s="15">
        <f t="shared" ref="D30:U30" si="34">SUM(D28:D29)</f>
        <v>-13534</v>
      </c>
      <c r="E30" s="15">
        <f t="shared" si="34"/>
        <v>-6413</v>
      </c>
      <c r="F30" s="15">
        <f t="shared" si="34"/>
        <v>-3137</v>
      </c>
      <c r="G30" s="15">
        <f t="shared" si="34"/>
        <v>487</v>
      </c>
      <c r="H30" s="15">
        <f t="shared" si="34"/>
        <v>2188</v>
      </c>
      <c r="I30" s="15">
        <f t="shared" si="34"/>
        <v>-75</v>
      </c>
      <c r="J30" s="15">
        <f t="shared" si="34"/>
        <v>1406</v>
      </c>
      <c r="K30" s="15">
        <f t="shared" si="34"/>
        <v>78</v>
      </c>
      <c r="L30" s="15">
        <f t="shared" si="34"/>
        <v>-114</v>
      </c>
      <c r="M30" s="15">
        <f t="shared" si="34"/>
        <v>120</v>
      </c>
      <c r="N30" s="15">
        <f t="shared" si="34"/>
        <v>5033</v>
      </c>
      <c r="O30" s="15">
        <f t="shared" si="34"/>
        <v>-318</v>
      </c>
      <c r="P30" s="15">
        <f t="shared" si="34"/>
        <v>-2287</v>
      </c>
      <c r="Q30" s="15">
        <f t="shared" si="34"/>
        <v>4866</v>
      </c>
      <c r="R30" s="15">
        <f t="shared" si="34"/>
        <v>-742</v>
      </c>
      <c r="S30" s="15">
        <f t="shared" si="34"/>
        <v>-2518</v>
      </c>
      <c r="T30" s="15">
        <f t="shared" si="34"/>
        <v>-5544</v>
      </c>
      <c r="U30" s="15">
        <f t="shared" si="34"/>
        <v>411</v>
      </c>
      <c r="V30" s="15"/>
      <c r="W30" s="14"/>
      <c r="X30" s="15"/>
      <c r="Y30" s="14"/>
      <c r="Z30" s="15">
        <f t="shared" ref="Z30:AA30" si="35">SUM(Z28:Z29)</f>
        <v>555</v>
      </c>
      <c r="AA30" s="15">
        <f t="shared" si="35"/>
        <v>1070</v>
      </c>
      <c r="AB30" s="15">
        <f t="shared" ref="AB30:AC30" si="36">SUM(AB28:AB29)</f>
        <v>-18898</v>
      </c>
      <c r="AC30" s="15">
        <f t="shared" si="36"/>
        <v>-22498</v>
      </c>
      <c r="AD30" s="15">
        <f t="shared" ref="AD30:AE30" si="37">SUM(AD28:AD29)</f>
        <v>1634</v>
      </c>
      <c r="AE30" s="15">
        <f t="shared" si="37"/>
        <v>4651</v>
      </c>
      <c r="AF30" s="15">
        <f t="shared" ref="AF30:AP30" si="38">SUM(AF28:AF29)</f>
        <v>-679</v>
      </c>
      <c r="AG30" s="11">
        <f t="shared" si="38"/>
        <v>1184.1657359999997</v>
      </c>
      <c r="AH30" s="15">
        <f t="shared" si="38"/>
        <v>1619.9115301200004</v>
      </c>
      <c r="AI30" s="15">
        <f t="shared" si="38"/>
        <v>2143.7704532088001</v>
      </c>
      <c r="AJ30" s="15">
        <f t="shared" si="38"/>
        <v>2844.7582917580312</v>
      </c>
      <c r="AK30" s="15">
        <f t="shared" si="38"/>
        <v>3388.3270412041556</v>
      </c>
      <c r="AL30" s="15">
        <f t="shared" si="38"/>
        <v>4022.1086513327341</v>
      </c>
      <c r="AM30" s="15">
        <f t="shared" si="38"/>
        <v>4760.1067141363174</v>
      </c>
      <c r="AN30" s="15">
        <f t="shared" si="38"/>
        <v>5618.4193257489915</v>
      </c>
      <c r="AO30" s="15">
        <f t="shared" si="38"/>
        <v>6615.5454131426259</v>
      </c>
      <c r="AP30" s="15">
        <f t="shared" si="38"/>
        <v>7772.7352288113452</v>
      </c>
      <c r="AQ30" s="15">
        <f>AP30*(1+$AS$34)</f>
        <v>7695.007876523232</v>
      </c>
      <c r="AR30" s="15">
        <f t="shared" ref="AR30:DC30" si="39">AQ30*(1+$AS$34)</f>
        <v>7618.0577977579997</v>
      </c>
      <c r="AS30" s="15">
        <f t="shared" si="39"/>
        <v>7541.8772197804192</v>
      </c>
      <c r="AT30" s="15">
        <f t="shared" si="39"/>
        <v>7466.458447582615</v>
      </c>
      <c r="AU30" s="15">
        <f t="shared" si="39"/>
        <v>7391.7938631067891</v>
      </c>
      <c r="AV30" s="15">
        <f t="shared" si="39"/>
        <v>7317.8759244757211</v>
      </c>
      <c r="AW30" s="15">
        <f t="shared" si="39"/>
        <v>7244.6971652309639</v>
      </c>
      <c r="AX30" s="15">
        <f t="shared" si="39"/>
        <v>7172.250193578654</v>
      </c>
      <c r="AY30" s="15">
        <f t="shared" si="39"/>
        <v>7100.5276916428675</v>
      </c>
      <c r="AZ30" s="15">
        <f t="shared" si="39"/>
        <v>7029.5224147264389</v>
      </c>
      <c r="BA30" s="15">
        <f t="shared" si="39"/>
        <v>6959.227190579174</v>
      </c>
      <c r="BB30" s="15">
        <f t="shared" si="39"/>
        <v>6889.6349186733823</v>
      </c>
      <c r="BC30" s="15">
        <f t="shared" si="39"/>
        <v>6820.7385694866489</v>
      </c>
      <c r="BD30" s="15">
        <f t="shared" si="39"/>
        <v>6752.5311837917825</v>
      </c>
      <c r="BE30" s="15">
        <f t="shared" si="39"/>
        <v>6685.0058719538647</v>
      </c>
      <c r="BF30" s="15">
        <f t="shared" si="39"/>
        <v>6618.1558132343262</v>
      </c>
      <c r="BG30" s="15">
        <f t="shared" si="39"/>
        <v>6551.9742551019826</v>
      </c>
      <c r="BH30" s="15">
        <f t="shared" si="39"/>
        <v>6486.454512550963</v>
      </c>
      <c r="BI30" s="15">
        <f t="shared" si="39"/>
        <v>6421.5899674254533</v>
      </c>
      <c r="BJ30" s="15">
        <f t="shared" si="39"/>
        <v>6357.3740677511987</v>
      </c>
      <c r="BK30" s="15">
        <f t="shared" si="39"/>
        <v>6293.8003270736863</v>
      </c>
      <c r="BL30" s="15">
        <f t="shared" si="39"/>
        <v>6230.8623238029495</v>
      </c>
      <c r="BM30" s="15">
        <f t="shared" si="39"/>
        <v>6168.5537005649203</v>
      </c>
      <c r="BN30" s="15">
        <f t="shared" si="39"/>
        <v>6106.8681635592711</v>
      </c>
      <c r="BO30" s="15">
        <f t="shared" si="39"/>
        <v>6045.7994819236783</v>
      </c>
      <c r="BP30" s="15">
        <f t="shared" si="39"/>
        <v>5985.3414871044415</v>
      </c>
      <c r="BQ30" s="15">
        <f t="shared" si="39"/>
        <v>5925.4880722333974</v>
      </c>
      <c r="BR30" s="15">
        <f t="shared" si="39"/>
        <v>5866.2331915110635</v>
      </c>
      <c r="BS30" s="15">
        <f t="shared" si="39"/>
        <v>5807.5708595959532</v>
      </c>
      <c r="BT30" s="15">
        <f t="shared" si="39"/>
        <v>5749.4951509999937</v>
      </c>
      <c r="BU30" s="15">
        <f t="shared" si="39"/>
        <v>5692.000199489994</v>
      </c>
      <c r="BV30" s="15">
        <f t="shared" si="39"/>
        <v>5635.0801974950937</v>
      </c>
      <c r="BW30" s="15">
        <f t="shared" si="39"/>
        <v>5578.729395520143</v>
      </c>
      <c r="BX30" s="15">
        <f t="shared" si="39"/>
        <v>5522.9421015649414</v>
      </c>
      <c r="BY30" s="15">
        <f t="shared" si="39"/>
        <v>5467.7126805492917</v>
      </c>
      <c r="BZ30" s="15">
        <f t="shared" si="39"/>
        <v>5413.035553743799</v>
      </c>
      <c r="CA30" s="15">
        <f t="shared" si="39"/>
        <v>5358.9051982063611</v>
      </c>
      <c r="CB30" s="15">
        <f t="shared" si="39"/>
        <v>5305.3161462242979</v>
      </c>
      <c r="CC30" s="15">
        <f t="shared" si="39"/>
        <v>5252.2629847620547</v>
      </c>
      <c r="CD30" s="15">
        <f t="shared" si="39"/>
        <v>5199.7403549144337</v>
      </c>
      <c r="CE30" s="15">
        <f t="shared" si="39"/>
        <v>5147.7429513652896</v>
      </c>
      <c r="CF30" s="15">
        <f t="shared" si="39"/>
        <v>5096.2655218516365</v>
      </c>
      <c r="CG30" s="15">
        <f t="shared" si="39"/>
        <v>5045.3028666331202</v>
      </c>
      <c r="CH30" s="15">
        <f t="shared" si="39"/>
        <v>4994.849837966789</v>
      </c>
      <c r="CI30" s="15">
        <f t="shared" si="39"/>
        <v>4944.9013395871207</v>
      </c>
      <c r="CJ30" s="15">
        <f t="shared" si="39"/>
        <v>4895.4523261912491</v>
      </c>
      <c r="CK30" s="15">
        <f t="shared" si="39"/>
        <v>4846.4978029293361</v>
      </c>
      <c r="CL30" s="15">
        <f t="shared" si="39"/>
        <v>4798.0328249000431</v>
      </c>
      <c r="CM30" s="15">
        <f t="shared" si="39"/>
        <v>4750.0524966510429</v>
      </c>
      <c r="CN30" s="15">
        <f t="shared" si="39"/>
        <v>4702.5519716845329</v>
      </c>
      <c r="CO30" s="15">
        <f t="shared" si="39"/>
        <v>4655.5264519676875</v>
      </c>
      <c r="CP30" s="15">
        <f t="shared" si="39"/>
        <v>4608.9711874480108</v>
      </c>
      <c r="CQ30" s="15">
        <f t="shared" si="39"/>
        <v>4562.8814755735302</v>
      </c>
      <c r="CR30" s="15">
        <f t="shared" si="39"/>
        <v>4517.252660817795</v>
      </c>
      <c r="CS30" s="15">
        <f t="shared" si="39"/>
        <v>4472.0801342096174</v>
      </c>
      <c r="CT30" s="15">
        <f t="shared" si="39"/>
        <v>4427.3593328675215</v>
      </c>
      <c r="CU30" s="15">
        <f t="shared" si="39"/>
        <v>4383.0857395388466</v>
      </c>
      <c r="CV30" s="15">
        <f t="shared" si="39"/>
        <v>4339.2548821434584</v>
      </c>
      <c r="CW30" s="15">
        <f t="shared" si="39"/>
        <v>4295.8623333220239</v>
      </c>
      <c r="CX30" s="15">
        <f t="shared" si="39"/>
        <v>4252.9037099888037</v>
      </c>
      <c r="CY30" s="15">
        <f t="shared" si="39"/>
        <v>4210.3746728889155</v>
      </c>
      <c r="CZ30" s="15">
        <f t="shared" si="39"/>
        <v>4168.2709261600266</v>
      </c>
      <c r="DA30" s="15">
        <f t="shared" si="39"/>
        <v>4126.5882168984263</v>
      </c>
      <c r="DB30" s="15">
        <f t="shared" si="39"/>
        <v>4085.322334729442</v>
      </c>
      <c r="DC30" s="15">
        <f t="shared" si="39"/>
        <v>4044.4691113821477</v>
      </c>
      <c r="DD30" s="15">
        <f t="shared" ref="DD30:FC30" si="40">DC30*(1+$AS$34)</f>
        <v>4004.0244202683261</v>
      </c>
      <c r="DE30" s="15">
        <f t="shared" si="40"/>
        <v>3963.9841760656427</v>
      </c>
      <c r="DF30" s="15">
        <f t="shared" si="40"/>
        <v>3924.3443343049862</v>
      </c>
      <c r="DG30" s="15">
        <f t="shared" si="40"/>
        <v>3885.1008909619363</v>
      </c>
      <c r="DH30" s="15">
        <f t="shared" si="40"/>
        <v>3846.2498820523169</v>
      </c>
      <c r="DI30" s="15">
        <f t="shared" si="40"/>
        <v>3807.7873832317937</v>
      </c>
      <c r="DJ30" s="15">
        <f t="shared" si="40"/>
        <v>3769.7095093994758</v>
      </c>
      <c r="DK30" s="15">
        <f t="shared" si="40"/>
        <v>3732.0124143054809</v>
      </c>
      <c r="DL30" s="15">
        <f t="shared" si="40"/>
        <v>3694.6922901624262</v>
      </c>
      <c r="DM30" s="15">
        <f t="shared" si="40"/>
        <v>3657.7453672608017</v>
      </c>
      <c r="DN30" s="15">
        <f t="shared" si="40"/>
        <v>3621.1679135881936</v>
      </c>
      <c r="DO30" s="15">
        <f t="shared" si="40"/>
        <v>3584.9562344523115</v>
      </c>
      <c r="DP30" s="15">
        <f t="shared" si="40"/>
        <v>3549.1066721077882</v>
      </c>
      <c r="DQ30" s="15">
        <f t="shared" si="40"/>
        <v>3513.6156053867103</v>
      </c>
      <c r="DR30" s="15">
        <f t="shared" si="40"/>
        <v>3478.4794493328432</v>
      </c>
      <c r="DS30" s="15">
        <f t="shared" si="40"/>
        <v>3443.6946548395149</v>
      </c>
      <c r="DT30" s="15">
        <f t="shared" si="40"/>
        <v>3409.2577082911198</v>
      </c>
      <c r="DU30" s="15">
        <f t="shared" si="40"/>
        <v>3375.1651312082085</v>
      </c>
      <c r="DV30" s="15">
        <f t="shared" si="40"/>
        <v>3341.4134798961263</v>
      </c>
      <c r="DW30" s="15">
        <f t="shared" si="40"/>
        <v>3307.9993450971651</v>
      </c>
      <c r="DX30" s="15">
        <f t="shared" si="40"/>
        <v>3274.9193516461933</v>
      </c>
      <c r="DY30" s="15">
        <f t="shared" si="40"/>
        <v>3242.1701581297311</v>
      </c>
      <c r="DZ30" s="15">
        <f t="shared" si="40"/>
        <v>3209.7484565484338</v>
      </c>
      <c r="EA30" s="15">
        <f t="shared" si="40"/>
        <v>3177.6509719829492</v>
      </c>
      <c r="EB30" s="15">
        <f t="shared" si="40"/>
        <v>3145.8744622631198</v>
      </c>
      <c r="EC30" s="15">
        <f t="shared" si="40"/>
        <v>3114.4157176404888</v>
      </c>
      <c r="ED30" s="15">
        <f t="shared" si="40"/>
        <v>3083.2715604640839</v>
      </c>
      <c r="EE30" s="15">
        <f t="shared" si="40"/>
        <v>3052.4388448594432</v>
      </c>
      <c r="EF30" s="15">
        <f t="shared" si="40"/>
        <v>3021.9144564108487</v>
      </c>
      <c r="EG30" s="15">
        <f t="shared" si="40"/>
        <v>2991.6953118467404</v>
      </c>
      <c r="EH30" s="15">
        <f t="shared" si="40"/>
        <v>2961.7783587282729</v>
      </c>
      <c r="EI30" s="15">
        <f t="shared" si="40"/>
        <v>2932.1605751409902</v>
      </c>
      <c r="EJ30" s="15">
        <f t="shared" si="40"/>
        <v>2902.8389693895801</v>
      </c>
      <c r="EK30" s="15">
        <f t="shared" si="40"/>
        <v>2873.8105796956843</v>
      </c>
      <c r="EL30" s="15">
        <f t="shared" si="40"/>
        <v>2845.0724738987274</v>
      </c>
      <c r="EM30" s="15">
        <f t="shared" si="40"/>
        <v>2816.6217491597399</v>
      </c>
      <c r="EN30" s="15">
        <f t="shared" si="40"/>
        <v>2788.4555316681426</v>
      </c>
      <c r="EO30" s="15">
        <f t="shared" si="40"/>
        <v>2760.570976351461</v>
      </c>
      <c r="EP30" s="15">
        <f t="shared" si="40"/>
        <v>2732.9652665879462</v>
      </c>
      <c r="EQ30" s="15">
        <f t="shared" si="40"/>
        <v>2705.6356139220666</v>
      </c>
      <c r="ER30" s="15">
        <f t="shared" si="40"/>
        <v>2678.5792577828461</v>
      </c>
      <c r="ES30" s="15">
        <f t="shared" si="40"/>
        <v>2651.7934652050176</v>
      </c>
      <c r="ET30" s="15">
        <f t="shared" si="40"/>
        <v>2625.2755305529672</v>
      </c>
      <c r="EU30" s="15">
        <f t="shared" si="40"/>
        <v>2599.0227752474375</v>
      </c>
      <c r="EV30" s="15">
        <f t="shared" si="40"/>
        <v>2573.0325474949632</v>
      </c>
      <c r="EW30" s="15">
        <f t="shared" si="40"/>
        <v>2547.3022220200137</v>
      </c>
      <c r="EX30" s="15">
        <f t="shared" si="40"/>
        <v>2521.8291997998135</v>
      </c>
      <c r="EY30" s="15">
        <f t="shared" si="40"/>
        <v>2496.6109078018153</v>
      </c>
      <c r="EZ30" s="15">
        <f t="shared" si="40"/>
        <v>2471.6447987237971</v>
      </c>
      <c r="FA30" s="15">
        <f t="shared" si="40"/>
        <v>2446.928350736559</v>
      </c>
      <c r="FB30" s="15">
        <f t="shared" si="40"/>
        <v>2422.4590672291934</v>
      </c>
      <c r="FC30" s="15">
        <f t="shared" si="40"/>
        <v>2398.2344765569014</v>
      </c>
    </row>
    <row r="31" spans="3:159" x14ac:dyDescent="0.25">
      <c r="C31" s="1" t="s">
        <v>50</v>
      </c>
      <c r="D31" s="9">
        <f t="shared" ref="D31:M31" si="41">D30/D32</f>
        <v>-56.627615062761507</v>
      </c>
      <c r="E31" s="9">
        <f t="shared" si="41"/>
        <v>-26.832635983263597</v>
      </c>
      <c r="F31" s="9">
        <f t="shared" si="41"/>
        <v>-13.125523012552302</v>
      </c>
      <c r="G31" s="9">
        <f t="shared" si="41"/>
        <v>2.0376569037656904</v>
      </c>
      <c r="H31" s="9">
        <f t="shared" si="41"/>
        <v>9.1548117154811717</v>
      </c>
      <c r="I31" s="9">
        <f t="shared" si="41"/>
        <v>-0.31380753138075312</v>
      </c>
      <c r="J31" s="9">
        <f t="shared" si="41"/>
        <v>5.8828451882845192</v>
      </c>
      <c r="K31" s="9">
        <f t="shared" si="41"/>
        <v>0.32635983263598328</v>
      </c>
      <c r="L31" s="9">
        <f t="shared" si="41"/>
        <v>-0.47698744769874479</v>
      </c>
      <c r="M31" s="9">
        <f t="shared" si="41"/>
        <v>0.502092050209205</v>
      </c>
      <c r="N31" s="9">
        <f>N30/N32</f>
        <v>21.05857740585774</v>
      </c>
      <c r="O31" s="9">
        <f>O30/O32</f>
        <v>-1.3305439330543933</v>
      </c>
      <c r="P31" s="9">
        <f>P30/P32</f>
        <v>-9.569037656903765</v>
      </c>
      <c r="Q31" s="9">
        <f t="shared" ref="Q31:S31" si="42">Q30/Q32</f>
        <v>20.359832635983263</v>
      </c>
      <c r="R31" s="9">
        <f t="shared" si="42"/>
        <v>-3.1046025104602513</v>
      </c>
      <c r="S31" s="9">
        <f t="shared" si="42"/>
        <v>-11.821596244131456</v>
      </c>
      <c r="T31" s="9">
        <f t="shared" ref="T31:U31" si="43">T30/T32</f>
        <v>-26.730954676952749</v>
      </c>
      <c r="U31" s="9">
        <f t="shared" si="43"/>
        <v>2.0357922996527762</v>
      </c>
      <c r="V31" s="9"/>
      <c r="W31" s="9"/>
      <c r="X31" s="9"/>
      <c r="Z31" s="9">
        <f t="shared" ref="Z31:AC31" si="44">Z30/Z32</f>
        <v>2.3345162488409077</v>
      </c>
      <c r="AA31" s="9">
        <f t="shared" si="44"/>
        <v>4.5653196203306123</v>
      </c>
      <c r="AB31" s="9">
        <f t="shared" si="44"/>
        <v>-80.636126101571392</v>
      </c>
      <c r="AC31" s="9">
        <f t="shared" si="44"/>
        <v>-96.061179930002311</v>
      </c>
      <c r="AD31" s="9">
        <f>AD30/AD32</f>
        <v>6.8368200836820083</v>
      </c>
      <c r="AE31" s="9">
        <f>AE30/AE32</f>
        <v>19.460251046025103</v>
      </c>
      <c r="AF31" s="9">
        <f>AF30/AF32</f>
        <v>-2.8410041841004183</v>
      </c>
      <c r="AG31" s="40">
        <f t="shared" ref="AG31:AP31" si="45">AG30/AG32</f>
        <v>5.8654878025826314</v>
      </c>
      <c r="AH31" s="9">
        <f t="shared" si="45"/>
        <v>8.2690736606431869</v>
      </c>
      <c r="AI31" s="9">
        <f t="shared" si="45"/>
        <v>10.943187612091883</v>
      </c>
      <c r="AJ31" s="9">
        <f t="shared" si="45"/>
        <v>14.521481836437117</v>
      </c>
      <c r="AK31" s="9">
        <f t="shared" si="45"/>
        <v>17.296207458928819</v>
      </c>
      <c r="AL31" s="9">
        <f t="shared" si="45"/>
        <v>20.531437730131362</v>
      </c>
      <c r="AM31" s="9">
        <f t="shared" si="45"/>
        <v>24.298656019072574</v>
      </c>
      <c r="AN31" s="9">
        <f t="shared" si="45"/>
        <v>28.680037395349625</v>
      </c>
      <c r="AO31" s="9">
        <f t="shared" si="45"/>
        <v>33.770012318236986</v>
      </c>
      <c r="AP31" s="9">
        <f t="shared" si="45"/>
        <v>39.677055787704674</v>
      </c>
    </row>
    <row r="32" spans="3:159" x14ac:dyDescent="0.25">
      <c r="C32" s="1" t="s">
        <v>51</v>
      </c>
      <c r="D32" s="8">
        <v>239</v>
      </c>
      <c r="E32" s="8">
        <v>239</v>
      </c>
      <c r="F32" s="8">
        <v>239</v>
      </c>
      <c r="G32" s="8">
        <v>239</v>
      </c>
      <c r="H32" s="8">
        <v>239</v>
      </c>
      <c r="I32" s="8">
        <v>239</v>
      </c>
      <c r="J32" s="8">
        <v>239</v>
      </c>
      <c r="K32" s="8">
        <v>239</v>
      </c>
      <c r="L32" s="8">
        <v>239</v>
      </c>
      <c r="M32" s="8">
        <v>239</v>
      </c>
      <c r="N32" s="8">
        <v>239</v>
      </c>
      <c r="O32" s="8">
        <v>239</v>
      </c>
      <c r="P32" s="8">
        <v>239</v>
      </c>
      <c r="Q32" s="8">
        <v>239</v>
      </c>
      <c r="R32" s="8">
        <v>239</v>
      </c>
      <c r="S32" s="8">
        <v>213</v>
      </c>
      <c r="T32" s="8">
        <v>207.4</v>
      </c>
      <c r="U32" s="8">
        <v>201.887</v>
      </c>
      <c r="V32" s="8">
        <v>195.9</v>
      </c>
      <c r="W32" s="8"/>
      <c r="X32" s="8"/>
      <c r="Z32" s="8">
        <v>237.73661899999999</v>
      </c>
      <c r="AA32" s="8">
        <v>234.37570400000001</v>
      </c>
      <c r="AB32" s="8">
        <v>234.361457</v>
      </c>
      <c r="AC32" s="8">
        <v>234.20491000000001</v>
      </c>
      <c r="AD32" s="8">
        <v>239</v>
      </c>
      <c r="AE32" s="8">
        <v>239</v>
      </c>
      <c r="AF32" s="8">
        <v>239</v>
      </c>
      <c r="AG32" s="5">
        <v>201.887</v>
      </c>
      <c r="AH32" s="8">
        <v>195.9</v>
      </c>
      <c r="AI32" s="8">
        <v>195.9</v>
      </c>
      <c r="AJ32" s="8">
        <v>195.9</v>
      </c>
      <c r="AK32" s="8">
        <v>195.9</v>
      </c>
      <c r="AL32" s="8">
        <v>195.9</v>
      </c>
      <c r="AM32" s="8">
        <v>195.9</v>
      </c>
      <c r="AN32" s="8">
        <v>195.9</v>
      </c>
      <c r="AO32" s="8">
        <v>195.9</v>
      </c>
      <c r="AP32" s="8">
        <v>195.9</v>
      </c>
    </row>
    <row r="33" spans="2:45" x14ac:dyDescent="0.25">
      <c r="AR33" s="1" t="s">
        <v>183</v>
      </c>
      <c r="AS33" s="44">
        <v>0.08</v>
      </c>
    </row>
    <row r="34" spans="2:45" x14ac:dyDescent="0.25">
      <c r="C34" s="2" t="s">
        <v>57</v>
      </c>
      <c r="D34" s="18"/>
      <c r="E34" s="18"/>
      <c r="F34" s="18"/>
      <c r="G34" s="18"/>
      <c r="H34" s="18">
        <f t="shared" ref="H34:P34" si="46">(H11-D11)/D11</f>
        <v>6.9334836527621194E-2</v>
      </c>
      <c r="I34" s="18">
        <f t="shared" si="46"/>
        <v>-0.36701030927835049</v>
      </c>
      <c r="J34" s="18">
        <f t="shared" si="46"/>
        <v>-0.37193823216187433</v>
      </c>
      <c r="K34" s="18">
        <f t="shared" si="46"/>
        <v>-0.52632898696088259</v>
      </c>
      <c r="L34" s="18">
        <f t="shared" si="46"/>
        <v>-0.49499209277807066</v>
      </c>
      <c r="M34" s="18">
        <f t="shared" si="46"/>
        <v>2.8094462540716611E-2</v>
      </c>
      <c r="N34" s="18">
        <f t="shared" si="46"/>
        <v>0.10512929207291224</v>
      </c>
      <c r="O34" s="18">
        <f t="shared" si="46"/>
        <v>0.11381683430386448</v>
      </c>
      <c r="P34" s="18">
        <f t="shared" si="46"/>
        <v>5.167014613778706E-2</v>
      </c>
      <c r="Q34" s="18">
        <f t="shared" ref="Q34" si="47">(Q11-M11)/M11</f>
        <v>-0.32871287128712873</v>
      </c>
      <c r="R34" s="18">
        <f>(R11-N11)/N11</f>
        <v>-0.38856923667050247</v>
      </c>
      <c r="S34" s="18">
        <f t="shared" ref="S34:U34" si="48">(S11-O11)/O11</f>
        <v>-0.28184410646387831</v>
      </c>
      <c r="T34" s="18">
        <f t="shared" si="48"/>
        <v>-0.23424317617866006</v>
      </c>
      <c r="U34" s="18">
        <f t="shared" si="48"/>
        <v>5.8997050147492625E-4</v>
      </c>
      <c r="V34" s="18">
        <f t="shared" ref="V34" si="49">(V11-R11)/R11</f>
        <v>-1</v>
      </c>
      <c r="W34" s="18">
        <f t="shared" ref="W34" si="50">(W11-S11)/S11</f>
        <v>-1</v>
      </c>
      <c r="X34" s="18"/>
      <c r="AA34" s="18">
        <f t="shared" ref="AA34:AE34" si="51">(AA11-Z11)/Z11</f>
        <v>2.0153323322532207E-2</v>
      </c>
      <c r="AB34" s="18">
        <f t="shared" si="51"/>
        <v>0.13286334056399132</v>
      </c>
      <c r="AC34" s="18">
        <f t="shared" si="51"/>
        <v>4.4382137728236341E-2</v>
      </c>
      <c r="AD34" s="18">
        <f t="shared" si="51"/>
        <v>-0.50124410686223153</v>
      </c>
      <c r="AE34" s="18">
        <f t="shared" si="51"/>
        <v>9.2949980307207566E-2</v>
      </c>
      <c r="AF34" s="18">
        <f>(AF11-AE11)/AE11</f>
        <v>-0.2412012012012012</v>
      </c>
      <c r="AG34" s="19">
        <f t="shared" ref="AG34:AP34" si="52">(AG11-AF11)/AF11</f>
        <v>-1.0239037517809132E-2</v>
      </c>
      <c r="AH34" s="18">
        <f t="shared" si="52"/>
        <v>0.10681225529083611</v>
      </c>
      <c r="AI34" s="18">
        <f t="shared" si="52"/>
        <v>0.11951316449408197</v>
      </c>
      <c r="AJ34" s="18">
        <f t="shared" si="52"/>
        <v>0.13999999999999982</v>
      </c>
      <c r="AK34" s="18">
        <f t="shared" si="52"/>
        <v>0.13999999999999985</v>
      </c>
      <c r="AL34" s="18">
        <f t="shared" si="52"/>
        <v>0.13999999999999985</v>
      </c>
      <c r="AM34" s="18">
        <f t="shared" si="52"/>
        <v>0.13999999999999996</v>
      </c>
      <c r="AN34" s="18">
        <f t="shared" si="52"/>
        <v>0.1399999999999999</v>
      </c>
      <c r="AO34" s="18">
        <f t="shared" si="52"/>
        <v>0.13999999999999996</v>
      </c>
      <c r="AP34" s="18">
        <f t="shared" si="52"/>
        <v>0.13999999999999993</v>
      </c>
      <c r="AR34" s="1" t="s">
        <v>184</v>
      </c>
      <c r="AS34" s="44">
        <v>-0.01</v>
      </c>
    </row>
    <row r="35" spans="2:45" x14ac:dyDescent="0.25">
      <c r="C35" s="1" t="s">
        <v>102</v>
      </c>
      <c r="D35" s="20">
        <f t="shared" ref="D35:N35" si="53">D13/D11</f>
        <v>0.95828635851183763</v>
      </c>
      <c r="E35" s="20">
        <f t="shared" si="53"/>
        <v>0.96443298969072166</v>
      </c>
      <c r="F35" s="20">
        <f t="shared" si="53"/>
        <v>0.96671991480298192</v>
      </c>
      <c r="G35" s="20">
        <f t="shared" si="53"/>
        <v>0.9651454363089268</v>
      </c>
      <c r="H35" s="20">
        <f t="shared" si="53"/>
        <v>0.96705324196099107</v>
      </c>
      <c r="I35" s="20">
        <f t="shared" si="53"/>
        <v>0.99063517915309451</v>
      </c>
      <c r="J35" s="20">
        <f t="shared" si="53"/>
        <v>0.99025010597710894</v>
      </c>
      <c r="K35" s="20">
        <f t="shared" si="53"/>
        <v>0.92641609317098994</v>
      </c>
      <c r="L35" s="20">
        <f t="shared" si="53"/>
        <v>0.92849686847599167</v>
      </c>
      <c r="M35" s="20">
        <f t="shared" si="53"/>
        <v>0.99207920792079207</v>
      </c>
      <c r="N35" s="20">
        <f t="shared" si="53"/>
        <v>0.99271192942079023</v>
      </c>
      <c r="O35" s="20">
        <f>O13/O11</f>
        <v>0.91777566539923949</v>
      </c>
      <c r="P35" s="20">
        <f>P13/P11</f>
        <v>0.92208436724565757</v>
      </c>
      <c r="Q35" s="20">
        <f t="shared" ref="Q35:S35" si="54">Q13/Q11</f>
        <v>0.91799410029498529</v>
      </c>
      <c r="R35" s="20">
        <f t="shared" si="54"/>
        <v>0.90903387703889582</v>
      </c>
      <c r="S35" s="20">
        <f t="shared" si="54"/>
        <v>0.89013898080741227</v>
      </c>
      <c r="T35" s="20">
        <f t="shared" ref="T35:U35" si="55">T13/T11</f>
        <v>0.91186001296176278</v>
      </c>
      <c r="U35" s="20">
        <f t="shared" si="55"/>
        <v>0.91509433962264153</v>
      </c>
      <c r="V35" s="20" t="e">
        <f t="shared" ref="V35:W35" si="56">V13/V11</f>
        <v>#DIV/0!</v>
      </c>
      <c r="W35" s="20" t="e">
        <f t="shared" si="56"/>
        <v>#DIV/0!</v>
      </c>
      <c r="X35" s="20"/>
      <c r="Z35" s="20">
        <f t="shared" ref="Z35:AE35" si="57">Z13/Z11</f>
        <v>0.96712242156010431</v>
      </c>
      <c r="AA35" s="20">
        <f t="shared" si="57"/>
        <v>0.96482801363495507</v>
      </c>
      <c r="AB35" s="20">
        <f t="shared" si="57"/>
        <v>0.96368734185871574</v>
      </c>
      <c r="AC35" s="20">
        <f t="shared" si="57"/>
        <v>0.96405185961236251</v>
      </c>
      <c r="AD35" s="20">
        <f t="shared" si="57"/>
        <v>0.93527635552054611</v>
      </c>
      <c r="AE35" s="20">
        <f t="shared" si="57"/>
        <v>0.92804804804804808</v>
      </c>
      <c r="AF35" s="20">
        <f>AF13/AF11</f>
        <v>0.90580971980370428</v>
      </c>
      <c r="AG35" s="21">
        <f t="shared" ref="AG35:AP35" si="58">AG13/AG11</f>
        <v>0.90999999999999992</v>
      </c>
      <c r="AH35" s="20">
        <f t="shared" si="58"/>
        <v>0.91</v>
      </c>
      <c r="AI35" s="20">
        <f t="shared" si="58"/>
        <v>0.90999999999999992</v>
      </c>
      <c r="AJ35" s="20">
        <f t="shared" si="58"/>
        <v>0.91</v>
      </c>
      <c r="AK35" s="20">
        <f t="shared" si="58"/>
        <v>0.91</v>
      </c>
      <c r="AL35" s="20">
        <f t="shared" si="58"/>
        <v>0.90999999999999992</v>
      </c>
      <c r="AM35" s="20">
        <f t="shared" si="58"/>
        <v>0.91</v>
      </c>
      <c r="AN35" s="20">
        <f t="shared" si="58"/>
        <v>0.91</v>
      </c>
      <c r="AO35" s="20">
        <f t="shared" si="58"/>
        <v>0.91</v>
      </c>
      <c r="AP35" s="20">
        <f t="shared" si="58"/>
        <v>0.90999999999999992</v>
      </c>
      <c r="AR35" s="43" t="s">
        <v>185</v>
      </c>
      <c r="AS35" s="45">
        <f>NPV(AS33,AF30:FC30)</f>
        <v>58114.726469459689</v>
      </c>
    </row>
    <row r="36" spans="2:45" x14ac:dyDescent="0.25">
      <c r="C36" s="41" t="s">
        <v>58</v>
      </c>
      <c r="D36" s="18">
        <f t="shared" ref="D36:P36" si="59">D17/D11</f>
        <v>0.10738444193912063</v>
      </c>
      <c r="E36" s="18">
        <f t="shared" si="59"/>
        <v>0.15953608247422679</v>
      </c>
      <c r="F36" s="18">
        <f t="shared" si="59"/>
        <v>0.17438764643237487</v>
      </c>
      <c r="G36" s="18">
        <f t="shared" si="59"/>
        <v>0.16298896690070211</v>
      </c>
      <c r="H36" s="18">
        <f t="shared" si="59"/>
        <v>0.11623616236162361</v>
      </c>
      <c r="I36" s="18">
        <f t="shared" si="59"/>
        <v>0.21905537459283386</v>
      </c>
      <c r="J36" s="18">
        <f t="shared" si="59"/>
        <v>0.24289953370072065</v>
      </c>
      <c r="K36" s="18">
        <f t="shared" si="59"/>
        <v>0.1725780836421387</v>
      </c>
      <c r="L36" s="18">
        <f t="shared" si="59"/>
        <v>0.17379958246346555</v>
      </c>
      <c r="M36" s="18">
        <f t="shared" si="59"/>
        <v>0.21623762376237624</v>
      </c>
      <c r="N36" s="18">
        <f t="shared" si="59"/>
        <v>0.25700038358266208</v>
      </c>
      <c r="O36" s="18">
        <f t="shared" si="59"/>
        <v>0.16017110266159695</v>
      </c>
      <c r="P36" s="18">
        <f t="shared" si="59"/>
        <v>0.19602977667493796</v>
      </c>
      <c r="Q36" s="18">
        <f t="shared" ref="Q36:S36" si="60">Q17/Q11</f>
        <v>0.34513274336283184</v>
      </c>
      <c r="R36" s="18">
        <f t="shared" si="60"/>
        <v>0.40087829360100374</v>
      </c>
      <c r="S36" s="18">
        <f t="shared" si="60"/>
        <v>0.3256121773659828</v>
      </c>
      <c r="T36" s="18">
        <f t="shared" ref="T36:U36" si="61">T17/T11</f>
        <v>0.36422553467271551</v>
      </c>
      <c r="U36" s="18">
        <f t="shared" si="61"/>
        <v>0.39740566037735847</v>
      </c>
      <c r="V36" s="18" t="e">
        <f t="shared" ref="V36:W36" si="62">V17/V11</f>
        <v>#DIV/0!</v>
      </c>
      <c r="W36" s="18" t="e">
        <f t="shared" si="62"/>
        <v>#DIV/0!</v>
      </c>
      <c r="X36" s="18"/>
      <c r="Y36" s="2"/>
      <c r="Z36" s="18">
        <f t="shared" ref="Z36:AE36" si="63">Z17/Z11</f>
        <v>0.15624753022998497</v>
      </c>
      <c r="AA36" s="18">
        <f t="shared" si="63"/>
        <v>0.16478153083359157</v>
      </c>
      <c r="AB36" s="18">
        <f t="shared" si="63"/>
        <v>0.18744443684606443</v>
      </c>
      <c r="AC36" s="18">
        <f t="shared" si="63"/>
        <v>0.15760869565217392</v>
      </c>
      <c r="AD36" s="18">
        <f t="shared" si="63"/>
        <v>0.20861231455953788</v>
      </c>
      <c r="AE36" s="18">
        <f t="shared" si="63"/>
        <v>0.20384384384384385</v>
      </c>
      <c r="AF36" s="18">
        <f>AF17/AF11</f>
        <v>0.33671046382776637</v>
      </c>
      <c r="AG36" s="19">
        <f t="shared" ref="AG36:AP36" si="64">AG17/AG11</f>
        <v>0.38676222586176007</v>
      </c>
      <c r="AH36" s="18">
        <f t="shared" si="64"/>
        <v>0.43016582919859309</v>
      </c>
      <c r="AI36" s="18">
        <f t="shared" si="64"/>
        <v>0.48139032749271121</v>
      </c>
      <c r="AJ36" s="18">
        <f t="shared" si="64"/>
        <v>0.53402660306378169</v>
      </c>
      <c r="AK36" s="18">
        <f t="shared" si="64"/>
        <v>0.54721865207908771</v>
      </c>
      <c r="AL36" s="18">
        <f t="shared" si="64"/>
        <v>0.55994782218157557</v>
      </c>
      <c r="AM36" s="18">
        <f t="shared" si="64"/>
        <v>0.57223035473660799</v>
      </c>
      <c r="AN36" s="18">
        <f t="shared" si="64"/>
        <v>0.58408192123707792</v>
      </c>
      <c r="AO36" s="18">
        <f t="shared" si="64"/>
        <v>0.59551764329893475</v>
      </c>
      <c r="AP36" s="18">
        <f t="shared" si="64"/>
        <v>0.60655211195511249</v>
      </c>
      <c r="AR36" s="1" t="s">
        <v>186</v>
      </c>
      <c r="AS36" s="8">
        <v>195.9</v>
      </c>
    </row>
    <row r="37" spans="2:45" x14ac:dyDescent="0.25">
      <c r="C37" s="1" t="s">
        <v>133</v>
      </c>
      <c r="D37" s="20">
        <f t="shared" ref="D37:O37" si="65">D22/D11</f>
        <v>2.367531003382187E-2</v>
      </c>
      <c r="E37" s="20">
        <f t="shared" si="65"/>
        <v>7.422680412371134E-2</v>
      </c>
      <c r="F37" s="20">
        <f t="shared" si="65"/>
        <v>9.1054313099041537E-2</v>
      </c>
      <c r="G37" s="20">
        <f t="shared" si="65"/>
        <v>7.1213640922768301E-2</v>
      </c>
      <c r="H37" s="20">
        <f t="shared" si="65"/>
        <v>1.0015814443858724E-2</v>
      </c>
      <c r="I37" s="20">
        <f t="shared" si="65"/>
        <v>0.14535830618892509</v>
      </c>
      <c r="J37" s="20">
        <f t="shared" si="65"/>
        <v>0.16023738872403562</v>
      </c>
      <c r="K37" s="20">
        <f t="shared" si="65"/>
        <v>3.6527263102170464E-2</v>
      </c>
      <c r="L37" s="20">
        <f t="shared" si="65"/>
        <v>3.8100208768267224E-2</v>
      </c>
      <c r="M37" s="20">
        <f t="shared" si="65"/>
        <v>8.5940594059405934E-2</v>
      </c>
      <c r="N37" s="20">
        <f t="shared" si="65"/>
        <v>0.13195243574990412</v>
      </c>
      <c r="O37" s="20">
        <f t="shared" si="65"/>
        <v>-0.65826996197718635</v>
      </c>
      <c r="P37" s="20">
        <f>P22/P11</f>
        <v>9.1811414392059559E-2</v>
      </c>
      <c r="Q37" s="20">
        <f t="shared" ref="Q37:S37" si="66">Q22/Q11</f>
        <v>0.1952802359882006</v>
      </c>
      <c r="R37" s="20">
        <f t="shared" si="66"/>
        <v>0.27540777917189463</v>
      </c>
      <c r="S37" s="20">
        <f t="shared" si="66"/>
        <v>0.15552614162806089</v>
      </c>
      <c r="T37" s="20">
        <f t="shared" ref="T37:U37" si="67">T22/T11</f>
        <v>0.21386908619572262</v>
      </c>
      <c r="U37" s="20">
        <f t="shared" si="67"/>
        <v>0.263561320754717</v>
      </c>
      <c r="V37" s="20" t="e">
        <f t="shared" ref="V37:W37" si="68">V22/V11</f>
        <v>#DIV/0!</v>
      </c>
      <c r="W37" s="20" t="e">
        <f t="shared" si="68"/>
        <v>#DIV/0!</v>
      </c>
      <c r="X37" s="20"/>
      <c r="Z37" s="20">
        <f t="shared" ref="Z37:AE37" si="69">Z22/Z11</f>
        <v>7.2710029242076979E-2</v>
      </c>
      <c r="AA37" s="20">
        <f t="shared" si="69"/>
        <v>8.5373411837620081E-2</v>
      </c>
      <c r="AB37" s="20">
        <f>AB22/AB11</f>
        <v>0.11263078711618683</v>
      </c>
      <c r="AC37" s="20">
        <f t="shared" si="69"/>
        <v>7.1961760083813511E-2</v>
      </c>
      <c r="AD37" s="20">
        <f t="shared" si="69"/>
        <v>0.1165813312327688</v>
      </c>
      <c r="AE37" s="20">
        <f t="shared" si="69"/>
        <v>-0.10222222222222223</v>
      </c>
      <c r="AF37" s="20">
        <f>AF22/AF11</f>
        <v>0.19423777109387366</v>
      </c>
      <c r="AG37" s="21">
        <f t="shared" ref="AG37:AP37" si="70">AG22/AG11</f>
        <v>0.24281565882744319</v>
      </c>
      <c r="AH37" s="20">
        <f t="shared" si="70"/>
        <v>0.30011073959670559</v>
      </c>
      <c r="AI37" s="20">
        <f t="shared" si="70"/>
        <v>0.35476381503886256</v>
      </c>
      <c r="AJ37" s="20">
        <f t="shared" si="70"/>
        <v>0.41295388501580366</v>
      </c>
      <c r="AK37" s="20">
        <f t="shared" si="70"/>
        <v>0.43145614096303841</v>
      </c>
      <c r="AL37" s="20">
        <f t="shared" si="70"/>
        <v>0.44926261418465124</v>
      </c>
      <c r="AM37" s="20">
        <f t="shared" si="70"/>
        <v>0.46639976112551379</v>
      </c>
      <c r="AN37" s="20">
        <f t="shared" si="70"/>
        <v>0.48289302032822462</v>
      </c>
      <c r="AO37" s="20">
        <f t="shared" si="70"/>
        <v>0.49876685207906613</v>
      </c>
      <c r="AP37" s="20">
        <f t="shared" si="70"/>
        <v>0.51404477649050129</v>
      </c>
      <c r="AR37" s="1" t="s">
        <v>187</v>
      </c>
      <c r="AS37" s="46">
        <f>AS35/AS36</f>
        <v>296.65506109984528</v>
      </c>
    </row>
    <row r="38" spans="2:45" x14ac:dyDescent="0.25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/>
      <c r="AA38" s="20"/>
      <c r="AB38" s="20"/>
      <c r="AC38" s="20"/>
      <c r="AD38" s="20"/>
      <c r="AE38" s="20"/>
      <c r="AF38" s="20"/>
      <c r="AG38" s="21"/>
      <c r="AH38" s="20"/>
      <c r="AI38" s="20"/>
      <c r="AJ38" s="20"/>
      <c r="AK38" s="20"/>
      <c r="AL38" s="20"/>
      <c r="AM38" s="20"/>
      <c r="AN38" s="20"/>
      <c r="AO38" s="20"/>
      <c r="AP38" s="20"/>
      <c r="AR38" s="2" t="s">
        <v>188</v>
      </c>
      <c r="AS38" s="41">
        <f>(AS37-B4)/B4</f>
        <v>0.44709785902363552</v>
      </c>
    </row>
    <row r="39" spans="2:45" x14ac:dyDescent="0.25">
      <c r="C39" s="82" t="s">
        <v>157</v>
      </c>
      <c r="D39" s="20"/>
      <c r="E39" s="20"/>
      <c r="F39" s="20"/>
      <c r="G39" s="20"/>
      <c r="H39" s="20">
        <f t="shared" ref="H39:U42" si="71">(H4-D4)/D4</f>
        <v>0.13583138173302109</v>
      </c>
      <c r="I39" s="20">
        <f t="shared" si="71"/>
        <v>0.21501014198782961</v>
      </c>
      <c r="J39" s="20">
        <f t="shared" si="71"/>
        <v>0.14399999999999999</v>
      </c>
      <c r="K39" s="20">
        <f t="shared" si="71"/>
        <v>0.15789473684210525</v>
      </c>
      <c r="L39" s="20">
        <f t="shared" si="71"/>
        <v>0.13608247422680411</v>
      </c>
      <c r="M39" s="20">
        <f t="shared" si="71"/>
        <v>5.6761268781302172E-2</v>
      </c>
      <c r="N39" s="20">
        <f t="shared" si="71"/>
        <v>8.3916083916083919E-2</v>
      </c>
      <c r="O39" s="20">
        <f t="shared" si="71"/>
        <v>1.6363636363636365E-2</v>
      </c>
      <c r="P39" s="20">
        <f t="shared" si="71"/>
        <v>9.0744101633393835E-3</v>
      </c>
      <c r="Q39" s="20">
        <f t="shared" si="71"/>
        <v>6.7930489731437602E-2</v>
      </c>
      <c r="R39" s="20">
        <f t="shared" si="71"/>
        <v>9.3548387096774197E-2</v>
      </c>
      <c r="S39" s="20">
        <f t="shared" si="71"/>
        <v>0.12164579606440072</v>
      </c>
      <c r="T39" s="20">
        <f t="shared" si="71"/>
        <v>3.0575539568345324E-2</v>
      </c>
      <c r="U39" s="20">
        <f t="shared" si="71"/>
        <v>8.8757396449704144E-3</v>
      </c>
      <c r="V39" s="20">
        <f t="shared" ref="V39:V42" si="72">(V4-R4)/R4</f>
        <v>-1</v>
      </c>
      <c r="W39" s="20">
        <f t="shared" ref="W39:W42" si="73">(W4-S4)/S4</f>
        <v>-1</v>
      </c>
      <c r="X39" s="20"/>
      <c r="Z39" s="20"/>
      <c r="AA39" s="20"/>
      <c r="AC39" s="20"/>
      <c r="AD39" s="20"/>
      <c r="AE39" s="20"/>
      <c r="AF39" s="20"/>
      <c r="AG39" s="21">
        <f t="shared" ref="AG39:AP39" si="74">(AG4-AF4)/AF4</f>
        <v>2.0000000000000094E-2</v>
      </c>
      <c r="AH39" s="20">
        <f t="shared" si="74"/>
        <v>5.0000000000000058E-2</v>
      </c>
      <c r="AI39" s="20">
        <f t="shared" si="74"/>
        <v>8.000000000000014E-2</v>
      </c>
      <c r="AJ39" s="20">
        <f t="shared" si="74"/>
        <v>-1</v>
      </c>
      <c r="AK39" s="20" t="e">
        <f t="shared" si="74"/>
        <v>#DIV/0!</v>
      </c>
      <c r="AL39" s="20" t="e">
        <f t="shared" si="74"/>
        <v>#DIV/0!</v>
      </c>
      <c r="AM39" s="20" t="e">
        <f t="shared" si="74"/>
        <v>#DIV/0!</v>
      </c>
      <c r="AN39" s="20" t="e">
        <f t="shared" si="74"/>
        <v>#DIV/0!</v>
      </c>
      <c r="AO39" s="20" t="e">
        <f t="shared" si="74"/>
        <v>#DIV/0!</v>
      </c>
      <c r="AP39" s="20" t="e">
        <f t="shared" si="74"/>
        <v>#DIV/0!</v>
      </c>
    </row>
    <row r="40" spans="2:45" x14ac:dyDescent="0.25">
      <c r="C40" s="1" t="s">
        <v>158</v>
      </c>
      <c r="D40" s="20"/>
      <c r="E40" s="20"/>
      <c r="F40" s="20"/>
      <c r="G40" s="20"/>
      <c r="H40" s="20">
        <f t="shared" si="71"/>
        <v>0.22033898305084745</v>
      </c>
      <c r="I40" s="20">
        <f t="shared" si="71"/>
        <v>0.30530973451327431</v>
      </c>
      <c r="J40" s="20">
        <f t="shared" si="71"/>
        <v>0.2669683257918552</v>
      </c>
      <c r="K40" s="20">
        <f t="shared" si="71"/>
        <v>0.14563106796116504</v>
      </c>
      <c r="L40" s="20">
        <f t="shared" si="71"/>
        <v>0.15740740740740741</v>
      </c>
      <c r="M40" s="20">
        <f t="shared" si="71"/>
        <v>0.15593220338983052</v>
      </c>
      <c r="N40" s="20">
        <f t="shared" si="71"/>
        <v>0.12857142857142856</v>
      </c>
      <c r="O40" s="20">
        <f t="shared" si="71"/>
        <v>0.11440677966101695</v>
      </c>
      <c r="P40" s="20">
        <f t="shared" si="71"/>
        <v>0.20399999999999999</v>
      </c>
      <c r="Q40" s="20">
        <f t="shared" si="71"/>
        <v>0.11143695014662756</v>
      </c>
      <c r="R40" s="20">
        <f t="shared" si="71"/>
        <v>9.1772151898734181E-2</v>
      </c>
      <c r="S40" s="20">
        <f t="shared" si="71"/>
        <v>0.14828897338403041</v>
      </c>
      <c r="T40" s="20">
        <f t="shared" si="71"/>
        <v>0.13289036544850499</v>
      </c>
      <c r="U40" s="20">
        <f t="shared" si="71"/>
        <v>0.13720316622691292</v>
      </c>
      <c r="V40" s="20">
        <f t="shared" si="72"/>
        <v>-1</v>
      </c>
      <c r="W40" s="20">
        <f t="shared" si="73"/>
        <v>-1</v>
      </c>
      <c r="X40" s="20"/>
      <c r="Z40" s="20"/>
      <c r="AA40" s="20"/>
      <c r="AB40" s="20"/>
      <c r="AC40" s="20"/>
      <c r="AD40" s="20"/>
      <c r="AE40" s="20"/>
      <c r="AF40" s="20"/>
      <c r="AG40" s="21">
        <f t="shared" ref="AG40:AP40" si="75">(AG5-AF5)/AF5</f>
        <v>0.12999999999999981</v>
      </c>
      <c r="AH40" s="20">
        <f t="shared" si="75"/>
        <v>0.13999999999999982</v>
      </c>
      <c r="AI40" s="20">
        <f t="shared" si="75"/>
        <v>0.13999999999999987</v>
      </c>
      <c r="AJ40" s="20">
        <f t="shared" si="75"/>
        <v>-1</v>
      </c>
      <c r="AK40" s="20" t="e">
        <f t="shared" si="75"/>
        <v>#DIV/0!</v>
      </c>
      <c r="AL40" s="20" t="e">
        <f t="shared" si="75"/>
        <v>#DIV/0!</v>
      </c>
      <c r="AM40" s="20" t="e">
        <f t="shared" si="75"/>
        <v>#DIV/0!</v>
      </c>
      <c r="AN40" s="20" t="e">
        <f t="shared" si="75"/>
        <v>#DIV/0!</v>
      </c>
      <c r="AO40" s="20" t="e">
        <f t="shared" si="75"/>
        <v>#DIV/0!</v>
      </c>
      <c r="AP40" s="20" t="e">
        <f t="shared" si="75"/>
        <v>#DIV/0!</v>
      </c>
    </row>
    <row r="41" spans="2:45" x14ac:dyDescent="0.25">
      <c r="C41" s="1" t="s">
        <v>159</v>
      </c>
      <c r="D41" s="20"/>
      <c r="E41" s="20"/>
      <c r="F41" s="20"/>
      <c r="G41" s="20"/>
      <c r="H41" s="20">
        <f t="shared" si="71"/>
        <v>-5.5415617128463476E-2</v>
      </c>
      <c r="I41" s="20">
        <f t="shared" si="71"/>
        <v>-0.10354223433242507</v>
      </c>
      <c r="J41" s="20">
        <f t="shared" si="71"/>
        <v>-7.6923076923076927E-2</v>
      </c>
      <c r="K41" s="20">
        <f t="shared" si="71"/>
        <v>-8.6419753086419748E-2</v>
      </c>
      <c r="L41" s="20">
        <f t="shared" si="71"/>
        <v>-6.933333333333333E-2</v>
      </c>
      <c r="M41" s="20">
        <f t="shared" si="71"/>
        <v>-2.4316109422492401E-2</v>
      </c>
      <c r="N41" s="20">
        <f t="shared" si="71"/>
        <v>-2.4305555555555556E-2</v>
      </c>
      <c r="O41" s="20">
        <f t="shared" si="71"/>
        <v>-8.7837837837837843E-2</v>
      </c>
      <c r="P41" s="20">
        <f t="shared" si="71"/>
        <v>-0.10028653295128939</v>
      </c>
      <c r="Q41" s="20">
        <f t="shared" si="71"/>
        <v>-0.10903426791277258</v>
      </c>
      <c r="R41" s="20">
        <f t="shared" si="71"/>
        <v>-0.12099644128113879</v>
      </c>
      <c r="S41" s="20">
        <f t="shared" si="71"/>
        <v>3.7037037037037038E-3</v>
      </c>
      <c r="T41" s="20">
        <f t="shared" si="71"/>
        <v>8.2802547770700632E-2</v>
      </c>
      <c r="U41" s="20">
        <f t="shared" si="71"/>
        <v>5.2447552447552448E-2</v>
      </c>
      <c r="V41" s="20">
        <f t="shared" si="72"/>
        <v>-1</v>
      </c>
      <c r="W41" s="20">
        <f t="shared" si="73"/>
        <v>-1</v>
      </c>
      <c r="X41" s="20"/>
      <c r="Z41" s="20"/>
      <c r="AA41" s="20"/>
      <c r="AB41" s="20"/>
      <c r="AC41" s="20"/>
      <c r="AD41" s="20"/>
      <c r="AE41" s="20"/>
      <c r="AF41" s="20"/>
      <c r="AG41" s="21">
        <f t="shared" ref="AG41:AP41" si="76">(AG6-AF6)/AF6</f>
        <v>6.0000000000000137E-2</v>
      </c>
      <c r="AH41" s="20">
        <f t="shared" si="76"/>
        <v>0.10000000000000002</v>
      </c>
      <c r="AI41" s="20">
        <f t="shared" si="76"/>
        <v>0.10000000000000014</v>
      </c>
      <c r="AJ41" s="20">
        <f t="shared" si="76"/>
        <v>-1</v>
      </c>
      <c r="AK41" s="20" t="e">
        <f t="shared" si="76"/>
        <v>#DIV/0!</v>
      </c>
      <c r="AL41" s="20" t="e">
        <f t="shared" si="76"/>
        <v>#DIV/0!</v>
      </c>
      <c r="AM41" s="20" t="e">
        <f t="shared" si="76"/>
        <v>#DIV/0!</v>
      </c>
      <c r="AN41" s="20" t="e">
        <f t="shared" si="76"/>
        <v>#DIV/0!</v>
      </c>
      <c r="AO41" s="20" t="e">
        <f t="shared" si="76"/>
        <v>#DIV/0!</v>
      </c>
      <c r="AP41" s="20" t="e">
        <f t="shared" si="76"/>
        <v>#DIV/0!</v>
      </c>
    </row>
    <row r="42" spans="2:45" x14ac:dyDescent="0.25">
      <c r="C42" s="1" t="s">
        <v>160</v>
      </c>
      <c r="D42" s="20"/>
      <c r="E42" s="20"/>
      <c r="F42" s="20"/>
      <c r="G42" s="20"/>
      <c r="H42" s="20">
        <f t="shared" si="71"/>
        <v>0.18320610687022901</v>
      </c>
      <c r="I42" s="20">
        <f t="shared" si="71"/>
        <v>0.29104477611940299</v>
      </c>
      <c r="J42" s="20">
        <f t="shared" si="71"/>
        <v>0.44</v>
      </c>
      <c r="K42" s="20">
        <f t="shared" si="71"/>
        <v>0.31645569620253167</v>
      </c>
      <c r="L42" s="20">
        <f t="shared" si="71"/>
        <v>0.22580645161290322</v>
      </c>
      <c r="M42" s="20">
        <f t="shared" si="71"/>
        <v>0.16184971098265896</v>
      </c>
      <c r="N42" s="20">
        <f t="shared" si="71"/>
        <v>0.16666666666666666</v>
      </c>
      <c r="O42" s="20">
        <f t="shared" si="71"/>
        <v>7.6923076923076927E-2</v>
      </c>
      <c r="P42" s="20">
        <f t="shared" si="71"/>
        <v>-5.2631578947368418E-2</v>
      </c>
      <c r="Q42" s="20">
        <f t="shared" si="71"/>
        <v>-4.4776119402985072E-2</v>
      </c>
      <c r="R42" s="20">
        <f t="shared" si="71"/>
        <v>-1.4285714285714285E-2</v>
      </c>
      <c r="S42" s="20">
        <f t="shared" si="71"/>
        <v>4.4642857142857144E-2</v>
      </c>
      <c r="T42" s="20">
        <f t="shared" si="71"/>
        <v>0.2388888888888889</v>
      </c>
      <c r="U42" s="20">
        <f t="shared" si="71"/>
        <v>0.234375</v>
      </c>
      <c r="V42" s="20">
        <f t="shared" si="72"/>
        <v>-1</v>
      </c>
      <c r="W42" s="20">
        <f t="shared" si="73"/>
        <v>-1</v>
      </c>
      <c r="X42" s="20"/>
      <c r="Z42" s="20"/>
      <c r="AA42" s="20"/>
      <c r="AB42" s="20"/>
      <c r="AC42" s="20"/>
      <c r="AD42" s="20"/>
      <c r="AE42" s="20"/>
      <c r="AF42" s="20"/>
      <c r="AG42" s="21">
        <f t="shared" ref="AG42:AP42" si="77">(AG7-AF7)/AF7</f>
        <v>0.23</v>
      </c>
      <c r="AH42" s="20">
        <f t="shared" si="77"/>
        <v>0.20000000000000004</v>
      </c>
      <c r="AI42" s="20">
        <f t="shared" si="77"/>
        <v>0.19999999999999993</v>
      </c>
      <c r="AJ42" s="20">
        <f t="shared" si="77"/>
        <v>-1</v>
      </c>
      <c r="AK42" s="20" t="e">
        <f t="shared" si="77"/>
        <v>#DIV/0!</v>
      </c>
      <c r="AL42" s="20" t="e">
        <f t="shared" si="77"/>
        <v>#DIV/0!</v>
      </c>
      <c r="AM42" s="20" t="e">
        <f t="shared" si="77"/>
        <v>#DIV/0!</v>
      </c>
      <c r="AN42" s="20" t="e">
        <f t="shared" si="77"/>
        <v>#DIV/0!</v>
      </c>
      <c r="AO42" s="20" t="e">
        <f t="shared" si="77"/>
        <v>#DIV/0!</v>
      </c>
      <c r="AP42" s="20" t="e">
        <f t="shared" si="77"/>
        <v>#DIV/0!</v>
      </c>
    </row>
    <row r="43" spans="2:45" x14ac:dyDescent="0.25">
      <c r="C43" s="1" t="s">
        <v>161</v>
      </c>
      <c r="D43" s="20"/>
      <c r="E43" s="20"/>
      <c r="F43" s="20"/>
      <c r="G43" s="20"/>
      <c r="H43" s="20">
        <f t="shared" ref="H43:P43" si="78">(H8-D8)/D8</f>
        <v>-1.2578616352201259E-2</v>
      </c>
      <c r="I43" s="20">
        <f t="shared" si="78"/>
        <v>3.6319612590799029E-2</v>
      </c>
      <c r="J43" s="20">
        <f t="shared" si="78"/>
        <v>-3.5294117647058823E-2</v>
      </c>
      <c r="K43" s="20">
        <f t="shared" si="78"/>
        <v>-0.12450592885375494</v>
      </c>
      <c r="L43" s="20">
        <f t="shared" si="78"/>
        <v>-8.7048832271762203E-2</v>
      </c>
      <c r="M43" s="20">
        <f t="shared" si="78"/>
        <v>9.5794392523364483E-2</v>
      </c>
      <c r="N43" s="20">
        <f t="shared" si="78"/>
        <v>0.46097560975609758</v>
      </c>
      <c r="O43" s="20">
        <f t="shared" si="78"/>
        <v>0.41083521444695259</v>
      </c>
      <c r="P43" s="20">
        <f t="shared" si="78"/>
        <v>0.2441860465116279</v>
      </c>
      <c r="Q43" s="20"/>
      <c r="R43" s="20"/>
      <c r="S43" s="20"/>
      <c r="T43" s="20"/>
      <c r="U43" s="20"/>
      <c r="V43" s="20"/>
      <c r="W43" s="20"/>
      <c r="X43" s="20"/>
      <c r="Z43" s="20"/>
      <c r="AA43" s="20"/>
      <c r="AB43" s="20"/>
      <c r="AC43" s="20"/>
      <c r="AD43" s="20"/>
      <c r="AE43" s="20"/>
      <c r="AF43" s="20"/>
    </row>
    <row r="44" spans="2:45" x14ac:dyDescent="0.25">
      <c r="L44" s="20"/>
      <c r="M44" s="20"/>
      <c r="N44" s="20"/>
      <c r="O44" s="20"/>
      <c r="P44" s="20"/>
      <c r="AB44" s="20"/>
    </row>
    <row r="45" spans="2:45" s="20" customFormat="1" x14ac:dyDescent="0.25">
      <c r="B45" s="21"/>
      <c r="C45" s="1" t="s">
        <v>275</v>
      </c>
      <c r="D45" s="14">
        <f t="shared" ref="D45:W45" si="79">SUM(D14:D16)</f>
        <v>-3019</v>
      </c>
      <c r="E45" s="14">
        <f t="shared" si="79"/>
        <v>-3123</v>
      </c>
      <c r="F45" s="14">
        <f t="shared" si="79"/>
        <v>-2976</v>
      </c>
      <c r="G45" s="14">
        <f t="shared" si="79"/>
        <v>-3199</v>
      </c>
      <c r="H45" s="14">
        <f t="shared" si="79"/>
        <v>-3228</v>
      </c>
      <c r="I45" s="14">
        <f t="shared" si="79"/>
        <v>-1895</v>
      </c>
      <c r="J45" s="14">
        <f t="shared" si="79"/>
        <v>-1763</v>
      </c>
      <c r="K45" s="14">
        <f t="shared" si="79"/>
        <v>-1424</v>
      </c>
      <c r="L45" s="14">
        <f t="shared" si="79"/>
        <v>-1446</v>
      </c>
      <c r="M45" s="14">
        <f t="shared" si="79"/>
        <v>-1959</v>
      </c>
      <c r="N45" s="14">
        <f t="shared" si="79"/>
        <v>-1918</v>
      </c>
      <c r="O45" s="14">
        <f t="shared" si="79"/>
        <v>-1594</v>
      </c>
      <c r="P45" s="14">
        <f t="shared" si="79"/>
        <v>-1463</v>
      </c>
      <c r="Q45" s="14">
        <f t="shared" si="79"/>
        <v>-971</v>
      </c>
      <c r="R45" s="14">
        <f t="shared" si="79"/>
        <v>-810</v>
      </c>
      <c r="S45" s="14">
        <f t="shared" si="79"/>
        <v>-853</v>
      </c>
      <c r="T45" s="14">
        <f t="shared" si="79"/>
        <v>-845</v>
      </c>
      <c r="U45" s="14">
        <f>SUM(U14:U16)</f>
        <v>-878</v>
      </c>
      <c r="V45" s="14">
        <f t="shared" si="79"/>
        <v>0</v>
      </c>
      <c r="W45" s="14">
        <f t="shared" si="79"/>
        <v>0</v>
      </c>
      <c r="X45" s="1"/>
      <c r="Y45" s="1"/>
      <c r="Z45" s="14">
        <f t="shared" ref="Z45:AH45" si="80">SUM(Z14:Z16)</f>
        <v>-10260</v>
      </c>
      <c r="AA45" s="14">
        <f t="shared" si="80"/>
        <v>-10327</v>
      </c>
      <c r="AB45" s="14">
        <f t="shared" si="80"/>
        <v>-11351</v>
      </c>
      <c r="AC45" s="14">
        <f t="shared" si="80"/>
        <v>-12316</v>
      </c>
      <c r="AD45" s="14">
        <f t="shared" si="80"/>
        <v>-5535</v>
      </c>
      <c r="AE45" s="14">
        <f t="shared" si="80"/>
        <v>-6029</v>
      </c>
      <c r="AF45" s="14">
        <f t="shared" si="80"/>
        <v>-3595</v>
      </c>
      <c r="AG45" s="10">
        <f t="shared" si="80"/>
        <v>-3271.45</v>
      </c>
      <c r="AH45" s="14">
        <f t="shared" si="80"/>
        <v>-3320.5217499999999</v>
      </c>
      <c r="AI45" s="14">
        <f t="shared" ref="AI45:AP45" si="81">SUM(AI14:AI16)</f>
        <v>-3320.5217499999999</v>
      </c>
      <c r="AJ45" s="14">
        <f t="shared" si="81"/>
        <v>-3320.5217499999999</v>
      </c>
      <c r="AK45" s="14">
        <f t="shared" si="81"/>
        <v>-3652.5739250000001</v>
      </c>
      <c r="AL45" s="14">
        <f t="shared" si="81"/>
        <v>-4017.8313175000003</v>
      </c>
      <c r="AM45" s="14">
        <f t="shared" si="81"/>
        <v>-4419.6144492500007</v>
      </c>
      <c r="AN45" s="14">
        <f t="shared" si="81"/>
        <v>-4861.5758941750009</v>
      </c>
      <c r="AO45" s="14">
        <f t="shared" si="81"/>
        <v>-5347.7334835925021</v>
      </c>
      <c r="AP45" s="14">
        <f t="shared" si="81"/>
        <v>-5882.5068319517522</v>
      </c>
    </row>
    <row r="46" spans="2:45" s="20" customFormat="1" x14ac:dyDescent="0.25">
      <c r="B46" s="21"/>
      <c r="C46" s="20" t="s">
        <v>170</v>
      </c>
      <c r="H46" s="20">
        <f t="shared" ref="H46:S46" si="82">(H45-D45)/D45</f>
        <v>6.9228221265319648E-2</v>
      </c>
      <c r="I46" s="20">
        <f t="shared" si="82"/>
        <v>-0.3932116554594941</v>
      </c>
      <c r="J46" s="20">
        <f t="shared" si="82"/>
        <v>-0.40759408602150538</v>
      </c>
      <c r="K46" s="20">
        <f t="shared" si="82"/>
        <v>-0.55486089402938421</v>
      </c>
      <c r="L46" s="20">
        <f t="shared" si="82"/>
        <v>-0.55204460966542745</v>
      </c>
      <c r="M46" s="20">
        <f t="shared" si="82"/>
        <v>3.3773087071240104E-2</v>
      </c>
      <c r="N46" s="20">
        <f t="shared" si="82"/>
        <v>8.7918321043675557E-2</v>
      </c>
      <c r="O46" s="20">
        <f t="shared" si="82"/>
        <v>0.11938202247191011</v>
      </c>
      <c r="P46" s="20">
        <f t="shared" si="82"/>
        <v>1.1756569847856155E-2</v>
      </c>
      <c r="Q46" s="20">
        <f t="shared" si="82"/>
        <v>-0.50433894844308325</v>
      </c>
      <c r="R46" s="20">
        <f t="shared" si="82"/>
        <v>-0.5776850886339937</v>
      </c>
      <c r="S46" s="20">
        <f t="shared" si="82"/>
        <v>-0.46486825595984943</v>
      </c>
      <c r="T46" s="20">
        <f>(T45-P45)/P45</f>
        <v>-0.42241968557758031</v>
      </c>
      <c r="U46" s="20">
        <f t="shared" ref="U46:W46" si="83">(U45-Q45)/Q45</f>
        <v>-9.577754891864057E-2</v>
      </c>
      <c r="V46" s="20">
        <f t="shared" si="83"/>
        <v>-1</v>
      </c>
      <c r="W46" s="20">
        <f t="shared" si="83"/>
        <v>-1</v>
      </c>
      <c r="AA46" s="20">
        <f t="shared" ref="AA46:AF46" si="84">(AA45-Z45)/Z45</f>
        <v>6.5302144249512672E-3</v>
      </c>
      <c r="AB46" s="20">
        <f t="shared" si="84"/>
        <v>9.9157548174687707E-2</v>
      </c>
      <c r="AC46" s="20">
        <f t="shared" si="84"/>
        <v>8.5014536164214602E-2</v>
      </c>
      <c r="AD46" s="20">
        <f t="shared" si="84"/>
        <v>-0.55058460539136078</v>
      </c>
      <c r="AE46" s="20">
        <f t="shared" si="84"/>
        <v>8.9250225835591696E-2</v>
      </c>
      <c r="AF46" s="20">
        <f t="shared" si="84"/>
        <v>-0.40371537568419308</v>
      </c>
      <c r="AG46" s="21">
        <f>(AG45-AF45)/AF45</f>
        <v>-9.0000000000000052E-2</v>
      </c>
      <c r="AH46" s="20">
        <f>(AH45-AG45)/AG45</f>
        <v>1.500000000000002E-2</v>
      </c>
      <c r="AI46" s="20">
        <f t="shared" ref="AI46:AP46" si="85">(AI45-AH45)/AH45</f>
        <v>0</v>
      </c>
      <c r="AJ46" s="20">
        <f t="shared" si="85"/>
        <v>0</v>
      </c>
      <c r="AK46" s="20">
        <f t="shared" si="85"/>
        <v>0.10000000000000009</v>
      </c>
      <c r="AL46" s="20">
        <f t="shared" si="85"/>
        <v>0.10000000000000003</v>
      </c>
      <c r="AM46" s="20">
        <f t="shared" si="85"/>
        <v>0.10000000000000009</v>
      </c>
      <c r="AN46" s="20">
        <f t="shared" si="85"/>
        <v>0.10000000000000005</v>
      </c>
      <c r="AO46" s="20">
        <f t="shared" si="85"/>
        <v>0.10000000000000023</v>
      </c>
      <c r="AP46" s="20">
        <f t="shared" si="85"/>
        <v>9.9999999999999978E-2</v>
      </c>
    </row>
    <row r="47" spans="2:45" x14ac:dyDescent="0.25">
      <c r="C47" s="20" t="s">
        <v>277</v>
      </c>
      <c r="D47" s="20">
        <f t="shared" ref="D47:W47" si="86">D45/D11</f>
        <v>-0.85090191657271708</v>
      </c>
      <c r="E47" s="20">
        <f t="shared" si="86"/>
        <v>-0.80489690721649487</v>
      </c>
      <c r="F47" s="20">
        <f t="shared" si="86"/>
        <v>-0.792332268370607</v>
      </c>
      <c r="G47" s="20">
        <f t="shared" si="86"/>
        <v>-0.80215646940822471</v>
      </c>
      <c r="H47" s="20">
        <f t="shared" si="86"/>
        <v>-0.85081707959936748</v>
      </c>
      <c r="I47" s="20">
        <f t="shared" si="86"/>
        <v>-0.77157980456026054</v>
      </c>
      <c r="J47" s="20">
        <f t="shared" si="86"/>
        <v>-0.74735057227638835</v>
      </c>
      <c r="K47" s="20">
        <f t="shared" si="86"/>
        <v>-0.75383800952885127</v>
      </c>
      <c r="L47" s="20">
        <f t="shared" si="86"/>
        <v>-0.75469728601252606</v>
      </c>
      <c r="M47" s="20">
        <f t="shared" si="86"/>
        <v>-0.77584158415841586</v>
      </c>
      <c r="N47" s="20">
        <f t="shared" si="86"/>
        <v>-0.73571154583812814</v>
      </c>
      <c r="O47" s="20">
        <f t="shared" si="86"/>
        <v>-0.75760456273764254</v>
      </c>
      <c r="P47" s="20">
        <f t="shared" si="86"/>
        <v>-0.72605459057071964</v>
      </c>
      <c r="Q47" s="20">
        <f t="shared" si="86"/>
        <v>-0.57286135693215334</v>
      </c>
      <c r="R47" s="20">
        <f t="shared" si="86"/>
        <v>-0.50815558343789213</v>
      </c>
      <c r="S47" s="20">
        <f t="shared" si="86"/>
        <v>-0.56452680344142947</v>
      </c>
      <c r="T47" s="20">
        <f t="shared" si="86"/>
        <v>-0.54763447828904732</v>
      </c>
      <c r="U47" s="20">
        <f t="shared" si="86"/>
        <v>-0.51768867924528306</v>
      </c>
      <c r="V47" s="20" t="e">
        <f t="shared" si="86"/>
        <v>#DIV/0!</v>
      </c>
      <c r="W47" s="20" t="e">
        <f t="shared" si="86"/>
        <v>#DIV/0!</v>
      </c>
      <c r="X47" s="20"/>
      <c r="Y47" s="20"/>
      <c r="Z47" s="20">
        <f t="shared" ref="Z47:AH47" si="87">Z45/Z11</f>
        <v>-0.81087489133011936</v>
      </c>
      <c r="AA47" s="20">
        <f t="shared" si="87"/>
        <v>-0.80004648280136348</v>
      </c>
      <c r="AB47" s="20">
        <f t="shared" si="87"/>
        <v>-0.77624290501265125</v>
      </c>
      <c r="AC47" s="20">
        <f t="shared" si="87"/>
        <v>-0.80644316396018856</v>
      </c>
      <c r="AD47" s="20">
        <f t="shared" si="87"/>
        <v>-0.72666404096100823</v>
      </c>
      <c r="AE47" s="20">
        <f t="shared" si="87"/>
        <v>-0.72420420420420417</v>
      </c>
      <c r="AF47" s="20">
        <f t="shared" si="87"/>
        <v>-0.56909925597593791</v>
      </c>
      <c r="AG47" s="21">
        <f>AG45/AG11</f>
        <v>-0.52323777413823991</v>
      </c>
      <c r="AH47" s="20">
        <f t="shared" si="87"/>
        <v>-0.47983417080140695</v>
      </c>
      <c r="AI47" s="20">
        <f t="shared" ref="AI47:AP47" si="88">AI45/AI11</f>
        <v>-0.42860967250728876</v>
      </c>
      <c r="AJ47" s="20">
        <f t="shared" si="88"/>
        <v>-0.37597339693621823</v>
      </c>
      <c r="AK47" s="20">
        <f t="shared" si="88"/>
        <v>-0.36278134792091243</v>
      </c>
      <c r="AL47" s="20">
        <f t="shared" si="88"/>
        <v>-0.35005217781842435</v>
      </c>
      <c r="AM47" s="20">
        <f t="shared" si="88"/>
        <v>-0.33776964526339193</v>
      </c>
      <c r="AN47" s="20">
        <f t="shared" si="88"/>
        <v>-0.32591807876292206</v>
      </c>
      <c r="AO47" s="20">
        <f t="shared" si="88"/>
        <v>-0.31448235670106522</v>
      </c>
      <c r="AP47" s="20">
        <f t="shared" si="88"/>
        <v>-0.30344788804488754</v>
      </c>
    </row>
    <row r="49" spans="3:34" x14ac:dyDescent="0.25">
      <c r="C49" s="3" t="s">
        <v>61</v>
      </c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4"/>
      <c r="AH49" s="63"/>
    </row>
    <row r="50" spans="3:34" x14ac:dyDescent="0.25">
      <c r="C50" s="1" t="s">
        <v>62</v>
      </c>
      <c r="D50" s="14">
        <v>9373</v>
      </c>
      <c r="E50" s="14">
        <v>10016</v>
      </c>
      <c r="F50" s="14">
        <v>10225</v>
      </c>
      <c r="G50" s="14">
        <v>10389</v>
      </c>
      <c r="H50" s="14">
        <v>11079</v>
      </c>
      <c r="I50" s="14">
        <v>11279</v>
      </c>
      <c r="J50" s="14">
        <v>10968</v>
      </c>
      <c r="K50" s="14">
        <v>11091</v>
      </c>
      <c r="L50" s="14">
        <v>11493</v>
      </c>
      <c r="M50" s="14">
        <v>9627</v>
      </c>
      <c r="N50" s="14">
        <v>9864</v>
      </c>
      <c r="O50" s="14">
        <v>7791</v>
      </c>
      <c r="P50" s="14">
        <v>7663</v>
      </c>
      <c r="Q50" s="14">
        <v>7792</v>
      </c>
      <c r="R50" s="14">
        <v>7741</v>
      </c>
      <c r="S50" s="14">
        <v>7822</v>
      </c>
      <c r="T50" s="14">
        <v>7470</v>
      </c>
      <c r="U50" s="14">
        <v>7498</v>
      </c>
      <c r="V50" s="65"/>
      <c r="W50" s="65"/>
      <c r="X50" s="65"/>
      <c r="Y50" s="65"/>
      <c r="Z50" s="14">
        <v>17369</v>
      </c>
      <c r="AA50" s="14">
        <v>6018</v>
      </c>
      <c r="AB50" s="14">
        <v>9313</v>
      </c>
      <c r="AC50" s="14">
        <v>10389</v>
      </c>
      <c r="AD50" s="14">
        <v>11091</v>
      </c>
      <c r="AE50" s="14">
        <v>7791</v>
      </c>
      <c r="AF50" s="14">
        <v>7822</v>
      </c>
      <c r="AG50" s="66"/>
      <c r="AH50" s="65"/>
    </row>
    <row r="51" spans="3:34" x14ac:dyDescent="0.25">
      <c r="C51" s="1" t="s">
        <v>63</v>
      </c>
      <c r="D51" s="14">
        <v>532</v>
      </c>
      <c r="E51" s="14">
        <v>525</v>
      </c>
      <c r="F51" s="14">
        <v>526</v>
      </c>
      <c r="G51" s="14">
        <v>535</v>
      </c>
      <c r="H51" s="14">
        <v>537</v>
      </c>
      <c r="I51" s="14">
        <v>564</v>
      </c>
      <c r="J51" s="14">
        <v>547</v>
      </c>
      <c r="K51" s="14">
        <v>580</v>
      </c>
      <c r="L51" s="14">
        <v>570</v>
      </c>
      <c r="M51" s="14">
        <v>205</v>
      </c>
      <c r="N51" s="14">
        <v>211</v>
      </c>
      <c r="O51" s="14">
        <v>184</v>
      </c>
      <c r="P51" s="14">
        <v>176</v>
      </c>
      <c r="Q51" s="14">
        <v>65</v>
      </c>
      <c r="R51" s="14">
        <v>38</v>
      </c>
      <c r="S51" s="14">
        <v>36</v>
      </c>
      <c r="T51" s="14">
        <v>36</v>
      </c>
      <c r="U51" s="14">
        <v>37</v>
      </c>
      <c r="V51" s="14"/>
      <c r="W51" s="14"/>
      <c r="Z51" s="14">
        <v>849</v>
      </c>
      <c r="AA51" s="14">
        <v>480</v>
      </c>
      <c r="AB51" s="14">
        <v>520</v>
      </c>
      <c r="AC51" s="14">
        <v>535</v>
      </c>
      <c r="AD51" s="14">
        <v>580</v>
      </c>
      <c r="AE51" s="14">
        <v>184</v>
      </c>
      <c r="AF51" s="14">
        <v>36</v>
      </c>
    </row>
    <row r="52" spans="3:34" x14ac:dyDescent="0.25">
      <c r="C52" s="1" t="s">
        <v>64</v>
      </c>
      <c r="D52" s="14">
        <v>1369</v>
      </c>
      <c r="E52" s="14">
        <v>1957</v>
      </c>
      <c r="F52" s="14">
        <v>1868</v>
      </c>
      <c r="G52" s="14">
        <v>1796</v>
      </c>
      <c r="H52" s="14">
        <v>2002</v>
      </c>
      <c r="I52" s="14">
        <v>2039</v>
      </c>
      <c r="J52" s="14">
        <v>1955</v>
      </c>
      <c r="K52" s="14">
        <v>1944</v>
      </c>
      <c r="L52" s="14">
        <v>2010</v>
      </c>
      <c r="M52" s="14">
        <v>889</v>
      </c>
      <c r="N52" s="14">
        <v>881</v>
      </c>
      <c r="O52" s="14">
        <v>812</v>
      </c>
      <c r="P52" s="14">
        <v>787</v>
      </c>
      <c r="Q52" s="14">
        <v>598</v>
      </c>
      <c r="R52" s="14">
        <v>567</v>
      </c>
      <c r="S52" s="14">
        <v>529</v>
      </c>
      <c r="T52" s="14">
        <v>393</v>
      </c>
      <c r="U52" s="14">
        <v>359</v>
      </c>
      <c r="V52" s="14"/>
      <c r="W52" s="14"/>
      <c r="Z52" s="14">
        <v>2317</v>
      </c>
      <c r="AA52" s="14">
        <v>1620</v>
      </c>
      <c r="AB52" s="14">
        <v>1355</v>
      </c>
      <c r="AC52" s="14">
        <v>1796</v>
      </c>
      <c r="AD52" s="14">
        <v>1944</v>
      </c>
      <c r="AE52" s="14">
        <v>812</v>
      </c>
      <c r="AF52" s="14">
        <v>529</v>
      </c>
    </row>
    <row r="53" spans="3:34" x14ac:dyDescent="0.25">
      <c r="C53" s="1" t="s">
        <v>65</v>
      </c>
      <c r="D53" s="14">
        <v>33880</v>
      </c>
      <c r="E53" s="14">
        <v>29883</v>
      </c>
      <c r="F53" s="14">
        <v>27380</v>
      </c>
      <c r="G53" s="14">
        <v>23523</v>
      </c>
      <c r="H53" s="14">
        <v>26503</v>
      </c>
      <c r="I53" s="14">
        <v>25177</v>
      </c>
      <c r="J53" s="14">
        <v>37427</v>
      </c>
      <c r="K53" s="14">
        <v>37544</v>
      </c>
      <c r="L53" s="14">
        <v>932</v>
      </c>
      <c r="M53" s="14">
        <v>535</v>
      </c>
      <c r="N53" s="14">
        <v>482</v>
      </c>
      <c r="O53" s="14">
        <v>421</v>
      </c>
      <c r="P53" s="14">
        <v>408</v>
      </c>
      <c r="Q53" s="14">
        <v>384</v>
      </c>
      <c r="R53" s="14">
        <v>352</v>
      </c>
      <c r="S53" s="14">
        <v>286</v>
      </c>
      <c r="T53" s="14">
        <v>273</v>
      </c>
      <c r="U53" s="14">
        <v>245</v>
      </c>
      <c r="V53" s="14"/>
      <c r="W53" s="14"/>
      <c r="Z53" s="14">
        <v>4529</v>
      </c>
      <c r="AA53" s="14">
        <v>922</v>
      </c>
      <c r="AB53" s="14">
        <v>48520</v>
      </c>
      <c r="AC53" s="14">
        <v>23523</v>
      </c>
      <c r="AD53" s="14">
        <v>39721</v>
      </c>
      <c r="AE53" s="14">
        <v>421</v>
      </c>
      <c r="AF53" s="14">
        <v>286</v>
      </c>
    </row>
    <row r="54" spans="3:34" x14ac:dyDescent="0.25">
      <c r="C54" s="1" t="s">
        <v>66</v>
      </c>
      <c r="D54" s="14">
        <v>604</v>
      </c>
      <c r="E54" s="14">
        <v>579</v>
      </c>
      <c r="F54" s="14">
        <v>583</v>
      </c>
      <c r="G54" s="14">
        <v>584</v>
      </c>
      <c r="H54" s="14">
        <v>568</v>
      </c>
      <c r="I54" s="14">
        <v>540</v>
      </c>
      <c r="J54" s="14">
        <v>508</v>
      </c>
      <c r="K54" s="14">
        <v>540</v>
      </c>
      <c r="L54" s="14">
        <v>509</v>
      </c>
      <c r="M54" s="14">
        <v>299</v>
      </c>
      <c r="N54" s="14">
        <v>284</v>
      </c>
      <c r="O54" s="14">
        <v>252</v>
      </c>
      <c r="P54" s="14">
        <v>295</v>
      </c>
      <c r="Q54" s="14">
        <v>252</v>
      </c>
      <c r="R54" s="14">
        <v>260</v>
      </c>
      <c r="S54" s="14">
        <v>213</v>
      </c>
      <c r="T54" s="14">
        <v>218</v>
      </c>
      <c r="U54" s="14">
        <v>218</v>
      </c>
      <c r="V54" s="14"/>
      <c r="W54" s="14"/>
      <c r="Z54" s="14">
        <v>179</v>
      </c>
      <c r="AA54" s="14">
        <v>690</v>
      </c>
      <c r="AB54" s="14">
        <v>621</v>
      </c>
      <c r="AC54" s="14">
        <v>584</v>
      </c>
      <c r="AD54" s="14">
        <v>540</v>
      </c>
      <c r="AE54" s="14">
        <v>252</v>
      </c>
      <c r="AF54" s="14">
        <v>213</v>
      </c>
    </row>
    <row r="55" spans="3:34" x14ac:dyDescent="0.25">
      <c r="C55" s="1" t="s">
        <v>67</v>
      </c>
      <c r="D55" s="14">
        <v>963</v>
      </c>
      <c r="E55" s="14">
        <v>921</v>
      </c>
      <c r="F55" s="14">
        <v>908</v>
      </c>
      <c r="G55" s="14">
        <v>937</v>
      </c>
      <c r="H55" s="14">
        <v>897</v>
      </c>
      <c r="I55" s="14">
        <v>763</v>
      </c>
      <c r="J55" s="14">
        <v>760</v>
      </c>
      <c r="K55" s="14">
        <v>823</v>
      </c>
      <c r="L55" s="14">
        <v>776</v>
      </c>
      <c r="M55" s="14">
        <v>16469</v>
      </c>
      <c r="N55" s="14">
        <v>21284</v>
      </c>
      <c r="O55" s="14">
        <v>22365</v>
      </c>
      <c r="P55" s="14">
        <v>19931</v>
      </c>
      <c r="Q55" s="14">
        <v>20619</v>
      </c>
      <c r="R55" s="14">
        <v>19487</v>
      </c>
      <c r="S55" s="14">
        <v>16684</v>
      </c>
      <c r="T55" s="14">
        <v>7735</v>
      </c>
      <c r="U55" s="14">
        <v>7788</v>
      </c>
      <c r="V55" s="14"/>
      <c r="W55" s="14"/>
      <c r="Z55" s="14">
        <v>0</v>
      </c>
      <c r="AA55" s="14">
        <v>0</v>
      </c>
      <c r="AB55" s="14">
        <v>0</v>
      </c>
      <c r="AC55" s="14">
        <v>937</v>
      </c>
      <c r="AD55" s="14">
        <v>823</v>
      </c>
      <c r="AE55" s="14">
        <v>22365</v>
      </c>
      <c r="AF55" s="14">
        <v>16684</v>
      </c>
    </row>
    <row r="56" spans="3:34" x14ac:dyDescent="0.25">
      <c r="C56" s="1" t="s">
        <v>68</v>
      </c>
      <c r="D56" s="1">
        <v>0</v>
      </c>
      <c r="E56" s="14">
        <v>0</v>
      </c>
      <c r="F56" s="1">
        <v>0</v>
      </c>
      <c r="G56" s="1">
        <v>0</v>
      </c>
      <c r="H56" s="1">
        <v>0</v>
      </c>
      <c r="I56" s="14">
        <v>62</v>
      </c>
      <c r="J56" s="14">
        <v>58</v>
      </c>
      <c r="K56" s="14">
        <v>48</v>
      </c>
      <c r="L56" s="14">
        <v>43</v>
      </c>
      <c r="M56" s="14">
        <v>35</v>
      </c>
      <c r="N56" s="14">
        <v>24</v>
      </c>
      <c r="O56" s="14">
        <v>26</v>
      </c>
      <c r="P56" s="14">
        <v>24</v>
      </c>
      <c r="Q56" s="14">
        <v>66</v>
      </c>
      <c r="R56" s="14">
        <v>68</v>
      </c>
      <c r="S56" s="14">
        <v>87</v>
      </c>
      <c r="T56" s="14">
        <v>294</v>
      </c>
      <c r="U56" s="14">
        <v>417</v>
      </c>
      <c r="V56" s="14"/>
      <c r="W56" s="14"/>
      <c r="Z56" s="14">
        <v>241</v>
      </c>
      <c r="AA56" s="14">
        <v>101</v>
      </c>
      <c r="AB56" s="14">
        <v>736</v>
      </c>
      <c r="AC56" s="14">
        <v>48</v>
      </c>
      <c r="AD56" s="14">
        <v>871</v>
      </c>
      <c r="AE56" s="14">
        <v>26</v>
      </c>
      <c r="AF56" s="14">
        <v>87</v>
      </c>
    </row>
    <row r="57" spans="3:34" x14ac:dyDescent="0.25">
      <c r="C57" s="1" t="s">
        <v>69</v>
      </c>
      <c r="D57" s="14">
        <v>247</v>
      </c>
      <c r="E57" s="14">
        <v>254</v>
      </c>
      <c r="F57" s="14">
        <v>191</v>
      </c>
      <c r="G57" s="14">
        <v>167</v>
      </c>
      <c r="H57" s="14">
        <v>129</v>
      </c>
      <c r="I57" s="14">
        <v>156</v>
      </c>
      <c r="J57" s="14">
        <v>165</v>
      </c>
      <c r="K57" s="14">
        <v>145</v>
      </c>
      <c r="L57" s="14">
        <v>157</v>
      </c>
      <c r="M57" s="14">
        <v>115</v>
      </c>
      <c r="N57" s="14">
        <v>110</v>
      </c>
      <c r="O57" s="14">
        <v>103</v>
      </c>
      <c r="P57" s="14">
        <v>116</v>
      </c>
      <c r="Q57" s="14">
        <v>126</v>
      </c>
      <c r="R57" s="14">
        <v>117</v>
      </c>
      <c r="S57" s="14">
        <v>102</v>
      </c>
      <c r="T57" s="14">
        <v>99</v>
      </c>
      <c r="U57" s="14">
        <v>102</v>
      </c>
      <c r="V57" s="14"/>
      <c r="W57" s="14"/>
      <c r="Z57" s="14">
        <v>224</v>
      </c>
      <c r="AA57" s="14">
        <v>173</v>
      </c>
      <c r="AB57" s="14">
        <v>210</v>
      </c>
      <c r="AC57" s="14">
        <v>167</v>
      </c>
      <c r="AD57" s="14">
        <v>145</v>
      </c>
      <c r="AE57" s="14">
        <v>103</v>
      </c>
      <c r="AF57" s="14">
        <v>102</v>
      </c>
    </row>
    <row r="58" spans="3:34" x14ac:dyDescent="0.25">
      <c r="C58" s="1" t="s">
        <v>70</v>
      </c>
      <c r="D58" s="14">
        <v>1940</v>
      </c>
      <c r="E58" s="14">
        <v>1993</v>
      </c>
      <c r="F58" s="14">
        <v>2222</v>
      </c>
      <c r="G58" s="14">
        <v>2040</v>
      </c>
      <c r="H58" s="14">
        <v>2173</v>
      </c>
      <c r="I58" s="14">
        <v>2180</v>
      </c>
      <c r="J58" s="14">
        <v>3156</v>
      </c>
      <c r="K58" s="14">
        <v>2243</v>
      </c>
      <c r="L58" s="14">
        <v>2375</v>
      </c>
      <c r="M58" s="14">
        <v>1775</v>
      </c>
      <c r="N58" s="14">
        <v>1695</v>
      </c>
      <c r="O58" s="14">
        <v>1285</v>
      </c>
      <c r="P58" s="14">
        <v>1298</v>
      </c>
      <c r="Q58" s="14">
        <v>1017</v>
      </c>
      <c r="R58" s="14">
        <v>1074</v>
      </c>
      <c r="S58" s="14">
        <v>776</v>
      </c>
      <c r="T58" s="14">
        <v>991</v>
      </c>
      <c r="U58" s="14">
        <v>845</v>
      </c>
      <c r="V58" s="14"/>
      <c r="W58" s="14"/>
      <c r="Z58" s="14">
        <v>3047</v>
      </c>
      <c r="AA58" s="14">
        <v>1792</v>
      </c>
      <c r="AB58" s="14">
        <v>1806</v>
      </c>
      <c r="AC58" s="14">
        <v>2040</v>
      </c>
      <c r="AD58" s="14">
        <v>2243</v>
      </c>
      <c r="AE58" s="14">
        <v>1285</v>
      </c>
      <c r="AF58" s="14">
        <v>776</v>
      </c>
    </row>
    <row r="59" spans="3:34" x14ac:dyDescent="0.25">
      <c r="C59" s="1" t="s">
        <v>71</v>
      </c>
      <c r="D59" s="14">
        <v>1337</v>
      </c>
      <c r="E59" s="14">
        <v>293</v>
      </c>
      <c r="F59" s="14">
        <v>287</v>
      </c>
      <c r="G59" s="14">
        <v>3738</v>
      </c>
      <c r="H59" s="14">
        <v>2683</v>
      </c>
      <c r="I59" s="14">
        <v>1487</v>
      </c>
      <c r="J59" s="14">
        <v>1100</v>
      </c>
      <c r="K59" s="14">
        <v>1279</v>
      </c>
      <c r="L59" s="14">
        <v>263</v>
      </c>
      <c r="M59" s="14">
        <v>8932</v>
      </c>
      <c r="N59" s="14">
        <v>6406</v>
      </c>
      <c r="O59" s="14">
        <v>5545</v>
      </c>
      <c r="P59" s="14">
        <v>4334</v>
      </c>
      <c r="Q59" s="14">
        <v>2491</v>
      </c>
      <c r="R59" s="14">
        <v>2900</v>
      </c>
      <c r="S59" s="14">
        <v>2453</v>
      </c>
      <c r="T59" s="14">
        <v>5620</v>
      </c>
      <c r="U59" s="14">
        <v>4222</v>
      </c>
      <c r="V59" s="14"/>
      <c r="W59" s="14"/>
      <c r="Z59" s="14">
        <v>3866</v>
      </c>
      <c r="AA59" s="14">
        <v>1306</v>
      </c>
      <c r="AB59" s="14">
        <v>1108</v>
      </c>
      <c r="AC59" s="14">
        <v>3738</v>
      </c>
      <c r="AD59" s="14">
        <v>1279</v>
      </c>
      <c r="AE59" s="14">
        <v>5545</v>
      </c>
      <c r="AF59" s="14">
        <v>2453</v>
      </c>
    </row>
    <row r="60" spans="3:34" x14ac:dyDescent="0.25">
      <c r="C60" s="1" t="s">
        <v>72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16</v>
      </c>
      <c r="K60" s="14">
        <v>0</v>
      </c>
      <c r="L60" s="14">
        <v>37426</v>
      </c>
      <c r="M60" s="14">
        <v>0</v>
      </c>
      <c r="N60" s="14">
        <v>0</v>
      </c>
      <c r="O60" s="14">
        <v>1314</v>
      </c>
      <c r="P60" s="14">
        <v>1290</v>
      </c>
      <c r="Q60" s="14">
        <v>1807</v>
      </c>
      <c r="R60" s="14">
        <v>1816</v>
      </c>
      <c r="S60" s="14">
        <v>1896</v>
      </c>
      <c r="T60" s="14">
        <v>744</v>
      </c>
      <c r="U60" s="14">
        <v>703</v>
      </c>
      <c r="V60" s="14"/>
      <c r="W60" s="14"/>
      <c r="Z60" s="14">
        <v>157</v>
      </c>
      <c r="AA60" s="14">
        <v>35375</v>
      </c>
      <c r="AB60" s="14">
        <v>0</v>
      </c>
      <c r="AC60" s="14">
        <v>0</v>
      </c>
      <c r="AD60" s="14">
        <v>0</v>
      </c>
      <c r="AE60" s="14">
        <v>1314</v>
      </c>
      <c r="AF60" s="14">
        <v>1896</v>
      </c>
    </row>
    <row r="61" spans="3:34" x14ac:dyDescent="0.25">
      <c r="C61" s="2" t="s">
        <v>73</v>
      </c>
      <c r="D61" s="15">
        <f t="shared" ref="D61:N61" si="89">SUM(D50:D60)</f>
        <v>50245</v>
      </c>
      <c r="E61" s="15">
        <f t="shared" si="89"/>
        <v>46421</v>
      </c>
      <c r="F61" s="15">
        <f t="shared" si="89"/>
        <v>44190</v>
      </c>
      <c r="G61" s="15">
        <f t="shared" si="89"/>
        <v>43709</v>
      </c>
      <c r="H61" s="15">
        <f t="shared" si="89"/>
        <v>46571</v>
      </c>
      <c r="I61" s="15">
        <f t="shared" si="89"/>
        <v>44247</v>
      </c>
      <c r="J61" s="15">
        <f t="shared" si="89"/>
        <v>56660</v>
      </c>
      <c r="K61" s="15">
        <f t="shared" si="89"/>
        <v>56237</v>
      </c>
      <c r="L61" s="15">
        <f t="shared" si="89"/>
        <v>56554</v>
      </c>
      <c r="M61" s="15">
        <f t="shared" si="89"/>
        <v>38881</v>
      </c>
      <c r="N61" s="15">
        <f t="shared" si="89"/>
        <v>41241</v>
      </c>
      <c r="O61" s="15">
        <f>SUM(O50:O60)</f>
        <v>40098</v>
      </c>
      <c r="P61" s="15">
        <f>SUM(P50:P60)</f>
        <v>36322</v>
      </c>
      <c r="Q61" s="15">
        <f t="shared" ref="Q61:U61" si="90">SUM(Q50:Q60)</f>
        <v>35217</v>
      </c>
      <c r="R61" s="15">
        <f t="shared" si="90"/>
        <v>34420</v>
      </c>
      <c r="S61" s="15">
        <f t="shared" si="90"/>
        <v>30884</v>
      </c>
      <c r="T61" s="15">
        <f t="shared" si="90"/>
        <v>23873</v>
      </c>
      <c r="U61" s="15">
        <f t="shared" si="90"/>
        <v>22434</v>
      </c>
      <c r="V61" s="15"/>
      <c r="W61" s="15"/>
      <c r="X61" s="15"/>
      <c r="Z61" s="15">
        <f t="shared" ref="Z61:AF61" si="91">SUM(Z50:Z60)</f>
        <v>32778</v>
      </c>
      <c r="AA61" s="15">
        <f t="shared" si="91"/>
        <v>48477</v>
      </c>
      <c r="AB61" s="15">
        <f t="shared" si="91"/>
        <v>64189</v>
      </c>
      <c r="AC61" s="15">
        <f t="shared" si="91"/>
        <v>43757</v>
      </c>
      <c r="AD61" s="15">
        <f t="shared" si="91"/>
        <v>59237</v>
      </c>
      <c r="AE61" s="15">
        <f t="shared" si="91"/>
        <v>40098</v>
      </c>
      <c r="AF61" s="15">
        <f t="shared" si="91"/>
        <v>30884</v>
      </c>
    </row>
    <row r="62" spans="3:34" x14ac:dyDescent="0.25">
      <c r="C62" s="1" t="s">
        <v>74</v>
      </c>
      <c r="D62" s="14">
        <v>7061</v>
      </c>
      <c r="E62" s="14">
        <v>7068</v>
      </c>
      <c r="F62" s="14">
        <v>7080</v>
      </c>
      <c r="G62" s="14">
        <v>7095</v>
      </c>
      <c r="H62" s="14">
        <v>7092</v>
      </c>
      <c r="I62" s="14">
        <v>7113</v>
      </c>
      <c r="J62" s="14">
        <v>7135</v>
      </c>
      <c r="K62" s="14">
        <v>7160</v>
      </c>
      <c r="L62" s="14">
        <v>7144</v>
      </c>
      <c r="M62" s="14">
        <v>7162</v>
      </c>
      <c r="N62" s="14">
        <v>9685</v>
      </c>
      <c r="O62" s="14">
        <v>9691</v>
      </c>
      <c r="P62" s="14">
        <v>9660</v>
      </c>
      <c r="Q62" s="14">
        <v>9669</v>
      </c>
      <c r="R62" s="14">
        <v>9676</v>
      </c>
      <c r="S62" s="14">
        <v>9659</v>
      </c>
      <c r="T62" s="14">
        <v>9658</v>
      </c>
      <c r="U62" s="14">
        <v>9677</v>
      </c>
      <c r="V62" s="14"/>
      <c r="W62" s="14"/>
      <c r="Z62" s="14">
        <v>6967</v>
      </c>
      <c r="AA62" s="14">
        <v>7028</v>
      </c>
      <c r="AB62" s="14">
        <v>7060</v>
      </c>
      <c r="AC62" s="14">
        <v>7095</v>
      </c>
      <c r="AD62" s="14">
        <v>7160</v>
      </c>
      <c r="AE62" s="14">
        <v>9691</v>
      </c>
      <c r="AF62" s="14">
        <v>9659</v>
      </c>
    </row>
    <row r="63" spans="3:34" x14ac:dyDescent="0.25">
      <c r="C63" s="1" t="s">
        <v>75</v>
      </c>
      <c r="D63" s="14">
        <v>28010</v>
      </c>
      <c r="E63" s="14">
        <v>23930</v>
      </c>
      <c r="F63" s="14">
        <v>21526</v>
      </c>
      <c r="G63" s="14">
        <v>21410</v>
      </c>
      <c r="H63" s="14">
        <v>24506</v>
      </c>
      <c r="I63" s="14">
        <v>22251</v>
      </c>
      <c r="J63" s="14">
        <v>35103</v>
      </c>
      <c r="K63" s="14">
        <v>35124</v>
      </c>
      <c r="L63" s="14">
        <v>35872</v>
      </c>
      <c r="M63" s="14">
        <v>23249</v>
      </c>
      <c r="N63" s="14">
        <v>23842</v>
      </c>
      <c r="O63" s="14">
        <v>22794</v>
      </c>
      <c r="P63" s="14">
        <v>19255</v>
      </c>
      <c r="Q63" s="14">
        <v>18397</v>
      </c>
      <c r="R63" s="14">
        <v>17703</v>
      </c>
      <c r="S63" s="14">
        <v>14862</v>
      </c>
      <c r="T63" s="14">
        <v>8203</v>
      </c>
      <c r="U63" s="14">
        <v>6713</v>
      </c>
      <c r="V63" s="14"/>
      <c r="W63" s="14"/>
      <c r="Z63" s="14">
        <v>3531</v>
      </c>
      <c r="AA63" s="14">
        <v>3151</v>
      </c>
      <c r="AB63" s="14">
        <v>43271</v>
      </c>
      <c r="AC63" s="14">
        <v>21410</v>
      </c>
      <c r="AD63" s="14">
        <v>37301</v>
      </c>
      <c r="AE63" s="14">
        <v>22794</v>
      </c>
      <c r="AF63" s="14">
        <v>14862</v>
      </c>
    </row>
    <row r="64" spans="3:34" x14ac:dyDescent="0.25">
      <c r="C64" s="1" t="s">
        <v>76</v>
      </c>
      <c r="D64" s="14">
        <v>220</v>
      </c>
      <c r="E64" s="14">
        <v>161</v>
      </c>
      <c r="F64" s="14">
        <v>178</v>
      </c>
      <c r="G64" s="14">
        <v>161</v>
      </c>
      <c r="H64" s="14">
        <v>206</v>
      </c>
      <c r="I64" s="14">
        <v>112</v>
      </c>
      <c r="J64" s="14">
        <v>130</v>
      </c>
      <c r="K64" s="14">
        <v>142</v>
      </c>
      <c r="L64" s="14">
        <v>145</v>
      </c>
      <c r="M64" s="14">
        <v>16</v>
      </c>
      <c r="N64" s="14">
        <v>18</v>
      </c>
      <c r="O64" s="14">
        <v>19</v>
      </c>
      <c r="P64" s="14">
        <v>14</v>
      </c>
      <c r="Q64" s="14">
        <v>16</v>
      </c>
      <c r="R64" s="14">
        <v>15</v>
      </c>
      <c r="S64" s="14">
        <v>16</v>
      </c>
      <c r="T64" s="14">
        <v>11</v>
      </c>
      <c r="U64" s="14">
        <v>47</v>
      </c>
      <c r="V64" s="14"/>
      <c r="W64" s="14"/>
      <c r="Z64" s="14">
        <v>6383</v>
      </c>
      <c r="AA64" s="14">
        <v>5675</v>
      </c>
      <c r="AB64" s="14">
        <v>201</v>
      </c>
      <c r="AC64" s="14">
        <v>161</v>
      </c>
      <c r="AD64" s="14">
        <v>142</v>
      </c>
      <c r="AE64" s="14">
        <v>19</v>
      </c>
      <c r="AF64" s="14">
        <v>16</v>
      </c>
    </row>
    <row r="65" spans="3:32" x14ac:dyDescent="0.25">
      <c r="C65" s="12" t="s">
        <v>77</v>
      </c>
      <c r="D65" s="17">
        <f t="shared" ref="D65:N65" si="92">SUM(D62:D64)</f>
        <v>35291</v>
      </c>
      <c r="E65" s="17">
        <f t="shared" si="92"/>
        <v>31159</v>
      </c>
      <c r="F65" s="17">
        <f t="shared" si="92"/>
        <v>28784</v>
      </c>
      <c r="G65" s="17">
        <f t="shared" si="92"/>
        <v>28666</v>
      </c>
      <c r="H65" s="17">
        <f t="shared" si="92"/>
        <v>31804</v>
      </c>
      <c r="I65" s="17">
        <f t="shared" si="92"/>
        <v>29476</v>
      </c>
      <c r="J65" s="17">
        <f t="shared" si="92"/>
        <v>42368</v>
      </c>
      <c r="K65" s="17">
        <f t="shared" si="92"/>
        <v>42426</v>
      </c>
      <c r="L65" s="17">
        <f t="shared" si="92"/>
        <v>43161</v>
      </c>
      <c r="M65" s="17">
        <f t="shared" si="92"/>
        <v>30427</v>
      </c>
      <c r="N65" s="17">
        <f t="shared" si="92"/>
        <v>33545</v>
      </c>
      <c r="O65" s="17">
        <f>SUM(O62:O64)</f>
        <v>32504</v>
      </c>
      <c r="P65" s="17">
        <f>SUM(P62:P64)</f>
        <v>28929</v>
      </c>
      <c r="Q65" s="17">
        <f t="shared" ref="Q65:U65" si="93">SUM(Q62:Q64)</f>
        <v>28082</v>
      </c>
      <c r="R65" s="17">
        <f t="shared" si="93"/>
        <v>27394</v>
      </c>
      <c r="S65" s="17">
        <f t="shared" si="93"/>
        <v>24537</v>
      </c>
      <c r="T65" s="17">
        <f t="shared" si="93"/>
        <v>17872</v>
      </c>
      <c r="U65" s="17">
        <f t="shared" si="93"/>
        <v>16437</v>
      </c>
      <c r="V65" s="17"/>
      <c r="W65" s="17"/>
      <c r="X65" s="17"/>
      <c r="Z65" s="17">
        <f t="shared" ref="Z65:AF65" si="94">SUM(Z62:Z64)</f>
        <v>16881</v>
      </c>
      <c r="AA65" s="17">
        <f t="shared" si="94"/>
        <v>15854</v>
      </c>
      <c r="AB65" s="17">
        <f t="shared" si="94"/>
        <v>50532</v>
      </c>
      <c r="AC65" s="17">
        <f t="shared" si="94"/>
        <v>28666</v>
      </c>
      <c r="AD65" s="17">
        <f t="shared" si="94"/>
        <v>44603</v>
      </c>
      <c r="AE65" s="17">
        <f t="shared" si="94"/>
        <v>32504</v>
      </c>
      <c r="AF65" s="17">
        <f t="shared" si="94"/>
        <v>24537</v>
      </c>
    </row>
    <row r="66" spans="3:32" x14ac:dyDescent="0.25">
      <c r="C66" s="1" t="s">
        <v>78</v>
      </c>
      <c r="D66" s="14">
        <v>550</v>
      </c>
      <c r="E66" s="14">
        <v>580</v>
      </c>
      <c r="F66" s="14">
        <v>564</v>
      </c>
      <c r="G66" s="14">
        <v>502</v>
      </c>
      <c r="H66" s="14">
        <v>530</v>
      </c>
      <c r="I66" s="14">
        <v>535</v>
      </c>
      <c r="J66" s="14">
        <v>499</v>
      </c>
      <c r="K66" s="14">
        <v>417</v>
      </c>
      <c r="L66" s="14">
        <v>422</v>
      </c>
      <c r="M66" s="14">
        <v>404</v>
      </c>
      <c r="N66" s="14">
        <v>437</v>
      </c>
      <c r="O66" s="14">
        <v>426</v>
      </c>
      <c r="P66" s="14">
        <v>436</v>
      </c>
      <c r="Q66" s="14">
        <v>423</v>
      </c>
      <c r="R66" s="14">
        <v>412</v>
      </c>
      <c r="S66" s="14">
        <v>428</v>
      </c>
      <c r="T66" s="14">
        <v>405</v>
      </c>
      <c r="U66" s="14">
        <v>400</v>
      </c>
      <c r="V66" s="14"/>
      <c r="W66" s="14"/>
      <c r="Z66" s="14">
        <v>944</v>
      </c>
      <c r="AA66" s="14">
        <v>351</v>
      </c>
      <c r="AB66" s="14">
        <v>576</v>
      </c>
      <c r="AC66" s="14">
        <v>502</v>
      </c>
      <c r="AD66" s="14">
        <v>417</v>
      </c>
      <c r="AE66" s="14">
        <v>426</v>
      </c>
      <c r="AF66" s="14">
        <v>428</v>
      </c>
    </row>
    <row r="67" spans="3:32" x14ac:dyDescent="0.25">
      <c r="C67" s="1" t="s">
        <v>79</v>
      </c>
      <c r="D67" s="14">
        <v>1044</v>
      </c>
      <c r="E67" s="14">
        <v>1045</v>
      </c>
      <c r="F67" s="14">
        <v>1182</v>
      </c>
      <c r="G67" s="14">
        <v>1145</v>
      </c>
      <c r="H67" s="14">
        <v>1085</v>
      </c>
      <c r="I67" s="14">
        <v>1037</v>
      </c>
      <c r="J67" s="14">
        <v>1047</v>
      </c>
      <c r="K67" s="14">
        <v>1196</v>
      </c>
      <c r="L67" s="14">
        <v>1155</v>
      </c>
      <c r="M67" s="14">
        <v>471</v>
      </c>
      <c r="N67" s="14">
        <v>469</v>
      </c>
      <c r="O67" s="14">
        <v>456</v>
      </c>
      <c r="P67" s="14">
        <v>445</v>
      </c>
      <c r="Q67" s="14">
        <v>410</v>
      </c>
      <c r="R67" s="14">
        <v>410</v>
      </c>
      <c r="S67" s="14">
        <v>405</v>
      </c>
      <c r="T67" s="14">
        <v>405</v>
      </c>
      <c r="U67" s="14">
        <v>405</v>
      </c>
      <c r="V67" s="14"/>
      <c r="W67" s="14"/>
      <c r="Z67" s="14">
        <v>1095</v>
      </c>
      <c r="AA67" s="14">
        <v>1154</v>
      </c>
      <c r="AB67" s="14">
        <v>1090</v>
      </c>
      <c r="AC67" s="14">
        <v>1145</v>
      </c>
      <c r="AD67" s="14">
        <v>1196</v>
      </c>
      <c r="AE67" s="14">
        <v>454</v>
      </c>
      <c r="AF67" s="14">
        <v>405</v>
      </c>
    </row>
    <row r="68" spans="3:32" x14ac:dyDescent="0.25">
      <c r="C68" s="1" t="s">
        <v>80</v>
      </c>
      <c r="D68" s="14">
        <v>4587</v>
      </c>
      <c r="E68" s="14">
        <v>5657</v>
      </c>
      <c r="F68" s="14">
        <v>5670</v>
      </c>
      <c r="G68" s="14">
        <v>4630</v>
      </c>
      <c r="H68" s="14">
        <v>4142</v>
      </c>
      <c r="I68" s="14">
        <v>4906</v>
      </c>
      <c r="J68" s="14">
        <v>4906</v>
      </c>
      <c r="K68" s="14">
        <v>4872</v>
      </c>
      <c r="L68" s="14">
        <v>4876</v>
      </c>
      <c r="M68" s="14">
        <v>3022</v>
      </c>
      <c r="N68" s="14">
        <v>3016</v>
      </c>
      <c r="O68" s="14">
        <v>3018</v>
      </c>
      <c r="P68" s="14">
        <v>2947</v>
      </c>
      <c r="Q68" s="14">
        <v>2924</v>
      </c>
      <c r="R68" s="14">
        <v>2924</v>
      </c>
      <c r="S68" s="14">
        <v>1922</v>
      </c>
      <c r="T68" s="14">
        <v>1922</v>
      </c>
      <c r="U68" s="14">
        <v>1922</v>
      </c>
      <c r="V68" s="14"/>
      <c r="W68" s="14"/>
      <c r="Z68" s="14">
        <v>4729</v>
      </c>
      <c r="AA68" s="14">
        <v>3090</v>
      </c>
      <c r="AB68" s="14">
        <v>3592</v>
      </c>
      <c r="AC68" s="14">
        <v>4630</v>
      </c>
      <c r="AD68" s="14">
        <v>4872</v>
      </c>
      <c r="AE68" s="14">
        <v>3018</v>
      </c>
      <c r="AF68" s="14">
        <v>1922</v>
      </c>
    </row>
    <row r="69" spans="3:32" x14ac:dyDescent="0.25">
      <c r="C69" s="1" t="s">
        <v>81</v>
      </c>
      <c r="D69" s="14">
        <v>1244</v>
      </c>
      <c r="E69" s="14">
        <v>1874</v>
      </c>
      <c r="F69" s="14">
        <v>1809</v>
      </c>
      <c r="G69" s="14">
        <v>1755</v>
      </c>
      <c r="H69" s="14">
        <v>1941</v>
      </c>
      <c r="I69" s="14">
        <v>1977</v>
      </c>
      <c r="J69" s="14">
        <v>1894</v>
      </c>
      <c r="K69" s="14">
        <v>1868</v>
      </c>
      <c r="L69" s="14">
        <v>1881</v>
      </c>
      <c r="M69" s="14">
        <v>778</v>
      </c>
      <c r="N69" s="14">
        <v>763</v>
      </c>
      <c r="O69" s="14">
        <v>712</v>
      </c>
      <c r="P69" s="14">
        <v>688</v>
      </c>
      <c r="Q69" s="14">
        <v>515</v>
      </c>
      <c r="R69" s="14">
        <v>488</v>
      </c>
      <c r="S69" s="14">
        <v>469</v>
      </c>
      <c r="T69" s="14">
        <v>434</v>
      </c>
      <c r="U69" s="14">
        <v>406</v>
      </c>
      <c r="V69" s="14"/>
      <c r="W69" s="14"/>
      <c r="Z69" s="14">
        <v>2192</v>
      </c>
      <c r="AA69" s="14">
        <v>1503</v>
      </c>
      <c r="AB69" s="14">
        <v>1237</v>
      </c>
      <c r="AC69" s="14">
        <v>1755</v>
      </c>
      <c r="AD69" s="14">
        <v>1868</v>
      </c>
      <c r="AE69" s="14">
        <v>712</v>
      </c>
      <c r="AF69" s="14">
        <v>469</v>
      </c>
    </row>
    <row r="70" spans="3:32" x14ac:dyDescent="0.25">
      <c r="C70" s="1" t="s">
        <v>82</v>
      </c>
      <c r="D70" s="14">
        <v>511</v>
      </c>
      <c r="E70" s="14">
        <v>567</v>
      </c>
      <c r="F70" s="14">
        <v>544</v>
      </c>
      <c r="G70" s="14">
        <v>588</v>
      </c>
      <c r="H70" s="14">
        <v>610</v>
      </c>
      <c r="I70" s="14">
        <v>436</v>
      </c>
      <c r="J70" s="14">
        <v>427</v>
      </c>
      <c r="K70" s="14">
        <v>282</v>
      </c>
      <c r="L70" s="14">
        <v>381</v>
      </c>
      <c r="M70" s="14">
        <v>256</v>
      </c>
      <c r="N70" s="14">
        <v>262</v>
      </c>
      <c r="O70" s="14">
        <v>274</v>
      </c>
      <c r="P70" s="14">
        <v>177</v>
      </c>
      <c r="Q70" s="14">
        <v>206</v>
      </c>
      <c r="R70" s="14">
        <v>202</v>
      </c>
      <c r="S70" s="14">
        <v>197</v>
      </c>
      <c r="T70" s="14">
        <v>77</v>
      </c>
      <c r="U70" s="14">
        <v>55</v>
      </c>
      <c r="V70" s="14"/>
      <c r="W70" s="14"/>
      <c r="Z70" s="14">
        <v>355</v>
      </c>
      <c r="AA70" s="14">
        <v>317</v>
      </c>
      <c r="AB70" s="14">
        <v>340</v>
      </c>
      <c r="AC70" s="14">
        <v>588</v>
      </c>
      <c r="AD70" s="14">
        <v>282</v>
      </c>
      <c r="AE70" s="14">
        <v>274</v>
      </c>
      <c r="AF70" s="14">
        <v>197</v>
      </c>
    </row>
    <row r="71" spans="3:32" x14ac:dyDescent="0.25">
      <c r="C71" s="1" t="s">
        <v>83</v>
      </c>
      <c r="D71" s="14">
        <v>3271</v>
      </c>
      <c r="E71" s="14">
        <v>1674</v>
      </c>
      <c r="F71" s="14">
        <v>1679</v>
      </c>
      <c r="G71" s="14">
        <v>1724</v>
      </c>
      <c r="H71" s="14">
        <v>2005</v>
      </c>
      <c r="I71" s="14">
        <v>1233</v>
      </c>
      <c r="J71" s="14">
        <v>1229</v>
      </c>
      <c r="K71" s="14">
        <v>780</v>
      </c>
      <c r="L71" s="14">
        <v>284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322</v>
      </c>
      <c r="T71" s="14">
        <v>322</v>
      </c>
      <c r="U71" s="14">
        <v>322</v>
      </c>
      <c r="V71" s="14"/>
      <c r="W71" s="14"/>
      <c r="Z71" s="14">
        <v>1089</v>
      </c>
      <c r="AA71" s="14">
        <v>678</v>
      </c>
      <c r="AB71" s="14">
        <v>3274</v>
      </c>
      <c r="AC71" s="14">
        <v>1724</v>
      </c>
      <c r="AD71" s="14">
        <v>780</v>
      </c>
      <c r="AE71" s="14">
        <v>0</v>
      </c>
      <c r="AF71" s="14">
        <v>322</v>
      </c>
    </row>
    <row r="72" spans="3:32" x14ac:dyDescent="0.25">
      <c r="C72" s="1" t="s">
        <v>84</v>
      </c>
      <c r="D72" s="14">
        <v>141</v>
      </c>
      <c r="E72" s="14">
        <v>105</v>
      </c>
      <c r="F72" s="14">
        <v>169</v>
      </c>
      <c r="G72" s="14">
        <v>232</v>
      </c>
      <c r="H72" s="14">
        <v>151</v>
      </c>
      <c r="I72" s="14">
        <v>121</v>
      </c>
      <c r="J72" s="14">
        <v>108</v>
      </c>
      <c r="K72" s="14">
        <v>246</v>
      </c>
      <c r="L72" s="14">
        <v>164</v>
      </c>
      <c r="M72" s="14">
        <v>149</v>
      </c>
      <c r="N72" s="14">
        <v>152</v>
      </c>
      <c r="O72" s="14">
        <v>284</v>
      </c>
      <c r="P72" s="14">
        <v>269</v>
      </c>
      <c r="Q72" s="14">
        <v>212</v>
      </c>
      <c r="R72" s="14">
        <v>266</v>
      </c>
      <c r="S72" s="14">
        <v>233</v>
      </c>
      <c r="T72" s="14">
        <v>251</v>
      </c>
      <c r="U72" s="14">
        <v>312</v>
      </c>
      <c r="V72" s="14"/>
      <c r="W72" s="14"/>
      <c r="Z72" s="14">
        <v>234</v>
      </c>
      <c r="AA72" s="14">
        <v>74</v>
      </c>
      <c r="AB72" s="14">
        <v>154</v>
      </c>
      <c r="AC72" s="14">
        <v>232</v>
      </c>
      <c r="AD72" s="14">
        <v>246</v>
      </c>
      <c r="AE72" s="14">
        <v>284</v>
      </c>
      <c r="AF72" s="14">
        <v>233</v>
      </c>
    </row>
    <row r="73" spans="3:32" x14ac:dyDescent="0.25">
      <c r="C73" s="1" t="s">
        <v>85</v>
      </c>
      <c r="D73" s="14">
        <v>327</v>
      </c>
      <c r="E73" s="14">
        <v>306</v>
      </c>
      <c r="F73" s="14">
        <v>301</v>
      </c>
      <c r="G73" s="14">
        <v>325</v>
      </c>
      <c r="H73" s="14">
        <v>343</v>
      </c>
      <c r="I73" s="14">
        <v>334</v>
      </c>
      <c r="J73" s="14">
        <v>351</v>
      </c>
      <c r="K73" s="14">
        <v>368</v>
      </c>
      <c r="L73" s="14">
        <v>384</v>
      </c>
      <c r="M73" s="14">
        <v>165</v>
      </c>
      <c r="N73" s="14">
        <v>162</v>
      </c>
      <c r="O73" s="14">
        <v>150</v>
      </c>
      <c r="P73" s="14">
        <v>146</v>
      </c>
      <c r="Q73" s="14">
        <v>128</v>
      </c>
      <c r="R73" s="14">
        <v>129</v>
      </c>
      <c r="S73" s="14">
        <v>132</v>
      </c>
      <c r="T73" s="14">
        <v>128</v>
      </c>
      <c r="U73" s="14">
        <v>128</v>
      </c>
      <c r="V73" s="14"/>
      <c r="W73" s="14"/>
      <c r="Z73" s="14">
        <v>352</v>
      </c>
      <c r="AA73" s="14">
        <v>286</v>
      </c>
      <c r="AB73" s="14">
        <v>306</v>
      </c>
      <c r="AC73" s="14">
        <v>325</v>
      </c>
      <c r="AD73" s="14">
        <v>368</v>
      </c>
      <c r="AE73" s="14">
        <v>150</v>
      </c>
      <c r="AF73" s="14">
        <v>132</v>
      </c>
    </row>
    <row r="74" spans="3:32" x14ac:dyDescent="0.25">
      <c r="C74" s="1" t="s">
        <v>86</v>
      </c>
      <c r="D74" s="14">
        <v>618</v>
      </c>
      <c r="E74" s="14">
        <v>628</v>
      </c>
      <c r="F74" s="14">
        <v>611</v>
      </c>
      <c r="G74" s="14">
        <v>574</v>
      </c>
      <c r="H74" s="14">
        <v>689</v>
      </c>
      <c r="I74" s="14">
        <v>651</v>
      </c>
      <c r="J74" s="14">
        <v>620</v>
      </c>
      <c r="K74" s="14">
        <v>632</v>
      </c>
      <c r="L74" s="14">
        <v>675</v>
      </c>
      <c r="M74" s="14">
        <v>194</v>
      </c>
      <c r="N74" s="14">
        <v>188</v>
      </c>
      <c r="O74" s="14">
        <v>99</v>
      </c>
      <c r="P74" s="14">
        <v>113</v>
      </c>
      <c r="Q74" s="14">
        <v>108</v>
      </c>
      <c r="R74" s="14">
        <v>108</v>
      </c>
      <c r="S74" s="14">
        <v>81</v>
      </c>
      <c r="T74" s="14">
        <v>107</v>
      </c>
      <c r="U74" s="14">
        <v>103</v>
      </c>
      <c r="V74" s="14"/>
      <c r="W74" s="14"/>
      <c r="Z74" s="14">
        <v>1109</v>
      </c>
      <c r="AA74" s="14">
        <v>600</v>
      </c>
      <c r="AB74" s="14">
        <v>553</v>
      </c>
      <c r="AC74" s="14">
        <v>574</v>
      </c>
      <c r="AD74" s="14">
        <v>632</v>
      </c>
      <c r="AE74" s="14">
        <v>99</v>
      </c>
      <c r="AF74" s="14">
        <v>81</v>
      </c>
    </row>
    <row r="75" spans="3:32" x14ac:dyDescent="0.25">
      <c r="C75" s="1" t="s">
        <v>87</v>
      </c>
      <c r="D75" s="14">
        <v>2662</v>
      </c>
      <c r="E75" s="14">
        <v>2826</v>
      </c>
      <c r="F75" s="14">
        <v>2879</v>
      </c>
      <c r="G75" s="14">
        <v>3567</v>
      </c>
      <c r="H75" s="14">
        <v>3268</v>
      </c>
      <c r="I75" s="14">
        <v>3539</v>
      </c>
      <c r="J75" s="14">
        <v>3191</v>
      </c>
      <c r="K75" s="14">
        <v>3149</v>
      </c>
      <c r="L75" s="14">
        <v>3171</v>
      </c>
      <c r="M75" s="14">
        <v>3013</v>
      </c>
      <c r="N75" s="14">
        <v>2245</v>
      </c>
      <c r="O75" s="14">
        <v>1768</v>
      </c>
      <c r="P75" s="14">
        <v>1788</v>
      </c>
      <c r="Q75" s="14">
        <v>1325</v>
      </c>
      <c r="R75" s="14">
        <v>1240</v>
      </c>
      <c r="S75" s="14">
        <v>1125</v>
      </c>
      <c r="T75" s="14">
        <v>1328</v>
      </c>
      <c r="U75" s="14">
        <v>1339</v>
      </c>
      <c r="V75" s="14"/>
      <c r="W75" s="14"/>
      <c r="Z75" s="14">
        <v>3660</v>
      </c>
      <c r="AA75" s="14">
        <v>2537</v>
      </c>
      <c r="AB75" s="14">
        <v>2534</v>
      </c>
      <c r="AC75" s="14">
        <v>3567</v>
      </c>
      <c r="AD75" s="14">
        <v>3149</v>
      </c>
      <c r="AE75" s="14">
        <v>1768</v>
      </c>
      <c r="AF75" s="14">
        <v>1125</v>
      </c>
    </row>
    <row r="76" spans="3:32" x14ac:dyDescent="0.25">
      <c r="C76" s="1" t="s">
        <v>88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21</v>
      </c>
      <c r="K76" s="14">
        <v>0</v>
      </c>
      <c r="L76" s="14">
        <v>0</v>
      </c>
      <c r="M76" s="14">
        <v>0</v>
      </c>
      <c r="N76" s="14">
        <v>0</v>
      </c>
      <c r="O76" s="14">
        <v>408</v>
      </c>
      <c r="P76" s="14">
        <v>385</v>
      </c>
      <c r="Q76" s="14">
        <v>882</v>
      </c>
      <c r="R76" s="14">
        <v>846</v>
      </c>
      <c r="S76" s="14">
        <v>1035</v>
      </c>
      <c r="T76" s="14">
        <v>624</v>
      </c>
      <c r="U76" s="14">
        <v>603</v>
      </c>
      <c r="V76" s="14"/>
      <c r="W76" s="14"/>
      <c r="Z76" s="14">
        <v>138</v>
      </c>
      <c r="AA76" s="14">
        <v>22034</v>
      </c>
      <c r="AB76" s="14">
        <v>0</v>
      </c>
      <c r="AC76" s="14">
        <v>0</v>
      </c>
      <c r="AD76" s="14">
        <v>0</v>
      </c>
      <c r="AE76" s="14">
        <v>408</v>
      </c>
      <c r="AF76" s="14">
        <v>1035</v>
      </c>
    </row>
    <row r="77" spans="3:32" x14ac:dyDescent="0.25">
      <c r="C77" s="12" t="s">
        <v>89</v>
      </c>
      <c r="D77" s="17">
        <f t="shared" ref="D77:N77" si="95">SUM(D66:D76)</f>
        <v>14955</v>
      </c>
      <c r="E77" s="17">
        <f t="shared" si="95"/>
        <v>15262</v>
      </c>
      <c r="F77" s="17">
        <f t="shared" si="95"/>
        <v>15408</v>
      </c>
      <c r="G77" s="17">
        <f t="shared" si="95"/>
        <v>15042</v>
      </c>
      <c r="H77" s="17">
        <f t="shared" si="95"/>
        <v>14764</v>
      </c>
      <c r="I77" s="17">
        <f t="shared" si="95"/>
        <v>14769</v>
      </c>
      <c r="J77" s="17">
        <f t="shared" si="95"/>
        <v>14293</v>
      </c>
      <c r="K77" s="17">
        <f t="shared" si="95"/>
        <v>13810</v>
      </c>
      <c r="L77" s="17">
        <f t="shared" si="95"/>
        <v>13393</v>
      </c>
      <c r="M77" s="17">
        <f t="shared" si="95"/>
        <v>8452</v>
      </c>
      <c r="N77" s="17">
        <f t="shared" si="95"/>
        <v>7694</v>
      </c>
      <c r="O77" s="17">
        <f>SUM(O66:O76)</f>
        <v>7595</v>
      </c>
      <c r="P77" s="17">
        <f>SUM(P66:P76)</f>
        <v>7394</v>
      </c>
      <c r="Q77" s="17">
        <f t="shared" ref="Q77:S77" si="96">SUM(Q66:Q76)</f>
        <v>7133</v>
      </c>
      <c r="R77" s="17">
        <f>SUM(R66:R76)</f>
        <v>7025</v>
      </c>
      <c r="S77" s="17">
        <f t="shared" si="96"/>
        <v>6349</v>
      </c>
      <c r="T77" s="17">
        <f t="shared" ref="T77:U77" si="97">SUM(T66:T76)</f>
        <v>6003</v>
      </c>
      <c r="U77" s="17">
        <f t="shared" si="97"/>
        <v>5995</v>
      </c>
      <c r="V77" s="17"/>
      <c r="W77" s="17"/>
      <c r="X77" s="17"/>
      <c r="Z77" s="17">
        <f t="shared" ref="Z77:AF77" si="98">SUM(Z66:Z76)</f>
        <v>15897</v>
      </c>
      <c r="AA77" s="17">
        <f t="shared" si="98"/>
        <v>32624</v>
      </c>
      <c r="AB77" s="17">
        <f t="shared" si="98"/>
        <v>13656</v>
      </c>
      <c r="AC77" s="17">
        <f t="shared" si="98"/>
        <v>15042</v>
      </c>
      <c r="AD77" s="17">
        <f t="shared" si="98"/>
        <v>13810</v>
      </c>
      <c r="AE77" s="17">
        <f t="shared" si="98"/>
        <v>7593</v>
      </c>
      <c r="AF77" s="17">
        <f t="shared" si="98"/>
        <v>6349</v>
      </c>
    </row>
    <row r="78" spans="3:32" x14ac:dyDescent="0.25">
      <c r="C78" s="2" t="s">
        <v>90</v>
      </c>
      <c r="D78" s="15">
        <f t="shared" ref="D78:N78" si="99">D65+D77</f>
        <v>50246</v>
      </c>
      <c r="E78" s="15">
        <f t="shared" si="99"/>
        <v>46421</v>
      </c>
      <c r="F78" s="15">
        <f t="shared" si="99"/>
        <v>44192</v>
      </c>
      <c r="G78" s="15">
        <f t="shared" si="99"/>
        <v>43708</v>
      </c>
      <c r="H78" s="15">
        <f t="shared" si="99"/>
        <v>46568</v>
      </c>
      <c r="I78" s="15">
        <f t="shared" si="99"/>
        <v>44245</v>
      </c>
      <c r="J78" s="15">
        <f t="shared" si="99"/>
        <v>56661</v>
      </c>
      <c r="K78" s="15">
        <f t="shared" si="99"/>
        <v>56236</v>
      </c>
      <c r="L78" s="15">
        <f t="shared" si="99"/>
        <v>56554</v>
      </c>
      <c r="M78" s="15">
        <f t="shared" si="99"/>
        <v>38879</v>
      </c>
      <c r="N78" s="15">
        <f t="shared" si="99"/>
        <v>41239</v>
      </c>
      <c r="O78" s="15">
        <f>O65+O77</f>
        <v>40099</v>
      </c>
      <c r="P78" s="15">
        <f>P65+P77</f>
        <v>36323</v>
      </c>
      <c r="Q78" s="15">
        <f t="shared" ref="Q78:S78" si="100">Q65+Q77</f>
        <v>35215</v>
      </c>
      <c r="R78" s="15">
        <f t="shared" si="100"/>
        <v>34419</v>
      </c>
      <c r="S78" s="15">
        <f t="shared" si="100"/>
        <v>30886</v>
      </c>
      <c r="T78" s="15">
        <f t="shared" ref="T78:U78" si="101">T65+T77</f>
        <v>23875</v>
      </c>
      <c r="U78" s="15">
        <f t="shared" si="101"/>
        <v>22432</v>
      </c>
      <c r="V78" s="15"/>
      <c r="W78" s="15"/>
      <c r="X78" s="15"/>
      <c r="Z78" s="15">
        <f t="shared" ref="Z78:AF78" si="102">Z65+Z77</f>
        <v>32778</v>
      </c>
      <c r="AA78" s="15">
        <f t="shared" si="102"/>
        <v>48478</v>
      </c>
      <c r="AB78" s="15">
        <f t="shared" si="102"/>
        <v>64188</v>
      </c>
      <c r="AC78" s="15">
        <f t="shared" si="102"/>
        <v>43708</v>
      </c>
      <c r="AD78" s="15">
        <f t="shared" si="102"/>
        <v>58413</v>
      </c>
      <c r="AE78" s="15">
        <f t="shared" si="102"/>
        <v>40097</v>
      </c>
      <c r="AF78" s="15">
        <f t="shared" si="102"/>
        <v>30886</v>
      </c>
    </row>
    <row r="79" spans="3:32" x14ac:dyDescent="0.25">
      <c r="O79" s="14"/>
      <c r="Q79" s="14"/>
      <c r="R79" s="14"/>
      <c r="S79" s="14"/>
    </row>
    <row r="80" spans="3:32" x14ac:dyDescent="0.25">
      <c r="C80" s="3" t="s">
        <v>334</v>
      </c>
      <c r="O80" s="14"/>
      <c r="Q80" s="14"/>
      <c r="R80" s="14"/>
      <c r="S80" s="14"/>
    </row>
    <row r="81" spans="3:32" x14ac:dyDescent="0.25">
      <c r="C81" s="1" t="s">
        <v>103</v>
      </c>
      <c r="D81" s="14">
        <f t="shared" ref="D81:U81" si="103">D28</f>
        <v>-13489</v>
      </c>
      <c r="E81" s="14">
        <f t="shared" si="103"/>
        <v>-6351</v>
      </c>
      <c r="F81" s="14">
        <f t="shared" si="103"/>
        <v>-3062</v>
      </c>
      <c r="G81" s="14">
        <f t="shared" si="103"/>
        <v>559</v>
      </c>
      <c r="H81" s="14">
        <f t="shared" si="103"/>
        <v>2197</v>
      </c>
      <c r="I81" s="14">
        <f t="shared" si="103"/>
        <v>3</v>
      </c>
      <c r="J81" s="14">
        <f t="shared" si="103"/>
        <v>1494</v>
      </c>
      <c r="K81" s="14">
        <f t="shared" si="103"/>
        <v>102</v>
      </c>
      <c r="L81" s="14">
        <f t="shared" si="103"/>
        <v>-83</v>
      </c>
      <c r="M81" s="14">
        <f t="shared" si="103"/>
        <v>185</v>
      </c>
      <c r="N81" s="14">
        <f t="shared" si="103"/>
        <v>5139</v>
      </c>
      <c r="O81" s="14">
        <f t="shared" si="103"/>
        <v>-349</v>
      </c>
      <c r="P81" s="14">
        <f t="shared" si="103"/>
        <v>-2262</v>
      </c>
      <c r="Q81" s="14">
        <f t="shared" si="103"/>
        <v>4912</v>
      </c>
      <c r="R81" s="14">
        <f t="shared" si="103"/>
        <v>-636</v>
      </c>
      <c r="S81" s="14">
        <f t="shared" si="103"/>
        <v>-2452</v>
      </c>
      <c r="T81" s="14">
        <f t="shared" si="103"/>
        <v>-5467</v>
      </c>
      <c r="U81" s="14">
        <f t="shared" si="103"/>
        <v>515</v>
      </c>
      <c r="V81" s="14"/>
      <c r="W81" s="14"/>
      <c r="X81" s="14"/>
      <c r="Y81" s="14"/>
      <c r="Z81" s="14">
        <f t="shared" ref="Z81:AF81" si="104">Z28</f>
        <v>830</v>
      </c>
      <c r="AA81" s="14">
        <f t="shared" si="104"/>
        <v>942</v>
      </c>
      <c r="AB81" s="14">
        <f t="shared" si="104"/>
        <v>-18618</v>
      </c>
      <c r="AC81" s="14">
        <f t="shared" si="104"/>
        <v>-22244</v>
      </c>
      <c r="AD81" s="14">
        <f t="shared" si="104"/>
        <v>1839</v>
      </c>
      <c r="AE81" s="14">
        <f t="shared" si="104"/>
        <v>4800</v>
      </c>
      <c r="AF81" s="14">
        <f t="shared" si="104"/>
        <v>-396</v>
      </c>
    </row>
    <row r="82" spans="3:32" x14ac:dyDescent="0.25">
      <c r="C82" s="1" t="s">
        <v>104</v>
      </c>
      <c r="D82" s="14">
        <v>-13391</v>
      </c>
      <c r="E82" s="14">
        <v>-6350</v>
      </c>
      <c r="F82" s="14">
        <v>-3062</v>
      </c>
      <c r="G82" s="14">
        <v>559</v>
      </c>
      <c r="H82" s="14">
        <v>2179</v>
      </c>
      <c r="I82" s="14">
        <v>2</v>
      </c>
      <c r="J82" s="14">
        <v>1495</v>
      </c>
      <c r="K82" s="14">
        <v>103</v>
      </c>
      <c r="L82" s="14">
        <v>-83</v>
      </c>
      <c r="M82" s="14">
        <v>186</v>
      </c>
      <c r="N82" s="14">
        <v>5141</v>
      </c>
      <c r="O82" s="14">
        <v>-348</v>
      </c>
      <c r="P82" s="14">
        <v>-2263</v>
      </c>
      <c r="Q82" s="14">
        <v>4911</v>
      </c>
      <c r="R82" s="14">
        <v>-635</v>
      </c>
      <c r="S82" s="14">
        <v>-2452</v>
      </c>
      <c r="T82" s="14">
        <v>-5467</v>
      </c>
      <c r="U82" s="14">
        <v>516</v>
      </c>
      <c r="V82" s="14"/>
      <c r="W82" s="14"/>
      <c r="X82" s="14"/>
      <c r="Y82" s="14"/>
      <c r="Z82" s="14">
        <v>829</v>
      </c>
      <c r="AA82" s="14">
        <v>941</v>
      </c>
      <c r="AB82" s="14">
        <v>-18618</v>
      </c>
      <c r="AC82" s="14">
        <v>-22244</v>
      </c>
      <c r="AD82" s="14">
        <v>1837</v>
      </c>
      <c r="AE82" s="14">
        <v>4800</v>
      </c>
      <c r="AF82" s="14">
        <v>-396</v>
      </c>
    </row>
    <row r="83" spans="3:32" x14ac:dyDescent="0.25">
      <c r="C83" s="1" t="s">
        <v>105</v>
      </c>
      <c r="D83" s="14">
        <v>0</v>
      </c>
      <c r="E83" s="14">
        <v>0</v>
      </c>
      <c r="F83" s="14">
        <v>0</v>
      </c>
      <c r="G83" s="1">
        <v>0</v>
      </c>
      <c r="H83" s="14">
        <v>0</v>
      </c>
      <c r="I83" s="14">
        <v>-1871</v>
      </c>
      <c r="J83" s="14">
        <v>13058</v>
      </c>
      <c r="K83" s="14">
        <v>1907</v>
      </c>
      <c r="L83" s="14">
        <v>-664</v>
      </c>
      <c r="M83" s="14">
        <v>6603</v>
      </c>
      <c r="N83" s="14">
        <v>69</v>
      </c>
      <c r="O83" s="14">
        <v>67</v>
      </c>
      <c r="P83" s="14">
        <v>47</v>
      </c>
      <c r="Q83" s="14">
        <v>337</v>
      </c>
      <c r="R83" s="14">
        <v>129</v>
      </c>
      <c r="S83" s="14">
        <v>54</v>
      </c>
      <c r="T83" s="14">
        <v>805</v>
      </c>
      <c r="U83" s="14">
        <v>17</v>
      </c>
      <c r="V83" s="14"/>
      <c r="W83" s="14"/>
      <c r="X83" s="14"/>
      <c r="Y83" s="14"/>
      <c r="Z83" s="14">
        <v>1119</v>
      </c>
      <c r="AA83" s="14">
        <v>154</v>
      </c>
      <c r="AB83" s="14">
        <v>-134</v>
      </c>
      <c r="AC83" s="14">
        <v>0</v>
      </c>
      <c r="AD83" s="14">
        <v>12639</v>
      </c>
      <c r="AE83" s="14">
        <v>8354</v>
      </c>
      <c r="AF83" s="14">
        <v>503</v>
      </c>
    </row>
    <row r="84" spans="3:32" x14ac:dyDescent="0.25">
      <c r="C84" s="1" t="s">
        <v>106</v>
      </c>
      <c r="D84" s="14">
        <v>13796</v>
      </c>
      <c r="E84" s="14">
        <v>6847</v>
      </c>
      <c r="F84" s="14">
        <v>3436</v>
      </c>
      <c r="G84" s="14">
        <v>-108</v>
      </c>
      <c r="H84" s="14">
        <v>-6959</v>
      </c>
      <c r="I84" s="14">
        <v>1082</v>
      </c>
      <c r="J84" s="14">
        <v>-12702</v>
      </c>
      <c r="K84" s="14">
        <v>-1893</v>
      </c>
      <c r="L84" s="14">
        <v>364</v>
      </c>
      <c r="M84" s="14">
        <v>259</v>
      </c>
      <c r="N84" s="14">
        <v>282</v>
      </c>
      <c r="O84" s="14">
        <v>1584</v>
      </c>
      <c r="P84" s="14">
        <v>171</v>
      </c>
      <c r="Q84" s="14">
        <v>151</v>
      </c>
      <c r="R84" s="14">
        <v>152</v>
      </c>
      <c r="S84" s="14">
        <v>203</v>
      </c>
      <c r="T84" s="14">
        <v>146</v>
      </c>
      <c r="U84" s="14">
        <v>140</v>
      </c>
      <c r="V84" s="14"/>
      <c r="W84" s="14"/>
      <c r="X84" s="14"/>
      <c r="Y84" s="14"/>
      <c r="Z84" s="14">
        <v>1537</v>
      </c>
      <c r="AA84" s="14">
        <v>1226</v>
      </c>
      <c r="AB84" s="14">
        <v>21103</v>
      </c>
      <c r="AC84" s="14">
        <v>23971</v>
      </c>
      <c r="AD84" s="14">
        <v>-13175</v>
      </c>
      <c r="AE84" s="14">
        <v>2489</v>
      </c>
      <c r="AF84" s="14">
        <v>700</v>
      </c>
    </row>
    <row r="85" spans="3:32" x14ac:dyDescent="0.25">
      <c r="C85" s="1" t="s">
        <v>107</v>
      </c>
      <c r="D85" s="14">
        <v>55</v>
      </c>
      <c r="E85" s="14">
        <v>65</v>
      </c>
      <c r="F85" s="14">
        <v>71</v>
      </c>
      <c r="G85" s="14">
        <v>76</v>
      </c>
      <c r="H85" s="14">
        <v>68</v>
      </c>
      <c r="I85" s="14">
        <v>88</v>
      </c>
      <c r="J85" s="14">
        <v>97</v>
      </c>
      <c r="K85" s="14">
        <v>105</v>
      </c>
      <c r="L85" s="14">
        <v>95</v>
      </c>
      <c r="M85" s="14">
        <v>34</v>
      </c>
      <c r="N85" s="14">
        <v>-33</v>
      </c>
      <c r="O85" s="14">
        <v>-9</v>
      </c>
      <c r="P85" s="14">
        <v>1</v>
      </c>
      <c r="Q85" s="14">
        <v>5</v>
      </c>
      <c r="R85" s="14">
        <v>28</v>
      </c>
      <c r="S85" s="14">
        <v>25</v>
      </c>
      <c r="T85" s="14">
        <v>22</v>
      </c>
      <c r="U85" s="14">
        <v>17</v>
      </c>
      <c r="V85" s="14"/>
      <c r="W85" s="14"/>
      <c r="X85" s="14"/>
      <c r="Y85" s="14"/>
      <c r="Z85" s="14">
        <v>-84</v>
      </c>
      <c r="AA85" s="1">
        <v>0</v>
      </c>
      <c r="AB85" s="14">
        <v>347</v>
      </c>
      <c r="AC85" s="14">
        <v>267</v>
      </c>
      <c r="AD85" s="14">
        <v>358</v>
      </c>
      <c r="AE85" s="14">
        <v>87</v>
      </c>
      <c r="AF85" s="14">
        <v>60</v>
      </c>
    </row>
    <row r="86" spans="3:32" x14ac:dyDescent="0.25">
      <c r="C86" s="1" t="s">
        <v>108</v>
      </c>
      <c r="D86" s="14">
        <v>-47</v>
      </c>
      <c r="E86" s="14">
        <v>2</v>
      </c>
      <c r="F86" s="14">
        <v>12</v>
      </c>
      <c r="G86" s="14">
        <v>11</v>
      </c>
      <c r="H86" s="1">
        <v>-59</v>
      </c>
      <c r="I86" s="14">
        <v>-48</v>
      </c>
      <c r="J86" s="14">
        <v>10</v>
      </c>
      <c r="K86" s="14">
        <v>10</v>
      </c>
      <c r="L86" s="14">
        <v>-50</v>
      </c>
      <c r="M86" s="14">
        <v>-28</v>
      </c>
      <c r="N86" s="14">
        <v>-5</v>
      </c>
      <c r="O86" s="14">
        <v>10</v>
      </c>
      <c r="P86" s="14">
        <v>-13</v>
      </c>
      <c r="Q86" s="14">
        <v>-2</v>
      </c>
      <c r="R86" s="14">
        <v>-5</v>
      </c>
      <c r="S86" s="14">
        <v>-7</v>
      </c>
      <c r="T86" s="14">
        <v>-7</v>
      </c>
      <c r="U86" s="14">
        <v>0</v>
      </c>
      <c r="V86" s="14"/>
      <c r="W86" s="14"/>
      <c r="X86" s="14"/>
      <c r="Y86" s="14"/>
      <c r="Z86" s="14">
        <f>-1+41</f>
        <v>40</v>
      </c>
      <c r="AA86" s="14">
        <v>-7</v>
      </c>
      <c r="AB86" s="14">
        <v>-85</v>
      </c>
      <c r="AC86" s="14">
        <v>-22</v>
      </c>
      <c r="AD86" s="14">
        <v>-88</v>
      </c>
      <c r="AE86" s="14">
        <v>-73</v>
      </c>
      <c r="AF86" s="14">
        <v>-27</v>
      </c>
    </row>
    <row r="87" spans="3:32" x14ac:dyDescent="0.25">
      <c r="C87" s="1" t="s">
        <v>109</v>
      </c>
      <c r="D87" s="14">
        <v>53</v>
      </c>
      <c r="E87" s="14">
        <v>-11</v>
      </c>
      <c r="F87" s="14">
        <v>170</v>
      </c>
      <c r="G87" s="14">
        <v>270</v>
      </c>
      <c r="H87" s="14">
        <v>5295</v>
      </c>
      <c r="I87" s="14">
        <v>1090</v>
      </c>
      <c r="J87" s="14">
        <v>-45</v>
      </c>
      <c r="K87" s="14">
        <v>347</v>
      </c>
      <c r="L87" s="14">
        <v>586</v>
      </c>
      <c r="M87" s="14">
        <v>19</v>
      </c>
      <c r="N87" s="14">
        <v>13</v>
      </c>
      <c r="O87" s="14">
        <v>28</v>
      </c>
      <c r="P87" s="14">
        <v>15</v>
      </c>
      <c r="Q87" s="14">
        <v>6</v>
      </c>
      <c r="R87" s="14">
        <v>10</v>
      </c>
      <c r="S87" s="14">
        <v>11</v>
      </c>
      <c r="T87" s="14">
        <v>11</v>
      </c>
      <c r="U87" s="14">
        <v>4</v>
      </c>
      <c r="V87" s="14"/>
      <c r="W87" s="14"/>
      <c r="X87" s="14"/>
      <c r="Y87" s="14"/>
      <c r="Z87" s="1">
        <v>0</v>
      </c>
      <c r="AA87" s="14">
        <f>29+23</f>
        <v>52</v>
      </c>
      <c r="AB87" s="14">
        <v>193</v>
      </c>
      <c r="AC87" s="14">
        <v>482</v>
      </c>
      <c r="AD87" s="14">
        <v>1789</v>
      </c>
      <c r="AE87" s="14">
        <v>646</v>
      </c>
      <c r="AF87" s="14">
        <v>41</v>
      </c>
    </row>
    <row r="88" spans="3:32" x14ac:dyDescent="0.25">
      <c r="C88" s="1" t="s">
        <v>110</v>
      </c>
      <c r="D88" s="14">
        <v>2</v>
      </c>
      <c r="E88" s="14">
        <f>55+2</f>
        <v>57</v>
      </c>
      <c r="F88" s="14">
        <v>3</v>
      </c>
      <c r="G88" s="14">
        <v>16</v>
      </c>
      <c r="H88" s="14">
        <v>31</v>
      </c>
      <c r="I88" s="14">
        <f>25+29</f>
        <v>54</v>
      </c>
      <c r="J88" s="14">
        <v>26</v>
      </c>
      <c r="K88" s="14">
        <v>18</v>
      </c>
      <c r="L88" s="14">
        <v>14</v>
      </c>
      <c r="M88" s="14">
        <v>61</v>
      </c>
      <c r="N88" s="14">
        <v>89</v>
      </c>
      <c r="O88" s="14">
        <v>70</v>
      </c>
      <c r="P88" s="14">
        <v>53</v>
      </c>
      <c r="Q88" s="14">
        <v>46</v>
      </c>
      <c r="R88" s="14">
        <v>26</v>
      </c>
      <c r="S88" s="14">
        <v>26</v>
      </c>
      <c r="T88" s="14">
        <v>25</v>
      </c>
      <c r="U88" s="14">
        <v>16</v>
      </c>
      <c r="V88" s="14"/>
      <c r="W88" s="14"/>
      <c r="X88" s="14"/>
      <c r="Y88" s="14"/>
      <c r="Z88" s="1">
        <v>0</v>
      </c>
      <c r="AA88" s="1">
        <v>0</v>
      </c>
      <c r="AB88" s="14">
        <f>16+9</f>
        <v>25</v>
      </c>
      <c r="AC88" s="14">
        <f>56+24</f>
        <v>80</v>
      </c>
      <c r="AD88" s="14">
        <f>25+105</f>
        <v>130</v>
      </c>
      <c r="AE88" s="14">
        <v>233</v>
      </c>
      <c r="AF88" s="14">
        <v>151</v>
      </c>
    </row>
    <row r="89" spans="3:32" x14ac:dyDescent="0.25">
      <c r="C89" s="1" t="s">
        <v>111</v>
      </c>
      <c r="D89" s="14">
        <v>-46</v>
      </c>
      <c r="E89" s="14">
        <v>-84</v>
      </c>
      <c r="F89" s="14">
        <v>-54</v>
      </c>
      <c r="G89" s="14">
        <v>-82</v>
      </c>
      <c r="H89" s="14">
        <v>-85</v>
      </c>
      <c r="I89" s="14">
        <v>-108</v>
      </c>
      <c r="J89" s="14">
        <v>-105</v>
      </c>
      <c r="K89" s="14">
        <v>-127</v>
      </c>
      <c r="L89" s="14">
        <v>-99</v>
      </c>
      <c r="M89" s="14">
        <v>-102</v>
      </c>
      <c r="N89" s="14">
        <v>-52</v>
      </c>
      <c r="O89" s="14">
        <v>-50</v>
      </c>
      <c r="P89" s="14">
        <v>-50</v>
      </c>
      <c r="Q89" s="14">
        <v>-45</v>
      </c>
      <c r="R89" s="14">
        <v>-50</v>
      </c>
      <c r="S89" s="14">
        <v>-47</v>
      </c>
      <c r="T89" s="14">
        <v>-43</v>
      </c>
      <c r="U89" s="14">
        <v>-28</v>
      </c>
      <c r="V89" s="14"/>
      <c r="W89" s="14"/>
      <c r="X89" s="14"/>
      <c r="Y89" s="14"/>
      <c r="Z89" s="1">
        <v>0</v>
      </c>
      <c r="AA89" s="1">
        <v>0</v>
      </c>
      <c r="AB89" s="14">
        <v>-414</v>
      </c>
      <c r="AC89" s="14">
        <v>-266</v>
      </c>
      <c r="AD89" s="14">
        <v>-425</v>
      </c>
      <c r="AE89" s="14">
        <v>-303</v>
      </c>
      <c r="AF89" s="14">
        <v>-193</v>
      </c>
    </row>
    <row r="90" spans="3:32" x14ac:dyDescent="0.25">
      <c r="C90" s="1" t="s">
        <v>112</v>
      </c>
      <c r="D90" s="14">
        <v>-81</v>
      </c>
      <c r="E90" s="14">
        <v>-109</v>
      </c>
      <c r="F90" s="14">
        <v>-17</v>
      </c>
      <c r="G90" s="14">
        <v>-54</v>
      </c>
      <c r="H90" s="14">
        <v>-104</v>
      </c>
      <c r="I90" s="14">
        <v>-112</v>
      </c>
      <c r="J90" s="14">
        <v>-57</v>
      </c>
      <c r="K90" s="14">
        <v>-54</v>
      </c>
      <c r="L90" s="14">
        <v>-121</v>
      </c>
      <c r="M90" s="14">
        <v>-112</v>
      </c>
      <c r="N90" s="14">
        <v>-49</v>
      </c>
      <c r="O90" s="14">
        <v>91</v>
      </c>
      <c r="P90" s="14">
        <v>-107</v>
      </c>
      <c r="Q90" s="14">
        <v>-181</v>
      </c>
      <c r="R90" s="14">
        <v>-20</v>
      </c>
      <c r="S90" s="14">
        <v>111</v>
      </c>
      <c r="T90" s="14">
        <v>-93</v>
      </c>
      <c r="U90" s="14">
        <v>-103</v>
      </c>
      <c r="V90" s="14"/>
      <c r="W90" s="14"/>
      <c r="X90" s="14"/>
      <c r="Y90" s="14"/>
      <c r="Z90" s="14">
        <v>-978</v>
      </c>
      <c r="AA90" s="14">
        <v>-819</v>
      </c>
      <c r="AB90" s="14">
        <v>-424</v>
      </c>
      <c r="AC90" s="14">
        <v>-260</v>
      </c>
      <c r="AD90" s="14">
        <v>327</v>
      </c>
      <c r="AE90" s="14">
        <v>-190</v>
      </c>
      <c r="AF90" s="14">
        <v>-197</v>
      </c>
    </row>
    <row r="91" spans="3:32" x14ac:dyDescent="0.25">
      <c r="C91" s="1" t="s">
        <v>113</v>
      </c>
      <c r="D91" s="14">
        <v>-64</v>
      </c>
      <c r="E91" s="14">
        <v>27</v>
      </c>
      <c r="F91" s="14">
        <v>7</v>
      </c>
      <c r="G91" s="14">
        <v>-203</v>
      </c>
      <c r="H91" s="14">
        <v>-263</v>
      </c>
      <c r="I91" s="14">
        <v>266</v>
      </c>
      <c r="J91" s="14">
        <v>-1187</v>
      </c>
      <c r="K91" s="14">
        <v>67</v>
      </c>
      <c r="L91" s="14">
        <v>89</v>
      </c>
      <c r="M91" s="14">
        <v>-6602</v>
      </c>
      <c r="N91" s="14">
        <v>-4889</v>
      </c>
      <c r="O91" s="14">
        <v>-1051</v>
      </c>
      <c r="P91" s="14">
        <v>2433</v>
      </c>
      <c r="Q91" s="14">
        <v>-4812</v>
      </c>
      <c r="R91" s="14">
        <v>1035</v>
      </c>
      <c r="S91" s="14">
        <v>2636</v>
      </c>
      <c r="T91" s="14">
        <v>5025</v>
      </c>
      <c r="U91" s="14">
        <v>-73</v>
      </c>
      <c r="V91" s="14"/>
      <c r="W91" s="14"/>
      <c r="X91" s="14"/>
      <c r="Y91" s="14"/>
      <c r="Z91" s="14">
        <v>-1</v>
      </c>
      <c r="AA91" s="14">
        <v>-189</v>
      </c>
      <c r="AB91" s="14">
        <v>309</v>
      </c>
      <c r="AC91" s="14">
        <v>-233</v>
      </c>
      <c r="AD91" s="14">
        <v>-1117</v>
      </c>
      <c r="AE91" s="14">
        <v>-14636</v>
      </c>
      <c r="AF91" s="14">
        <v>1291</v>
      </c>
    </row>
    <row r="92" spans="3:32" x14ac:dyDescent="0.25">
      <c r="C92" s="1" t="s">
        <v>114</v>
      </c>
      <c r="D92" s="14">
        <v>-141</v>
      </c>
      <c r="E92" s="14">
        <v>-46</v>
      </c>
      <c r="F92" s="14">
        <v>-133</v>
      </c>
      <c r="G92" s="14">
        <v>229</v>
      </c>
      <c r="H92" s="14">
        <v>113</v>
      </c>
      <c r="I92" s="14">
        <v>-1</v>
      </c>
      <c r="J92" s="14">
        <v>-63</v>
      </c>
      <c r="K92" s="14">
        <v>39</v>
      </c>
      <c r="L92" s="14">
        <v>-23</v>
      </c>
      <c r="M92" s="14">
        <v>-84</v>
      </c>
      <c r="N92" s="14">
        <v>158</v>
      </c>
      <c r="O92" s="14">
        <v>-17</v>
      </c>
      <c r="P92" s="14">
        <v>20</v>
      </c>
      <c r="Q92" s="14">
        <v>-63</v>
      </c>
      <c r="R92" s="14">
        <v>-205</v>
      </c>
      <c r="S92" s="14">
        <v>134</v>
      </c>
      <c r="T92" s="14">
        <v>57</v>
      </c>
      <c r="U92" s="14">
        <v>48</v>
      </c>
      <c r="V92" s="14"/>
      <c r="W92" s="14"/>
      <c r="X92" s="14"/>
      <c r="Y92" s="14"/>
      <c r="Z92" s="14">
        <v>382</v>
      </c>
      <c r="AA92" s="14">
        <v>1043</v>
      </c>
      <c r="AB92" s="14">
        <v>195</v>
      </c>
      <c r="AC92" s="14">
        <v>-90</v>
      </c>
      <c r="AD92" s="14">
        <v>87</v>
      </c>
      <c r="AE92" s="14">
        <v>33</v>
      </c>
      <c r="AF92" s="14">
        <v>-119</v>
      </c>
    </row>
    <row r="93" spans="3:32" x14ac:dyDescent="0.25">
      <c r="C93" s="2" t="s">
        <v>91</v>
      </c>
      <c r="D93" s="15">
        <f>SUM(D82:D92)</f>
        <v>136</v>
      </c>
      <c r="E93" s="15">
        <f t="shared" ref="E93:O93" si="105">SUM(E82:E92)</f>
        <v>398</v>
      </c>
      <c r="F93" s="15">
        <f t="shared" si="105"/>
        <v>433</v>
      </c>
      <c r="G93" s="15">
        <f t="shared" si="105"/>
        <v>714</v>
      </c>
      <c r="H93" s="15">
        <f t="shared" si="105"/>
        <v>216</v>
      </c>
      <c r="I93" s="15">
        <f t="shared" si="105"/>
        <v>442</v>
      </c>
      <c r="J93" s="15">
        <f t="shared" si="105"/>
        <v>527</v>
      </c>
      <c r="K93" s="15">
        <f t="shared" si="105"/>
        <v>522</v>
      </c>
      <c r="L93" s="15">
        <f t="shared" si="105"/>
        <v>108</v>
      </c>
      <c r="M93" s="15">
        <f t="shared" si="105"/>
        <v>234</v>
      </c>
      <c r="N93" s="15">
        <f t="shared" si="105"/>
        <v>724</v>
      </c>
      <c r="O93" s="15">
        <f t="shared" si="105"/>
        <v>375</v>
      </c>
      <c r="P93" s="15">
        <f>SUM(P82:P92)</f>
        <v>307</v>
      </c>
      <c r="Q93" s="15">
        <f t="shared" ref="Q93:U93" si="106">SUM(Q82:Q92)</f>
        <v>353</v>
      </c>
      <c r="R93" s="15">
        <f t="shared" si="106"/>
        <v>465</v>
      </c>
      <c r="S93" s="15">
        <f t="shared" si="106"/>
        <v>694</v>
      </c>
      <c r="T93" s="15">
        <f t="shared" si="106"/>
        <v>481</v>
      </c>
      <c r="U93" s="15">
        <f t="shared" si="106"/>
        <v>554</v>
      </c>
      <c r="V93" s="14"/>
      <c r="W93" s="14"/>
      <c r="X93" s="14"/>
      <c r="Y93" s="14"/>
      <c r="Z93" s="15">
        <f>SUM(Z82:Z92)</f>
        <v>2844</v>
      </c>
      <c r="AA93" s="15">
        <f>SUM(AA82:AA92)</f>
        <v>2401</v>
      </c>
      <c r="AB93" s="15">
        <f>SUM(AB82:AB92)</f>
        <v>2497</v>
      </c>
      <c r="AC93" s="15">
        <f t="shared" ref="AC93:AF93" si="107">SUM(AC82:AC92)</f>
        <v>1685</v>
      </c>
      <c r="AD93" s="15">
        <f t="shared" si="107"/>
        <v>2362</v>
      </c>
      <c r="AE93" s="15">
        <f t="shared" si="107"/>
        <v>1440</v>
      </c>
      <c r="AF93" s="15">
        <f t="shared" si="107"/>
        <v>1814</v>
      </c>
    </row>
    <row r="94" spans="3:32" x14ac:dyDescent="0.25"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3:32" x14ac:dyDescent="0.25">
      <c r="C95" s="1" t="s">
        <v>115</v>
      </c>
      <c r="D95" s="14">
        <f>-265-199-282</f>
        <v>-746</v>
      </c>
      <c r="E95" s="14">
        <f>-265-63-26</f>
        <v>-354</v>
      </c>
      <c r="F95" s="14">
        <f>-236-52</f>
        <v>-288</v>
      </c>
      <c r="G95" s="14">
        <f>-282-189-78</f>
        <v>-549</v>
      </c>
      <c r="H95" s="14">
        <f>-235</f>
        <v>-235</v>
      </c>
      <c r="I95" s="14">
        <f>-285-6-10</f>
        <v>-301</v>
      </c>
      <c r="J95" s="14">
        <f>-211+1-28</f>
        <v>-238</v>
      </c>
      <c r="K95" s="14">
        <f>-316-28-116</f>
        <v>-460</v>
      </c>
      <c r="L95" s="14">
        <f>-219-95-21</f>
        <v>-335</v>
      </c>
      <c r="M95" s="14">
        <f>226-42-19</f>
        <v>165</v>
      </c>
      <c r="N95" s="14">
        <f>-145-33-9</f>
        <v>-187</v>
      </c>
      <c r="O95" s="14">
        <f>-182-27-14</f>
        <v>-223</v>
      </c>
      <c r="P95" s="14">
        <f>-146-34-6</f>
        <v>-186</v>
      </c>
      <c r="Q95" s="14">
        <v>-150</v>
      </c>
      <c r="R95" s="14">
        <v>-129</v>
      </c>
      <c r="S95" s="14">
        <f>-153</f>
        <v>-153</v>
      </c>
      <c r="T95" s="14">
        <f>-132-67-2</f>
        <v>-201</v>
      </c>
      <c r="U95" s="14">
        <f>-112-16</f>
        <v>-128</v>
      </c>
      <c r="V95" s="14"/>
      <c r="W95" s="14"/>
      <c r="X95" s="14"/>
      <c r="Y95" s="14"/>
      <c r="Z95" s="14">
        <f>-908-884</f>
        <v>-1792</v>
      </c>
      <c r="AA95" s="14">
        <f>-1069-2025</f>
        <v>-3094</v>
      </c>
      <c r="AB95" s="14">
        <f>-951-3048-626</f>
        <v>-4625</v>
      </c>
      <c r="AC95" s="14">
        <f>-1048-451-438</f>
        <v>-1937</v>
      </c>
      <c r="AD95" s="14">
        <f>-1047-33-154</f>
        <v>-1234</v>
      </c>
      <c r="AE95" s="14">
        <f>-772-198-62</f>
        <v>-1032</v>
      </c>
      <c r="AF95" s="14">
        <v>-571</v>
      </c>
    </row>
    <row r="96" spans="3:32" x14ac:dyDescent="0.25">
      <c r="C96" s="1" t="s">
        <v>116</v>
      </c>
      <c r="D96" s="14">
        <v>2</v>
      </c>
      <c r="E96" s="14">
        <v>0</v>
      </c>
      <c r="F96" s="14">
        <v>0</v>
      </c>
      <c r="G96" s="14">
        <v>1</v>
      </c>
      <c r="H96" s="14">
        <v>0</v>
      </c>
      <c r="I96" s="14">
        <v>1</v>
      </c>
      <c r="J96" s="14">
        <v>-1</v>
      </c>
      <c r="K96" s="14">
        <v>3</v>
      </c>
      <c r="L96" s="14">
        <v>5</v>
      </c>
      <c r="M96" s="14">
        <v>0</v>
      </c>
      <c r="N96" s="14">
        <v>1</v>
      </c>
      <c r="O96" s="14">
        <v>1</v>
      </c>
      <c r="P96" s="14">
        <v>0</v>
      </c>
      <c r="Q96" s="14">
        <v>0</v>
      </c>
      <c r="R96" s="14">
        <v>0</v>
      </c>
      <c r="S96" s="14">
        <v>31</v>
      </c>
      <c r="T96" s="14">
        <v>2</v>
      </c>
      <c r="U96" s="14">
        <v>1</v>
      </c>
      <c r="V96" s="14"/>
      <c r="W96" s="14"/>
      <c r="X96" s="14"/>
      <c r="Y96" s="14"/>
      <c r="Z96" s="14">
        <v>13</v>
      </c>
      <c r="AA96" s="14">
        <v>116</v>
      </c>
      <c r="AB96" s="14">
        <v>15</v>
      </c>
      <c r="AC96" s="14">
        <v>3</v>
      </c>
      <c r="AD96" s="14">
        <v>4</v>
      </c>
      <c r="AE96" s="14">
        <v>7</v>
      </c>
      <c r="AF96" s="14">
        <v>31</v>
      </c>
    </row>
    <row r="97" spans="3:32" x14ac:dyDescent="0.25">
      <c r="C97" s="1" t="s">
        <v>117</v>
      </c>
      <c r="D97" s="14">
        <v>-1</v>
      </c>
      <c r="E97" s="14">
        <v>0</v>
      </c>
      <c r="F97" s="14">
        <v>0</v>
      </c>
      <c r="G97" s="14">
        <v>1</v>
      </c>
      <c r="H97" s="14">
        <v>0</v>
      </c>
      <c r="I97" s="14">
        <v>-30</v>
      </c>
      <c r="J97" s="14">
        <v>0</v>
      </c>
      <c r="K97" s="14">
        <v>-22</v>
      </c>
      <c r="L97" s="14">
        <v>-15</v>
      </c>
      <c r="M97" s="14">
        <v>4583</v>
      </c>
      <c r="N97" s="14">
        <v>61</v>
      </c>
      <c r="O97" s="14">
        <v>-33</v>
      </c>
      <c r="P97" s="14">
        <v>0</v>
      </c>
      <c r="Q97" s="14">
        <v>399</v>
      </c>
      <c r="R97" s="14">
        <v>26</v>
      </c>
      <c r="S97" s="14">
        <v>0</v>
      </c>
      <c r="T97" s="14">
        <v>1224</v>
      </c>
      <c r="U97" s="14">
        <v>19</v>
      </c>
      <c r="V97" s="14"/>
      <c r="W97" s="14"/>
      <c r="X97" s="14"/>
      <c r="Y97" s="14"/>
      <c r="Z97" s="14">
        <v>-1</v>
      </c>
      <c r="AA97" s="14">
        <v>426</v>
      </c>
      <c r="AB97" s="14">
        <v>-1244</v>
      </c>
      <c r="AC97" s="14">
        <v>0</v>
      </c>
      <c r="AD97" s="14">
        <v>-52</v>
      </c>
      <c r="AE97" s="14">
        <v>4597</v>
      </c>
      <c r="AF97" s="14">
        <v>425</v>
      </c>
    </row>
    <row r="98" spans="3:32" x14ac:dyDescent="0.25">
      <c r="C98" s="1" t="s">
        <v>131</v>
      </c>
      <c r="D98" s="14">
        <v>0</v>
      </c>
      <c r="E98" s="14">
        <v>0</v>
      </c>
      <c r="F98" s="14">
        <v>0</v>
      </c>
      <c r="G98" s="14">
        <v>4548</v>
      </c>
      <c r="H98" s="14">
        <v>0</v>
      </c>
      <c r="I98" s="14">
        <v>12</v>
      </c>
      <c r="J98" s="14">
        <v>5</v>
      </c>
      <c r="K98" s="14">
        <v>0</v>
      </c>
      <c r="L98" s="14">
        <v>0</v>
      </c>
      <c r="M98" s="14">
        <v>23869</v>
      </c>
      <c r="N98" s="14">
        <v>-129</v>
      </c>
      <c r="O98" s="14">
        <v>9</v>
      </c>
      <c r="P98" s="14">
        <v>3</v>
      </c>
      <c r="Q98" s="14">
        <v>0</v>
      </c>
      <c r="R98" s="14">
        <v>65</v>
      </c>
      <c r="S98" s="14">
        <v>210</v>
      </c>
      <c r="T98" s="14">
        <v>23</v>
      </c>
      <c r="U98" s="14">
        <v>31</v>
      </c>
      <c r="V98" s="14"/>
      <c r="W98" s="14"/>
      <c r="X98" s="14"/>
      <c r="Y98" s="14"/>
      <c r="Z98" s="14">
        <v>-460</v>
      </c>
      <c r="AA98" s="14">
        <v>-254</v>
      </c>
      <c r="AB98" s="14">
        <v>101</v>
      </c>
      <c r="AC98" s="14">
        <v>4548</v>
      </c>
      <c r="AD98" s="14">
        <v>17</v>
      </c>
      <c r="AE98" s="14">
        <v>23749</v>
      </c>
      <c r="AF98" s="14">
        <v>278</v>
      </c>
    </row>
    <row r="99" spans="3:32" x14ac:dyDescent="0.25">
      <c r="C99" s="1" t="s">
        <v>118</v>
      </c>
      <c r="D99" s="14">
        <v>0</v>
      </c>
      <c r="E99" s="14">
        <v>-5</v>
      </c>
      <c r="F99" s="14">
        <v>0</v>
      </c>
      <c r="G99" s="14">
        <v>-7</v>
      </c>
      <c r="H99" s="14">
        <v>0</v>
      </c>
      <c r="I99" s="14">
        <v>-191</v>
      </c>
      <c r="J99" s="14">
        <v>-43</v>
      </c>
      <c r="K99" s="14">
        <v>-398</v>
      </c>
      <c r="L99" s="14">
        <v>-157</v>
      </c>
      <c r="M99" s="14">
        <v>12</v>
      </c>
      <c r="N99" s="14">
        <v>-12</v>
      </c>
      <c r="O99" s="14">
        <v>-13</v>
      </c>
      <c r="P99" s="14">
        <v>-37</v>
      </c>
      <c r="Q99" s="14">
        <v>-34</v>
      </c>
      <c r="R99" s="14">
        <v>0</v>
      </c>
      <c r="S99" s="14">
        <v>-16</v>
      </c>
      <c r="T99" s="14">
        <v>-51</v>
      </c>
      <c r="U99" s="14">
        <v>-1</v>
      </c>
      <c r="V99" s="14"/>
      <c r="W99" s="14"/>
      <c r="X99" s="14"/>
      <c r="Y99" s="14"/>
      <c r="Z99" s="14">
        <v>-5</v>
      </c>
      <c r="AA99" s="14">
        <v>-3302</v>
      </c>
      <c r="AB99" s="14">
        <v>0</v>
      </c>
      <c r="AC99" s="14">
        <v>1</v>
      </c>
      <c r="AD99" s="14">
        <v>-686</v>
      </c>
      <c r="AE99" s="14">
        <v>-169</v>
      </c>
      <c r="AF99" s="14">
        <v>-133</v>
      </c>
    </row>
    <row r="100" spans="3:32" x14ac:dyDescent="0.25">
      <c r="C100" s="1" t="s">
        <v>119</v>
      </c>
      <c r="D100" s="14">
        <v>0</v>
      </c>
      <c r="E100" s="14">
        <v>0</v>
      </c>
      <c r="F100" s="14">
        <v>13</v>
      </c>
      <c r="G100" s="14">
        <v>0</v>
      </c>
      <c r="H100" s="14">
        <v>18</v>
      </c>
      <c r="I100" s="14">
        <v>0</v>
      </c>
      <c r="J100" s="14">
        <v>0</v>
      </c>
      <c r="K100" s="14">
        <v>1178</v>
      </c>
      <c r="L100" s="14">
        <v>3</v>
      </c>
      <c r="M100" s="14">
        <v>63</v>
      </c>
      <c r="N100" s="14">
        <v>0</v>
      </c>
      <c r="O100" s="14">
        <v>0</v>
      </c>
      <c r="P100" s="14">
        <v>0</v>
      </c>
      <c r="Q100" s="14">
        <v>3885</v>
      </c>
      <c r="R100" s="14">
        <v>3</v>
      </c>
      <c r="S100" s="14">
        <v>4</v>
      </c>
      <c r="T100" s="14">
        <f>8+3155</f>
        <v>3163</v>
      </c>
      <c r="U100" s="14">
        <v>18</v>
      </c>
      <c r="V100" s="14"/>
      <c r="W100" s="14"/>
      <c r="X100" s="14"/>
      <c r="Y100" s="14"/>
      <c r="Z100" s="14">
        <v>0</v>
      </c>
      <c r="AA100" s="14">
        <v>0</v>
      </c>
      <c r="AB100" s="14">
        <v>-170</v>
      </c>
      <c r="AC100" s="14">
        <v>0</v>
      </c>
      <c r="AD100" s="14">
        <v>1251</v>
      </c>
      <c r="AE100" s="14">
        <v>65</v>
      </c>
      <c r="AF100" s="14">
        <v>3891</v>
      </c>
    </row>
    <row r="101" spans="3:32" x14ac:dyDescent="0.25">
      <c r="C101" s="2" t="s">
        <v>92</v>
      </c>
      <c r="D101" s="15">
        <f t="shared" ref="D101:O101" si="108">SUM(D95:D100)</f>
        <v>-745</v>
      </c>
      <c r="E101" s="15">
        <f t="shared" si="108"/>
        <v>-359</v>
      </c>
      <c r="F101" s="15">
        <f t="shared" si="108"/>
        <v>-275</v>
      </c>
      <c r="G101" s="15">
        <f t="shared" si="108"/>
        <v>3994</v>
      </c>
      <c r="H101" s="15">
        <f t="shared" si="108"/>
        <v>-217</v>
      </c>
      <c r="I101" s="15">
        <f t="shared" si="108"/>
        <v>-509</v>
      </c>
      <c r="J101" s="15">
        <f t="shared" si="108"/>
        <v>-277</v>
      </c>
      <c r="K101" s="15">
        <f t="shared" si="108"/>
        <v>301</v>
      </c>
      <c r="L101" s="15">
        <f t="shared" si="108"/>
        <v>-499</v>
      </c>
      <c r="M101" s="15">
        <f t="shared" si="108"/>
        <v>28692</v>
      </c>
      <c r="N101" s="15">
        <f t="shared" si="108"/>
        <v>-266</v>
      </c>
      <c r="O101" s="15">
        <f t="shared" si="108"/>
        <v>-259</v>
      </c>
      <c r="P101" s="15">
        <f>SUM(P95:P100)</f>
        <v>-220</v>
      </c>
      <c r="Q101" s="15">
        <f t="shared" ref="Q101:U101" si="109">SUM(Q95:Q100)</f>
        <v>4100</v>
      </c>
      <c r="R101" s="15">
        <f t="shared" si="109"/>
        <v>-35</v>
      </c>
      <c r="S101" s="15">
        <f t="shared" si="109"/>
        <v>76</v>
      </c>
      <c r="T101" s="15">
        <f t="shared" si="109"/>
        <v>4160</v>
      </c>
      <c r="U101" s="15">
        <f t="shared" si="109"/>
        <v>-60</v>
      </c>
      <c r="V101" s="14"/>
      <c r="W101" s="14"/>
      <c r="X101" s="14"/>
      <c r="Y101" s="14"/>
      <c r="Z101" s="15">
        <f>SUM(Z95:Z100)</f>
        <v>-2245</v>
      </c>
      <c r="AA101" s="15">
        <f t="shared" ref="AA101:AF101" si="110">SUM(AA95:AA100)</f>
        <v>-6108</v>
      </c>
      <c r="AB101" s="15">
        <f>SUM(AB95:AB100)</f>
        <v>-5923</v>
      </c>
      <c r="AC101" s="15">
        <f t="shared" si="110"/>
        <v>2615</v>
      </c>
      <c r="AD101" s="15">
        <f t="shared" si="110"/>
        <v>-700</v>
      </c>
      <c r="AE101" s="15">
        <f t="shared" si="110"/>
        <v>27217</v>
      </c>
      <c r="AF101" s="15">
        <f t="shared" si="110"/>
        <v>3921</v>
      </c>
    </row>
    <row r="102" spans="3:32" x14ac:dyDescent="0.25"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3:32" x14ac:dyDescent="0.25">
      <c r="C103" s="1" t="s">
        <v>120</v>
      </c>
      <c r="D103" s="14">
        <v>1000</v>
      </c>
      <c r="E103" s="14">
        <v>2000</v>
      </c>
      <c r="F103" s="14">
        <v>157</v>
      </c>
      <c r="G103" s="14">
        <v>0</v>
      </c>
      <c r="H103" s="14">
        <v>0</v>
      </c>
      <c r="I103" s="14">
        <v>1007</v>
      </c>
      <c r="J103" s="14">
        <v>5</v>
      </c>
      <c r="K103" s="14">
        <f>5</f>
        <v>5</v>
      </c>
      <c r="L103" s="14">
        <v>0</v>
      </c>
      <c r="M103" s="14">
        <v>750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/>
      <c r="W103" s="14"/>
      <c r="X103" s="14"/>
      <c r="Y103" s="14"/>
      <c r="Z103" s="14">
        <v>1951</v>
      </c>
      <c r="AA103" s="14">
        <v>6463</v>
      </c>
      <c r="AB103" s="14">
        <v>4300</v>
      </c>
      <c r="AC103" s="14">
        <v>3158</v>
      </c>
      <c r="AD103" s="14">
        <f>1017</f>
        <v>1017</v>
      </c>
      <c r="AE103" s="14">
        <v>750</v>
      </c>
      <c r="AF103" s="14">
        <v>0</v>
      </c>
    </row>
    <row r="104" spans="3:32" x14ac:dyDescent="0.25">
      <c r="C104" s="1" t="s">
        <v>121</v>
      </c>
      <c r="D104" s="14">
        <v>0</v>
      </c>
      <c r="E104" s="14">
        <v>-2534</v>
      </c>
      <c r="F104" s="14">
        <v>-150</v>
      </c>
      <c r="G104" s="14">
        <v>-985</v>
      </c>
      <c r="H104" s="14">
        <v>-226</v>
      </c>
      <c r="I104" s="14">
        <v>-1018</v>
      </c>
      <c r="J104" s="14">
        <v>-3</v>
      </c>
      <c r="K104" s="14">
        <v>-494</v>
      </c>
      <c r="L104" s="14">
        <v>-500</v>
      </c>
      <c r="M104" s="14">
        <v>-2883</v>
      </c>
      <c r="N104" s="14">
        <v>0</v>
      </c>
      <c r="O104" s="14">
        <v>0</v>
      </c>
      <c r="P104" s="14">
        <v>-72</v>
      </c>
      <c r="Q104" s="14">
        <v>0</v>
      </c>
      <c r="R104" s="14">
        <v>0</v>
      </c>
      <c r="S104" s="14">
        <v>-681</v>
      </c>
      <c r="T104" s="14">
        <v>-41</v>
      </c>
      <c r="U104" s="14">
        <v>-42</v>
      </c>
      <c r="V104" s="14"/>
      <c r="W104" s="14"/>
      <c r="X104" s="14"/>
      <c r="Y104" s="14"/>
      <c r="Z104" s="14">
        <v>-405</v>
      </c>
      <c r="AA104" s="14">
        <v>-3187</v>
      </c>
      <c r="AB104" s="14">
        <v>-1179</v>
      </c>
      <c r="AC104" s="14">
        <v>-3669</v>
      </c>
      <c r="AD104" s="14">
        <v>-1741</v>
      </c>
      <c r="AE104" s="14">
        <v>-3383</v>
      </c>
      <c r="AF104" s="14">
        <v>-753</v>
      </c>
    </row>
    <row r="105" spans="3:32" x14ac:dyDescent="0.25">
      <c r="C105" s="1" t="s">
        <v>122</v>
      </c>
      <c r="D105" s="14">
        <v>-87</v>
      </c>
      <c r="E105" s="14">
        <v>-90</v>
      </c>
      <c r="F105" s="14">
        <v>-90</v>
      </c>
      <c r="G105" s="14">
        <v>-66</v>
      </c>
      <c r="H105" s="14">
        <v>-127</v>
      </c>
      <c r="I105" s="14">
        <v>-96</v>
      </c>
      <c r="J105" s="14">
        <v>-69</v>
      </c>
      <c r="K105" s="14">
        <v>-93</v>
      </c>
      <c r="L105" s="14">
        <v>-136</v>
      </c>
      <c r="M105" s="14">
        <v>-84</v>
      </c>
      <c r="N105" s="14">
        <v>-33</v>
      </c>
      <c r="O105" s="14">
        <v>-43</v>
      </c>
      <c r="P105" s="14">
        <v>-46</v>
      </c>
      <c r="Q105" s="14">
        <v>-39</v>
      </c>
      <c r="R105" s="14">
        <v>-42</v>
      </c>
      <c r="S105" s="14">
        <v>-42</v>
      </c>
      <c r="T105" s="14">
        <v>0</v>
      </c>
      <c r="U105" s="14">
        <v>0</v>
      </c>
      <c r="V105" s="14"/>
      <c r="W105" s="14"/>
      <c r="X105" s="14"/>
      <c r="Y105" s="14"/>
      <c r="Z105" s="14">
        <v>-438</v>
      </c>
      <c r="AA105" s="14">
        <v>-419</v>
      </c>
      <c r="AB105" s="14">
        <v>-419</v>
      </c>
      <c r="AC105" s="14">
        <v>-333</v>
      </c>
      <c r="AD105" s="14">
        <v>-385</v>
      </c>
      <c r="AE105" s="14">
        <v>-295</v>
      </c>
      <c r="AF105" s="14">
        <v>-168</v>
      </c>
    </row>
    <row r="106" spans="3:32" x14ac:dyDescent="0.25">
      <c r="C106" s="1" t="s">
        <v>123</v>
      </c>
      <c r="D106" s="14">
        <v>-33</v>
      </c>
      <c r="E106" s="14">
        <v>0</v>
      </c>
      <c r="F106" s="14">
        <v>0</v>
      </c>
      <c r="G106" s="14">
        <v>0</v>
      </c>
      <c r="H106" s="14">
        <v>-210</v>
      </c>
      <c r="I106" s="14">
        <v>0</v>
      </c>
      <c r="J106" s="14">
        <v>0</v>
      </c>
      <c r="K106" s="14">
        <v>-77</v>
      </c>
      <c r="L106" s="14">
        <v>0</v>
      </c>
      <c r="M106" s="14">
        <v>0</v>
      </c>
      <c r="N106" s="14">
        <v>-7</v>
      </c>
      <c r="O106" s="14">
        <v>-1</v>
      </c>
      <c r="P106" s="14">
        <v>0</v>
      </c>
      <c r="Q106" s="14">
        <v>0</v>
      </c>
      <c r="R106" s="14">
        <v>0</v>
      </c>
      <c r="S106" s="14">
        <v>-45</v>
      </c>
      <c r="T106" s="14">
        <v>0</v>
      </c>
      <c r="U106" s="14">
        <v>0</v>
      </c>
      <c r="V106" s="14"/>
      <c r="W106" s="14"/>
      <c r="X106" s="14"/>
      <c r="Y106" s="14"/>
      <c r="Z106" s="14">
        <v>1964</v>
      </c>
      <c r="AA106" s="14">
        <v>-91</v>
      </c>
      <c r="AB106" s="14">
        <v>-228</v>
      </c>
      <c r="AC106" s="14">
        <v>-33</v>
      </c>
      <c r="AD106" s="14">
        <v>-287</v>
      </c>
      <c r="AE106" s="14">
        <v>-9</v>
      </c>
      <c r="AF106" s="14">
        <v>-45</v>
      </c>
    </row>
    <row r="107" spans="3:32" x14ac:dyDescent="0.25">
      <c r="C107" s="1" t="s">
        <v>124</v>
      </c>
      <c r="D107" s="14">
        <v>-33</v>
      </c>
      <c r="E107" s="14">
        <v>8</v>
      </c>
      <c r="F107" s="14">
        <v>-11</v>
      </c>
      <c r="G107" s="14">
        <v>-203</v>
      </c>
      <c r="H107" s="14">
        <v>-499</v>
      </c>
      <c r="I107" s="14">
        <v>0</v>
      </c>
      <c r="J107" s="14">
        <v>0</v>
      </c>
      <c r="K107" s="14">
        <v>0</v>
      </c>
      <c r="L107" s="14">
        <v>0</v>
      </c>
      <c r="M107" s="14">
        <v>7</v>
      </c>
      <c r="N107" s="14">
        <v>0</v>
      </c>
      <c r="O107" s="14">
        <v>0</v>
      </c>
      <c r="P107" s="14">
        <v>0</v>
      </c>
      <c r="Q107" s="14">
        <v>0</v>
      </c>
      <c r="R107" s="14">
        <v>5</v>
      </c>
      <c r="S107" s="14">
        <v>0</v>
      </c>
      <c r="T107" s="14">
        <v>0</v>
      </c>
      <c r="U107" s="14">
        <v>44</v>
      </c>
      <c r="V107" s="14"/>
      <c r="W107" s="14"/>
      <c r="X107" s="14"/>
      <c r="Y107" s="14"/>
      <c r="Z107" s="14">
        <v>9</v>
      </c>
      <c r="AA107" s="14">
        <v>8</v>
      </c>
      <c r="AB107" s="14">
        <v>35</v>
      </c>
      <c r="AC107" s="14">
        <v>-239</v>
      </c>
      <c r="AD107" s="14">
        <v>0</v>
      </c>
      <c r="AE107" s="14">
        <v>7</v>
      </c>
      <c r="AF107" s="14">
        <v>5</v>
      </c>
    </row>
    <row r="108" spans="3:32" x14ac:dyDescent="0.25">
      <c r="C108" s="1" t="s">
        <v>125</v>
      </c>
      <c r="D108" s="14">
        <v>0</v>
      </c>
      <c r="E108" s="14">
        <v>-468</v>
      </c>
      <c r="F108" s="14">
        <v>0</v>
      </c>
      <c r="G108" s="14">
        <v>0</v>
      </c>
      <c r="H108" s="14">
        <v>0</v>
      </c>
      <c r="I108" s="14">
        <v>-476</v>
      </c>
      <c r="J108" s="14">
        <v>-554</v>
      </c>
      <c r="K108" s="14">
        <v>9</v>
      </c>
      <c r="L108" s="14">
        <v>9</v>
      </c>
      <c r="M108" s="14">
        <v>7</v>
      </c>
      <c r="N108" s="14">
        <v>-213</v>
      </c>
      <c r="O108" s="14">
        <v>-789</v>
      </c>
      <c r="P108" s="14">
        <v>-1190</v>
      </c>
      <c r="Q108" s="14">
        <v>-5231</v>
      </c>
      <c r="R108" s="14">
        <v>4</v>
      </c>
      <c r="S108" s="14">
        <v>-448</v>
      </c>
      <c r="T108" s="14">
        <v>-1431</v>
      </c>
      <c r="U108" s="14">
        <v>-1377</v>
      </c>
      <c r="V108" s="14"/>
      <c r="W108" s="14"/>
      <c r="X108" s="14"/>
      <c r="Y108" s="14"/>
      <c r="Z108" s="14">
        <v>-1069</v>
      </c>
      <c r="AA108" s="14">
        <v>-90</v>
      </c>
      <c r="AB108" s="14">
        <v>-468</v>
      </c>
      <c r="AC108" s="14">
        <v>-468</v>
      </c>
      <c r="AD108" s="14">
        <v>-1520</v>
      </c>
      <c r="AE108" s="14">
        <v>-987</v>
      </c>
      <c r="AF108" s="14">
        <v>-6864</v>
      </c>
    </row>
    <row r="109" spans="3:32" x14ac:dyDescent="0.25">
      <c r="C109" s="1" t="s">
        <v>126</v>
      </c>
      <c r="D109" s="14">
        <v>0</v>
      </c>
      <c r="E109" s="14">
        <v>-12</v>
      </c>
      <c r="F109" s="14">
        <v>-74</v>
      </c>
      <c r="G109" s="14">
        <v>-2</v>
      </c>
      <c r="H109" s="14">
        <v>0</v>
      </c>
      <c r="I109" s="14">
        <v>-459</v>
      </c>
      <c r="J109" s="14">
        <v>0</v>
      </c>
      <c r="K109" s="14">
        <v>0</v>
      </c>
      <c r="L109" s="14">
        <v>0</v>
      </c>
      <c r="M109" s="14">
        <v>-17592</v>
      </c>
      <c r="N109" s="14">
        <v>-2734</v>
      </c>
      <c r="O109" s="14">
        <v>-125</v>
      </c>
      <c r="P109" s="14">
        <v>0</v>
      </c>
      <c r="Q109" s="14">
        <v>-1008</v>
      </c>
      <c r="R109" s="14">
        <v>0</v>
      </c>
      <c r="S109" s="14">
        <v>0</v>
      </c>
      <c r="T109" s="14">
        <v>0</v>
      </c>
      <c r="U109" s="14">
        <v>-527</v>
      </c>
      <c r="V109" s="14"/>
      <c r="W109" s="14"/>
      <c r="X109" s="14"/>
      <c r="Y109" s="14"/>
      <c r="Z109" s="14">
        <v>-477</v>
      </c>
      <c r="AA109" s="14">
        <v>0</v>
      </c>
      <c r="AB109" s="14">
        <v>-131</v>
      </c>
      <c r="AC109" s="14">
        <v>-88</v>
      </c>
      <c r="AD109" s="14">
        <v>-459</v>
      </c>
      <c r="AE109" s="14">
        <v>-20451</v>
      </c>
      <c r="AF109" s="14">
        <v>-1008</v>
      </c>
    </row>
    <row r="110" spans="3:32" x14ac:dyDescent="0.25">
      <c r="C110" s="1" t="s">
        <v>127</v>
      </c>
      <c r="D110" s="14">
        <v>0</v>
      </c>
      <c r="E110" s="14">
        <v>0</v>
      </c>
      <c r="F110" s="14">
        <v>0</v>
      </c>
      <c r="G110" s="14">
        <v>0</v>
      </c>
      <c r="H110" s="14">
        <v>-1</v>
      </c>
      <c r="I110" s="14">
        <v>-89</v>
      </c>
      <c r="J110" s="14">
        <v>-10</v>
      </c>
      <c r="K110" s="14">
        <v>0</v>
      </c>
      <c r="L110" s="14">
        <v>0</v>
      </c>
      <c r="M110" s="14">
        <v>-6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/>
      <c r="W110" s="14"/>
      <c r="X110" s="14"/>
      <c r="Y110" s="14"/>
      <c r="Z110" s="14">
        <v>-106</v>
      </c>
      <c r="AA110" s="14">
        <v>-61</v>
      </c>
      <c r="AB110" s="14">
        <v>0</v>
      </c>
      <c r="AC110" s="14">
        <v>0</v>
      </c>
      <c r="AD110" s="14">
        <v>-99</v>
      </c>
      <c r="AE110" s="14">
        <v>-6</v>
      </c>
      <c r="AF110" s="14">
        <v>0</v>
      </c>
    </row>
    <row r="111" spans="3:32" x14ac:dyDescent="0.25">
      <c r="C111" s="2" t="s">
        <v>93</v>
      </c>
      <c r="D111" s="15">
        <f t="shared" ref="D111:O111" si="111">SUM(D103:D110)</f>
        <v>847</v>
      </c>
      <c r="E111" s="15">
        <f t="shared" si="111"/>
        <v>-1096</v>
      </c>
      <c r="F111" s="15">
        <f t="shared" si="111"/>
        <v>-168</v>
      </c>
      <c r="G111" s="15">
        <f t="shared" si="111"/>
        <v>-1256</v>
      </c>
      <c r="H111" s="15">
        <f t="shared" si="111"/>
        <v>-1063</v>
      </c>
      <c r="I111" s="15">
        <f t="shared" si="111"/>
        <v>-1131</v>
      </c>
      <c r="J111" s="15">
        <f t="shared" si="111"/>
        <v>-631</v>
      </c>
      <c r="K111" s="15">
        <f t="shared" si="111"/>
        <v>-650</v>
      </c>
      <c r="L111" s="15">
        <f t="shared" si="111"/>
        <v>-627</v>
      </c>
      <c r="M111" s="15">
        <f t="shared" si="111"/>
        <v>-19801</v>
      </c>
      <c r="N111" s="15">
        <f t="shared" si="111"/>
        <v>-2987</v>
      </c>
      <c r="O111" s="15">
        <f t="shared" si="111"/>
        <v>-958</v>
      </c>
      <c r="P111" s="15">
        <f>SUM(P103:P110)</f>
        <v>-1308</v>
      </c>
      <c r="Q111" s="15">
        <f t="shared" ref="Q111:U111" si="112">SUM(Q103:Q110)</f>
        <v>-6278</v>
      </c>
      <c r="R111" s="15">
        <f t="shared" si="112"/>
        <v>-33</v>
      </c>
      <c r="S111" s="15">
        <f t="shared" si="112"/>
        <v>-1216</v>
      </c>
      <c r="T111" s="15">
        <f t="shared" si="112"/>
        <v>-1472</v>
      </c>
      <c r="U111" s="15">
        <f t="shared" si="112"/>
        <v>-1902</v>
      </c>
      <c r="V111" s="14"/>
      <c r="W111" s="14"/>
      <c r="X111" s="14"/>
      <c r="Y111" s="14"/>
      <c r="Z111" s="15">
        <f>SUM(Z103:Z110)</f>
        <v>1429</v>
      </c>
      <c r="AA111" s="15">
        <f t="shared" ref="AA111:AF111" si="113">SUM(AA103:AA110)</f>
        <v>2623</v>
      </c>
      <c r="AB111" s="15">
        <f>SUM(AB103:AB110)</f>
        <v>1910</v>
      </c>
      <c r="AC111" s="15">
        <f t="shared" si="113"/>
        <v>-1672</v>
      </c>
      <c r="AD111" s="15">
        <f t="shared" si="113"/>
        <v>-3474</v>
      </c>
      <c r="AE111" s="15">
        <f t="shared" si="113"/>
        <v>-24374</v>
      </c>
      <c r="AF111" s="15">
        <f t="shared" si="113"/>
        <v>-8833</v>
      </c>
    </row>
    <row r="112" spans="3:32" x14ac:dyDescent="0.25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3:32" x14ac:dyDescent="0.25">
      <c r="C113" s="1" t="s">
        <v>128</v>
      </c>
      <c r="D113" s="14">
        <v>-11</v>
      </c>
      <c r="E113" s="14">
        <v>13</v>
      </c>
      <c r="F113" s="14">
        <v>1</v>
      </c>
      <c r="G113" s="14">
        <v>-2</v>
      </c>
      <c r="H113" s="14">
        <v>8</v>
      </c>
      <c r="I113" s="14">
        <v>0</v>
      </c>
      <c r="J113" s="14">
        <v>-3</v>
      </c>
      <c r="K113" s="14">
        <v>2</v>
      </c>
      <c r="L113" s="14">
        <v>1</v>
      </c>
      <c r="M113" s="14">
        <v>-2</v>
      </c>
      <c r="N113" s="14">
        <v>4</v>
      </c>
      <c r="O113" s="14">
        <v>-2</v>
      </c>
      <c r="P113" s="14">
        <v>1</v>
      </c>
      <c r="Q113" s="14">
        <v>1</v>
      </c>
      <c r="R113" s="14">
        <v>1</v>
      </c>
      <c r="S113" s="14">
        <v>5</v>
      </c>
      <c r="T113" s="14"/>
      <c r="U113" s="14">
        <v>-1</v>
      </c>
      <c r="V113" s="14"/>
      <c r="W113" s="14"/>
      <c r="X113" s="14"/>
      <c r="Y113" s="14"/>
      <c r="Z113" s="14">
        <v>-7</v>
      </c>
      <c r="AA113" s="14">
        <v>-105</v>
      </c>
      <c r="AB113" s="14">
        <v>-54</v>
      </c>
      <c r="AC113" s="14">
        <v>2</v>
      </c>
      <c r="AD113" s="14">
        <v>8</v>
      </c>
      <c r="AE113" s="14">
        <v>1</v>
      </c>
      <c r="AF113" s="14">
        <v>8</v>
      </c>
    </row>
    <row r="114" spans="3:32" x14ac:dyDescent="0.25"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3:32" x14ac:dyDescent="0.25">
      <c r="C115" s="1" t="s">
        <v>129</v>
      </c>
      <c r="D115" s="14">
        <f t="shared" ref="D115:O115" si="114">D93+D101+D111+D113</f>
        <v>227</v>
      </c>
      <c r="E115" s="14">
        <f t="shared" si="114"/>
        <v>-1044</v>
      </c>
      <c r="F115" s="14">
        <f t="shared" si="114"/>
        <v>-9</v>
      </c>
      <c r="G115" s="14">
        <f t="shared" si="114"/>
        <v>3450</v>
      </c>
      <c r="H115" s="14">
        <f t="shared" si="114"/>
        <v>-1056</v>
      </c>
      <c r="I115" s="14">
        <f t="shared" si="114"/>
        <v>-1198</v>
      </c>
      <c r="J115" s="14">
        <f t="shared" si="114"/>
        <v>-384</v>
      </c>
      <c r="K115" s="14">
        <f t="shared" si="114"/>
        <v>175</v>
      </c>
      <c r="L115" s="14">
        <f t="shared" si="114"/>
        <v>-1017</v>
      </c>
      <c r="M115" s="14">
        <f t="shared" si="114"/>
        <v>9123</v>
      </c>
      <c r="N115" s="14">
        <f t="shared" si="114"/>
        <v>-2525</v>
      </c>
      <c r="O115" s="14">
        <f t="shared" si="114"/>
        <v>-844</v>
      </c>
      <c r="P115" s="14">
        <f>P93+P101+P111+P113</f>
        <v>-1220</v>
      </c>
      <c r="Q115" s="14">
        <f t="shared" ref="Q115:S115" si="115">Q93+Q101+Q111+Q113</f>
        <v>-1824</v>
      </c>
      <c r="R115" s="14">
        <f t="shared" si="115"/>
        <v>398</v>
      </c>
      <c r="S115" s="14">
        <f t="shared" si="115"/>
        <v>-441</v>
      </c>
      <c r="T115" s="14">
        <f t="shared" ref="T115:U115" si="116">T93+T101+T111+T113</f>
        <v>3169</v>
      </c>
      <c r="U115" s="14">
        <f t="shared" si="116"/>
        <v>-1409</v>
      </c>
      <c r="V115" s="14"/>
      <c r="W115" s="14"/>
      <c r="X115" s="14"/>
      <c r="Y115" s="14"/>
      <c r="Z115" s="14">
        <f>Z93+Z101+Z111+Z113</f>
        <v>2021</v>
      </c>
      <c r="AA115" s="14">
        <f t="shared" ref="AA115:AF115" si="117">AA93+AA101+AA111+AA113</f>
        <v>-1189</v>
      </c>
      <c r="AB115" s="14">
        <f>AB93+AB101+AB111+AB113</f>
        <v>-1570</v>
      </c>
      <c r="AC115" s="14">
        <f t="shared" si="117"/>
        <v>2630</v>
      </c>
      <c r="AD115" s="14">
        <f t="shared" si="117"/>
        <v>-1804</v>
      </c>
      <c r="AE115" s="14">
        <f t="shared" si="117"/>
        <v>4284</v>
      </c>
      <c r="AF115" s="14">
        <f t="shared" si="117"/>
        <v>-3090</v>
      </c>
    </row>
    <row r="116" spans="3:32" x14ac:dyDescent="0.25"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3:32" x14ac:dyDescent="0.25">
      <c r="C117" s="1" t="s">
        <v>130</v>
      </c>
      <c r="D117" s="14">
        <f t="shared" ref="D117:O117" si="118">D93+D95</f>
        <v>-610</v>
      </c>
      <c r="E117" s="14">
        <f t="shared" si="118"/>
        <v>44</v>
      </c>
      <c r="F117" s="14">
        <f t="shared" si="118"/>
        <v>145</v>
      </c>
      <c r="G117" s="14">
        <f t="shared" si="118"/>
        <v>165</v>
      </c>
      <c r="H117" s="14">
        <f t="shared" si="118"/>
        <v>-19</v>
      </c>
      <c r="I117" s="14">
        <f t="shared" si="118"/>
        <v>141</v>
      </c>
      <c r="J117" s="14">
        <f t="shared" si="118"/>
        <v>289</v>
      </c>
      <c r="K117" s="14">
        <f t="shared" si="118"/>
        <v>62</v>
      </c>
      <c r="L117" s="14">
        <f t="shared" si="118"/>
        <v>-227</v>
      </c>
      <c r="M117" s="14">
        <f t="shared" si="118"/>
        <v>399</v>
      </c>
      <c r="N117" s="14">
        <f t="shared" si="118"/>
        <v>537</v>
      </c>
      <c r="O117" s="14">
        <f t="shared" si="118"/>
        <v>152</v>
      </c>
      <c r="P117" s="14">
        <f>P93+P95</f>
        <v>121</v>
      </c>
      <c r="Q117" s="14">
        <f t="shared" ref="Q117:S117" si="119">Q93+Q95</f>
        <v>203</v>
      </c>
      <c r="R117" s="14">
        <f t="shared" si="119"/>
        <v>336</v>
      </c>
      <c r="S117" s="14">
        <f t="shared" si="119"/>
        <v>541</v>
      </c>
      <c r="T117" s="14">
        <f t="shared" ref="T117:U117" si="120">T93+T95</f>
        <v>280</v>
      </c>
      <c r="U117" s="14">
        <f t="shared" si="120"/>
        <v>426</v>
      </c>
      <c r="V117" s="14"/>
      <c r="W117" s="14"/>
      <c r="X117" s="14"/>
      <c r="Y117" s="14"/>
      <c r="Z117" s="14">
        <f>Z93+Z95</f>
        <v>1052</v>
      </c>
      <c r="AA117" s="14">
        <f t="shared" ref="AA117:AF117" si="121">AA93+AA95</f>
        <v>-693</v>
      </c>
      <c r="AB117" s="14">
        <f>AB93+AB95</f>
        <v>-2128</v>
      </c>
      <c r="AC117" s="14">
        <f t="shared" si="121"/>
        <v>-252</v>
      </c>
      <c r="AD117" s="14">
        <f t="shared" si="121"/>
        <v>1128</v>
      </c>
      <c r="AE117" s="14">
        <f t="shared" si="121"/>
        <v>408</v>
      </c>
      <c r="AF117" s="14">
        <f t="shared" si="121"/>
        <v>1243</v>
      </c>
    </row>
    <row r="118" spans="3:32" x14ac:dyDescent="0.25">
      <c r="O118" s="14"/>
    </row>
    <row r="119" spans="3:32" x14ac:dyDescent="0.25">
      <c r="O119" s="14"/>
    </row>
    <row r="120" spans="3:32" x14ac:dyDescent="0.25">
      <c r="O120" s="14"/>
      <c r="S120" s="14"/>
    </row>
    <row r="121" spans="3:32" x14ac:dyDescent="0.25">
      <c r="O121" s="14"/>
    </row>
    <row r="122" spans="3:32" x14ac:dyDescent="0.25">
      <c r="O122" s="14"/>
    </row>
    <row r="123" spans="3:32" x14ac:dyDescent="0.25">
      <c r="O123" s="14"/>
    </row>
    <row r="124" spans="3:32" x14ac:dyDescent="0.25">
      <c r="O124" s="14"/>
    </row>
    <row r="125" spans="3:32" x14ac:dyDescent="0.25">
      <c r="O125" s="14"/>
    </row>
    <row r="126" spans="3:32" x14ac:dyDescent="0.25">
      <c r="O126" s="14"/>
    </row>
    <row r="127" spans="3:32" x14ac:dyDescent="0.25">
      <c r="O127" s="14"/>
    </row>
    <row r="128" spans="3:32" x14ac:dyDescent="0.25">
      <c r="O128" s="14"/>
    </row>
    <row r="129" spans="15:15" x14ac:dyDescent="0.25">
      <c r="O129" s="14"/>
    </row>
    <row r="130" spans="15:15" x14ac:dyDescent="0.25">
      <c r="O130" s="14"/>
    </row>
    <row r="131" spans="15:15" x14ac:dyDescent="0.25">
      <c r="O131" s="14"/>
    </row>
    <row r="132" spans="15:15" x14ac:dyDescent="0.25">
      <c r="O132" s="14"/>
    </row>
    <row r="133" spans="15:15" x14ac:dyDescent="0.25">
      <c r="O133" s="14"/>
    </row>
    <row r="134" spans="15:15" x14ac:dyDescent="0.25">
      <c r="O134" s="14"/>
    </row>
    <row r="135" spans="15:15" x14ac:dyDescent="0.25">
      <c r="O135" s="14"/>
    </row>
    <row r="136" spans="15:15" x14ac:dyDescent="0.25">
      <c r="O136" s="14"/>
    </row>
    <row r="137" spans="15:15" x14ac:dyDescent="0.25">
      <c r="O137" s="14"/>
    </row>
    <row r="138" spans="15:15" x14ac:dyDescent="0.25">
      <c r="O138" s="14"/>
    </row>
    <row r="139" spans="15:15" x14ac:dyDescent="0.25">
      <c r="O139" s="14"/>
    </row>
    <row r="140" spans="15:15" x14ac:dyDescent="0.25">
      <c r="O140" s="14"/>
    </row>
    <row r="141" spans="15:15" x14ac:dyDescent="0.25">
      <c r="O141" s="14"/>
    </row>
    <row r="142" spans="15:15" x14ac:dyDescent="0.25">
      <c r="O142" s="14"/>
    </row>
    <row r="143" spans="15:15" x14ac:dyDescent="0.25">
      <c r="O143" s="14"/>
    </row>
    <row r="144" spans="15:15" x14ac:dyDescent="0.25">
      <c r="O144" s="14"/>
    </row>
    <row r="145" spans="15:15" x14ac:dyDescent="0.25">
      <c r="O145" s="14"/>
    </row>
    <row r="146" spans="15:15" x14ac:dyDescent="0.25">
      <c r="O146" s="14"/>
    </row>
    <row r="147" spans="15:15" x14ac:dyDescent="0.25">
      <c r="O147" s="14"/>
    </row>
    <row r="148" spans="15:15" x14ac:dyDescent="0.25">
      <c r="O148" s="14"/>
    </row>
    <row r="149" spans="15:15" x14ac:dyDescent="0.25">
      <c r="O149" s="14"/>
    </row>
    <row r="150" spans="15:15" x14ac:dyDescent="0.25">
      <c r="O150" s="14"/>
    </row>
    <row r="151" spans="15:15" x14ac:dyDescent="0.25">
      <c r="O151" s="14"/>
    </row>
    <row r="152" spans="15:15" x14ac:dyDescent="0.25">
      <c r="O152" s="14"/>
    </row>
    <row r="153" spans="15:15" x14ac:dyDescent="0.25">
      <c r="O153" s="14"/>
    </row>
    <row r="154" spans="15:15" x14ac:dyDescent="0.25">
      <c r="O154" s="14"/>
    </row>
    <row r="155" spans="15:15" x14ac:dyDescent="0.25">
      <c r="O155" s="14"/>
    </row>
    <row r="156" spans="15:15" x14ac:dyDescent="0.25">
      <c r="O156" s="1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7E73-D66F-CD46-BE03-0F584F4CABDA}">
  <dimension ref="A2:G1048576"/>
  <sheetViews>
    <sheetView showGridLines="0" workbookViewId="0">
      <selection activeCell="G27" sqref="G27"/>
    </sheetView>
  </sheetViews>
  <sheetFormatPr baseColWidth="10" defaultColWidth="10.83203125" defaultRowHeight="19" x14ac:dyDescent="0.25"/>
  <cols>
    <col min="1" max="1" width="10.83203125" style="1"/>
    <col min="2" max="2" width="19.83203125" style="1" customWidth="1"/>
    <col min="3" max="3" width="12.33203125" style="1" customWidth="1"/>
    <col min="4" max="4" width="12.5" style="1" customWidth="1"/>
    <col min="5" max="5" width="13.33203125" style="1" customWidth="1"/>
    <col min="6" max="6" width="12.83203125" style="1" customWidth="1"/>
    <col min="7" max="7" width="16.33203125" style="1" customWidth="1"/>
    <col min="8" max="8" width="14" style="1" customWidth="1"/>
    <col min="9" max="9" width="15.6640625" style="1" bestFit="1" customWidth="1"/>
    <col min="10" max="13" width="10.83203125" style="1"/>
    <col min="14" max="14" width="12.33203125" style="1" bestFit="1" customWidth="1"/>
    <col min="15" max="15" width="14.6640625" style="1" customWidth="1"/>
    <col min="16" max="16" width="10.83203125" style="1"/>
    <col min="17" max="17" width="13.33203125" style="1" customWidth="1"/>
    <col min="18" max="16384" width="10.83203125" style="1"/>
  </cols>
  <sheetData>
    <row r="2" spans="1:6" x14ac:dyDescent="0.25">
      <c r="A2" s="1" t="s">
        <v>321</v>
      </c>
    </row>
    <row r="3" spans="1:6" x14ac:dyDescent="0.25">
      <c r="A3" s="14">
        <f>Modell!AG17</f>
        <v>2418.1611999999996</v>
      </c>
    </row>
    <row r="5" spans="1:6" x14ac:dyDescent="0.25">
      <c r="B5" s="48" t="s">
        <v>162</v>
      </c>
      <c r="C5" s="48" t="s">
        <v>321</v>
      </c>
      <c r="D5" s="48" t="s">
        <v>181</v>
      </c>
      <c r="E5" s="48" t="s">
        <v>322</v>
      </c>
      <c r="F5" s="48" t="s">
        <v>323</v>
      </c>
    </row>
    <row r="6" spans="1:6" x14ac:dyDescent="0.25">
      <c r="B6" s="48" t="s">
        <v>52</v>
      </c>
      <c r="C6" s="119">
        <v>1400</v>
      </c>
      <c r="D6" s="48">
        <v>18.5</v>
      </c>
      <c r="E6" s="119">
        <f>D6*C6</f>
        <v>25900</v>
      </c>
      <c r="F6" s="119">
        <f>E6/Modell!$B$5</f>
        <v>132.21031138335886</v>
      </c>
    </row>
    <row r="7" spans="1:6" x14ac:dyDescent="0.25">
      <c r="B7" s="48" t="s">
        <v>53</v>
      </c>
      <c r="C7" s="119">
        <v>739</v>
      </c>
      <c r="D7" s="48">
        <v>18</v>
      </c>
      <c r="E7" s="119">
        <f t="shared" ref="E7:E10" si="0">D7*C7</f>
        <v>13302</v>
      </c>
      <c r="F7" s="119">
        <f>E7/Modell!$B$5</f>
        <v>67.901990811638584</v>
      </c>
    </row>
    <row r="8" spans="1:6" x14ac:dyDescent="0.25">
      <c r="B8" s="48" t="s">
        <v>54</v>
      </c>
      <c r="C8" s="119">
        <v>740</v>
      </c>
      <c r="D8" s="48">
        <v>18</v>
      </c>
      <c r="E8" s="119">
        <f t="shared" si="0"/>
        <v>13320</v>
      </c>
      <c r="F8" s="119">
        <f>E8/Modell!$B$5</f>
        <v>67.993874425727412</v>
      </c>
    </row>
    <row r="9" spans="1:6" x14ac:dyDescent="0.25">
      <c r="B9" s="48" t="s">
        <v>55</v>
      </c>
      <c r="C9" s="119">
        <v>-160</v>
      </c>
      <c r="D9" s="48">
        <v>5</v>
      </c>
      <c r="E9" s="119">
        <f t="shared" si="0"/>
        <v>-800</v>
      </c>
      <c r="F9" s="119">
        <f>E9/Modell!$B$5</f>
        <v>-4.0837161817253698</v>
      </c>
    </row>
    <row r="10" spans="1:6" x14ac:dyDescent="0.25">
      <c r="B10" s="48" t="s">
        <v>59</v>
      </c>
      <c r="C10" s="119">
        <v>-300</v>
      </c>
      <c r="D10" s="48">
        <v>11.4</v>
      </c>
      <c r="E10" s="119">
        <f t="shared" si="0"/>
        <v>-3420</v>
      </c>
      <c r="F10" s="119">
        <f>E10/Modell!$B$5</f>
        <v>-17.457886676875958</v>
      </c>
    </row>
    <row r="11" spans="1:6" x14ac:dyDescent="0.25">
      <c r="B11" s="49" t="s">
        <v>176</v>
      </c>
      <c r="C11" s="120">
        <f>SUM(C6:C10)</f>
        <v>2419</v>
      </c>
      <c r="D11" s="50">
        <f>E11/C11</f>
        <v>19.967755270773047</v>
      </c>
      <c r="E11" s="120">
        <f>SUM(E6:E10)</f>
        <v>48302</v>
      </c>
      <c r="F11" s="120">
        <f>SUM(F6:F10)</f>
        <v>246.56457376212353</v>
      </c>
    </row>
    <row r="12" spans="1:6" x14ac:dyDescent="0.25">
      <c r="B12" s="51"/>
      <c r="C12" s="121"/>
      <c r="D12" s="51"/>
      <c r="E12" s="121"/>
      <c r="F12" s="121"/>
    </row>
    <row r="13" spans="1:6" x14ac:dyDescent="0.25">
      <c r="B13" s="48" t="s">
        <v>177</v>
      </c>
      <c r="C13" s="119">
        <v>12000</v>
      </c>
      <c r="D13" s="48">
        <v>18.5</v>
      </c>
      <c r="E13" s="119">
        <f>(C13*D13)*0.14</f>
        <v>31080.000000000004</v>
      </c>
      <c r="F13" s="119">
        <f>E13/Modell!B5</f>
        <v>158.65237366003063</v>
      </c>
    </row>
    <row r="14" spans="1:6" x14ac:dyDescent="0.25">
      <c r="B14" s="48" t="s">
        <v>324</v>
      </c>
      <c r="C14" s="119"/>
      <c r="D14" s="48"/>
      <c r="E14" s="119">
        <v>-5000</v>
      </c>
      <c r="F14" s="119">
        <f>E14/Modell!B5</f>
        <v>-25.523226135783563</v>
      </c>
    </row>
    <row r="15" spans="1:6" x14ac:dyDescent="0.25">
      <c r="B15" s="49" t="s">
        <v>328</v>
      </c>
      <c r="C15" s="120"/>
      <c r="D15" s="49"/>
      <c r="E15" s="120">
        <f>SUM(E13:E14)</f>
        <v>26080.000000000004</v>
      </c>
      <c r="F15" s="120">
        <f>SUM(F13:F14)</f>
        <v>133.12914752424706</v>
      </c>
    </row>
    <row r="16" spans="1:6" x14ac:dyDescent="0.25">
      <c r="B16" s="51"/>
      <c r="C16" s="121"/>
      <c r="D16" s="51"/>
      <c r="E16" s="121"/>
      <c r="F16" s="121"/>
    </row>
    <row r="17" spans="2:7" x14ac:dyDescent="0.25">
      <c r="B17" s="48" t="s">
        <v>326</v>
      </c>
      <c r="C17" s="119"/>
      <c r="D17" s="48"/>
      <c r="E17" s="119">
        <f>Modell!B7</f>
        <v>4222</v>
      </c>
      <c r="F17" s="119">
        <f>E17/Modell!B5</f>
        <v>21.551812149055639</v>
      </c>
    </row>
    <row r="18" spans="2:7" x14ac:dyDescent="0.25">
      <c r="B18" s="48" t="s">
        <v>325</v>
      </c>
      <c r="C18" s="119"/>
      <c r="D18" s="48"/>
      <c r="E18" s="119">
        <f>Modell!B8</f>
        <v>2244</v>
      </c>
      <c r="F18" s="119">
        <f>E18/(Modell!B5*-1)</f>
        <v>-11.454823889739663</v>
      </c>
    </row>
    <row r="19" spans="2:7" x14ac:dyDescent="0.25">
      <c r="B19" s="51"/>
      <c r="C19" s="121"/>
      <c r="D19" s="51"/>
      <c r="E19" s="121"/>
      <c r="F19" s="121"/>
    </row>
    <row r="20" spans="2:7" x14ac:dyDescent="0.25">
      <c r="B20" s="49" t="s">
        <v>327</v>
      </c>
      <c r="C20" s="120"/>
      <c r="D20" s="49"/>
      <c r="E20" s="120">
        <f>E11+E15+E17-E18</f>
        <v>76360</v>
      </c>
      <c r="F20" s="120">
        <f>F11+F15+F17+F18</f>
        <v>389.79070954568658</v>
      </c>
    </row>
    <row r="25" spans="2:7" x14ac:dyDescent="0.25">
      <c r="C25" s="14"/>
      <c r="E25" s="14"/>
      <c r="F25" s="14"/>
    </row>
    <row r="26" spans="2:7" x14ac:dyDescent="0.25">
      <c r="C26" s="14"/>
      <c r="E26" s="71"/>
      <c r="F26" s="14"/>
    </row>
    <row r="27" spans="2:7" x14ac:dyDescent="0.25">
      <c r="C27" s="14"/>
      <c r="E27" s="14"/>
      <c r="F27" s="14"/>
    </row>
    <row r="28" spans="2:7" x14ac:dyDescent="0.25">
      <c r="C28" s="14"/>
      <c r="E28" s="14"/>
      <c r="F28" s="14"/>
    </row>
    <row r="29" spans="2:7" x14ac:dyDescent="0.25">
      <c r="C29" s="14"/>
      <c r="E29" s="14"/>
      <c r="F29" s="14"/>
    </row>
    <row r="30" spans="2:7" x14ac:dyDescent="0.25">
      <c r="B30" s="2"/>
      <c r="C30" s="15"/>
      <c r="D30" s="125"/>
      <c r="E30" s="15"/>
      <c r="F30" s="15"/>
      <c r="G30" s="14"/>
    </row>
    <row r="60" spans="2:2" x14ac:dyDescent="0.25">
      <c r="B60" s="52"/>
    </row>
    <row r="61" spans="2:2" x14ac:dyDescent="0.25">
      <c r="B61" s="52"/>
    </row>
    <row r="62" spans="2:2" x14ac:dyDescent="0.25">
      <c r="B62" s="52"/>
    </row>
    <row r="63" spans="2:2" x14ac:dyDescent="0.25">
      <c r="B63" s="52"/>
    </row>
    <row r="64" spans="2:2" x14ac:dyDescent="0.25">
      <c r="B64" s="52"/>
    </row>
    <row r="65" spans="1:2" x14ac:dyDescent="0.25">
      <c r="A65" s="2"/>
      <c r="B65" s="53"/>
    </row>
    <row r="67" spans="1:2" x14ac:dyDescent="0.25">
      <c r="A67" s="2"/>
      <c r="B67" s="52"/>
    </row>
    <row r="69" spans="1:2" x14ac:dyDescent="0.25">
      <c r="B69" s="52"/>
    </row>
    <row r="70" spans="1:2" x14ac:dyDescent="0.25">
      <c r="B70" s="52"/>
    </row>
    <row r="71" spans="1:2" x14ac:dyDescent="0.25">
      <c r="A71" s="2"/>
      <c r="B71" s="52"/>
    </row>
    <row r="73" spans="1:2" x14ac:dyDescent="0.25">
      <c r="A73" s="2"/>
      <c r="B73" s="52"/>
    </row>
    <row r="74" spans="1:2" x14ac:dyDescent="0.25">
      <c r="B74" s="52"/>
    </row>
    <row r="75" spans="1:2" x14ac:dyDescent="0.25">
      <c r="B75" s="52"/>
    </row>
    <row r="76" spans="1:2" x14ac:dyDescent="0.25">
      <c r="B76" s="52"/>
    </row>
    <row r="77" spans="1:2" x14ac:dyDescent="0.25">
      <c r="B77" s="52"/>
    </row>
    <row r="79" spans="1:2" x14ac:dyDescent="0.25">
      <c r="A79" s="2"/>
      <c r="B79" s="52"/>
    </row>
    <row r="87" spans="1:2" x14ac:dyDescent="0.25">
      <c r="A87" s="48" t="s">
        <v>52</v>
      </c>
      <c r="B87" s="119">
        <f>F6</f>
        <v>132.21031138335886</v>
      </c>
    </row>
    <row r="88" spans="1:2" x14ac:dyDescent="0.25">
      <c r="A88" s="48" t="s">
        <v>53</v>
      </c>
      <c r="B88" s="119">
        <f t="shared" ref="B88:B101" si="1">F7</f>
        <v>67.901990811638584</v>
      </c>
    </row>
    <row r="89" spans="1:2" x14ac:dyDescent="0.25">
      <c r="A89" s="48" t="s">
        <v>54</v>
      </c>
      <c r="B89" s="119">
        <f t="shared" si="1"/>
        <v>67.993874425727412</v>
      </c>
    </row>
    <row r="90" spans="1:2" x14ac:dyDescent="0.25">
      <c r="A90" s="48" t="s">
        <v>55</v>
      </c>
      <c r="B90" s="119">
        <f t="shared" si="1"/>
        <v>-4.0837161817253698</v>
      </c>
    </row>
    <row r="91" spans="1:2" x14ac:dyDescent="0.25">
      <c r="A91" s="48" t="s">
        <v>59</v>
      </c>
      <c r="B91" s="119">
        <f t="shared" si="1"/>
        <v>-17.457886676875958</v>
      </c>
    </row>
    <row r="92" spans="1:2" x14ac:dyDescent="0.25">
      <c r="A92" s="49" t="s">
        <v>176</v>
      </c>
      <c r="B92" s="119">
        <f t="shared" si="1"/>
        <v>246.56457376212353</v>
      </c>
    </row>
    <row r="93" spans="1:2" x14ac:dyDescent="0.25">
      <c r="A93" s="51"/>
      <c r="B93" s="121"/>
    </row>
    <row r="94" spans="1:2" x14ac:dyDescent="0.25">
      <c r="A94" s="48" t="s">
        <v>177</v>
      </c>
      <c r="B94" s="119">
        <f t="shared" si="1"/>
        <v>158.65237366003063</v>
      </c>
    </row>
    <row r="95" spans="1:2" x14ac:dyDescent="0.25">
      <c r="A95" s="48" t="s">
        <v>324</v>
      </c>
      <c r="B95" s="119">
        <f t="shared" si="1"/>
        <v>-25.523226135783563</v>
      </c>
    </row>
    <row r="96" spans="1:2" x14ac:dyDescent="0.25">
      <c r="A96" s="49" t="s">
        <v>328</v>
      </c>
      <c r="B96" s="119">
        <f t="shared" si="1"/>
        <v>133.12914752424706</v>
      </c>
    </row>
    <row r="97" spans="1:2" x14ac:dyDescent="0.25">
      <c r="A97" s="51"/>
      <c r="B97" s="121"/>
    </row>
    <row r="98" spans="1:2" x14ac:dyDescent="0.25">
      <c r="A98" s="48" t="s">
        <v>326</v>
      </c>
      <c r="B98" s="119">
        <f t="shared" si="1"/>
        <v>21.551812149055639</v>
      </c>
    </row>
    <row r="99" spans="1:2" x14ac:dyDescent="0.25">
      <c r="A99" s="48" t="s">
        <v>325</v>
      </c>
      <c r="B99" s="119">
        <f t="shared" si="1"/>
        <v>-11.454823889739663</v>
      </c>
    </row>
    <row r="100" spans="1:2" x14ac:dyDescent="0.25">
      <c r="A100" s="51"/>
      <c r="B100" s="121"/>
    </row>
    <row r="101" spans="1:2" x14ac:dyDescent="0.25">
      <c r="A101" s="49" t="s">
        <v>327</v>
      </c>
      <c r="B101" s="119">
        <f t="shared" si="1"/>
        <v>389.79070954568658</v>
      </c>
    </row>
    <row r="1048576" spans="3:3" x14ac:dyDescent="0.25">
      <c r="C1048576" s="1">
        <f>C1048548*1.2</f>
        <v>0</v>
      </c>
    </row>
  </sheetData>
  <pageMargins left="0.7" right="0.7" top="0.75" bottom="0.75" header="0.3" footer="0.3"/>
  <ignoredErrors>
    <ignoredError sqref="D11" formula="1"/>
  </ignoredError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4E09-9CBE-5B4F-86EF-521970B1B9C1}">
  <dimension ref="B4:AA62"/>
  <sheetViews>
    <sheetView showGridLines="0" workbookViewId="0">
      <pane xSplit="2" ySplit="4" topLeftCell="P9" activePane="bottomRight" state="frozen"/>
      <selection pane="topRight" activeCell="C1" sqref="C1"/>
      <selection pane="bottomLeft" activeCell="A5" sqref="A5"/>
      <selection pane="bottomRight" activeCell="AC47" sqref="AC47"/>
    </sheetView>
  </sheetViews>
  <sheetFormatPr baseColWidth="10" defaultColWidth="10.83203125" defaultRowHeight="19" x14ac:dyDescent="0.25"/>
  <cols>
    <col min="1" max="1" width="4.83203125" style="1" customWidth="1"/>
    <col min="2" max="2" width="25.1640625" style="1" customWidth="1"/>
    <col min="3" max="6" width="10.83203125" style="1"/>
    <col min="7" max="7" width="11" style="1" bestFit="1" customWidth="1"/>
    <col min="8" max="11" width="10.83203125" style="1"/>
    <col min="12" max="12" width="11" style="1" bestFit="1" customWidth="1"/>
    <col min="13" max="16" width="10.83203125" style="1"/>
    <col min="17" max="17" width="11" style="1" bestFit="1" customWidth="1"/>
    <col min="18" max="18" width="11.1640625" style="1" bestFit="1" customWidth="1"/>
    <col min="19" max="19" width="12.1640625" style="1" bestFit="1" customWidth="1"/>
    <col min="20" max="21" width="10.83203125" style="1"/>
    <col min="22" max="22" width="12.1640625" style="1" bestFit="1" customWidth="1"/>
    <col min="23" max="16384" width="10.83203125" style="1"/>
  </cols>
  <sheetData>
    <row r="4" spans="2:27" x14ac:dyDescent="0.25">
      <c r="B4" s="1" t="s">
        <v>162</v>
      </c>
      <c r="C4" s="13" t="s">
        <v>6</v>
      </c>
      <c r="D4" s="13" t="s">
        <v>7</v>
      </c>
      <c r="E4" s="13" t="s">
        <v>8</v>
      </c>
      <c r="F4" s="13" t="s">
        <v>9</v>
      </c>
      <c r="G4" s="25">
        <v>2022</v>
      </c>
      <c r="H4" s="13" t="s">
        <v>10</v>
      </c>
      <c r="I4" s="13" t="s">
        <v>11</v>
      </c>
      <c r="J4" s="13" t="s">
        <v>12</v>
      </c>
      <c r="K4" s="13" t="s">
        <v>13</v>
      </c>
      <c r="L4" s="25">
        <v>2023</v>
      </c>
      <c r="M4" s="13" t="s">
        <v>14</v>
      </c>
      <c r="N4" s="13" t="s">
        <v>15</v>
      </c>
      <c r="O4" s="13" t="s">
        <v>16</v>
      </c>
      <c r="P4" s="13" t="s">
        <v>17</v>
      </c>
      <c r="Q4" s="25">
        <v>2024</v>
      </c>
      <c r="R4" s="13" t="s">
        <v>97</v>
      </c>
      <c r="S4" s="13" t="s">
        <v>98</v>
      </c>
      <c r="T4" s="13" t="s">
        <v>99</v>
      </c>
      <c r="U4" s="13" t="s">
        <v>100</v>
      </c>
      <c r="V4" s="28">
        <v>2025</v>
      </c>
      <c r="W4" s="13" t="s">
        <v>222</v>
      </c>
      <c r="X4" s="13" t="s">
        <v>223</v>
      </c>
      <c r="Y4" s="13" t="s">
        <v>224</v>
      </c>
      <c r="Z4" s="13" t="s">
        <v>225</v>
      </c>
      <c r="AA4" s="28">
        <v>2026</v>
      </c>
    </row>
    <row r="5" spans="2:27" x14ac:dyDescent="0.25">
      <c r="B5" s="2" t="s">
        <v>52</v>
      </c>
      <c r="G5" s="26"/>
      <c r="L5" s="26"/>
      <c r="Q5" s="26"/>
      <c r="V5" s="26"/>
      <c r="AA5" s="26"/>
    </row>
    <row r="6" spans="2:27" s="14" customFormat="1" x14ac:dyDescent="0.25">
      <c r="B6" s="14" t="s">
        <v>169</v>
      </c>
      <c r="C6" s="14">
        <f t="shared" ref="C6:Q6" si="0">SUM(C7:C8)</f>
        <v>319</v>
      </c>
      <c r="D6" s="14">
        <f t="shared" si="0"/>
        <v>366</v>
      </c>
      <c r="E6" s="14">
        <f t="shared" si="0"/>
        <v>391</v>
      </c>
      <c r="F6" s="14">
        <f t="shared" si="0"/>
        <v>369</v>
      </c>
      <c r="G6" s="83">
        <f t="shared" si="0"/>
        <v>1445</v>
      </c>
      <c r="H6" s="14">
        <f t="shared" si="0"/>
        <v>383</v>
      </c>
      <c r="I6" s="14">
        <f t="shared" si="0"/>
        <v>459</v>
      </c>
      <c r="J6" s="14">
        <f t="shared" si="0"/>
        <v>466</v>
      </c>
      <c r="K6" s="14">
        <f t="shared" si="0"/>
        <v>371</v>
      </c>
      <c r="L6" s="83">
        <f t="shared" si="0"/>
        <v>1679</v>
      </c>
      <c r="M6" s="14">
        <f t="shared" si="0"/>
        <v>391</v>
      </c>
      <c r="N6" s="14">
        <f>SUM(N7:N8)</f>
        <v>524</v>
      </c>
      <c r="O6" s="14">
        <f t="shared" si="0"/>
        <v>525</v>
      </c>
      <c r="P6" s="14">
        <f t="shared" si="0"/>
        <v>401</v>
      </c>
      <c r="Q6" s="83">
        <f t="shared" si="0"/>
        <v>1841</v>
      </c>
      <c r="R6" s="14">
        <f>SUM(R7:R8)</f>
        <v>413</v>
      </c>
      <c r="S6" s="14">
        <v>496</v>
      </c>
      <c r="T6" s="14">
        <v>484</v>
      </c>
      <c r="U6" s="14">
        <v>446</v>
      </c>
      <c r="V6" s="83">
        <f>SUM(V7:V8)</f>
        <v>1839</v>
      </c>
      <c r="W6" s="14">
        <v>418</v>
      </c>
      <c r="X6" s="14">
        <v>497</v>
      </c>
      <c r="AA6" s="83">
        <f>SUM(AA7:AA8)</f>
        <v>914</v>
      </c>
    </row>
    <row r="7" spans="2:27" x14ac:dyDescent="0.25">
      <c r="B7" s="30" t="s">
        <v>163</v>
      </c>
      <c r="C7" s="31">
        <v>319</v>
      </c>
      <c r="D7" s="31">
        <v>366</v>
      </c>
      <c r="E7" s="31">
        <v>391</v>
      </c>
      <c r="F7" s="31">
        <v>369</v>
      </c>
      <c r="G7" s="32">
        <f>SUM(C7:F7)</f>
        <v>1445</v>
      </c>
      <c r="H7" s="31">
        <v>383</v>
      </c>
      <c r="I7" s="31">
        <v>459</v>
      </c>
      <c r="J7" s="31">
        <v>466</v>
      </c>
      <c r="K7" s="31">
        <v>291</v>
      </c>
      <c r="L7" s="32">
        <f>SUM(H7:K7)</f>
        <v>1599</v>
      </c>
      <c r="M7" s="31">
        <v>312</v>
      </c>
      <c r="N7" s="31">
        <v>524</v>
      </c>
      <c r="O7" s="31">
        <v>525</v>
      </c>
      <c r="P7" s="31">
        <v>312</v>
      </c>
      <c r="Q7" s="32">
        <f>SUM(M7:P7)</f>
        <v>1673</v>
      </c>
      <c r="R7" s="31">
        <v>322</v>
      </c>
      <c r="S7" s="31">
        <v>337</v>
      </c>
      <c r="T7" s="31">
        <v>338</v>
      </c>
      <c r="U7" s="31">
        <v>352</v>
      </c>
      <c r="V7" s="32">
        <f>SUM(R7:U7)</f>
        <v>1349</v>
      </c>
      <c r="W7" s="31">
        <v>338</v>
      </c>
      <c r="X7" s="31">
        <v>353</v>
      </c>
      <c r="Y7" s="31"/>
      <c r="Z7" s="31"/>
      <c r="AA7" s="32">
        <f>SUM(W7:Z7)</f>
        <v>691</v>
      </c>
    </row>
    <row r="8" spans="2:27" x14ac:dyDescent="0.25">
      <c r="B8" s="30" t="s">
        <v>164</v>
      </c>
      <c r="C8" s="31">
        <v>0</v>
      </c>
      <c r="D8" s="31">
        <v>0</v>
      </c>
      <c r="E8" s="31">
        <v>0</v>
      </c>
      <c r="F8" s="31">
        <v>0</v>
      </c>
      <c r="G8" s="32">
        <f>SUM(C8:F8)</f>
        <v>0</v>
      </c>
      <c r="H8" s="31">
        <v>0</v>
      </c>
      <c r="I8" s="31">
        <v>0</v>
      </c>
      <c r="J8" s="31">
        <v>0</v>
      </c>
      <c r="K8" s="31">
        <v>80</v>
      </c>
      <c r="L8" s="32">
        <f>SUM(H8:K8)</f>
        <v>80</v>
      </c>
      <c r="M8" s="31">
        <v>79</v>
      </c>
      <c r="N8" s="31">
        <v>0</v>
      </c>
      <c r="O8" s="31">
        <v>0</v>
      </c>
      <c r="P8" s="31">
        <v>89</v>
      </c>
      <c r="Q8" s="32">
        <f>SUM(M8:P8)</f>
        <v>168</v>
      </c>
      <c r="R8" s="31">
        <v>91</v>
      </c>
      <c r="S8" s="31">
        <v>158</v>
      </c>
      <c r="T8" s="31">
        <v>147</v>
      </c>
      <c r="U8" s="31">
        <v>94</v>
      </c>
      <c r="V8" s="32">
        <f>SUM(R8:U8)</f>
        <v>490</v>
      </c>
      <c r="W8" s="31">
        <v>80</v>
      </c>
      <c r="X8" s="31">
        <v>143</v>
      </c>
      <c r="Y8" s="31"/>
      <c r="Z8" s="31"/>
      <c r="AA8" s="32">
        <f>SUM(W8:Z8)</f>
        <v>223</v>
      </c>
    </row>
    <row r="9" spans="2:27" x14ac:dyDescent="0.25">
      <c r="B9" s="1" t="s">
        <v>165</v>
      </c>
      <c r="C9" s="1">
        <v>0</v>
      </c>
      <c r="D9" s="1">
        <v>0</v>
      </c>
      <c r="E9" s="1">
        <v>0</v>
      </c>
      <c r="F9" s="1">
        <v>0</v>
      </c>
      <c r="G9" s="26">
        <f>SUM(C9:F9)</f>
        <v>0</v>
      </c>
      <c r="H9" s="1">
        <v>0</v>
      </c>
      <c r="I9" s="1">
        <v>0</v>
      </c>
      <c r="J9" s="1">
        <v>0</v>
      </c>
      <c r="K9" s="1">
        <v>86</v>
      </c>
      <c r="L9" s="26">
        <f>SUM(H9:K9)</f>
        <v>86</v>
      </c>
      <c r="M9" s="1">
        <v>73</v>
      </c>
      <c r="N9" s="1">
        <v>0</v>
      </c>
      <c r="O9" s="1">
        <v>0</v>
      </c>
      <c r="P9" s="1">
        <v>91</v>
      </c>
      <c r="Q9" s="26">
        <f>SUM(M9:P9)</f>
        <v>164</v>
      </c>
      <c r="R9" s="1">
        <v>86</v>
      </c>
      <c r="S9" s="1">
        <v>103</v>
      </c>
      <c r="T9" s="1">
        <v>123</v>
      </c>
      <c r="U9" s="1">
        <v>117</v>
      </c>
      <c r="V9" s="26">
        <f>SUM(R9:U9)</f>
        <v>429</v>
      </c>
      <c r="W9" s="1">
        <v>99</v>
      </c>
      <c r="X9" s="1">
        <v>116</v>
      </c>
      <c r="AA9" s="26">
        <f>SUM(W9:Z9)</f>
        <v>215</v>
      </c>
    </row>
    <row r="10" spans="2:27" x14ac:dyDescent="0.25">
      <c r="B10" s="1" t="s">
        <v>166</v>
      </c>
      <c r="C10" s="1">
        <v>58</v>
      </c>
      <c r="D10" s="1">
        <v>69</v>
      </c>
      <c r="E10" s="1">
        <v>57</v>
      </c>
      <c r="F10" s="1">
        <v>61</v>
      </c>
      <c r="G10" s="26">
        <f t="shared" ref="G10:G11" si="1">SUM(C10:F10)</f>
        <v>245</v>
      </c>
      <c r="H10" s="1">
        <v>54</v>
      </c>
      <c r="I10" s="1">
        <v>70</v>
      </c>
      <c r="J10" s="1">
        <v>59</v>
      </c>
      <c r="K10" s="1">
        <v>76</v>
      </c>
      <c r="L10" s="26">
        <f t="shared" ref="L10:L11" si="2">SUM(H10:K10)</f>
        <v>259</v>
      </c>
      <c r="M10" s="1">
        <v>68</v>
      </c>
      <c r="N10" s="1">
        <v>59</v>
      </c>
      <c r="O10" s="1">
        <v>49</v>
      </c>
      <c r="P10" s="1">
        <v>55</v>
      </c>
      <c r="Q10" s="26">
        <f t="shared" ref="Q10:Q11" si="3">SUM(M10:P10)</f>
        <v>231</v>
      </c>
      <c r="R10" s="1">
        <v>48</v>
      </c>
      <c r="S10" s="1">
        <v>69</v>
      </c>
      <c r="T10" s="1">
        <v>63</v>
      </c>
      <c r="U10" s="1">
        <v>57</v>
      </c>
      <c r="V10" s="26">
        <f t="shared" ref="V10:V11" si="4">SUM(R10:U10)</f>
        <v>237</v>
      </c>
      <c r="W10" s="1">
        <v>51</v>
      </c>
      <c r="X10" s="1">
        <v>61</v>
      </c>
      <c r="AA10" s="26">
        <f t="shared" ref="AA10:AA11" si="5">SUM(W10:Z10)</f>
        <v>112</v>
      </c>
    </row>
    <row r="11" spans="2:27" x14ac:dyDescent="0.25">
      <c r="B11" s="1" t="s">
        <v>167</v>
      </c>
      <c r="C11" s="1">
        <v>49</v>
      </c>
      <c r="D11" s="1">
        <v>58</v>
      </c>
      <c r="E11" s="1">
        <v>52</v>
      </c>
      <c r="F11" s="1">
        <v>44</v>
      </c>
      <c r="G11" s="26">
        <f t="shared" si="1"/>
        <v>203</v>
      </c>
      <c r="H11" s="1">
        <v>49</v>
      </c>
      <c r="I11" s="1">
        <v>70</v>
      </c>
      <c r="J11" s="1">
        <v>47</v>
      </c>
      <c r="K11" s="1">
        <v>18</v>
      </c>
      <c r="L11" s="26">
        <f t="shared" si="2"/>
        <v>184</v>
      </c>
      <c r="M11" s="1">
        <v>19</v>
      </c>
      <c r="N11" s="1">
        <v>50</v>
      </c>
      <c r="O11" s="1">
        <v>45</v>
      </c>
      <c r="P11" s="1">
        <v>13</v>
      </c>
      <c r="Q11" s="26">
        <f t="shared" si="3"/>
        <v>127</v>
      </c>
      <c r="R11" s="1">
        <v>10</v>
      </c>
      <c r="S11" s="1">
        <v>8</v>
      </c>
      <c r="T11" s="1">
        <v>8</v>
      </c>
      <c r="U11" s="1">
        <v>8</v>
      </c>
      <c r="V11" s="26">
        <f t="shared" si="4"/>
        <v>34</v>
      </c>
      <c r="W11" s="1">
        <v>7</v>
      </c>
      <c r="X11" s="1">
        <v>8</v>
      </c>
      <c r="AA11" s="26">
        <f t="shared" si="5"/>
        <v>15</v>
      </c>
    </row>
    <row r="12" spans="2:27" x14ac:dyDescent="0.25">
      <c r="B12" s="2" t="s">
        <v>168</v>
      </c>
      <c r="C12" s="15">
        <f t="shared" ref="C12:Q12" si="6">C6+C9+C10+C11</f>
        <v>426</v>
      </c>
      <c r="D12" s="15">
        <f t="shared" si="6"/>
        <v>493</v>
      </c>
      <c r="E12" s="15">
        <f t="shared" si="6"/>
        <v>500</v>
      </c>
      <c r="F12" s="15">
        <f t="shared" si="6"/>
        <v>474</v>
      </c>
      <c r="G12" s="54">
        <f t="shared" si="6"/>
        <v>1893</v>
      </c>
      <c r="H12" s="15">
        <f t="shared" si="6"/>
        <v>486</v>
      </c>
      <c r="I12" s="15">
        <f t="shared" si="6"/>
        <v>599</v>
      </c>
      <c r="J12" s="15">
        <f t="shared" si="6"/>
        <v>572</v>
      </c>
      <c r="K12" s="15">
        <f t="shared" si="6"/>
        <v>551</v>
      </c>
      <c r="L12" s="54">
        <f t="shared" si="6"/>
        <v>2208</v>
      </c>
      <c r="M12" s="15">
        <f t="shared" si="6"/>
        <v>551</v>
      </c>
      <c r="N12" s="15">
        <f>N6+N9+N10+N11</f>
        <v>633</v>
      </c>
      <c r="O12" s="15">
        <f t="shared" si="6"/>
        <v>619</v>
      </c>
      <c r="P12" s="15">
        <f t="shared" si="6"/>
        <v>560</v>
      </c>
      <c r="Q12" s="54">
        <f t="shared" si="6"/>
        <v>2363</v>
      </c>
      <c r="R12" s="15">
        <f>R6+R9+R10+R11</f>
        <v>557</v>
      </c>
      <c r="S12" s="15">
        <f t="shared" ref="S12:V12" si="7">S6+S9+S10+S11</f>
        <v>676</v>
      </c>
      <c r="T12" s="15">
        <f t="shared" si="7"/>
        <v>678</v>
      </c>
      <c r="U12" s="15">
        <f t="shared" si="7"/>
        <v>628</v>
      </c>
      <c r="V12" s="54">
        <f t="shared" si="7"/>
        <v>2539</v>
      </c>
      <c r="W12" s="15">
        <f>W6+W9+W10+W11</f>
        <v>575</v>
      </c>
      <c r="X12" s="15">
        <f t="shared" ref="X12:AA12" si="8">X6+X9+X10+X11</f>
        <v>682</v>
      </c>
      <c r="Y12" s="15">
        <f t="shared" si="8"/>
        <v>0</v>
      </c>
      <c r="Z12" s="15">
        <f t="shared" si="8"/>
        <v>0</v>
      </c>
      <c r="AA12" s="54">
        <f t="shared" si="8"/>
        <v>1256</v>
      </c>
    </row>
    <row r="13" spans="2:27" x14ac:dyDescent="0.25">
      <c r="B13" s="12" t="s">
        <v>170</v>
      </c>
      <c r="C13" s="12"/>
      <c r="D13" s="12"/>
      <c r="E13" s="12"/>
      <c r="F13" s="12"/>
      <c r="G13" s="27"/>
      <c r="H13" s="38">
        <f>(H12-C12)/C12</f>
        <v>0.14084507042253522</v>
      </c>
      <c r="I13" s="38">
        <f>(I12-D12)/D12</f>
        <v>0.21501014198782961</v>
      </c>
      <c r="J13" s="38">
        <f t="shared" ref="J13" si="9">(J12-E12)/E12</f>
        <v>0.14399999999999999</v>
      </c>
      <c r="K13" s="38">
        <f t="shared" ref="K13" si="10">(K12-F12)/F12</f>
        <v>0.16244725738396623</v>
      </c>
      <c r="L13" s="34">
        <f>(L12-G12)/G12</f>
        <v>0.1664025356576862</v>
      </c>
      <c r="M13" s="38">
        <f>(M12-H12)/H12</f>
        <v>0.13374485596707819</v>
      </c>
      <c r="N13" s="38">
        <f>(N12-I12)/I12</f>
        <v>5.6761268781302172E-2</v>
      </c>
      <c r="O13" s="38">
        <f t="shared" ref="O13" si="11">(O12-J12)/J12</f>
        <v>8.2167832167832161E-2</v>
      </c>
      <c r="P13" s="38">
        <f t="shared" ref="P13" si="12">(P12-K12)/K12</f>
        <v>1.6333938294010888E-2</v>
      </c>
      <c r="Q13" s="34">
        <f>(Q12-L12)/L12</f>
        <v>7.0199275362318847E-2</v>
      </c>
      <c r="R13" s="38">
        <f>(R12-M12)/M12</f>
        <v>1.0889292196007259E-2</v>
      </c>
      <c r="S13" s="38">
        <f>(S12-N12)/N12</f>
        <v>6.7930489731437602E-2</v>
      </c>
      <c r="T13" s="38">
        <f t="shared" ref="T13:U13" si="13">(T12-O12)/O12</f>
        <v>9.5315024232633286E-2</v>
      </c>
      <c r="U13" s="38">
        <f t="shared" si="13"/>
        <v>0.12142857142857143</v>
      </c>
      <c r="V13" s="35">
        <f>(V12-Q12)/Q12</f>
        <v>7.4481591197630134E-2</v>
      </c>
      <c r="W13" s="38">
        <f>(W12-R12)/R12</f>
        <v>3.231597845601436E-2</v>
      </c>
      <c r="X13" s="38">
        <f>(X12-S12)/S12</f>
        <v>8.8757396449704144E-3</v>
      </c>
      <c r="Y13" s="38">
        <f t="shared" ref="Y13" si="14">(Y12-T12)/T12</f>
        <v>-1</v>
      </c>
      <c r="Z13" s="38">
        <f t="shared" ref="Z13" si="15">(Z12-U12)/U12</f>
        <v>-1</v>
      </c>
      <c r="AA13" s="35">
        <f>(AA12-V12)/V12</f>
        <v>-0.50531705395825133</v>
      </c>
    </row>
    <row r="14" spans="2:27" x14ac:dyDescent="0.25">
      <c r="B14" s="2" t="s">
        <v>132</v>
      </c>
      <c r="C14" s="15">
        <v>209</v>
      </c>
      <c r="D14" s="15">
        <v>272</v>
      </c>
      <c r="E14" s="15">
        <v>275</v>
      </c>
      <c r="F14" s="15">
        <v>235</v>
      </c>
      <c r="G14" s="54">
        <f>SUM(C14:F14)</f>
        <v>991</v>
      </c>
      <c r="H14" s="15">
        <v>220</v>
      </c>
      <c r="I14" s="15">
        <v>315</v>
      </c>
      <c r="J14" s="15">
        <v>304</v>
      </c>
      <c r="K14" s="15">
        <v>270</v>
      </c>
      <c r="L14" s="54">
        <f>SUM(H14:K14)</f>
        <v>1109</v>
      </c>
      <c r="M14" s="15">
        <v>268</v>
      </c>
      <c r="N14" s="15">
        <v>342</v>
      </c>
      <c r="O14" s="15">
        <v>336</v>
      </c>
      <c r="P14" s="15">
        <v>278</v>
      </c>
      <c r="Q14" s="54">
        <f>SUM(M14:P14)</f>
        <v>1224</v>
      </c>
      <c r="R14" s="15">
        <v>275</v>
      </c>
      <c r="S14" s="15">
        <v>391</v>
      </c>
      <c r="T14" s="15">
        <v>389</v>
      </c>
      <c r="U14" s="15">
        <v>336</v>
      </c>
      <c r="V14" s="54">
        <f>SUM(R14:U14)</f>
        <v>1391</v>
      </c>
      <c r="W14" s="15">
        <v>274</v>
      </c>
      <c r="X14" s="15">
        <v>365</v>
      </c>
      <c r="Y14" s="15"/>
      <c r="Z14" s="15"/>
      <c r="AA14" s="54">
        <f>SUM(W14:Z14)</f>
        <v>639</v>
      </c>
    </row>
    <row r="15" spans="2:27" x14ac:dyDescent="0.25">
      <c r="B15" s="23" t="s">
        <v>58</v>
      </c>
      <c r="C15" s="24">
        <f t="shared" ref="C15:P15" si="16">C14/C12</f>
        <v>0.49061032863849763</v>
      </c>
      <c r="D15" s="24">
        <f t="shared" si="16"/>
        <v>0.55172413793103448</v>
      </c>
      <c r="E15" s="24">
        <f t="shared" si="16"/>
        <v>0.55000000000000004</v>
      </c>
      <c r="F15" s="24">
        <f t="shared" si="16"/>
        <v>0.49578059071729957</v>
      </c>
      <c r="G15" s="29">
        <f>G14/G12</f>
        <v>0.52350765979926039</v>
      </c>
      <c r="H15" s="24">
        <f t="shared" si="16"/>
        <v>0.45267489711934156</v>
      </c>
      <c r="I15" s="24">
        <f t="shared" si="16"/>
        <v>0.52587646076794659</v>
      </c>
      <c r="J15" s="24">
        <f t="shared" si="16"/>
        <v>0.53146853146853146</v>
      </c>
      <c r="K15" s="24">
        <f t="shared" si="16"/>
        <v>0.49001814882032668</v>
      </c>
      <c r="L15" s="29">
        <f>L14/L12</f>
        <v>0.50226449275362317</v>
      </c>
      <c r="M15" s="37">
        <f t="shared" si="16"/>
        <v>0.48638838475499091</v>
      </c>
      <c r="N15" s="37">
        <f t="shared" si="16"/>
        <v>0.54028436018957349</v>
      </c>
      <c r="O15" s="37">
        <f t="shared" si="16"/>
        <v>0.54281098546042006</v>
      </c>
      <c r="P15" s="37">
        <f t="shared" si="16"/>
        <v>0.49642857142857144</v>
      </c>
      <c r="Q15" s="29">
        <f>Q14/Q12</f>
        <v>0.51798561151079137</v>
      </c>
      <c r="R15" s="37">
        <f>R14/R12</f>
        <v>0.49371633752244165</v>
      </c>
      <c r="S15" s="37">
        <f t="shared" ref="S15:U15" si="17">S14/S12</f>
        <v>0.57840236686390534</v>
      </c>
      <c r="T15" s="37">
        <f t="shared" si="17"/>
        <v>0.57374631268436582</v>
      </c>
      <c r="U15" s="37">
        <f t="shared" si="17"/>
        <v>0.53503184713375795</v>
      </c>
      <c r="V15" s="36">
        <f>V14/V12</f>
        <v>0.5478534856242615</v>
      </c>
      <c r="W15" s="37">
        <f>W14/W12</f>
        <v>0.47652173913043477</v>
      </c>
      <c r="X15" s="37">
        <f t="shared" ref="X15:Z15" si="18">X14/X12</f>
        <v>0.53519061583577709</v>
      </c>
      <c r="Y15" s="37" t="e">
        <f t="shared" si="18"/>
        <v>#DIV/0!</v>
      </c>
      <c r="Z15" s="37" t="e">
        <f t="shared" si="18"/>
        <v>#DIV/0!</v>
      </c>
      <c r="AA15" s="36">
        <f>AA14/AA12</f>
        <v>0.50875796178343946</v>
      </c>
    </row>
    <row r="16" spans="2:27" x14ac:dyDescent="0.25">
      <c r="B16" s="2" t="s">
        <v>53</v>
      </c>
      <c r="G16" s="26"/>
      <c r="L16" s="26"/>
      <c r="Q16" s="26"/>
      <c r="V16" s="26"/>
      <c r="AA16" s="26"/>
    </row>
    <row r="17" spans="2:27" s="14" customFormat="1" x14ac:dyDescent="0.25">
      <c r="B17" s="14" t="s">
        <v>169</v>
      </c>
      <c r="C17" s="14">
        <f t="shared" ref="C17" si="19">SUM(C18:C19)</f>
        <v>147</v>
      </c>
      <c r="D17" s="14">
        <f t="shared" ref="D17" si="20">SUM(D18:D19)</f>
        <v>193</v>
      </c>
      <c r="E17" s="14">
        <f t="shared" ref="E17" si="21">SUM(E18:E19)</f>
        <v>192</v>
      </c>
      <c r="F17" s="14">
        <f t="shared" ref="F17" si="22">SUM(F18:F19)</f>
        <v>178</v>
      </c>
      <c r="G17" s="83">
        <f t="shared" ref="G17" si="23">SUM(G18:G19)</f>
        <v>710</v>
      </c>
      <c r="H17" s="14">
        <f t="shared" ref="H17" si="24">SUM(H18:H19)</f>
        <v>190</v>
      </c>
      <c r="I17" s="14">
        <f t="shared" ref="I17" si="25">SUM(I18:I19)</f>
        <v>261</v>
      </c>
      <c r="J17" s="14">
        <f t="shared" ref="J17" si="26">SUM(J18:J19)</f>
        <v>249</v>
      </c>
      <c r="K17" s="14">
        <f t="shared" ref="K17" si="27">SUM(K18:K19)</f>
        <v>193</v>
      </c>
      <c r="L17" s="83">
        <f t="shared" ref="L17" si="28">SUM(L18:L19)</f>
        <v>893</v>
      </c>
      <c r="M17" s="14">
        <f t="shared" ref="M17" si="29">SUM(M18:M19)</f>
        <v>207</v>
      </c>
      <c r="N17" s="14">
        <f t="shared" ref="N17" si="30">SUM(N18:N19)</f>
        <v>319</v>
      </c>
      <c r="O17" s="14">
        <f>SUM(O18:O19)</f>
        <v>295</v>
      </c>
      <c r="P17" s="14">
        <f>SUM(P18:P19)</f>
        <v>211</v>
      </c>
      <c r="Q17" s="83">
        <f t="shared" ref="Q17" si="31">SUM(Q18:Q19)</f>
        <v>1032</v>
      </c>
      <c r="R17" s="14">
        <f>SUM(R18:R19)</f>
        <v>245</v>
      </c>
      <c r="S17" s="14">
        <v>324</v>
      </c>
      <c r="T17" s="14">
        <v>283</v>
      </c>
      <c r="U17" s="14">
        <v>241</v>
      </c>
      <c r="V17" s="83">
        <f t="shared" ref="V17" si="32">SUM(V18:V19)</f>
        <v>1093</v>
      </c>
      <c r="W17" s="14">
        <v>272</v>
      </c>
      <c r="X17" s="14">
        <v>365</v>
      </c>
      <c r="AA17" s="83">
        <f t="shared" ref="AA17" si="33">SUM(AA18:AA19)</f>
        <v>637</v>
      </c>
    </row>
    <row r="18" spans="2:27" s="14" customFormat="1" x14ac:dyDescent="0.25">
      <c r="B18" s="84" t="s">
        <v>163</v>
      </c>
      <c r="C18" s="85">
        <v>147</v>
      </c>
      <c r="D18" s="85">
        <v>193</v>
      </c>
      <c r="E18" s="85">
        <v>192</v>
      </c>
      <c r="F18" s="85">
        <v>178</v>
      </c>
      <c r="G18" s="86">
        <f>SUM(C18:F18)</f>
        <v>710</v>
      </c>
      <c r="H18" s="85">
        <v>190</v>
      </c>
      <c r="I18" s="85">
        <v>261</v>
      </c>
      <c r="J18" s="85">
        <v>249</v>
      </c>
      <c r="K18" s="85">
        <v>164</v>
      </c>
      <c r="L18" s="86">
        <f>SUM(H18:K18)</f>
        <v>864</v>
      </c>
      <c r="M18" s="85">
        <v>177</v>
      </c>
      <c r="N18" s="85">
        <v>319</v>
      </c>
      <c r="O18" s="85">
        <v>295</v>
      </c>
      <c r="P18" s="85">
        <v>182</v>
      </c>
      <c r="Q18" s="86">
        <f>SUM(M18:P18)</f>
        <v>973</v>
      </c>
      <c r="R18" s="85">
        <v>212</v>
      </c>
      <c r="S18" s="85">
        <v>287</v>
      </c>
      <c r="T18" s="85">
        <v>247</v>
      </c>
      <c r="U18" s="85">
        <v>213</v>
      </c>
      <c r="V18" s="86">
        <f>SUM(R18:U18)</f>
        <v>959</v>
      </c>
      <c r="W18" s="85">
        <v>241</v>
      </c>
      <c r="X18" s="85">
        <v>330</v>
      </c>
      <c r="Y18" s="85"/>
      <c r="Z18" s="85"/>
      <c r="AA18" s="86">
        <f>SUM(W18:Z18)</f>
        <v>571</v>
      </c>
    </row>
    <row r="19" spans="2:27" s="14" customFormat="1" x14ac:dyDescent="0.25">
      <c r="B19" s="84" t="s">
        <v>164</v>
      </c>
      <c r="C19" s="85">
        <v>0</v>
      </c>
      <c r="D19" s="85">
        <v>0</v>
      </c>
      <c r="E19" s="85">
        <v>0</v>
      </c>
      <c r="F19" s="85">
        <v>0</v>
      </c>
      <c r="G19" s="86">
        <f>SUM(C19:F19)</f>
        <v>0</v>
      </c>
      <c r="H19" s="85">
        <v>0</v>
      </c>
      <c r="I19" s="85">
        <v>0</v>
      </c>
      <c r="J19" s="85">
        <v>0</v>
      </c>
      <c r="K19" s="85">
        <v>29</v>
      </c>
      <c r="L19" s="86">
        <f>SUM(H19:K19)</f>
        <v>29</v>
      </c>
      <c r="M19" s="85">
        <v>30</v>
      </c>
      <c r="N19" s="85">
        <v>0</v>
      </c>
      <c r="O19" s="85">
        <v>0</v>
      </c>
      <c r="P19" s="85">
        <v>29</v>
      </c>
      <c r="Q19" s="86">
        <f>SUM(M19:P19)</f>
        <v>59</v>
      </c>
      <c r="R19" s="85">
        <v>33</v>
      </c>
      <c r="S19" s="85">
        <v>37</v>
      </c>
      <c r="T19" s="85">
        <v>36</v>
      </c>
      <c r="U19" s="85">
        <v>28</v>
      </c>
      <c r="V19" s="86">
        <f>SUM(R19:U19)</f>
        <v>134</v>
      </c>
      <c r="W19" s="85">
        <v>31</v>
      </c>
      <c r="X19" s="85">
        <v>35</v>
      </c>
      <c r="Y19" s="85"/>
      <c r="Z19" s="85"/>
      <c r="AA19" s="86">
        <f>SUM(W19:Z19)</f>
        <v>66</v>
      </c>
    </row>
    <row r="20" spans="2:27" s="14" customFormat="1" x14ac:dyDescent="0.25">
      <c r="B20" s="14" t="s">
        <v>165</v>
      </c>
      <c r="C20" s="14">
        <v>0</v>
      </c>
      <c r="D20" s="14">
        <v>0</v>
      </c>
      <c r="E20" s="14">
        <v>0</v>
      </c>
      <c r="F20" s="14">
        <v>0</v>
      </c>
      <c r="G20" s="83">
        <f>SUM(C20:F20)</f>
        <v>0</v>
      </c>
      <c r="H20" s="14">
        <v>0</v>
      </c>
      <c r="I20" s="14">
        <v>0</v>
      </c>
      <c r="J20" s="14">
        <v>0</v>
      </c>
      <c r="K20" s="14">
        <v>17</v>
      </c>
      <c r="L20" s="83">
        <f>SUM(H20:K20)</f>
        <v>17</v>
      </c>
      <c r="M20" s="14">
        <v>20</v>
      </c>
      <c r="N20" s="14">
        <v>0</v>
      </c>
      <c r="O20" s="14">
        <v>0</v>
      </c>
      <c r="P20" s="14">
        <v>35</v>
      </c>
      <c r="Q20" s="83">
        <f>SUM(M20:P20)</f>
        <v>55</v>
      </c>
      <c r="R20" s="14">
        <v>40</v>
      </c>
      <c r="S20" s="14">
        <v>38</v>
      </c>
      <c r="T20" s="14">
        <v>45</v>
      </c>
      <c r="U20" s="14">
        <v>46</v>
      </c>
      <c r="V20" s="83">
        <f>SUM(R20:U20)</f>
        <v>169</v>
      </c>
      <c r="W20" s="14">
        <v>48</v>
      </c>
      <c r="X20" s="14">
        <v>45</v>
      </c>
      <c r="AA20" s="83">
        <f>SUM(W20:Z20)</f>
        <v>93</v>
      </c>
    </row>
    <row r="21" spans="2:27" s="14" customFormat="1" x14ac:dyDescent="0.25">
      <c r="B21" s="14" t="s">
        <v>166</v>
      </c>
      <c r="C21" s="14">
        <v>18</v>
      </c>
      <c r="D21" s="14">
        <v>20</v>
      </c>
      <c r="E21" s="87">
        <v>17</v>
      </c>
      <c r="F21" s="14">
        <v>18</v>
      </c>
      <c r="G21" s="83">
        <f t="shared" ref="G21:G22" si="34">SUM(C21:F21)</f>
        <v>73</v>
      </c>
      <c r="H21" s="14">
        <v>14</v>
      </c>
      <c r="I21" s="14">
        <v>17</v>
      </c>
      <c r="J21" s="14">
        <v>16</v>
      </c>
      <c r="K21" s="14">
        <v>18</v>
      </c>
      <c r="L21" s="83">
        <f t="shared" ref="L21:L22" si="35">SUM(H21:K21)</f>
        <v>65</v>
      </c>
      <c r="M21" s="14">
        <v>16</v>
      </c>
      <c r="N21" s="14">
        <v>14</v>
      </c>
      <c r="O21" s="14">
        <v>13</v>
      </c>
      <c r="P21" s="14">
        <v>15</v>
      </c>
      <c r="Q21" s="83">
        <f t="shared" ref="Q21:Q22" si="36">SUM(M21:P21)</f>
        <v>58</v>
      </c>
      <c r="R21" s="14">
        <v>13</v>
      </c>
      <c r="S21" s="14">
        <v>15</v>
      </c>
      <c r="T21" s="14">
        <v>15</v>
      </c>
      <c r="U21" s="14">
        <v>15</v>
      </c>
      <c r="V21" s="83">
        <f t="shared" ref="V21:V22" si="37">SUM(R21:U21)</f>
        <v>58</v>
      </c>
      <c r="W21" s="14">
        <v>17</v>
      </c>
      <c r="X21" s="14">
        <v>19</v>
      </c>
      <c r="AA21" s="83">
        <f t="shared" ref="AA21:AA22" si="38">SUM(W21:Z21)</f>
        <v>36</v>
      </c>
    </row>
    <row r="22" spans="2:27" s="14" customFormat="1" x14ac:dyDescent="0.25">
      <c r="B22" s="14" t="s">
        <v>167</v>
      </c>
      <c r="C22" s="14">
        <v>11</v>
      </c>
      <c r="D22" s="14">
        <v>13</v>
      </c>
      <c r="E22" s="14">
        <v>12</v>
      </c>
      <c r="F22" s="14">
        <v>10</v>
      </c>
      <c r="G22" s="83">
        <f t="shared" si="34"/>
        <v>46</v>
      </c>
      <c r="H22" s="14">
        <v>12</v>
      </c>
      <c r="I22" s="14">
        <v>17</v>
      </c>
      <c r="J22" s="14">
        <v>15</v>
      </c>
      <c r="K22" s="14">
        <v>8</v>
      </c>
      <c r="L22" s="83">
        <f t="shared" si="35"/>
        <v>52</v>
      </c>
      <c r="M22" s="14">
        <v>6</v>
      </c>
      <c r="N22" s="14">
        <v>8</v>
      </c>
      <c r="O22" s="14">
        <v>8</v>
      </c>
      <c r="P22" s="14">
        <v>3</v>
      </c>
      <c r="Q22" s="83">
        <f t="shared" si="36"/>
        <v>25</v>
      </c>
      <c r="R22" s="14">
        <v>4</v>
      </c>
      <c r="S22" s="14">
        <v>1</v>
      </c>
      <c r="T22" s="14">
        <v>2</v>
      </c>
      <c r="U22" s="14">
        <v>0</v>
      </c>
      <c r="V22" s="83">
        <f t="shared" si="37"/>
        <v>7</v>
      </c>
      <c r="W22" s="14">
        <v>4</v>
      </c>
      <c r="X22" s="14">
        <v>4</v>
      </c>
      <c r="AA22" s="83">
        <f t="shared" si="38"/>
        <v>8</v>
      </c>
    </row>
    <row r="23" spans="2:27" s="14" customFormat="1" x14ac:dyDescent="0.25">
      <c r="B23" s="15" t="s">
        <v>168</v>
      </c>
      <c r="C23" s="15">
        <f t="shared" ref="C23" si="39">C17+C20+C21+C22</f>
        <v>176</v>
      </c>
      <c r="D23" s="15">
        <f t="shared" ref="D23" si="40">D17+D20+D21+D22</f>
        <v>226</v>
      </c>
      <c r="E23" s="15">
        <f t="shared" ref="E23" si="41">E17+E20+E21+E22</f>
        <v>221</v>
      </c>
      <c r="F23" s="15">
        <f t="shared" ref="F23" si="42">F17+F20+F21+F22</f>
        <v>206</v>
      </c>
      <c r="G23" s="54">
        <f t="shared" ref="G23" si="43">G17+G20+G21+G22</f>
        <v>829</v>
      </c>
      <c r="H23" s="15">
        <f t="shared" ref="H23" si="44">H17+H20+H21+H22</f>
        <v>216</v>
      </c>
      <c r="I23" s="15">
        <f t="shared" ref="I23" si="45">I17+I20+I21+I22</f>
        <v>295</v>
      </c>
      <c r="J23" s="15">
        <f>J17+J20+J21+J22</f>
        <v>280</v>
      </c>
      <c r="K23" s="15">
        <f t="shared" ref="K23" si="46">K17+K20+K21+K22</f>
        <v>236</v>
      </c>
      <c r="L23" s="54">
        <f t="shared" ref="L23" si="47">L17+L20+L21+L22</f>
        <v>1027</v>
      </c>
      <c r="M23" s="15">
        <f t="shared" ref="M23" si="48">M17+M20+M21+M22</f>
        <v>249</v>
      </c>
      <c r="N23" s="15">
        <f t="shared" ref="N23" si="49">N17+N20+N21+N22</f>
        <v>341</v>
      </c>
      <c r="O23" s="15">
        <f>O17+O20+O21+O22</f>
        <v>316</v>
      </c>
      <c r="P23" s="15">
        <f t="shared" ref="P23" si="50">P17+P20+P21+P22</f>
        <v>264</v>
      </c>
      <c r="Q23" s="54">
        <f t="shared" ref="Q23" si="51">Q17+Q20+Q21+Q22</f>
        <v>1170</v>
      </c>
      <c r="R23" s="15">
        <f>R17+R20+R21+R22</f>
        <v>302</v>
      </c>
      <c r="S23" s="15">
        <f t="shared" ref="S23" si="52">S17+S20+S21+S22</f>
        <v>378</v>
      </c>
      <c r="T23" s="15">
        <f t="shared" ref="T23" si="53">T17+T20+T21+T22</f>
        <v>345</v>
      </c>
      <c r="U23" s="15">
        <f t="shared" ref="U23" si="54">U17+U20+U21+U22</f>
        <v>302</v>
      </c>
      <c r="V23" s="54">
        <f t="shared" ref="V23" si="55">V17+V20+V21+V22</f>
        <v>1327</v>
      </c>
      <c r="W23" s="15">
        <f>W17+W20+W21+W22</f>
        <v>341</v>
      </c>
      <c r="X23" s="15">
        <f t="shared" ref="X23:AA23" si="56">X17+X20+X21+X22</f>
        <v>433</v>
      </c>
      <c r="Y23" s="15">
        <f t="shared" si="56"/>
        <v>0</v>
      </c>
      <c r="Z23" s="15">
        <f t="shared" si="56"/>
        <v>0</v>
      </c>
      <c r="AA23" s="54">
        <f t="shared" si="56"/>
        <v>774</v>
      </c>
    </row>
    <row r="24" spans="2:27" x14ac:dyDescent="0.25">
      <c r="B24" s="12" t="s">
        <v>170</v>
      </c>
      <c r="C24" s="12"/>
      <c r="D24" s="12"/>
      <c r="E24" s="12"/>
      <c r="F24" s="12"/>
      <c r="G24" s="27"/>
      <c r="H24" s="38">
        <f>(H23-C23)/C23</f>
        <v>0.22727272727272727</v>
      </c>
      <c r="I24" s="38">
        <f>(I23-D23)/D23</f>
        <v>0.30530973451327431</v>
      </c>
      <c r="J24" s="38">
        <f t="shared" ref="J24" si="57">(J23-E23)/E23</f>
        <v>0.2669683257918552</v>
      </c>
      <c r="K24" s="38">
        <f t="shared" ref="K24" si="58">(K23-F23)/F23</f>
        <v>0.14563106796116504</v>
      </c>
      <c r="L24" s="34">
        <f>(L23-G23)/G23</f>
        <v>0.23884197828709289</v>
      </c>
      <c r="M24" s="38">
        <f>(M23-H23)/H23</f>
        <v>0.15277777777777779</v>
      </c>
      <c r="N24" s="38">
        <f t="shared" ref="N24" si="59">(N23-I23)/I23</f>
        <v>0.15593220338983052</v>
      </c>
      <c r="O24" s="38">
        <f t="shared" ref="O24" si="60">(O23-J23)/J23</f>
        <v>0.12857142857142856</v>
      </c>
      <c r="P24" s="38">
        <f t="shared" ref="P24" si="61">(P23-K23)/K23</f>
        <v>0.11864406779661017</v>
      </c>
      <c r="Q24" s="34">
        <f>(Q23-L23)/L23</f>
        <v>0.13924050632911392</v>
      </c>
      <c r="R24" s="38">
        <f>(R23-M23)/M23</f>
        <v>0.21285140562248997</v>
      </c>
      <c r="S24" s="38">
        <f t="shared" ref="S24:U24" si="62">(S23-N23)/N23</f>
        <v>0.10850439882697947</v>
      </c>
      <c r="T24" s="38">
        <f t="shared" si="62"/>
        <v>9.1772151898734181E-2</v>
      </c>
      <c r="U24" s="38">
        <f t="shared" si="62"/>
        <v>0.14393939393939395</v>
      </c>
      <c r="V24" s="35">
        <f>(V23-Q23)/Q23</f>
        <v>0.13418803418803418</v>
      </c>
      <c r="W24" s="38">
        <f>(W23-R23)/R23</f>
        <v>0.12913907284768211</v>
      </c>
      <c r="X24" s="38">
        <f t="shared" ref="X24" si="63">(X23-S23)/S23</f>
        <v>0.14550264550264549</v>
      </c>
      <c r="Y24" s="38">
        <f t="shared" ref="Y24" si="64">(Y23-T23)/T23</f>
        <v>-1</v>
      </c>
      <c r="Z24" s="38">
        <f t="shared" ref="Z24" si="65">(Z23-U23)/U23</f>
        <v>-1</v>
      </c>
      <c r="AA24" s="35">
        <f>(AA23-V23)/V23</f>
        <v>-0.41672946495855312</v>
      </c>
    </row>
    <row r="25" spans="2:27" x14ac:dyDescent="0.25">
      <c r="B25" s="2" t="s">
        <v>132</v>
      </c>
      <c r="C25" s="2">
        <v>48</v>
      </c>
      <c r="D25" s="2">
        <v>97</v>
      </c>
      <c r="E25" s="2">
        <v>93</v>
      </c>
      <c r="F25" s="2">
        <v>74</v>
      </c>
      <c r="G25" s="28">
        <f>SUM(C25:F25)</f>
        <v>312</v>
      </c>
      <c r="H25" s="2">
        <v>64</v>
      </c>
      <c r="I25" s="2">
        <v>128</v>
      </c>
      <c r="J25" s="2">
        <v>120</v>
      </c>
      <c r="K25" s="2">
        <v>80</v>
      </c>
      <c r="L25" s="28">
        <f>SUM(H25:K25)</f>
        <v>392</v>
      </c>
      <c r="M25" s="2">
        <v>64</v>
      </c>
      <c r="N25" s="2">
        <v>153</v>
      </c>
      <c r="O25" s="2">
        <v>144</v>
      </c>
      <c r="P25" s="2">
        <v>77</v>
      </c>
      <c r="Q25" s="28">
        <f>SUM(M25:P25)</f>
        <v>438</v>
      </c>
      <c r="R25" s="2">
        <v>126</v>
      </c>
      <c r="S25" s="2">
        <v>200</v>
      </c>
      <c r="T25" s="2">
        <v>167</v>
      </c>
      <c r="U25" s="2">
        <v>123</v>
      </c>
      <c r="V25" s="28">
        <f>SUM(R25:U25)</f>
        <v>616</v>
      </c>
      <c r="W25" s="2">
        <v>164</v>
      </c>
      <c r="X25" s="2">
        <v>248</v>
      </c>
      <c r="Y25" s="2"/>
      <c r="Z25" s="2"/>
      <c r="AA25" s="28">
        <f>SUM(W25:Z25)</f>
        <v>412</v>
      </c>
    </row>
    <row r="26" spans="2:27" x14ac:dyDescent="0.25">
      <c r="B26" s="23" t="s">
        <v>58</v>
      </c>
      <c r="C26" s="24">
        <f t="shared" ref="C26" si="66">C25/C23</f>
        <v>0.27272727272727271</v>
      </c>
      <c r="D26" s="24">
        <f t="shared" ref="D26" si="67">D25/D23</f>
        <v>0.42920353982300885</v>
      </c>
      <c r="E26" s="24">
        <f t="shared" ref="E26" si="68">E25/E23</f>
        <v>0.42081447963800905</v>
      </c>
      <c r="F26" s="24">
        <f t="shared" ref="F26" si="69">F25/F23</f>
        <v>0.35922330097087379</v>
      </c>
      <c r="G26" s="29">
        <f>G25/G23</f>
        <v>0.37635705669481301</v>
      </c>
      <c r="H26" s="24">
        <f t="shared" ref="H26" si="70">H25/H23</f>
        <v>0.29629629629629628</v>
      </c>
      <c r="I26" s="24">
        <f t="shared" ref="I26" si="71">I25/I23</f>
        <v>0.43389830508474575</v>
      </c>
      <c r="J26" s="24">
        <f t="shared" ref="J26" si="72">J25/J23</f>
        <v>0.42857142857142855</v>
      </c>
      <c r="K26" s="24">
        <f t="shared" ref="K26" si="73">K25/K23</f>
        <v>0.33898305084745761</v>
      </c>
      <c r="L26" s="29">
        <f>L25/L23</f>
        <v>0.38169425511197663</v>
      </c>
      <c r="M26" s="37">
        <f t="shared" ref="M26" si="74">M25/M23</f>
        <v>0.25702811244979917</v>
      </c>
      <c r="N26" s="37">
        <f t="shared" ref="N26" si="75">N25/N23</f>
        <v>0.44868035190615835</v>
      </c>
      <c r="O26" s="37">
        <f t="shared" ref="O26" si="76">O25/O23</f>
        <v>0.45569620253164556</v>
      </c>
      <c r="P26" s="37">
        <f t="shared" ref="P26" si="77">P25/P23</f>
        <v>0.29166666666666669</v>
      </c>
      <c r="Q26" s="36">
        <f>Q25/Q23</f>
        <v>0.37435897435897436</v>
      </c>
      <c r="R26" s="37">
        <f>R25/R23</f>
        <v>0.41721854304635764</v>
      </c>
      <c r="S26" s="37">
        <f t="shared" ref="S26" si="78">S25/S23</f>
        <v>0.52910052910052907</v>
      </c>
      <c r="T26" s="37">
        <f t="shared" ref="T26" si="79">T25/T23</f>
        <v>0.48405797101449277</v>
      </c>
      <c r="U26" s="37">
        <f t="shared" ref="U26" si="80">U25/U23</f>
        <v>0.40728476821192056</v>
      </c>
      <c r="V26" s="36">
        <f>V25/V23</f>
        <v>0.46420497362471741</v>
      </c>
      <c r="W26" s="37">
        <f>W25/W23</f>
        <v>0.48093841642228741</v>
      </c>
      <c r="X26" s="37">
        <f t="shared" ref="X26:Z26" si="81">X25/X23</f>
        <v>0.5727482678983834</v>
      </c>
      <c r="Y26" s="37" t="e">
        <f t="shared" si="81"/>
        <v>#DIV/0!</v>
      </c>
      <c r="Z26" s="37" t="e">
        <f t="shared" si="81"/>
        <v>#DIV/0!</v>
      </c>
      <c r="AA26" s="36">
        <f>AA25/AA23</f>
        <v>0.53229974160206717</v>
      </c>
    </row>
    <row r="27" spans="2:27" s="14" customFormat="1" x14ac:dyDescent="0.25">
      <c r="B27" s="15" t="s">
        <v>54</v>
      </c>
      <c r="G27" s="83"/>
      <c r="L27" s="83"/>
      <c r="Q27" s="83"/>
      <c r="V27" s="83"/>
      <c r="AA27" s="83"/>
    </row>
    <row r="28" spans="2:27" s="14" customFormat="1" x14ac:dyDescent="0.25">
      <c r="B28" s="14" t="s">
        <v>169</v>
      </c>
      <c r="C28" s="14">
        <f t="shared" ref="C28" si="82">SUM(C29:C30)</f>
        <v>392</v>
      </c>
      <c r="D28" s="14">
        <f t="shared" ref="D28" si="83">SUM(D29:D30)</f>
        <v>363</v>
      </c>
      <c r="E28" s="14">
        <f t="shared" ref="E28" si="84">SUM(E29:E30)</f>
        <v>309</v>
      </c>
      <c r="F28" s="14">
        <f t="shared" ref="F28" si="85">SUM(F29:F30)</f>
        <v>320</v>
      </c>
      <c r="G28" s="83">
        <f t="shared" ref="G28" si="86">SUM(G29:G30)</f>
        <v>1384</v>
      </c>
      <c r="H28" s="14">
        <f t="shared" ref="H28" si="87">SUM(H29:H30)</f>
        <v>369</v>
      </c>
      <c r="I28" s="14">
        <f t="shared" ref="I28" si="88">SUM(I29:I30)</f>
        <v>261</v>
      </c>
      <c r="J28" s="14">
        <f t="shared" ref="J28" si="89">SUM(J29:J30)</f>
        <v>283</v>
      </c>
      <c r="K28" s="14">
        <f t="shared" ref="K28" si="90">SUM(K29:K30)</f>
        <v>291</v>
      </c>
      <c r="L28" s="83">
        <f t="shared" ref="L28" si="91">SUM(L29:L30)</f>
        <v>1204</v>
      </c>
      <c r="M28" s="14">
        <f t="shared" ref="M28" si="92">SUM(M29:M30)</f>
        <v>345</v>
      </c>
      <c r="N28" s="14">
        <f t="shared" ref="N28" si="93">SUM(N29:N30)</f>
        <v>319</v>
      </c>
      <c r="O28" s="14">
        <f t="shared" ref="O28" si="94">SUM(O29:O30)</f>
        <v>278</v>
      </c>
      <c r="P28" s="14">
        <f t="shared" ref="P28" si="95">SUM(P29:P30)</f>
        <v>268</v>
      </c>
      <c r="Q28" s="83">
        <f t="shared" ref="Q28" si="96">SUM(Q29:Q30)</f>
        <v>1210</v>
      </c>
      <c r="R28" s="14">
        <f>SUM(R29:R30)</f>
        <v>314</v>
      </c>
      <c r="S28" s="14">
        <v>286</v>
      </c>
      <c r="T28" s="14">
        <v>247</v>
      </c>
      <c r="U28" s="14">
        <v>271</v>
      </c>
      <c r="V28" s="83">
        <f t="shared" ref="V28" si="97">SUM(V29:V30)</f>
        <v>1118</v>
      </c>
      <c r="W28" s="14">
        <v>340</v>
      </c>
      <c r="X28" s="14">
        <v>301</v>
      </c>
      <c r="AA28" s="83">
        <f t="shared" ref="AA28" si="98">SUM(AA29:AA30)</f>
        <v>301</v>
      </c>
    </row>
    <row r="29" spans="2:27" s="14" customFormat="1" x14ac:dyDescent="0.25">
      <c r="B29" s="84" t="s">
        <v>163</v>
      </c>
      <c r="C29" s="85">
        <v>392</v>
      </c>
      <c r="D29" s="85">
        <v>363</v>
      </c>
      <c r="E29" s="85">
        <v>309</v>
      </c>
      <c r="F29" s="85">
        <v>320</v>
      </c>
      <c r="G29" s="86">
        <f>SUM(C29:F29)</f>
        <v>1384</v>
      </c>
      <c r="H29" s="85">
        <v>369</v>
      </c>
      <c r="I29" s="85">
        <v>261</v>
      </c>
      <c r="J29" s="85">
        <v>283</v>
      </c>
      <c r="K29" s="85">
        <v>291</v>
      </c>
      <c r="L29" s="86">
        <f>SUM(H29:K29)</f>
        <v>1204</v>
      </c>
      <c r="M29" s="85">
        <v>345</v>
      </c>
      <c r="N29" s="85">
        <v>319</v>
      </c>
      <c r="O29" s="85">
        <v>278</v>
      </c>
      <c r="P29" s="85">
        <v>268</v>
      </c>
      <c r="Q29" s="86">
        <f>SUM(M29:P29)</f>
        <v>1210</v>
      </c>
      <c r="R29" s="85">
        <v>314</v>
      </c>
      <c r="S29" s="85">
        <v>286</v>
      </c>
      <c r="T29" s="85">
        <v>247</v>
      </c>
      <c r="U29" s="85">
        <v>271</v>
      </c>
      <c r="V29" s="86">
        <f>SUM(R29:U29)</f>
        <v>1118</v>
      </c>
      <c r="W29" s="85">
        <v>0</v>
      </c>
      <c r="X29" s="85">
        <v>301</v>
      </c>
      <c r="Y29" s="85"/>
      <c r="Z29" s="85"/>
      <c r="AA29" s="86">
        <f>SUM(W29:Z29)</f>
        <v>301</v>
      </c>
    </row>
    <row r="30" spans="2:27" s="14" customFormat="1" x14ac:dyDescent="0.25">
      <c r="B30" s="84" t="s">
        <v>164</v>
      </c>
      <c r="C30" s="85">
        <v>0</v>
      </c>
      <c r="D30" s="85">
        <v>0</v>
      </c>
      <c r="E30" s="85">
        <v>0</v>
      </c>
      <c r="F30" s="85">
        <v>0</v>
      </c>
      <c r="G30" s="86">
        <f>SUM(C30:F30)</f>
        <v>0</v>
      </c>
      <c r="H30" s="85">
        <v>0</v>
      </c>
      <c r="I30" s="85">
        <v>0</v>
      </c>
      <c r="J30" s="85">
        <v>0</v>
      </c>
      <c r="K30" s="85">
        <v>0</v>
      </c>
      <c r="L30" s="86">
        <f>SUM(H30:K30)</f>
        <v>0</v>
      </c>
      <c r="M30" s="85">
        <v>0</v>
      </c>
      <c r="N30" s="85">
        <v>0</v>
      </c>
      <c r="O30" s="85">
        <v>0</v>
      </c>
      <c r="P30" s="85">
        <v>0</v>
      </c>
      <c r="Q30" s="86">
        <f>SUM(M30:P30)</f>
        <v>0</v>
      </c>
      <c r="R30" s="85">
        <v>0</v>
      </c>
      <c r="S30" s="85">
        <v>0</v>
      </c>
      <c r="T30" s="85">
        <v>0</v>
      </c>
      <c r="U30" s="85">
        <v>0</v>
      </c>
      <c r="V30" s="86">
        <f>SUM(R30:U30)</f>
        <v>0</v>
      </c>
      <c r="W30" s="85">
        <v>0</v>
      </c>
      <c r="X30" s="85">
        <v>0</v>
      </c>
      <c r="Y30" s="85"/>
      <c r="Z30" s="85"/>
      <c r="AA30" s="86">
        <f>SUM(W30:Z30)</f>
        <v>0</v>
      </c>
    </row>
    <row r="31" spans="2:27" s="14" customFormat="1" x14ac:dyDescent="0.25">
      <c r="B31" s="14" t="s">
        <v>165</v>
      </c>
      <c r="C31" s="14">
        <v>0</v>
      </c>
      <c r="D31" s="14">
        <v>0</v>
      </c>
      <c r="E31" s="14">
        <v>0</v>
      </c>
      <c r="F31" s="14">
        <v>0</v>
      </c>
      <c r="G31" s="83">
        <f>SUM(C31:F31)</f>
        <v>0</v>
      </c>
      <c r="H31" s="14">
        <v>0</v>
      </c>
      <c r="I31" s="14">
        <v>0</v>
      </c>
      <c r="J31" s="14">
        <v>0</v>
      </c>
      <c r="K31" s="14">
        <v>0</v>
      </c>
      <c r="L31" s="83">
        <f>SUM(H31:K31)</f>
        <v>0</v>
      </c>
      <c r="M31" s="14">
        <v>0</v>
      </c>
      <c r="N31" s="14">
        <v>0</v>
      </c>
      <c r="O31" s="14">
        <v>0</v>
      </c>
      <c r="P31" s="14">
        <v>0</v>
      </c>
      <c r="Q31" s="83">
        <f>SUM(M31:P31)</f>
        <v>0</v>
      </c>
      <c r="R31" s="14">
        <v>0</v>
      </c>
      <c r="S31" s="14">
        <v>0</v>
      </c>
      <c r="T31" s="14">
        <v>0</v>
      </c>
      <c r="U31" s="14">
        <v>0</v>
      </c>
      <c r="V31" s="83">
        <f>SUM(R31:U31)</f>
        <v>0</v>
      </c>
      <c r="W31" s="14">
        <v>0</v>
      </c>
      <c r="X31" s="14">
        <v>0</v>
      </c>
      <c r="AA31" s="83">
        <f>SUM(W31:Z31)</f>
        <v>0</v>
      </c>
    </row>
    <row r="32" spans="2:27" s="14" customFormat="1" x14ac:dyDescent="0.25">
      <c r="B32" s="14" t="s">
        <v>166</v>
      </c>
      <c r="C32" s="14">
        <v>2</v>
      </c>
      <c r="D32" s="14">
        <v>2</v>
      </c>
      <c r="E32" s="14">
        <v>1</v>
      </c>
      <c r="F32" s="14">
        <v>2</v>
      </c>
      <c r="G32" s="83">
        <f t="shared" ref="G32:G33" si="99">SUM(C32:F32)</f>
        <v>7</v>
      </c>
      <c r="H32" s="14">
        <v>2</v>
      </c>
      <c r="I32" s="14">
        <v>17</v>
      </c>
      <c r="J32" s="14">
        <v>1</v>
      </c>
      <c r="K32" s="14">
        <v>2</v>
      </c>
      <c r="L32" s="83">
        <f t="shared" ref="L32:L33" si="100">SUM(H32:K32)</f>
        <v>22</v>
      </c>
      <c r="M32" s="14">
        <v>0</v>
      </c>
      <c r="N32" s="14">
        <v>14</v>
      </c>
      <c r="O32" s="14">
        <v>0</v>
      </c>
      <c r="P32" s="14">
        <v>0</v>
      </c>
      <c r="Q32" s="83">
        <f t="shared" ref="Q32:Q33" si="101">SUM(M32:P32)</f>
        <v>14</v>
      </c>
      <c r="R32" s="14">
        <v>0</v>
      </c>
      <c r="S32" s="14">
        <v>0</v>
      </c>
      <c r="T32" s="14">
        <v>0</v>
      </c>
      <c r="U32" s="14">
        <v>0</v>
      </c>
      <c r="V32" s="83">
        <f t="shared" ref="V32:V33" si="102">SUM(R32:U32)</f>
        <v>0</v>
      </c>
      <c r="W32" s="14">
        <v>0</v>
      </c>
      <c r="X32" s="14">
        <v>0</v>
      </c>
      <c r="AA32" s="83">
        <f t="shared" ref="AA32:AA33" si="103">SUM(W32:Z32)</f>
        <v>0</v>
      </c>
    </row>
    <row r="33" spans="2:27" s="14" customFormat="1" x14ac:dyDescent="0.25">
      <c r="B33" s="14" t="s">
        <v>167</v>
      </c>
      <c r="C33" s="14">
        <v>3</v>
      </c>
      <c r="D33" s="14">
        <v>3</v>
      </c>
      <c r="E33" s="14">
        <v>2</v>
      </c>
      <c r="F33" s="14">
        <v>3</v>
      </c>
      <c r="G33" s="83">
        <f t="shared" si="99"/>
        <v>11</v>
      </c>
      <c r="H33" s="14">
        <v>3</v>
      </c>
      <c r="I33" s="14">
        <v>17</v>
      </c>
      <c r="J33" s="14">
        <v>4</v>
      </c>
      <c r="K33" s="14">
        <v>3</v>
      </c>
      <c r="L33" s="83">
        <f t="shared" si="100"/>
        <v>27</v>
      </c>
      <c r="M33" s="14">
        <v>0</v>
      </c>
      <c r="N33" s="14">
        <v>8</v>
      </c>
      <c r="O33" s="14">
        <v>3</v>
      </c>
      <c r="P33" s="14">
        <v>2</v>
      </c>
      <c r="Q33" s="83">
        <f t="shared" si="101"/>
        <v>13</v>
      </c>
      <c r="R33" s="14">
        <v>0</v>
      </c>
      <c r="S33" s="14">
        <v>0</v>
      </c>
      <c r="T33" s="14">
        <v>0</v>
      </c>
      <c r="U33" s="14">
        <v>0</v>
      </c>
      <c r="V33" s="83">
        <f t="shared" si="102"/>
        <v>0</v>
      </c>
      <c r="W33" s="14">
        <v>0</v>
      </c>
      <c r="X33" s="14">
        <v>0</v>
      </c>
      <c r="AA33" s="83">
        <f t="shared" si="103"/>
        <v>0</v>
      </c>
    </row>
    <row r="34" spans="2:27" s="14" customFormat="1" x14ac:dyDescent="0.25">
      <c r="B34" s="15" t="s">
        <v>168</v>
      </c>
      <c r="C34" s="15">
        <f t="shared" ref="C34" si="104">C28+C31+C32+C33</f>
        <v>397</v>
      </c>
      <c r="D34" s="15">
        <f t="shared" ref="D34" si="105">D28+D31+D32+D33</f>
        <v>368</v>
      </c>
      <c r="E34" s="15">
        <f t="shared" ref="E34" si="106">E28+E31+E32+E33</f>
        <v>312</v>
      </c>
      <c r="F34" s="15">
        <f t="shared" ref="F34" si="107">F28+F31+F32+F33</f>
        <v>325</v>
      </c>
      <c r="G34" s="54">
        <f t="shared" ref="G34" si="108">G28+G31+G32+G33</f>
        <v>1402</v>
      </c>
      <c r="H34" s="15">
        <f t="shared" ref="H34" si="109">H28+H31+H32+H33</f>
        <v>374</v>
      </c>
      <c r="I34" s="15">
        <f t="shared" ref="I34" si="110">I28+I31+I32+I33</f>
        <v>295</v>
      </c>
      <c r="J34" s="15">
        <f t="shared" ref="J34" si="111">J28+J31+J32+J33</f>
        <v>288</v>
      </c>
      <c r="K34" s="15">
        <f t="shared" ref="K34" si="112">K28+K31+K32+K33</f>
        <v>296</v>
      </c>
      <c r="L34" s="54">
        <f t="shared" ref="L34" si="113">L28+L31+L32+L33</f>
        <v>1253</v>
      </c>
      <c r="M34" s="15">
        <f t="shared" ref="M34" si="114">M28+M31+M32+M33</f>
        <v>345</v>
      </c>
      <c r="N34" s="15">
        <f t="shared" ref="N34" si="115">N28+N31+N32+N33</f>
        <v>341</v>
      </c>
      <c r="O34" s="15">
        <f t="shared" ref="O34" si="116">O28+O31+O32+O33</f>
        <v>281</v>
      </c>
      <c r="P34" s="15">
        <f t="shared" ref="P34" si="117">P28+P31+P32+P33</f>
        <v>270</v>
      </c>
      <c r="Q34" s="54">
        <f t="shared" ref="Q34" si="118">Q28+Q31+Q32+Q33</f>
        <v>1237</v>
      </c>
      <c r="R34" s="15">
        <f>R28+R31+R32+R33</f>
        <v>314</v>
      </c>
      <c r="S34" s="15">
        <f t="shared" ref="S34" si="119">S28+S31+S32+S33</f>
        <v>286</v>
      </c>
      <c r="T34" s="15">
        <f t="shared" ref="T34" si="120">T28+T31+T32+T33</f>
        <v>247</v>
      </c>
      <c r="U34" s="15">
        <f t="shared" ref="U34" si="121">U28+U31+U32+U33</f>
        <v>271</v>
      </c>
      <c r="V34" s="54">
        <f t="shared" ref="V34" si="122">V28+V31+V32+V33</f>
        <v>1118</v>
      </c>
      <c r="W34" s="15">
        <f>W28+W31+W32+W33</f>
        <v>340</v>
      </c>
      <c r="X34" s="15">
        <f t="shared" ref="X34:AA34" si="123">X28+X31+X32+X33</f>
        <v>301</v>
      </c>
      <c r="Y34" s="15">
        <f t="shared" si="123"/>
        <v>0</v>
      </c>
      <c r="Z34" s="15">
        <f t="shared" si="123"/>
        <v>0</v>
      </c>
      <c r="AA34" s="54">
        <f t="shared" si="123"/>
        <v>301</v>
      </c>
    </row>
    <row r="35" spans="2:27" x14ac:dyDescent="0.25">
      <c r="B35" s="12" t="s">
        <v>170</v>
      </c>
      <c r="C35" s="12"/>
      <c r="D35" s="12"/>
      <c r="E35" s="12"/>
      <c r="F35" s="12"/>
      <c r="G35" s="27"/>
      <c r="H35" s="38">
        <f>(H34-C34)/C34</f>
        <v>-5.793450881612091E-2</v>
      </c>
      <c r="I35" s="38">
        <f>(I34-D34)/D34</f>
        <v>-0.1983695652173913</v>
      </c>
      <c r="J35" s="38">
        <f t="shared" ref="J35" si="124">(J34-E34)/E34</f>
        <v>-7.6923076923076927E-2</v>
      </c>
      <c r="K35" s="38">
        <f t="shared" ref="K35" si="125">(K34-F34)/F34</f>
        <v>-8.9230769230769225E-2</v>
      </c>
      <c r="L35" s="34">
        <f>(L34-G34)/G34</f>
        <v>-0.10627674750356633</v>
      </c>
      <c r="M35" s="38">
        <f>(M34-H34)/H34</f>
        <v>-7.7540106951871662E-2</v>
      </c>
      <c r="N35" s="38">
        <f t="shared" ref="N35" si="126">(N34-I34)/I34</f>
        <v>0.15593220338983052</v>
      </c>
      <c r="O35" s="38">
        <f t="shared" ref="O35" si="127">(O34-J34)/J34</f>
        <v>-2.4305555555555556E-2</v>
      </c>
      <c r="P35" s="38">
        <f t="shared" ref="P35" si="128">(P34-K34)/K34</f>
        <v>-8.7837837837837843E-2</v>
      </c>
      <c r="Q35" s="34">
        <f>(Q34-L34)/L34</f>
        <v>-1.2769353551476457E-2</v>
      </c>
      <c r="R35" s="38">
        <f>(R34-M34)/M34</f>
        <v>-8.9855072463768115E-2</v>
      </c>
      <c r="S35" s="38">
        <f t="shared" ref="S35:U35" si="129">(S34-N34)/N34</f>
        <v>-0.16129032258064516</v>
      </c>
      <c r="T35" s="38">
        <f t="shared" si="129"/>
        <v>-0.12099644128113879</v>
      </c>
      <c r="U35" s="38">
        <f t="shared" si="129"/>
        <v>3.7037037037037038E-3</v>
      </c>
      <c r="V35" s="35">
        <f>(V34-Q34)/Q34</f>
        <v>-9.6200485044462408E-2</v>
      </c>
      <c r="W35" s="38">
        <f>(W34-R34)/R34</f>
        <v>8.2802547770700632E-2</v>
      </c>
      <c r="X35" s="38">
        <f t="shared" ref="X35" si="130">(X34-S34)/S34</f>
        <v>5.2447552447552448E-2</v>
      </c>
      <c r="Y35" s="38">
        <f t="shared" ref="Y35" si="131">(Y34-T34)/T34</f>
        <v>-1</v>
      </c>
      <c r="Z35" s="38">
        <f t="shared" ref="Z35" si="132">(Z34-U34)/U34</f>
        <v>-1</v>
      </c>
      <c r="AA35" s="35">
        <f>(AA34-V34)/V34</f>
        <v>-0.73076923076923073</v>
      </c>
    </row>
    <row r="36" spans="2:27" x14ac:dyDescent="0.25">
      <c r="B36" s="2" t="s">
        <v>132</v>
      </c>
      <c r="C36" s="2">
        <v>231</v>
      </c>
      <c r="D36" s="2">
        <v>222</v>
      </c>
      <c r="E36" s="2">
        <v>161</v>
      </c>
      <c r="F36" s="2">
        <v>168</v>
      </c>
      <c r="G36" s="28">
        <f>SUM(C36:F36)</f>
        <v>782</v>
      </c>
      <c r="H36" s="2">
        <v>198</v>
      </c>
      <c r="I36" s="2">
        <v>128</v>
      </c>
      <c r="J36" s="2">
        <v>127</v>
      </c>
      <c r="K36" s="2">
        <v>125</v>
      </c>
      <c r="L36" s="28">
        <f>SUM(H36:K36)</f>
        <v>578</v>
      </c>
      <c r="M36" s="2">
        <v>158</v>
      </c>
      <c r="N36" s="2">
        <v>153</v>
      </c>
      <c r="O36" s="2">
        <v>123</v>
      </c>
      <c r="P36" s="2">
        <v>113</v>
      </c>
      <c r="Q36" s="28">
        <f>SUM(M36:P36)</f>
        <v>547</v>
      </c>
      <c r="R36" s="2">
        <v>185</v>
      </c>
      <c r="S36" s="2">
        <v>172</v>
      </c>
      <c r="T36" s="2">
        <v>136</v>
      </c>
      <c r="U36" s="2">
        <v>151</v>
      </c>
      <c r="V36" s="28">
        <f>SUM(R36:U36)</f>
        <v>644</v>
      </c>
      <c r="W36" s="2">
        <v>218</v>
      </c>
      <c r="X36" s="2">
        <v>175</v>
      </c>
      <c r="Y36" s="2"/>
      <c r="Z36" s="2"/>
      <c r="AA36" s="28">
        <f>SUM(W36:Z36)</f>
        <v>393</v>
      </c>
    </row>
    <row r="37" spans="2:27" x14ac:dyDescent="0.25">
      <c r="B37" s="23" t="s">
        <v>58</v>
      </c>
      <c r="C37" s="24">
        <f t="shared" ref="C37" si="133">C36/C34</f>
        <v>0.58186397984886651</v>
      </c>
      <c r="D37" s="24">
        <f t="shared" ref="D37" si="134">D36/D34</f>
        <v>0.60326086956521741</v>
      </c>
      <c r="E37" s="24">
        <f t="shared" ref="E37" si="135">E36/E34</f>
        <v>0.51602564102564108</v>
      </c>
      <c r="F37" s="24">
        <f t="shared" ref="F37" si="136">F36/F34</f>
        <v>0.51692307692307693</v>
      </c>
      <c r="G37" s="29">
        <f>G36/G34</f>
        <v>0.55777460770328102</v>
      </c>
      <c r="H37" s="24">
        <f t="shared" ref="H37" si="137">H36/H34</f>
        <v>0.52941176470588236</v>
      </c>
      <c r="I37" s="24">
        <f t="shared" ref="I37" si="138">I36/I34</f>
        <v>0.43389830508474575</v>
      </c>
      <c r="J37" s="24">
        <f t="shared" ref="J37" si="139">J36/J34</f>
        <v>0.44097222222222221</v>
      </c>
      <c r="K37" s="24">
        <f t="shared" ref="K37" si="140">K36/K34</f>
        <v>0.42229729729729731</v>
      </c>
      <c r="L37" s="29">
        <f>L36/L34</f>
        <v>0.46129289704708698</v>
      </c>
      <c r="M37" s="37">
        <f t="shared" ref="M37" si="141">M36/M34</f>
        <v>0.45797101449275363</v>
      </c>
      <c r="N37" s="37">
        <f t="shared" ref="N37" si="142">N36/N34</f>
        <v>0.44868035190615835</v>
      </c>
      <c r="O37" s="37">
        <f t="shared" ref="O37" si="143">O36/O34</f>
        <v>0.4377224199288256</v>
      </c>
      <c r="P37" s="37">
        <f t="shared" ref="P37" si="144">P36/P34</f>
        <v>0.41851851851851851</v>
      </c>
      <c r="Q37" s="29">
        <f>Q36/Q34</f>
        <v>0.4421988682295877</v>
      </c>
      <c r="R37" s="37">
        <f>R36/R34</f>
        <v>0.58917197452229297</v>
      </c>
      <c r="S37" s="37">
        <f t="shared" ref="S37" si="145">S36/S34</f>
        <v>0.60139860139860135</v>
      </c>
      <c r="T37" s="37">
        <f t="shared" ref="T37" si="146">T36/T34</f>
        <v>0.55060728744939269</v>
      </c>
      <c r="U37" s="37">
        <f t="shared" ref="U37" si="147">U36/U34</f>
        <v>0.55719557195571956</v>
      </c>
      <c r="V37" s="36">
        <f>V36/V34</f>
        <v>0.57602862254025045</v>
      </c>
      <c r="W37" s="37">
        <f>W36/W34</f>
        <v>0.64117647058823535</v>
      </c>
      <c r="X37" s="37">
        <f t="shared" ref="X37:Z37" si="148">X36/X34</f>
        <v>0.58139534883720934</v>
      </c>
      <c r="Y37" s="37" t="e">
        <f t="shared" si="148"/>
        <v>#DIV/0!</v>
      </c>
      <c r="Z37" s="37" t="e">
        <f t="shared" si="148"/>
        <v>#DIV/0!</v>
      </c>
      <c r="AA37" s="36">
        <f>AA36/AA34</f>
        <v>1.3056478405315615</v>
      </c>
    </row>
    <row r="38" spans="2:27" x14ac:dyDescent="0.25">
      <c r="B38" s="2" t="s">
        <v>55</v>
      </c>
      <c r="G38" s="26"/>
      <c r="L38" s="26"/>
      <c r="Q38" s="26"/>
      <c r="V38" s="26"/>
      <c r="AA38" s="26"/>
    </row>
    <row r="39" spans="2:27" s="14" customFormat="1" x14ac:dyDescent="0.25">
      <c r="B39" s="14" t="s">
        <v>169</v>
      </c>
      <c r="C39" s="14">
        <f t="shared" ref="C39" si="149">SUM(C40:C41)</f>
        <v>75</v>
      </c>
      <c r="D39" s="14">
        <f t="shared" ref="D39" si="150">SUM(D40:D41)</f>
        <v>73</v>
      </c>
      <c r="E39" s="14">
        <f t="shared" ref="E39" si="151">SUM(E40:E41)</f>
        <v>74</v>
      </c>
      <c r="F39" s="14">
        <f t="shared" ref="F39" si="152">SUM(F40:F41)</f>
        <v>94</v>
      </c>
      <c r="G39" s="83">
        <f t="shared" ref="G39" si="153">SUM(G40:G41)</f>
        <v>316</v>
      </c>
      <c r="H39" s="14">
        <f t="shared" ref="H39" si="154">SUM(H40:H41)</f>
        <v>102</v>
      </c>
      <c r="I39" s="14">
        <f t="shared" ref="I39" si="155">SUM(I40:I41)</f>
        <v>115</v>
      </c>
      <c r="J39" s="14">
        <f t="shared" ref="J39" si="156">SUM(J40:J41)</f>
        <v>125</v>
      </c>
      <c r="K39" s="14">
        <f t="shared" ref="K39" si="157">SUM(K40:K41)</f>
        <v>52</v>
      </c>
      <c r="L39" s="83">
        <f t="shared" ref="L39" si="158">SUM(L40:L41)</f>
        <v>394</v>
      </c>
      <c r="M39" s="14">
        <f t="shared" ref="M39" si="159">SUM(M40:M41)</f>
        <v>54</v>
      </c>
      <c r="N39" s="14">
        <f t="shared" ref="N39" si="160">SUM(N40:N41)</f>
        <v>148</v>
      </c>
      <c r="O39" s="14">
        <f t="shared" ref="O39" si="161">SUM(O40:O41)</f>
        <v>158</v>
      </c>
      <c r="P39" s="14">
        <f t="shared" ref="P39" si="162">SUM(P40:P41)</f>
        <v>52</v>
      </c>
      <c r="Q39" s="83">
        <f t="shared" ref="Q39" si="163">SUM(Q40:Q41)</f>
        <v>412</v>
      </c>
      <c r="R39" s="14">
        <f>SUM(R40:R41)</f>
        <v>46</v>
      </c>
      <c r="S39" s="14">
        <v>50</v>
      </c>
      <c r="T39" s="14">
        <v>51</v>
      </c>
      <c r="U39" s="14">
        <v>56</v>
      </c>
      <c r="V39" s="83">
        <f t="shared" ref="V39" si="164">SUM(V40:V41)</f>
        <v>203</v>
      </c>
      <c r="W39" s="14">
        <v>56</v>
      </c>
      <c r="X39" s="14">
        <v>68</v>
      </c>
      <c r="AA39" s="83">
        <f t="shared" ref="AA39" si="165">SUM(AA40:AA41)</f>
        <v>122</v>
      </c>
    </row>
    <row r="40" spans="2:27" s="14" customFormat="1" x14ac:dyDescent="0.25">
      <c r="B40" s="84" t="s">
        <v>163</v>
      </c>
      <c r="C40" s="85">
        <v>75</v>
      </c>
      <c r="D40" s="85">
        <v>73</v>
      </c>
      <c r="E40" s="85">
        <v>74</v>
      </c>
      <c r="F40" s="85">
        <v>94</v>
      </c>
      <c r="G40" s="86">
        <f>SUM(C40:F40)</f>
        <v>316</v>
      </c>
      <c r="H40" s="85">
        <v>102</v>
      </c>
      <c r="I40" s="85">
        <v>115</v>
      </c>
      <c r="J40" s="85">
        <v>125</v>
      </c>
      <c r="K40" s="85">
        <v>37</v>
      </c>
      <c r="L40" s="86">
        <f>SUM(H40:K40)</f>
        <v>379</v>
      </c>
      <c r="M40" s="85">
        <v>39</v>
      </c>
      <c r="N40" s="85">
        <v>148</v>
      </c>
      <c r="O40" s="85">
        <v>158</v>
      </c>
      <c r="P40" s="85">
        <v>38</v>
      </c>
      <c r="Q40" s="86">
        <f>SUM(M40:P40)</f>
        <v>383</v>
      </c>
      <c r="R40" s="85">
        <v>36</v>
      </c>
      <c r="S40" s="85">
        <v>37</v>
      </c>
      <c r="T40" s="85">
        <v>35</v>
      </c>
      <c r="U40" s="85">
        <v>37</v>
      </c>
      <c r="V40" s="86">
        <f>SUM(R40:U40)</f>
        <v>145</v>
      </c>
      <c r="W40" s="85">
        <v>31</v>
      </c>
      <c r="X40" s="85">
        <v>33</v>
      </c>
      <c r="Y40" s="85"/>
      <c r="Z40" s="85"/>
      <c r="AA40" s="86">
        <f>SUM(W40:Z40)</f>
        <v>64</v>
      </c>
    </row>
    <row r="41" spans="2:27" s="14" customFormat="1" x14ac:dyDescent="0.25">
      <c r="B41" s="84" t="s">
        <v>164</v>
      </c>
      <c r="C41" s="85">
        <v>0</v>
      </c>
      <c r="D41" s="85">
        <v>0</v>
      </c>
      <c r="E41" s="85">
        <v>0</v>
      </c>
      <c r="F41" s="85">
        <v>0</v>
      </c>
      <c r="G41" s="86">
        <f>SUM(C41:F41)</f>
        <v>0</v>
      </c>
      <c r="H41" s="85">
        <v>0</v>
      </c>
      <c r="I41" s="85">
        <v>0</v>
      </c>
      <c r="J41" s="85">
        <v>0</v>
      </c>
      <c r="K41" s="85">
        <v>15</v>
      </c>
      <c r="L41" s="86">
        <f>SUM(H41:K41)</f>
        <v>15</v>
      </c>
      <c r="M41" s="85">
        <v>15</v>
      </c>
      <c r="N41" s="85">
        <v>0</v>
      </c>
      <c r="O41" s="85">
        <v>0</v>
      </c>
      <c r="P41" s="85">
        <v>14</v>
      </c>
      <c r="Q41" s="86">
        <f>SUM(M41:P41)</f>
        <v>29</v>
      </c>
      <c r="R41" s="85">
        <v>10</v>
      </c>
      <c r="S41" s="85">
        <v>13</v>
      </c>
      <c r="T41" s="85">
        <v>16</v>
      </c>
      <c r="U41" s="85">
        <v>19</v>
      </c>
      <c r="V41" s="86">
        <f>SUM(R41:U41)</f>
        <v>58</v>
      </c>
      <c r="W41" s="85">
        <v>24</v>
      </c>
      <c r="X41" s="85">
        <v>34</v>
      </c>
      <c r="Y41" s="85"/>
      <c r="Z41" s="85"/>
      <c r="AA41" s="86">
        <f>SUM(W41:Z41)</f>
        <v>58</v>
      </c>
    </row>
    <row r="42" spans="2:27" s="14" customFormat="1" x14ac:dyDescent="0.25">
      <c r="B42" s="14" t="s">
        <v>165</v>
      </c>
      <c r="C42" s="14">
        <v>0</v>
      </c>
      <c r="D42" s="14">
        <v>0</v>
      </c>
      <c r="E42" s="14">
        <v>0</v>
      </c>
      <c r="F42" s="14">
        <v>0</v>
      </c>
      <c r="G42" s="83">
        <f>SUM(C42:F42)</f>
        <v>0</v>
      </c>
      <c r="H42" s="14">
        <v>0</v>
      </c>
      <c r="I42" s="14">
        <v>0</v>
      </c>
      <c r="J42" s="14">
        <v>0</v>
      </c>
      <c r="K42" s="14">
        <v>90</v>
      </c>
      <c r="L42" s="83">
        <f>SUM(H42:K42)</f>
        <v>90</v>
      </c>
      <c r="M42" s="14">
        <v>87</v>
      </c>
      <c r="N42" s="14">
        <v>0</v>
      </c>
      <c r="O42" s="14">
        <v>0</v>
      </c>
      <c r="P42" s="14">
        <v>118</v>
      </c>
      <c r="Q42" s="83">
        <f>SUM(M42:P42)</f>
        <v>205</v>
      </c>
      <c r="R42" s="14">
        <v>113</v>
      </c>
      <c r="S42" s="14">
        <v>115</v>
      </c>
      <c r="T42" s="14">
        <v>126</v>
      </c>
      <c r="U42" s="14">
        <v>145</v>
      </c>
      <c r="V42" s="83">
        <f>SUM(R42:U42)</f>
        <v>499</v>
      </c>
      <c r="W42" s="14">
        <v>140</v>
      </c>
      <c r="X42" s="14">
        <v>139</v>
      </c>
      <c r="AA42" s="83">
        <f>SUM(W42:Z42)</f>
        <v>279</v>
      </c>
    </row>
    <row r="43" spans="2:27" s="14" customFormat="1" x14ac:dyDescent="0.25">
      <c r="B43" s="14" t="s">
        <v>166</v>
      </c>
      <c r="C43" s="14">
        <v>50</v>
      </c>
      <c r="D43" s="14">
        <v>54</v>
      </c>
      <c r="E43" s="14">
        <v>44</v>
      </c>
      <c r="F43" s="14">
        <v>53</v>
      </c>
      <c r="G43" s="83">
        <f t="shared" ref="G43:G44" si="166">SUM(C43:F43)</f>
        <v>201</v>
      </c>
      <c r="H43" s="14">
        <v>43</v>
      </c>
      <c r="I43" s="14">
        <v>49</v>
      </c>
      <c r="J43" s="14">
        <v>42</v>
      </c>
      <c r="K43" s="14">
        <v>50</v>
      </c>
      <c r="L43" s="83">
        <f t="shared" ref="L43:L44" si="167">SUM(H43:K43)</f>
        <v>184</v>
      </c>
      <c r="M43" s="14">
        <v>36</v>
      </c>
      <c r="N43" s="14">
        <v>44</v>
      </c>
      <c r="O43" s="14">
        <v>38</v>
      </c>
      <c r="P43" s="14">
        <v>40</v>
      </c>
      <c r="Q43" s="83">
        <f t="shared" ref="Q43:Q44" si="168">SUM(M43:P43)</f>
        <v>158</v>
      </c>
      <c r="R43" s="14">
        <v>21</v>
      </c>
      <c r="S43" s="14">
        <v>26</v>
      </c>
      <c r="T43" s="14">
        <v>29</v>
      </c>
      <c r="U43" s="14">
        <v>33</v>
      </c>
      <c r="V43" s="83">
        <f t="shared" ref="V43:V44" si="169">SUM(R43:U43)</f>
        <v>109</v>
      </c>
      <c r="W43" s="14">
        <v>28</v>
      </c>
      <c r="X43" s="14">
        <v>31</v>
      </c>
      <c r="AA43" s="83">
        <f t="shared" ref="AA43:AA44" si="170">SUM(W43:Z43)</f>
        <v>59</v>
      </c>
    </row>
    <row r="44" spans="2:27" s="14" customFormat="1" x14ac:dyDescent="0.25">
      <c r="B44" s="14" t="s">
        <v>167</v>
      </c>
      <c r="C44" s="14">
        <v>7</v>
      </c>
      <c r="D44" s="14">
        <v>6</v>
      </c>
      <c r="E44" s="14">
        <v>7</v>
      </c>
      <c r="F44" s="14">
        <v>11</v>
      </c>
      <c r="G44" s="83">
        <f t="shared" si="166"/>
        <v>31</v>
      </c>
      <c r="H44" s="14">
        <v>10</v>
      </c>
      <c r="I44" s="14">
        <v>9</v>
      </c>
      <c r="J44" s="14">
        <v>13</v>
      </c>
      <c r="K44" s="14">
        <v>16</v>
      </c>
      <c r="L44" s="83">
        <f t="shared" si="167"/>
        <v>48</v>
      </c>
      <c r="M44" s="14">
        <v>14</v>
      </c>
      <c r="N44" s="14">
        <v>10</v>
      </c>
      <c r="O44" s="14">
        <v>13</v>
      </c>
      <c r="P44" s="14">
        <v>13</v>
      </c>
      <c r="Q44" s="83">
        <f t="shared" si="168"/>
        <v>50</v>
      </c>
      <c r="R44" s="14">
        <v>0</v>
      </c>
      <c r="S44" s="14">
        <v>0</v>
      </c>
      <c r="T44" s="14">
        <v>0</v>
      </c>
      <c r="U44" s="14">
        <v>0</v>
      </c>
      <c r="V44" s="83">
        <f t="shared" si="169"/>
        <v>0</v>
      </c>
      <c r="W44" s="14">
        <v>0</v>
      </c>
      <c r="X44" s="14">
        <v>0</v>
      </c>
      <c r="AA44" s="83">
        <f t="shared" si="170"/>
        <v>0</v>
      </c>
    </row>
    <row r="45" spans="2:27" s="14" customFormat="1" x14ac:dyDescent="0.25">
      <c r="B45" s="15" t="s">
        <v>168</v>
      </c>
      <c r="C45" s="15">
        <f t="shared" ref="C45" si="171">C39+C42+C43+C44</f>
        <v>132</v>
      </c>
      <c r="D45" s="15">
        <f t="shared" ref="D45" si="172">D39+D42+D43+D44</f>
        <v>133</v>
      </c>
      <c r="E45" s="15">
        <f t="shared" ref="E45" si="173">E39+E42+E43+E44</f>
        <v>125</v>
      </c>
      <c r="F45" s="15">
        <f t="shared" ref="F45" si="174">F39+F42+F43+F44</f>
        <v>158</v>
      </c>
      <c r="G45" s="54">
        <f t="shared" ref="G45" si="175">G39+G42+G43+G44</f>
        <v>548</v>
      </c>
      <c r="H45" s="15">
        <f t="shared" ref="H45" si="176">H39+H42+H43+H44</f>
        <v>155</v>
      </c>
      <c r="I45" s="15">
        <f t="shared" ref="I45" si="177">I39+I42+I43+I44</f>
        <v>173</v>
      </c>
      <c r="J45" s="15">
        <f t="shared" ref="J45" si="178">J39+J42+J43+J44</f>
        <v>180</v>
      </c>
      <c r="K45" s="15">
        <f t="shared" ref="K45" si="179">K39+K42+K43+K44</f>
        <v>208</v>
      </c>
      <c r="L45" s="54">
        <f t="shared" ref="L45" si="180">L39+L42+L43+L44</f>
        <v>716</v>
      </c>
      <c r="M45" s="15">
        <f t="shared" ref="M45" si="181">M39+M42+M43+M44</f>
        <v>191</v>
      </c>
      <c r="N45" s="15">
        <f t="shared" ref="N45" si="182">N39+N42+N43+N44</f>
        <v>202</v>
      </c>
      <c r="O45" s="15">
        <f t="shared" ref="O45" si="183">O39+O42+O43+O44</f>
        <v>209</v>
      </c>
      <c r="P45" s="15">
        <f t="shared" ref="P45" si="184">P39+P42+P43+P44</f>
        <v>223</v>
      </c>
      <c r="Q45" s="54">
        <f t="shared" ref="Q45" si="185">Q39+Q42+Q43+Q44</f>
        <v>825</v>
      </c>
      <c r="R45" s="15">
        <f>R39+R42+R43+R44</f>
        <v>180</v>
      </c>
      <c r="S45" s="15">
        <f t="shared" ref="S45" si="186">S39+S42+S43+S44</f>
        <v>191</v>
      </c>
      <c r="T45" s="15">
        <f t="shared" ref="T45" si="187">T39+T42+T43+T44</f>
        <v>206</v>
      </c>
      <c r="U45" s="15">
        <f t="shared" ref="U45" si="188">U39+U42+U43+U44</f>
        <v>234</v>
      </c>
      <c r="V45" s="54">
        <f t="shared" ref="V45" si="189">V39+V42+V43+V44</f>
        <v>811</v>
      </c>
      <c r="W45" s="15">
        <f>W39+W42+W43+W44</f>
        <v>224</v>
      </c>
      <c r="X45" s="15">
        <f t="shared" ref="X45:AA45" si="190">X39+X42+X43+X44</f>
        <v>238</v>
      </c>
      <c r="Y45" s="15">
        <f t="shared" si="190"/>
        <v>0</v>
      </c>
      <c r="Z45" s="15">
        <f t="shared" si="190"/>
        <v>0</v>
      </c>
      <c r="AA45" s="54">
        <f t="shared" si="190"/>
        <v>460</v>
      </c>
    </row>
    <row r="46" spans="2:27" x14ac:dyDescent="0.25">
      <c r="B46" s="12" t="s">
        <v>170</v>
      </c>
      <c r="C46" s="12"/>
      <c r="D46" s="12"/>
      <c r="E46" s="12"/>
      <c r="F46" s="12"/>
      <c r="G46" s="27"/>
      <c r="H46" s="38">
        <f>(H45-C45)/C45</f>
        <v>0.17424242424242425</v>
      </c>
      <c r="I46" s="38">
        <f>(I45-D45)/D45</f>
        <v>0.3007518796992481</v>
      </c>
      <c r="J46" s="38">
        <f t="shared" ref="J46" si="191">(J45-E45)/E45</f>
        <v>0.44</v>
      </c>
      <c r="K46" s="38">
        <f t="shared" ref="K46" si="192">(K45-F45)/F45</f>
        <v>0.31645569620253167</v>
      </c>
      <c r="L46" s="34">
        <f>(L45-G45)/G45</f>
        <v>0.30656934306569344</v>
      </c>
      <c r="M46" s="38">
        <f>(M45-H45)/H45</f>
        <v>0.23225806451612904</v>
      </c>
      <c r="N46" s="38">
        <f t="shared" ref="N46" si="193">(N45-I45)/I45</f>
        <v>0.16763005780346821</v>
      </c>
      <c r="O46" s="38">
        <f t="shared" ref="O46" si="194">(O45-J45)/J45</f>
        <v>0.16111111111111112</v>
      </c>
      <c r="P46" s="38">
        <f t="shared" ref="P46" si="195">(P45-K45)/K45</f>
        <v>7.2115384615384609E-2</v>
      </c>
      <c r="Q46" s="34">
        <f>(Q45-L45)/L45</f>
        <v>0.15223463687150837</v>
      </c>
      <c r="R46" s="38">
        <f>(R45-M45)/M45</f>
        <v>-5.7591623036649213E-2</v>
      </c>
      <c r="S46" s="38">
        <f t="shared" ref="S46:U46" si="196">(S45-N45)/N45</f>
        <v>-5.4455445544554455E-2</v>
      </c>
      <c r="T46" s="38">
        <f t="shared" si="196"/>
        <v>-1.4354066985645933E-2</v>
      </c>
      <c r="U46" s="38">
        <f t="shared" si="196"/>
        <v>4.9327354260089683E-2</v>
      </c>
      <c r="V46" s="35">
        <f>(V45-Q45)/Q45</f>
        <v>-1.6969696969696971E-2</v>
      </c>
      <c r="W46" s="38">
        <f>(W45-R45)/R45</f>
        <v>0.24444444444444444</v>
      </c>
      <c r="X46" s="38">
        <f t="shared" ref="X46" si="197">(X45-S45)/S45</f>
        <v>0.24607329842931938</v>
      </c>
      <c r="Y46" s="38">
        <f t="shared" ref="Y46" si="198">(Y45-T45)/T45</f>
        <v>-1</v>
      </c>
      <c r="Z46" s="38">
        <f t="shared" ref="Z46" si="199">(Z45-U45)/U45</f>
        <v>-1</v>
      </c>
      <c r="AA46" s="35">
        <f>(AA45-V45)/V45</f>
        <v>-0.43279901356350187</v>
      </c>
    </row>
    <row r="47" spans="2:27" x14ac:dyDescent="0.25">
      <c r="B47" s="2" t="s">
        <v>132</v>
      </c>
      <c r="C47" s="2">
        <v>-63</v>
      </c>
      <c r="D47" s="2">
        <v>-62</v>
      </c>
      <c r="E47" s="2">
        <v>-74</v>
      </c>
      <c r="F47" s="2">
        <v>-67</v>
      </c>
      <c r="G47" s="28">
        <f>SUM(C47:F47)</f>
        <v>-266</v>
      </c>
      <c r="H47" s="2">
        <v>-86</v>
      </c>
      <c r="I47" s="2">
        <v>-88</v>
      </c>
      <c r="J47" s="2">
        <v>-67</v>
      </c>
      <c r="K47" s="2">
        <v>-69</v>
      </c>
      <c r="L47" s="28">
        <f>SUM(H47:K47)</f>
        <v>-310</v>
      </c>
      <c r="M47" s="2">
        <v>-82</v>
      </c>
      <c r="N47" s="2">
        <v>-73</v>
      </c>
      <c r="O47" s="2">
        <v>-57</v>
      </c>
      <c r="P47" s="2">
        <v>-78</v>
      </c>
      <c r="Q47" s="28">
        <f>SUM(M47:P47)</f>
        <v>-290</v>
      </c>
      <c r="R47" s="2">
        <v>-72</v>
      </c>
      <c r="S47" s="2">
        <v>-66</v>
      </c>
      <c r="T47" s="2">
        <v>-44</v>
      </c>
      <c r="U47" s="2">
        <v>-44</v>
      </c>
      <c r="V47" s="28">
        <f>SUM(R47:U47)</f>
        <v>-226</v>
      </c>
      <c r="W47" s="2">
        <v>-21</v>
      </c>
      <c r="X47" s="2">
        <v>-33</v>
      </c>
      <c r="Y47" s="2"/>
      <c r="Z47" s="2"/>
      <c r="AA47" s="28">
        <f>SUM(W47:Z47)</f>
        <v>-54</v>
      </c>
    </row>
    <row r="48" spans="2:27" x14ac:dyDescent="0.25">
      <c r="B48" s="23" t="s">
        <v>58</v>
      </c>
      <c r="C48" s="24">
        <f t="shared" ref="C48" si="200">C47/C45</f>
        <v>-0.47727272727272729</v>
      </c>
      <c r="D48" s="24">
        <f t="shared" ref="D48" si="201">D47/D45</f>
        <v>-0.46616541353383456</v>
      </c>
      <c r="E48" s="24">
        <f t="shared" ref="E48" si="202">E47/E45</f>
        <v>-0.59199999999999997</v>
      </c>
      <c r="F48" s="24">
        <f t="shared" ref="F48" si="203">F47/F45</f>
        <v>-0.42405063291139239</v>
      </c>
      <c r="G48" s="29">
        <f>G47/G45</f>
        <v>-0.48540145985401462</v>
      </c>
      <c r="H48" s="24">
        <f t="shared" ref="H48" si="204">H47/H45</f>
        <v>-0.55483870967741933</v>
      </c>
      <c r="I48" s="24">
        <f t="shared" ref="I48" si="205">I47/I45</f>
        <v>-0.50867052023121384</v>
      </c>
      <c r="J48" s="24">
        <f t="shared" ref="J48" si="206">J47/J45</f>
        <v>-0.37222222222222223</v>
      </c>
      <c r="K48" s="24">
        <f t="shared" ref="K48" si="207">K47/K45</f>
        <v>-0.33173076923076922</v>
      </c>
      <c r="L48" s="29">
        <f>L47/L45</f>
        <v>-0.43296089385474862</v>
      </c>
      <c r="M48" s="37">
        <f t="shared" ref="M48" si="208">M47/M45</f>
        <v>-0.4293193717277487</v>
      </c>
      <c r="N48" s="37">
        <f t="shared" ref="N48" si="209">N47/N45</f>
        <v>-0.36138613861386137</v>
      </c>
      <c r="O48" s="37">
        <f t="shared" ref="O48" si="210">O47/O45</f>
        <v>-0.27272727272727271</v>
      </c>
      <c r="P48" s="37">
        <f t="shared" ref="P48" si="211">P47/P45</f>
        <v>-0.34977578475336324</v>
      </c>
      <c r="Q48" s="29">
        <f>Q47/Q45</f>
        <v>-0.3515151515151515</v>
      </c>
      <c r="R48" s="37">
        <f>R47/R45</f>
        <v>-0.4</v>
      </c>
      <c r="S48" s="37">
        <f t="shared" ref="S48" si="212">S47/S45</f>
        <v>-0.34554973821989526</v>
      </c>
      <c r="T48" s="37">
        <f t="shared" ref="T48" si="213">T47/T45</f>
        <v>-0.21359223300970873</v>
      </c>
      <c r="U48" s="37">
        <f t="shared" ref="U48" si="214">U47/U45</f>
        <v>-0.18803418803418803</v>
      </c>
      <c r="V48" s="36">
        <f>V47/V45</f>
        <v>-0.27866831072749693</v>
      </c>
      <c r="W48" s="37">
        <f>W47/W45</f>
        <v>-9.375E-2</v>
      </c>
      <c r="X48" s="37">
        <f t="shared" ref="X48:Z48" si="215">X47/X45</f>
        <v>-0.13865546218487396</v>
      </c>
      <c r="Y48" s="37" t="e">
        <f t="shared" si="215"/>
        <v>#DIV/0!</v>
      </c>
      <c r="Z48" s="37" t="e">
        <f t="shared" si="215"/>
        <v>#DIV/0!</v>
      </c>
      <c r="AA48" s="36">
        <f>AA47/AA45</f>
        <v>-0.11739130434782609</v>
      </c>
    </row>
    <row r="49" spans="2:27" x14ac:dyDescent="0.25">
      <c r="B49" s="2" t="s">
        <v>56</v>
      </c>
      <c r="G49" s="33"/>
      <c r="L49" s="33"/>
      <c r="Q49" s="33"/>
      <c r="V49" s="33"/>
      <c r="AA49" s="33"/>
    </row>
    <row r="50" spans="2:27" x14ac:dyDescent="0.25">
      <c r="B50" s="1" t="s">
        <v>171</v>
      </c>
      <c r="C50" s="1">
        <v>477</v>
      </c>
      <c r="D50" s="1">
        <v>413</v>
      </c>
      <c r="E50" s="1">
        <v>425</v>
      </c>
      <c r="F50" s="1">
        <v>506</v>
      </c>
      <c r="G50" s="26">
        <f>SUM(C50:F50)</f>
        <v>1821</v>
      </c>
      <c r="H50" s="1">
        <v>471</v>
      </c>
      <c r="I50" s="1">
        <v>428</v>
      </c>
      <c r="J50" s="1">
        <v>410</v>
      </c>
      <c r="K50" s="1">
        <v>370</v>
      </c>
      <c r="L50" s="26">
        <f>SUM(H50:K50)</f>
        <v>1679</v>
      </c>
      <c r="M50" s="1">
        <v>360</v>
      </c>
      <c r="N50" s="1">
        <v>469</v>
      </c>
      <c r="O50" s="1">
        <v>599</v>
      </c>
      <c r="P50" s="1">
        <v>555</v>
      </c>
      <c r="Q50" s="26">
        <f>SUM(M50:P50)</f>
        <v>1983</v>
      </c>
      <c r="R50" s="1">
        <v>453</v>
      </c>
      <c r="S50" s="1">
        <v>0</v>
      </c>
      <c r="T50" s="1">
        <v>0</v>
      </c>
      <c r="U50" s="1">
        <v>0</v>
      </c>
      <c r="V50" s="26">
        <f>SUM(R50:U50)</f>
        <v>453</v>
      </c>
      <c r="AA50" s="26"/>
    </row>
    <row r="51" spans="2:27" x14ac:dyDescent="0.25">
      <c r="B51" s="1" t="s">
        <v>167</v>
      </c>
      <c r="C51" s="1">
        <v>0</v>
      </c>
      <c r="D51" s="1">
        <v>0</v>
      </c>
      <c r="E51" s="1">
        <v>0</v>
      </c>
      <c r="F51" s="1">
        <v>0</v>
      </c>
      <c r="G51" s="26">
        <f t="shared" ref="G51:G52" si="216">SUM(C51:F51)</f>
        <v>0</v>
      </c>
      <c r="H51" s="1">
        <v>0</v>
      </c>
      <c r="I51" s="1">
        <v>0</v>
      </c>
      <c r="J51" s="1">
        <v>0</v>
      </c>
      <c r="K51" s="1">
        <v>73</v>
      </c>
      <c r="L51" s="26">
        <f t="shared" ref="L51:L52" si="217">SUM(H51:K51)</f>
        <v>73</v>
      </c>
      <c r="M51" s="1">
        <v>70</v>
      </c>
      <c r="N51" s="1">
        <v>0</v>
      </c>
      <c r="O51" s="1">
        <v>0</v>
      </c>
      <c r="P51" s="1">
        <v>70</v>
      </c>
      <c r="Q51" s="26">
        <f t="shared" ref="Q51:Q52" si="218">SUM(M51:P51)</f>
        <v>140</v>
      </c>
      <c r="R51" s="1">
        <v>82</v>
      </c>
      <c r="S51" s="1">
        <v>0</v>
      </c>
      <c r="T51" s="1">
        <v>0</v>
      </c>
      <c r="U51" s="1">
        <v>0</v>
      </c>
      <c r="V51" s="26">
        <f t="shared" ref="V51:V52" si="219">SUM(R51:U51)</f>
        <v>82</v>
      </c>
      <c r="AA51" s="26"/>
    </row>
    <row r="52" spans="2:27" x14ac:dyDescent="0.25">
      <c r="B52" s="2" t="s">
        <v>168</v>
      </c>
      <c r="C52" s="2">
        <f t="shared" ref="C52" si="220">SUM(C50:C51)</f>
        <v>477</v>
      </c>
      <c r="D52" s="2">
        <f t="shared" ref="D52" si="221">SUM(D50:D51)</f>
        <v>413</v>
      </c>
      <c r="E52" s="2">
        <f t="shared" ref="E52" si="222">SUM(E50:E51)</f>
        <v>425</v>
      </c>
      <c r="F52" s="2">
        <f t="shared" ref="F52" si="223">SUM(F50:F51)</f>
        <v>506</v>
      </c>
      <c r="G52" s="26">
        <f t="shared" si="216"/>
        <v>1821</v>
      </c>
      <c r="H52" s="2">
        <f t="shared" ref="H52:K52" si="224">SUM(H50:H51)</f>
        <v>471</v>
      </c>
      <c r="I52" s="2">
        <f t="shared" si="224"/>
        <v>428</v>
      </c>
      <c r="J52" s="2">
        <f t="shared" si="224"/>
        <v>410</v>
      </c>
      <c r="K52" s="2">
        <f t="shared" si="224"/>
        <v>443</v>
      </c>
      <c r="L52" s="28">
        <f t="shared" si="217"/>
        <v>1752</v>
      </c>
      <c r="M52" s="2">
        <f>SUM(M50:M51)</f>
        <v>430</v>
      </c>
      <c r="N52" s="2">
        <f t="shared" ref="N52:O52" si="225">SUM(N50:N51)</f>
        <v>469</v>
      </c>
      <c r="O52" s="2">
        <f t="shared" si="225"/>
        <v>599</v>
      </c>
      <c r="P52" s="2">
        <f>SUM(P50:P51)</f>
        <v>625</v>
      </c>
      <c r="Q52" s="28">
        <f t="shared" si="218"/>
        <v>2123</v>
      </c>
      <c r="R52" s="2">
        <f>SUM(R50:R51)</f>
        <v>535</v>
      </c>
      <c r="S52" s="2">
        <v>0</v>
      </c>
      <c r="T52" s="2">
        <v>0</v>
      </c>
      <c r="U52" s="2">
        <v>0</v>
      </c>
      <c r="V52" s="28">
        <f t="shared" si="219"/>
        <v>535</v>
      </c>
      <c r="W52" s="2"/>
      <c r="X52" s="2"/>
      <c r="Y52" s="2"/>
      <c r="Z52" s="2"/>
      <c r="AA52" s="28"/>
    </row>
    <row r="53" spans="2:27" x14ac:dyDescent="0.25">
      <c r="B53" s="1" t="s">
        <v>170</v>
      </c>
      <c r="G53" s="34"/>
      <c r="H53" s="38">
        <f>(H52-C52)/C52</f>
        <v>-1.2578616352201259E-2</v>
      </c>
      <c r="I53" s="38">
        <f>(I52-D52)/D52</f>
        <v>3.6319612590799029E-2</v>
      </c>
      <c r="J53" s="38">
        <f t="shared" ref="J53" si="226">(J52-E52)/E52</f>
        <v>-3.5294117647058823E-2</v>
      </c>
      <c r="K53" s="38">
        <f t="shared" ref="K53" si="227">(K52-F52)/F52</f>
        <v>-0.12450592885375494</v>
      </c>
      <c r="L53" s="34">
        <f>(L52-G52)/G52</f>
        <v>-3.789126853377265E-2</v>
      </c>
      <c r="M53" s="22">
        <f>(M52-H52)/H52</f>
        <v>-8.7048832271762203E-2</v>
      </c>
      <c r="N53" s="22">
        <f t="shared" ref="N53:P53" si="228">(N52-I52)/I52</f>
        <v>9.5794392523364483E-2</v>
      </c>
      <c r="O53" s="22">
        <f t="shared" si="228"/>
        <v>0.46097560975609758</v>
      </c>
      <c r="P53" s="22">
        <f t="shared" si="228"/>
        <v>0.41083521444695259</v>
      </c>
      <c r="Q53" s="34">
        <f>(Q52-L52)/L52</f>
        <v>0.2117579908675799</v>
      </c>
      <c r="R53" s="38">
        <f>(R52-M52)/M52</f>
        <v>0.2441860465116279</v>
      </c>
      <c r="S53" s="38">
        <f t="shared" ref="S53:U53" si="229">(S52-N52)/N52</f>
        <v>-1</v>
      </c>
      <c r="T53" s="38">
        <f t="shared" si="229"/>
        <v>-1</v>
      </c>
      <c r="U53" s="38">
        <f t="shared" si="229"/>
        <v>-1</v>
      </c>
      <c r="V53" s="35">
        <f>(V52-Q52)/Q52</f>
        <v>-0.74799811587376352</v>
      </c>
      <c r="W53" s="38"/>
      <c r="X53" s="38"/>
      <c r="Y53" s="38"/>
      <c r="Z53" s="38"/>
      <c r="AA53" s="35"/>
    </row>
    <row r="54" spans="2:27" x14ac:dyDescent="0.25">
      <c r="B54" s="2" t="s">
        <v>132</v>
      </c>
      <c r="C54" s="2">
        <v>-13</v>
      </c>
      <c r="D54" s="2">
        <v>-28</v>
      </c>
      <c r="E54" s="2">
        <v>-13</v>
      </c>
      <c r="F54" s="2">
        <v>4</v>
      </c>
      <c r="G54" s="28">
        <f>SUM(C54:F54)</f>
        <v>-50</v>
      </c>
      <c r="H54" s="2">
        <v>-3</v>
      </c>
      <c r="I54" s="2">
        <v>-4</v>
      </c>
      <c r="J54" s="2">
        <v>1</v>
      </c>
      <c r="K54" s="2">
        <v>20</v>
      </c>
      <c r="L54" s="28">
        <f>SUM(H54:K54)</f>
        <v>14</v>
      </c>
      <c r="M54" s="2">
        <v>1</v>
      </c>
      <c r="N54" s="2">
        <v>12</v>
      </c>
      <c r="O54" s="2">
        <v>35</v>
      </c>
      <c r="P54" s="2">
        <v>17</v>
      </c>
      <c r="Q54" s="28">
        <f>SUM(M54:P54)</f>
        <v>65</v>
      </c>
      <c r="R54" s="2">
        <v>-20</v>
      </c>
      <c r="S54" s="2">
        <v>0</v>
      </c>
      <c r="T54" s="2">
        <v>0</v>
      </c>
      <c r="U54" s="2">
        <v>0</v>
      </c>
      <c r="V54" s="28">
        <f>SUM(R54:U54)</f>
        <v>-20</v>
      </c>
      <c r="W54" s="2"/>
      <c r="X54" s="2"/>
      <c r="Y54" s="2"/>
      <c r="Z54" s="2"/>
      <c r="AA54" s="28"/>
    </row>
    <row r="55" spans="2:27" x14ac:dyDescent="0.25">
      <c r="B55" s="23" t="s">
        <v>58</v>
      </c>
      <c r="C55" s="37">
        <f>C54/C52</f>
        <v>-2.7253668763102725E-2</v>
      </c>
      <c r="D55" s="37">
        <f t="shared" ref="D55" si="230">D54/D52</f>
        <v>-6.7796610169491525E-2</v>
      </c>
      <c r="E55" s="37">
        <f t="shared" ref="E55" si="231">E54/E52</f>
        <v>-3.0588235294117649E-2</v>
      </c>
      <c r="F55" s="37">
        <f t="shared" ref="F55" si="232">F54/F52</f>
        <v>7.9051383399209481E-3</v>
      </c>
      <c r="G55" s="29">
        <f>G54/G52</f>
        <v>-2.7457440966501923E-2</v>
      </c>
      <c r="H55" s="37">
        <f>H54/H52</f>
        <v>-6.369426751592357E-3</v>
      </c>
      <c r="I55" s="37">
        <f t="shared" ref="I55" si="233">I54/I52</f>
        <v>-9.3457943925233638E-3</v>
      </c>
      <c r="J55" s="37">
        <f t="shared" ref="J55" si="234">J54/J52</f>
        <v>2.4390243902439024E-3</v>
      </c>
      <c r="K55" s="37">
        <f t="shared" ref="K55" si="235">K54/K52</f>
        <v>4.5146726862302484E-2</v>
      </c>
      <c r="L55" s="29">
        <f>L54/L52</f>
        <v>7.9908675799086754E-3</v>
      </c>
      <c r="M55" s="37">
        <f>M54/M52</f>
        <v>2.3255813953488372E-3</v>
      </c>
      <c r="N55" s="37">
        <f t="shared" ref="N55:P55" si="236">N54/N52</f>
        <v>2.5586353944562899E-2</v>
      </c>
      <c r="O55" s="37">
        <f t="shared" si="236"/>
        <v>5.8430717863105178E-2</v>
      </c>
      <c r="P55" s="37">
        <f t="shared" si="236"/>
        <v>2.7199999999999998E-2</v>
      </c>
      <c r="Q55" s="36">
        <f>Q54/Q52</f>
        <v>3.0617051342439944E-2</v>
      </c>
      <c r="R55" s="37">
        <f>R54/R52</f>
        <v>-3.7383177570093455E-2</v>
      </c>
      <c r="S55" s="37" t="e">
        <f t="shared" ref="S55:U55" si="237">S54/S52</f>
        <v>#DIV/0!</v>
      </c>
      <c r="T55" s="37" t="e">
        <f t="shared" si="237"/>
        <v>#DIV/0!</v>
      </c>
      <c r="U55" s="37" t="e">
        <f t="shared" si="237"/>
        <v>#DIV/0!</v>
      </c>
      <c r="V55" s="36">
        <f>V54/V52</f>
        <v>-3.7383177570093455E-2</v>
      </c>
      <c r="W55" s="37"/>
      <c r="X55" s="37"/>
      <c r="Y55" s="37"/>
      <c r="Z55" s="37"/>
      <c r="AA55" s="36"/>
    </row>
    <row r="56" spans="2:27" x14ac:dyDescent="0.25">
      <c r="B56" s="2" t="s">
        <v>178</v>
      </c>
      <c r="G56" s="33"/>
      <c r="L56" s="33"/>
      <c r="Q56" s="33"/>
      <c r="V56" s="33"/>
      <c r="AA56" s="33"/>
    </row>
    <row r="57" spans="2:27" x14ac:dyDescent="0.25">
      <c r="B57" s="2" t="s">
        <v>168</v>
      </c>
      <c r="C57" s="2"/>
      <c r="D57" s="2"/>
      <c r="E57" s="2"/>
      <c r="F57" s="2"/>
      <c r="G57" s="28">
        <f>SUM(C57:F57)</f>
        <v>0</v>
      </c>
      <c r="H57" s="2"/>
      <c r="I57" s="2"/>
      <c r="J57" s="2"/>
      <c r="K57" s="2"/>
      <c r="L57" s="28">
        <f>SUM(H57:K57)</f>
        <v>0</v>
      </c>
      <c r="M57" s="2"/>
      <c r="N57" s="2"/>
      <c r="O57" s="2"/>
      <c r="P57" s="2"/>
      <c r="Q57" s="28">
        <f>SUM(M57:P57)</f>
        <v>0</v>
      </c>
      <c r="R57" s="2"/>
      <c r="S57" s="2">
        <v>170</v>
      </c>
      <c r="T57" s="2">
        <v>123</v>
      </c>
      <c r="U57" s="2">
        <v>83</v>
      </c>
      <c r="V57" s="28">
        <f>SUM(R57:U57)</f>
        <v>376</v>
      </c>
      <c r="W57" s="2">
        <v>63</v>
      </c>
      <c r="X57" s="2">
        <v>45</v>
      </c>
      <c r="Y57" s="2"/>
      <c r="Z57" s="2"/>
      <c r="AA57" s="28">
        <f>SUM(W57:Z57)</f>
        <v>108</v>
      </c>
    </row>
    <row r="58" spans="2:27" x14ac:dyDescent="0.25">
      <c r="B58" s="1" t="s">
        <v>132</v>
      </c>
      <c r="G58" s="26">
        <f>SUM(C58:F58)</f>
        <v>0</v>
      </c>
      <c r="L58" s="26">
        <f>SUM(H58:K58)</f>
        <v>0</v>
      </c>
      <c r="Q58" s="26">
        <f>SUM(M58:P58)</f>
        <v>0</v>
      </c>
      <c r="R58" s="1">
        <v>-100</v>
      </c>
      <c r="S58" s="1">
        <v>-114</v>
      </c>
      <c r="T58" s="1">
        <v>-8</v>
      </c>
      <c r="U58" s="1">
        <v>-76</v>
      </c>
      <c r="V58" s="26">
        <f>SUM(R58:U58)</f>
        <v>-298</v>
      </c>
      <c r="W58" s="1">
        <v>-72</v>
      </c>
      <c r="X58" s="1">
        <v>-81</v>
      </c>
      <c r="AA58" s="26">
        <f>SUM(W58:Z58)</f>
        <v>-153</v>
      </c>
    </row>
    <row r="59" spans="2:27" x14ac:dyDescent="0.25">
      <c r="B59" s="24" t="s">
        <v>179</v>
      </c>
      <c r="C59" s="24"/>
      <c r="D59" s="24"/>
      <c r="E59" s="24"/>
      <c r="F59" s="24"/>
      <c r="G59" s="29">
        <f>SUM(C59:F59)</f>
        <v>0</v>
      </c>
      <c r="H59" s="24"/>
      <c r="I59" s="24"/>
      <c r="J59" s="24"/>
      <c r="K59" s="24"/>
      <c r="L59" s="29">
        <f>SUM(H59:K59)</f>
        <v>0</v>
      </c>
      <c r="M59" s="24"/>
      <c r="N59" s="24"/>
      <c r="O59" s="24"/>
      <c r="P59" s="24"/>
      <c r="Q59" s="29">
        <f>SUM(M59:P59)</f>
        <v>0</v>
      </c>
      <c r="R59" s="24"/>
      <c r="S59" s="24">
        <f>S58/S57</f>
        <v>-0.6705882352941176</v>
      </c>
      <c r="T59" s="24">
        <f>T58/T57</f>
        <v>-6.5040650406504072E-2</v>
      </c>
      <c r="U59" s="24"/>
      <c r="V59" s="29">
        <f>SUM(R59:U59)</f>
        <v>-0.73562888570062168</v>
      </c>
      <c r="W59" s="24">
        <f t="shared" ref="W59:Z59" si="238">W58/W57</f>
        <v>-1.1428571428571428</v>
      </c>
      <c r="X59" s="24">
        <f t="shared" si="238"/>
        <v>-1.8</v>
      </c>
      <c r="Y59" s="24" t="e">
        <f t="shared" si="238"/>
        <v>#DIV/0!</v>
      </c>
      <c r="Z59" s="24" t="e">
        <f t="shared" si="238"/>
        <v>#DIV/0!</v>
      </c>
      <c r="AA59" s="29" t="e">
        <f>SUM(W59:Z59)</f>
        <v>#DIV/0!</v>
      </c>
    </row>
    <row r="60" spans="2:27" x14ac:dyDescent="0.25">
      <c r="G60" s="22"/>
      <c r="H60" s="38"/>
      <c r="I60" s="38"/>
      <c r="J60" s="38"/>
      <c r="K60" s="38"/>
      <c r="L60" s="22"/>
      <c r="M60" s="22"/>
      <c r="N60" s="22"/>
      <c r="O60" s="22"/>
      <c r="P60" s="22"/>
      <c r="Q60" s="22"/>
      <c r="R60" s="38"/>
      <c r="S60" s="38"/>
      <c r="T60" s="38"/>
      <c r="U60" s="38"/>
      <c r="V60" s="38"/>
    </row>
    <row r="61" spans="2:27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7" x14ac:dyDescent="0.25">
      <c r="B62" s="12"/>
      <c r="C62" s="38"/>
      <c r="D62" s="38"/>
      <c r="E62" s="38"/>
      <c r="F62" s="38"/>
      <c r="G62" s="22"/>
      <c r="H62" s="38"/>
      <c r="I62" s="38"/>
      <c r="J62" s="38"/>
      <c r="K62" s="38"/>
      <c r="L62" s="22"/>
      <c r="M62" s="38"/>
      <c r="N62" s="38"/>
      <c r="O62" s="38"/>
      <c r="P62" s="38"/>
      <c r="Q62" s="38"/>
      <c r="R62" s="38"/>
      <c r="S62" s="38"/>
      <c r="T62" s="38"/>
      <c r="U62" s="38"/>
      <c r="V62" s="38"/>
    </row>
  </sheetData>
  <hyperlinks>
    <hyperlink ref="E21" r:id="rId1" display="17@" xr:uid="{F2A56C22-CA37-4242-BEAF-DF41DE0F53B9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B806-2B16-F241-9CD3-A5DEE32230A2}">
  <dimension ref="B4:X37"/>
  <sheetViews>
    <sheetView showGridLines="0" workbookViewId="0">
      <pane xSplit="4" ySplit="4" topLeftCell="Q5" activePane="bottomRight" state="frozen"/>
      <selection pane="topRight" activeCell="E1" sqref="E1"/>
      <selection pane="bottomLeft" activeCell="A5" sqref="A5"/>
      <selection pane="bottomRight" activeCell="B38" sqref="B38"/>
    </sheetView>
  </sheetViews>
  <sheetFormatPr baseColWidth="10" defaultRowHeight="19" x14ac:dyDescent="0.25"/>
  <cols>
    <col min="1" max="1" width="10.83203125" style="1"/>
    <col min="2" max="2" width="13.33203125" style="1" customWidth="1"/>
    <col min="3" max="3" width="10.83203125" style="1"/>
    <col min="4" max="4" width="20.33203125" style="1" customWidth="1"/>
    <col min="5" max="15" width="10.83203125" style="1"/>
    <col min="16" max="16" width="12.33203125" style="1" bestFit="1" customWidth="1"/>
    <col min="17" max="16384" width="10.83203125" style="1"/>
  </cols>
  <sheetData>
    <row r="4" spans="2:24" x14ac:dyDescent="0.25">
      <c r="B4" s="2" t="s">
        <v>288</v>
      </c>
      <c r="C4" s="2" t="s">
        <v>289</v>
      </c>
      <c r="D4" s="2" t="s">
        <v>290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  <c r="N4" s="13" t="s">
        <v>15</v>
      </c>
      <c r="O4" s="13" t="s">
        <v>16</v>
      </c>
      <c r="P4" s="13" t="s">
        <v>17</v>
      </c>
      <c r="Q4" s="13" t="s">
        <v>97</v>
      </c>
      <c r="R4" s="13" t="s">
        <v>98</v>
      </c>
      <c r="S4" s="13" t="s">
        <v>99</v>
      </c>
      <c r="T4" s="13" t="s">
        <v>100</v>
      </c>
      <c r="U4" s="13" t="s">
        <v>222</v>
      </c>
      <c r="V4" s="13" t="s">
        <v>223</v>
      </c>
      <c r="W4" s="13" t="s">
        <v>224</v>
      </c>
      <c r="X4" s="13" t="s">
        <v>225</v>
      </c>
    </row>
    <row r="5" spans="2:24" s="95" customFormat="1" x14ac:dyDescent="0.25">
      <c r="B5" s="94" t="s">
        <v>52</v>
      </c>
      <c r="C5" s="95" t="s">
        <v>291</v>
      </c>
      <c r="D5" s="95" t="s">
        <v>292</v>
      </c>
      <c r="M5" s="95">
        <v>438</v>
      </c>
      <c r="N5" s="95">
        <v>439</v>
      </c>
      <c r="O5" s="95">
        <v>428</v>
      </c>
      <c r="P5" s="95">
        <v>434</v>
      </c>
      <c r="Q5" s="95">
        <v>461</v>
      </c>
      <c r="R5" s="95">
        <v>497</v>
      </c>
      <c r="S5" s="95">
        <v>518</v>
      </c>
      <c r="T5" s="95">
        <v>540</v>
      </c>
      <c r="U5" s="95">
        <v>586</v>
      </c>
      <c r="V5" s="95">
        <v>592</v>
      </c>
    </row>
    <row r="6" spans="2:24" s="100" customFormat="1" ht="16" x14ac:dyDescent="0.2">
      <c r="B6" s="99"/>
      <c r="D6" s="100" t="s">
        <v>170</v>
      </c>
      <c r="Q6" s="100">
        <f t="shared" ref="Q6:T6" si="0">(Q5-M5)/M5</f>
        <v>5.2511415525114152E-2</v>
      </c>
      <c r="R6" s="100">
        <f t="shared" si="0"/>
        <v>0.13211845102505695</v>
      </c>
      <c r="S6" s="100">
        <f t="shared" si="0"/>
        <v>0.2102803738317757</v>
      </c>
      <c r="T6" s="100">
        <f t="shared" si="0"/>
        <v>0.24423963133640553</v>
      </c>
      <c r="U6" s="100">
        <f>(U5-Q5)/Q5</f>
        <v>0.27114967462039047</v>
      </c>
      <c r="V6" s="100">
        <f>(V5-R5)/R5</f>
        <v>0.19114688128772636</v>
      </c>
    </row>
    <row r="7" spans="2:24" s="95" customFormat="1" x14ac:dyDescent="0.25">
      <c r="C7" s="95" t="s">
        <v>291</v>
      </c>
      <c r="D7" s="95" t="s">
        <v>294</v>
      </c>
      <c r="M7" s="95">
        <v>622</v>
      </c>
      <c r="N7" s="95">
        <v>596</v>
      </c>
      <c r="O7" s="95">
        <v>653</v>
      </c>
      <c r="P7" s="95">
        <v>698</v>
      </c>
      <c r="Q7" s="95">
        <v>704</v>
      </c>
      <c r="R7" s="95">
        <v>715</v>
      </c>
      <c r="S7" s="95">
        <v>734</v>
      </c>
      <c r="T7" s="95">
        <v>766</v>
      </c>
      <c r="U7" s="95">
        <v>793</v>
      </c>
      <c r="V7" s="95">
        <v>805</v>
      </c>
    </row>
    <row r="8" spans="2:24" s="101" customFormat="1" ht="16" x14ac:dyDescent="0.2">
      <c r="D8" s="100" t="s">
        <v>170</v>
      </c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>
        <f t="shared" ref="Q8:T8" si="1">(Q7-M7)/M7</f>
        <v>0.13183279742765272</v>
      </c>
      <c r="R8" s="100">
        <f t="shared" si="1"/>
        <v>0.19966442953020133</v>
      </c>
      <c r="S8" s="100">
        <f t="shared" si="1"/>
        <v>0.12404287901990811</v>
      </c>
      <c r="T8" s="100">
        <f t="shared" si="1"/>
        <v>9.7421203438395415E-2</v>
      </c>
      <c r="U8" s="100">
        <f>(U7-Q7)/Q7</f>
        <v>0.12642045454545456</v>
      </c>
      <c r="V8" s="100">
        <f>(V7-R7)/R7</f>
        <v>0.12587412587412589</v>
      </c>
      <c r="W8" s="100"/>
      <c r="X8" s="100"/>
    </row>
    <row r="9" spans="2:24" s="96" customFormat="1" x14ac:dyDescent="0.25">
      <c r="C9" s="96" t="s">
        <v>293</v>
      </c>
      <c r="D9" s="96" t="s">
        <v>292</v>
      </c>
      <c r="M9" s="96">
        <v>309</v>
      </c>
      <c r="N9" s="96">
        <v>309</v>
      </c>
      <c r="O9" s="96">
        <v>585</v>
      </c>
      <c r="P9" s="96">
        <v>624</v>
      </c>
      <c r="Q9" s="96">
        <v>718</v>
      </c>
      <c r="R9" s="96">
        <v>720</v>
      </c>
      <c r="S9" s="96">
        <v>702</v>
      </c>
      <c r="T9" s="96">
        <v>720</v>
      </c>
      <c r="U9" s="96">
        <v>715</v>
      </c>
      <c r="V9" s="96">
        <v>745</v>
      </c>
    </row>
    <row r="10" spans="2:24" s="101" customFormat="1" ht="16" x14ac:dyDescent="0.2">
      <c r="D10" s="100" t="s">
        <v>170</v>
      </c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>
        <f t="shared" ref="Q10:T10" si="2">(Q9-M9)/M9</f>
        <v>1.3236245954692556</v>
      </c>
      <c r="R10" s="100">
        <f t="shared" si="2"/>
        <v>1.3300970873786409</v>
      </c>
      <c r="S10" s="100">
        <f t="shared" si="2"/>
        <v>0.2</v>
      </c>
      <c r="T10" s="100">
        <f t="shared" si="2"/>
        <v>0.15384615384615385</v>
      </c>
      <c r="U10" s="100">
        <f>(U9-Q9)/Q9</f>
        <v>-4.178272980501393E-3</v>
      </c>
      <c r="V10" s="100">
        <f>(V9-R9)/R9</f>
        <v>3.4722222222222224E-2</v>
      </c>
      <c r="W10" s="100"/>
      <c r="X10" s="100"/>
    </row>
    <row r="11" spans="2:24" s="96" customFormat="1" x14ac:dyDescent="0.25">
      <c r="C11" s="96" t="s">
        <v>293</v>
      </c>
      <c r="D11" s="96" t="s">
        <v>294</v>
      </c>
      <c r="M11" s="96">
        <v>171</v>
      </c>
      <c r="N11" s="96">
        <v>177</v>
      </c>
      <c r="O11" s="96">
        <v>194</v>
      </c>
      <c r="P11" s="96">
        <v>234</v>
      </c>
      <c r="Q11" s="96">
        <v>246</v>
      </c>
      <c r="R11" s="96">
        <v>304</v>
      </c>
      <c r="S11" s="96">
        <v>301</v>
      </c>
      <c r="T11" s="96">
        <v>298</v>
      </c>
      <c r="U11" s="96">
        <v>267</v>
      </c>
      <c r="V11" s="96">
        <v>286</v>
      </c>
    </row>
    <row r="12" spans="2:24" s="101" customFormat="1" ht="16" x14ac:dyDescent="0.2">
      <c r="D12" s="100" t="s">
        <v>170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>
        <f t="shared" ref="Q12:T12" si="3">(Q11-M11)/M11</f>
        <v>0.43859649122807015</v>
      </c>
      <c r="R12" s="100">
        <f t="shared" si="3"/>
        <v>0.71751412429378536</v>
      </c>
      <c r="S12" s="100">
        <f t="shared" si="3"/>
        <v>0.55154639175257736</v>
      </c>
      <c r="T12" s="100">
        <f t="shared" si="3"/>
        <v>0.27350427350427353</v>
      </c>
      <c r="U12" s="100">
        <f>(U11-Q11)/Q11</f>
        <v>8.5365853658536592E-2</v>
      </c>
      <c r="V12" s="100">
        <f>(V11-R11)/R11</f>
        <v>-5.921052631578947E-2</v>
      </c>
      <c r="W12" s="100"/>
      <c r="X12" s="100"/>
    </row>
    <row r="13" spans="2:24" s="97" customFormat="1" x14ac:dyDescent="0.25">
      <c r="C13" s="97" t="s">
        <v>295</v>
      </c>
      <c r="D13" s="97" t="s">
        <v>292</v>
      </c>
      <c r="M13" s="97">
        <v>4645</v>
      </c>
      <c r="N13" s="97">
        <v>4585</v>
      </c>
      <c r="O13" s="97">
        <v>313</v>
      </c>
      <c r="P13" s="97">
        <v>316</v>
      </c>
      <c r="Q13" s="97">
        <v>341</v>
      </c>
      <c r="R13" s="97">
        <v>349</v>
      </c>
      <c r="S13" s="97">
        <v>375</v>
      </c>
      <c r="T13" s="97">
        <v>382</v>
      </c>
      <c r="U13" s="97">
        <v>644</v>
      </c>
      <c r="V13" s="97">
        <v>771</v>
      </c>
    </row>
    <row r="14" spans="2:24" s="101" customFormat="1" ht="16" x14ac:dyDescent="0.2">
      <c r="D14" s="100" t="s">
        <v>170</v>
      </c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>
        <f t="shared" ref="Q14:T14" si="4">(Q13-M13)/M13</f>
        <v>-0.92658772874058126</v>
      </c>
      <c r="R14" s="100">
        <f t="shared" si="4"/>
        <v>-0.92388222464558345</v>
      </c>
      <c r="S14" s="100">
        <f t="shared" si="4"/>
        <v>0.19808306709265175</v>
      </c>
      <c r="T14" s="100">
        <f t="shared" si="4"/>
        <v>0.20886075949367089</v>
      </c>
      <c r="U14" s="100">
        <f>(U13-Q13)/Q13</f>
        <v>0.88856304985337242</v>
      </c>
      <c r="V14" s="100">
        <f>(V13-R13)/R13</f>
        <v>1.2091690544412608</v>
      </c>
      <c r="W14" s="100"/>
      <c r="X14" s="100"/>
    </row>
    <row r="15" spans="2:24" s="97" customFormat="1" x14ac:dyDescent="0.25">
      <c r="C15" s="97" t="s">
        <v>295</v>
      </c>
      <c r="D15" s="97" t="s">
        <v>294</v>
      </c>
      <c r="M15" s="97">
        <v>146</v>
      </c>
      <c r="N15" s="97">
        <v>161</v>
      </c>
      <c r="O15" s="97">
        <v>168</v>
      </c>
      <c r="P15" s="97">
        <v>167</v>
      </c>
      <c r="Q15" s="97">
        <v>179</v>
      </c>
      <c r="R15" s="97">
        <v>266</v>
      </c>
      <c r="S15" s="97">
        <v>262</v>
      </c>
      <c r="T15" s="97">
        <v>198</v>
      </c>
      <c r="U15" s="97">
        <v>157</v>
      </c>
      <c r="V15" s="97">
        <v>181</v>
      </c>
    </row>
    <row r="16" spans="2:24" s="101" customFormat="1" ht="16" x14ac:dyDescent="0.2">
      <c r="D16" s="100" t="s">
        <v>170</v>
      </c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>
        <f t="shared" ref="Q16:T16" si="5">(Q15-M15)/M15</f>
        <v>0.22602739726027396</v>
      </c>
      <c r="R16" s="100">
        <f t="shared" si="5"/>
        <v>0.65217391304347827</v>
      </c>
      <c r="S16" s="100">
        <f t="shared" si="5"/>
        <v>0.55952380952380953</v>
      </c>
      <c r="T16" s="100">
        <f t="shared" si="5"/>
        <v>0.18562874251497005</v>
      </c>
      <c r="U16" s="100">
        <f>(U15-Q15)/Q15</f>
        <v>-0.12290502793296089</v>
      </c>
      <c r="V16" s="100">
        <f>(V15-R15)/R15</f>
        <v>-0.31954887218045114</v>
      </c>
      <c r="W16" s="100"/>
      <c r="X16" s="100"/>
    </row>
    <row r="17" spans="2:22" s="68" customFormat="1" x14ac:dyDescent="0.25"/>
    <row r="18" spans="2:22" s="95" customFormat="1" x14ac:dyDescent="0.25">
      <c r="B18" s="94" t="s">
        <v>296</v>
      </c>
      <c r="C18" s="95" t="s">
        <v>291</v>
      </c>
      <c r="D18" s="95" t="s">
        <v>297</v>
      </c>
      <c r="M18" s="95">
        <v>2925</v>
      </c>
      <c r="N18" s="95">
        <v>3200</v>
      </c>
      <c r="O18" s="95">
        <v>3026</v>
      </c>
      <c r="P18" s="95">
        <v>3153</v>
      </c>
      <c r="Q18" s="95">
        <v>3148</v>
      </c>
      <c r="R18" s="95">
        <v>3511</v>
      </c>
      <c r="S18" s="95">
        <v>3454</v>
      </c>
      <c r="T18" s="95">
        <v>3718</v>
      </c>
      <c r="U18" s="95">
        <v>3782</v>
      </c>
      <c r="V18" s="95">
        <v>4081</v>
      </c>
    </row>
    <row r="19" spans="2:22" s="44" customFormat="1" x14ac:dyDescent="0.25">
      <c r="B19" s="102"/>
      <c r="D19" s="100" t="s">
        <v>170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>
        <f t="shared" ref="Q19:T19" si="6">(Q18-M18)/M18</f>
        <v>7.6239316239316235E-2</v>
      </c>
      <c r="R19" s="100">
        <f t="shared" si="6"/>
        <v>9.7187499999999996E-2</v>
      </c>
      <c r="S19" s="100">
        <f t="shared" si="6"/>
        <v>0.14144084600132187</v>
      </c>
      <c r="T19" s="100">
        <f t="shared" si="6"/>
        <v>0.17919441801458927</v>
      </c>
      <c r="U19" s="100">
        <f>(U18-Q18)/Q18</f>
        <v>0.2013977128335451</v>
      </c>
      <c r="V19" s="100">
        <f>(V18-R18)/R18</f>
        <v>0.16234690971233268</v>
      </c>
    </row>
    <row r="20" spans="2:22" s="95" customFormat="1" x14ac:dyDescent="0.25">
      <c r="C20" s="95" t="s">
        <v>291</v>
      </c>
      <c r="D20" s="95" t="s">
        <v>298</v>
      </c>
      <c r="M20" s="95">
        <v>4645</v>
      </c>
      <c r="N20" s="95">
        <v>4585</v>
      </c>
      <c r="O20" s="95">
        <v>4385</v>
      </c>
      <c r="P20" s="95">
        <v>4361</v>
      </c>
      <c r="Q20" s="95">
        <v>4943</v>
      </c>
      <c r="R20" s="95">
        <v>4912</v>
      </c>
      <c r="S20" s="95">
        <v>5153</v>
      </c>
      <c r="T20" s="95">
        <v>5262</v>
      </c>
      <c r="U20" s="95">
        <v>5866</v>
      </c>
      <c r="V20" s="95">
        <v>5746</v>
      </c>
    </row>
    <row r="21" spans="2:22" s="44" customFormat="1" x14ac:dyDescent="0.25">
      <c r="D21" s="100" t="s">
        <v>170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>
        <f t="shared" ref="Q21:T21" si="7">(Q20-M20)/M20</f>
        <v>6.4155005382131328E-2</v>
      </c>
      <c r="R21" s="100">
        <f t="shared" si="7"/>
        <v>7.131952017448201E-2</v>
      </c>
      <c r="S21" s="100">
        <f t="shared" si="7"/>
        <v>0.17514253135689853</v>
      </c>
      <c r="T21" s="100">
        <f t="shared" si="7"/>
        <v>0.20660398991057097</v>
      </c>
      <c r="U21" s="100">
        <f>(U20-Q20)/Q20</f>
        <v>0.18672870726279586</v>
      </c>
      <c r="V21" s="100">
        <f>(V20-R20)/R20</f>
        <v>0.16978827361563517</v>
      </c>
    </row>
    <row r="22" spans="2:22" s="98" customFormat="1" x14ac:dyDescent="0.25">
      <c r="C22" s="98" t="s">
        <v>299</v>
      </c>
      <c r="D22" s="98" t="s">
        <v>297</v>
      </c>
      <c r="M22" s="98">
        <v>19</v>
      </c>
      <c r="N22" s="98">
        <v>19</v>
      </c>
      <c r="O22" s="98">
        <v>20</v>
      </c>
      <c r="P22" s="98">
        <v>24</v>
      </c>
      <c r="Q22" s="98">
        <v>21</v>
      </c>
      <c r="R22" s="98">
        <v>22</v>
      </c>
      <c r="S22" s="98">
        <v>24</v>
      </c>
      <c r="T22" s="98">
        <v>26</v>
      </c>
      <c r="U22" s="98">
        <v>430</v>
      </c>
      <c r="V22" s="98">
        <v>453</v>
      </c>
    </row>
    <row r="23" spans="2:22" s="44" customFormat="1" x14ac:dyDescent="0.25">
      <c r="D23" s="100" t="s">
        <v>170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>
        <f t="shared" ref="Q23:T23" si="8">(Q22-M22)/M22</f>
        <v>0.10526315789473684</v>
      </c>
      <c r="R23" s="100">
        <f t="shared" si="8"/>
        <v>0.15789473684210525</v>
      </c>
      <c r="S23" s="100">
        <f t="shared" si="8"/>
        <v>0.2</v>
      </c>
      <c r="T23" s="100">
        <f t="shared" si="8"/>
        <v>8.3333333333333329E-2</v>
      </c>
      <c r="U23" s="100">
        <f>(U22-Q22)/Q22</f>
        <v>19.476190476190474</v>
      </c>
      <c r="V23" s="100">
        <f>(V22-R22)/R22</f>
        <v>19.59090909090909</v>
      </c>
    </row>
    <row r="24" spans="2:22" s="68" customFormat="1" x14ac:dyDescent="0.25"/>
    <row r="25" spans="2:22" s="95" customFormat="1" x14ac:dyDescent="0.25">
      <c r="B25" s="94" t="s">
        <v>54</v>
      </c>
      <c r="C25" s="95" t="s">
        <v>291</v>
      </c>
      <c r="D25" s="95" t="s">
        <v>297</v>
      </c>
      <c r="M25" s="95">
        <v>6685</v>
      </c>
      <c r="N25" s="95">
        <v>6763</v>
      </c>
      <c r="O25" s="95">
        <v>6967</v>
      </c>
      <c r="P25" s="95">
        <v>7303</v>
      </c>
      <c r="Q25" s="95">
        <v>7891</v>
      </c>
      <c r="R25" s="95">
        <v>8229</v>
      </c>
      <c r="S25" s="95">
        <v>8185</v>
      </c>
      <c r="T25" s="95">
        <v>8856</v>
      </c>
      <c r="U25" s="95">
        <v>8899</v>
      </c>
      <c r="V25" s="95">
        <v>9454</v>
      </c>
    </row>
    <row r="26" spans="2:22" s="44" customFormat="1" x14ac:dyDescent="0.25">
      <c r="D26" s="100" t="s">
        <v>170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>
        <f t="shared" ref="Q26:T26" si="9">(Q25-M25)/M25</f>
        <v>0.18040388930441287</v>
      </c>
      <c r="R26" s="100">
        <f t="shared" si="9"/>
        <v>0.2167677066390655</v>
      </c>
      <c r="S26" s="100">
        <f t="shared" si="9"/>
        <v>0.17482417109229223</v>
      </c>
      <c r="T26" s="100">
        <f t="shared" si="9"/>
        <v>0.21265233465699027</v>
      </c>
      <c r="U26" s="100">
        <f>(U25-Q25)/Q25</f>
        <v>0.12774046381954124</v>
      </c>
      <c r="V26" s="100">
        <f>(V25-R25)/R25</f>
        <v>0.14886377445619151</v>
      </c>
    </row>
    <row r="32" spans="2:22" x14ac:dyDescent="0.25">
      <c r="B32" s="1" t="s">
        <v>342</v>
      </c>
    </row>
    <row r="33" spans="2:2" x14ac:dyDescent="0.25">
      <c r="B33" s="1" t="s">
        <v>343</v>
      </c>
    </row>
    <row r="34" spans="2:2" x14ac:dyDescent="0.25">
      <c r="B34" s="1" t="s">
        <v>344</v>
      </c>
    </row>
    <row r="35" spans="2:2" x14ac:dyDescent="0.25">
      <c r="B35" s="1" t="s">
        <v>345</v>
      </c>
    </row>
    <row r="37" spans="2:2" x14ac:dyDescent="0.25">
      <c r="B37" s="1" t="s">
        <v>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CFB6-9DE7-1D42-827C-C8B6E5DDB66A}">
  <dimension ref="B2:AD26"/>
  <sheetViews>
    <sheetView showGridLines="0" workbookViewId="0">
      <pane xSplit="4" ySplit="4" topLeftCell="Q5" activePane="bottomRight" state="frozen"/>
      <selection pane="topRight" activeCell="E1" sqref="E1"/>
      <selection pane="bottomLeft" activeCell="A5" sqref="A5"/>
      <selection pane="bottomRight" activeCell="W6" sqref="W6"/>
    </sheetView>
  </sheetViews>
  <sheetFormatPr baseColWidth="10" defaultRowHeight="19" x14ac:dyDescent="0.25"/>
  <cols>
    <col min="1" max="1" width="10.83203125" style="1"/>
    <col min="2" max="2" width="13.33203125" style="1" customWidth="1"/>
    <col min="3" max="3" width="10.83203125" style="1"/>
    <col min="4" max="4" width="20.33203125" style="1" customWidth="1"/>
    <col min="5" max="15" width="10.83203125" style="1"/>
    <col min="16" max="16" width="12.33203125" style="1" bestFit="1" customWidth="1"/>
    <col min="17" max="25" width="10.83203125" style="1"/>
    <col min="26" max="26" width="10.83203125" style="4"/>
    <col min="27" max="16384" width="10.83203125" style="1"/>
  </cols>
  <sheetData>
    <row r="2" spans="2:30" x14ac:dyDescent="0.25">
      <c r="B2" s="2" t="s">
        <v>300</v>
      </c>
    </row>
    <row r="3" spans="2:30" x14ac:dyDescent="0.25">
      <c r="AA3" s="1" t="s">
        <v>301</v>
      </c>
    </row>
    <row r="4" spans="2:30" x14ac:dyDescent="0.25">
      <c r="B4" s="2" t="s">
        <v>288</v>
      </c>
      <c r="C4" s="2" t="s">
        <v>289</v>
      </c>
      <c r="D4" s="2" t="s">
        <v>290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  <c r="N4" s="13" t="s">
        <v>15</v>
      </c>
      <c r="O4" s="13" t="s">
        <v>16</v>
      </c>
      <c r="P4" s="13" t="s">
        <v>17</v>
      </c>
      <c r="Q4" s="13" t="s">
        <v>97</v>
      </c>
      <c r="R4" s="13" t="s">
        <v>98</v>
      </c>
      <c r="S4" s="13" t="s">
        <v>99</v>
      </c>
      <c r="T4" s="13" t="s">
        <v>100</v>
      </c>
      <c r="U4" s="13" t="s">
        <v>222</v>
      </c>
      <c r="V4" s="13" t="s">
        <v>223</v>
      </c>
      <c r="W4" s="13" t="s">
        <v>224</v>
      </c>
      <c r="X4" s="13" t="s">
        <v>225</v>
      </c>
      <c r="AA4" s="13" t="s">
        <v>302</v>
      </c>
      <c r="AB4" s="13" t="s">
        <v>303</v>
      </c>
      <c r="AC4" s="13" t="s">
        <v>304</v>
      </c>
      <c r="AD4" s="13" t="s">
        <v>305</v>
      </c>
    </row>
    <row r="5" spans="2:30" x14ac:dyDescent="0.25">
      <c r="B5" s="2" t="s">
        <v>52</v>
      </c>
      <c r="C5" s="1" t="s">
        <v>291</v>
      </c>
      <c r="D5" s="1" t="s">
        <v>292</v>
      </c>
      <c r="M5" s="1">
        <v>149</v>
      </c>
      <c r="N5" s="1">
        <v>156</v>
      </c>
      <c r="O5" s="1">
        <v>158</v>
      </c>
      <c r="P5" s="1">
        <v>162</v>
      </c>
      <c r="Q5" s="1">
        <v>156</v>
      </c>
      <c r="R5" s="1">
        <v>152</v>
      </c>
      <c r="S5" s="1">
        <v>148</v>
      </c>
      <c r="T5" s="1">
        <v>154</v>
      </c>
      <c r="U5" s="1">
        <v>159</v>
      </c>
      <c r="V5" s="1">
        <v>159</v>
      </c>
    </row>
    <row r="6" spans="2:30" s="100" customFormat="1" ht="16" x14ac:dyDescent="0.2">
      <c r="B6" s="99"/>
      <c r="D6" s="100" t="s">
        <v>170</v>
      </c>
      <c r="Q6" s="100">
        <f t="shared" ref="Q6:T6" si="0">(Q5-M5)/M5</f>
        <v>4.6979865771812082E-2</v>
      </c>
      <c r="R6" s="100">
        <f t="shared" si="0"/>
        <v>-2.564102564102564E-2</v>
      </c>
      <c r="S6" s="100">
        <f t="shared" si="0"/>
        <v>-6.3291139240506333E-2</v>
      </c>
      <c r="T6" s="100">
        <f t="shared" si="0"/>
        <v>-4.9382716049382713E-2</v>
      </c>
      <c r="U6" s="100">
        <f>(U5-Q5)/Q5</f>
        <v>1.9230769230769232E-2</v>
      </c>
      <c r="V6" s="100">
        <f>(V5-R5)/R5</f>
        <v>4.6052631578947366E-2</v>
      </c>
      <c r="Z6" s="103"/>
      <c r="AA6" s="101">
        <v>0</v>
      </c>
      <c r="AB6" s="101">
        <v>0.03</v>
      </c>
      <c r="AC6" s="101">
        <v>0.04</v>
      </c>
    </row>
    <row r="7" spans="2:30" x14ac:dyDescent="0.25">
      <c r="C7" s="1" t="s">
        <v>291</v>
      </c>
      <c r="D7" s="1" t="s">
        <v>294</v>
      </c>
      <c r="M7" s="1">
        <v>61</v>
      </c>
      <c r="N7" s="1">
        <v>118</v>
      </c>
      <c r="O7" s="1">
        <v>106</v>
      </c>
      <c r="P7" s="1">
        <v>62</v>
      </c>
      <c r="Q7" s="1">
        <v>67</v>
      </c>
      <c r="R7" s="1">
        <v>116</v>
      </c>
      <c r="S7" s="1">
        <v>106</v>
      </c>
      <c r="T7" s="1">
        <v>67</v>
      </c>
      <c r="U7" s="1">
        <v>64</v>
      </c>
      <c r="V7" s="1">
        <v>113</v>
      </c>
    </row>
    <row r="8" spans="2:30" s="101" customFormat="1" ht="16" x14ac:dyDescent="0.2">
      <c r="D8" s="100" t="s">
        <v>170</v>
      </c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>
        <f t="shared" ref="Q8:T8" si="1">(Q7-M7)/M7</f>
        <v>9.8360655737704916E-2</v>
      </c>
      <c r="R8" s="100">
        <f t="shared" si="1"/>
        <v>-1.6949152542372881E-2</v>
      </c>
      <c r="S8" s="100">
        <f t="shared" si="1"/>
        <v>0</v>
      </c>
      <c r="T8" s="100">
        <f t="shared" si="1"/>
        <v>8.0645161290322578E-2</v>
      </c>
      <c r="U8" s="100">
        <f>(U7-Q7)/Q7</f>
        <v>-4.4776119402985072E-2</v>
      </c>
      <c r="V8" s="100">
        <f>(V7-R7)/R7</f>
        <v>-2.5862068965517241E-2</v>
      </c>
      <c r="W8" s="100"/>
      <c r="X8" s="100"/>
      <c r="Z8" s="104"/>
      <c r="AA8" s="101">
        <v>-0.06</v>
      </c>
      <c r="AB8" s="101">
        <v>-0.02</v>
      </c>
      <c r="AC8" s="101">
        <v>-0.02</v>
      </c>
    </row>
    <row r="9" spans="2:30" x14ac:dyDescent="0.25">
      <c r="C9" s="1" t="s">
        <v>293</v>
      </c>
      <c r="D9" s="1" t="s">
        <v>292</v>
      </c>
      <c r="M9" s="1">
        <v>251</v>
      </c>
      <c r="N9" s="1">
        <v>255</v>
      </c>
      <c r="O9" s="1">
        <v>242</v>
      </c>
      <c r="P9" s="1">
        <v>240</v>
      </c>
      <c r="Q9" s="1">
        <v>217</v>
      </c>
      <c r="R9" s="1">
        <v>226</v>
      </c>
      <c r="S9" s="1">
        <v>225</v>
      </c>
      <c r="T9" s="1">
        <v>221</v>
      </c>
      <c r="U9" s="1">
        <v>205</v>
      </c>
      <c r="V9" s="1">
        <v>227</v>
      </c>
    </row>
    <row r="10" spans="2:30" s="101" customFormat="1" ht="16" x14ac:dyDescent="0.2">
      <c r="D10" s="100" t="s">
        <v>170</v>
      </c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>
        <f t="shared" ref="Q10:T10" si="2">(Q9-M9)/M9</f>
        <v>-0.13545816733067728</v>
      </c>
      <c r="R10" s="100">
        <f t="shared" si="2"/>
        <v>-0.11372549019607843</v>
      </c>
      <c r="S10" s="100">
        <f t="shared" si="2"/>
        <v>-7.0247933884297523E-2</v>
      </c>
      <c r="T10" s="100">
        <f t="shared" si="2"/>
        <v>-7.9166666666666663E-2</v>
      </c>
      <c r="U10" s="100">
        <f>(U9-Q9)/Q9</f>
        <v>-5.5299539170506916E-2</v>
      </c>
      <c r="V10" s="100">
        <f>(V9-R9)/R9</f>
        <v>4.4247787610619468E-3</v>
      </c>
      <c r="W10" s="100"/>
      <c r="X10" s="100"/>
      <c r="Z10" s="104"/>
      <c r="AA10" s="101">
        <v>-7.0000000000000007E-2</v>
      </c>
      <c r="AB10" s="101">
        <v>-0.05</v>
      </c>
      <c r="AC10" s="101">
        <v>-0.02</v>
      </c>
    </row>
    <row r="11" spans="2:30" x14ac:dyDescent="0.25">
      <c r="C11" s="1" t="s">
        <v>293</v>
      </c>
      <c r="D11" s="1" t="s">
        <v>294</v>
      </c>
      <c r="M11" s="1">
        <v>165</v>
      </c>
      <c r="N11" s="1">
        <v>265</v>
      </c>
      <c r="O11" s="1">
        <v>181</v>
      </c>
      <c r="P11" s="1">
        <v>107</v>
      </c>
      <c r="Q11" s="1">
        <v>112</v>
      </c>
      <c r="R11" s="1">
        <v>171</v>
      </c>
      <c r="S11" s="1">
        <v>158</v>
      </c>
      <c r="T11" s="1">
        <v>90</v>
      </c>
      <c r="U11" s="1">
        <v>81</v>
      </c>
      <c r="V11" s="1">
        <v>148</v>
      </c>
    </row>
    <row r="12" spans="2:30" s="101" customFormat="1" ht="16" x14ac:dyDescent="0.2">
      <c r="D12" s="100" t="s">
        <v>170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>
        <f t="shared" ref="Q12:T12" si="3">(Q11-M11)/M11</f>
        <v>-0.32121212121212123</v>
      </c>
      <c r="R12" s="100">
        <f t="shared" si="3"/>
        <v>-0.35471698113207545</v>
      </c>
      <c r="S12" s="100">
        <f t="shared" si="3"/>
        <v>-0.1270718232044199</v>
      </c>
      <c r="T12" s="100">
        <f t="shared" si="3"/>
        <v>-0.15887850467289719</v>
      </c>
      <c r="U12" s="100">
        <f>(U11-Q11)/Q11</f>
        <v>-0.2767857142857143</v>
      </c>
      <c r="V12" s="100">
        <f>(V11-R11)/R11</f>
        <v>-0.13450292397660818</v>
      </c>
      <c r="W12" s="100"/>
      <c r="X12" s="100"/>
      <c r="Z12" s="104"/>
      <c r="AA12" s="101">
        <v>-0.35</v>
      </c>
      <c r="AB12" s="101">
        <v>-0.13</v>
      </c>
      <c r="AC12" s="101">
        <v>-0.14000000000000001</v>
      </c>
    </row>
    <row r="13" spans="2:30" x14ac:dyDescent="0.25">
      <c r="C13" s="1" t="s">
        <v>295</v>
      </c>
      <c r="D13" s="1" t="s">
        <v>292</v>
      </c>
      <c r="M13" s="1">
        <v>58</v>
      </c>
      <c r="N13" s="1">
        <v>55</v>
      </c>
      <c r="O13" s="1">
        <v>55</v>
      </c>
      <c r="P13" s="1">
        <v>57</v>
      </c>
      <c r="Q13" s="1">
        <v>53</v>
      </c>
      <c r="R13" s="1">
        <v>52</v>
      </c>
      <c r="S13" s="1">
        <v>51</v>
      </c>
      <c r="T13" s="1">
        <v>53</v>
      </c>
      <c r="U13" s="1">
        <v>65</v>
      </c>
      <c r="V13" s="1">
        <v>69</v>
      </c>
    </row>
    <row r="14" spans="2:30" s="101" customFormat="1" ht="16" x14ac:dyDescent="0.2">
      <c r="D14" s="100" t="s">
        <v>170</v>
      </c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>
        <f t="shared" ref="Q14:T14" si="4">(Q13-M13)/M13</f>
        <v>-8.6206896551724144E-2</v>
      </c>
      <c r="R14" s="100">
        <f t="shared" si="4"/>
        <v>-5.4545454545454543E-2</v>
      </c>
      <c r="S14" s="100">
        <f t="shared" si="4"/>
        <v>-7.2727272727272724E-2</v>
      </c>
      <c r="T14" s="100">
        <f t="shared" si="4"/>
        <v>-7.0175438596491224E-2</v>
      </c>
      <c r="U14" s="100">
        <f>(U13-Q13)/Q13</f>
        <v>0.22641509433962265</v>
      </c>
      <c r="V14" s="100">
        <f>(V13-R13)/R13</f>
        <v>0.32692307692307693</v>
      </c>
      <c r="W14" s="100"/>
      <c r="X14" s="100"/>
      <c r="Z14" s="104"/>
    </row>
    <row r="15" spans="2:30" x14ac:dyDescent="0.25">
      <c r="C15" s="1" t="s">
        <v>295</v>
      </c>
      <c r="D15" s="1" t="s">
        <v>294</v>
      </c>
      <c r="M15" s="1">
        <v>51</v>
      </c>
      <c r="N15" s="1">
        <v>62</v>
      </c>
      <c r="O15" s="1">
        <v>58</v>
      </c>
      <c r="P15" s="1">
        <v>45</v>
      </c>
      <c r="Q15" s="1">
        <v>36</v>
      </c>
      <c r="R15" s="1">
        <v>30</v>
      </c>
      <c r="S15" s="1">
        <v>28</v>
      </c>
      <c r="T15" s="1">
        <v>27</v>
      </c>
      <c r="U15" s="1">
        <v>27</v>
      </c>
      <c r="V15" s="1">
        <v>38</v>
      </c>
    </row>
    <row r="16" spans="2:30" s="101" customFormat="1" ht="16" x14ac:dyDescent="0.2">
      <c r="D16" s="100" t="s">
        <v>170</v>
      </c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>
        <f t="shared" ref="Q16:T16" si="5">(Q15-M15)/M15</f>
        <v>-0.29411764705882354</v>
      </c>
      <c r="R16" s="100">
        <f t="shared" si="5"/>
        <v>-0.5161290322580645</v>
      </c>
      <c r="S16" s="100">
        <f t="shared" si="5"/>
        <v>-0.51724137931034486</v>
      </c>
      <c r="T16" s="100">
        <f t="shared" si="5"/>
        <v>-0.4</v>
      </c>
      <c r="U16" s="100">
        <f>(U15-Q15)/Q15</f>
        <v>-0.25</v>
      </c>
      <c r="V16" s="100">
        <f>(V15-R15)/R15</f>
        <v>0.26666666666666666</v>
      </c>
      <c r="W16" s="100"/>
      <c r="X16" s="100"/>
      <c r="Z16" s="104"/>
      <c r="AA16" s="101">
        <v>-0.37</v>
      </c>
      <c r="AB16" s="101">
        <v>0.23</v>
      </c>
      <c r="AC16" s="101">
        <v>0.43</v>
      </c>
    </row>
    <row r="17" spans="2:29" s="68" customFormat="1" x14ac:dyDescent="0.25">
      <c r="Z17" s="105"/>
    </row>
    <row r="18" spans="2:29" x14ac:dyDescent="0.25">
      <c r="B18" s="2" t="s">
        <v>296</v>
      </c>
      <c r="C18" s="1" t="s">
        <v>291</v>
      </c>
      <c r="D18" s="1" t="s">
        <v>297</v>
      </c>
      <c r="M18" s="1">
        <v>51</v>
      </c>
      <c r="N18" s="1">
        <v>74</v>
      </c>
      <c r="O18" s="1">
        <v>67</v>
      </c>
      <c r="P18" s="1">
        <v>49</v>
      </c>
      <c r="Q18" s="1">
        <v>55</v>
      </c>
      <c r="R18" s="1">
        <v>70</v>
      </c>
      <c r="S18" s="1">
        <v>61</v>
      </c>
      <c r="T18" s="1">
        <v>45</v>
      </c>
      <c r="U18" s="1">
        <v>52</v>
      </c>
      <c r="V18" s="1">
        <v>68</v>
      </c>
    </row>
    <row r="19" spans="2:29" s="44" customFormat="1" x14ac:dyDescent="0.25">
      <c r="B19" s="102"/>
      <c r="D19" s="100" t="s">
        <v>170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>
        <f t="shared" ref="Q19:T19" si="6">(Q18-M18)/M18</f>
        <v>7.8431372549019607E-2</v>
      </c>
      <c r="R19" s="100">
        <f t="shared" si="6"/>
        <v>-5.4054054054054057E-2</v>
      </c>
      <c r="S19" s="100">
        <f t="shared" si="6"/>
        <v>-8.9552238805970144E-2</v>
      </c>
      <c r="T19" s="100">
        <f t="shared" si="6"/>
        <v>-8.1632653061224483E-2</v>
      </c>
      <c r="U19" s="100">
        <f>(U18-Q18)/Q18</f>
        <v>-5.4545454545454543E-2</v>
      </c>
      <c r="V19" s="100">
        <f>(V18-R18)/R18</f>
        <v>-2.8571428571428571E-2</v>
      </c>
      <c r="Z19" s="106"/>
      <c r="AA19" s="44">
        <v>0</v>
      </c>
      <c r="AB19" s="44">
        <v>-0.03</v>
      </c>
      <c r="AC19" s="44">
        <v>-0.05</v>
      </c>
    </row>
    <row r="20" spans="2:29" x14ac:dyDescent="0.25">
      <c r="C20" s="1" t="s">
        <v>291</v>
      </c>
      <c r="D20" s="1" t="s">
        <v>298</v>
      </c>
      <c r="M20" s="1">
        <v>23</v>
      </c>
      <c r="N20" s="1">
        <v>38</v>
      </c>
      <c r="O20" s="1">
        <v>31</v>
      </c>
      <c r="P20" s="1">
        <v>21</v>
      </c>
      <c r="Q20" s="1">
        <v>29</v>
      </c>
      <c r="R20" s="1">
        <v>40</v>
      </c>
      <c r="S20" s="1">
        <v>30</v>
      </c>
      <c r="T20" s="1">
        <v>21</v>
      </c>
      <c r="U20" s="1">
        <v>27</v>
      </c>
      <c r="V20" s="1">
        <v>40</v>
      </c>
    </row>
    <row r="21" spans="2:29" s="44" customFormat="1" x14ac:dyDescent="0.25">
      <c r="D21" s="100" t="s">
        <v>170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>
        <f t="shared" ref="Q21:T21" si="7">(Q20-M20)/M20</f>
        <v>0.2608695652173913</v>
      </c>
      <c r="R21" s="100">
        <f t="shared" si="7"/>
        <v>5.2631578947368418E-2</v>
      </c>
      <c r="S21" s="100">
        <f t="shared" si="7"/>
        <v>-3.2258064516129031E-2</v>
      </c>
      <c r="T21" s="100">
        <f t="shared" si="7"/>
        <v>0</v>
      </c>
      <c r="U21" s="100">
        <f>(U20-Q20)/Q20</f>
        <v>-6.8965517241379309E-2</v>
      </c>
      <c r="V21" s="100">
        <f>(V20-R20)/R20</f>
        <v>0</v>
      </c>
      <c r="Z21" s="106"/>
      <c r="AA21" s="44">
        <v>0.05</v>
      </c>
      <c r="AB21" s="44">
        <v>-0.02</v>
      </c>
      <c r="AC21" s="44">
        <v>-0.04</v>
      </c>
    </row>
    <row r="22" spans="2:29" s="14" customFormat="1" x14ac:dyDescent="0.25">
      <c r="C22" s="14" t="s">
        <v>299</v>
      </c>
      <c r="D22" s="14" t="s">
        <v>297</v>
      </c>
      <c r="M22" s="14">
        <v>104</v>
      </c>
      <c r="N22" s="14">
        <v>111</v>
      </c>
      <c r="O22" s="14">
        <v>107</v>
      </c>
      <c r="P22" s="14">
        <v>91</v>
      </c>
      <c r="Q22" s="14">
        <v>103</v>
      </c>
      <c r="R22" s="14">
        <v>108</v>
      </c>
      <c r="S22" s="14">
        <v>97</v>
      </c>
      <c r="T22" s="14">
        <v>88</v>
      </c>
      <c r="U22" s="14">
        <v>1569</v>
      </c>
      <c r="V22" s="14">
        <v>1562</v>
      </c>
      <c r="Z22" s="10"/>
    </row>
    <row r="23" spans="2:29" s="44" customFormat="1" x14ac:dyDescent="0.25">
      <c r="D23" s="100" t="s">
        <v>170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>
        <f t="shared" ref="Q23:T23" si="8">(Q22-M22)/M22</f>
        <v>-9.6153846153846159E-3</v>
      </c>
      <c r="R23" s="100">
        <f t="shared" si="8"/>
        <v>-2.7027027027027029E-2</v>
      </c>
      <c r="S23" s="100">
        <f t="shared" si="8"/>
        <v>-9.3457943925233641E-2</v>
      </c>
      <c r="T23" s="100">
        <f t="shared" si="8"/>
        <v>-3.2967032967032968E-2</v>
      </c>
      <c r="U23" s="100">
        <f>(U22-Q22)/Q22</f>
        <v>14.233009708737864</v>
      </c>
      <c r="V23" s="100">
        <f>(V22-R22)/R22</f>
        <v>13.462962962962964</v>
      </c>
      <c r="Z23" s="106"/>
    </row>
    <row r="24" spans="2:29" s="68" customFormat="1" x14ac:dyDescent="0.25">
      <c r="Z24" s="105"/>
    </row>
    <row r="25" spans="2:29" x14ac:dyDescent="0.25">
      <c r="B25" s="2" t="s">
        <v>54</v>
      </c>
      <c r="C25" s="1" t="s">
        <v>291</v>
      </c>
      <c r="D25" s="1" t="s">
        <v>297</v>
      </c>
      <c r="M25" s="1">
        <v>44</v>
      </c>
      <c r="N25" s="1">
        <v>41</v>
      </c>
      <c r="O25" s="1">
        <v>35</v>
      </c>
      <c r="P25" s="1">
        <v>34</v>
      </c>
      <c r="Q25" s="1">
        <v>40</v>
      </c>
      <c r="R25" s="1">
        <v>35</v>
      </c>
      <c r="S25" s="1">
        <v>30</v>
      </c>
      <c r="T25" s="1">
        <v>31</v>
      </c>
      <c r="U25" s="1">
        <v>38</v>
      </c>
      <c r="V25" s="1">
        <v>32</v>
      </c>
    </row>
    <row r="26" spans="2:29" s="44" customFormat="1" x14ac:dyDescent="0.25">
      <c r="D26" s="100" t="s">
        <v>170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>
        <f t="shared" ref="Q26:T26" si="9">(Q25-M25)/M25</f>
        <v>-9.0909090909090912E-2</v>
      </c>
      <c r="R26" s="100">
        <f t="shared" si="9"/>
        <v>-0.14634146341463414</v>
      </c>
      <c r="S26" s="100">
        <f t="shared" si="9"/>
        <v>-0.14285714285714285</v>
      </c>
      <c r="T26" s="100">
        <f t="shared" si="9"/>
        <v>-8.8235294117647065E-2</v>
      </c>
      <c r="U26" s="100">
        <f>(U25-Q25)/Q25</f>
        <v>-0.05</v>
      </c>
      <c r="V26" s="100">
        <f>(V25-R25)/R25</f>
        <v>-8.5714285714285715E-2</v>
      </c>
      <c r="Z26" s="106"/>
      <c r="AA26" s="44">
        <v>-0.08</v>
      </c>
      <c r="AB26" s="44">
        <v>-0.13</v>
      </c>
      <c r="AC26" s="44">
        <v>-0.04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7182-8725-1A42-930E-2FA6BEC1ABF8}">
  <dimension ref="A2:AC18"/>
  <sheetViews>
    <sheetView showGridLines="0" workbookViewId="0">
      <pane xSplit="4" ySplit="5" topLeftCell="P6" activePane="bottomRight" state="frozen"/>
      <selection pane="topRight" activeCell="E1" sqref="E1"/>
      <selection pane="bottomLeft" activeCell="A6" sqref="A6"/>
      <selection pane="bottomRight" activeCell="Y18" sqref="Y18"/>
    </sheetView>
  </sheetViews>
  <sheetFormatPr baseColWidth="10" defaultRowHeight="16" x14ac:dyDescent="0.2"/>
  <cols>
    <col min="2" max="2" width="14.83203125" customWidth="1"/>
    <col min="4" max="4" width="26.6640625" customWidth="1"/>
    <col min="21" max="21" width="12.1640625" bestFit="1" customWidth="1"/>
    <col min="26" max="26" width="10.83203125" style="110"/>
  </cols>
  <sheetData>
    <row r="2" spans="1:29" x14ac:dyDescent="0.2">
      <c r="A2" t="s">
        <v>307</v>
      </c>
    </row>
    <row r="3" spans="1:29" x14ac:dyDescent="0.2">
      <c r="A3" t="s">
        <v>310</v>
      </c>
    </row>
    <row r="4" spans="1:29" x14ac:dyDescent="0.2">
      <c r="Z4" s="110" t="s">
        <v>301</v>
      </c>
    </row>
    <row r="5" spans="1:29" ht="19" x14ac:dyDescent="0.25">
      <c r="B5" s="2" t="s">
        <v>288</v>
      </c>
      <c r="C5" s="2" t="s">
        <v>289</v>
      </c>
      <c r="D5" s="2" t="s">
        <v>290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3" t="s">
        <v>15</v>
      </c>
      <c r="O5" s="13" t="s">
        <v>16</v>
      </c>
      <c r="P5" s="13" t="s">
        <v>17</v>
      </c>
      <c r="Q5" s="13" t="s">
        <v>97</v>
      </c>
      <c r="R5" s="13" t="s">
        <v>98</v>
      </c>
      <c r="S5" s="13" t="s">
        <v>99</v>
      </c>
      <c r="T5" s="13" t="s">
        <v>100</v>
      </c>
      <c r="U5" s="13" t="s">
        <v>222</v>
      </c>
      <c r="V5" s="13" t="s">
        <v>223</v>
      </c>
      <c r="W5" s="13" t="s">
        <v>224</v>
      </c>
      <c r="X5" s="13" t="s">
        <v>225</v>
      </c>
      <c r="Z5" s="111" t="s">
        <v>302</v>
      </c>
      <c r="AA5" s="13" t="s">
        <v>303</v>
      </c>
      <c r="AB5" s="13" t="s">
        <v>304</v>
      </c>
      <c r="AC5" s="13" t="s">
        <v>305</v>
      </c>
    </row>
    <row r="6" spans="1:29" s="95" customFormat="1" ht="19" x14ac:dyDescent="0.25">
      <c r="B6" s="94" t="s">
        <v>55</v>
      </c>
      <c r="C6" s="95" t="s">
        <v>291</v>
      </c>
      <c r="D6" s="95" t="s">
        <v>308</v>
      </c>
      <c r="O6" s="95">
        <v>481</v>
      </c>
      <c r="P6" s="95">
        <v>540</v>
      </c>
      <c r="Q6" s="95">
        <v>531</v>
      </c>
      <c r="R6" s="95">
        <v>549</v>
      </c>
      <c r="S6" s="95">
        <v>569</v>
      </c>
      <c r="T6" s="95">
        <v>620</v>
      </c>
      <c r="U6" s="95">
        <v>634</v>
      </c>
      <c r="V6" s="95">
        <v>664</v>
      </c>
      <c r="Z6" s="112"/>
    </row>
    <row r="7" spans="1:29" s="101" customFormat="1" x14ac:dyDescent="0.2">
      <c r="B7" s="99"/>
      <c r="C7" s="100"/>
      <c r="D7" s="100" t="s">
        <v>170</v>
      </c>
      <c r="S7" s="101">
        <f>(S6-O6)/O6</f>
        <v>0.18295218295218296</v>
      </c>
      <c r="T7" s="101">
        <f>(T6-P6)/P6</f>
        <v>0.14814814814814814</v>
      </c>
      <c r="U7" s="101">
        <f>(U6-Q6)/Q6</f>
        <v>0.19397363465160075</v>
      </c>
      <c r="V7" s="101">
        <f>(V6-R6)/R6</f>
        <v>0.20947176684881602</v>
      </c>
      <c r="Z7" s="113">
        <v>0.19</v>
      </c>
      <c r="AA7" s="101">
        <v>0.18</v>
      </c>
      <c r="AB7" s="101">
        <v>0.21</v>
      </c>
    </row>
    <row r="8" spans="1:29" s="44" customFormat="1" ht="19" x14ac:dyDescent="0.25">
      <c r="C8" s="44" t="s">
        <v>291</v>
      </c>
      <c r="D8" s="44" t="s">
        <v>306</v>
      </c>
      <c r="O8" s="44">
        <v>0.16</v>
      </c>
      <c r="P8" s="44">
        <v>0.16</v>
      </c>
      <c r="Q8" s="44">
        <v>0.16</v>
      </c>
      <c r="R8" s="44">
        <v>0.15</v>
      </c>
      <c r="S8" s="44">
        <v>0.16</v>
      </c>
      <c r="T8" s="44">
        <v>0.17</v>
      </c>
      <c r="U8" s="44">
        <v>0.16</v>
      </c>
      <c r="V8" s="44">
        <v>0.16</v>
      </c>
      <c r="Z8" s="114"/>
    </row>
    <row r="9" spans="1:29" s="108" customFormat="1" ht="19" x14ac:dyDescent="0.25">
      <c r="B9" s="96"/>
      <c r="C9" s="96" t="s">
        <v>293</v>
      </c>
      <c r="D9" s="96" t="s">
        <v>308</v>
      </c>
      <c r="O9" s="108">
        <v>173</v>
      </c>
      <c r="P9" s="108">
        <v>177</v>
      </c>
      <c r="Q9" s="108">
        <v>201</v>
      </c>
      <c r="R9" s="108">
        <v>191</v>
      </c>
      <c r="S9" s="108">
        <v>198</v>
      </c>
      <c r="T9" s="108">
        <v>176</v>
      </c>
      <c r="U9" s="108">
        <v>180</v>
      </c>
      <c r="V9" s="108">
        <v>195</v>
      </c>
      <c r="Z9" s="115"/>
    </row>
    <row r="10" spans="1:29" s="101" customFormat="1" x14ac:dyDescent="0.2">
      <c r="D10" s="100" t="s">
        <v>170</v>
      </c>
      <c r="S10" s="101">
        <f>(S9-O9)/O9</f>
        <v>0.14450867052023122</v>
      </c>
      <c r="T10" s="101">
        <f>(T9-P9)/P9</f>
        <v>-5.6497175141242938E-3</v>
      </c>
      <c r="U10" s="101">
        <f>(U9-Q9)/Q9</f>
        <v>-0.1044776119402985</v>
      </c>
      <c r="V10" s="101">
        <f>(V9-R9)/R9</f>
        <v>2.0942408376963352E-2</v>
      </c>
      <c r="Z10" s="113">
        <v>-0.14000000000000001</v>
      </c>
      <c r="AA10" s="101">
        <v>0</v>
      </c>
      <c r="AB10" s="101">
        <v>0.1</v>
      </c>
    </row>
    <row r="11" spans="1:29" s="44" customFormat="1" ht="19" x14ac:dyDescent="0.25">
      <c r="C11" s="44" t="s">
        <v>293</v>
      </c>
      <c r="D11" s="44" t="s">
        <v>306</v>
      </c>
      <c r="O11" s="44">
        <v>0.1</v>
      </c>
      <c r="P11" s="44">
        <v>0.1</v>
      </c>
      <c r="Q11" s="44">
        <v>0.1</v>
      </c>
      <c r="R11" s="44">
        <v>0.1</v>
      </c>
      <c r="S11" s="44">
        <v>0.1</v>
      </c>
      <c r="T11" s="44">
        <v>0.11</v>
      </c>
      <c r="U11" s="44">
        <v>0.11</v>
      </c>
      <c r="V11" s="44">
        <v>0.1</v>
      </c>
      <c r="Z11" s="114"/>
    </row>
    <row r="12" spans="1:29" s="109" customFormat="1" ht="19" x14ac:dyDescent="0.25">
      <c r="B12" s="98"/>
      <c r="C12" s="98" t="s">
        <v>299</v>
      </c>
      <c r="D12" s="98" t="s">
        <v>308</v>
      </c>
      <c r="O12" s="109">
        <v>8</v>
      </c>
      <c r="P12" s="109">
        <v>12</v>
      </c>
      <c r="Q12" s="109">
        <v>12</v>
      </c>
      <c r="R12" s="109">
        <v>13</v>
      </c>
      <c r="S12" s="109">
        <v>16</v>
      </c>
      <c r="T12" s="109">
        <v>18</v>
      </c>
      <c r="U12" s="109">
        <v>17</v>
      </c>
      <c r="V12" s="109">
        <v>17</v>
      </c>
      <c r="Z12" s="116"/>
    </row>
    <row r="13" spans="1:29" s="101" customFormat="1" x14ac:dyDescent="0.2">
      <c r="D13" s="100" t="s">
        <v>170</v>
      </c>
      <c r="S13" s="101">
        <f>(S12-O12)/O12</f>
        <v>1</v>
      </c>
      <c r="T13" s="101">
        <f>(T12-P12)/P12</f>
        <v>0.5</v>
      </c>
      <c r="U13" s="101">
        <f>(U12-Q12)/Q12</f>
        <v>0.41666666666666669</v>
      </c>
      <c r="V13" s="101">
        <f>(V12-R12)/R12</f>
        <v>0.30769230769230771</v>
      </c>
      <c r="Z13" s="113">
        <v>0.46</v>
      </c>
      <c r="AA13" s="101">
        <v>0.35</v>
      </c>
      <c r="AB13" s="101">
        <v>0.31</v>
      </c>
    </row>
    <row r="14" spans="1:29" s="44" customFormat="1" ht="19" x14ac:dyDescent="0.25">
      <c r="C14" s="44" t="s">
        <v>299</v>
      </c>
      <c r="D14" s="44" t="s">
        <v>306</v>
      </c>
      <c r="O14" s="44">
        <v>0.15</v>
      </c>
      <c r="P14" s="44">
        <v>0.16</v>
      </c>
      <c r="Q14" s="44">
        <v>0.17</v>
      </c>
      <c r="R14" s="44">
        <v>0.16</v>
      </c>
      <c r="S14" s="44">
        <v>0.16</v>
      </c>
      <c r="T14" s="44">
        <v>0.17</v>
      </c>
      <c r="U14" s="44">
        <v>0.17</v>
      </c>
      <c r="V14" s="44">
        <v>0.17</v>
      </c>
      <c r="Z14" s="114"/>
    </row>
    <row r="15" spans="1:29" s="97" customFormat="1" ht="19" x14ac:dyDescent="0.25">
      <c r="C15" s="97" t="s">
        <v>295</v>
      </c>
      <c r="D15" s="97" t="s">
        <v>308</v>
      </c>
      <c r="Q15" s="97">
        <v>16</v>
      </c>
      <c r="R15" s="97">
        <v>33</v>
      </c>
      <c r="S15" s="97">
        <v>40</v>
      </c>
      <c r="T15" s="97">
        <v>51</v>
      </c>
      <c r="U15" s="97">
        <v>57</v>
      </c>
      <c r="V15" s="97">
        <v>56</v>
      </c>
      <c r="Z15" s="117"/>
    </row>
    <row r="16" spans="1:29" s="101" customFormat="1" x14ac:dyDescent="0.2">
      <c r="D16" s="101" t="s">
        <v>170</v>
      </c>
      <c r="U16" s="101">
        <f>(U15-Q15)/Q15</f>
        <v>2.5625</v>
      </c>
      <c r="V16" s="101">
        <f>(V15-R15)/R15</f>
        <v>0.69696969696969702</v>
      </c>
      <c r="Z16" s="113"/>
      <c r="AA16" s="101">
        <v>0.73</v>
      </c>
      <c r="AB16" s="101">
        <v>0.47</v>
      </c>
    </row>
    <row r="17" spans="3:26" s="44" customFormat="1" ht="19" x14ac:dyDescent="0.25">
      <c r="C17" s="44" t="s">
        <v>295</v>
      </c>
      <c r="D17" s="44" t="s">
        <v>306</v>
      </c>
      <c r="Q17" s="44">
        <v>0.14000000000000001</v>
      </c>
      <c r="R17" s="44">
        <v>0.15</v>
      </c>
      <c r="S17" s="44">
        <v>0.15</v>
      </c>
      <c r="T17" s="44">
        <v>0.15</v>
      </c>
      <c r="U17" s="44">
        <v>0.15</v>
      </c>
      <c r="V17" s="44">
        <v>0.15</v>
      </c>
      <c r="Z17" s="114"/>
    </row>
    <row r="18" spans="3:26" s="107" customFormat="1" x14ac:dyDescent="0.2">
      <c r="Z18" s="118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06AA-8C1B-0A45-89DE-B4BD1A467A96}">
  <dimension ref="C4:F7"/>
  <sheetViews>
    <sheetView showGridLines="0" workbookViewId="0">
      <selection activeCell="C23" sqref="C23"/>
    </sheetView>
  </sheetViews>
  <sheetFormatPr baseColWidth="10" defaultColWidth="10.83203125" defaultRowHeight="16" x14ac:dyDescent="0.2"/>
  <cols>
    <col min="3" max="3" width="39.6640625" bestFit="1" customWidth="1"/>
    <col min="4" max="8" width="18.6640625" bestFit="1" customWidth="1"/>
  </cols>
  <sheetData>
    <row r="4" spans="3:6" ht="62" x14ac:dyDescent="0.7">
      <c r="C4" s="16"/>
      <c r="D4" s="16">
        <v>2026</v>
      </c>
      <c r="E4" s="55">
        <v>2027</v>
      </c>
      <c r="F4" s="57">
        <v>2028</v>
      </c>
    </row>
    <row r="5" spans="3:6" ht="62" x14ac:dyDescent="0.7">
      <c r="C5" s="16" t="s">
        <v>181</v>
      </c>
      <c r="D5" s="42">
        <f>Modell!$B$9/Modell!AG17</f>
        <v>15.789476731327923</v>
      </c>
      <c r="E5" s="56">
        <f>Modell!$B$9/Modell!AH17</f>
        <v>12.82631556528807</v>
      </c>
      <c r="F5" s="59">
        <f>Modell!$B$9/Modell!AI17</f>
        <v>10.237908991247547</v>
      </c>
    </row>
    <row r="6" spans="3:6" ht="62" x14ac:dyDescent="0.7">
      <c r="C6" s="16" t="s">
        <v>95</v>
      </c>
      <c r="D6" s="42">
        <f>Modell!$B$9/Modell!AG22</f>
        <v>25.149832573774123</v>
      </c>
      <c r="E6" s="56">
        <f>Modell!$B$9/Modell!AH22</f>
        <v>18.384689192127567</v>
      </c>
      <c r="F6" s="59">
        <f>Modell!$B$9/Modell!AI22</f>
        <v>13.892145008073454</v>
      </c>
    </row>
    <row r="7" spans="3:6" ht="62" x14ac:dyDescent="0.7">
      <c r="C7" s="16" t="s">
        <v>96</v>
      </c>
      <c r="D7" s="42">
        <f>Modell!$B$4/Modell!AG31</f>
        <v>34.950204808155341</v>
      </c>
      <c r="E7" s="56">
        <f>Modell!$B$4/Modell!AH31</f>
        <v>24.791168686246127</v>
      </c>
      <c r="F7" s="58">
        <f>Modell!$B$4/Modell!AI31</f>
        <v>18.733115730692706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5711-CD5D-F541-B2D0-1F8283D6638C}">
  <dimension ref="A1:EO41"/>
  <sheetViews>
    <sheetView showGridLines="0" workbookViewId="0">
      <selection activeCell="C14" sqref="C14"/>
    </sheetView>
  </sheetViews>
  <sheetFormatPr baseColWidth="10" defaultColWidth="10.83203125" defaultRowHeight="19" x14ac:dyDescent="0.25"/>
  <cols>
    <col min="1" max="1" width="26.6640625" style="1" customWidth="1"/>
    <col min="2" max="3" width="25" style="1" customWidth="1"/>
    <col min="4" max="5" width="21.6640625" style="1" customWidth="1"/>
    <col min="6" max="21" width="10.83203125" style="1"/>
    <col min="22" max="22" width="14.1640625" style="1" bestFit="1" customWidth="1"/>
    <col min="23" max="23" width="13.33203125" style="1" bestFit="1" customWidth="1"/>
    <col min="24" max="16384" width="10.83203125" style="1"/>
  </cols>
  <sheetData>
    <row r="1" spans="1:20" ht="21" x14ac:dyDescent="0.25">
      <c r="A1" s="60" t="s">
        <v>231</v>
      </c>
      <c r="B1"/>
      <c r="C1"/>
      <c r="D1"/>
      <c r="E1"/>
      <c r="F1"/>
      <c r="G1"/>
      <c r="H1"/>
    </row>
    <row r="2" spans="1:20" x14ac:dyDescent="0.25">
      <c r="A2"/>
      <c r="B2"/>
      <c r="C2"/>
      <c r="D2"/>
      <c r="E2"/>
      <c r="F2"/>
      <c r="G2"/>
      <c r="H2"/>
    </row>
    <row r="3" spans="1:20" x14ac:dyDescent="0.25">
      <c r="A3" s="2" t="s">
        <v>232</v>
      </c>
      <c r="B3"/>
      <c r="C3"/>
      <c r="D3"/>
      <c r="E3"/>
      <c r="F3"/>
      <c r="G3"/>
      <c r="H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x14ac:dyDescent="0.25">
      <c r="A4" s="1" t="s">
        <v>233</v>
      </c>
      <c r="B4" s="61">
        <f>Modell!AH17</f>
        <v>2976.8096540000006</v>
      </c>
      <c r="C4"/>
      <c r="D4"/>
      <c r="E4"/>
      <c r="F4"/>
      <c r="G4"/>
      <c r="H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x14ac:dyDescent="0.25">
      <c r="A5" s="1" t="s">
        <v>234</v>
      </c>
      <c r="B5" s="8">
        <v>201.887</v>
      </c>
      <c r="C5"/>
      <c r="D5"/>
      <c r="E5"/>
      <c r="F5"/>
      <c r="G5"/>
      <c r="H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x14ac:dyDescent="0.25">
      <c r="A6" s="1" t="s">
        <v>235</v>
      </c>
      <c r="B6" s="61">
        <f>Modell!B9</f>
        <v>38181.5</v>
      </c>
      <c r="C6"/>
      <c r="D6"/>
      <c r="E6"/>
      <c r="F6"/>
      <c r="G6"/>
      <c r="H6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20" thickBot="1" x14ac:dyDescent="0.3">
      <c r="A7"/>
      <c r="B7"/>
      <c r="C7"/>
      <c r="D7"/>
      <c r="E7"/>
      <c r="F7"/>
      <c r="G7"/>
      <c r="H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ht="20" thickBot="1" x14ac:dyDescent="0.3">
      <c r="A8" s="73" t="s">
        <v>181</v>
      </c>
      <c r="B8" s="62" t="s">
        <v>236</v>
      </c>
      <c r="C8" s="62" t="s">
        <v>237</v>
      </c>
      <c r="D8" s="88" t="s">
        <v>238</v>
      </c>
      <c r="E8"/>
      <c r="F8"/>
      <c r="G8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20" x14ac:dyDescent="0.25">
      <c r="A9" s="74" t="s">
        <v>239</v>
      </c>
      <c r="B9" s="75">
        <f>$B$4*10</f>
        <v>29768.096540000006</v>
      </c>
      <c r="C9" s="75">
        <f t="shared" ref="C9:C29" si="0">B9/$B$5</f>
        <v>147.44929856801085</v>
      </c>
      <c r="D9" s="89">
        <f>B9/$B$6-1</f>
        <v>-0.22035287927399383</v>
      </c>
      <c r="E9"/>
      <c r="F9"/>
      <c r="G9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20" x14ac:dyDescent="0.25">
      <c r="A10" s="76" t="s">
        <v>264</v>
      </c>
      <c r="B10" s="77">
        <f>$B$4*11</f>
        <v>32744.906194000007</v>
      </c>
      <c r="C10" s="77">
        <f t="shared" si="0"/>
        <v>162.19422842481194</v>
      </c>
      <c r="D10" s="90">
        <f t="shared" ref="D10:D29" si="1">B10/$B$6-1</f>
        <v>-0.14238816720139313</v>
      </c>
      <c r="E10"/>
      <c r="F10"/>
      <c r="G10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20" x14ac:dyDescent="0.25">
      <c r="A11" s="76" t="s">
        <v>240</v>
      </c>
      <c r="B11" s="77">
        <f>$B$4*12</f>
        <v>35721.715848000007</v>
      </c>
      <c r="C11" s="77">
        <f t="shared" si="0"/>
        <v>176.939158281613</v>
      </c>
      <c r="D11" s="90">
        <f t="shared" si="1"/>
        <v>-6.4423455128792551E-2</v>
      </c>
      <c r="E11"/>
      <c r="F11"/>
      <c r="G11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20" x14ac:dyDescent="0.25">
      <c r="A12" s="76" t="s">
        <v>265</v>
      </c>
      <c r="B12" s="77">
        <f>$B$4*13</f>
        <v>38698.525502000004</v>
      </c>
      <c r="C12" s="77">
        <f t="shared" si="0"/>
        <v>191.6840881384141</v>
      </c>
      <c r="D12" s="90">
        <f t="shared" si="1"/>
        <v>1.3541256943808033E-2</v>
      </c>
      <c r="E12"/>
      <c r="F12"/>
      <c r="G12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20" x14ac:dyDescent="0.25">
      <c r="A13" s="76" t="s">
        <v>241</v>
      </c>
      <c r="B13" s="77">
        <f>$B$4*14</f>
        <v>41675.335156000008</v>
      </c>
      <c r="C13" s="77">
        <f t="shared" si="0"/>
        <v>206.42901799521519</v>
      </c>
      <c r="D13" s="90">
        <f t="shared" si="1"/>
        <v>9.1505969016408617E-2</v>
      </c>
      <c r="E13"/>
      <c r="F13"/>
      <c r="G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20" x14ac:dyDescent="0.25">
      <c r="A14" s="76" t="s">
        <v>266</v>
      </c>
      <c r="B14" s="77">
        <f>$B$4*15</f>
        <v>44652.144810000013</v>
      </c>
      <c r="C14" s="77">
        <f t="shared" si="0"/>
        <v>221.17394785201628</v>
      </c>
      <c r="D14" s="90">
        <f t="shared" si="1"/>
        <v>0.16947068108900942</v>
      </c>
      <c r="E14"/>
      <c r="F14"/>
      <c r="G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20" x14ac:dyDescent="0.25">
      <c r="A15" s="76" t="s">
        <v>242</v>
      </c>
      <c r="B15" s="77">
        <f>$B$4*16</f>
        <v>47628.954464000009</v>
      </c>
      <c r="C15" s="77">
        <f t="shared" si="0"/>
        <v>235.91887770881735</v>
      </c>
      <c r="D15" s="90">
        <f>B15/$B$6-1</f>
        <v>0.24743539316161001</v>
      </c>
      <c r="E15"/>
      <c r="F15"/>
      <c r="G15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20" x14ac:dyDescent="0.25">
      <c r="A16" s="76" t="s">
        <v>267</v>
      </c>
      <c r="B16" s="77">
        <f>$B$4*17</f>
        <v>50605.764118000006</v>
      </c>
      <c r="C16" s="77">
        <f t="shared" si="0"/>
        <v>250.66380756561841</v>
      </c>
      <c r="D16" s="90">
        <f t="shared" si="1"/>
        <v>0.32540010523421037</v>
      </c>
      <c r="E16"/>
      <c r="F16"/>
      <c r="G16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20" x14ac:dyDescent="0.25">
      <c r="A17" s="76" t="s">
        <v>243</v>
      </c>
      <c r="B17" s="77">
        <f>$B$4*18</f>
        <v>53582.573772000011</v>
      </c>
      <c r="C17" s="77">
        <f t="shared" si="0"/>
        <v>265.40873742241951</v>
      </c>
      <c r="D17" s="90">
        <f t="shared" si="1"/>
        <v>0.40336481730681117</v>
      </c>
      <c r="E17"/>
      <c r="F17"/>
      <c r="G17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20" x14ac:dyDescent="0.25">
      <c r="A18" s="76" t="s">
        <v>268</v>
      </c>
      <c r="B18" s="77">
        <f>$B$4*19</f>
        <v>56559.383426000015</v>
      </c>
      <c r="C18" s="77">
        <f t="shared" si="0"/>
        <v>280.1536672792206</v>
      </c>
      <c r="D18" s="90">
        <f t="shared" si="1"/>
        <v>0.48132952937941198</v>
      </c>
      <c r="E18"/>
      <c r="F18"/>
      <c r="G18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20" x14ac:dyDescent="0.25">
      <c r="A19" s="78" t="s">
        <v>244</v>
      </c>
      <c r="B19" s="79">
        <f>$B$4*20</f>
        <v>59536.193080000012</v>
      </c>
      <c r="C19" s="79">
        <f t="shared" si="0"/>
        <v>294.89859713602169</v>
      </c>
      <c r="D19" s="91">
        <f t="shared" si="1"/>
        <v>0.55929424145201234</v>
      </c>
      <c r="E19"/>
      <c r="F19"/>
      <c r="G19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20" x14ac:dyDescent="0.25">
      <c r="A20" s="76" t="s">
        <v>269</v>
      </c>
      <c r="B20" s="77">
        <f>$B$4*21</f>
        <v>62513.002734000009</v>
      </c>
      <c r="C20" s="77">
        <f t="shared" si="0"/>
        <v>309.64352699282279</v>
      </c>
      <c r="D20" s="90">
        <f t="shared" si="1"/>
        <v>0.63725895352461293</v>
      </c>
      <c r="E20"/>
      <c r="F20"/>
      <c r="G20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20" x14ac:dyDescent="0.25">
      <c r="A21" s="76" t="s">
        <v>245</v>
      </c>
      <c r="B21" s="77">
        <f>$B$4*22</f>
        <v>65489.812388000013</v>
      </c>
      <c r="C21" s="77">
        <f t="shared" si="0"/>
        <v>324.38845684962388</v>
      </c>
      <c r="D21" s="90">
        <f t="shared" si="1"/>
        <v>0.71522366559721373</v>
      </c>
      <c r="E21"/>
      <c r="F21"/>
      <c r="G21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20" x14ac:dyDescent="0.25">
      <c r="A22" s="76" t="s">
        <v>270</v>
      </c>
      <c r="B22" s="77">
        <f>$B$4*23</f>
        <v>68466.622042000017</v>
      </c>
      <c r="C22" s="77">
        <f t="shared" si="0"/>
        <v>339.13338670642497</v>
      </c>
      <c r="D22" s="90">
        <f t="shared" si="1"/>
        <v>0.79318837766981432</v>
      </c>
      <c r="E22"/>
      <c r="F22"/>
      <c r="G22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20" x14ac:dyDescent="0.25">
      <c r="A23" s="76" t="s">
        <v>246</v>
      </c>
      <c r="B23" s="77">
        <f>$B$4*24</f>
        <v>71443.431696000014</v>
      </c>
      <c r="C23" s="77">
        <f t="shared" si="0"/>
        <v>353.87831656322601</v>
      </c>
      <c r="D23" s="90">
        <f t="shared" si="1"/>
        <v>0.8711530897424149</v>
      </c>
      <c r="E23"/>
      <c r="F23"/>
      <c r="G2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20" x14ac:dyDescent="0.25">
      <c r="A24" s="76" t="s">
        <v>271</v>
      </c>
      <c r="B24" s="77">
        <f>$B$4*25</f>
        <v>74420.241350000011</v>
      </c>
      <c r="C24" s="77">
        <f t="shared" si="0"/>
        <v>368.6232464200271</v>
      </c>
      <c r="D24" s="90">
        <f t="shared" si="1"/>
        <v>0.94911780181501548</v>
      </c>
      <c r="E24"/>
      <c r="F24"/>
      <c r="G2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20" x14ac:dyDescent="0.25">
      <c r="A25" s="76" t="s">
        <v>247</v>
      </c>
      <c r="B25" s="77">
        <f>$B$4*26</f>
        <v>77397.051004000008</v>
      </c>
      <c r="C25" s="77">
        <f t="shared" si="0"/>
        <v>383.36817627682819</v>
      </c>
      <c r="D25" s="90">
        <f t="shared" si="1"/>
        <v>1.0270825138876161</v>
      </c>
      <c r="E25"/>
      <c r="F25"/>
      <c r="G2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20" x14ac:dyDescent="0.25">
      <c r="A26" s="76" t="s">
        <v>272</v>
      </c>
      <c r="B26" s="77">
        <f>$B$4*27</f>
        <v>80373.86065800002</v>
      </c>
      <c r="C26" s="77">
        <f t="shared" si="0"/>
        <v>398.11310613362929</v>
      </c>
      <c r="D26" s="90">
        <f t="shared" si="1"/>
        <v>1.1050472259602167</v>
      </c>
      <c r="E26"/>
      <c r="F26"/>
      <c r="G26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20" x14ac:dyDescent="0.25">
      <c r="A27" s="76" t="s">
        <v>248</v>
      </c>
      <c r="B27" s="77">
        <f>$B$4*28</f>
        <v>83350.670312000017</v>
      </c>
      <c r="C27" s="77">
        <f t="shared" si="0"/>
        <v>412.85803599043038</v>
      </c>
      <c r="D27" s="90">
        <f t="shared" si="1"/>
        <v>1.1830119380328172</v>
      </c>
      <c r="E27"/>
      <c r="F27"/>
      <c r="G27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20" x14ac:dyDescent="0.25">
      <c r="A28" s="76" t="s">
        <v>273</v>
      </c>
      <c r="B28" s="77">
        <f>$B$4*29</f>
        <v>86327.479966000014</v>
      </c>
      <c r="C28" s="77">
        <f t="shared" si="0"/>
        <v>427.60296584723142</v>
      </c>
      <c r="D28" s="90">
        <f t="shared" si="1"/>
        <v>1.2609766501054178</v>
      </c>
      <c r="E28"/>
      <c r="F28"/>
      <c r="G28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20" ht="20" thickBot="1" x14ac:dyDescent="0.3">
      <c r="A29" s="80" t="s">
        <v>249</v>
      </c>
      <c r="B29" s="81">
        <f>$B$4*30</f>
        <v>89304.289620000025</v>
      </c>
      <c r="C29" s="81">
        <f t="shared" si="0"/>
        <v>442.34789570403257</v>
      </c>
      <c r="D29" s="92">
        <f t="shared" si="1"/>
        <v>1.3389413621780188</v>
      </c>
      <c r="E29"/>
      <c r="F29"/>
      <c r="G29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20" x14ac:dyDescent="0.25">
      <c r="A30"/>
      <c r="B30"/>
      <c r="C30"/>
      <c r="D30"/>
      <c r="E30"/>
      <c r="F30"/>
      <c r="G30"/>
      <c r="H30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x14ac:dyDescent="0.25">
      <c r="A31"/>
      <c r="B31"/>
      <c r="C31"/>
      <c r="D31"/>
      <c r="E31"/>
      <c r="F31"/>
      <c r="G31"/>
      <c r="H31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x14ac:dyDescent="0.25">
      <c r="A32"/>
      <c r="B32"/>
      <c r="C32"/>
      <c r="D32"/>
      <c r="E32"/>
      <c r="F32"/>
      <c r="G32"/>
      <c r="H32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145" x14ac:dyDescent="0.25">
      <c r="A33"/>
      <c r="B33"/>
      <c r="C33"/>
      <c r="D33"/>
      <c r="E33"/>
      <c r="F33"/>
      <c r="G33"/>
      <c r="H3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</row>
    <row r="34" spans="1:145" x14ac:dyDescent="0.25">
      <c r="A34"/>
      <c r="B34"/>
      <c r="C34"/>
      <c r="D34"/>
      <c r="E34"/>
      <c r="F34"/>
      <c r="G34"/>
      <c r="H34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145" x14ac:dyDescent="0.25">
      <c r="A35"/>
      <c r="B35"/>
      <c r="C35"/>
      <c r="D35"/>
      <c r="E35"/>
      <c r="F35"/>
      <c r="G35"/>
      <c r="H35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145" x14ac:dyDescent="0.25">
      <c r="A36"/>
      <c r="B36"/>
      <c r="C36"/>
      <c r="D36"/>
      <c r="E36"/>
      <c r="F36"/>
      <c r="G36"/>
      <c r="H36"/>
      <c r="W36" s="44"/>
    </row>
    <row r="37" spans="1:145" x14ac:dyDescent="0.25">
      <c r="A37"/>
      <c r="B37"/>
      <c r="C37"/>
      <c r="D37"/>
      <c r="E37"/>
      <c r="F37"/>
      <c r="G37"/>
      <c r="H37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W37" s="44"/>
    </row>
    <row r="38" spans="1:145" x14ac:dyDescent="0.25">
      <c r="A38"/>
      <c r="B38"/>
      <c r="C38"/>
      <c r="D38"/>
      <c r="E38"/>
      <c r="F38"/>
      <c r="G38"/>
      <c r="H38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W38" s="46"/>
    </row>
    <row r="39" spans="1:145" x14ac:dyDescent="0.25">
      <c r="A39"/>
      <c r="B39"/>
      <c r="C39"/>
      <c r="D39"/>
      <c r="E39"/>
      <c r="F39"/>
      <c r="G39"/>
      <c r="H39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W39" s="8"/>
    </row>
    <row r="40" spans="1:145" x14ac:dyDescent="0.25">
      <c r="A40"/>
      <c r="B40"/>
      <c r="C40"/>
      <c r="D40"/>
      <c r="E40"/>
      <c r="F40"/>
      <c r="G40"/>
      <c r="H4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W40" s="46"/>
    </row>
    <row r="41" spans="1:145" x14ac:dyDescent="0.25">
      <c r="V41" s="2"/>
      <c r="W41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Info</vt:lpstr>
      <vt:lpstr>Modell</vt:lpstr>
      <vt:lpstr>SOTP</vt:lpstr>
      <vt:lpstr>Segmenter</vt:lpstr>
      <vt:lpstr>ARPA</vt:lpstr>
      <vt:lpstr>NAA</vt:lpstr>
      <vt:lpstr>Recommerce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2025-02-09T18:49:30Z</dcterms:created>
  <dcterms:modified xsi:type="dcterms:W3CDTF">2026-10-01T09:38:08Z</dcterms:modified>
</cp:coreProperties>
</file>