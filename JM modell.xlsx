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C75D40E1-4C9D-ED41-B87D-60C078B6C710}" xr6:coauthVersionLast="47" xr6:coauthVersionMax="47" xr10:uidLastSave="{00000000-0000-0000-0000-000000000000}"/>
  <bookViews>
    <workbookView xWindow="0" yWindow="740" windowWidth="29400" windowHeight="17200" activeTab="1" xr2:uid="{5AE0DF26-B7DD-1242-A60E-253C73A930AF}"/>
  </bookViews>
  <sheets>
    <sheet name="Info" sheetId="1" r:id="rId1"/>
    <sheet name="Modell" sheetId="2" r:id="rId2"/>
    <sheet name="Segementer" sheetId="4" r:id="rId3"/>
    <sheet name="SOTP" sheetId="6" r:id="rId4"/>
    <sheet name="Nøkkeltall" sheetId="3" r:id="rId5"/>
    <sheet name="Nedsideberegning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AJ7" i="2"/>
  <c r="AJ5" i="2"/>
  <c r="AJ4" i="2"/>
  <c r="U24" i="2"/>
  <c r="U65" i="2"/>
  <c r="U61" i="2"/>
  <c r="U54" i="2"/>
  <c r="U67" i="2" s="1"/>
  <c r="U44" i="2"/>
  <c r="U45" i="2" s="1"/>
  <c r="U36" i="2"/>
  <c r="U6" i="2"/>
  <c r="U9" i="2" s="1"/>
  <c r="U20" i="2" s="1"/>
  <c r="U18" i="2"/>
  <c r="Y61" i="2"/>
  <c r="Y54" i="2"/>
  <c r="Y44" i="2"/>
  <c r="Y45" i="2" s="1"/>
  <c r="Y36" i="2"/>
  <c r="AA65" i="2"/>
  <c r="AE65" i="2"/>
  <c r="Z61" i="2"/>
  <c r="AA61" i="2"/>
  <c r="AB61" i="2"/>
  <c r="AC61" i="2"/>
  <c r="AD61" i="2"/>
  <c r="AE61" i="2"/>
  <c r="Z54" i="2"/>
  <c r="Z67" i="2" s="1"/>
  <c r="AA54" i="2"/>
  <c r="AA67" i="2" s="1"/>
  <c r="AB54" i="2"/>
  <c r="AC54" i="2"/>
  <c r="AC67" i="2" s="1"/>
  <c r="AD54" i="2"/>
  <c r="AE54" i="2"/>
  <c r="F67" i="2"/>
  <c r="AF49" i="2"/>
  <c r="AF50" i="2"/>
  <c r="AF51" i="2"/>
  <c r="AF52" i="2"/>
  <c r="AF53" i="2"/>
  <c r="AF54" i="2"/>
  <c r="AF56" i="2"/>
  <c r="AF58" i="2"/>
  <c r="AF59" i="2"/>
  <c r="AF60" i="2"/>
  <c r="AF61" i="2"/>
  <c r="AF63" i="2"/>
  <c r="AF65" i="2"/>
  <c r="AF67" i="2"/>
  <c r="AF48" i="2"/>
  <c r="AG49" i="2"/>
  <c r="AG50" i="2"/>
  <c r="AG51" i="2"/>
  <c r="AG52" i="2"/>
  <c r="AG53" i="2"/>
  <c r="AG54" i="2"/>
  <c r="AG56" i="2"/>
  <c r="AG58" i="2"/>
  <c r="AG59" i="2"/>
  <c r="AG60" i="2"/>
  <c r="AG61" i="2"/>
  <c r="AG63" i="2"/>
  <c r="AG65" i="2"/>
  <c r="AG67" i="2"/>
  <c r="AG48" i="2"/>
  <c r="AI49" i="2"/>
  <c r="AI50" i="2"/>
  <c r="AI51" i="2"/>
  <c r="AI52" i="2"/>
  <c r="AI53" i="2"/>
  <c r="AI54" i="2"/>
  <c r="AI56" i="2"/>
  <c r="AI58" i="2"/>
  <c r="AI59" i="2"/>
  <c r="AI60" i="2"/>
  <c r="AI61" i="2"/>
  <c r="AI63" i="2"/>
  <c r="AI65" i="2"/>
  <c r="AI67" i="2"/>
  <c r="AI48" i="2"/>
  <c r="AB45" i="2"/>
  <c r="Z45" i="2"/>
  <c r="AE44" i="2"/>
  <c r="AE45" i="2" s="1"/>
  <c r="AD44" i="2"/>
  <c r="AD45" i="2" s="1"/>
  <c r="AC44" i="2"/>
  <c r="AC45" i="2" s="1"/>
  <c r="AB44" i="2"/>
  <c r="AA44" i="2"/>
  <c r="AA45" i="2" s="1"/>
  <c r="Z44" i="2"/>
  <c r="AE36" i="2"/>
  <c r="AD36" i="2"/>
  <c r="AC36" i="2"/>
  <c r="AB36" i="2"/>
  <c r="AA36" i="2"/>
  <c r="Z36" i="2"/>
  <c r="AF45" i="2"/>
  <c r="AF44" i="2"/>
  <c r="AF36" i="2"/>
  <c r="AG44" i="2"/>
  <c r="AG45" i="2" s="1"/>
  <c r="AG36" i="2"/>
  <c r="AH44" i="2"/>
  <c r="AH45" i="2" s="1"/>
  <c r="AH36" i="2"/>
  <c r="AI44" i="2"/>
  <c r="AI45" i="2" s="1"/>
  <c r="AI36" i="2"/>
  <c r="T19" i="2"/>
  <c r="AJ8" i="2"/>
  <c r="AK7" i="2"/>
  <c r="AL7" i="2" s="1"/>
  <c r="AM7" i="2" s="1"/>
  <c r="AN7" i="2" s="1"/>
  <c r="AO7" i="2" s="1"/>
  <c r="AP7" i="2" s="1"/>
  <c r="AQ7" i="2" s="1"/>
  <c r="AR7" i="2" s="1"/>
  <c r="AS7" i="2" s="1"/>
  <c r="AK5" i="2"/>
  <c r="AM5" i="2"/>
  <c r="AL5" i="2"/>
  <c r="B8" i="2"/>
  <c r="B7" i="2"/>
  <c r="AI21" i="2"/>
  <c r="AK4" i="2"/>
  <c r="AL4" i="2" s="1"/>
  <c r="AM4" i="2" s="1"/>
  <c r="T61" i="2"/>
  <c r="T54" i="2"/>
  <c r="T65" i="2" s="1"/>
  <c r="T44" i="2"/>
  <c r="T45" i="2" s="1"/>
  <c r="T36" i="2"/>
  <c r="T6" i="2"/>
  <c r="T9" i="2" s="1"/>
  <c r="W10" i="4"/>
  <c r="T24" i="2"/>
  <c r="T18" i="2"/>
  <c r="AA49" i="4"/>
  <c r="AA48" i="4"/>
  <c r="AA47" i="4"/>
  <c r="AA45" i="4"/>
  <c r="AA46" i="4" s="1"/>
  <c r="AA44" i="4"/>
  <c r="Z44" i="4"/>
  <c r="Y44" i="4"/>
  <c r="X44" i="4"/>
  <c r="W44" i="4"/>
  <c r="AA43" i="4"/>
  <c r="AA40" i="4"/>
  <c r="AA39" i="4"/>
  <c r="AA38" i="4"/>
  <c r="AA37" i="4"/>
  <c r="AA35" i="4"/>
  <c r="Z34" i="4"/>
  <c r="Y34" i="4"/>
  <c r="X34" i="4"/>
  <c r="W34" i="4"/>
  <c r="AA33" i="4"/>
  <c r="AA34" i="4" s="1"/>
  <c r="AA30" i="4"/>
  <c r="AA29" i="4"/>
  <c r="AA28" i="4"/>
  <c r="AA27" i="4"/>
  <c r="AA25" i="4"/>
  <c r="Z24" i="4"/>
  <c r="Y24" i="4"/>
  <c r="X24" i="4"/>
  <c r="W24" i="4"/>
  <c r="AA23" i="4"/>
  <c r="AA24" i="4" s="1"/>
  <c r="AA20" i="4"/>
  <c r="AA19" i="4"/>
  <c r="AA18" i="4"/>
  <c r="AA17" i="4"/>
  <c r="AA15" i="4"/>
  <c r="Z14" i="4"/>
  <c r="Y14" i="4"/>
  <c r="X14" i="4"/>
  <c r="W14" i="4"/>
  <c r="AA13" i="4"/>
  <c r="AA14" i="4" s="1"/>
  <c r="AA11" i="4"/>
  <c r="AA10" i="4"/>
  <c r="AA9" i="4"/>
  <c r="AA7" i="4"/>
  <c r="Z6" i="4"/>
  <c r="Y6" i="4"/>
  <c r="X6" i="4"/>
  <c r="W6" i="4"/>
  <c r="AA5" i="4"/>
  <c r="AA6" i="4" s="1"/>
  <c r="AH61" i="2"/>
  <c r="AH53" i="2"/>
  <c r="AH54" i="2"/>
  <c r="AH65" i="2" s="1"/>
  <c r="U12" i="2" l="1"/>
  <c r="U14" i="2" s="1"/>
  <c r="U16" i="2" s="1"/>
  <c r="U19" i="2"/>
  <c r="Y65" i="2"/>
  <c r="Y67" i="2"/>
  <c r="Z65" i="2"/>
  <c r="AC65" i="2"/>
  <c r="AB65" i="2"/>
  <c r="AB67" i="2"/>
  <c r="AE67" i="2"/>
  <c r="AD65" i="2"/>
  <c r="AD67" i="2"/>
  <c r="T67" i="2"/>
  <c r="T12" i="2"/>
  <c r="T14" i="2" s="1"/>
  <c r="T16" i="2" s="1"/>
  <c r="T20" i="2"/>
  <c r="AA36" i="4"/>
  <c r="AA26" i="4"/>
  <c r="AA16" i="4"/>
  <c r="AA8" i="4"/>
  <c r="AH67" i="2"/>
  <c r="AI25" i="2"/>
  <c r="AI23" i="2"/>
  <c r="AI24" i="2" s="1"/>
  <c r="S6" i="2"/>
  <c r="S9" i="2" s="1"/>
  <c r="R6" i="2"/>
  <c r="R9" i="2" s="1"/>
  <c r="V25" i="4"/>
  <c r="Q24" i="2"/>
  <c r="P24" i="2"/>
  <c r="R61" i="2"/>
  <c r="S61" i="2"/>
  <c r="R54" i="2"/>
  <c r="R65" i="2" s="1"/>
  <c r="S54" i="2"/>
  <c r="S67" i="2" s="1"/>
  <c r="R44" i="2"/>
  <c r="R45" i="2" s="1"/>
  <c r="S44" i="2"/>
  <c r="S45" i="2" s="1"/>
  <c r="R36" i="2"/>
  <c r="S36" i="2"/>
  <c r="R18" i="2"/>
  <c r="S18" i="2"/>
  <c r="R24" i="2"/>
  <c r="S24" i="2"/>
  <c r="P5" i="5"/>
  <c r="Q5" i="5"/>
  <c r="R5" i="5"/>
  <c r="S5" i="5"/>
  <c r="T5" i="5"/>
  <c r="U5" i="5"/>
  <c r="V5" i="5"/>
  <c r="W5" i="5"/>
  <c r="X5" i="5"/>
  <c r="O5" i="5"/>
  <c r="Q7" i="5"/>
  <c r="R7" i="5"/>
  <c r="S7" i="5"/>
  <c r="T7" i="5"/>
  <c r="U7" i="5"/>
  <c r="V7" i="5"/>
  <c r="W7" i="5"/>
  <c r="X7" i="5"/>
  <c r="P7" i="5"/>
  <c r="O7" i="5"/>
  <c r="P4" i="5"/>
  <c r="Q4" i="5"/>
  <c r="R4" i="5"/>
  <c r="S4" i="5"/>
  <c r="T4" i="5"/>
  <c r="U4" i="5"/>
  <c r="V4" i="5"/>
  <c r="W4" i="5"/>
  <c r="X4" i="5"/>
  <c r="O4" i="5"/>
  <c r="J19" i="5"/>
  <c r="I19" i="5"/>
  <c r="D19" i="5"/>
  <c r="M18" i="5"/>
  <c r="L18" i="5"/>
  <c r="K18" i="5"/>
  <c r="J18" i="5"/>
  <c r="I18" i="5"/>
  <c r="H18" i="5"/>
  <c r="G18" i="5"/>
  <c r="F18" i="5"/>
  <c r="E18" i="5"/>
  <c r="G14" i="5"/>
  <c r="G16" i="5"/>
  <c r="F14" i="5"/>
  <c r="F16" i="5"/>
  <c r="E14" i="5"/>
  <c r="E16" i="5"/>
  <c r="G12" i="5"/>
  <c r="F12" i="5"/>
  <c r="E12" i="5"/>
  <c r="J9" i="5"/>
  <c r="J20" i="5"/>
  <c r="G9" i="5"/>
  <c r="G20" i="5"/>
  <c r="F9" i="5"/>
  <c r="F20" i="5"/>
  <c r="E9" i="5"/>
  <c r="E20" i="5"/>
  <c r="D9" i="5"/>
  <c r="N8" i="5"/>
  <c r="N7" i="5"/>
  <c r="M6" i="5"/>
  <c r="M19" i="5"/>
  <c r="L6" i="5"/>
  <c r="L19" i="5"/>
  <c r="K6" i="5"/>
  <c r="K9" i="5"/>
  <c r="K12" i="5"/>
  <c r="K14" i="5"/>
  <c r="K16" i="5"/>
  <c r="J6" i="5"/>
  <c r="I6" i="5"/>
  <c r="I9" i="5"/>
  <c r="H6" i="5"/>
  <c r="G6" i="5"/>
  <c r="G19" i="5"/>
  <c r="F6" i="5"/>
  <c r="F19" i="5"/>
  <c r="E6" i="5"/>
  <c r="E19" i="5"/>
  <c r="D6" i="5"/>
  <c r="N4" i="5"/>
  <c r="N5" i="5"/>
  <c r="R67" i="2"/>
  <c r="D12" i="5"/>
  <c r="D14" i="5"/>
  <c r="D16" i="5"/>
  <c r="D20" i="5"/>
  <c r="H19" i="5"/>
  <c r="H9" i="5"/>
  <c r="I20" i="5"/>
  <c r="I12" i="5"/>
  <c r="I14" i="5"/>
  <c r="I16" i="5"/>
  <c r="K20" i="5"/>
  <c r="L9" i="5"/>
  <c r="K19" i="5"/>
  <c r="N18" i="5"/>
  <c r="J12" i="5"/>
  <c r="J14" i="5"/>
  <c r="J16" i="5"/>
  <c r="N6" i="5"/>
  <c r="M9" i="5"/>
  <c r="AH24" i="2"/>
  <c r="V20" i="4"/>
  <c r="V19" i="4"/>
  <c r="V18" i="4"/>
  <c r="V17" i="4"/>
  <c r="V15" i="4"/>
  <c r="V13" i="4"/>
  <c r="V14" i="4" s="1"/>
  <c r="Q20" i="4"/>
  <c r="Q19" i="4"/>
  <c r="Q18" i="4"/>
  <c r="Q17" i="4"/>
  <c r="Q15" i="4"/>
  <c r="Q16" i="4"/>
  <c r="Q13" i="4"/>
  <c r="Q14" i="4"/>
  <c r="V30" i="4"/>
  <c r="V29" i="4"/>
  <c r="V28" i="4"/>
  <c r="V27" i="4"/>
  <c r="V23" i="4"/>
  <c r="V26" i="4" s="1"/>
  <c r="Q30" i="4"/>
  <c r="Q29" i="4"/>
  <c r="Q28" i="4"/>
  <c r="Q27" i="4"/>
  <c r="Q25" i="4"/>
  <c r="Q26" i="4"/>
  <c r="Q23" i="4"/>
  <c r="Q24" i="4"/>
  <c r="V40" i="4"/>
  <c r="V39" i="4"/>
  <c r="V38" i="4"/>
  <c r="V37" i="4"/>
  <c r="V35" i="4"/>
  <c r="V33" i="4"/>
  <c r="Q40" i="4"/>
  <c r="Q39" i="4"/>
  <c r="Q38" i="4"/>
  <c r="Q37" i="4"/>
  <c r="Q35" i="4"/>
  <c r="Q36" i="4"/>
  <c r="Q33" i="4"/>
  <c r="Q34" i="4"/>
  <c r="V49" i="4"/>
  <c r="V48" i="4"/>
  <c r="V47" i="4"/>
  <c r="V45" i="4"/>
  <c r="V43" i="4"/>
  <c r="Q49" i="4"/>
  <c r="Q48" i="4"/>
  <c r="Q47" i="4"/>
  <c r="Q45" i="4"/>
  <c r="Q46" i="4"/>
  <c r="Q43" i="4"/>
  <c r="Q44" i="4"/>
  <c r="L44" i="4"/>
  <c r="L49" i="4"/>
  <c r="L48" i="4"/>
  <c r="L47" i="4"/>
  <c r="L45" i="4"/>
  <c r="L46" i="4"/>
  <c r="L43" i="4"/>
  <c r="L40" i="4"/>
  <c r="L39" i="4"/>
  <c r="L38" i="4"/>
  <c r="L37" i="4"/>
  <c r="L35" i="4"/>
  <c r="L36" i="4"/>
  <c r="L33" i="4"/>
  <c r="L34" i="4"/>
  <c r="L30" i="4"/>
  <c r="L29" i="4"/>
  <c r="L28" i="4"/>
  <c r="L27" i="4"/>
  <c r="L25" i="4"/>
  <c r="L26" i="4"/>
  <c r="L23" i="4"/>
  <c r="L24" i="4"/>
  <c r="L14" i="4"/>
  <c r="L20" i="4"/>
  <c r="L19" i="4"/>
  <c r="L18" i="4"/>
  <c r="L17" i="4"/>
  <c r="L15" i="4"/>
  <c r="L16" i="4"/>
  <c r="L13" i="4"/>
  <c r="G31" i="4"/>
  <c r="G30" i="4"/>
  <c r="G41" i="4"/>
  <c r="G40" i="4"/>
  <c r="G20" i="4"/>
  <c r="Q6" i="4"/>
  <c r="Q5" i="4"/>
  <c r="V11" i="4"/>
  <c r="V10" i="4"/>
  <c r="V9" i="4"/>
  <c r="V7" i="4"/>
  <c r="V5" i="4"/>
  <c r="V6" i="4" s="1"/>
  <c r="Q11" i="4"/>
  <c r="Q10" i="4"/>
  <c r="Q9" i="4"/>
  <c r="Q7" i="4"/>
  <c r="Q8" i="4"/>
  <c r="L6" i="4"/>
  <c r="L11" i="4"/>
  <c r="L10" i="4"/>
  <c r="L9" i="4"/>
  <c r="L7" i="4"/>
  <c r="L8" i="4"/>
  <c r="L5" i="4"/>
  <c r="K44" i="4"/>
  <c r="G49" i="4"/>
  <c r="G48" i="4"/>
  <c r="G47" i="4"/>
  <c r="G45" i="4"/>
  <c r="G46" i="4"/>
  <c r="G43" i="4"/>
  <c r="G39" i="4"/>
  <c r="G38" i="4"/>
  <c r="G37" i="4"/>
  <c r="G35" i="4"/>
  <c r="G36" i="4"/>
  <c r="G33" i="4"/>
  <c r="G29" i="4"/>
  <c r="G28" i="4"/>
  <c r="G27" i="4"/>
  <c r="G25" i="4"/>
  <c r="G26" i="4"/>
  <c r="G23" i="4"/>
  <c r="G19" i="4"/>
  <c r="G18" i="4"/>
  <c r="G17" i="4"/>
  <c r="G15" i="4"/>
  <c r="G16" i="4"/>
  <c r="G13" i="4"/>
  <c r="G8" i="4"/>
  <c r="G11" i="4"/>
  <c r="G10" i="4"/>
  <c r="G9" i="4"/>
  <c r="G7" i="4"/>
  <c r="G5" i="4"/>
  <c r="M6" i="4"/>
  <c r="M12" i="5"/>
  <c r="M14" i="5"/>
  <c r="M16" i="5"/>
  <c r="M20" i="5"/>
  <c r="N19" i="5"/>
  <c r="N9" i="5"/>
  <c r="O6" i="5"/>
  <c r="O18" i="5"/>
  <c r="H20" i="5"/>
  <c r="H12" i="5"/>
  <c r="H14" i="5"/>
  <c r="H16" i="5"/>
  <c r="L12" i="5"/>
  <c r="L14" i="5"/>
  <c r="L16" i="5"/>
  <c r="L20" i="5"/>
  <c r="U44" i="4"/>
  <c r="T44" i="4"/>
  <c r="S44" i="4"/>
  <c r="R44" i="4"/>
  <c r="P44" i="4"/>
  <c r="O44" i="4"/>
  <c r="N44" i="4"/>
  <c r="M44" i="4"/>
  <c r="J44" i="4"/>
  <c r="I44" i="4"/>
  <c r="H44" i="4"/>
  <c r="U34" i="4"/>
  <c r="T34" i="4"/>
  <c r="S34" i="4"/>
  <c r="R34" i="4"/>
  <c r="P34" i="4"/>
  <c r="O34" i="4"/>
  <c r="N34" i="4"/>
  <c r="M34" i="4"/>
  <c r="K34" i="4"/>
  <c r="J34" i="4"/>
  <c r="I34" i="4"/>
  <c r="H34" i="4"/>
  <c r="U24" i="4"/>
  <c r="T24" i="4"/>
  <c r="S24" i="4"/>
  <c r="R24" i="4"/>
  <c r="P24" i="4"/>
  <c r="O24" i="4"/>
  <c r="N24" i="4"/>
  <c r="M24" i="4"/>
  <c r="K24" i="4"/>
  <c r="J24" i="4"/>
  <c r="I24" i="4"/>
  <c r="H24" i="4"/>
  <c r="U14" i="4"/>
  <c r="T14" i="4"/>
  <c r="S14" i="4"/>
  <c r="R14" i="4"/>
  <c r="P14" i="4"/>
  <c r="O14" i="4"/>
  <c r="N14" i="4"/>
  <c r="M14" i="4"/>
  <c r="K14" i="4"/>
  <c r="J14" i="4"/>
  <c r="I14" i="4"/>
  <c r="H14" i="4"/>
  <c r="H6" i="4"/>
  <c r="I6" i="4"/>
  <c r="J6" i="4"/>
  <c r="K6" i="4"/>
  <c r="N6" i="4"/>
  <c r="O6" i="4"/>
  <c r="P6" i="4"/>
  <c r="R6" i="4"/>
  <c r="T6" i="4"/>
  <c r="U6" i="4"/>
  <c r="S6" i="4"/>
  <c r="AK24" i="2"/>
  <c r="AL24" i="2"/>
  <c r="AM24" i="2"/>
  <c r="AN24" i="2"/>
  <c r="AO24" i="2"/>
  <c r="AP24" i="2"/>
  <c r="AQ24" i="2"/>
  <c r="AR24" i="2"/>
  <c r="AS24" i="2"/>
  <c r="AJ6" i="2"/>
  <c r="H24" i="2"/>
  <c r="I24" i="2"/>
  <c r="J24" i="2"/>
  <c r="K24" i="2"/>
  <c r="L24" i="2"/>
  <c r="M24" i="2"/>
  <c r="N24" i="2"/>
  <c r="O24" i="2"/>
  <c r="Z24" i="2"/>
  <c r="AA24" i="2"/>
  <c r="AB24" i="2"/>
  <c r="AC24" i="2"/>
  <c r="AD24" i="2"/>
  <c r="AE24" i="2"/>
  <c r="AF24" i="2"/>
  <c r="AG24" i="2"/>
  <c r="F50" i="2"/>
  <c r="F54" i="2" s="1"/>
  <c r="G52" i="2"/>
  <c r="G54" i="2" s="1"/>
  <c r="G67" i="2" s="1"/>
  <c r="G50" i="2"/>
  <c r="D50" i="2"/>
  <c r="H50" i="2"/>
  <c r="H54" i="2" s="1"/>
  <c r="E60" i="2"/>
  <c r="E52" i="2"/>
  <c r="E50" i="2"/>
  <c r="E54" i="2" s="1"/>
  <c r="I52" i="2"/>
  <c r="I50" i="2"/>
  <c r="I54" i="2" s="1"/>
  <c r="K52" i="2"/>
  <c r="K51" i="2"/>
  <c r="K50" i="2"/>
  <c r="O52" i="2"/>
  <c r="O51" i="2"/>
  <c r="O50" i="2"/>
  <c r="O54" i="2" s="1"/>
  <c r="J52" i="2"/>
  <c r="J51" i="2"/>
  <c r="J54" i="2" s="1"/>
  <c r="J50" i="2"/>
  <c r="N53" i="2"/>
  <c r="N52" i="2"/>
  <c r="N51" i="2"/>
  <c r="N50" i="2"/>
  <c r="N54" i="2" s="1"/>
  <c r="Y6" i="2"/>
  <c r="Y9" i="2" s="1"/>
  <c r="Z6" i="2"/>
  <c r="Z19" i="2" s="1"/>
  <c r="Z9" i="2"/>
  <c r="Z20" i="2" s="1"/>
  <c r="AA6" i="2"/>
  <c r="AA9" i="2" s="1"/>
  <c r="AB6" i="2"/>
  <c r="AB19" i="2" s="1"/>
  <c r="AB9" i="2"/>
  <c r="AB20" i="2" s="1"/>
  <c r="P18" i="5"/>
  <c r="P6" i="5"/>
  <c r="N12" i="5"/>
  <c r="N20" i="5"/>
  <c r="O19" i="5"/>
  <c r="O9" i="5"/>
  <c r="AI6" i="2"/>
  <c r="AI19" i="2" s="1"/>
  <c r="AI18" i="2"/>
  <c r="N13" i="5"/>
  <c r="N14" i="5"/>
  <c r="N16" i="5"/>
  <c r="P19" i="5"/>
  <c r="P9" i="5"/>
  <c r="O20" i="5"/>
  <c r="O12" i="5"/>
  <c r="Q18" i="5"/>
  <c r="Q6" i="5"/>
  <c r="Q9" i="5"/>
  <c r="Q19" i="5"/>
  <c r="R18" i="5"/>
  <c r="R6" i="5"/>
  <c r="O13" i="5"/>
  <c r="O14" i="5"/>
  <c r="P20" i="5"/>
  <c r="P12" i="5"/>
  <c r="O16" i="5"/>
  <c r="R9" i="5"/>
  <c r="R19" i="5"/>
  <c r="S18" i="5"/>
  <c r="S6" i="5"/>
  <c r="P13" i="5"/>
  <c r="P14" i="5"/>
  <c r="P16" i="5"/>
  <c r="Q20" i="5"/>
  <c r="Q12" i="5"/>
  <c r="AA19" i="2"/>
  <c r="Z18" i="2"/>
  <c r="AA18" i="2"/>
  <c r="AB18" i="2"/>
  <c r="AC18" i="2"/>
  <c r="S9" i="5"/>
  <c r="S19" i="5"/>
  <c r="T18" i="5"/>
  <c r="T6" i="5"/>
  <c r="Q13" i="5"/>
  <c r="Q14" i="5"/>
  <c r="R20" i="5"/>
  <c r="R12" i="5"/>
  <c r="P6" i="2"/>
  <c r="P9" i="2" s="1"/>
  <c r="AC6" i="2"/>
  <c r="AC19" i="2" s="1"/>
  <c r="AC9" i="2"/>
  <c r="AC20" i="2" s="1"/>
  <c r="AD6" i="2"/>
  <c r="AD19" i="2" s="1"/>
  <c r="AE6" i="2"/>
  <c r="AE19" i="2"/>
  <c r="AF6" i="2"/>
  <c r="AF9" i="2" s="1"/>
  <c r="AG6" i="2"/>
  <c r="AG19" i="2" s="1"/>
  <c r="AG9" i="2"/>
  <c r="AG20" i="2" s="1"/>
  <c r="AD18" i="2"/>
  <c r="AE18" i="2"/>
  <c r="AF18" i="2"/>
  <c r="AG18" i="2"/>
  <c r="AH18" i="2"/>
  <c r="AH6" i="2"/>
  <c r="AH19" i="2" s="1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P65" i="2" s="1"/>
  <c r="D54" i="2"/>
  <c r="D67" i="2" s="1"/>
  <c r="K54" i="2"/>
  <c r="K67" i="2" s="1"/>
  <c r="L54" i="2"/>
  <c r="L65" i="2" s="1"/>
  <c r="M54" i="2"/>
  <c r="M67" i="2" s="1"/>
  <c r="P54" i="2"/>
  <c r="P67" i="2"/>
  <c r="Q61" i="2"/>
  <c r="Q54" i="2"/>
  <c r="Q67" i="2" s="1"/>
  <c r="D44" i="2"/>
  <c r="D45" i="2"/>
  <c r="E44" i="2"/>
  <c r="E45" i="2" s="1"/>
  <c r="F44" i="2"/>
  <c r="F45" i="2"/>
  <c r="G44" i="2"/>
  <c r="G45" i="2" s="1"/>
  <c r="H44" i="2"/>
  <c r="H45" i="2"/>
  <c r="I44" i="2"/>
  <c r="I45" i="2"/>
  <c r="J44" i="2"/>
  <c r="J45" i="2" s="1"/>
  <c r="K44" i="2"/>
  <c r="K45" i="2" s="1"/>
  <c r="L44" i="2"/>
  <c r="L45" i="2" s="1"/>
  <c r="M44" i="2"/>
  <c r="M45" i="2"/>
  <c r="N44" i="2"/>
  <c r="N45" i="2"/>
  <c r="O44" i="2"/>
  <c r="O45" i="2" s="1"/>
  <c r="P44" i="2"/>
  <c r="P45" i="2" s="1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44" i="2"/>
  <c r="Q45" i="2" s="1"/>
  <c r="Q36" i="2"/>
  <c r="H18" i="2"/>
  <c r="I18" i="2"/>
  <c r="J18" i="2"/>
  <c r="K18" i="2"/>
  <c r="L18" i="2"/>
  <c r="M18" i="2"/>
  <c r="N18" i="2"/>
  <c r="O18" i="2"/>
  <c r="P18" i="2"/>
  <c r="Q18" i="2"/>
  <c r="D6" i="2"/>
  <c r="D9" i="2" s="1"/>
  <c r="D19" i="2"/>
  <c r="E6" i="2"/>
  <c r="E9" i="2" s="1"/>
  <c r="F6" i="2"/>
  <c r="F19" i="2" s="1"/>
  <c r="G6" i="2"/>
  <c r="G19" i="2" s="1"/>
  <c r="H6" i="2"/>
  <c r="H9" i="2" s="1"/>
  <c r="I6" i="2"/>
  <c r="I9" i="2" s="1"/>
  <c r="J6" i="2"/>
  <c r="J19" i="2" s="1"/>
  <c r="J9" i="2"/>
  <c r="J20" i="2" s="1"/>
  <c r="K6" i="2"/>
  <c r="K19" i="2" s="1"/>
  <c r="L6" i="2"/>
  <c r="L9" i="2"/>
  <c r="M6" i="2"/>
  <c r="M19" i="2" s="1"/>
  <c r="M9" i="2"/>
  <c r="M12" i="2"/>
  <c r="M14" i="2" s="1"/>
  <c r="M16" i="2" s="1"/>
  <c r="N6" i="2"/>
  <c r="N19" i="2" s="1"/>
  <c r="O6" i="2"/>
  <c r="O19" i="2"/>
  <c r="Q6" i="2"/>
  <c r="Q9" i="2" s="1"/>
  <c r="Q19" i="2"/>
  <c r="B6" i="2"/>
  <c r="B12" i="2" s="1"/>
  <c r="Q16" i="5"/>
  <c r="U18" i="5"/>
  <c r="U6" i="5"/>
  <c r="T9" i="5"/>
  <c r="T19" i="5"/>
  <c r="R13" i="5"/>
  <c r="R14" i="5"/>
  <c r="S12" i="5"/>
  <c r="S20" i="5"/>
  <c r="N9" i="2"/>
  <c r="N20" i="2" s="1"/>
  <c r="J12" i="2"/>
  <c r="J14" i="2" s="1"/>
  <c r="J16" i="2" s="1"/>
  <c r="G9" i="2"/>
  <c r="G12" i="2" s="1"/>
  <c r="G14" i="2" s="1"/>
  <c r="G16" i="2" s="1"/>
  <c r="M20" i="2"/>
  <c r="H19" i="2"/>
  <c r="O9" i="2"/>
  <c r="O12" i="2" s="1"/>
  <c r="O14" i="2" s="1"/>
  <c r="O16" i="2" s="1"/>
  <c r="L12" i="2"/>
  <c r="L14" i="2" s="1"/>
  <c r="L16" i="2" s="1"/>
  <c r="L20" i="2"/>
  <c r="L19" i="2"/>
  <c r="P19" i="2"/>
  <c r="AE9" i="2"/>
  <c r="AE20" i="2" s="1"/>
  <c r="AG12" i="2"/>
  <c r="AG14" i="2" s="1"/>
  <c r="AG16" i="2" s="1"/>
  <c r="AH9" i="2"/>
  <c r="AH12" i="2" s="1"/>
  <c r="AH14" i="2" s="1"/>
  <c r="AH16" i="2" s="1"/>
  <c r="AH20" i="2"/>
  <c r="R16" i="5"/>
  <c r="U19" i="5"/>
  <c r="U9" i="5"/>
  <c r="T12" i="5"/>
  <c r="T20" i="5"/>
  <c r="V6" i="5"/>
  <c r="V18" i="5"/>
  <c r="S13" i="5"/>
  <c r="S14" i="5"/>
  <c r="O20" i="2"/>
  <c r="AE12" i="2"/>
  <c r="AE14" i="2" s="1"/>
  <c r="AE16" i="2" s="1"/>
  <c r="S16" i="5"/>
  <c r="T13" i="5"/>
  <c r="T14" i="5"/>
  <c r="V19" i="5"/>
  <c r="V9" i="5"/>
  <c r="U12" i="5"/>
  <c r="U20" i="5"/>
  <c r="W6" i="5"/>
  <c r="W18" i="5"/>
  <c r="T16" i="5"/>
  <c r="U13" i="5"/>
  <c r="U14" i="5"/>
  <c r="U16" i="5"/>
  <c r="V20" i="5"/>
  <c r="V12" i="5"/>
  <c r="W19" i="5"/>
  <c r="W9" i="5"/>
  <c r="X6" i="5"/>
  <c r="X18" i="5"/>
  <c r="W20" i="5"/>
  <c r="W12" i="5"/>
  <c r="V13" i="5"/>
  <c r="V14" i="5"/>
  <c r="V16" i="5"/>
  <c r="X19" i="5"/>
  <c r="X9" i="5"/>
  <c r="X20" i="5"/>
  <c r="X12" i="5"/>
  <c r="W13" i="5"/>
  <c r="W14" i="5"/>
  <c r="W16" i="5"/>
  <c r="X13" i="5"/>
  <c r="X14" i="5"/>
  <c r="Y14" i="5"/>
  <c r="Z14" i="5"/>
  <c r="AA14" i="5"/>
  <c r="AB14" i="5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X16" i="5"/>
  <c r="B9" i="2" l="1"/>
  <c r="J65" i="2"/>
  <c r="J67" i="2"/>
  <c r="P12" i="2"/>
  <c r="P14" i="2" s="1"/>
  <c r="P16" i="2" s="1"/>
  <c r="P20" i="2"/>
  <c r="AF12" i="2"/>
  <c r="AF14" i="2" s="1"/>
  <c r="AF16" i="2" s="1"/>
  <c r="AF20" i="2"/>
  <c r="H20" i="2"/>
  <c r="H12" i="2"/>
  <c r="H14" i="2" s="1"/>
  <c r="H16" i="2" s="1"/>
  <c r="AA12" i="2"/>
  <c r="AA14" i="2" s="1"/>
  <c r="AA16" i="2" s="1"/>
  <c r="AA20" i="2"/>
  <c r="I65" i="2"/>
  <c r="I67" i="2"/>
  <c r="F65" i="2"/>
  <c r="Q12" i="2"/>
  <c r="Q14" i="2" s="1"/>
  <c r="Q16" i="2" s="1"/>
  <c r="Q20" i="2"/>
  <c r="AF19" i="2"/>
  <c r="K9" i="2"/>
  <c r="Z12" i="2"/>
  <c r="Z14" i="2" s="1"/>
  <c r="Z16" i="2" s="1"/>
  <c r="E19" i="2"/>
  <c r="Q65" i="2"/>
  <c r="F9" i="2"/>
  <c r="F12" i="2" s="1"/>
  <c r="F14" i="2" s="1"/>
  <c r="F16" i="2" s="1"/>
  <c r="D65" i="2"/>
  <c r="R19" i="2"/>
  <c r="I19" i="2"/>
  <c r="Y19" i="2"/>
  <c r="Y12" i="2"/>
  <c r="Y14" i="2" s="1"/>
  <c r="Y16" i="2" s="1"/>
  <c r="Y20" i="2"/>
  <c r="R20" i="2"/>
  <c r="R12" i="2"/>
  <c r="R14" i="2" s="1"/>
  <c r="R16" i="2" s="1"/>
  <c r="E12" i="2"/>
  <c r="E14" i="2" s="1"/>
  <c r="E16" i="2" s="1"/>
  <c r="E20" i="2"/>
  <c r="O65" i="2"/>
  <c r="O67" i="2"/>
  <c r="I20" i="2"/>
  <c r="I12" i="2"/>
  <c r="I14" i="2" s="1"/>
  <c r="I16" i="2" s="1"/>
  <c r="H67" i="2"/>
  <c r="H65" i="2"/>
  <c r="E65" i="2"/>
  <c r="E67" i="2"/>
  <c r="D20" i="2"/>
  <c r="D12" i="2"/>
  <c r="D14" i="2" s="1"/>
  <c r="D16" i="2" s="1"/>
  <c r="N65" i="2"/>
  <c r="N67" i="2"/>
  <c r="L67" i="2"/>
  <c r="G20" i="2"/>
  <c r="K65" i="2"/>
  <c r="M65" i="2"/>
  <c r="N12" i="2"/>
  <c r="N14" i="2" s="1"/>
  <c r="N16" i="2" s="1"/>
  <c r="AD9" i="2"/>
  <c r="AB12" i="2"/>
  <c r="AB14" i="2" s="1"/>
  <c r="AB16" i="2" s="1"/>
  <c r="AJ18" i="2"/>
  <c r="S65" i="2"/>
  <c r="AC12" i="2"/>
  <c r="AC14" i="2" s="1"/>
  <c r="AC16" i="2" s="1"/>
  <c r="G65" i="2"/>
  <c r="AA19" i="5"/>
  <c r="AA21" i="5" s="1"/>
  <c r="AA22" i="5" s="1"/>
  <c r="A6" i="5" s="1"/>
  <c r="AJ24" i="2"/>
  <c r="V46" i="4"/>
  <c r="V44" i="4"/>
  <c r="V36" i="4"/>
  <c r="V34" i="4"/>
  <c r="V24" i="4"/>
  <c r="V16" i="4"/>
  <c r="V8" i="4"/>
  <c r="AI9" i="2"/>
  <c r="AI20" i="2" s="1"/>
  <c r="AK6" i="2"/>
  <c r="AK18" i="2"/>
  <c r="AJ19" i="2"/>
  <c r="AJ9" i="2"/>
  <c r="S12" i="2"/>
  <c r="S14" i="2" s="1"/>
  <c r="S16" i="2" s="1"/>
  <c r="S20" i="2"/>
  <c r="S19" i="2"/>
  <c r="F20" i="2" l="1"/>
  <c r="K20" i="2"/>
  <c r="K12" i="2"/>
  <c r="K14" i="2" s="1"/>
  <c r="K16" i="2" s="1"/>
  <c r="AD12" i="2"/>
  <c r="AD14" i="2" s="1"/>
  <c r="AD16" i="2" s="1"/>
  <c r="AD20" i="2"/>
  <c r="A5" i="5"/>
  <c r="AI12" i="2"/>
  <c r="AI14" i="2" s="1"/>
  <c r="AI16" i="2" s="1"/>
  <c r="AK19" i="2"/>
  <c r="AK9" i="2"/>
  <c r="AJ12" i="2"/>
  <c r="AJ20" i="2"/>
  <c r="D5" i="3"/>
  <c r="AL6" i="2"/>
  <c r="AL18" i="2"/>
  <c r="AL19" i="2" l="1"/>
  <c r="AL9" i="2"/>
  <c r="F5" i="3" s="1"/>
  <c r="AJ13" i="2"/>
  <c r="AJ14" i="2" s="1"/>
  <c r="AK20" i="2"/>
  <c r="AK12" i="2"/>
  <c r="E5" i="3"/>
  <c r="AM6" i="2"/>
  <c r="AM18" i="2"/>
  <c r="AN4" i="2"/>
  <c r="AN5" i="2" s="1"/>
  <c r="AM19" i="2" l="1"/>
  <c r="AM9" i="2"/>
  <c r="AK13" i="2"/>
  <c r="AK14" i="2" s="1"/>
  <c r="AK16" i="2" s="1"/>
  <c r="E6" i="3" s="1"/>
  <c r="AJ16" i="2"/>
  <c r="D6" i="3" s="1"/>
  <c r="AL20" i="2"/>
  <c r="AL12" i="2"/>
  <c r="AN6" i="2"/>
  <c r="AO4" i="2"/>
  <c r="AO5" i="2" s="1"/>
  <c r="AN18" i="2"/>
  <c r="AL13" i="2" l="1"/>
  <c r="AL14" i="2"/>
  <c r="AP4" i="2"/>
  <c r="AP5" i="2" s="1"/>
  <c r="AO18" i="2"/>
  <c r="AO6" i="2"/>
  <c r="AM20" i="2"/>
  <c r="AM12" i="2"/>
  <c r="AN9" i="2"/>
  <c r="AN19" i="2"/>
  <c r="AO9" i="2" l="1"/>
  <c r="AO19" i="2"/>
  <c r="AQ4" i="2"/>
  <c r="AQ5" i="2" s="1"/>
  <c r="AP18" i="2"/>
  <c r="AP6" i="2"/>
  <c r="AL16" i="2"/>
  <c r="F6" i="3" s="1"/>
  <c r="AM13" i="2"/>
  <c r="AM14" i="2" s="1"/>
  <c r="AM16" i="2" s="1"/>
  <c r="AN20" i="2"/>
  <c r="AN12" i="2"/>
  <c r="AN13" i="2" l="1"/>
  <c r="AN14" i="2" s="1"/>
  <c r="AP9" i="2"/>
  <c r="AP19" i="2"/>
  <c r="AR4" i="2"/>
  <c r="AR5" i="2" s="1"/>
  <c r="AQ6" i="2"/>
  <c r="AQ18" i="2"/>
  <c r="AO12" i="2"/>
  <c r="AO20" i="2"/>
  <c r="AS4" i="2" l="1"/>
  <c r="AS5" i="2" s="1"/>
  <c r="AR6" i="2"/>
  <c r="AR18" i="2"/>
  <c r="AN16" i="2"/>
  <c r="AQ9" i="2"/>
  <c r="AQ19" i="2"/>
  <c r="AP20" i="2"/>
  <c r="AP12" i="2"/>
  <c r="AO13" i="2"/>
  <c r="AO14" i="2"/>
  <c r="AO16" i="2" s="1"/>
  <c r="AP13" i="2" l="1"/>
  <c r="AP14" i="2" s="1"/>
  <c r="AS6" i="2"/>
  <c r="AS18" i="2"/>
  <c r="AQ20" i="2"/>
  <c r="AQ12" i="2"/>
  <c r="AR19" i="2"/>
  <c r="AR9" i="2"/>
  <c r="AS19" i="2" l="1"/>
  <c r="AS9" i="2"/>
  <c r="AQ13" i="2"/>
  <c r="AQ14" i="2"/>
  <c r="AQ16" i="2" s="1"/>
  <c r="AP16" i="2"/>
  <c r="AR12" i="2"/>
  <c r="AR20" i="2"/>
  <c r="AR13" i="2" l="1"/>
  <c r="AR14" i="2" s="1"/>
  <c r="AS20" i="2"/>
  <c r="AS12" i="2"/>
  <c r="AS13" i="2" l="1"/>
  <c r="AS14" i="2"/>
  <c r="AR16" i="2"/>
  <c r="AS16" i="2" l="1"/>
  <c r="AT14" i="2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AV19" i="2" s="1"/>
  <c r="AV21" i="2" s="1"/>
  <c r="AV2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tc={35F15749-C73A-BD4C-B390-41A1E4E0E35A}</author>
  </authors>
  <commentList>
    <comment ref="C33" authorId="0" shapeId="0" xr:uid="{35F15749-C73A-BD4C-B390-41A1E4E0E35A}">
      <text>
        <t>[Kommentartråd]
Din versjon av Excel lar deg lese denne kommentartråden. Eventuelle endringer i den vil imidlertid bli fjernet hvis filen åpnes i en nyere versjon av Excel. Finn ut mer: https://go.microsoft.com/fwlink/?linkid=870924
Kommentar:
    Unsold units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tc={5BE5EADA-5756-7347-BE8A-C2E9A9A9CA6E}</author>
    <author>tc={612CAA16-DC52-934B-8E41-992B8E9B2752}</author>
  </authors>
  <commentList>
    <comment ref="B12" authorId="0" shapeId="0" xr:uid="{5BE5EADA-5756-7347-BE8A-C2E9A9A9CA6E}">
      <text>
        <t>[Kommentartråd]
Din versjon av Excel lar deg lese denne kommentartråden. Eventuelle endringer i den vil imidlertid bli fjernet hvis filen åpnes i en nyere versjon av Excel. Finn ut mer: https://go.microsoft.com/fwlink/?linkid=870924
Kommentar:
    Ex greater stocholm</t>
      </text>
    </comment>
    <comment ref="B42" authorId="1" shapeId="0" xr:uid="{612CAA16-DC52-934B-8E41-992B8E9B2752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Utvikler utleieboliger, residential care units og commercial properties i Stor-Stockholm
</t>
      </text>
    </comment>
  </commentList>
</comments>
</file>

<file path=xl/sharedStrings.xml><?xml version="1.0" encoding="utf-8"?>
<sst xmlns="http://schemas.openxmlformats.org/spreadsheetml/2006/main" count="233" uniqueCount="137">
  <si>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</si>
  <si>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</si>
  <si>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</si>
  <si>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</si>
  <si>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</si>
  <si>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</si>
  <si>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</si>
  <si>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</si>
  <si>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</si>
  <si>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</si>
  <si>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</si>
  <si>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</si>
  <si>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</si>
  <si>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</si>
  <si>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</si>
  <si>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</si>
  <si>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</si>
  <si>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</si>
  <si>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</si>
  <si>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</si>
  <si>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</si>
  <si>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</si>
  <si>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</si>
  <si>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</si>
  <si>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</si>
  <si>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</si>
  <si>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</si>
  <si>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</si>
  <si>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</si>
  <si>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</si>
  <si>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</si>
  <si>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</si>
  <si>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</si>
  <si>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</si>
  <si>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</si>
  <si>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</si>
  <si>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</si>
  <si>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</si>
  <si>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SEK million</t>
  </si>
  <si>
    <t>MC SEKm</t>
  </si>
  <si>
    <t>Cash SEKm</t>
  </si>
  <si>
    <t>Debt SEKm</t>
  </si>
  <si>
    <t>EV SEKm</t>
  </si>
  <si>
    <t>Revenue y/y</t>
  </si>
  <si>
    <t>EBIT margin</t>
  </si>
  <si>
    <t>Revenue</t>
  </si>
  <si>
    <t>Production and operating costs</t>
  </si>
  <si>
    <t>Gross profit</t>
  </si>
  <si>
    <t>Selling and adminstrative expenses</t>
  </si>
  <si>
    <t>Gains/losses on sale of property</t>
  </si>
  <si>
    <t>Operating profit</t>
  </si>
  <si>
    <t>Financial expenses</t>
  </si>
  <si>
    <t>Financial income</t>
  </si>
  <si>
    <t>PTP</t>
  </si>
  <si>
    <t>Taxes</t>
  </si>
  <si>
    <t>Net income</t>
  </si>
  <si>
    <t>Share</t>
  </si>
  <si>
    <t>EPS</t>
  </si>
  <si>
    <t>Gross margin</t>
  </si>
  <si>
    <t>Balanse SEKm</t>
  </si>
  <si>
    <t xml:space="preserve">Cash flow SEKm </t>
  </si>
  <si>
    <t>Intangible assets</t>
  </si>
  <si>
    <t>Participations in operations and JV</t>
  </si>
  <si>
    <t>Other non-current assets</t>
  </si>
  <si>
    <t>Project properties</t>
  </si>
  <si>
    <t>Development properties</t>
  </si>
  <si>
    <t>Other current receivables</t>
  </si>
  <si>
    <t>Cash</t>
  </si>
  <si>
    <t>Total assets</t>
  </si>
  <si>
    <t>Equity</t>
  </si>
  <si>
    <t>Non-current IB liabilities</t>
  </si>
  <si>
    <t>Other non-current liabilities</t>
  </si>
  <si>
    <t>Non-current provisions</t>
  </si>
  <si>
    <t>Current IB liabilities</t>
  </si>
  <si>
    <t>Other current liabilities</t>
  </si>
  <si>
    <t>Current provisions</t>
  </si>
  <si>
    <t>Total debt</t>
  </si>
  <si>
    <t>Total E/D</t>
  </si>
  <si>
    <t>CFFO before WC and taxes</t>
  </si>
  <si>
    <t>Tax paid</t>
  </si>
  <si>
    <t>Increase/decrease development prop</t>
  </si>
  <si>
    <t>Increase/decrease in residental units</t>
  </si>
  <si>
    <t>Increase/decrease project properties</t>
  </si>
  <si>
    <t>Increase/decrease liabilities/receivables</t>
  </si>
  <si>
    <t xml:space="preserve">CFFO </t>
  </si>
  <si>
    <t>CFFI</t>
  </si>
  <si>
    <t>Loans raised</t>
  </si>
  <si>
    <t>Amortization of liabilities</t>
  </si>
  <si>
    <t>Dividends</t>
  </si>
  <si>
    <t>CFFF</t>
  </si>
  <si>
    <t>FCF</t>
  </si>
  <si>
    <t>FX</t>
  </si>
  <si>
    <t>CIC</t>
  </si>
  <si>
    <t>Housing starts</t>
  </si>
  <si>
    <t>Units sold</t>
  </si>
  <si>
    <t>ROE</t>
  </si>
  <si>
    <t>FY 2015</t>
  </si>
  <si>
    <t>FY 2016</t>
  </si>
  <si>
    <t>FY 2017</t>
  </si>
  <si>
    <t>FY 2018</t>
  </si>
  <si>
    <t>Disocunt</t>
  </si>
  <si>
    <t>TV</t>
  </si>
  <si>
    <t>NPV</t>
  </si>
  <si>
    <t>NPV/share</t>
  </si>
  <si>
    <t>Opp/nedside</t>
  </si>
  <si>
    <t>Units sold (Investor)</t>
  </si>
  <si>
    <t>Housing starts (Investor)</t>
  </si>
  <si>
    <t>y/y</t>
  </si>
  <si>
    <t>P/B</t>
  </si>
  <si>
    <t>Operating profit (EBIT)</t>
  </si>
  <si>
    <t>Stockholm</t>
  </si>
  <si>
    <t>Operating margin %</t>
  </si>
  <si>
    <t>Growth %</t>
  </si>
  <si>
    <t>Operating cashflow</t>
  </si>
  <si>
    <t>Sweden</t>
  </si>
  <si>
    <t>Units sold (Consumer)</t>
  </si>
  <si>
    <t>Housing starts (Consumer)</t>
  </si>
  <si>
    <t>Norway</t>
  </si>
  <si>
    <t>Finland</t>
  </si>
  <si>
    <t>Property dev</t>
  </si>
  <si>
    <t>Units sold (Investors)</t>
  </si>
  <si>
    <t>Housing starts (Investors)</t>
  </si>
  <si>
    <t>Nedside</t>
  </si>
  <si>
    <t>Nullvekst og konstante marginer</t>
  </si>
  <si>
    <t xml:space="preserve"> </t>
  </si>
  <si>
    <t>New targets CMD December 25:</t>
  </si>
  <si>
    <t>Gjennomsnittlig vekst på 4% i antall igangsatte boliger.</t>
  </si>
  <si>
    <t>Driftsmargin på 12% i snitt over en syklus</t>
  </si>
  <si>
    <t>Avkastning på sysselsatt kapital &gt; 20%</t>
  </si>
  <si>
    <t>Mål om 3 800 igangsettinger forventes senest 2028</t>
  </si>
  <si>
    <t>Press releases:</t>
  </si>
  <si>
    <t>Q126</t>
  </si>
  <si>
    <t>Q226</t>
  </si>
  <si>
    <t>Q326</t>
  </si>
  <si>
    <t>Q426</t>
  </si>
  <si>
    <t>Gearing</t>
  </si>
  <si>
    <t>Participations in tenant-owned 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</si>
</sst>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\ %"/>
  </numFmts>
  <fonts count="9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10" fontId="1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164" fontId="2" fillId="0" borderId="0" xfId="0" applyNumberFormat="1" applyFont="1"/>
    <xf numFmtId="166" fontId="1" fillId="0" borderId="0" xfId="0" applyNumberFormat="1" applyFont="1"/>
    <xf numFmtId="0" fontId="5" fillId="0" borderId="2" xfId="0" applyFont="1" applyBorder="1"/>
    <xf numFmtId="2" fontId="2" fillId="0" borderId="1" xfId="0" applyNumberFormat="1" applyFont="1" applyBorder="1"/>
    <xf numFmtId="166" fontId="1" fillId="0" borderId="1" xfId="0" applyNumberFormat="1" applyFont="1" applyBorder="1"/>
    <xf numFmtId="10" fontId="2" fillId="0" borderId="1" xfId="0" applyNumberFormat="1" applyFont="1" applyBorder="1"/>
    <xf numFmtId="0" fontId="2" fillId="0" borderId="3" xfId="0" applyFont="1" applyBorder="1"/>
    <xf numFmtId="9" fontId="2" fillId="0" borderId="0" xfId="0" applyNumberFormat="1" applyFont="1"/>
    <xf numFmtId="165" fontId="6" fillId="0" borderId="2" xfId="0" applyNumberFormat="1" applyFont="1" applyBorder="1"/>
    <xf numFmtId="8" fontId="2" fillId="0" borderId="3" xfId="0" applyNumberFormat="1" applyFont="1" applyBorder="1"/>
    <xf numFmtId="166" fontId="2" fillId="0" borderId="1" xfId="0" applyNumberFormat="1" applyFont="1" applyBorder="1"/>
    <xf numFmtId="10" fontId="4" fillId="0" borderId="0" xfId="0" applyNumberFormat="1" applyFont="1"/>
    <xf numFmtId="166" fontId="4" fillId="0" borderId="0" xfId="0" applyNumberFormat="1" applyFont="1"/>
    <xf numFmtId="0" fontId="1" fillId="0" borderId="5" xfId="0" applyFont="1" applyBorder="1" applyAlignment="1">
      <alignment horizontal="right"/>
    </xf>
    <xf numFmtId="0" fontId="2" fillId="0" borderId="5" xfId="0" applyFont="1" applyBorder="1"/>
    <xf numFmtId="0" fontId="1" fillId="0" borderId="5" xfId="0" applyFont="1" applyBorder="1"/>
    <xf numFmtId="166" fontId="3" fillId="0" borderId="5" xfId="0" applyNumberFormat="1" applyFont="1" applyBorder="1"/>
    <xf numFmtId="10" fontId="3" fillId="0" borderId="5" xfId="0" applyNumberFormat="1" applyFont="1" applyBorder="1"/>
    <xf numFmtId="0" fontId="1" fillId="0" borderId="4" xfId="0" applyFont="1" applyBorder="1"/>
    <xf numFmtId="0" fontId="2" fillId="0" borderId="6" xfId="0" applyFont="1" applyBorder="1"/>
    <xf numFmtId="10" fontId="1" fillId="0" borderId="3" xfId="0" applyNumberFormat="1" applyFont="1" applyBorder="1"/>
    <xf numFmtId="0" fontId="1" fillId="0" borderId="3" xfId="0" applyFont="1" applyBorder="1"/>
    <xf numFmtId="165" fontId="1" fillId="0" borderId="0" xfId="0" applyNumberFormat="1" applyFont="1"/>
    <xf numFmtId="166" fontId="4" fillId="0" borderId="1" xfId="0" applyNumberFormat="1" applyFont="1" applyBorder="1"/>
    <xf numFmtId="4" fontId="2" fillId="0" borderId="0" xfId="0" applyNumberFormat="1" applyFont="1"/>
    <xf numFmtId="2" fontId="1" fillId="0" borderId="1" xfId="0" applyNumberFormat="1" applyFont="1" applyBorder="1"/>
    <xf numFmtId="3" fontId="1" fillId="0" borderId="5" xfId="0" applyNumberFormat="1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87914</xdr:colOff>
      <xdr:row>12</xdr:row>
      <xdr:rowOff>12700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9BB72DD8-B2B9-C031-7E8B-C525969E7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91914" cy="29083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E9C6CFBE-895F-8144-ADFC-8E68814CA4CD}" userId="a530012ce760c12d" providerId="Windows Live"/>
  <person displayName="(Student) Hodt, August" id="{D64E02BB-30AF-0240-B068-A28150B38305}" userId="S::s2511823@bi.no::44d2ca7c-c877-4b52-8217-c5df9fee6d96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3" dT="2026-06-15T10:21:30.24" personId="{D64E02BB-30AF-0240-B068-A28150B38305}" id="{35F15749-C73A-BD4C-B390-41A1E4E0E35A}">
    <text>Unsold units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2" dT="2026-07-10T06:08:33.86" personId="{D64E02BB-30AF-0240-B068-A28150B38305}" id="{5BE5EADA-5756-7347-BE8A-C2E9A9A9CA6E}">
    <text>Ex greater stocholm</text>
  </threadedComment>
  <threadedComment ref="B42" dT="2025-07-21T19:21:26.08" personId="{E9C6CFBE-895F-8144-ADFC-8E68814CA4CD}" id="{612CAA16-DC52-934B-8E41-992B8E9B2752}">
    <text xml:space="preserve">Utvikler utleieboliger, residential care units og commercial properties i Stor-Stockholm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BC17B2-F7CA-4046-BD7A-269D5F31528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44ed0e8-3f89-40ee-b4f7-51e296ba700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5:A23"/>
  <sheetViews>
    <sheetView showGridLines="0" workbookViewId="0">
      <selection activeCell="A24" sqref="A24"/>
    </sheetView>
  </sheetViews>
  <sheetFormatPr baseColWidth="10" defaultColWidth="10.83203125" defaultRowHeight="19" x14ac:dyDescent="0.25"/>
  <cols>
    <col min="1" max="16384" width="10.83203125" style="2"/>
  </cols>
  <sheetData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14" spans="1:1" x14ac:dyDescent="0.25">
      <c r="A14" s="1" t="s">
        <v>125</v>
      </c>
    </row>
    <row r="16" spans="1:1" x14ac:dyDescent="0.25">
      <c r="A16" s="2" t="s">
        <v>126</v>
      </c>
    </row>
    <row r="17" spans="1:1" x14ac:dyDescent="0.25">
      <c r="A17" s="2" t="s">
        <v>127</v>
      </c>
    </row>
    <row r="18" spans="1:1" x14ac:dyDescent="0.25">
      <c r="A18" s="2" t="s">
        <v>128</v>
      </c>
    </row>
    <row r="20" spans="1:1" x14ac:dyDescent="0.25">
      <c r="A20" s="2" t="s">
        <v>129</v>
      </c>
    </row>
    <row r="23" spans="1:1" x14ac:dyDescent="0.25">
      <c r="A23" s="1" t="s">
        <v>130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EB68"/>
  <sheetViews>
    <sheetView showGridLines="0" tabSelected="1" workbookViewId="0">
      <pane xSplit="3" ySplit="3" topLeftCell="AC4" activePane="bottomRight" state="frozen"/>
      <selection pane="topRight" activeCell="D1" sqref="D1"/>
      <selection pane="bottomLeft" activeCell="A4" sqref="A4"/>
      <selection pane="bottomRight" activeCell="AU9" sqref="AU9"/>
    </sheetView>
  </sheetViews>
  <sheetFormatPr baseColWidth="10" defaultColWidth="10.83203125" defaultRowHeight="19" x14ac:dyDescent="0.25"/>
  <cols>
    <col min="1" max="1" width="16.33203125" style="2" bestFit="1" customWidth="1"/>
    <col min="2" max="2" width="10.83203125" style="4"/>
    <col min="3" max="3" width="38.66406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20" width="10.83203125" style="2"/>
    <col min="21" max="21" width="11.1640625" style="2" customWidth="1"/>
    <col min="22" max="23" width="10.83203125" style="2"/>
    <col min="24" max="24" width="12.6640625" style="2" bestFit="1" customWidth="1"/>
    <col min="25" max="35" width="10.83203125" style="2"/>
    <col min="36" max="36" width="10.83203125" style="4"/>
    <col min="37" max="46" width="10.83203125" style="2"/>
    <col min="47" max="47" width="14.1640625" style="2" bestFit="1" customWidth="1"/>
    <col min="48" max="48" width="14" style="2" bestFit="1" customWidth="1"/>
    <col min="49" max="16384" width="10.83203125" style="2"/>
  </cols>
  <sheetData>
    <row r="1" spans="1:132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E1" s="1"/>
    </row>
    <row r="3" spans="1:132" x14ac:dyDescent="0.25">
      <c r="A3" s="1" t="s">
        <v>0</v>
      </c>
      <c r="C3" s="2" t="s">
        <v>38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37</v>
      </c>
      <c r="Q3" s="7" t="s">
        <v>31</v>
      </c>
      <c r="R3" s="7" t="s">
        <v>35</v>
      </c>
      <c r="S3" s="7" t="s">
        <v>36</v>
      </c>
      <c r="T3" s="7" t="s">
        <v>131</v>
      </c>
      <c r="U3" s="7" t="s">
        <v>132</v>
      </c>
      <c r="V3" s="7" t="s">
        <v>133</v>
      </c>
      <c r="W3" s="7" t="s">
        <v>134</v>
      </c>
      <c r="Y3" s="7" t="s">
        <v>96</v>
      </c>
      <c r="Z3" s="7" t="s">
        <v>97</v>
      </c>
      <c r="AA3" s="7" t="s">
        <v>98</v>
      </c>
      <c r="AB3" s="7" t="s">
        <v>99</v>
      </c>
      <c r="AC3" s="7" t="s">
        <v>32</v>
      </c>
      <c r="AD3" s="7" t="s">
        <v>33</v>
      </c>
      <c r="AE3" s="7" t="s">
        <v>34</v>
      </c>
      <c r="AF3" s="7" t="s">
        <v>15</v>
      </c>
      <c r="AG3" s="7" t="s">
        <v>16</v>
      </c>
      <c r="AH3" s="7" t="s">
        <v>17</v>
      </c>
      <c r="AI3" s="7" t="s">
        <v>18</v>
      </c>
      <c r="AJ3" s="17" t="s">
        <v>19</v>
      </c>
      <c r="AK3" s="7" t="s">
        <v>20</v>
      </c>
      <c r="AL3" s="7" t="s">
        <v>21</v>
      </c>
      <c r="AM3" s="7" t="s">
        <v>22</v>
      </c>
      <c r="AN3" s="7" t="s">
        <v>23</v>
      </c>
      <c r="AO3" s="7" t="s">
        <v>24</v>
      </c>
      <c r="AP3" s="7" t="s">
        <v>25</v>
      </c>
      <c r="AQ3" s="7" t="s">
        <v>26</v>
      </c>
      <c r="AR3" s="7" t="s">
        <v>27</v>
      </c>
      <c r="AS3" s="7" t="s">
        <v>28</v>
      </c>
    </row>
    <row r="4" spans="1:132" x14ac:dyDescent="0.25">
      <c r="A4" s="2" t="s">
        <v>1</v>
      </c>
      <c r="B4" s="4">
        <v>133</v>
      </c>
      <c r="C4" s="1" t="s">
        <v>45</v>
      </c>
      <c r="D4" s="12">
        <v>3854</v>
      </c>
      <c r="E4" s="12">
        <v>3790</v>
      </c>
      <c r="F4" s="12">
        <v>3790</v>
      </c>
      <c r="G4" s="12">
        <v>5152</v>
      </c>
      <c r="H4" s="12">
        <v>3962</v>
      </c>
      <c r="I4" s="12">
        <v>3636</v>
      </c>
      <c r="J4" s="12">
        <v>2846</v>
      </c>
      <c r="K4" s="12">
        <v>3407</v>
      </c>
      <c r="L4" s="12">
        <v>3034</v>
      </c>
      <c r="M4" s="12">
        <v>3583</v>
      </c>
      <c r="N4" s="12">
        <v>2515</v>
      </c>
      <c r="O4" s="12">
        <v>3375</v>
      </c>
      <c r="P4" s="12">
        <v>2539</v>
      </c>
      <c r="Q4" s="12">
        <v>2540</v>
      </c>
      <c r="R4" s="12">
        <v>2137</v>
      </c>
      <c r="S4" s="12">
        <v>2766</v>
      </c>
      <c r="T4" s="12">
        <v>2981</v>
      </c>
      <c r="U4" s="12">
        <v>2815</v>
      </c>
      <c r="V4" s="12"/>
      <c r="W4" s="12"/>
      <c r="Y4" s="12">
        <v>13939</v>
      </c>
      <c r="Z4" s="12">
        <v>15291</v>
      </c>
      <c r="AA4" s="12">
        <v>17008</v>
      </c>
      <c r="AB4" s="12">
        <v>16161</v>
      </c>
      <c r="AC4" s="12">
        <v>15692</v>
      </c>
      <c r="AD4" s="12">
        <v>15388</v>
      </c>
      <c r="AE4" s="12">
        <v>14608</v>
      </c>
      <c r="AF4" s="12">
        <v>16385</v>
      </c>
      <c r="AG4" s="12">
        <v>13851</v>
      </c>
      <c r="AH4" s="12">
        <v>12507</v>
      </c>
      <c r="AI4" s="12">
        <v>9982</v>
      </c>
      <c r="AJ4" s="13">
        <f>AI4*1.14</f>
        <v>11379.48</v>
      </c>
      <c r="AK4" s="12">
        <f>AJ4*1.1</f>
        <v>12517.428</v>
      </c>
      <c r="AL4" s="12">
        <f>AK4*1.1</f>
        <v>13769.170800000002</v>
      </c>
      <c r="AM4" s="12">
        <f>AL4*1.075</f>
        <v>14801.858610000001</v>
      </c>
      <c r="AN4" s="12">
        <f t="shared" ref="AN4:AS4" si="0">AM4*1.05</f>
        <v>15541.951540500002</v>
      </c>
      <c r="AO4" s="12">
        <f t="shared" si="0"/>
        <v>16319.049117525003</v>
      </c>
      <c r="AP4" s="12">
        <f t="shared" si="0"/>
        <v>17135.001573401252</v>
      </c>
      <c r="AQ4" s="12">
        <f t="shared" si="0"/>
        <v>17991.751652071314</v>
      </c>
      <c r="AR4" s="12">
        <f t="shared" si="0"/>
        <v>18891.339234674881</v>
      </c>
      <c r="AS4" s="12">
        <f t="shared" si="0"/>
        <v>19835.906196408625</v>
      </c>
    </row>
    <row r="5" spans="1:132" x14ac:dyDescent="0.25">
      <c r="A5" s="2" t="s">
        <v>2</v>
      </c>
      <c r="B5" s="5">
        <v>64.504840000000002</v>
      </c>
      <c r="C5" s="2" t="s">
        <v>46</v>
      </c>
      <c r="D5" s="14">
        <v>-3140</v>
      </c>
      <c r="E5" s="14">
        <v>-3035</v>
      </c>
      <c r="F5" s="14">
        <v>-3035</v>
      </c>
      <c r="G5" s="14">
        <v>-4099</v>
      </c>
      <c r="H5" s="14">
        <v>-3290</v>
      </c>
      <c r="I5" s="14">
        <v>-3073</v>
      </c>
      <c r="J5" s="14">
        <v>-2489</v>
      </c>
      <c r="K5" s="14">
        <v>-3025</v>
      </c>
      <c r="L5" s="14">
        <v>-2653</v>
      </c>
      <c r="M5" s="14">
        <v>-3196</v>
      </c>
      <c r="N5" s="14">
        <v>-2221</v>
      </c>
      <c r="O5" s="14">
        <v>-2971</v>
      </c>
      <c r="P5" s="14">
        <v>-2179</v>
      </c>
      <c r="Q5" s="14">
        <v>-2194</v>
      </c>
      <c r="R5" s="14">
        <v>-1931</v>
      </c>
      <c r="S5" s="14">
        <v>-2459</v>
      </c>
      <c r="T5" s="14">
        <v>-2642</v>
      </c>
      <c r="U5" s="14">
        <v>-2492</v>
      </c>
      <c r="V5" s="14"/>
      <c r="W5" s="14"/>
      <c r="Y5" s="14">
        <v>-11630</v>
      </c>
      <c r="Z5" s="14">
        <v>-12440</v>
      </c>
      <c r="AA5" s="14">
        <v>-13648</v>
      </c>
      <c r="AB5" s="14">
        <v>-13247</v>
      </c>
      <c r="AC5" s="14">
        <v>-12994</v>
      </c>
      <c r="AD5" s="14">
        <v>-12607</v>
      </c>
      <c r="AE5" s="14">
        <v>-11814</v>
      </c>
      <c r="AF5" s="14">
        <v>-13216</v>
      </c>
      <c r="AG5" s="14">
        <v>-11877</v>
      </c>
      <c r="AH5" s="14">
        <v>-11040</v>
      </c>
      <c r="AI5" s="14">
        <v>-8763</v>
      </c>
      <c r="AJ5" s="15">
        <f>AJ4*-0.885</f>
        <v>-10070.8398</v>
      </c>
      <c r="AK5" s="14">
        <f>AK4*-0.88</f>
        <v>-11015.33664</v>
      </c>
      <c r="AL5" s="14">
        <f>AL4*-0.85</f>
        <v>-11703.795180000001</v>
      </c>
      <c r="AM5" s="14">
        <f t="shared" ref="AM5:AR5" si="1">AM4*-0.85</f>
        <v>-12581.5798185</v>
      </c>
      <c r="AN5" s="14">
        <f t="shared" si="1"/>
        <v>-13210.658809425002</v>
      </c>
      <c r="AO5" s="14">
        <f t="shared" si="1"/>
        <v>-13871.191749896252</v>
      </c>
      <c r="AP5" s="14">
        <f t="shared" si="1"/>
        <v>-14564.751337391064</v>
      </c>
      <c r="AQ5" s="14">
        <f t="shared" si="1"/>
        <v>-15292.988904260617</v>
      </c>
      <c r="AR5" s="14">
        <f t="shared" si="1"/>
        <v>-16057.638349473647</v>
      </c>
      <c r="AS5" s="14">
        <f>AS4*-0.85</f>
        <v>-16860.520266947329</v>
      </c>
    </row>
    <row r="6" spans="1:132" x14ac:dyDescent="0.25">
      <c r="A6" s="2" t="s">
        <v>39</v>
      </c>
      <c r="B6" s="5">
        <f>B4*B5</f>
        <v>8579.14372</v>
      </c>
      <c r="C6" s="2" t="s">
        <v>47</v>
      </c>
      <c r="D6" s="14">
        <f t="shared" ref="D6:O6" si="2">SUM(D4:D5)</f>
        <v>714</v>
      </c>
      <c r="E6" s="14">
        <f t="shared" si="2"/>
        <v>755</v>
      </c>
      <c r="F6" s="14">
        <f t="shared" si="2"/>
        <v>755</v>
      </c>
      <c r="G6" s="14">
        <f t="shared" si="2"/>
        <v>1053</v>
      </c>
      <c r="H6" s="14">
        <f t="shared" si="2"/>
        <v>672</v>
      </c>
      <c r="I6" s="14">
        <f t="shared" si="2"/>
        <v>563</v>
      </c>
      <c r="J6" s="14">
        <f t="shared" si="2"/>
        <v>357</v>
      </c>
      <c r="K6" s="14">
        <f t="shared" si="2"/>
        <v>382</v>
      </c>
      <c r="L6" s="14">
        <f t="shared" si="2"/>
        <v>381</v>
      </c>
      <c r="M6" s="14">
        <f t="shared" si="2"/>
        <v>387</v>
      </c>
      <c r="N6" s="14">
        <f t="shared" si="2"/>
        <v>294</v>
      </c>
      <c r="O6" s="14">
        <f t="shared" si="2"/>
        <v>404</v>
      </c>
      <c r="P6" s="14">
        <f>SUM(P4:P5)</f>
        <v>360</v>
      </c>
      <c r="Q6" s="14">
        <f>SUM(Q4:Q5)</f>
        <v>346</v>
      </c>
      <c r="R6" s="14">
        <f>SUM(R4:R5)</f>
        <v>206</v>
      </c>
      <c r="S6" s="14">
        <f>SUM(S4:S5)</f>
        <v>307</v>
      </c>
      <c r="T6" s="14">
        <f>SUM(T4:T5)</f>
        <v>339</v>
      </c>
      <c r="U6" s="14">
        <f>SUM(U4:U5)</f>
        <v>323</v>
      </c>
      <c r="V6" s="14"/>
      <c r="W6" s="14"/>
      <c r="Y6" s="14">
        <f t="shared" ref="Y6:AH6" si="3">SUM(Y4:Y5)</f>
        <v>2309</v>
      </c>
      <c r="Z6" s="14">
        <f t="shared" si="3"/>
        <v>2851</v>
      </c>
      <c r="AA6" s="14">
        <f t="shared" si="3"/>
        <v>3360</v>
      </c>
      <c r="AB6" s="14">
        <f t="shared" si="3"/>
        <v>2914</v>
      </c>
      <c r="AC6" s="14">
        <f t="shared" si="3"/>
        <v>2698</v>
      </c>
      <c r="AD6" s="14">
        <f t="shared" si="3"/>
        <v>2781</v>
      </c>
      <c r="AE6" s="14">
        <f t="shared" si="3"/>
        <v>2794</v>
      </c>
      <c r="AF6" s="14">
        <f t="shared" si="3"/>
        <v>3169</v>
      </c>
      <c r="AG6" s="14">
        <f t="shared" si="3"/>
        <v>1974</v>
      </c>
      <c r="AH6" s="14">
        <f t="shared" si="3"/>
        <v>1467</v>
      </c>
      <c r="AI6" s="14">
        <f t="shared" ref="AI6" si="4">SUM(AI4:AI5)</f>
        <v>1219</v>
      </c>
      <c r="AJ6" s="15">
        <f t="shared" ref="AJ6" si="5">SUM(AJ4:AJ5)</f>
        <v>1308.6401999999998</v>
      </c>
      <c r="AK6" s="14">
        <f t="shared" ref="AK6" si="6">SUM(AK4:AK5)</f>
        <v>1502.0913600000003</v>
      </c>
      <c r="AL6" s="14">
        <f t="shared" ref="AL6" si="7">SUM(AL4:AL5)</f>
        <v>2065.3756200000007</v>
      </c>
      <c r="AM6" s="14">
        <f t="shared" ref="AM6" si="8">SUM(AM4:AM5)</f>
        <v>2220.2787915000008</v>
      </c>
      <c r="AN6" s="14">
        <f t="shared" ref="AN6" si="9">SUM(AN4:AN5)</f>
        <v>2331.2927310750001</v>
      </c>
      <c r="AO6" s="14">
        <f t="shared" ref="AO6" si="10">SUM(AO4:AO5)</f>
        <v>2447.8573676287506</v>
      </c>
      <c r="AP6" s="14">
        <f t="shared" ref="AP6" si="11">SUM(AP4:AP5)</f>
        <v>2570.250236010188</v>
      </c>
      <c r="AQ6" s="14">
        <f t="shared" ref="AQ6" si="12">SUM(AQ4:AQ5)</f>
        <v>2698.762747810697</v>
      </c>
      <c r="AR6" s="14">
        <f t="shared" ref="AR6" si="13">SUM(AR4:AR5)</f>
        <v>2833.7008852012332</v>
      </c>
      <c r="AS6" s="14">
        <f t="shared" ref="AS6" si="14">SUM(AS4:AS5)</f>
        <v>2975.3859294612957</v>
      </c>
    </row>
    <row r="7" spans="1:132" x14ac:dyDescent="0.25">
      <c r="A7" s="2" t="s">
        <v>40</v>
      </c>
      <c r="B7" s="5">
        <f>T35</f>
        <v>450</v>
      </c>
      <c r="C7" s="2" t="s">
        <v>48</v>
      </c>
      <c r="D7" s="14">
        <v>-255</v>
      </c>
      <c r="E7" s="14">
        <v>-317</v>
      </c>
      <c r="F7" s="14">
        <v>-317</v>
      </c>
      <c r="G7" s="14">
        <v>-284</v>
      </c>
      <c r="H7" s="14">
        <v>-252</v>
      </c>
      <c r="I7" s="14">
        <v>-305</v>
      </c>
      <c r="J7" s="14">
        <v>-203</v>
      </c>
      <c r="K7" s="14">
        <v>-227</v>
      </c>
      <c r="L7" s="14">
        <v>-222</v>
      </c>
      <c r="M7" s="14">
        <v>-227</v>
      </c>
      <c r="N7" s="14">
        <v>-215</v>
      </c>
      <c r="O7" s="14">
        <v>-264</v>
      </c>
      <c r="P7" s="14">
        <v>-227</v>
      </c>
      <c r="Q7" s="14">
        <v>-236</v>
      </c>
      <c r="R7" s="14">
        <v>-204</v>
      </c>
      <c r="S7" s="14">
        <v>-235</v>
      </c>
      <c r="T7" s="14">
        <v>-242</v>
      </c>
      <c r="U7" s="14">
        <v>-255</v>
      </c>
      <c r="V7" s="14"/>
      <c r="W7" s="14"/>
      <c r="Y7" s="14">
        <v>-866</v>
      </c>
      <c r="Z7" s="14">
        <v>-935</v>
      </c>
      <c r="AA7" s="14">
        <v>-1005</v>
      </c>
      <c r="AB7" s="14">
        <v>-1041</v>
      </c>
      <c r="AC7" s="14">
        <v>-966</v>
      </c>
      <c r="AD7" s="14">
        <v>-944</v>
      </c>
      <c r="AE7" s="14">
        <v>-1015</v>
      </c>
      <c r="AF7" s="14">
        <v>-1094</v>
      </c>
      <c r="AG7" s="14">
        <v>-985</v>
      </c>
      <c r="AH7" s="14">
        <v>-927</v>
      </c>
      <c r="AI7" s="14">
        <v>-902</v>
      </c>
      <c r="AJ7" s="15">
        <f>AI7*0.8</f>
        <v>-721.6</v>
      </c>
      <c r="AK7" s="14">
        <f>AJ7*0.9</f>
        <v>-649.44000000000005</v>
      </c>
      <c r="AL7" s="14">
        <f>AK7*1</f>
        <v>-649.44000000000005</v>
      </c>
      <c r="AM7" s="14">
        <f t="shared" ref="AM7:AS7" si="15">AL7*1</f>
        <v>-649.44000000000005</v>
      </c>
      <c r="AN7" s="14">
        <f t="shared" si="15"/>
        <v>-649.44000000000005</v>
      </c>
      <c r="AO7" s="14">
        <f t="shared" si="15"/>
        <v>-649.44000000000005</v>
      </c>
      <c r="AP7" s="14">
        <f t="shared" si="15"/>
        <v>-649.44000000000005</v>
      </c>
      <c r="AQ7" s="14">
        <f t="shared" si="15"/>
        <v>-649.44000000000005</v>
      </c>
      <c r="AR7" s="14">
        <f t="shared" si="15"/>
        <v>-649.44000000000005</v>
      </c>
      <c r="AS7" s="14">
        <f t="shared" si="15"/>
        <v>-649.44000000000005</v>
      </c>
    </row>
    <row r="8" spans="1:132" x14ac:dyDescent="0.25">
      <c r="A8" s="2" t="s">
        <v>41</v>
      </c>
      <c r="B8" s="5">
        <f>T38+T41</f>
        <v>2363</v>
      </c>
      <c r="C8" s="2" t="s">
        <v>49</v>
      </c>
      <c r="D8" s="14">
        <v>7</v>
      </c>
      <c r="E8" s="14">
        <v>-6</v>
      </c>
      <c r="F8" s="14">
        <v>-6</v>
      </c>
      <c r="G8" s="14">
        <v>-3</v>
      </c>
      <c r="H8" s="14">
        <v>-4</v>
      </c>
      <c r="I8" s="14">
        <v>1</v>
      </c>
      <c r="J8" s="14">
        <v>-8</v>
      </c>
      <c r="K8" s="14">
        <v>-245</v>
      </c>
      <c r="L8" s="14">
        <v>1</v>
      </c>
      <c r="M8" s="14">
        <v>9</v>
      </c>
      <c r="N8" s="14">
        <v>15</v>
      </c>
      <c r="O8" s="14">
        <v>-34</v>
      </c>
      <c r="P8" s="14">
        <v>-3</v>
      </c>
      <c r="Q8" s="14">
        <v>6</v>
      </c>
      <c r="R8" s="14">
        <v>57</v>
      </c>
      <c r="S8" s="14">
        <v>-80</v>
      </c>
      <c r="T8" s="14">
        <v>116</v>
      </c>
      <c r="U8" s="14">
        <v>1</v>
      </c>
      <c r="V8" s="14"/>
      <c r="W8" s="14"/>
      <c r="Y8" s="14">
        <v>56</v>
      </c>
      <c r="Z8" s="14">
        <v>15</v>
      </c>
      <c r="AA8" s="14">
        <v>14</v>
      </c>
      <c r="AB8" s="14">
        <v>13</v>
      </c>
      <c r="AC8" s="14">
        <v>276</v>
      </c>
      <c r="AD8" s="14">
        <v>191</v>
      </c>
      <c r="AE8" s="14">
        <v>436</v>
      </c>
      <c r="AF8" s="14">
        <v>-11</v>
      </c>
      <c r="AG8" s="14">
        <v>-256</v>
      </c>
      <c r="AH8" s="14">
        <v>-8</v>
      </c>
      <c r="AI8" s="14">
        <v>-20</v>
      </c>
      <c r="AJ8" s="15">
        <f>AI8*0.9</f>
        <v>-18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</row>
    <row r="9" spans="1:132" x14ac:dyDescent="0.25">
      <c r="A9" s="3" t="s">
        <v>42</v>
      </c>
      <c r="B9" s="6">
        <f>B6-B7+B8</f>
        <v>10492.14372</v>
      </c>
      <c r="C9" s="1" t="s">
        <v>109</v>
      </c>
      <c r="D9" s="12">
        <f t="shared" ref="D9:O9" si="16">SUM(D6:D8)</f>
        <v>466</v>
      </c>
      <c r="E9" s="12">
        <f t="shared" si="16"/>
        <v>432</v>
      </c>
      <c r="F9" s="12">
        <f t="shared" si="16"/>
        <v>432</v>
      </c>
      <c r="G9" s="12">
        <f t="shared" si="16"/>
        <v>766</v>
      </c>
      <c r="H9" s="12">
        <f t="shared" si="16"/>
        <v>416</v>
      </c>
      <c r="I9" s="12">
        <f t="shared" si="16"/>
        <v>259</v>
      </c>
      <c r="J9" s="12">
        <f t="shared" si="16"/>
        <v>146</v>
      </c>
      <c r="K9" s="12">
        <f t="shared" si="16"/>
        <v>-90</v>
      </c>
      <c r="L9" s="12">
        <f t="shared" si="16"/>
        <v>160</v>
      </c>
      <c r="M9" s="12">
        <f t="shared" si="16"/>
        <v>169</v>
      </c>
      <c r="N9" s="12">
        <f t="shared" si="16"/>
        <v>94</v>
      </c>
      <c r="O9" s="12">
        <f t="shared" si="16"/>
        <v>106</v>
      </c>
      <c r="P9" s="12">
        <f>SUM(P6:P8)</f>
        <v>130</v>
      </c>
      <c r="Q9" s="12">
        <f>SUM(Q6:Q8)</f>
        <v>116</v>
      </c>
      <c r="R9" s="12">
        <f>SUM(R6:R8)</f>
        <v>59</v>
      </c>
      <c r="S9" s="12">
        <f>SUM(S6:S8)</f>
        <v>-8</v>
      </c>
      <c r="T9" s="12">
        <f>SUM(T6:T8)</f>
        <v>213</v>
      </c>
      <c r="U9" s="12">
        <f>SUM(U6:U8)</f>
        <v>69</v>
      </c>
      <c r="V9" s="12"/>
      <c r="W9" s="12"/>
      <c r="Y9" s="12">
        <f t="shared" ref="Y9:AH9" si="17">SUM(Y6:Y8)</f>
        <v>1499</v>
      </c>
      <c r="Z9" s="12">
        <f t="shared" si="17"/>
        <v>1931</v>
      </c>
      <c r="AA9" s="12">
        <f t="shared" si="17"/>
        <v>2369</v>
      </c>
      <c r="AB9" s="12">
        <f t="shared" si="17"/>
        <v>1886</v>
      </c>
      <c r="AC9" s="12">
        <f t="shared" si="17"/>
        <v>2008</v>
      </c>
      <c r="AD9" s="12">
        <f t="shared" si="17"/>
        <v>2028</v>
      </c>
      <c r="AE9" s="12">
        <f t="shared" si="17"/>
        <v>2215</v>
      </c>
      <c r="AF9" s="12">
        <f t="shared" si="17"/>
        <v>2064</v>
      </c>
      <c r="AG9" s="12">
        <f t="shared" si="17"/>
        <v>733</v>
      </c>
      <c r="AH9" s="12">
        <f t="shared" si="17"/>
        <v>532</v>
      </c>
      <c r="AI9" s="12">
        <f t="shared" ref="AI9" si="18">SUM(AI6:AI8)</f>
        <v>297</v>
      </c>
      <c r="AJ9" s="13">
        <f t="shared" ref="AJ9" si="19">SUM(AJ6:AJ8)</f>
        <v>569.0401999999998</v>
      </c>
      <c r="AK9" s="12">
        <f t="shared" ref="AK9" si="20">SUM(AK6:AK8)</f>
        <v>852.6513600000003</v>
      </c>
      <c r="AL9" s="12">
        <f t="shared" ref="AL9" si="21">SUM(AL6:AL8)</f>
        <v>1415.9356200000007</v>
      </c>
      <c r="AM9" s="12">
        <f t="shared" ref="AM9" si="22">SUM(AM6:AM8)</f>
        <v>1570.8387915000008</v>
      </c>
      <c r="AN9" s="12">
        <f t="shared" ref="AN9" si="23">SUM(AN6:AN8)</f>
        <v>1681.8527310750001</v>
      </c>
      <c r="AO9" s="12">
        <f t="shared" ref="AO9" si="24">SUM(AO6:AO8)</f>
        <v>1798.4173676287505</v>
      </c>
      <c r="AP9" s="12">
        <f t="shared" ref="AP9" si="25">SUM(AP6:AP8)</f>
        <v>1920.810236010188</v>
      </c>
      <c r="AQ9" s="12">
        <f t="shared" ref="AQ9" si="26">SUM(AQ6:AQ8)</f>
        <v>2049.3227478106969</v>
      </c>
      <c r="AR9" s="12">
        <f t="shared" ref="AR9" si="27">SUM(AR6:AR8)</f>
        <v>2184.2608852012331</v>
      </c>
      <c r="AS9" s="12">
        <f t="shared" ref="AS9" si="28">SUM(AS6:AS8)</f>
        <v>2325.9459294612957</v>
      </c>
    </row>
    <row r="10" spans="1:132" x14ac:dyDescent="0.25">
      <c r="C10" s="2" t="s">
        <v>52</v>
      </c>
      <c r="D10" s="14">
        <v>-16</v>
      </c>
      <c r="E10" s="14">
        <v>-14</v>
      </c>
      <c r="F10" s="14">
        <v>-14</v>
      </c>
      <c r="G10" s="14">
        <v>-21</v>
      </c>
      <c r="H10" s="14">
        <v>-23</v>
      </c>
      <c r="I10" s="14">
        <v>-27</v>
      </c>
      <c r="J10" s="14">
        <v>-27</v>
      </c>
      <c r="K10" s="14">
        <v>-23</v>
      </c>
      <c r="L10" s="14">
        <v>5</v>
      </c>
      <c r="M10" s="14">
        <v>2</v>
      </c>
      <c r="N10" s="14">
        <v>-24</v>
      </c>
      <c r="O10" s="14">
        <v>-26</v>
      </c>
      <c r="P10" s="14">
        <v>6</v>
      </c>
      <c r="Q10" s="14">
        <v>2</v>
      </c>
      <c r="R10" s="14">
        <v>1</v>
      </c>
      <c r="S10" s="14">
        <v>7</v>
      </c>
      <c r="T10" s="14">
        <v>9</v>
      </c>
      <c r="U10" s="14">
        <v>1</v>
      </c>
      <c r="V10" s="14"/>
      <c r="W10" s="14"/>
      <c r="Y10" s="14">
        <v>11</v>
      </c>
      <c r="Z10" s="14">
        <v>17</v>
      </c>
      <c r="AA10" s="14">
        <v>279</v>
      </c>
      <c r="AB10" s="14">
        <v>10</v>
      </c>
      <c r="AC10" s="14">
        <v>6</v>
      </c>
      <c r="AD10" s="14">
        <v>6</v>
      </c>
      <c r="AE10" s="14">
        <v>4</v>
      </c>
      <c r="AF10" s="14">
        <v>19</v>
      </c>
      <c r="AG10" s="14">
        <v>33</v>
      </c>
      <c r="AH10" s="14">
        <v>24</v>
      </c>
      <c r="AI10" s="14">
        <v>16</v>
      </c>
      <c r="AJ10" s="15">
        <v>20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</row>
    <row r="11" spans="1:132" x14ac:dyDescent="0.25">
      <c r="C11" s="2" t="s">
        <v>51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-37</v>
      </c>
      <c r="M11" s="14">
        <v>-48</v>
      </c>
      <c r="N11" s="14">
        <v>0</v>
      </c>
      <c r="O11" s="14">
        <v>0</v>
      </c>
      <c r="P11" s="14">
        <v>-47</v>
      </c>
      <c r="Q11" s="14">
        <v>-49</v>
      </c>
      <c r="R11" s="14">
        <v>-46</v>
      </c>
      <c r="S11" s="14">
        <v>-35</v>
      </c>
      <c r="T11" s="14">
        <v>-51</v>
      </c>
      <c r="U11" s="14">
        <v>-55</v>
      </c>
      <c r="V11" s="14"/>
      <c r="W11" s="14"/>
      <c r="Y11" s="14">
        <v>-83</v>
      </c>
      <c r="Z11" s="14">
        <v>-77</v>
      </c>
      <c r="AA11" s="14">
        <v>-69</v>
      </c>
      <c r="AB11" s="14">
        <v>-79</v>
      </c>
      <c r="AC11" s="14">
        <v>-86</v>
      </c>
      <c r="AD11" s="14">
        <v>-79</v>
      </c>
      <c r="AE11" s="14">
        <v>-62</v>
      </c>
      <c r="AF11" s="14">
        <v>-89</v>
      </c>
      <c r="AG11" s="14">
        <v>-133</v>
      </c>
      <c r="AH11" s="14">
        <v>-151</v>
      </c>
      <c r="AI11" s="14">
        <v>-177</v>
      </c>
      <c r="AJ11" s="15">
        <v>-200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</row>
    <row r="12" spans="1:132" x14ac:dyDescent="0.25">
      <c r="A12" s="1" t="s">
        <v>108</v>
      </c>
      <c r="B12" s="46">
        <f>B6/S37</f>
        <v>1.047386609693566</v>
      </c>
      <c r="C12" s="2" t="s">
        <v>53</v>
      </c>
      <c r="D12" s="14">
        <f t="shared" ref="D12:O12" si="29">SUM(D9:D11)</f>
        <v>450</v>
      </c>
      <c r="E12" s="14">
        <f t="shared" si="29"/>
        <v>418</v>
      </c>
      <c r="F12" s="14">
        <f t="shared" si="29"/>
        <v>418</v>
      </c>
      <c r="G12" s="14">
        <f t="shared" si="29"/>
        <v>745</v>
      </c>
      <c r="H12" s="14">
        <f t="shared" si="29"/>
        <v>393</v>
      </c>
      <c r="I12" s="14">
        <f t="shared" si="29"/>
        <v>232</v>
      </c>
      <c r="J12" s="14">
        <f t="shared" si="29"/>
        <v>119</v>
      </c>
      <c r="K12" s="14">
        <f t="shared" si="29"/>
        <v>-113</v>
      </c>
      <c r="L12" s="14">
        <f t="shared" si="29"/>
        <v>128</v>
      </c>
      <c r="M12" s="14">
        <f t="shared" si="29"/>
        <v>123</v>
      </c>
      <c r="N12" s="14">
        <f t="shared" si="29"/>
        <v>70</v>
      </c>
      <c r="O12" s="14">
        <f t="shared" si="29"/>
        <v>80</v>
      </c>
      <c r="P12" s="14">
        <f>SUM(P9:P11)</f>
        <v>89</v>
      </c>
      <c r="Q12" s="14">
        <f>SUM(Q9:Q11)</f>
        <v>69</v>
      </c>
      <c r="R12" s="14">
        <f>SUM(R9:R11)</f>
        <v>14</v>
      </c>
      <c r="S12" s="14">
        <f>SUM(S9:S11)</f>
        <v>-36</v>
      </c>
      <c r="T12" s="14">
        <f>SUM(T9:T11)</f>
        <v>171</v>
      </c>
      <c r="U12" s="14">
        <f>SUM(U9:U11)</f>
        <v>15</v>
      </c>
      <c r="V12" s="14"/>
      <c r="W12" s="14"/>
      <c r="Y12" s="14">
        <f t="shared" ref="Y12:AH12" si="30">SUM(Y9:Y11)</f>
        <v>1427</v>
      </c>
      <c r="Z12" s="14">
        <f t="shared" si="30"/>
        <v>1871</v>
      </c>
      <c r="AA12" s="14">
        <f t="shared" si="30"/>
        <v>2579</v>
      </c>
      <c r="AB12" s="14">
        <f t="shared" si="30"/>
        <v>1817</v>
      </c>
      <c r="AC12" s="14">
        <f t="shared" si="30"/>
        <v>1928</v>
      </c>
      <c r="AD12" s="14">
        <f t="shared" si="30"/>
        <v>1955</v>
      </c>
      <c r="AE12" s="14">
        <f t="shared" si="30"/>
        <v>2157</v>
      </c>
      <c r="AF12" s="14">
        <f t="shared" si="30"/>
        <v>1994</v>
      </c>
      <c r="AG12" s="14">
        <f t="shared" si="30"/>
        <v>633</v>
      </c>
      <c r="AH12" s="14">
        <f t="shared" si="30"/>
        <v>405</v>
      </c>
      <c r="AI12" s="14">
        <f t="shared" ref="AI12" si="31">SUM(AI9:AI11)</f>
        <v>136</v>
      </c>
      <c r="AJ12" s="15">
        <f t="shared" ref="AJ12" si="32">SUM(AJ9:AJ11)</f>
        <v>389.0401999999998</v>
      </c>
      <c r="AK12" s="14">
        <f t="shared" ref="AK12" si="33">SUM(AK9:AK11)</f>
        <v>852.6513600000003</v>
      </c>
      <c r="AL12" s="14">
        <f t="shared" ref="AL12" si="34">SUM(AL9:AL11)</f>
        <v>1415.9356200000007</v>
      </c>
      <c r="AM12" s="14">
        <f t="shared" ref="AM12" si="35">SUM(AM9:AM11)</f>
        <v>1570.8387915000008</v>
      </c>
      <c r="AN12" s="14">
        <f t="shared" ref="AN12" si="36">SUM(AN9:AN11)</f>
        <v>1681.8527310750001</v>
      </c>
      <c r="AO12" s="14">
        <f t="shared" ref="AO12" si="37">SUM(AO9:AO11)</f>
        <v>1798.4173676287505</v>
      </c>
      <c r="AP12" s="14">
        <f t="shared" ref="AP12" si="38">SUM(AP9:AP11)</f>
        <v>1920.810236010188</v>
      </c>
      <c r="AQ12" s="14">
        <f t="shared" ref="AQ12" si="39">SUM(AQ9:AQ11)</f>
        <v>2049.3227478106969</v>
      </c>
      <c r="AR12" s="14">
        <f t="shared" ref="AR12" si="40">SUM(AR9:AR11)</f>
        <v>2184.2608852012331</v>
      </c>
      <c r="AS12" s="14">
        <f t="shared" ref="AS12" si="41">SUM(AS9:AS11)</f>
        <v>2325.9459294612957</v>
      </c>
    </row>
    <row r="13" spans="1:132" x14ac:dyDescent="0.25">
      <c r="C13" s="2" t="s">
        <v>54</v>
      </c>
      <c r="D13" s="14">
        <v>-94</v>
      </c>
      <c r="E13" s="14">
        <v>-87</v>
      </c>
      <c r="F13" s="14">
        <v>-87</v>
      </c>
      <c r="G13" s="14">
        <v>-152</v>
      </c>
      <c r="H13" s="14">
        <v>-83</v>
      </c>
      <c r="I13" s="14">
        <v>-49</v>
      </c>
      <c r="J13" s="14">
        <v>-43</v>
      </c>
      <c r="K13" s="14">
        <v>-23</v>
      </c>
      <c r="L13" s="14">
        <v>-49</v>
      </c>
      <c r="M13" s="14">
        <v>-48</v>
      </c>
      <c r="N13" s="14">
        <v>-35</v>
      </c>
      <c r="O13" s="14">
        <v>-26</v>
      </c>
      <c r="P13" s="14">
        <v>-38</v>
      </c>
      <c r="Q13" s="14">
        <v>-32</v>
      </c>
      <c r="R13" s="14">
        <v>-20</v>
      </c>
      <c r="S13" s="14">
        <v>16</v>
      </c>
      <c r="T13" s="14">
        <v>-25</v>
      </c>
      <c r="U13" s="14">
        <v>-21</v>
      </c>
      <c r="V13" s="14"/>
      <c r="W13" s="14"/>
      <c r="Y13" s="14">
        <v>-342</v>
      </c>
      <c r="Z13" s="14">
        <v>-393</v>
      </c>
      <c r="AA13" s="14">
        <v>-385</v>
      </c>
      <c r="AB13" s="14">
        <v>-379</v>
      </c>
      <c r="AC13" s="14">
        <v>-358</v>
      </c>
      <c r="AD13" s="14">
        <v>-380</v>
      </c>
      <c r="AE13" s="14">
        <v>-360</v>
      </c>
      <c r="AF13" s="14">
        <v>-419</v>
      </c>
      <c r="AG13" s="14">
        <v>-199</v>
      </c>
      <c r="AH13" s="14">
        <v>-157</v>
      </c>
      <c r="AI13" s="14">
        <v>-74</v>
      </c>
      <c r="AJ13" s="15">
        <f t="shared" ref="AJ13:AS13" si="42">AJ12*-0.2</f>
        <v>-77.808039999999963</v>
      </c>
      <c r="AK13" s="14">
        <f t="shared" si="42"/>
        <v>-170.53027200000008</v>
      </c>
      <c r="AL13" s="14">
        <f t="shared" si="42"/>
        <v>-283.18712400000015</v>
      </c>
      <c r="AM13" s="14">
        <f t="shared" si="42"/>
        <v>-314.16775830000017</v>
      </c>
      <c r="AN13" s="14">
        <f t="shared" si="42"/>
        <v>-336.37054621500005</v>
      </c>
      <c r="AO13" s="14">
        <f t="shared" si="42"/>
        <v>-359.68347352575012</v>
      </c>
      <c r="AP13" s="14">
        <f t="shared" si="42"/>
        <v>-384.16204720203763</v>
      </c>
      <c r="AQ13" s="14">
        <f t="shared" si="42"/>
        <v>-409.86454956213942</v>
      </c>
      <c r="AR13" s="14">
        <f t="shared" si="42"/>
        <v>-436.85217704024666</v>
      </c>
      <c r="AS13" s="14">
        <f t="shared" si="42"/>
        <v>-465.18918589225916</v>
      </c>
    </row>
    <row r="14" spans="1:132" x14ac:dyDescent="0.25">
      <c r="C14" s="1" t="s">
        <v>55</v>
      </c>
      <c r="D14" s="12">
        <f t="shared" ref="D14:O14" si="43">SUM(D12:D13)</f>
        <v>356</v>
      </c>
      <c r="E14" s="12">
        <f t="shared" si="43"/>
        <v>331</v>
      </c>
      <c r="F14" s="12">
        <f t="shared" si="43"/>
        <v>331</v>
      </c>
      <c r="G14" s="12">
        <f t="shared" si="43"/>
        <v>593</v>
      </c>
      <c r="H14" s="12">
        <f t="shared" si="43"/>
        <v>310</v>
      </c>
      <c r="I14" s="12">
        <f t="shared" si="43"/>
        <v>183</v>
      </c>
      <c r="J14" s="12">
        <f t="shared" si="43"/>
        <v>76</v>
      </c>
      <c r="K14" s="12">
        <f t="shared" si="43"/>
        <v>-136</v>
      </c>
      <c r="L14" s="12">
        <f t="shared" si="43"/>
        <v>79</v>
      </c>
      <c r="M14" s="12">
        <f t="shared" si="43"/>
        <v>75</v>
      </c>
      <c r="N14" s="12">
        <f t="shared" si="43"/>
        <v>35</v>
      </c>
      <c r="O14" s="12">
        <f t="shared" si="43"/>
        <v>54</v>
      </c>
      <c r="P14" s="12">
        <f>SUM(P12:P13)</f>
        <v>51</v>
      </c>
      <c r="Q14" s="12">
        <f>SUM(Q12:Q13)</f>
        <v>37</v>
      </c>
      <c r="R14" s="12">
        <f>SUM(R12:R13)</f>
        <v>-6</v>
      </c>
      <c r="S14" s="12">
        <f>SUM(S12:S13)</f>
        <v>-20</v>
      </c>
      <c r="T14" s="12">
        <f>SUM(T12:T13)</f>
        <v>146</v>
      </c>
      <c r="U14" s="12">
        <f>SUM(U12:U13)</f>
        <v>-6</v>
      </c>
      <c r="V14" s="12"/>
      <c r="W14" s="48"/>
      <c r="Y14" s="12">
        <f t="shared" ref="Y14:AH14" si="44">SUM(Y12:Y13)</f>
        <v>1085</v>
      </c>
      <c r="Z14" s="12">
        <f t="shared" si="44"/>
        <v>1478</v>
      </c>
      <c r="AA14" s="12">
        <f t="shared" si="44"/>
        <v>2194</v>
      </c>
      <c r="AB14" s="12">
        <f t="shared" si="44"/>
        <v>1438</v>
      </c>
      <c r="AC14" s="12">
        <f t="shared" si="44"/>
        <v>1570</v>
      </c>
      <c r="AD14" s="12">
        <f t="shared" si="44"/>
        <v>1575</v>
      </c>
      <c r="AE14" s="12">
        <f t="shared" si="44"/>
        <v>1797</v>
      </c>
      <c r="AF14" s="12">
        <f t="shared" si="44"/>
        <v>1575</v>
      </c>
      <c r="AG14" s="12">
        <f t="shared" si="44"/>
        <v>434</v>
      </c>
      <c r="AH14" s="12">
        <f t="shared" si="44"/>
        <v>248</v>
      </c>
      <c r="AI14" s="12">
        <f t="shared" ref="AI14" si="45">SUM(AI12:AI13)</f>
        <v>62</v>
      </c>
      <c r="AJ14" s="13">
        <f t="shared" ref="AJ14" si="46">SUM(AJ12:AJ13)</f>
        <v>311.23215999999985</v>
      </c>
      <c r="AK14" s="12">
        <f t="shared" ref="AK14" si="47">SUM(AK12:AK13)</f>
        <v>682.12108800000021</v>
      </c>
      <c r="AL14" s="12">
        <f t="shared" ref="AL14" si="48">SUM(AL12:AL13)</f>
        <v>1132.7484960000006</v>
      </c>
      <c r="AM14" s="12">
        <f t="shared" ref="AM14" si="49">SUM(AM12:AM13)</f>
        <v>1256.6710332000007</v>
      </c>
      <c r="AN14" s="12">
        <f t="shared" ref="AN14" si="50">SUM(AN12:AN13)</f>
        <v>1345.48218486</v>
      </c>
      <c r="AO14" s="12">
        <f t="shared" ref="AO14" si="51">SUM(AO12:AO13)</f>
        <v>1438.7338941030005</v>
      </c>
      <c r="AP14" s="12">
        <f t="shared" ref="AP14" si="52">SUM(AP12:AP13)</f>
        <v>1536.6481888081503</v>
      </c>
      <c r="AQ14" s="12">
        <f t="shared" ref="AQ14" si="53">SUM(AQ12:AQ13)</f>
        <v>1639.4581982485574</v>
      </c>
      <c r="AR14" s="12">
        <f t="shared" ref="AR14" si="54">SUM(AR12:AR13)</f>
        <v>1747.4087081609864</v>
      </c>
      <c r="AS14" s="12">
        <f t="shared" ref="AS14" si="55">SUM(AS12:AS13)</f>
        <v>1860.7567435690366</v>
      </c>
      <c r="AT14" s="12">
        <f>AS14*(1+$AV$18)</f>
        <v>1842.1491761333464</v>
      </c>
      <c r="AU14" s="12">
        <f t="shared" ref="AU14:DF14" si="56">AT14*(1+$AV$18)</f>
        <v>1823.7276843720128</v>
      </c>
      <c r="AV14" s="12">
        <f t="shared" si="56"/>
        <v>1805.4904075282927</v>
      </c>
      <c r="AW14" s="12">
        <f t="shared" si="56"/>
        <v>1787.4355034530097</v>
      </c>
      <c r="AX14" s="12">
        <f t="shared" si="56"/>
        <v>1769.5611484184797</v>
      </c>
      <c r="AY14" s="12">
        <f t="shared" si="56"/>
        <v>1751.8655369342948</v>
      </c>
      <c r="AZ14" s="12">
        <f t="shared" si="56"/>
        <v>1734.3468815649519</v>
      </c>
      <c r="BA14" s="12">
        <f t="shared" si="56"/>
        <v>1717.0034127493025</v>
      </c>
      <c r="BB14" s="12">
        <f t="shared" si="56"/>
        <v>1699.8333786218095</v>
      </c>
      <c r="BC14" s="12">
        <f t="shared" si="56"/>
        <v>1682.8350448355914</v>
      </c>
      <c r="BD14" s="12">
        <f t="shared" si="56"/>
        <v>1666.0066943872355</v>
      </c>
      <c r="BE14" s="12">
        <f t="shared" si="56"/>
        <v>1649.3466274433631</v>
      </c>
      <c r="BF14" s="12">
        <f t="shared" si="56"/>
        <v>1632.8531611689295</v>
      </c>
      <c r="BG14" s="12">
        <f t="shared" si="56"/>
        <v>1616.5246295572401</v>
      </c>
      <c r="BH14" s="12">
        <f t="shared" si="56"/>
        <v>1600.3593832616677</v>
      </c>
      <c r="BI14" s="12">
        <f t="shared" si="56"/>
        <v>1584.3557894290511</v>
      </c>
      <c r="BJ14" s="12">
        <f t="shared" si="56"/>
        <v>1568.5122315347605</v>
      </c>
      <c r="BK14" s="12">
        <f t="shared" si="56"/>
        <v>1552.8271092194129</v>
      </c>
      <c r="BL14" s="12">
        <f t="shared" si="56"/>
        <v>1537.2988381272187</v>
      </c>
      <c r="BM14" s="12">
        <f t="shared" si="56"/>
        <v>1521.9258497459464</v>
      </c>
      <c r="BN14" s="12">
        <f t="shared" si="56"/>
        <v>1506.7065912484868</v>
      </c>
      <c r="BO14" s="12">
        <f t="shared" si="56"/>
        <v>1491.639525336002</v>
      </c>
      <c r="BP14" s="12">
        <f t="shared" si="56"/>
        <v>1476.723130082642</v>
      </c>
      <c r="BQ14" s="12">
        <f t="shared" si="56"/>
        <v>1461.9558987818157</v>
      </c>
      <c r="BR14" s="12">
        <f t="shared" si="56"/>
        <v>1447.3363397939975</v>
      </c>
      <c r="BS14" s="12">
        <f t="shared" si="56"/>
        <v>1432.8629763960575</v>
      </c>
      <c r="BT14" s="12">
        <f t="shared" si="56"/>
        <v>1418.5343466320969</v>
      </c>
      <c r="BU14" s="12">
        <f t="shared" si="56"/>
        <v>1404.3490031657759</v>
      </c>
      <c r="BV14" s="12">
        <f t="shared" si="56"/>
        <v>1390.3055131341182</v>
      </c>
      <c r="BW14" s="12">
        <f t="shared" si="56"/>
        <v>1376.4024580027769</v>
      </c>
      <c r="BX14" s="12">
        <f t="shared" si="56"/>
        <v>1362.6384334227491</v>
      </c>
      <c r="BY14" s="12">
        <f t="shared" si="56"/>
        <v>1349.0120490885217</v>
      </c>
      <c r="BZ14" s="12">
        <f t="shared" si="56"/>
        <v>1335.5219285976366</v>
      </c>
      <c r="CA14" s="12">
        <f t="shared" si="56"/>
        <v>1322.1667093116603</v>
      </c>
      <c r="CB14" s="12">
        <f t="shared" si="56"/>
        <v>1308.9450422185437</v>
      </c>
      <c r="CC14" s="12">
        <f t="shared" si="56"/>
        <v>1295.8555917963583</v>
      </c>
      <c r="CD14" s="12">
        <f t="shared" si="56"/>
        <v>1282.8970358783947</v>
      </c>
      <c r="CE14" s="12">
        <f t="shared" si="56"/>
        <v>1270.0680655196109</v>
      </c>
      <c r="CF14" s="12">
        <f t="shared" si="56"/>
        <v>1257.3673848644148</v>
      </c>
      <c r="CG14" s="12">
        <f t="shared" si="56"/>
        <v>1244.7937110157707</v>
      </c>
      <c r="CH14" s="12">
        <f t="shared" si="56"/>
        <v>1232.345773905613</v>
      </c>
      <c r="CI14" s="12">
        <f t="shared" si="56"/>
        <v>1220.0223161665569</v>
      </c>
      <c r="CJ14" s="12">
        <f t="shared" si="56"/>
        <v>1207.8220930048913</v>
      </c>
      <c r="CK14" s="12">
        <f t="shared" si="56"/>
        <v>1195.7438720748423</v>
      </c>
      <c r="CL14" s="12">
        <f t="shared" si="56"/>
        <v>1183.7864333540938</v>
      </c>
      <c r="CM14" s="12">
        <f t="shared" si="56"/>
        <v>1171.9485690205529</v>
      </c>
      <c r="CN14" s="12">
        <f t="shared" si="56"/>
        <v>1160.2290833303473</v>
      </c>
      <c r="CO14" s="12">
        <f t="shared" si="56"/>
        <v>1148.6267924970439</v>
      </c>
      <c r="CP14" s="12">
        <f t="shared" si="56"/>
        <v>1137.1405245720734</v>
      </c>
      <c r="CQ14" s="12">
        <f t="shared" si="56"/>
        <v>1125.7691193263527</v>
      </c>
      <c r="CR14" s="12">
        <f t="shared" si="56"/>
        <v>1114.5114281330891</v>
      </c>
      <c r="CS14" s="12">
        <f t="shared" si="56"/>
        <v>1103.3663138517582</v>
      </c>
      <c r="CT14" s="12">
        <f t="shared" si="56"/>
        <v>1092.3326507132406</v>
      </c>
      <c r="CU14" s="12">
        <f t="shared" si="56"/>
        <v>1081.4093242061081</v>
      </c>
      <c r="CV14" s="12">
        <f t="shared" si="56"/>
        <v>1070.595230964047</v>
      </c>
      <c r="CW14" s="12">
        <f t="shared" si="56"/>
        <v>1059.8892786544066</v>
      </c>
      <c r="CX14" s="12">
        <f t="shared" si="56"/>
        <v>1049.2903858678624</v>
      </c>
      <c r="CY14" s="12">
        <f t="shared" si="56"/>
        <v>1038.7974820091838</v>
      </c>
      <c r="CZ14" s="12">
        <f t="shared" si="56"/>
        <v>1028.409507189092</v>
      </c>
      <c r="DA14" s="12">
        <f t="shared" si="56"/>
        <v>1018.1254121172011</v>
      </c>
      <c r="DB14" s="12">
        <f t="shared" si="56"/>
        <v>1007.944157996029</v>
      </c>
      <c r="DC14" s="12">
        <f t="shared" si="56"/>
        <v>997.86471641606875</v>
      </c>
      <c r="DD14" s="12">
        <f t="shared" si="56"/>
        <v>987.886069251908</v>
      </c>
      <c r="DE14" s="12">
        <f t="shared" si="56"/>
        <v>978.00720855938891</v>
      </c>
      <c r="DF14" s="12">
        <f t="shared" si="56"/>
        <v>968.22713647379499</v>
      </c>
      <c r="DG14" s="12">
        <f t="shared" ref="DG14:EB14" si="57">DF14*(1+$AV$18)</f>
        <v>958.54486510905701</v>
      </c>
      <c r="DH14" s="12">
        <f t="shared" si="57"/>
        <v>948.95941645796643</v>
      </c>
      <c r="DI14" s="12">
        <f t="shared" si="57"/>
        <v>939.46982229338676</v>
      </c>
      <c r="DJ14" s="12">
        <f t="shared" si="57"/>
        <v>930.07512407045283</v>
      </c>
      <c r="DK14" s="12">
        <f t="shared" si="57"/>
        <v>920.77437282974824</v>
      </c>
      <c r="DL14" s="12">
        <f t="shared" si="57"/>
        <v>911.56662910145076</v>
      </c>
      <c r="DM14" s="12">
        <f t="shared" si="57"/>
        <v>902.45096281043629</v>
      </c>
      <c r="DN14" s="12">
        <f t="shared" si="57"/>
        <v>893.4264531823319</v>
      </c>
      <c r="DO14" s="12">
        <f t="shared" si="57"/>
        <v>884.49218865050852</v>
      </c>
      <c r="DP14" s="12">
        <f t="shared" si="57"/>
        <v>875.64726676400346</v>
      </c>
      <c r="DQ14" s="12">
        <f t="shared" si="57"/>
        <v>866.89079409636338</v>
      </c>
      <c r="DR14" s="12">
        <f t="shared" si="57"/>
        <v>858.22188615539972</v>
      </c>
      <c r="DS14" s="12">
        <f t="shared" si="57"/>
        <v>849.63966729384572</v>
      </c>
      <c r="DT14" s="12">
        <f t="shared" si="57"/>
        <v>841.14327062090729</v>
      </c>
      <c r="DU14" s="12">
        <f t="shared" si="57"/>
        <v>832.73183791469819</v>
      </c>
      <c r="DV14" s="12">
        <f t="shared" si="57"/>
        <v>824.40451953555123</v>
      </c>
      <c r="DW14" s="12">
        <f t="shared" si="57"/>
        <v>816.16047434019572</v>
      </c>
      <c r="DX14" s="12">
        <f t="shared" si="57"/>
        <v>807.99886959679372</v>
      </c>
      <c r="DY14" s="12">
        <f t="shared" si="57"/>
        <v>799.9188809008258</v>
      </c>
      <c r="DZ14" s="12">
        <f t="shared" si="57"/>
        <v>791.91969209181752</v>
      </c>
      <c r="EA14" s="12">
        <f t="shared" si="57"/>
        <v>784.00049517089928</v>
      </c>
      <c r="EB14" s="12">
        <f t="shared" si="57"/>
        <v>776.16049021919025</v>
      </c>
    </row>
    <row r="15" spans="1:132" x14ac:dyDescent="0.25">
      <c r="A15" s="2" t="s">
        <v>135</v>
      </c>
      <c r="B15" s="24">
        <f>(B8-B7)/SUM(R9:U9)</f>
        <v>5.7447447447447448</v>
      </c>
      <c r="C15" s="2" t="s">
        <v>56</v>
      </c>
      <c r="D15" s="9">
        <v>67.384072000000003</v>
      </c>
      <c r="E15" s="9">
        <v>67.384072000000003</v>
      </c>
      <c r="F15" s="9">
        <v>67.384072000000003</v>
      </c>
      <c r="G15" s="9">
        <v>67.384072000000003</v>
      </c>
      <c r="H15" s="21">
        <v>64.504840000000002</v>
      </c>
      <c r="I15" s="21">
        <v>64.504840000000002</v>
      </c>
      <c r="J15" s="21">
        <v>64.504840000000002</v>
      </c>
      <c r="K15" s="21">
        <v>64.504840000000002</v>
      </c>
      <c r="L15" s="21">
        <v>64.504840000000002</v>
      </c>
      <c r="M15" s="21">
        <v>64.504840000000002</v>
      </c>
      <c r="N15" s="21">
        <v>64.504840000000002</v>
      </c>
      <c r="O15" s="21">
        <v>64.504840000000002</v>
      </c>
      <c r="P15" s="21">
        <v>64.504840000000002</v>
      </c>
      <c r="Q15" s="21">
        <v>64.504840000000002</v>
      </c>
      <c r="R15" s="21">
        <v>64.504840000000002</v>
      </c>
      <c r="S15" s="21">
        <v>64.504840000000002</v>
      </c>
      <c r="T15" s="21">
        <v>64.504840000000002</v>
      </c>
      <c r="U15" s="21">
        <v>64.504840000000002</v>
      </c>
      <c r="V15" s="45"/>
      <c r="W15" s="45"/>
      <c r="X15" s="2" t="s">
        <v>124</v>
      </c>
      <c r="Y15" s="9">
        <v>70.844023000000007</v>
      </c>
      <c r="Z15" s="9">
        <v>70.844023000000007</v>
      </c>
      <c r="AA15" s="9">
        <v>70.844023000000007</v>
      </c>
      <c r="AB15" s="9">
        <v>69.865418000000005</v>
      </c>
      <c r="AC15" s="9">
        <v>69.985557</v>
      </c>
      <c r="AD15" s="9">
        <v>70.061420999999996</v>
      </c>
      <c r="AE15" s="9">
        <v>69.560505000000006</v>
      </c>
      <c r="AF15" s="9">
        <v>67.384072000000003</v>
      </c>
      <c r="AG15" s="21">
        <v>64.504840000000002</v>
      </c>
      <c r="AH15" s="21">
        <v>64.504840000000002</v>
      </c>
      <c r="AI15" s="21">
        <v>64.504840000000002</v>
      </c>
      <c r="AJ15" s="5">
        <v>64.504840000000002</v>
      </c>
      <c r="AK15" s="21">
        <v>64.504840000000002</v>
      </c>
      <c r="AL15" s="21">
        <v>64.504840000000002</v>
      </c>
      <c r="AM15" s="21">
        <v>64.504840000000002</v>
      </c>
      <c r="AN15" s="21">
        <v>64.504840000000002</v>
      </c>
      <c r="AO15" s="21">
        <v>64.504840000000002</v>
      </c>
      <c r="AP15" s="21">
        <v>64.504840000000002</v>
      </c>
      <c r="AQ15" s="21">
        <v>64.504840000000002</v>
      </c>
      <c r="AR15" s="21">
        <v>64.504840000000002</v>
      </c>
      <c r="AS15" s="21">
        <v>64.504840000000002</v>
      </c>
    </row>
    <row r="16" spans="1:132" x14ac:dyDescent="0.25">
      <c r="C16" s="2" t="s">
        <v>57</v>
      </c>
      <c r="D16" s="19">
        <f t="shared" ref="D16:P16" si="58">D14/D15</f>
        <v>5.2831476257475209</v>
      </c>
      <c r="E16" s="19">
        <f t="shared" si="58"/>
        <v>4.9121400677596325</v>
      </c>
      <c r="F16" s="19">
        <f t="shared" si="58"/>
        <v>4.9121400677596325</v>
      </c>
      <c r="G16" s="19">
        <f t="shared" si="58"/>
        <v>8.8002992754726961</v>
      </c>
      <c r="H16" s="19">
        <f t="shared" si="58"/>
        <v>4.8058409260452395</v>
      </c>
      <c r="I16" s="19">
        <f t="shared" si="58"/>
        <v>2.8369964176331575</v>
      </c>
      <c r="J16" s="19">
        <f t="shared" si="58"/>
        <v>1.1782061625143168</v>
      </c>
      <c r="K16" s="19">
        <f t="shared" si="58"/>
        <v>-2.1083689223940403</v>
      </c>
      <c r="L16" s="19">
        <f t="shared" si="58"/>
        <v>1.224714300508303</v>
      </c>
      <c r="M16" s="19">
        <f t="shared" si="58"/>
        <v>1.1627034498496547</v>
      </c>
      <c r="N16" s="19">
        <f t="shared" si="58"/>
        <v>0.54259494326317215</v>
      </c>
      <c r="O16" s="19">
        <f t="shared" si="58"/>
        <v>0.83714648389175139</v>
      </c>
      <c r="P16" s="19">
        <f t="shared" si="58"/>
        <v>0.79063834589776516</v>
      </c>
      <c r="Q16" s="19">
        <f>Q14/Q15</f>
        <v>0.5736003685924963</v>
      </c>
      <c r="R16" s="19">
        <f>R14/R15</f>
        <v>-9.301627598797238E-2</v>
      </c>
      <c r="S16" s="19">
        <f>S14/S15</f>
        <v>-0.31005425329324127</v>
      </c>
      <c r="T16" s="19">
        <f>T14/T15</f>
        <v>2.2633960490406611</v>
      </c>
      <c r="U16" s="19">
        <f>U14/U15</f>
        <v>-9.301627598797238E-2</v>
      </c>
      <c r="Y16" s="19">
        <f t="shared" ref="Y16:AB16" si="59">Y14/Y15</f>
        <v>15.315335776456397</v>
      </c>
      <c r="Z16" s="19">
        <f t="shared" si="59"/>
        <v>20.862733896407885</v>
      </c>
      <c r="AA16" s="19">
        <f>AA14/AA15</f>
        <v>30.969443957184641</v>
      </c>
      <c r="AB16" s="19">
        <f t="shared" si="59"/>
        <v>20.582428920700078</v>
      </c>
      <c r="AC16" s="19">
        <f t="shared" ref="AC16:AF16" si="60">AC14/AC15</f>
        <v>22.433200038687982</v>
      </c>
      <c r="AD16" s="19">
        <f t="shared" si="60"/>
        <v>22.48027484341204</v>
      </c>
      <c r="AE16" s="19">
        <f t="shared" si="60"/>
        <v>25.83362498590256</v>
      </c>
      <c r="AF16" s="19">
        <f t="shared" si="60"/>
        <v>23.373476153236926</v>
      </c>
      <c r="AG16" s="19">
        <f>AG14/AG15</f>
        <v>6.7281772964633353</v>
      </c>
      <c r="AH16" s="19">
        <f>AH14/AH15</f>
        <v>3.8446727408361916</v>
      </c>
      <c r="AI16" s="19">
        <f t="shared" ref="AI16:AS16" si="61">AI14/AI15</f>
        <v>0.9611681852090479</v>
      </c>
      <c r="AJ16" s="24">
        <f t="shared" si="61"/>
        <v>4.824942748482127</v>
      </c>
      <c r="AK16" s="19">
        <f t="shared" si="61"/>
        <v>10.574727229770668</v>
      </c>
      <c r="AL16" s="19">
        <f t="shared" si="61"/>
        <v>17.560674454816112</v>
      </c>
      <c r="AM16" s="19">
        <f t="shared" si="61"/>
        <v>19.481809941703609</v>
      </c>
      <c r="AN16" s="19">
        <f t="shared" si="61"/>
        <v>20.858623707306304</v>
      </c>
      <c r="AO16" s="19">
        <f t="shared" si="61"/>
        <v>22.304278161189153</v>
      </c>
      <c r="AP16" s="19">
        <f t="shared" si="61"/>
        <v>23.822215337766131</v>
      </c>
      <c r="AQ16" s="19">
        <f t="shared" si="61"/>
        <v>25.416049373171958</v>
      </c>
      <c r="AR16" s="19">
        <f t="shared" si="61"/>
        <v>27.089575110348097</v>
      </c>
      <c r="AS16" s="19">
        <f t="shared" si="61"/>
        <v>28.846777134383043</v>
      </c>
    </row>
    <row r="17" spans="3:48" x14ac:dyDescent="0.25">
      <c r="E17" s="9"/>
      <c r="F17" s="9"/>
      <c r="G17" s="9"/>
      <c r="H17" s="9"/>
      <c r="I17" s="9"/>
      <c r="J17" s="9"/>
      <c r="K17" s="9"/>
      <c r="AI17" s="9"/>
      <c r="AJ17" s="8"/>
      <c r="AK17" s="9"/>
      <c r="AL17" s="9"/>
      <c r="AM17" s="9"/>
      <c r="AN17" s="9"/>
      <c r="AO17" s="9"/>
      <c r="AP17" s="9"/>
      <c r="AQ17" s="9"/>
      <c r="AR17" s="9"/>
      <c r="AS17" s="9"/>
      <c r="AU17" s="2" t="s">
        <v>100</v>
      </c>
      <c r="AV17" s="28">
        <v>0.08</v>
      </c>
    </row>
    <row r="18" spans="3:48" x14ac:dyDescent="0.25">
      <c r="C18" s="1" t="s">
        <v>43</v>
      </c>
      <c r="D18" s="19"/>
      <c r="E18" s="19"/>
      <c r="F18" s="19"/>
      <c r="G18" s="19"/>
      <c r="H18" s="22">
        <f t="shared" ref="H18:P18" si="62">(H4-D4)/D4</f>
        <v>2.8022833419823558E-2</v>
      </c>
      <c r="I18" s="22">
        <f t="shared" si="62"/>
        <v>-4.0633245382585753E-2</v>
      </c>
      <c r="J18" s="22">
        <f t="shared" si="62"/>
        <v>-0.24907651715039578</v>
      </c>
      <c r="K18" s="22">
        <f t="shared" si="62"/>
        <v>-0.33870341614906835</v>
      </c>
      <c r="L18" s="22">
        <f t="shared" si="62"/>
        <v>-0.23422513881877841</v>
      </c>
      <c r="M18" s="22">
        <f t="shared" si="62"/>
        <v>-1.4576457645764576E-2</v>
      </c>
      <c r="N18" s="22">
        <f t="shared" si="62"/>
        <v>-0.1163035839775123</v>
      </c>
      <c r="O18" s="22">
        <f t="shared" si="62"/>
        <v>-9.392427355444672E-3</v>
      </c>
      <c r="P18" s="22">
        <f t="shared" si="62"/>
        <v>-0.16315095583388267</v>
      </c>
      <c r="Q18" s="22">
        <f>(Q4-M4)/M4</f>
        <v>-0.29109684621825288</v>
      </c>
      <c r="R18" s="22">
        <f t="shared" ref="R18:U18" si="63">(R4-N4)/N4</f>
        <v>-0.15029821073558647</v>
      </c>
      <c r="S18" s="22">
        <f t="shared" si="63"/>
        <v>-0.18044444444444444</v>
      </c>
      <c r="T18" s="22">
        <f t="shared" si="63"/>
        <v>0.17408428515163449</v>
      </c>
      <c r="U18" s="22">
        <f t="shared" si="63"/>
        <v>0.10826771653543307</v>
      </c>
      <c r="Z18" s="22">
        <f t="shared" ref="Z18" si="64">(Z4-Y4)/Y4</f>
        <v>9.6994045483894106E-2</v>
      </c>
      <c r="AA18" s="22">
        <f t="shared" ref="AA18" si="65">(AA4-Z4)/Z4</f>
        <v>0.11228827414819174</v>
      </c>
      <c r="AB18" s="22">
        <f t="shared" ref="AB18" si="66">(AB4-AA4)/AA4</f>
        <v>-4.9800094073377231E-2</v>
      </c>
      <c r="AC18" s="22">
        <f t="shared" ref="AC18" si="67">(AC4-AB4)/AB4</f>
        <v>-2.9020481405853598E-2</v>
      </c>
      <c r="AD18" s="22">
        <f t="shared" ref="AD18:AG18" si="68">(AD4-AC4)/AC4</f>
        <v>-1.937292888095845E-2</v>
      </c>
      <c r="AE18" s="22">
        <f t="shared" si="68"/>
        <v>-5.0688848453340263E-2</v>
      </c>
      <c r="AF18" s="22">
        <f t="shared" si="68"/>
        <v>0.12164567360350492</v>
      </c>
      <c r="AG18" s="22">
        <f t="shared" si="68"/>
        <v>-0.15465364662801342</v>
      </c>
      <c r="AH18" s="22">
        <f>(AH4-AG4)/AG4</f>
        <v>-9.7032705219839727E-2</v>
      </c>
      <c r="AI18" s="22">
        <f t="shared" ref="AI18:AS18" si="69">(AI4-AH4)/AH4</f>
        <v>-0.20188694331174542</v>
      </c>
      <c r="AJ18" s="25">
        <f t="shared" si="69"/>
        <v>0.13999999999999996</v>
      </c>
      <c r="AK18" s="22">
        <f t="shared" si="69"/>
        <v>0.10000000000000003</v>
      </c>
      <c r="AL18" s="22">
        <f t="shared" si="69"/>
        <v>0.10000000000000014</v>
      </c>
      <c r="AM18" s="22">
        <f t="shared" si="69"/>
        <v>7.4999999999999956E-2</v>
      </c>
      <c r="AN18" s="22">
        <f t="shared" si="69"/>
        <v>5.0000000000000058E-2</v>
      </c>
      <c r="AO18" s="22">
        <f t="shared" si="69"/>
        <v>5.0000000000000037E-2</v>
      </c>
      <c r="AP18" s="22">
        <f t="shared" si="69"/>
        <v>4.9999999999999968E-2</v>
      </c>
      <c r="AQ18" s="22">
        <f t="shared" si="69"/>
        <v>4.9999999999999968E-2</v>
      </c>
      <c r="AR18" s="22">
        <f t="shared" si="69"/>
        <v>5.0000000000000031E-2</v>
      </c>
      <c r="AS18" s="22">
        <f t="shared" si="69"/>
        <v>5.0000000000000017E-2</v>
      </c>
      <c r="AU18" s="2" t="s">
        <v>101</v>
      </c>
      <c r="AV18" s="28">
        <v>-0.01</v>
      </c>
    </row>
    <row r="19" spans="3:48" x14ac:dyDescent="0.25">
      <c r="C19" s="2" t="s">
        <v>58</v>
      </c>
      <c r="D19" s="20">
        <f t="shared" ref="D19:P19" si="70">D6/D4</f>
        <v>0.1852620653866113</v>
      </c>
      <c r="E19" s="20">
        <f t="shared" si="70"/>
        <v>0.19920844327176782</v>
      </c>
      <c r="F19" s="20">
        <f t="shared" si="70"/>
        <v>0.19920844327176782</v>
      </c>
      <c r="G19" s="20">
        <f t="shared" si="70"/>
        <v>0.20438664596273293</v>
      </c>
      <c r="H19" s="20">
        <f t="shared" si="70"/>
        <v>0.16961130742049471</v>
      </c>
      <c r="I19" s="20">
        <f t="shared" si="70"/>
        <v>0.15484048404840484</v>
      </c>
      <c r="J19" s="20">
        <f t="shared" si="70"/>
        <v>0.12543921293042867</v>
      </c>
      <c r="K19" s="20">
        <f t="shared" si="70"/>
        <v>0.11212210155562079</v>
      </c>
      <c r="L19" s="20">
        <f t="shared" si="70"/>
        <v>0.12557679630850363</v>
      </c>
      <c r="M19" s="20">
        <f t="shared" si="70"/>
        <v>0.10801004744627407</v>
      </c>
      <c r="N19" s="20">
        <f t="shared" si="70"/>
        <v>0.1168986083499006</v>
      </c>
      <c r="O19" s="20">
        <f t="shared" si="70"/>
        <v>0.1197037037037037</v>
      </c>
      <c r="P19" s="20">
        <f t="shared" si="70"/>
        <v>0.14178810555336746</v>
      </c>
      <c r="Q19" s="20">
        <f>Q6/Q4</f>
        <v>0.13622047244094487</v>
      </c>
      <c r="R19" s="20">
        <f t="shared" ref="R19:S19" si="71">R6/R4</f>
        <v>9.6396817969115589E-2</v>
      </c>
      <c r="S19" s="20">
        <f t="shared" si="71"/>
        <v>0.11099060014461316</v>
      </c>
      <c r="T19" s="20">
        <f>T6/T4</f>
        <v>0.11372022811137203</v>
      </c>
      <c r="U19" s="20">
        <f>U6/U4</f>
        <v>0.1147424511545293</v>
      </c>
      <c r="Y19" s="20">
        <f t="shared" ref="Y19:AB19" si="72">Y6/Y4</f>
        <v>0.16565033359638426</v>
      </c>
      <c r="Z19" s="20">
        <f t="shared" si="72"/>
        <v>0.18644954548427178</v>
      </c>
      <c r="AA19" s="20">
        <f t="shared" si="72"/>
        <v>0.1975540921919097</v>
      </c>
      <c r="AB19" s="20">
        <f t="shared" si="72"/>
        <v>0.18031062434255307</v>
      </c>
      <c r="AC19" s="20">
        <f t="shared" ref="AC19:AG19" si="73">AC6/AC4</f>
        <v>0.17193474381850624</v>
      </c>
      <c r="AD19" s="20">
        <f t="shared" si="73"/>
        <v>0.18072524044710164</v>
      </c>
      <c r="AE19" s="20">
        <f t="shared" si="73"/>
        <v>0.19126506024096385</v>
      </c>
      <c r="AF19" s="20">
        <f t="shared" si="73"/>
        <v>0.19340860543179739</v>
      </c>
      <c r="AG19" s="20">
        <f t="shared" si="73"/>
        <v>0.14251678579163959</v>
      </c>
      <c r="AH19" s="20">
        <f>AH6/AH4</f>
        <v>0.11729431518349724</v>
      </c>
      <c r="AI19" s="20">
        <f t="shared" ref="AI19:AS19" si="74">AI6/AI4</f>
        <v>0.12211981566820276</v>
      </c>
      <c r="AJ19" s="26">
        <f t="shared" si="74"/>
        <v>0.11499999999999999</v>
      </c>
      <c r="AK19" s="20">
        <f t="shared" si="74"/>
        <v>0.12000000000000002</v>
      </c>
      <c r="AL19" s="20">
        <f t="shared" si="74"/>
        <v>0.15000000000000002</v>
      </c>
      <c r="AM19" s="20">
        <f t="shared" si="74"/>
        <v>0.15000000000000005</v>
      </c>
      <c r="AN19" s="20">
        <f t="shared" si="74"/>
        <v>0.15</v>
      </c>
      <c r="AO19" s="20">
        <f t="shared" si="74"/>
        <v>0.15000000000000002</v>
      </c>
      <c r="AP19" s="20">
        <f t="shared" si="74"/>
        <v>0.15000000000000002</v>
      </c>
      <c r="AQ19" s="20">
        <f t="shared" si="74"/>
        <v>0.15</v>
      </c>
      <c r="AR19" s="20">
        <f t="shared" si="74"/>
        <v>0.15000000000000005</v>
      </c>
      <c r="AS19" s="20">
        <f t="shared" si="74"/>
        <v>0.15000000000000011</v>
      </c>
      <c r="AU19" s="27" t="s">
        <v>102</v>
      </c>
      <c r="AV19" s="30">
        <f>NPV(AV17,AJ14:EB14)</f>
        <v>17512.551551419132</v>
      </c>
    </row>
    <row r="20" spans="3:48" x14ac:dyDescent="0.25">
      <c r="C20" s="2" t="s">
        <v>44</v>
      </c>
      <c r="D20" s="20">
        <f t="shared" ref="D20:P20" si="75">D9/D4</f>
        <v>0.1209133367929424</v>
      </c>
      <c r="E20" s="20">
        <f t="shared" si="75"/>
        <v>0.11398416886543536</v>
      </c>
      <c r="F20" s="20">
        <f t="shared" si="75"/>
        <v>0.11398416886543536</v>
      </c>
      <c r="G20" s="20">
        <f t="shared" si="75"/>
        <v>0.14868012422360249</v>
      </c>
      <c r="H20" s="20">
        <f t="shared" si="75"/>
        <v>0.104997476022211</v>
      </c>
      <c r="I20" s="20">
        <f t="shared" si="75"/>
        <v>7.1232123212321238E-2</v>
      </c>
      <c r="J20" s="20">
        <f t="shared" si="75"/>
        <v>5.1300070274068868E-2</v>
      </c>
      <c r="K20" s="20">
        <f t="shared" si="75"/>
        <v>-2.6416201937188143E-2</v>
      </c>
      <c r="L20" s="20">
        <f t="shared" si="75"/>
        <v>5.2735662491760052E-2</v>
      </c>
      <c r="M20" s="20">
        <f t="shared" si="75"/>
        <v>4.7167178342171365E-2</v>
      </c>
      <c r="N20" s="20">
        <f t="shared" si="75"/>
        <v>3.7375745526838963E-2</v>
      </c>
      <c r="O20" s="20">
        <f t="shared" si="75"/>
        <v>3.1407407407407405E-2</v>
      </c>
      <c r="P20" s="20">
        <f t="shared" si="75"/>
        <v>5.1201260338716033E-2</v>
      </c>
      <c r="Q20" s="20">
        <f>Q9/Q4</f>
        <v>4.5669291338582677E-2</v>
      </c>
      <c r="R20" s="20">
        <f t="shared" ref="R20:S20" si="76">R9/R4</f>
        <v>2.7608797379503978E-2</v>
      </c>
      <c r="S20" s="20">
        <f t="shared" si="76"/>
        <v>-2.8922631959508315E-3</v>
      </c>
      <c r="T20" s="20">
        <f t="shared" ref="T20:U20" si="77">T9/T4</f>
        <v>7.1452532707145258E-2</v>
      </c>
      <c r="U20" s="20">
        <f t="shared" si="77"/>
        <v>2.4511545293072826E-2</v>
      </c>
      <c r="Y20" s="20">
        <f t="shared" ref="Y20:AB20" si="78">Y9/Y4</f>
        <v>0.10753999569553052</v>
      </c>
      <c r="Z20" s="20">
        <f t="shared" si="78"/>
        <v>0.12628343470015041</v>
      </c>
      <c r="AA20" s="20">
        <f t="shared" si="78"/>
        <v>0.13928739416745062</v>
      </c>
      <c r="AB20" s="20">
        <f t="shared" si="78"/>
        <v>0.11670069921415754</v>
      </c>
      <c r="AC20" s="20">
        <f t="shared" ref="AC20:AG20" si="79">AC9/AC4</f>
        <v>0.12796329339790977</v>
      </c>
      <c r="AD20" s="20">
        <f t="shared" si="79"/>
        <v>0.13179100597868468</v>
      </c>
      <c r="AE20" s="20">
        <f t="shared" si="79"/>
        <v>0.15162924424972618</v>
      </c>
      <c r="AF20" s="20">
        <f t="shared" si="79"/>
        <v>0.1259688739700946</v>
      </c>
      <c r="AG20" s="20">
        <f t="shared" si="79"/>
        <v>5.2920366760522704E-2</v>
      </c>
      <c r="AH20" s="20">
        <f>AH9/AH4</f>
        <v>4.2536179739345967E-2</v>
      </c>
      <c r="AI20" s="20">
        <f t="shared" ref="AI20:AS20" si="80">AI9/AI4</f>
        <v>2.9753556401522743E-2</v>
      </c>
      <c r="AJ20" s="26">
        <f t="shared" si="80"/>
        <v>5.0005817489024086E-2</v>
      </c>
      <c r="AK20" s="20">
        <f t="shared" si="80"/>
        <v>6.811713716268232E-2</v>
      </c>
      <c r="AL20" s="20">
        <f t="shared" si="80"/>
        <v>0.10283376105698394</v>
      </c>
      <c r="AM20" s="20">
        <f t="shared" si="80"/>
        <v>0.10612442889021763</v>
      </c>
      <c r="AN20" s="20">
        <f t="shared" si="80"/>
        <v>0.10821374180020722</v>
      </c>
      <c r="AO20" s="20">
        <f t="shared" si="80"/>
        <v>0.11020356361924499</v>
      </c>
      <c r="AP20" s="20">
        <f t="shared" si="80"/>
        <v>0.11209863201832856</v>
      </c>
      <c r="AQ20" s="20">
        <f t="shared" si="80"/>
        <v>0.11390345906507481</v>
      </c>
      <c r="AR20" s="20">
        <f t="shared" si="80"/>
        <v>0.11562234196673797</v>
      </c>
      <c r="AS20" s="20">
        <f t="shared" si="80"/>
        <v>0.11725937330165526</v>
      </c>
      <c r="AU20" s="2" t="s">
        <v>2</v>
      </c>
      <c r="AV20" s="9">
        <v>64.504840000000002</v>
      </c>
    </row>
    <row r="21" spans="3:48" x14ac:dyDescent="0.25">
      <c r="C21" s="2" t="s">
        <v>95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Y21" s="20">
        <v>0.23699999999999999</v>
      </c>
      <c r="Z21" s="20">
        <v>0.312</v>
      </c>
      <c r="AA21" s="20">
        <v>0.38700000000000001</v>
      </c>
      <c r="AB21" s="20">
        <v>0.222</v>
      </c>
      <c r="AC21" s="20">
        <v>0.222</v>
      </c>
      <c r="AD21" s="20">
        <v>0.20799999999999999</v>
      </c>
      <c r="AE21" s="20">
        <v>0.219</v>
      </c>
      <c r="AF21" s="20">
        <v>0.17899999999999999</v>
      </c>
      <c r="AG21" s="20">
        <v>0.05</v>
      </c>
      <c r="AH21" s="20">
        <v>2.9000000000000001E-2</v>
      </c>
      <c r="AI21" s="20">
        <f>AI14/T37</f>
        <v>7.3809523809523813E-3</v>
      </c>
      <c r="AU21" s="2" t="s">
        <v>103</v>
      </c>
      <c r="AV21" s="9">
        <f>AV19/AV20</f>
        <v>271.49205472673265</v>
      </c>
    </row>
    <row r="22" spans="3:48" x14ac:dyDescent="0.25">
      <c r="C22" s="1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AC22" s="18"/>
      <c r="AD22" s="18"/>
      <c r="AE22" s="18"/>
      <c r="AF22" s="18"/>
      <c r="AG22" s="18"/>
      <c r="AH22" s="18"/>
      <c r="AU22" s="1" t="s">
        <v>104</v>
      </c>
      <c r="AV22" s="18">
        <f>(AV21-B4)/B4</f>
        <v>1.0412936445618997</v>
      </c>
    </row>
    <row r="23" spans="3:48" x14ac:dyDescent="0.25">
      <c r="C23" s="2" t="s">
        <v>93</v>
      </c>
      <c r="D23" s="2">
        <v>808</v>
      </c>
      <c r="E23" s="2">
        <v>719</v>
      </c>
      <c r="F23" s="2">
        <v>688</v>
      </c>
      <c r="G23" s="2">
        <v>898</v>
      </c>
      <c r="H23" s="2">
        <v>214</v>
      </c>
      <c r="I23" s="2">
        <v>454</v>
      </c>
      <c r="J23" s="2">
        <v>201</v>
      </c>
      <c r="K23" s="2">
        <v>740</v>
      </c>
      <c r="L23" s="2">
        <v>145</v>
      </c>
      <c r="M23" s="2">
        <v>722</v>
      </c>
      <c r="N23" s="2">
        <v>637</v>
      </c>
      <c r="O23" s="2">
        <v>733</v>
      </c>
      <c r="P23" s="2">
        <v>577</v>
      </c>
      <c r="Q23" s="2">
        <v>647</v>
      </c>
      <c r="R23" s="2">
        <v>296</v>
      </c>
      <c r="S23" s="2">
        <v>750</v>
      </c>
      <c r="T23" s="2">
        <v>425</v>
      </c>
      <c r="U23" s="2">
        <v>784</v>
      </c>
      <c r="Y23" s="14">
        <v>3731</v>
      </c>
      <c r="Z23" s="14">
        <v>4187</v>
      </c>
      <c r="AA23" s="14">
        <v>3873</v>
      </c>
      <c r="AB23" s="14">
        <v>3135</v>
      </c>
      <c r="AC23" s="14">
        <v>3269</v>
      </c>
      <c r="AD23" s="14">
        <v>3199</v>
      </c>
      <c r="AE23" s="14">
        <v>3972</v>
      </c>
      <c r="AF23" s="14">
        <v>3113</v>
      </c>
      <c r="AG23" s="14">
        <v>1609</v>
      </c>
      <c r="AH23" s="14">
        <v>2237</v>
      </c>
      <c r="AI23" s="14">
        <f>SUM(P23:S23)</f>
        <v>2270</v>
      </c>
      <c r="AJ23" s="15"/>
      <c r="AK23" s="14"/>
      <c r="AL23" s="14"/>
      <c r="AM23" s="14"/>
      <c r="AN23" s="14"/>
      <c r="AO23" s="14"/>
      <c r="AP23" s="14"/>
      <c r="AQ23" s="14"/>
      <c r="AR23" s="14"/>
      <c r="AS23" s="14"/>
    </row>
    <row r="24" spans="3:48" x14ac:dyDescent="0.25">
      <c r="C24" s="2" t="s">
        <v>107</v>
      </c>
      <c r="D24" s="18"/>
      <c r="E24" s="18"/>
      <c r="F24" s="18"/>
      <c r="G24" s="18"/>
      <c r="H24" s="20">
        <f t="shared" ref="H24:O24" si="81">(H23-D23)/D23</f>
        <v>-0.73514851485148514</v>
      </c>
      <c r="I24" s="20">
        <f t="shared" si="81"/>
        <v>-0.36856745479833103</v>
      </c>
      <c r="J24" s="20">
        <f t="shared" si="81"/>
        <v>-0.70784883720930236</v>
      </c>
      <c r="K24" s="20">
        <f t="shared" si="81"/>
        <v>-0.17594654788418709</v>
      </c>
      <c r="L24" s="20">
        <f t="shared" si="81"/>
        <v>-0.32242990654205606</v>
      </c>
      <c r="M24" s="20">
        <f t="shared" si="81"/>
        <v>0.5903083700440529</v>
      </c>
      <c r="N24" s="20">
        <f t="shared" si="81"/>
        <v>2.1691542288557213</v>
      </c>
      <c r="O24" s="20">
        <f t="shared" si="81"/>
        <v>-9.45945945945946E-3</v>
      </c>
      <c r="P24" s="20">
        <f>(P23-L23)/L23</f>
        <v>2.9793103448275864</v>
      </c>
      <c r="Q24" s="20">
        <f>(Q23-M23)/M23</f>
        <v>-0.1038781163434903</v>
      </c>
      <c r="R24" s="20">
        <f t="shared" ref="R24:U24" si="82">(R23-N23)/N23</f>
        <v>-0.5353218210361067</v>
      </c>
      <c r="S24" s="20">
        <f t="shared" si="82"/>
        <v>2.3192360163710776E-2</v>
      </c>
      <c r="T24" s="20">
        <f t="shared" si="82"/>
        <v>-0.2634315424610052</v>
      </c>
      <c r="U24" s="20">
        <f>(U23-Q23)/Q23</f>
        <v>0.21174652241112829</v>
      </c>
      <c r="Z24" s="10">
        <f t="shared" ref="Z24:AG24" si="83">(Z23-Y23)/Y23</f>
        <v>0.12221924417046369</v>
      </c>
      <c r="AA24" s="10">
        <f t="shared" si="83"/>
        <v>-7.4994029137807505E-2</v>
      </c>
      <c r="AB24" s="10">
        <f t="shared" si="83"/>
        <v>-0.19054996127033308</v>
      </c>
      <c r="AC24" s="10">
        <f t="shared" si="83"/>
        <v>4.2743221690590111E-2</v>
      </c>
      <c r="AD24" s="10">
        <f t="shared" si="83"/>
        <v>-2.1413276231263382E-2</v>
      </c>
      <c r="AE24" s="10">
        <f t="shared" si="83"/>
        <v>0.24163801187871209</v>
      </c>
      <c r="AF24" s="10">
        <f t="shared" si="83"/>
        <v>-0.21626384692849951</v>
      </c>
      <c r="AG24" s="10">
        <f t="shared" si="83"/>
        <v>-0.48313523931898489</v>
      </c>
      <c r="AH24" s="10">
        <f>(AH23-AG23)/AG23</f>
        <v>0.39030453697949036</v>
      </c>
      <c r="AI24" s="10">
        <f t="shared" ref="AI24:AS24" si="84">(AI23-AH23)/AH23</f>
        <v>1.4751899865891819E-2</v>
      </c>
      <c r="AJ24" s="31">
        <f t="shared" si="84"/>
        <v>-1</v>
      </c>
      <c r="AK24" s="10" t="e">
        <f t="shared" si="84"/>
        <v>#DIV/0!</v>
      </c>
      <c r="AL24" s="10" t="e">
        <f t="shared" si="84"/>
        <v>#DIV/0!</v>
      </c>
      <c r="AM24" s="10" t="e">
        <f t="shared" si="84"/>
        <v>#DIV/0!</v>
      </c>
      <c r="AN24" s="10" t="e">
        <f t="shared" si="84"/>
        <v>#DIV/0!</v>
      </c>
      <c r="AO24" s="10" t="e">
        <f t="shared" si="84"/>
        <v>#DIV/0!</v>
      </c>
      <c r="AP24" s="10" t="e">
        <f t="shared" si="84"/>
        <v>#DIV/0!</v>
      </c>
      <c r="AQ24" s="10" t="e">
        <f t="shared" si="84"/>
        <v>#DIV/0!</v>
      </c>
      <c r="AR24" s="10" t="e">
        <f t="shared" si="84"/>
        <v>#DIV/0!</v>
      </c>
      <c r="AS24" s="10" t="e">
        <f t="shared" si="84"/>
        <v>#DIV/0!</v>
      </c>
    </row>
    <row r="25" spans="3:48" x14ac:dyDescent="0.25">
      <c r="C25" s="2" t="s">
        <v>94</v>
      </c>
      <c r="D25" s="2">
        <v>995</v>
      </c>
      <c r="E25" s="2">
        <v>732</v>
      </c>
      <c r="F25" s="2">
        <v>470</v>
      </c>
      <c r="G25" s="2">
        <v>462</v>
      </c>
      <c r="H25" s="2">
        <v>479</v>
      </c>
      <c r="I25" s="2">
        <v>363</v>
      </c>
      <c r="J25" s="2">
        <v>286</v>
      </c>
      <c r="K25" s="2">
        <v>773</v>
      </c>
      <c r="L25" s="2">
        <v>480</v>
      </c>
      <c r="M25" s="2">
        <v>1075</v>
      </c>
      <c r="N25" s="2">
        <v>649</v>
      </c>
      <c r="O25" s="2">
        <v>574</v>
      </c>
      <c r="P25" s="2">
        <v>555</v>
      </c>
      <c r="Q25" s="2">
        <v>433</v>
      </c>
      <c r="R25" s="2">
        <v>562</v>
      </c>
      <c r="S25" s="2">
        <v>478</v>
      </c>
      <c r="T25" s="2">
        <v>920</v>
      </c>
      <c r="U25" s="2">
        <v>679</v>
      </c>
      <c r="V25" s="1"/>
      <c r="W25" s="1"/>
      <c r="Y25" s="14">
        <v>3770</v>
      </c>
      <c r="Z25" s="14">
        <v>3843</v>
      </c>
      <c r="AA25" s="14">
        <v>3100</v>
      </c>
      <c r="AB25" s="14">
        <v>2463</v>
      </c>
      <c r="AC25" s="14">
        <v>3595</v>
      </c>
      <c r="AD25" s="14">
        <v>4026</v>
      </c>
      <c r="AE25" s="14">
        <v>4248</v>
      </c>
      <c r="AF25" s="14">
        <v>2659</v>
      </c>
      <c r="AG25" s="14">
        <v>1901</v>
      </c>
      <c r="AH25" s="14">
        <v>2778</v>
      </c>
      <c r="AI25" s="14">
        <f>SUM(P25:S25)</f>
        <v>2028</v>
      </c>
      <c r="AJ25" s="15"/>
      <c r="AK25" s="14"/>
      <c r="AL25" s="14"/>
      <c r="AM25" s="14"/>
      <c r="AN25" s="14"/>
      <c r="AO25" s="14"/>
      <c r="AP25" s="14"/>
      <c r="AQ25" s="14"/>
      <c r="AR25" s="14"/>
      <c r="AS25" s="14"/>
    </row>
    <row r="26" spans="3:48" x14ac:dyDescent="0.25"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S26" s="1"/>
      <c r="T26" s="1"/>
      <c r="U26" s="1"/>
      <c r="X26" s="1"/>
      <c r="Y26" s="1"/>
      <c r="Z26" s="1"/>
      <c r="AA26" s="1"/>
      <c r="AB26" s="1"/>
      <c r="AC26" s="1"/>
      <c r="AD26" s="1"/>
      <c r="AE26" s="1"/>
    </row>
    <row r="27" spans="3:48" x14ac:dyDescent="0.25">
      <c r="C27" s="1" t="s">
        <v>59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R27" s="1"/>
    </row>
    <row r="28" spans="3:48" x14ac:dyDescent="0.25">
      <c r="C28" s="2" t="s">
        <v>61</v>
      </c>
      <c r="D28" s="14">
        <v>351</v>
      </c>
      <c r="E28" s="14">
        <v>326</v>
      </c>
      <c r="F28" s="14">
        <v>318</v>
      </c>
      <c r="G28" s="14">
        <v>351</v>
      </c>
      <c r="H28" s="14">
        <v>339</v>
      </c>
      <c r="I28" s="14">
        <v>335</v>
      </c>
      <c r="J28" s="14">
        <v>344</v>
      </c>
      <c r="K28" s="14">
        <v>351</v>
      </c>
      <c r="L28" s="14">
        <v>218</v>
      </c>
      <c r="M28" s="14">
        <v>219</v>
      </c>
      <c r="N28" s="14">
        <v>389</v>
      </c>
      <c r="O28" s="14">
        <v>418</v>
      </c>
      <c r="P28" s="14">
        <v>218</v>
      </c>
      <c r="Q28" s="14">
        <v>220</v>
      </c>
      <c r="R28" s="14">
        <v>221</v>
      </c>
      <c r="S28" s="14">
        <v>215</v>
      </c>
      <c r="T28" s="14">
        <v>247</v>
      </c>
      <c r="U28" s="14">
        <v>251</v>
      </c>
      <c r="V28" s="14"/>
      <c r="W28" s="14"/>
      <c r="X28" s="14"/>
      <c r="Y28" s="14">
        <v>168</v>
      </c>
      <c r="Z28" s="14">
        <v>185</v>
      </c>
      <c r="AA28" s="14">
        <v>176</v>
      </c>
      <c r="AB28" s="14">
        <v>180</v>
      </c>
      <c r="AC28" s="14">
        <v>186</v>
      </c>
      <c r="AD28" s="14">
        <v>168</v>
      </c>
      <c r="AE28" s="14">
        <v>180</v>
      </c>
      <c r="AF28" s="14">
        <v>351</v>
      </c>
      <c r="AG28" s="14">
        <v>351</v>
      </c>
      <c r="AH28" s="14">
        <v>418</v>
      </c>
      <c r="AI28" s="14">
        <v>215</v>
      </c>
    </row>
    <row r="29" spans="3:48" x14ac:dyDescent="0.25">
      <c r="C29" s="2" t="s">
        <v>62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111</v>
      </c>
      <c r="M29" s="14">
        <v>126</v>
      </c>
      <c r="N29" s="14">
        <v>0</v>
      </c>
      <c r="O29" s="14">
        <v>0</v>
      </c>
      <c r="P29" s="14">
        <v>130</v>
      </c>
      <c r="Q29" s="14">
        <v>132</v>
      </c>
      <c r="R29" s="14">
        <v>134</v>
      </c>
      <c r="S29" s="14">
        <v>138</v>
      </c>
      <c r="T29" s="14">
        <v>139</v>
      </c>
      <c r="U29" s="14">
        <v>135</v>
      </c>
      <c r="V29" s="14"/>
      <c r="W29" s="14"/>
      <c r="X29" s="14"/>
      <c r="Y29" s="14">
        <v>15</v>
      </c>
      <c r="Z29" s="14">
        <v>15</v>
      </c>
      <c r="AA29" s="14">
        <v>1</v>
      </c>
      <c r="AB29" s="14">
        <v>1</v>
      </c>
      <c r="AC29" s="14">
        <v>1</v>
      </c>
      <c r="AD29" s="14">
        <v>78</v>
      </c>
      <c r="AE29" s="14">
        <v>118</v>
      </c>
      <c r="AF29" s="14">
        <v>0</v>
      </c>
      <c r="AG29" s="14">
        <v>0</v>
      </c>
      <c r="AH29" s="14">
        <v>0</v>
      </c>
      <c r="AI29" s="14">
        <v>138</v>
      </c>
    </row>
    <row r="30" spans="3:48" x14ac:dyDescent="0.25">
      <c r="C30" s="2" t="s">
        <v>63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48</v>
      </c>
      <c r="M30" s="14">
        <v>43</v>
      </c>
      <c r="N30" s="14">
        <v>0</v>
      </c>
      <c r="O30" s="14">
        <v>0</v>
      </c>
      <c r="P30" s="14">
        <v>75</v>
      </c>
      <c r="Q30" s="14">
        <v>115</v>
      </c>
      <c r="R30" s="14">
        <v>117</v>
      </c>
      <c r="S30" s="14">
        <v>113</v>
      </c>
      <c r="T30" s="14">
        <v>98</v>
      </c>
      <c r="U30" s="14">
        <v>103</v>
      </c>
      <c r="V30" s="14"/>
      <c r="W30" s="14"/>
      <c r="X30" s="14"/>
      <c r="Y30" s="14">
        <v>26</v>
      </c>
      <c r="Z30" s="14">
        <v>30</v>
      </c>
      <c r="AA30" s="14">
        <v>32</v>
      </c>
      <c r="AB30" s="14">
        <v>33</v>
      </c>
      <c r="AC30" s="14">
        <v>32</v>
      </c>
      <c r="AD30" s="14">
        <v>32</v>
      </c>
      <c r="AE30" s="14">
        <v>32</v>
      </c>
      <c r="AF30" s="14">
        <v>0</v>
      </c>
      <c r="AG30" s="14">
        <v>0</v>
      </c>
      <c r="AH30" s="14">
        <v>0</v>
      </c>
      <c r="AI30" s="14">
        <v>113</v>
      </c>
      <c r="AN30" s="12"/>
    </row>
    <row r="31" spans="3:48" x14ac:dyDescent="0.25">
      <c r="C31" s="2" t="s">
        <v>64</v>
      </c>
      <c r="D31" s="14">
        <v>896</v>
      </c>
      <c r="E31" s="14">
        <v>1225</v>
      </c>
      <c r="F31" s="14">
        <v>1369</v>
      </c>
      <c r="G31" s="14">
        <v>932</v>
      </c>
      <c r="H31" s="14">
        <v>800</v>
      </c>
      <c r="I31" s="14">
        <v>960</v>
      </c>
      <c r="J31" s="14">
        <v>1027</v>
      </c>
      <c r="K31" s="14">
        <v>1030</v>
      </c>
      <c r="L31" s="14">
        <v>818</v>
      </c>
      <c r="M31" s="14">
        <v>260</v>
      </c>
      <c r="N31" s="14">
        <v>578</v>
      </c>
      <c r="O31" s="14">
        <v>360</v>
      </c>
      <c r="P31" s="14">
        <v>168</v>
      </c>
      <c r="Q31" s="14">
        <v>199</v>
      </c>
      <c r="R31" s="14">
        <v>111</v>
      </c>
      <c r="S31" s="14">
        <v>207</v>
      </c>
      <c r="T31" s="14">
        <v>0</v>
      </c>
      <c r="U31" s="14">
        <v>0</v>
      </c>
      <c r="V31" s="14"/>
      <c r="W31" s="14"/>
      <c r="X31" s="14"/>
      <c r="Y31" s="14">
        <v>378</v>
      </c>
      <c r="Z31" s="14">
        <v>602</v>
      </c>
      <c r="AA31" s="14">
        <v>1074</v>
      </c>
      <c r="AB31" s="14">
        <v>1635</v>
      </c>
      <c r="AC31" s="14">
        <v>1399</v>
      </c>
      <c r="AD31" s="14">
        <v>1246</v>
      </c>
      <c r="AE31" s="14">
        <v>813</v>
      </c>
      <c r="AF31" s="14">
        <v>932</v>
      </c>
      <c r="AG31" s="14">
        <v>1030</v>
      </c>
      <c r="AH31" s="14">
        <v>360</v>
      </c>
      <c r="AI31" s="14">
        <v>207</v>
      </c>
      <c r="AN31" s="14"/>
    </row>
    <row r="32" spans="3:48" x14ac:dyDescent="0.25">
      <c r="C32" s="2" t="s">
        <v>65</v>
      </c>
      <c r="D32" s="14">
        <v>7995</v>
      </c>
      <c r="E32" s="14">
        <v>8336</v>
      </c>
      <c r="F32" s="14">
        <v>8607</v>
      </c>
      <c r="G32" s="14">
        <v>8465</v>
      </c>
      <c r="H32" s="14">
        <v>8239</v>
      </c>
      <c r="I32" s="14">
        <v>8746</v>
      </c>
      <c r="J32" s="14">
        <v>9013</v>
      </c>
      <c r="K32" s="14">
        <v>8504</v>
      </c>
      <c r="L32" s="14">
        <v>8849</v>
      </c>
      <c r="M32" s="14">
        <v>8438</v>
      </c>
      <c r="N32" s="14">
        <v>7974</v>
      </c>
      <c r="O32" s="14">
        <v>7660</v>
      </c>
      <c r="P32" s="14">
        <v>7602</v>
      </c>
      <c r="Q32" s="14">
        <v>7721</v>
      </c>
      <c r="R32" s="14">
        <v>7580</v>
      </c>
      <c r="S32" s="14">
        <v>7323</v>
      </c>
      <c r="T32" s="14">
        <v>8034</v>
      </c>
      <c r="U32" s="14">
        <v>8054</v>
      </c>
      <c r="V32" s="14"/>
      <c r="W32" s="14"/>
      <c r="X32" s="14"/>
      <c r="Y32" s="14">
        <v>7067</v>
      </c>
      <c r="Z32" s="14">
        <v>7121</v>
      </c>
      <c r="AA32" s="14">
        <v>7543</v>
      </c>
      <c r="AB32" s="14">
        <v>8306</v>
      </c>
      <c r="AC32" s="14">
        <v>8938</v>
      </c>
      <c r="AD32" s="14">
        <v>7831</v>
      </c>
      <c r="AE32" s="14">
        <v>8205</v>
      </c>
      <c r="AF32" s="14">
        <v>8465</v>
      </c>
      <c r="AG32" s="14">
        <v>8504</v>
      </c>
      <c r="AH32" s="14">
        <v>7660</v>
      </c>
      <c r="AI32" s="14">
        <v>7323</v>
      </c>
      <c r="AN32" s="14"/>
    </row>
    <row r="33" spans="3:40" x14ac:dyDescent="0.25">
      <c r="C33" s="2" t="s">
        <v>136</v>
      </c>
      <c r="D33" s="14">
        <v>330</v>
      </c>
      <c r="E33" s="14">
        <v>389</v>
      </c>
      <c r="F33" s="14">
        <v>339</v>
      </c>
      <c r="G33" s="14">
        <v>308</v>
      </c>
      <c r="H33" s="14">
        <v>363</v>
      </c>
      <c r="I33" s="14">
        <v>503</v>
      </c>
      <c r="J33" s="14">
        <v>751</v>
      </c>
      <c r="K33" s="14">
        <v>803</v>
      </c>
      <c r="L33" s="14">
        <v>566</v>
      </c>
      <c r="M33" s="14">
        <v>648</v>
      </c>
      <c r="N33" s="14">
        <v>948</v>
      </c>
      <c r="O33" s="14">
        <v>1111</v>
      </c>
      <c r="P33" s="14">
        <v>1278</v>
      </c>
      <c r="Q33" s="14">
        <v>2062</v>
      </c>
      <c r="R33" s="14">
        <v>1843</v>
      </c>
      <c r="S33" s="14">
        <v>1711</v>
      </c>
      <c r="T33" s="14">
        <v>1387</v>
      </c>
      <c r="U33" s="14">
        <v>1134</v>
      </c>
      <c r="V33" s="14"/>
      <c r="W33" s="14"/>
      <c r="X33" s="14"/>
      <c r="Y33" s="14">
        <v>235</v>
      </c>
      <c r="Z33" s="14">
        <v>233</v>
      </c>
      <c r="AA33" s="14">
        <v>309</v>
      </c>
      <c r="AB33" s="14">
        <v>567</v>
      </c>
      <c r="AC33" s="14">
        <v>366</v>
      </c>
      <c r="AD33" s="14">
        <v>445</v>
      </c>
      <c r="AE33" s="14">
        <v>377</v>
      </c>
      <c r="AF33" s="14">
        <v>308</v>
      </c>
      <c r="AG33" s="14">
        <v>803</v>
      </c>
      <c r="AH33" s="14">
        <v>1111</v>
      </c>
      <c r="AI33" s="14">
        <v>1711</v>
      </c>
      <c r="AN33" s="14"/>
    </row>
    <row r="34" spans="3:40" x14ac:dyDescent="0.25">
      <c r="C34" s="2" t="s">
        <v>66</v>
      </c>
      <c r="D34" s="14">
        <v>3770</v>
      </c>
      <c r="E34" s="14">
        <v>4218</v>
      </c>
      <c r="F34" s="14">
        <v>4536</v>
      </c>
      <c r="G34" s="14">
        <v>5225</v>
      </c>
      <c r="H34" s="14">
        <v>4856</v>
      </c>
      <c r="I34" s="14">
        <v>5126</v>
      </c>
      <c r="J34" s="14">
        <v>4872</v>
      </c>
      <c r="K34" s="14">
        <v>4541</v>
      </c>
      <c r="L34" s="14">
        <v>5172</v>
      </c>
      <c r="M34" s="14">
        <v>5034</v>
      </c>
      <c r="N34" s="14">
        <v>4515</v>
      </c>
      <c r="O34" s="14">
        <v>4721</v>
      </c>
      <c r="P34" s="14">
        <v>5044</v>
      </c>
      <c r="Q34" s="14">
        <v>4470</v>
      </c>
      <c r="R34" s="14">
        <v>4268</v>
      </c>
      <c r="S34" s="14">
        <v>4041</v>
      </c>
      <c r="T34" s="14">
        <v>5081</v>
      </c>
      <c r="U34" s="14">
        <v>4681</v>
      </c>
      <c r="V34" s="14"/>
      <c r="W34" s="14"/>
      <c r="X34" s="14"/>
      <c r="Y34" s="14">
        <v>2808</v>
      </c>
      <c r="Z34" s="14">
        <v>3142</v>
      </c>
      <c r="AA34" s="14">
        <v>3698</v>
      </c>
      <c r="AB34" s="14">
        <v>4083</v>
      </c>
      <c r="AC34" s="14">
        <v>4274</v>
      </c>
      <c r="AD34" s="14">
        <v>3828</v>
      </c>
      <c r="AE34" s="14">
        <v>3527</v>
      </c>
      <c r="AF34" s="14">
        <v>5225</v>
      </c>
      <c r="AG34" s="14">
        <v>4541</v>
      </c>
      <c r="AH34" s="14">
        <v>4721</v>
      </c>
      <c r="AI34" s="14">
        <v>4041</v>
      </c>
      <c r="AN34" s="14"/>
    </row>
    <row r="35" spans="3:40" x14ac:dyDescent="0.25">
      <c r="C35" s="2" t="s">
        <v>67</v>
      </c>
      <c r="D35" s="14">
        <v>4115</v>
      </c>
      <c r="E35" s="14">
        <v>2481</v>
      </c>
      <c r="F35" s="14">
        <v>1902</v>
      </c>
      <c r="G35" s="14">
        <v>1840</v>
      </c>
      <c r="H35" s="14">
        <v>2577</v>
      </c>
      <c r="I35" s="14">
        <v>699</v>
      </c>
      <c r="J35" s="14">
        <v>742</v>
      </c>
      <c r="K35" s="14">
        <v>1582</v>
      </c>
      <c r="L35" s="14">
        <v>566</v>
      </c>
      <c r="M35" s="14">
        <v>417</v>
      </c>
      <c r="N35" s="14">
        <v>465</v>
      </c>
      <c r="O35" s="14">
        <v>431</v>
      </c>
      <c r="P35" s="14">
        <v>361</v>
      </c>
      <c r="Q35" s="14">
        <v>157</v>
      </c>
      <c r="R35" s="14">
        <v>449</v>
      </c>
      <c r="S35" s="14">
        <v>532</v>
      </c>
      <c r="T35" s="14">
        <v>450</v>
      </c>
      <c r="U35" s="14">
        <v>864</v>
      </c>
      <c r="V35" s="14"/>
      <c r="W35" s="14"/>
      <c r="X35" s="14"/>
      <c r="Y35" s="14">
        <v>1275</v>
      </c>
      <c r="Z35" s="14">
        <v>1520</v>
      </c>
      <c r="AA35" s="14">
        <v>2572</v>
      </c>
      <c r="AB35" s="14">
        <v>1682</v>
      </c>
      <c r="AC35" s="14">
        <v>2397</v>
      </c>
      <c r="AD35" s="14">
        <v>3037</v>
      </c>
      <c r="AE35" s="14">
        <v>3981</v>
      </c>
      <c r="AF35" s="14">
        <v>1840</v>
      </c>
      <c r="AG35" s="14">
        <v>1582</v>
      </c>
      <c r="AH35" s="14">
        <v>431</v>
      </c>
      <c r="AI35" s="14">
        <v>532</v>
      </c>
      <c r="AN35" s="12"/>
    </row>
    <row r="36" spans="3:40" x14ac:dyDescent="0.25">
      <c r="C36" s="1" t="s">
        <v>68</v>
      </c>
      <c r="D36" s="12">
        <f t="shared" ref="D36:P36" si="85">SUM(D28:D35)</f>
        <v>17457</v>
      </c>
      <c r="E36" s="12">
        <f t="shared" si="85"/>
        <v>16975</v>
      </c>
      <c r="F36" s="12">
        <f t="shared" si="85"/>
        <v>17071</v>
      </c>
      <c r="G36" s="12">
        <f t="shared" si="85"/>
        <v>17121</v>
      </c>
      <c r="H36" s="12">
        <f t="shared" si="85"/>
        <v>17174</v>
      </c>
      <c r="I36" s="12">
        <f t="shared" si="85"/>
        <v>16369</v>
      </c>
      <c r="J36" s="12">
        <f t="shared" si="85"/>
        <v>16749</v>
      </c>
      <c r="K36" s="12">
        <f t="shared" si="85"/>
        <v>16811</v>
      </c>
      <c r="L36" s="12">
        <f t="shared" si="85"/>
        <v>16348</v>
      </c>
      <c r="M36" s="12">
        <f t="shared" si="85"/>
        <v>15185</v>
      </c>
      <c r="N36" s="12">
        <f t="shared" si="85"/>
        <v>14869</v>
      </c>
      <c r="O36" s="12">
        <f t="shared" si="85"/>
        <v>14701</v>
      </c>
      <c r="P36" s="12">
        <f t="shared" si="85"/>
        <v>14876</v>
      </c>
      <c r="Q36" s="12">
        <f>SUM(Q28:Q35)</f>
        <v>15076</v>
      </c>
      <c r="R36" s="12">
        <f t="shared" ref="R36:U36" si="86">SUM(R28:R35)</f>
        <v>14723</v>
      </c>
      <c r="S36" s="12">
        <f t="shared" si="86"/>
        <v>14280</v>
      </c>
      <c r="T36" s="12">
        <f t="shared" si="86"/>
        <v>15436</v>
      </c>
      <c r="U36" s="12">
        <f t="shared" si="86"/>
        <v>15222</v>
      </c>
      <c r="V36" s="14"/>
      <c r="W36" s="14"/>
      <c r="X36" s="14"/>
      <c r="Y36" s="12">
        <f t="shared" ref="Y36:AE36" si="87">SUM(Y28:Y35)</f>
        <v>11972</v>
      </c>
      <c r="Z36" s="12">
        <f t="shared" si="87"/>
        <v>12848</v>
      </c>
      <c r="AA36" s="12">
        <f t="shared" si="87"/>
        <v>15405</v>
      </c>
      <c r="AB36" s="12">
        <f t="shared" si="87"/>
        <v>16487</v>
      </c>
      <c r="AC36" s="12">
        <f t="shared" si="87"/>
        <v>17593</v>
      </c>
      <c r="AD36" s="12">
        <f t="shared" si="87"/>
        <v>16665</v>
      </c>
      <c r="AE36" s="12">
        <f t="shared" si="87"/>
        <v>17233</v>
      </c>
      <c r="AF36" s="12">
        <f t="shared" ref="AF36" si="88">SUM(AF28:AF35)</f>
        <v>17121</v>
      </c>
      <c r="AG36" s="12">
        <f t="shared" ref="AG36" si="89">SUM(AG28:AG35)</f>
        <v>16811</v>
      </c>
      <c r="AH36" s="12">
        <f t="shared" ref="AH36" si="90">SUM(AH28:AH35)</f>
        <v>14701</v>
      </c>
      <c r="AI36" s="12">
        <f t="shared" ref="AI36" si="91">SUM(AI28:AI35)</f>
        <v>14280</v>
      </c>
      <c r="AN36" s="14"/>
    </row>
    <row r="37" spans="3:40" x14ac:dyDescent="0.25">
      <c r="C37" s="11" t="s">
        <v>69</v>
      </c>
      <c r="D37" s="16">
        <v>8904</v>
      </c>
      <c r="E37" s="16">
        <v>8210</v>
      </c>
      <c r="F37" s="16">
        <v>8396</v>
      </c>
      <c r="G37" s="16">
        <v>9006</v>
      </c>
      <c r="H37" s="16">
        <v>9314</v>
      </c>
      <c r="I37" s="16">
        <v>8687</v>
      </c>
      <c r="J37" s="16">
        <v>8806</v>
      </c>
      <c r="K37" s="16">
        <v>8332</v>
      </c>
      <c r="L37" s="16">
        <v>8491</v>
      </c>
      <c r="M37" s="16">
        <v>8376</v>
      </c>
      <c r="N37" s="16">
        <v>8215</v>
      </c>
      <c r="O37" s="16">
        <v>8424</v>
      </c>
      <c r="P37" s="16">
        <v>8379</v>
      </c>
      <c r="Q37" s="16">
        <v>8257</v>
      </c>
      <c r="R37" s="16">
        <v>8240</v>
      </c>
      <c r="S37" s="16">
        <v>8191</v>
      </c>
      <c r="T37" s="16">
        <v>8400</v>
      </c>
      <c r="U37" s="14">
        <v>8311</v>
      </c>
      <c r="V37" s="14"/>
      <c r="W37" s="14"/>
      <c r="X37" s="14"/>
      <c r="Y37" s="14">
        <v>4521</v>
      </c>
      <c r="Z37" s="16">
        <v>5158</v>
      </c>
      <c r="AA37" s="16">
        <v>6178</v>
      </c>
      <c r="AB37" s="16">
        <v>6798</v>
      </c>
      <c r="AC37" s="16">
        <v>7326</v>
      </c>
      <c r="AD37" s="16">
        <v>7817</v>
      </c>
      <c r="AE37" s="16">
        <v>8608</v>
      </c>
      <c r="AF37" s="16">
        <v>9006</v>
      </c>
      <c r="AG37" s="16">
        <v>8332</v>
      </c>
      <c r="AH37" s="16">
        <v>8424</v>
      </c>
      <c r="AI37" s="16">
        <v>8191</v>
      </c>
      <c r="AN37" s="14"/>
    </row>
    <row r="38" spans="3:40" x14ac:dyDescent="0.25">
      <c r="C38" s="2" t="s">
        <v>70</v>
      </c>
      <c r="D38" s="14">
        <v>193</v>
      </c>
      <c r="E38" s="14">
        <v>247</v>
      </c>
      <c r="F38" s="14">
        <v>250</v>
      </c>
      <c r="G38" s="14">
        <v>268</v>
      </c>
      <c r="H38" s="14">
        <v>257</v>
      </c>
      <c r="I38" s="14">
        <v>186</v>
      </c>
      <c r="J38" s="14">
        <v>188</v>
      </c>
      <c r="K38" s="14">
        <v>397</v>
      </c>
      <c r="L38" s="14">
        <v>280</v>
      </c>
      <c r="M38" s="14">
        <v>264</v>
      </c>
      <c r="N38" s="14">
        <v>199</v>
      </c>
      <c r="O38" s="14">
        <v>109</v>
      </c>
      <c r="P38" s="14">
        <v>66</v>
      </c>
      <c r="Q38" s="14">
        <v>45</v>
      </c>
      <c r="R38" s="14">
        <v>45</v>
      </c>
      <c r="S38" s="14">
        <v>128</v>
      </c>
      <c r="T38" s="14">
        <v>519</v>
      </c>
      <c r="U38" s="14">
        <v>470</v>
      </c>
      <c r="V38" s="14"/>
      <c r="W38" s="14"/>
      <c r="X38" s="14"/>
      <c r="Y38" s="14">
        <v>410</v>
      </c>
      <c r="Z38" s="14">
        <v>282</v>
      </c>
      <c r="AA38" s="14">
        <v>203</v>
      </c>
      <c r="AB38" s="14">
        <v>146</v>
      </c>
      <c r="AC38" s="14">
        <v>425</v>
      </c>
      <c r="AD38" s="14">
        <v>354</v>
      </c>
      <c r="AE38" s="14">
        <v>190</v>
      </c>
      <c r="AF38" s="14">
        <v>268</v>
      </c>
      <c r="AG38" s="14">
        <v>397</v>
      </c>
      <c r="AH38" s="14">
        <v>109</v>
      </c>
      <c r="AI38" s="14">
        <v>128</v>
      </c>
      <c r="AN38" s="14"/>
    </row>
    <row r="39" spans="3:40" x14ac:dyDescent="0.25">
      <c r="C39" s="2" t="s">
        <v>71</v>
      </c>
      <c r="D39" s="14">
        <v>374</v>
      </c>
      <c r="E39" s="14">
        <v>373</v>
      </c>
      <c r="F39" s="14">
        <v>374</v>
      </c>
      <c r="G39" s="14">
        <v>414</v>
      </c>
      <c r="H39" s="14">
        <v>413</v>
      </c>
      <c r="I39" s="14">
        <v>413</v>
      </c>
      <c r="J39" s="14">
        <v>413</v>
      </c>
      <c r="K39" s="14">
        <v>364</v>
      </c>
      <c r="L39" s="14">
        <v>364</v>
      </c>
      <c r="M39" s="14">
        <v>240</v>
      </c>
      <c r="N39" s="14">
        <v>239</v>
      </c>
      <c r="O39" s="14">
        <v>84</v>
      </c>
      <c r="P39" s="14">
        <v>84</v>
      </c>
      <c r="Q39" s="14">
        <v>12</v>
      </c>
      <c r="R39" s="14">
        <v>12</v>
      </c>
      <c r="S39" s="14">
        <v>11</v>
      </c>
      <c r="T39" s="14">
        <v>12</v>
      </c>
      <c r="U39" s="14">
        <v>12</v>
      </c>
      <c r="V39" s="14"/>
      <c r="W39" s="14"/>
      <c r="X39" s="14"/>
      <c r="Y39" s="14">
        <v>160</v>
      </c>
      <c r="Z39" s="14">
        <v>168</v>
      </c>
      <c r="AA39" s="14">
        <v>273</v>
      </c>
      <c r="AB39" s="14">
        <v>696</v>
      </c>
      <c r="AC39" s="14">
        <v>765</v>
      </c>
      <c r="AD39" s="14">
        <v>372</v>
      </c>
      <c r="AE39" s="14">
        <v>373</v>
      </c>
      <c r="AF39" s="14">
        <v>414</v>
      </c>
      <c r="AG39" s="14">
        <v>364</v>
      </c>
      <c r="AH39" s="14">
        <v>84</v>
      </c>
      <c r="AI39" s="14">
        <v>11</v>
      </c>
      <c r="AN39" s="14"/>
    </row>
    <row r="40" spans="3:40" x14ac:dyDescent="0.25">
      <c r="C40" s="2" t="s">
        <v>72</v>
      </c>
      <c r="D40" s="16">
        <v>3066</v>
      </c>
      <c r="E40" s="14">
        <v>3036</v>
      </c>
      <c r="F40" s="14">
        <v>2862</v>
      </c>
      <c r="G40" s="14">
        <v>2717</v>
      </c>
      <c r="H40" s="14">
        <v>2591</v>
      </c>
      <c r="I40" s="14">
        <v>2671</v>
      </c>
      <c r="J40" s="14">
        <v>2631</v>
      </c>
      <c r="K40" s="14">
        <v>2559</v>
      </c>
      <c r="L40" s="14">
        <v>2398</v>
      </c>
      <c r="M40" s="14">
        <v>2382</v>
      </c>
      <c r="N40" s="14">
        <v>2503</v>
      </c>
      <c r="O40" s="14">
        <v>2246</v>
      </c>
      <c r="P40" s="14">
        <v>2208</v>
      </c>
      <c r="Q40" s="14">
        <v>2230</v>
      </c>
      <c r="R40" s="14">
        <v>2272</v>
      </c>
      <c r="S40" s="14">
        <v>2148</v>
      </c>
      <c r="T40" s="14">
        <v>2234</v>
      </c>
      <c r="U40" s="14">
        <v>2164</v>
      </c>
      <c r="V40" s="12"/>
      <c r="W40" s="12"/>
      <c r="X40" s="12"/>
      <c r="Y40" s="14">
        <v>2069</v>
      </c>
      <c r="Z40" s="14">
        <v>2297</v>
      </c>
      <c r="AA40" s="14">
        <v>2656</v>
      </c>
      <c r="AB40" s="14">
        <v>3037</v>
      </c>
      <c r="AC40" s="14">
        <v>3223</v>
      </c>
      <c r="AD40" s="14">
        <v>3290</v>
      </c>
      <c r="AE40" s="14">
        <v>3078</v>
      </c>
      <c r="AF40" s="14">
        <v>2717</v>
      </c>
      <c r="AG40" s="14">
        <v>2559</v>
      </c>
      <c r="AH40" s="14">
        <v>2246</v>
      </c>
      <c r="AI40" s="14">
        <v>2148</v>
      </c>
      <c r="AN40" s="12"/>
    </row>
    <row r="41" spans="3:40" x14ac:dyDescent="0.25">
      <c r="C41" s="2" t="s">
        <v>73</v>
      </c>
      <c r="D41" s="14">
        <v>658</v>
      </c>
      <c r="E41" s="14">
        <v>617</v>
      </c>
      <c r="F41" s="14">
        <v>662</v>
      </c>
      <c r="G41" s="14">
        <v>507</v>
      </c>
      <c r="H41" s="14">
        <v>461</v>
      </c>
      <c r="I41" s="14">
        <v>711</v>
      </c>
      <c r="J41" s="14">
        <v>852</v>
      </c>
      <c r="K41" s="14">
        <v>1526</v>
      </c>
      <c r="L41" s="14">
        <v>1499</v>
      </c>
      <c r="M41" s="14">
        <v>785</v>
      </c>
      <c r="N41" s="14">
        <v>459</v>
      </c>
      <c r="O41" s="14">
        <v>1111</v>
      </c>
      <c r="P41" s="14">
        <v>1699</v>
      </c>
      <c r="Q41" s="14">
        <v>1970</v>
      </c>
      <c r="R41" s="14">
        <v>1956</v>
      </c>
      <c r="S41" s="14">
        <v>1533</v>
      </c>
      <c r="T41" s="14">
        <v>1844</v>
      </c>
      <c r="U41" s="14">
        <v>1770</v>
      </c>
      <c r="V41" s="14"/>
      <c r="W41" s="14"/>
      <c r="X41" s="14"/>
      <c r="Y41" s="14">
        <v>934</v>
      </c>
      <c r="Z41" s="14">
        <v>438</v>
      </c>
      <c r="AA41" s="14">
        <v>332</v>
      </c>
      <c r="AB41" s="14">
        <v>694</v>
      </c>
      <c r="AC41" s="14">
        <v>690</v>
      </c>
      <c r="AD41" s="14">
        <v>579</v>
      </c>
      <c r="AE41" s="14">
        <v>667</v>
      </c>
      <c r="AF41" s="14">
        <v>507</v>
      </c>
      <c r="AG41" s="14">
        <v>1526</v>
      </c>
      <c r="AH41" s="14">
        <v>1111</v>
      </c>
      <c r="AI41" s="14">
        <v>1533</v>
      </c>
      <c r="AN41" s="21"/>
    </row>
    <row r="42" spans="3:40" x14ac:dyDescent="0.25">
      <c r="C42" s="2" t="s">
        <v>74</v>
      </c>
      <c r="D42" s="14">
        <v>4118</v>
      </c>
      <c r="E42" s="14">
        <v>4349</v>
      </c>
      <c r="F42" s="14">
        <v>4391</v>
      </c>
      <c r="G42" s="14">
        <v>4088</v>
      </c>
      <c r="H42" s="14">
        <v>4013</v>
      </c>
      <c r="I42" s="14">
        <v>3577</v>
      </c>
      <c r="J42" s="14">
        <v>3745</v>
      </c>
      <c r="K42" s="14">
        <v>3522</v>
      </c>
      <c r="L42" s="14">
        <v>3206</v>
      </c>
      <c r="M42" s="14">
        <v>3029</v>
      </c>
      <c r="N42" s="14">
        <v>3148</v>
      </c>
      <c r="O42" s="14">
        <v>2597</v>
      </c>
      <c r="P42" s="14">
        <v>2313</v>
      </c>
      <c r="Q42" s="14">
        <v>2429</v>
      </c>
      <c r="R42" s="14">
        <v>2056</v>
      </c>
      <c r="S42" s="14">
        <v>2135</v>
      </c>
      <c r="T42" s="14">
        <v>2295</v>
      </c>
      <c r="U42" s="14">
        <v>2370</v>
      </c>
      <c r="V42" s="14"/>
      <c r="W42" s="14"/>
      <c r="X42" s="14"/>
      <c r="Y42" s="14">
        <v>3784</v>
      </c>
      <c r="Z42" s="14">
        <v>4404</v>
      </c>
      <c r="AA42" s="14">
        <v>5654</v>
      </c>
      <c r="AB42" s="14">
        <v>4994</v>
      </c>
      <c r="AC42" s="14">
        <v>5030</v>
      </c>
      <c r="AD42" s="14">
        <v>4120</v>
      </c>
      <c r="AE42" s="14">
        <v>4172</v>
      </c>
      <c r="AF42" s="14">
        <v>4088</v>
      </c>
      <c r="AG42" s="14">
        <v>3522</v>
      </c>
      <c r="AH42" s="14">
        <v>2597</v>
      </c>
      <c r="AI42" s="14">
        <v>2135</v>
      </c>
      <c r="AN42" s="19"/>
    </row>
    <row r="43" spans="3:40" x14ac:dyDescent="0.25">
      <c r="C43" s="2" t="s">
        <v>75</v>
      </c>
      <c r="D43" s="14">
        <v>144</v>
      </c>
      <c r="E43" s="14">
        <v>142</v>
      </c>
      <c r="F43" s="14">
        <v>137</v>
      </c>
      <c r="G43" s="14">
        <v>122</v>
      </c>
      <c r="H43" s="14">
        <v>126</v>
      </c>
      <c r="I43" s="14">
        <v>124</v>
      </c>
      <c r="J43" s="14">
        <v>115</v>
      </c>
      <c r="K43" s="14">
        <v>113</v>
      </c>
      <c r="L43" s="14">
        <v>109</v>
      </c>
      <c r="M43" s="14">
        <v>109</v>
      </c>
      <c r="N43" s="14">
        <v>106</v>
      </c>
      <c r="O43" s="14">
        <v>130</v>
      </c>
      <c r="P43" s="14">
        <v>127</v>
      </c>
      <c r="Q43" s="14">
        <v>135</v>
      </c>
      <c r="R43" s="14">
        <v>142</v>
      </c>
      <c r="S43" s="14">
        <v>135</v>
      </c>
      <c r="T43" s="14">
        <v>131</v>
      </c>
      <c r="U43" s="14">
        <v>125</v>
      </c>
      <c r="V43" s="14"/>
      <c r="W43" s="14"/>
      <c r="X43" s="14"/>
      <c r="Y43" s="14">
        <v>94</v>
      </c>
      <c r="Z43" s="14">
        <v>101</v>
      </c>
      <c r="AA43" s="14">
        <v>109</v>
      </c>
      <c r="AB43" s="14">
        <v>122</v>
      </c>
      <c r="AC43" s="14">
        <v>134</v>
      </c>
      <c r="AD43" s="14">
        <v>133</v>
      </c>
      <c r="AE43" s="14">
        <v>145</v>
      </c>
      <c r="AF43" s="14">
        <v>122</v>
      </c>
      <c r="AG43" s="14">
        <v>113</v>
      </c>
      <c r="AH43" s="14">
        <v>130</v>
      </c>
      <c r="AI43" s="14">
        <v>135</v>
      </c>
    </row>
    <row r="44" spans="3:40" x14ac:dyDescent="0.25">
      <c r="C44" s="11" t="s">
        <v>76</v>
      </c>
      <c r="D44" s="16">
        <f t="shared" ref="D44:P44" si="92">SUM(D38:D43)</f>
        <v>8553</v>
      </c>
      <c r="E44" s="16">
        <f t="shared" si="92"/>
        <v>8764</v>
      </c>
      <c r="F44" s="16">
        <f t="shared" si="92"/>
        <v>8676</v>
      </c>
      <c r="G44" s="16">
        <f t="shared" si="92"/>
        <v>8116</v>
      </c>
      <c r="H44" s="16">
        <f t="shared" si="92"/>
        <v>7861</v>
      </c>
      <c r="I44" s="16">
        <f t="shared" si="92"/>
        <v>7682</v>
      </c>
      <c r="J44" s="16">
        <f t="shared" si="92"/>
        <v>7944</v>
      </c>
      <c r="K44" s="16">
        <f t="shared" si="92"/>
        <v>8481</v>
      </c>
      <c r="L44" s="16">
        <f t="shared" si="92"/>
        <v>7856</v>
      </c>
      <c r="M44" s="16">
        <f t="shared" si="92"/>
        <v>6809</v>
      </c>
      <c r="N44" s="16">
        <f t="shared" si="92"/>
        <v>6654</v>
      </c>
      <c r="O44" s="16">
        <f t="shared" si="92"/>
        <v>6277</v>
      </c>
      <c r="P44" s="16">
        <f t="shared" si="92"/>
        <v>6497</v>
      </c>
      <c r="Q44" s="16">
        <f>SUM(Q38:Q43)</f>
        <v>6821</v>
      </c>
      <c r="R44" s="16">
        <f t="shared" ref="R44:S44" si="93">SUM(R38:R43)</f>
        <v>6483</v>
      </c>
      <c r="S44" s="16">
        <f t="shared" si="93"/>
        <v>6090</v>
      </c>
      <c r="T44" s="16">
        <f t="shared" ref="T44:U44" si="94">SUM(T38:T43)</f>
        <v>7035</v>
      </c>
      <c r="U44" s="16">
        <f t="shared" si="94"/>
        <v>6911</v>
      </c>
      <c r="V44" s="14"/>
      <c r="W44" s="14"/>
      <c r="X44" s="14"/>
      <c r="Y44" s="16">
        <f t="shared" ref="Y44" si="95">SUM(Y38:Y43)</f>
        <v>7451</v>
      </c>
      <c r="Z44" s="16">
        <f t="shared" ref="Z44:AE44" si="96">SUM(Z38:Z43)</f>
        <v>7690</v>
      </c>
      <c r="AA44" s="16">
        <f t="shared" si="96"/>
        <v>9227</v>
      </c>
      <c r="AB44" s="16">
        <f t="shared" si="96"/>
        <v>9689</v>
      </c>
      <c r="AC44" s="16">
        <f t="shared" si="96"/>
        <v>10267</v>
      </c>
      <c r="AD44" s="16">
        <f t="shared" si="96"/>
        <v>8848</v>
      </c>
      <c r="AE44" s="16">
        <f t="shared" si="96"/>
        <v>8625</v>
      </c>
      <c r="AF44" s="16">
        <f t="shared" ref="AF44" si="97">SUM(AF38:AF43)</f>
        <v>8116</v>
      </c>
      <c r="AG44" s="16">
        <f t="shared" ref="AG44" si="98">SUM(AG38:AG43)</f>
        <v>8481</v>
      </c>
      <c r="AH44" s="16">
        <f t="shared" ref="AH44" si="99">SUM(AH38:AH43)</f>
        <v>6277</v>
      </c>
      <c r="AI44" s="16">
        <f t="shared" ref="AI44" si="100">SUM(AI38:AI43)</f>
        <v>6090</v>
      </c>
      <c r="AN44" s="22"/>
    </row>
    <row r="45" spans="3:40" x14ac:dyDescent="0.25">
      <c r="C45" s="1" t="s">
        <v>77</v>
      </c>
      <c r="D45" s="12">
        <f t="shared" ref="D45:P45" si="101">D37+D44</f>
        <v>17457</v>
      </c>
      <c r="E45" s="12">
        <f t="shared" si="101"/>
        <v>16974</v>
      </c>
      <c r="F45" s="12">
        <f t="shared" si="101"/>
        <v>17072</v>
      </c>
      <c r="G45" s="12">
        <f t="shared" si="101"/>
        <v>17122</v>
      </c>
      <c r="H45" s="12">
        <f t="shared" si="101"/>
        <v>17175</v>
      </c>
      <c r="I45" s="12">
        <f t="shared" si="101"/>
        <v>16369</v>
      </c>
      <c r="J45" s="12">
        <f t="shared" si="101"/>
        <v>16750</v>
      </c>
      <c r="K45" s="12">
        <f t="shared" si="101"/>
        <v>16813</v>
      </c>
      <c r="L45" s="12">
        <f t="shared" si="101"/>
        <v>16347</v>
      </c>
      <c r="M45" s="12">
        <f t="shared" si="101"/>
        <v>15185</v>
      </c>
      <c r="N45" s="12">
        <f t="shared" si="101"/>
        <v>14869</v>
      </c>
      <c r="O45" s="12">
        <f t="shared" si="101"/>
        <v>14701</v>
      </c>
      <c r="P45" s="12">
        <f t="shared" si="101"/>
        <v>14876</v>
      </c>
      <c r="Q45" s="12">
        <f>Q37+Q44</f>
        <v>15078</v>
      </c>
      <c r="R45" s="12">
        <f t="shared" ref="R45:S45" si="102">R37+R44</f>
        <v>14723</v>
      </c>
      <c r="S45" s="12">
        <f t="shared" si="102"/>
        <v>14281</v>
      </c>
      <c r="T45" s="12">
        <f t="shared" ref="T45:U45" si="103">T37+T44</f>
        <v>15435</v>
      </c>
      <c r="U45" s="12">
        <f t="shared" si="103"/>
        <v>15222</v>
      </c>
      <c r="V45" s="14"/>
      <c r="W45" s="14"/>
      <c r="X45" s="14"/>
      <c r="Y45" s="12">
        <f t="shared" ref="Y45" si="104">Y37+Y44</f>
        <v>11972</v>
      </c>
      <c r="Z45" s="12">
        <f t="shared" ref="Z45:AE45" si="105">Z37+Z44</f>
        <v>12848</v>
      </c>
      <c r="AA45" s="12">
        <f t="shared" si="105"/>
        <v>15405</v>
      </c>
      <c r="AB45" s="12">
        <f t="shared" si="105"/>
        <v>16487</v>
      </c>
      <c r="AC45" s="12">
        <f t="shared" si="105"/>
        <v>17593</v>
      </c>
      <c r="AD45" s="12">
        <f t="shared" si="105"/>
        <v>16665</v>
      </c>
      <c r="AE45" s="12">
        <f t="shared" si="105"/>
        <v>17233</v>
      </c>
      <c r="AF45" s="12">
        <f t="shared" ref="AF45" si="106">AF37+AF44</f>
        <v>17122</v>
      </c>
      <c r="AG45" s="12">
        <f t="shared" ref="AG45" si="107">AG37+AG44</f>
        <v>16813</v>
      </c>
      <c r="AH45" s="12">
        <f t="shared" ref="AH45" si="108">AH37+AH44</f>
        <v>14701</v>
      </c>
      <c r="AI45" s="12">
        <f t="shared" ref="AI45" si="109">AI37+AI44</f>
        <v>14281</v>
      </c>
      <c r="AN45" s="20"/>
    </row>
    <row r="46" spans="3:40" x14ac:dyDescent="0.25"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N46" s="20"/>
    </row>
    <row r="47" spans="3:40" x14ac:dyDescent="0.25">
      <c r="C47" s="1" t="s">
        <v>60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3:40" x14ac:dyDescent="0.25">
      <c r="C48" s="2" t="s">
        <v>78</v>
      </c>
      <c r="D48" s="14">
        <v>485</v>
      </c>
      <c r="E48" s="14">
        <v>704</v>
      </c>
      <c r="F48" s="14">
        <v>313</v>
      </c>
      <c r="G48" s="14">
        <v>533</v>
      </c>
      <c r="H48" s="14">
        <v>170</v>
      </c>
      <c r="I48" s="14">
        <v>308</v>
      </c>
      <c r="J48" s="14">
        <v>605</v>
      </c>
      <c r="K48" s="14">
        <v>801</v>
      </c>
      <c r="L48" s="14">
        <v>-86</v>
      </c>
      <c r="M48" s="14">
        <v>47</v>
      </c>
      <c r="N48" s="14">
        <v>-26</v>
      </c>
      <c r="O48" s="14">
        <v>83</v>
      </c>
      <c r="P48" s="14">
        <v>99</v>
      </c>
      <c r="Q48" s="14">
        <v>121</v>
      </c>
      <c r="R48" s="14">
        <v>-16</v>
      </c>
      <c r="S48" s="14">
        <v>6</v>
      </c>
      <c r="T48" s="14">
        <v>55</v>
      </c>
      <c r="U48" s="14">
        <v>39</v>
      </c>
      <c r="V48" s="14"/>
      <c r="W48" s="16"/>
      <c r="X48" s="16"/>
      <c r="Y48" s="14">
        <v>1532</v>
      </c>
      <c r="Z48" s="14">
        <v>2293</v>
      </c>
      <c r="AA48" s="14">
        <v>3095</v>
      </c>
      <c r="AB48" s="14">
        <v>2175</v>
      </c>
      <c r="AC48" s="14">
        <v>1867</v>
      </c>
      <c r="AD48" s="14">
        <v>1797</v>
      </c>
      <c r="AE48" s="14">
        <v>1541</v>
      </c>
      <c r="AF48" s="14">
        <f t="shared" ref="AF48:AF54" si="110">SUM(D48:G48)</f>
        <v>2035</v>
      </c>
      <c r="AG48" s="14">
        <f t="shared" ref="AG48:AG54" si="111">SUM(H48:K48)</f>
        <v>1884</v>
      </c>
      <c r="AH48" s="2">
        <v>-230</v>
      </c>
      <c r="AI48" s="14">
        <f t="shared" ref="AI48:AI54" si="112">SUM(P48:S48)</f>
        <v>210</v>
      </c>
    </row>
    <row r="49" spans="3:35" x14ac:dyDescent="0.25">
      <c r="C49" s="2" t="s">
        <v>79</v>
      </c>
      <c r="D49" s="14">
        <v>-151</v>
      </c>
      <c r="E49" s="14">
        <v>-300</v>
      </c>
      <c r="F49" s="14">
        <v>-116</v>
      </c>
      <c r="G49" s="14">
        <v>-116</v>
      </c>
      <c r="H49" s="14">
        <v>-153</v>
      </c>
      <c r="I49" s="14">
        <v>-249</v>
      </c>
      <c r="J49" s="14">
        <v>-314</v>
      </c>
      <c r="K49" s="14">
        <v>-344</v>
      </c>
      <c r="L49" s="14">
        <v>-159</v>
      </c>
      <c r="M49" s="14">
        <v>-113</v>
      </c>
      <c r="N49" s="14">
        <v>-318</v>
      </c>
      <c r="O49" s="14">
        <v>-314</v>
      </c>
      <c r="P49" s="14">
        <v>-163</v>
      </c>
      <c r="Q49" s="14">
        <v>-66</v>
      </c>
      <c r="R49" s="14">
        <v>-53</v>
      </c>
      <c r="S49" s="14">
        <v>-53</v>
      </c>
      <c r="T49" s="14">
        <v>-53</v>
      </c>
      <c r="U49" s="14">
        <v>-71</v>
      </c>
      <c r="V49" s="14"/>
      <c r="W49" s="14"/>
      <c r="X49" s="14"/>
      <c r="Y49" s="14">
        <v>-806</v>
      </c>
      <c r="Z49" s="14">
        <v>-413</v>
      </c>
      <c r="AA49" s="14">
        <v>-361</v>
      </c>
      <c r="AB49" s="14">
        <v>-697</v>
      </c>
      <c r="AC49" s="14">
        <v>-433</v>
      </c>
      <c r="AD49" s="14">
        <v>-484</v>
      </c>
      <c r="AE49" s="14">
        <v>-549</v>
      </c>
      <c r="AF49" s="14">
        <f t="shared" si="110"/>
        <v>-683</v>
      </c>
      <c r="AG49" s="14">
        <f t="shared" si="111"/>
        <v>-1060</v>
      </c>
      <c r="AH49" s="2">
        <v>0</v>
      </c>
      <c r="AI49" s="14">
        <f t="shared" si="112"/>
        <v>-335</v>
      </c>
    </row>
    <row r="50" spans="3:35" x14ac:dyDescent="0.25">
      <c r="C50" s="2" t="s">
        <v>80</v>
      </c>
      <c r="D50" s="14">
        <f>-365+431</f>
        <v>66</v>
      </c>
      <c r="E50" s="14">
        <f>-1007+692</f>
        <v>-315</v>
      </c>
      <c r="F50" s="14">
        <f>-668+430</f>
        <v>-238</v>
      </c>
      <c r="G50" s="14">
        <f>-196+416</f>
        <v>220</v>
      </c>
      <c r="H50" s="14">
        <f>-67+229</f>
        <v>162</v>
      </c>
      <c r="I50" s="14">
        <f>-708+400</f>
        <v>-308</v>
      </c>
      <c r="J50" s="14">
        <f>-976+561</f>
        <v>-415</v>
      </c>
      <c r="K50" s="14">
        <f>-1338+1091</f>
        <v>-247</v>
      </c>
      <c r="L50" s="14">
        <v>-16</v>
      </c>
      <c r="M50" s="14">
        <v>127</v>
      </c>
      <c r="N50" s="14">
        <f>-617+980</f>
        <v>363</v>
      </c>
      <c r="O50" s="14">
        <f>-1150+1485</f>
        <v>335</v>
      </c>
      <c r="P50" s="14">
        <v>107</v>
      </c>
      <c r="Q50" s="14">
        <v>-133</v>
      </c>
      <c r="R50" s="14">
        <v>146</v>
      </c>
      <c r="S50" s="14">
        <v>203</v>
      </c>
      <c r="T50" s="14">
        <v>135</v>
      </c>
      <c r="U50" s="14">
        <v>-14</v>
      </c>
      <c r="V50" s="14"/>
      <c r="W50" s="14"/>
      <c r="X50" s="14"/>
      <c r="Y50" s="14">
        <v>-837</v>
      </c>
      <c r="Z50" s="14">
        <v>40</v>
      </c>
      <c r="AA50" s="14">
        <v>-456</v>
      </c>
      <c r="AB50" s="14">
        <v>-924</v>
      </c>
      <c r="AC50" s="14">
        <v>-249</v>
      </c>
      <c r="AD50" s="14">
        <v>481</v>
      </c>
      <c r="AE50" s="14">
        <v>-190</v>
      </c>
      <c r="AF50" s="14">
        <f t="shared" si="110"/>
        <v>-267</v>
      </c>
      <c r="AG50" s="14">
        <f t="shared" si="111"/>
        <v>-808</v>
      </c>
      <c r="AH50" s="2">
        <v>335</v>
      </c>
      <c r="AI50" s="14">
        <f t="shared" si="112"/>
        <v>323</v>
      </c>
    </row>
    <row r="51" spans="3:35" x14ac:dyDescent="0.25">
      <c r="C51" s="2" t="s">
        <v>81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2">
        <v>0</v>
      </c>
      <c r="J51" s="14">
        <f>-1294+792</f>
        <v>-502</v>
      </c>
      <c r="K51" s="14">
        <f>-1671+1186</f>
        <v>-485</v>
      </c>
      <c r="L51" s="14">
        <v>169</v>
      </c>
      <c r="M51" s="14">
        <v>-2</v>
      </c>
      <c r="N51" s="14">
        <f>-1300+1477</f>
        <v>177</v>
      </c>
      <c r="O51" s="14">
        <f>-1920+2078</f>
        <v>158</v>
      </c>
      <c r="P51" s="14">
        <v>-322</v>
      </c>
      <c r="Q51" s="14">
        <v>59</v>
      </c>
      <c r="R51" s="14">
        <v>244</v>
      </c>
      <c r="S51" s="14">
        <v>57</v>
      </c>
      <c r="T51" s="14">
        <v>264</v>
      </c>
      <c r="U51" s="14">
        <v>539</v>
      </c>
      <c r="V51" s="14"/>
      <c r="W51" s="14"/>
      <c r="X51" s="14"/>
      <c r="Y51" s="14"/>
      <c r="Z51" s="14"/>
      <c r="AA51" s="14"/>
      <c r="AB51" s="14"/>
      <c r="AC51" s="14"/>
      <c r="AD51" s="14">
        <v>-77</v>
      </c>
      <c r="AE51" s="14">
        <v>107</v>
      </c>
      <c r="AF51" s="14">
        <f t="shared" si="110"/>
        <v>0</v>
      </c>
      <c r="AG51" s="14">
        <f t="shared" si="111"/>
        <v>-987</v>
      </c>
      <c r="AH51" s="2">
        <v>158</v>
      </c>
      <c r="AI51" s="14">
        <f t="shared" si="112"/>
        <v>38</v>
      </c>
    </row>
    <row r="52" spans="3:35" x14ac:dyDescent="0.25">
      <c r="C52" s="2" t="s">
        <v>82</v>
      </c>
      <c r="D52" s="14">
        <v>-83</v>
      </c>
      <c r="E52" s="14">
        <f>-395</f>
        <v>-395</v>
      </c>
      <c r="F52" s="14">
        <v>-143</v>
      </c>
      <c r="G52" s="14">
        <f>-257+79</f>
        <v>-178</v>
      </c>
      <c r="H52" s="14">
        <v>-149</v>
      </c>
      <c r="I52" s="14">
        <f>-310+3</f>
        <v>-307</v>
      </c>
      <c r="J52" s="14">
        <f>-393+26</f>
        <v>-367</v>
      </c>
      <c r="K52" s="14">
        <f>-429+46</f>
        <v>-383</v>
      </c>
      <c r="L52" s="14">
        <v>-108</v>
      </c>
      <c r="M52" s="14">
        <v>429</v>
      </c>
      <c r="N52" s="14">
        <f>-102+410</f>
        <v>308</v>
      </c>
      <c r="O52" s="14">
        <f>-167+735</f>
        <v>568</v>
      </c>
      <c r="P52" s="14">
        <v>-4</v>
      </c>
      <c r="Q52" s="14">
        <v>-65</v>
      </c>
      <c r="R52" s="14">
        <v>83</v>
      </c>
      <c r="S52" s="14">
        <v>-104</v>
      </c>
      <c r="T52" s="14">
        <v>201</v>
      </c>
      <c r="U52" s="14">
        <v>0</v>
      </c>
      <c r="V52" s="14"/>
      <c r="W52" s="14"/>
      <c r="X52" s="14"/>
      <c r="Y52" s="14">
        <v>-168</v>
      </c>
      <c r="Z52" s="14">
        <v>-241</v>
      </c>
      <c r="AA52" s="14">
        <v>-484</v>
      </c>
      <c r="AB52" s="14">
        <v>-522</v>
      </c>
      <c r="AC52" s="14">
        <v>439</v>
      </c>
      <c r="AD52" s="14">
        <v>369</v>
      </c>
      <c r="AE52" s="14">
        <v>893</v>
      </c>
      <c r="AF52" s="14">
        <f t="shared" si="110"/>
        <v>-799</v>
      </c>
      <c r="AG52" s="14">
        <f t="shared" si="111"/>
        <v>-1206</v>
      </c>
      <c r="AH52" s="2">
        <v>0</v>
      </c>
      <c r="AI52" s="14">
        <f t="shared" si="112"/>
        <v>-90</v>
      </c>
    </row>
    <row r="53" spans="3:35" x14ac:dyDescent="0.25">
      <c r="C53" s="2" t="s">
        <v>83</v>
      </c>
      <c r="D53" s="14">
        <v>-45</v>
      </c>
      <c r="E53" s="14">
        <v>54</v>
      </c>
      <c r="F53" s="14">
        <v>-179</v>
      </c>
      <c r="G53" s="14">
        <v>-105</v>
      </c>
      <c r="H53" s="14">
        <v>762</v>
      </c>
      <c r="I53" s="14">
        <v>205</v>
      </c>
      <c r="J53" s="14">
        <v>541</v>
      </c>
      <c r="K53" s="14">
        <v>610</v>
      </c>
      <c r="L53" s="14">
        <v>-749</v>
      </c>
      <c r="M53" s="14">
        <v>174</v>
      </c>
      <c r="N53" s="14">
        <f>-372</f>
        <v>-372</v>
      </c>
      <c r="O53" s="14">
        <v>-1100</v>
      </c>
      <c r="P53" s="14">
        <v>-227</v>
      </c>
      <c r="Q53" s="14">
        <v>-120</v>
      </c>
      <c r="R53" s="14">
        <v>-81</v>
      </c>
      <c r="S53" s="14">
        <v>358</v>
      </c>
      <c r="T53" s="14">
        <v>-580</v>
      </c>
      <c r="U53" s="14">
        <v>213</v>
      </c>
      <c r="V53" s="14"/>
      <c r="W53" s="14"/>
      <c r="X53" s="14"/>
      <c r="Y53" s="14">
        <v>49</v>
      </c>
      <c r="Z53" s="14">
        <v>278</v>
      </c>
      <c r="AA53" s="14">
        <v>219</v>
      </c>
      <c r="AB53" s="14">
        <v>-505</v>
      </c>
      <c r="AC53" s="12">
        <v>-333</v>
      </c>
      <c r="AD53" s="14">
        <v>-371</v>
      </c>
      <c r="AE53" s="14">
        <v>485</v>
      </c>
      <c r="AF53" s="14">
        <f t="shared" si="110"/>
        <v>-275</v>
      </c>
      <c r="AG53" s="14">
        <f t="shared" si="111"/>
        <v>2118</v>
      </c>
      <c r="AH53" s="2">
        <f>187-266-219-802</f>
        <v>-1100</v>
      </c>
      <c r="AI53" s="14">
        <f t="shared" si="112"/>
        <v>-70</v>
      </c>
    </row>
    <row r="54" spans="3:35" x14ac:dyDescent="0.25">
      <c r="C54" s="1" t="s">
        <v>84</v>
      </c>
      <c r="D54" s="12">
        <f t="shared" ref="D54:P54" si="113">SUM(D48:D53)</f>
        <v>272</v>
      </c>
      <c r="E54" s="12">
        <f t="shared" si="113"/>
        <v>-252</v>
      </c>
      <c r="F54" s="12">
        <f t="shared" si="113"/>
        <v>-363</v>
      </c>
      <c r="G54" s="12">
        <f t="shared" si="113"/>
        <v>354</v>
      </c>
      <c r="H54" s="12">
        <f t="shared" si="113"/>
        <v>792</v>
      </c>
      <c r="I54" s="12">
        <f t="shared" si="113"/>
        <v>-351</v>
      </c>
      <c r="J54" s="12">
        <f t="shared" si="113"/>
        <v>-452</v>
      </c>
      <c r="K54" s="12">
        <f t="shared" si="113"/>
        <v>-48</v>
      </c>
      <c r="L54" s="12">
        <f t="shared" si="113"/>
        <v>-949</v>
      </c>
      <c r="M54" s="12">
        <f t="shared" si="113"/>
        <v>662</v>
      </c>
      <c r="N54" s="12">
        <f t="shared" si="113"/>
        <v>132</v>
      </c>
      <c r="O54" s="12">
        <f t="shared" si="113"/>
        <v>-270</v>
      </c>
      <c r="P54" s="12">
        <f t="shared" si="113"/>
        <v>-510</v>
      </c>
      <c r="Q54" s="12">
        <f>SUM(Q48:Q53)</f>
        <v>-204</v>
      </c>
      <c r="R54" s="12">
        <f t="shared" ref="R54:U54" si="114">SUM(R48:R53)</f>
        <v>323</v>
      </c>
      <c r="S54" s="12">
        <f t="shared" si="114"/>
        <v>467</v>
      </c>
      <c r="T54" s="12">
        <f t="shared" si="114"/>
        <v>22</v>
      </c>
      <c r="U54" s="12">
        <f t="shared" si="114"/>
        <v>706</v>
      </c>
      <c r="V54" s="14"/>
      <c r="W54" s="14"/>
      <c r="X54" s="14"/>
      <c r="Y54" s="12">
        <f t="shared" ref="Y54:AD54" si="115">SUM(Y48:Y53)</f>
        <v>-230</v>
      </c>
      <c r="Z54" s="12">
        <f t="shared" si="115"/>
        <v>1957</v>
      </c>
      <c r="AA54" s="12">
        <f t="shared" si="115"/>
        <v>2013</v>
      </c>
      <c r="AB54" s="12">
        <f t="shared" si="115"/>
        <v>-473</v>
      </c>
      <c r="AC54" s="12">
        <f t="shared" si="115"/>
        <v>1291</v>
      </c>
      <c r="AD54" s="12">
        <f t="shared" si="115"/>
        <v>1715</v>
      </c>
      <c r="AE54" s="12">
        <f>SUM(AE48:AE53)</f>
        <v>2287</v>
      </c>
      <c r="AF54" s="12">
        <f t="shared" si="110"/>
        <v>11</v>
      </c>
      <c r="AG54" s="12">
        <f t="shared" si="111"/>
        <v>-59</v>
      </c>
      <c r="AH54" s="12">
        <f t="shared" ref="AH54" si="116">SUM(AH48:AH53)</f>
        <v>-837</v>
      </c>
      <c r="AI54" s="12">
        <f t="shared" si="112"/>
        <v>76</v>
      </c>
    </row>
    <row r="55" spans="3:35" x14ac:dyDescent="0.25"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I55" s="14"/>
    </row>
    <row r="56" spans="3:35" x14ac:dyDescent="0.25">
      <c r="C56" s="1" t="s">
        <v>85</v>
      </c>
      <c r="D56" s="12">
        <v>-6</v>
      </c>
      <c r="E56" s="12">
        <v>0</v>
      </c>
      <c r="F56" s="12">
        <v>0</v>
      </c>
      <c r="G56" s="12">
        <v>-28</v>
      </c>
      <c r="H56" s="12">
        <v>1</v>
      </c>
      <c r="I56" s="12">
        <v>0</v>
      </c>
      <c r="J56" s="12">
        <v>-1</v>
      </c>
      <c r="K56" s="12">
        <v>-2</v>
      </c>
      <c r="L56" s="12">
        <v>-11</v>
      </c>
      <c r="M56" s="12">
        <v>-32</v>
      </c>
      <c r="N56" s="12">
        <v>-44</v>
      </c>
      <c r="O56" s="12">
        <v>-69</v>
      </c>
      <c r="P56" s="12">
        <v>-16</v>
      </c>
      <c r="Q56" s="12">
        <v>-10</v>
      </c>
      <c r="R56" s="12">
        <v>-3</v>
      </c>
      <c r="S56" s="12">
        <v>2</v>
      </c>
      <c r="T56" s="12">
        <v>-208</v>
      </c>
      <c r="U56" s="14">
        <v>-8</v>
      </c>
      <c r="V56" s="14"/>
      <c r="W56" s="14"/>
      <c r="X56" s="14"/>
      <c r="Y56" s="12">
        <v>-11</v>
      </c>
      <c r="Z56" s="12">
        <v>-6</v>
      </c>
      <c r="AA56" s="12">
        <v>300</v>
      </c>
      <c r="AB56" s="12">
        <v>-8</v>
      </c>
      <c r="AC56" s="12">
        <v>-7</v>
      </c>
      <c r="AD56" s="12">
        <v>-79</v>
      </c>
      <c r="AE56" s="12">
        <v>-17</v>
      </c>
      <c r="AF56" s="12">
        <f>SUM(D56:G56)</f>
        <v>-34</v>
      </c>
      <c r="AG56" s="12">
        <f>SUM(H56:K56)</f>
        <v>-2</v>
      </c>
      <c r="AH56" s="1">
        <v>-69</v>
      </c>
      <c r="AI56" s="12">
        <f>SUM(P56:S56)</f>
        <v>-27</v>
      </c>
    </row>
    <row r="57" spans="3:35" x14ac:dyDescent="0.25"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2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2"/>
      <c r="AD57" s="12"/>
      <c r="AE57" s="12"/>
      <c r="AF57" s="14"/>
      <c r="AG57" s="14"/>
      <c r="AH57" s="1"/>
      <c r="AI57" s="14"/>
    </row>
    <row r="58" spans="3:35" x14ac:dyDescent="0.25">
      <c r="C58" s="2" t="s">
        <v>86</v>
      </c>
      <c r="D58" s="14">
        <v>271</v>
      </c>
      <c r="E58" s="14">
        <v>360</v>
      </c>
      <c r="F58" s="14">
        <v>85</v>
      </c>
      <c r="G58" s="14">
        <v>94</v>
      </c>
      <c r="H58" s="14">
        <v>62</v>
      </c>
      <c r="I58" s="14">
        <v>333</v>
      </c>
      <c r="J58" s="14">
        <v>484</v>
      </c>
      <c r="K58" s="14">
        <v>976</v>
      </c>
      <c r="L58" s="14">
        <v>421</v>
      </c>
      <c r="M58" s="14">
        <v>1261</v>
      </c>
      <c r="N58" s="14">
        <v>1941</v>
      </c>
      <c r="O58" s="14">
        <v>2968</v>
      </c>
      <c r="P58" s="14">
        <v>592</v>
      </c>
      <c r="Q58" s="14">
        <v>793</v>
      </c>
      <c r="R58" s="14">
        <v>680</v>
      </c>
      <c r="S58" s="14">
        <v>614</v>
      </c>
      <c r="T58" s="14">
        <v>1150</v>
      </c>
      <c r="U58" s="14">
        <v>10</v>
      </c>
      <c r="V58" s="14"/>
      <c r="W58" s="14"/>
      <c r="X58" s="14"/>
      <c r="Y58" s="14">
        <v>750</v>
      </c>
      <c r="Z58" s="14">
        <v>299</v>
      </c>
      <c r="AA58" s="14">
        <v>214</v>
      </c>
      <c r="AB58" s="14">
        <v>623</v>
      </c>
      <c r="AC58" s="14">
        <v>658</v>
      </c>
      <c r="AD58" s="14">
        <v>453</v>
      </c>
      <c r="AE58" s="14">
        <v>663</v>
      </c>
      <c r="AF58" s="14">
        <f>SUM(D58:G58)</f>
        <v>810</v>
      </c>
      <c r="AG58" s="14">
        <f>SUM(H58:K58)</f>
        <v>1855</v>
      </c>
      <c r="AH58" s="2">
        <v>2968</v>
      </c>
      <c r="AI58" s="14">
        <f>SUM(P58:S58)</f>
        <v>2679</v>
      </c>
    </row>
    <row r="59" spans="3:35" x14ac:dyDescent="0.25">
      <c r="C59" s="2" t="s">
        <v>87</v>
      </c>
      <c r="D59" s="14">
        <v>-292</v>
      </c>
      <c r="E59" s="14">
        <v>-371</v>
      </c>
      <c r="F59" s="14">
        <v>-52</v>
      </c>
      <c r="G59" s="14">
        <v>-238</v>
      </c>
      <c r="H59" s="14">
        <v>-101</v>
      </c>
      <c r="I59" s="14">
        <v>-206</v>
      </c>
      <c r="J59" s="14">
        <v>-219</v>
      </c>
      <c r="K59" s="14">
        <v>-245</v>
      </c>
      <c r="L59" s="14">
        <v>-488</v>
      </c>
      <c r="M59" s="14">
        <v>-1853</v>
      </c>
      <c r="N59" s="14">
        <v>-2964</v>
      </c>
      <c r="O59" s="14">
        <v>-3602</v>
      </c>
      <c r="P59" s="14">
        <v>-127</v>
      </c>
      <c r="Q59" s="14">
        <v>-577</v>
      </c>
      <c r="R59" s="14">
        <v>-705</v>
      </c>
      <c r="S59" s="14">
        <v>-989</v>
      </c>
      <c r="T59" s="14">
        <v>-1056</v>
      </c>
      <c r="U59" s="14">
        <v>-170</v>
      </c>
      <c r="V59" s="14"/>
      <c r="W59" s="14"/>
      <c r="X59" s="14"/>
      <c r="Y59" s="14">
        <v>-1052</v>
      </c>
      <c r="Z59" s="14">
        <v>-1409</v>
      </c>
      <c r="AA59" s="14">
        <v>-798</v>
      </c>
      <c r="AB59" s="14">
        <v>-270</v>
      </c>
      <c r="AC59" s="14">
        <v>-399</v>
      </c>
      <c r="AD59" s="14">
        <v>-571</v>
      </c>
      <c r="AE59" s="14">
        <v>-1113</v>
      </c>
      <c r="AF59" s="14">
        <f>SUM(D59:G59)</f>
        <v>-953</v>
      </c>
      <c r="AG59" s="14">
        <f>SUM(H59:K59)</f>
        <v>-771</v>
      </c>
      <c r="AH59" s="2">
        <v>-3602</v>
      </c>
      <c r="AI59" s="14">
        <f>SUM(P59:S59)</f>
        <v>-2398</v>
      </c>
    </row>
    <row r="60" spans="3:35" x14ac:dyDescent="0.25">
      <c r="C60" s="2" t="s">
        <v>88</v>
      </c>
      <c r="D60" s="14">
        <v>-124</v>
      </c>
      <c r="E60" s="14">
        <f>-324-921</f>
        <v>-1245</v>
      </c>
      <c r="F60" s="14">
        <v>-250</v>
      </c>
      <c r="G60" s="14">
        <v>-250</v>
      </c>
      <c r="H60" s="14">
        <v>0</v>
      </c>
      <c r="I60" s="14">
        <v>-903</v>
      </c>
      <c r="J60" s="14">
        <v>-903</v>
      </c>
      <c r="K60" s="14">
        <v>-903</v>
      </c>
      <c r="L60" s="14">
        <v>0</v>
      </c>
      <c r="M60" s="14">
        <v>-194</v>
      </c>
      <c r="N60" s="14">
        <v>-194</v>
      </c>
      <c r="O60" s="14">
        <v>-194</v>
      </c>
      <c r="P60" s="14">
        <v>0</v>
      </c>
      <c r="Q60" s="14">
        <v>-210</v>
      </c>
      <c r="R60" s="14">
        <v>0</v>
      </c>
      <c r="S60" s="14">
        <v>0</v>
      </c>
      <c r="T60" s="14">
        <v>0</v>
      </c>
      <c r="U60" s="14">
        <v>-129</v>
      </c>
      <c r="V60" s="14"/>
      <c r="W60" s="14"/>
      <c r="X60" s="14"/>
      <c r="Y60" s="14">
        <v>-600</v>
      </c>
      <c r="Z60" s="14">
        <v>-602</v>
      </c>
      <c r="AA60" s="14">
        <v>-675</v>
      </c>
      <c r="AB60" s="14">
        <v>-765</v>
      </c>
      <c r="AC60" s="14">
        <v>-835</v>
      </c>
      <c r="AD60" s="14">
        <v>-870</v>
      </c>
      <c r="AE60" s="14">
        <v>-887</v>
      </c>
      <c r="AF60" s="14">
        <f>SUM(D60:G60)</f>
        <v>-1869</v>
      </c>
      <c r="AG60" s="14">
        <f>SUM(H60:K60)</f>
        <v>-2709</v>
      </c>
      <c r="AH60" s="2">
        <v>-194</v>
      </c>
      <c r="AI60" s="14">
        <f>SUM(P60:S60)</f>
        <v>-210</v>
      </c>
    </row>
    <row r="61" spans="3:35" x14ac:dyDescent="0.25">
      <c r="C61" s="1" t="s">
        <v>89</v>
      </c>
      <c r="D61" s="12">
        <f t="shared" ref="D61:P61" si="117">SUM(D58:D60)</f>
        <v>-145</v>
      </c>
      <c r="E61" s="12">
        <f t="shared" si="117"/>
        <v>-1256</v>
      </c>
      <c r="F61" s="12">
        <f t="shared" si="117"/>
        <v>-217</v>
      </c>
      <c r="G61" s="12">
        <f t="shared" si="117"/>
        <v>-394</v>
      </c>
      <c r="H61" s="12">
        <f t="shared" si="117"/>
        <v>-39</v>
      </c>
      <c r="I61" s="12">
        <f t="shared" si="117"/>
        <v>-776</v>
      </c>
      <c r="J61" s="12">
        <f t="shared" si="117"/>
        <v>-638</v>
      </c>
      <c r="K61" s="12">
        <f t="shared" si="117"/>
        <v>-172</v>
      </c>
      <c r="L61" s="12">
        <f t="shared" si="117"/>
        <v>-67</v>
      </c>
      <c r="M61" s="12">
        <f t="shared" si="117"/>
        <v>-786</v>
      </c>
      <c r="N61" s="12">
        <f t="shared" si="117"/>
        <v>-1217</v>
      </c>
      <c r="O61" s="12">
        <f t="shared" si="117"/>
        <v>-828</v>
      </c>
      <c r="P61" s="12">
        <f t="shared" si="117"/>
        <v>465</v>
      </c>
      <c r="Q61" s="12">
        <f>SUM(Q58:Q60)</f>
        <v>6</v>
      </c>
      <c r="R61" s="12">
        <f t="shared" ref="R61:U61" si="118">SUM(R58:R60)</f>
        <v>-25</v>
      </c>
      <c r="S61" s="12">
        <f t="shared" si="118"/>
        <v>-375</v>
      </c>
      <c r="T61" s="12">
        <f t="shared" si="118"/>
        <v>94</v>
      </c>
      <c r="U61" s="12">
        <f t="shared" si="118"/>
        <v>-289</v>
      </c>
      <c r="V61" s="14"/>
      <c r="W61" s="12"/>
      <c r="X61" s="12"/>
      <c r="Y61" s="12">
        <f t="shared" ref="Y61:AD61" si="119">SUM(Y58:Y60)</f>
        <v>-902</v>
      </c>
      <c r="Z61" s="12">
        <f t="shared" si="119"/>
        <v>-1712</v>
      </c>
      <c r="AA61" s="12">
        <f t="shared" si="119"/>
        <v>-1259</v>
      </c>
      <c r="AB61" s="12">
        <f t="shared" si="119"/>
        <v>-412</v>
      </c>
      <c r="AC61" s="12">
        <f t="shared" si="119"/>
        <v>-576</v>
      </c>
      <c r="AD61" s="12">
        <f t="shared" si="119"/>
        <v>-988</v>
      </c>
      <c r="AE61" s="12">
        <f>SUM(AE58:AE60)</f>
        <v>-1337</v>
      </c>
      <c r="AF61" s="12">
        <f>SUM(D61:G61)</f>
        <v>-2012</v>
      </c>
      <c r="AG61" s="12">
        <f>SUM(H61:K61)</f>
        <v>-1625</v>
      </c>
      <c r="AH61" s="1">
        <f>SUM(AH58:AH60)</f>
        <v>-828</v>
      </c>
      <c r="AI61" s="12">
        <f>SUM(P61:S61)</f>
        <v>71</v>
      </c>
    </row>
    <row r="62" spans="3:35" x14ac:dyDescent="0.25"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2"/>
      <c r="S62" s="12"/>
      <c r="T62" s="12"/>
      <c r="U62" s="12"/>
      <c r="V62" s="14"/>
      <c r="W62" s="12"/>
      <c r="X62" s="12"/>
      <c r="Y62" s="12"/>
      <c r="Z62" s="12"/>
      <c r="AA62" s="12"/>
      <c r="AB62" s="12"/>
      <c r="AC62" s="14"/>
      <c r="AD62" s="14"/>
      <c r="AE62" s="14"/>
      <c r="AF62" s="14"/>
      <c r="AG62" s="14"/>
      <c r="AI62" s="14"/>
    </row>
    <row r="63" spans="3:35" x14ac:dyDescent="0.25">
      <c r="C63" s="2" t="s">
        <v>91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-8</v>
      </c>
      <c r="K63" s="14">
        <v>-37</v>
      </c>
      <c r="L63" s="14">
        <v>11</v>
      </c>
      <c r="M63" s="14">
        <v>5</v>
      </c>
      <c r="N63" s="14">
        <v>11</v>
      </c>
      <c r="O63" s="14">
        <v>13</v>
      </c>
      <c r="P63" s="14">
        <v>-8</v>
      </c>
      <c r="Q63" s="14">
        <v>4</v>
      </c>
      <c r="R63" s="14">
        <v>-2</v>
      </c>
      <c r="S63" s="14">
        <v>-9</v>
      </c>
      <c r="T63" s="14">
        <v>11</v>
      </c>
      <c r="U63" s="14">
        <v>4</v>
      </c>
      <c r="V63" s="14"/>
      <c r="W63" s="12"/>
      <c r="X63" s="12"/>
      <c r="Y63" s="12">
        <v>-6</v>
      </c>
      <c r="Z63" s="12">
        <v>6</v>
      </c>
      <c r="AA63" s="12">
        <v>-2</v>
      </c>
      <c r="AB63" s="12">
        <v>3</v>
      </c>
      <c r="AC63" s="12">
        <v>7</v>
      </c>
      <c r="AD63" s="12">
        <v>-8</v>
      </c>
      <c r="AE63" s="12">
        <v>11</v>
      </c>
      <c r="AF63" s="14">
        <f>SUM(D63:G63)</f>
        <v>0</v>
      </c>
      <c r="AG63" s="14">
        <f>SUM(H63:K63)</f>
        <v>-45</v>
      </c>
      <c r="AH63" s="2">
        <v>13</v>
      </c>
      <c r="AI63" s="14">
        <f>SUM(P63:S63)</f>
        <v>-15</v>
      </c>
    </row>
    <row r="64" spans="3:35" x14ac:dyDescent="0.25"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2"/>
      <c r="T64" s="12"/>
      <c r="U64" s="12"/>
      <c r="V64" s="14"/>
      <c r="W64" s="12"/>
      <c r="X64" s="12"/>
      <c r="Y64" s="12"/>
      <c r="Z64" s="12"/>
      <c r="AA64" s="12"/>
      <c r="AB64" s="12"/>
      <c r="AC64" s="12"/>
      <c r="AD64" s="12"/>
      <c r="AE64" s="14"/>
      <c r="AF64" s="14"/>
      <c r="AG64" s="14"/>
      <c r="AI64" s="14"/>
    </row>
    <row r="65" spans="3:35" x14ac:dyDescent="0.25">
      <c r="C65" s="2" t="s">
        <v>92</v>
      </c>
      <c r="D65" s="14">
        <f t="shared" ref="D65:P65" si="120">D54+D56+D61+D63</f>
        <v>121</v>
      </c>
      <c r="E65" s="14">
        <f t="shared" si="120"/>
        <v>-1508</v>
      </c>
      <c r="F65" s="14">
        <f t="shared" si="120"/>
        <v>-580</v>
      </c>
      <c r="G65" s="14">
        <f t="shared" si="120"/>
        <v>-68</v>
      </c>
      <c r="H65" s="14">
        <f t="shared" si="120"/>
        <v>754</v>
      </c>
      <c r="I65" s="14">
        <f t="shared" si="120"/>
        <v>-1127</v>
      </c>
      <c r="J65" s="14">
        <f t="shared" si="120"/>
        <v>-1099</v>
      </c>
      <c r="K65" s="14">
        <f t="shared" si="120"/>
        <v>-259</v>
      </c>
      <c r="L65" s="14">
        <f t="shared" si="120"/>
        <v>-1016</v>
      </c>
      <c r="M65" s="14">
        <f t="shared" si="120"/>
        <v>-151</v>
      </c>
      <c r="N65" s="14">
        <f t="shared" si="120"/>
        <v>-1118</v>
      </c>
      <c r="O65" s="14">
        <f t="shared" si="120"/>
        <v>-1154</v>
      </c>
      <c r="P65" s="14">
        <f t="shared" si="120"/>
        <v>-69</v>
      </c>
      <c r="Q65" s="14">
        <f>Q54+Q56+Q61+Q63</f>
        <v>-204</v>
      </c>
      <c r="R65" s="14">
        <f t="shared" ref="R65:S65" si="121">R54+R56+R61+R63</f>
        <v>293</v>
      </c>
      <c r="S65" s="14">
        <f t="shared" si="121"/>
        <v>85</v>
      </c>
      <c r="T65" s="14">
        <f t="shared" ref="T65:U65" si="122">T54+T56+T61+T63</f>
        <v>-81</v>
      </c>
      <c r="U65" s="14">
        <f t="shared" si="122"/>
        <v>413</v>
      </c>
      <c r="V65" s="14"/>
      <c r="W65" s="12"/>
      <c r="X65" s="12"/>
      <c r="Y65" s="14">
        <f t="shared" ref="Y65" si="123">Y54+Y56+Y61+Y63</f>
        <v>-1149</v>
      </c>
      <c r="Z65" s="14">
        <f t="shared" ref="Z65:AB65" si="124">Z54+Z56+Z61+Z63</f>
        <v>245</v>
      </c>
      <c r="AA65" s="14">
        <f t="shared" si="124"/>
        <v>1052</v>
      </c>
      <c r="AB65" s="14">
        <f t="shared" si="124"/>
        <v>-890</v>
      </c>
      <c r="AC65" s="14">
        <f t="shared" ref="AC65:AD65" si="125">AC54+AC56+AC61+AC63</f>
        <v>715</v>
      </c>
      <c r="AD65" s="14">
        <f t="shared" si="125"/>
        <v>640</v>
      </c>
      <c r="AE65" s="14">
        <f>AE54+AE56+AE61+AE63</f>
        <v>944</v>
      </c>
      <c r="AF65" s="14">
        <f>SUM(D65:G65)</f>
        <v>-2035</v>
      </c>
      <c r="AG65" s="14">
        <f>SUM(H65:K65)</f>
        <v>-1731</v>
      </c>
      <c r="AH65" s="14">
        <f>AH54+AH56+AH61+AH63</f>
        <v>-1721</v>
      </c>
      <c r="AI65" s="14">
        <f>SUM(P65:S65)</f>
        <v>105</v>
      </c>
    </row>
    <row r="66" spans="3:35" x14ac:dyDescent="0.25"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2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spans="3:35" x14ac:dyDescent="0.25">
      <c r="C67" s="2" t="s">
        <v>90</v>
      </c>
      <c r="D67" s="14">
        <f t="shared" ref="D67:P67" si="126">D54+D56</f>
        <v>266</v>
      </c>
      <c r="E67" s="14">
        <f t="shared" si="126"/>
        <v>-252</v>
      </c>
      <c r="F67" s="14">
        <f>F54+F56</f>
        <v>-363</v>
      </c>
      <c r="G67" s="14">
        <f t="shared" si="126"/>
        <v>326</v>
      </c>
      <c r="H67" s="14">
        <f t="shared" si="126"/>
        <v>793</v>
      </c>
      <c r="I67" s="14">
        <f t="shared" si="126"/>
        <v>-351</v>
      </c>
      <c r="J67" s="14">
        <f t="shared" si="126"/>
        <v>-453</v>
      </c>
      <c r="K67" s="14">
        <f t="shared" si="126"/>
        <v>-50</v>
      </c>
      <c r="L67" s="14">
        <f t="shared" si="126"/>
        <v>-960</v>
      </c>
      <c r="M67" s="14">
        <f t="shared" si="126"/>
        <v>630</v>
      </c>
      <c r="N67" s="14">
        <f t="shared" si="126"/>
        <v>88</v>
      </c>
      <c r="O67" s="14">
        <f t="shared" si="126"/>
        <v>-339</v>
      </c>
      <c r="P67" s="14">
        <f t="shared" si="126"/>
        <v>-526</v>
      </c>
      <c r="Q67" s="14">
        <f>Q54+Q56</f>
        <v>-214</v>
      </c>
      <c r="R67" s="14">
        <f t="shared" ref="R67:S67" si="127">R54+R56</f>
        <v>320</v>
      </c>
      <c r="S67" s="14">
        <f t="shared" si="127"/>
        <v>469</v>
      </c>
      <c r="T67" s="14">
        <f t="shared" ref="T67:U67" si="128">T54+T56</f>
        <v>-186</v>
      </c>
      <c r="U67" s="14">
        <f t="shared" si="128"/>
        <v>698</v>
      </c>
      <c r="V67" s="14"/>
      <c r="W67" s="12"/>
      <c r="X67" s="12"/>
      <c r="Y67" s="14">
        <f t="shared" ref="Y67" si="129">Y54+Y56</f>
        <v>-241</v>
      </c>
      <c r="Z67" s="14">
        <f t="shared" ref="Z67:AB67" si="130">Z54+Z56</f>
        <v>1951</v>
      </c>
      <c r="AA67" s="14">
        <f t="shared" si="130"/>
        <v>2313</v>
      </c>
      <c r="AB67" s="14">
        <f t="shared" si="130"/>
        <v>-481</v>
      </c>
      <c r="AC67" s="14">
        <f t="shared" ref="AC67:AH67" si="131">AC54+AC56</f>
        <v>1284</v>
      </c>
      <c r="AD67" s="14">
        <f t="shared" si="131"/>
        <v>1636</v>
      </c>
      <c r="AE67" s="14">
        <f t="shared" si="131"/>
        <v>2270</v>
      </c>
      <c r="AF67" s="14">
        <f>SUM(D67:G67)</f>
        <v>-23</v>
      </c>
      <c r="AG67" s="14">
        <f>SUM(H67:K67)</f>
        <v>-61</v>
      </c>
      <c r="AH67" s="14">
        <f t="shared" si="131"/>
        <v>-906</v>
      </c>
      <c r="AI67" s="14">
        <f>SUM(P67:S67)</f>
        <v>49</v>
      </c>
    </row>
    <row r="68" spans="3:35" x14ac:dyDescent="0.25">
      <c r="R68" s="1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3:AA49"/>
  <sheetViews>
    <sheetView showGridLines="0" zoomScale="90" zoomScaleNormal="90" workbookViewId="0">
      <pane xSplit="2" ySplit="3" topLeftCell="Q29" activePane="bottomRight" state="frozen"/>
      <selection pane="topRight" activeCell="C1" sqref="C1"/>
      <selection pane="bottomLeft" activeCell="A4" sqref="A4"/>
      <selection pane="bottomRight" activeCell="X43" sqref="X43"/>
    </sheetView>
  </sheetViews>
  <sheetFormatPr baseColWidth="10" defaultColWidth="10.83203125" defaultRowHeight="19" x14ac:dyDescent="0.25"/>
  <cols>
    <col min="1" max="1" width="7" style="2" customWidth="1"/>
    <col min="2" max="2" width="26.83203125" style="2" customWidth="1"/>
    <col min="3" max="16384" width="10.83203125" style="2"/>
  </cols>
  <sheetData>
    <row r="3" spans="2:27" x14ac:dyDescent="0.25">
      <c r="B3" s="2" t="s">
        <v>38</v>
      </c>
      <c r="C3" s="7" t="s">
        <v>3</v>
      </c>
      <c r="D3" s="7" t="s">
        <v>4</v>
      </c>
      <c r="E3" s="7" t="s">
        <v>5</v>
      </c>
      <c r="F3" s="7" t="s">
        <v>6</v>
      </c>
      <c r="G3" s="34">
        <v>2022</v>
      </c>
      <c r="H3" s="7" t="s">
        <v>7</v>
      </c>
      <c r="I3" s="7" t="s">
        <v>8</v>
      </c>
      <c r="J3" s="7" t="s">
        <v>9</v>
      </c>
      <c r="K3" s="7" t="s">
        <v>10</v>
      </c>
      <c r="L3" s="34">
        <v>2023</v>
      </c>
      <c r="M3" s="7" t="s">
        <v>11</v>
      </c>
      <c r="N3" s="7" t="s">
        <v>12</v>
      </c>
      <c r="O3" s="7" t="s">
        <v>13</v>
      </c>
      <c r="P3" s="7" t="s">
        <v>14</v>
      </c>
      <c r="Q3" s="34">
        <v>2024</v>
      </c>
      <c r="R3" s="7" t="s">
        <v>37</v>
      </c>
      <c r="S3" s="7" t="s">
        <v>31</v>
      </c>
      <c r="T3" s="7" t="s">
        <v>35</v>
      </c>
      <c r="U3" s="7" t="s">
        <v>36</v>
      </c>
      <c r="V3" s="36">
        <v>2025</v>
      </c>
      <c r="W3" s="7" t="s">
        <v>131</v>
      </c>
      <c r="X3" s="7" t="s">
        <v>132</v>
      </c>
      <c r="Y3" s="7" t="s">
        <v>133</v>
      </c>
      <c r="Z3" s="7" t="s">
        <v>134</v>
      </c>
      <c r="AA3" s="36">
        <v>2026</v>
      </c>
    </row>
    <row r="4" spans="2:27" x14ac:dyDescent="0.25">
      <c r="B4" s="1" t="s">
        <v>110</v>
      </c>
      <c r="G4" s="35"/>
      <c r="L4" s="35"/>
      <c r="Q4" s="35"/>
      <c r="V4" s="35"/>
      <c r="AA4" s="35"/>
    </row>
    <row r="5" spans="2:27" s="14" customFormat="1" x14ac:dyDescent="0.25">
      <c r="B5" s="14" t="s">
        <v>45</v>
      </c>
      <c r="C5" s="14">
        <v>1285</v>
      </c>
      <c r="D5" s="14">
        <v>1196</v>
      </c>
      <c r="E5" s="14">
        <v>1141</v>
      </c>
      <c r="F5" s="14">
        <v>1344</v>
      </c>
      <c r="G5" s="47">
        <f>SUM(C5:F5)</f>
        <v>4966</v>
      </c>
      <c r="H5" s="14">
        <v>1095</v>
      </c>
      <c r="I5" s="14">
        <v>1176</v>
      </c>
      <c r="J5" s="14">
        <v>955</v>
      </c>
      <c r="K5" s="14">
        <v>1022</v>
      </c>
      <c r="L5" s="47">
        <f>SUM(H5:K5)</f>
        <v>4248</v>
      </c>
      <c r="M5" s="14">
        <v>882</v>
      </c>
      <c r="N5" s="14">
        <v>1280</v>
      </c>
      <c r="O5" s="14">
        <v>783</v>
      </c>
      <c r="P5" s="14">
        <v>1255</v>
      </c>
      <c r="Q5" s="47">
        <f>SUM(M5:P5)</f>
        <v>4200</v>
      </c>
      <c r="R5" s="14">
        <v>849</v>
      </c>
      <c r="S5" s="14">
        <v>764</v>
      </c>
      <c r="T5" s="14">
        <v>619</v>
      </c>
      <c r="U5" s="14">
        <v>955</v>
      </c>
      <c r="V5" s="47">
        <f>SUM(R5:U5)</f>
        <v>3187</v>
      </c>
      <c r="W5" s="14">
        <v>994</v>
      </c>
      <c r="X5" s="14">
        <v>1109</v>
      </c>
      <c r="AA5" s="47">
        <f>SUM(W5:Z5)</f>
        <v>2103</v>
      </c>
    </row>
    <row r="6" spans="2:27" x14ac:dyDescent="0.25">
      <c r="B6" s="11" t="s">
        <v>112</v>
      </c>
      <c r="C6" s="33"/>
      <c r="D6" s="33"/>
      <c r="E6" s="33"/>
      <c r="F6" s="33"/>
      <c r="G6" s="37"/>
      <c r="H6" s="33">
        <f t="shared" ref="H6:R6" si="0">(H5-C5)/C5</f>
        <v>-0.14785992217898833</v>
      </c>
      <c r="I6" s="33">
        <f t="shared" si="0"/>
        <v>-1.6722408026755852E-2</v>
      </c>
      <c r="J6" s="33">
        <f t="shared" si="0"/>
        <v>-0.16301489921121823</v>
      </c>
      <c r="K6" s="33">
        <f t="shared" si="0"/>
        <v>-0.23958333333333334</v>
      </c>
      <c r="L6" s="37">
        <f t="shared" si="0"/>
        <v>-0.1445831655255739</v>
      </c>
      <c r="M6" s="33">
        <f t="shared" si="0"/>
        <v>-0.19452054794520549</v>
      </c>
      <c r="N6" s="33">
        <f t="shared" si="0"/>
        <v>8.8435374149659865E-2</v>
      </c>
      <c r="O6" s="33">
        <f t="shared" si="0"/>
        <v>-0.18010471204188483</v>
      </c>
      <c r="P6" s="33">
        <f t="shared" si="0"/>
        <v>0.22798434442270057</v>
      </c>
      <c r="Q6" s="37">
        <f>(Q5-L5)/L5</f>
        <v>-1.1299435028248588E-2</v>
      </c>
      <c r="R6" s="33">
        <f t="shared" si="0"/>
        <v>-3.7414965986394558E-2</v>
      </c>
      <c r="S6" s="33">
        <f>(S5-N5)/N5</f>
        <v>-0.40312500000000001</v>
      </c>
      <c r="T6" s="33">
        <f t="shared" ref="T6:V6" si="1">(T5-O5)/O5</f>
        <v>-0.20945083014048532</v>
      </c>
      <c r="U6" s="44">
        <f t="shared" si="1"/>
        <v>-0.23904382470119523</v>
      </c>
      <c r="V6" s="37">
        <f t="shared" si="1"/>
        <v>-0.24119047619047618</v>
      </c>
      <c r="W6" s="33">
        <f t="shared" ref="W6" si="2">(W5-R5)/R5</f>
        <v>0.17078916372202591</v>
      </c>
      <c r="X6" s="33">
        <f>(X5-S5)/S5</f>
        <v>0.45157068062827227</v>
      </c>
      <c r="Y6" s="33">
        <f t="shared" ref="Y6" si="3">(Y5-T5)/T5</f>
        <v>-1</v>
      </c>
      <c r="Z6" s="44">
        <f t="shared" ref="Z6" si="4">(Z5-U5)/U5</f>
        <v>-1</v>
      </c>
      <c r="AA6" s="37">
        <f t="shared" ref="AA6" si="5">(AA5-V5)/V5</f>
        <v>-0.34013178537809852</v>
      </c>
    </row>
    <row r="7" spans="2:27" x14ac:dyDescent="0.25">
      <c r="B7" s="2" t="s">
        <v>50</v>
      </c>
      <c r="C7" s="2">
        <v>190</v>
      </c>
      <c r="D7" s="2">
        <v>182</v>
      </c>
      <c r="E7" s="2">
        <v>160</v>
      </c>
      <c r="F7" s="2">
        <v>188</v>
      </c>
      <c r="G7" s="36">
        <f>SUM(C7:F7)</f>
        <v>720</v>
      </c>
      <c r="H7" s="2">
        <v>116</v>
      </c>
      <c r="I7" s="2">
        <v>90</v>
      </c>
      <c r="J7" s="2">
        <v>24</v>
      </c>
      <c r="K7" s="2">
        <v>-118</v>
      </c>
      <c r="L7" s="36">
        <f>SUM(H7:K7)</f>
        <v>112</v>
      </c>
      <c r="M7" s="2">
        <v>-47</v>
      </c>
      <c r="N7" s="2">
        <v>4</v>
      </c>
      <c r="O7" s="2">
        <v>-2</v>
      </c>
      <c r="P7" s="2">
        <v>-58</v>
      </c>
      <c r="Q7" s="36">
        <f>SUM(M7:P7)</f>
        <v>-103</v>
      </c>
      <c r="R7" s="2">
        <v>1</v>
      </c>
      <c r="S7" s="2">
        <v>1</v>
      </c>
      <c r="T7" s="2">
        <v>-11</v>
      </c>
      <c r="U7" s="4">
        <v>-19</v>
      </c>
      <c r="V7" s="36">
        <f>SUM(R7:U7)</f>
        <v>-28</v>
      </c>
      <c r="W7" s="2">
        <v>142</v>
      </c>
      <c r="X7" s="2">
        <v>39</v>
      </c>
      <c r="Z7" s="4"/>
      <c r="AA7" s="36">
        <f>SUM(W7:Z7)</f>
        <v>181</v>
      </c>
    </row>
    <row r="8" spans="2:27" x14ac:dyDescent="0.25">
      <c r="B8" s="32" t="s">
        <v>111</v>
      </c>
      <c r="C8" s="32">
        <v>0.14799999999999999</v>
      </c>
      <c r="D8" s="32">
        <v>0.152</v>
      </c>
      <c r="E8" s="32">
        <v>0.14099999999999999</v>
      </c>
      <c r="F8" s="32">
        <v>0.14000000000000001</v>
      </c>
      <c r="G8" s="38">
        <f>G7/G5</f>
        <v>0.14498590414820781</v>
      </c>
      <c r="H8" s="32">
        <v>0.106</v>
      </c>
      <c r="I8" s="32">
        <v>7.5999999999999998E-2</v>
      </c>
      <c r="J8" s="32">
        <v>2.5000000000000001E-2</v>
      </c>
      <c r="K8" s="32">
        <v>-0.115</v>
      </c>
      <c r="L8" s="38">
        <f>L7/L5</f>
        <v>2.6365348399246705E-2</v>
      </c>
      <c r="M8" s="32">
        <v>-5.2999999999999999E-2</v>
      </c>
      <c r="N8" s="32">
        <v>3.0000000000000001E-3</v>
      </c>
      <c r="O8" s="32">
        <v>-2E-3</v>
      </c>
      <c r="P8" s="32">
        <v>-4.7E-2</v>
      </c>
      <c r="Q8" s="38">
        <f>Q7/Q5</f>
        <v>-2.4523809523809524E-2</v>
      </c>
      <c r="R8" s="32">
        <v>1E-3</v>
      </c>
      <c r="S8" s="32">
        <v>1E-3</v>
      </c>
      <c r="T8" s="32">
        <v>-1.7000000000000001E-2</v>
      </c>
      <c r="U8" s="32">
        <v>-0.02</v>
      </c>
      <c r="V8" s="38">
        <f>V7/V5</f>
        <v>-8.7856918732350173E-3</v>
      </c>
      <c r="W8" s="32">
        <v>0.14299999999999999</v>
      </c>
      <c r="X8" s="32">
        <v>3.5000000000000003E-2</v>
      </c>
      <c r="Y8" s="32"/>
      <c r="Z8" s="32"/>
      <c r="AA8" s="38">
        <f>AA7/AA5</f>
        <v>8.6067522586780784E-2</v>
      </c>
    </row>
    <row r="9" spans="2:27" x14ac:dyDescent="0.25">
      <c r="B9" s="2" t="s">
        <v>113</v>
      </c>
      <c r="C9" s="2">
        <v>244</v>
      </c>
      <c r="D9" s="2">
        <v>-182</v>
      </c>
      <c r="E9" s="2">
        <v>242</v>
      </c>
      <c r="F9" s="2">
        <v>-6</v>
      </c>
      <c r="G9" s="36">
        <f>SUM(C9:F9)</f>
        <v>298</v>
      </c>
      <c r="H9" s="2">
        <v>76</v>
      </c>
      <c r="I9" s="2">
        <v>-806</v>
      </c>
      <c r="J9" s="2">
        <v>144</v>
      </c>
      <c r="K9" s="2">
        <v>54</v>
      </c>
      <c r="L9" s="36">
        <f>SUM(H9:K9)</f>
        <v>-532</v>
      </c>
      <c r="M9" s="2">
        <v>-312</v>
      </c>
      <c r="N9" s="2">
        <v>-30</v>
      </c>
      <c r="O9" s="2">
        <v>115</v>
      </c>
      <c r="P9" s="2">
        <v>-385</v>
      </c>
      <c r="Q9" s="36">
        <f>SUM(M9:P9)</f>
        <v>-612</v>
      </c>
      <c r="R9" s="2">
        <v>-444</v>
      </c>
      <c r="S9" s="2">
        <v>56</v>
      </c>
      <c r="T9" s="2">
        <v>226</v>
      </c>
      <c r="U9" s="2">
        <v>413</v>
      </c>
      <c r="V9" s="36">
        <f>SUM(R9:U9)</f>
        <v>251</v>
      </c>
      <c r="W9" s="2">
        <v>330</v>
      </c>
      <c r="X9" s="2">
        <v>646</v>
      </c>
      <c r="AA9" s="36">
        <f>SUM(W9:Z9)</f>
        <v>976</v>
      </c>
    </row>
    <row r="10" spans="2:27" x14ac:dyDescent="0.25">
      <c r="B10" s="2" t="s">
        <v>94</v>
      </c>
      <c r="C10" s="2">
        <v>264</v>
      </c>
      <c r="D10" s="2">
        <v>230</v>
      </c>
      <c r="E10" s="2">
        <v>102</v>
      </c>
      <c r="F10" s="2">
        <v>61</v>
      </c>
      <c r="G10" s="36">
        <f>SUM(C10:F10)</f>
        <v>657</v>
      </c>
      <c r="H10" s="2">
        <v>51</v>
      </c>
      <c r="I10" s="2">
        <v>66</v>
      </c>
      <c r="J10" s="2">
        <v>74</v>
      </c>
      <c r="K10" s="2">
        <v>124</v>
      </c>
      <c r="L10" s="36">
        <f>SUM(H10:K10)</f>
        <v>315</v>
      </c>
      <c r="M10" s="2">
        <v>168</v>
      </c>
      <c r="N10" s="2">
        <v>223</v>
      </c>
      <c r="O10" s="2">
        <v>162</v>
      </c>
      <c r="P10" s="2">
        <v>232</v>
      </c>
      <c r="Q10" s="36">
        <f>SUM(M10:P10)</f>
        <v>785</v>
      </c>
      <c r="R10" s="2">
        <v>224</v>
      </c>
      <c r="S10" s="2">
        <v>155</v>
      </c>
      <c r="T10" s="2">
        <v>143</v>
      </c>
      <c r="U10" s="2">
        <v>198</v>
      </c>
      <c r="V10" s="36">
        <f>SUM(R10:U10)</f>
        <v>720</v>
      </c>
      <c r="W10" s="2">
        <f>226+165</f>
        <v>391</v>
      </c>
      <c r="X10" s="2">
        <v>275</v>
      </c>
      <c r="AA10" s="36">
        <f>SUM(W10:Z10)</f>
        <v>666</v>
      </c>
    </row>
    <row r="11" spans="2:27" x14ac:dyDescent="0.25">
      <c r="B11" s="27" t="s">
        <v>93</v>
      </c>
      <c r="C11" s="27">
        <v>73</v>
      </c>
      <c r="D11" s="27">
        <v>178</v>
      </c>
      <c r="E11" s="27">
        <v>205</v>
      </c>
      <c r="F11" s="27">
        <v>265</v>
      </c>
      <c r="G11" s="39">
        <f>SUM(C11:F11)</f>
        <v>721</v>
      </c>
      <c r="H11" s="27">
        <v>0</v>
      </c>
      <c r="I11" s="27">
        <v>0</v>
      </c>
      <c r="J11" s="27">
        <v>133</v>
      </c>
      <c r="K11" s="27">
        <v>98</v>
      </c>
      <c r="L11" s="39">
        <f>SUM(H11:K11)</f>
        <v>231</v>
      </c>
      <c r="M11" s="27">
        <v>145</v>
      </c>
      <c r="N11" s="27">
        <v>253</v>
      </c>
      <c r="O11" s="27">
        <v>144</v>
      </c>
      <c r="P11" s="27">
        <v>216</v>
      </c>
      <c r="Q11" s="39">
        <f>SUM(M11:P11)</f>
        <v>758</v>
      </c>
      <c r="R11" s="27">
        <v>86</v>
      </c>
      <c r="S11" s="27">
        <v>117</v>
      </c>
      <c r="T11" s="27">
        <v>211</v>
      </c>
      <c r="U11" s="27">
        <v>223</v>
      </c>
      <c r="V11" s="39">
        <f>SUM(R11:U11)</f>
        <v>637</v>
      </c>
      <c r="W11" s="27">
        <v>118</v>
      </c>
      <c r="X11" s="27">
        <v>294</v>
      </c>
      <c r="Y11" s="27"/>
      <c r="Z11" s="27"/>
      <c r="AA11" s="39">
        <f>SUM(W11:Z11)</f>
        <v>412</v>
      </c>
    </row>
    <row r="12" spans="2:27" x14ac:dyDescent="0.25">
      <c r="B12" s="1" t="s">
        <v>114</v>
      </c>
      <c r="G12" s="35"/>
      <c r="L12" s="35"/>
      <c r="Q12" s="35"/>
      <c r="V12" s="35"/>
      <c r="AA12" s="35"/>
    </row>
    <row r="13" spans="2:27" s="14" customFormat="1" x14ac:dyDescent="0.25">
      <c r="B13" s="14" t="s">
        <v>45</v>
      </c>
      <c r="C13" s="14">
        <v>1127</v>
      </c>
      <c r="D13" s="14">
        <v>1205</v>
      </c>
      <c r="E13" s="14">
        <v>1012</v>
      </c>
      <c r="F13" s="14">
        <v>1156</v>
      </c>
      <c r="G13" s="47">
        <f>SUM(C13:F13)</f>
        <v>4500</v>
      </c>
      <c r="H13" s="14">
        <v>1129</v>
      </c>
      <c r="I13" s="14">
        <v>982</v>
      </c>
      <c r="J13" s="14">
        <v>639</v>
      </c>
      <c r="K13" s="14">
        <v>726</v>
      </c>
      <c r="L13" s="47">
        <f>SUM(H13:K13)</f>
        <v>3476</v>
      </c>
      <c r="M13" s="14">
        <v>600</v>
      </c>
      <c r="N13" s="14">
        <v>584</v>
      </c>
      <c r="O13" s="14">
        <v>557</v>
      </c>
      <c r="P13" s="14">
        <v>641</v>
      </c>
      <c r="Q13" s="47">
        <f>SUM(M13:P13)</f>
        <v>2382</v>
      </c>
      <c r="R13" s="14">
        <v>598</v>
      </c>
      <c r="S13" s="14">
        <v>654</v>
      </c>
      <c r="T13" s="14">
        <v>533</v>
      </c>
      <c r="U13" s="14">
        <v>688</v>
      </c>
      <c r="V13" s="47">
        <f>SUM(R13:U13)</f>
        <v>2473</v>
      </c>
      <c r="W13" s="14">
        <v>694</v>
      </c>
      <c r="X13" s="14">
        <v>675</v>
      </c>
      <c r="AA13" s="47">
        <f>SUM(W13:Z13)</f>
        <v>1369</v>
      </c>
    </row>
    <row r="14" spans="2:27" x14ac:dyDescent="0.25">
      <c r="B14" s="11" t="s">
        <v>112</v>
      </c>
      <c r="G14" s="37"/>
      <c r="H14" s="33">
        <f t="shared" ref="H14" si="6">(H13-C13)/C13</f>
        <v>1.7746228926353151E-3</v>
      </c>
      <c r="I14" s="33">
        <f t="shared" ref="I14" si="7">(I13-D13)/D13</f>
        <v>-0.18506224066390042</v>
      </c>
      <c r="J14" s="33">
        <f t="shared" ref="J14" si="8">(J13-E13)/E13</f>
        <v>-0.36857707509881421</v>
      </c>
      <c r="K14" s="33">
        <f t="shared" ref="K14:L14" si="9">(K13-F13)/F13</f>
        <v>-0.37197231833910033</v>
      </c>
      <c r="L14" s="37">
        <f t="shared" si="9"/>
        <v>-0.22755555555555557</v>
      </c>
      <c r="M14" s="33">
        <f t="shared" ref="M14" si="10">(M13-H13)/H13</f>
        <v>-0.46855624446412752</v>
      </c>
      <c r="N14" s="33">
        <f t="shared" ref="N14" si="11">(N13-I13)/I13</f>
        <v>-0.40529531568228105</v>
      </c>
      <c r="O14" s="33">
        <f t="shared" ref="O14" si="12">(O13-J13)/J13</f>
        <v>-0.12832550860719874</v>
      </c>
      <c r="P14" s="33">
        <f t="shared" ref="P14:Q14" si="13">(P13-K13)/K13</f>
        <v>-0.11707988980716254</v>
      </c>
      <c r="Q14" s="37">
        <f t="shared" si="13"/>
        <v>-0.3147295742232451</v>
      </c>
      <c r="R14" s="33">
        <f t="shared" ref="R14" si="14">(R13-M13)/M13</f>
        <v>-3.3333333333333335E-3</v>
      </c>
      <c r="S14" s="33">
        <f>(S13-N13)/N13</f>
        <v>0.11986301369863013</v>
      </c>
      <c r="T14" s="33">
        <f t="shared" ref="T14" si="15">(T13-O13)/O13</f>
        <v>-4.3087971274685818E-2</v>
      </c>
      <c r="U14" s="33">
        <f t="shared" ref="U14:V14" si="16">(U13-P13)/P13</f>
        <v>7.3322932917316688E-2</v>
      </c>
      <c r="V14" s="37">
        <f t="shared" si="16"/>
        <v>3.82031905961377E-2</v>
      </c>
      <c r="W14" s="33">
        <f t="shared" ref="W14" si="17">(W13-R13)/R13</f>
        <v>0.16053511705685619</v>
      </c>
      <c r="X14" s="33">
        <f>(X13-S13)/S13</f>
        <v>3.2110091743119268E-2</v>
      </c>
      <c r="Y14" s="33">
        <f t="shared" ref="Y14" si="18">(Y13-T13)/T13</f>
        <v>-1</v>
      </c>
      <c r="Z14" s="33">
        <f t="shared" ref="Z14" si="19">(Z13-U13)/U13</f>
        <v>-1</v>
      </c>
      <c r="AA14" s="37">
        <f t="shared" ref="AA14" si="20">(AA13-V13)/V13</f>
        <v>-0.44642135058633237</v>
      </c>
    </row>
    <row r="15" spans="2:27" x14ac:dyDescent="0.25">
      <c r="B15" s="2" t="s">
        <v>50</v>
      </c>
      <c r="C15" s="2">
        <v>174</v>
      </c>
      <c r="D15" s="2">
        <v>185</v>
      </c>
      <c r="E15" s="2">
        <v>153</v>
      </c>
      <c r="F15" s="2">
        <v>171</v>
      </c>
      <c r="G15" s="36">
        <f>SUM(C15:F15)</f>
        <v>683</v>
      </c>
      <c r="H15" s="2">
        <v>126</v>
      </c>
      <c r="I15" s="2">
        <v>51</v>
      </c>
      <c r="J15" s="2">
        <v>32</v>
      </c>
      <c r="K15" s="2">
        <v>-71</v>
      </c>
      <c r="L15" s="36">
        <f>SUM(H15:K15)</f>
        <v>138</v>
      </c>
      <c r="M15" s="2">
        <v>17</v>
      </c>
      <c r="N15" s="2">
        <v>15</v>
      </c>
      <c r="O15" s="2">
        <v>23</v>
      </c>
      <c r="P15" s="2">
        <v>21</v>
      </c>
      <c r="Q15" s="36">
        <f>SUM(M15:P15)</f>
        <v>76</v>
      </c>
      <c r="R15" s="2">
        <v>18</v>
      </c>
      <c r="S15" s="2">
        <v>22</v>
      </c>
      <c r="T15" s="2">
        <v>17</v>
      </c>
      <c r="U15" s="2">
        <v>-8</v>
      </c>
      <c r="V15" s="36">
        <f>SUM(R15:U15)</f>
        <v>49</v>
      </c>
      <c r="W15" s="2">
        <v>28</v>
      </c>
      <c r="X15" s="2">
        <v>28</v>
      </c>
      <c r="AA15" s="36">
        <f>SUM(W15:Z15)</f>
        <v>56</v>
      </c>
    </row>
    <row r="16" spans="2:27" x14ac:dyDescent="0.25">
      <c r="B16" s="32" t="s">
        <v>111</v>
      </c>
      <c r="C16" s="32">
        <v>0.155</v>
      </c>
      <c r="D16" s="32">
        <v>0.153</v>
      </c>
      <c r="E16" s="32">
        <v>0.151</v>
      </c>
      <c r="F16" s="32">
        <v>0.14799999999999999</v>
      </c>
      <c r="G16" s="38">
        <f>G15/G13</f>
        <v>0.15177777777777779</v>
      </c>
      <c r="H16" s="32">
        <v>0.112</v>
      </c>
      <c r="I16" s="32">
        <v>5.1999999999999998E-2</v>
      </c>
      <c r="J16" s="32">
        <v>0.05</v>
      </c>
      <c r="K16" s="32">
        <v>-9.7000000000000003E-2</v>
      </c>
      <c r="L16" s="38">
        <f>L15/L13</f>
        <v>3.9700805523590336E-2</v>
      </c>
      <c r="M16" s="32">
        <v>2.9000000000000001E-2</v>
      </c>
      <c r="N16" s="32">
        <v>2.5000000000000001E-2</v>
      </c>
      <c r="O16" s="32">
        <v>4.2000000000000003E-2</v>
      </c>
      <c r="P16" s="32">
        <v>3.2000000000000001E-2</v>
      </c>
      <c r="Q16" s="38">
        <f>Q15/Q13</f>
        <v>3.190596137699412E-2</v>
      </c>
      <c r="R16" s="32">
        <v>3.1E-2</v>
      </c>
      <c r="S16" s="32">
        <v>3.4000000000000002E-2</v>
      </c>
      <c r="T16" s="32">
        <v>3.2000000000000001E-2</v>
      </c>
      <c r="U16" s="32">
        <v>-1.0999999999999999E-2</v>
      </c>
      <c r="V16" s="38">
        <f>V15/V13</f>
        <v>1.981399110392236E-2</v>
      </c>
      <c r="W16" s="32">
        <v>0.04</v>
      </c>
      <c r="X16" s="32">
        <v>4.1000000000000002E-2</v>
      </c>
      <c r="Y16" s="32"/>
      <c r="Z16" s="32"/>
      <c r="AA16" s="38">
        <f>AA15/AA13</f>
        <v>4.0905770635500369E-2</v>
      </c>
    </row>
    <row r="17" spans="2:27" x14ac:dyDescent="0.25">
      <c r="B17" s="2" t="s">
        <v>113</v>
      </c>
      <c r="C17" s="2">
        <v>304</v>
      </c>
      <c r="D17" s="2">
        <v>156</v>
      </c>
      <c r="E17" s="2">
        <v>-356</v>
      </c>
      <c r="F17" s="2">
        <v>8</v>
      </c>
      <c r="G17" s="36">
        <f>SUM(C17:F17)</f>
        <v>112</v>
      </c>
      <c r="H17" s="2">
        <v>-135</v>
      </c>
      <c r="I17" s="2">
        <v>-85</v>
      </c>
      <c r="J17" s="2">
        <v>-94</v>
      </c>
      <c r="K17" s="2">
        <v>-110</v>
      </c>
      <c r="L17" s="36">
        <f>SUM(H17:K17)</f>
        <v>-424</v>
      </c>
      <c r="M17" s="2">
        <v>-135</v>
      </c>
      <c r="N17" s="2">
        <v>16</v>
      </c>
      <c r="O17" s="2">
        <v>267</v>
      </c>
      <c r="P17" s="2">
        <v>-369</v>
      </c>
      <c r="Q17" s="36">
        <f>SUM(M17:P17)</f>
        <v>-221</v>
      </c>
      <c r="R17" s="2">
        <v>-148</v>
      </c>
      <c r="S17" s="2">
        <v>-33</v>
      </c>
      <c r="T17" s="2">
        <v>78</v>
      </c>
      <c r="U17" s="2">
        <v>85</v>
      </c>
      <c r="V17" s="36">
        <f>SUM(R17:U17)</f>
        <v>-18</v>
      </c>
      <c r="W17" s="2">
        <v>158</v>
      </c>
      <c r="X17" s="2">
        <v>-71</v>
      </c>
      <c r="AA17" s="36">
        <f>SUM(W17:Z17)</f>
        <v>87</v>
      </c>
    </row>
    <row r="18" spans="2:27" x14ac:dyDescent="0.25">
      <c r="B18" s="2" t="s">
        <v>115</v>
      </c>
      <c r="C18" s="2">
        <v>375</v>
      </c>
      <c r="D18" s="2">
        <v>290</v>
      </c>
      <c r="E18" s="2">
        <v>189</v>
      </c>
      <c r="F18" s="2">
        <v>92</v>
      </c>
      <c r="G18" s="36">
        <f>SUM(C18:F18)</f>
        <v>946</v>
      </c>
      <c r="H18" s="2">
        <v>113</v>
      </c>
      <c r="I18" s="2">
        <v>140</v>
      </c>
      <c r="J18" s="2">
        <v>139</v>
      </c>
      <c r="K18" s="2">
        <v>142</v>
      </c>
      <c r="L18" s="36">
        <f>SUM(H18:K18)</f>
        <v>534</v>
      </c>
      <c r="M18" s="2">
        <v>172</v>
      </c>
      <c r="N18" s="2">
        <v>178</v>
      </c>
      <c r="O18" s="2">
        <v>281</v>
      </c>
      <c r="P18" s="2">
        <v>100</v>
      </c>
      <c r="Q18" s="36">
        <f>SUM(M18:P18)</f>
        <v>731</v>
      </c>
      <c r="R18" s="2">
        <v>146</v>
      </c>
      <c r="S18" s="2">
        <v>99</v>
      </c>
      <c r="T18" s="2">
        <v>129</v>
      </c>
      <c r="U18" s="2">
        <v>112</v>
      </c>
      <c r="V18" s="36">
        <f>SUM(R18:U18)</f>
        <v>486</v>
      </c>
      <c r="X18" s="2">
        <v>234</v>
      </c>
      <c r="AA18" s="36">
        <f>SUM(W18:Z18)</f>
        <v>234</v>
      </c>
    </row>
    <row r="19" spans="2:27" x14ac:dyDescent="0.25">
      <c r="B19" s="2" t="s">
        <v>105</v>
      </c>
      <c r="C19" s="2">
        <v>0</v>
      </c>
      <c r="D19" s="2">
        <v>0</v>
      </c>
      <c r="E19" s="2">
        <v>0</v>
      </c>
      <c r="F19" s="2">
        <v>0</v>
      </c>
      <c r="G19" s="36">
        <f>SUM(C19:F19)</f>
        <v>0</v>
      </c>
      <c r="H19" s="2">
        <v>0</v>
      </c>
      <c r="I19" s="2">
        <v>0</v>
      </c>
      <c r="J19" s="2">
        <v>0</v>
      </c>
      <c r="K19" s="2">
        <v>0</v>
      </c>
      <c r="L19" s="36">
        <f>SUM(H19:K19)</f>
        <v>0</v>
      </c>
      <c r="M19" s="2">
        <v>0</v>
      </c>
      <c r="N19" s="2">
        <v>0</v>
      </c>
      <c r="P19" s="2">
        <v>0</v>
      </c>
      <c r="Q19" s="36">
        <f>SUM(M19:P19)</f>
        <v>0</v>
      </c>
      <c r="R19" s="2">
        <v>0</v>
      </c>
      <c r="S19" s="2">
        <v>0</v>
      </c>
      <c r="T19" s="2">
        <v>0</v>
      </c>
      <c r="U19" s="2">
        <v>0</v>
      </c>
      <c r="V19" s="36">
        <f>SUM(R19:U19)</f>
        <v>0</v>
      </c>
      <c r="X19" s="2">
        <v>71</v>
      </c>
      <c r="AA19" s="36">
        <f>SUM(W19:Z19)</f>
        <v>71</v>
      </c>
    </row>
    <row r="20" spans="2:27" x14ac:dyDescent="0.25">
      <c r="B20" s="2" t="s">
        <v>116</v>
      </c>
      <c r="C20" s="2">
        <v>357</v>
      </c>
      <c r="D20" s="2">
        <v>262</v>
      </c>
      <c r="E20" s="2">
        <v>255</v>
      </c>
      <c r="F20" s="2">
        <v>148</v>
      </c>
      <c r="G20" s="36">
        <f>SUM(C20:F20)</f>
        <v>1022</v>
      </c>
      <c r="H20" s="2">
        <v>139</v>
      </c>
      <c r="I20" s="2">
        <v>159</v>
      </c>
      <c r="J20" s="2">
        <v>0</v>
      </c>
      <c r="K20" s="2">
        <v>145</v>
      </c>
      <c r="L20" s="36">
        <f>SUM(H20:K20)</f>
        <v>443</v>
      </c>
      <c r="M20" s="2">
        <v>0</v>
      </c>
      <c r="N20" s="2">
        <v>74</v>
      </c>
      <c r="O20" s="2">
        <v>306</v>
      </c>
      <c r="P20" s="2">
        <v>158</v>
      </c>
      <c r="Q20" s="36">
        <f>SUM(M20:P20)</f>
        <v>538</v>
      </c>
      <c r="R20" s="2">
        <v>166</v>
      </c>
      <c r="S20" s="2">
        <v>365</v>
      </c>
      <c r="T20" s="2">
        <v>0</v>
      </c>
      <c r="U20" s="2">
        <v>215</v>
      </c>
      <c r="V20" s="36">
        <f>SUM(R20:U20)</f>
        <v>746</v>
      </c>
      <c r="X20" s="2">
        <v>165</v>
      </c>
      <c r="AA20" s="36">
        <f>SUM(W20:Z20)</f>
        <v>165</v>
      </c>
    </row>
    <row r="21" spans="2:27" x14ac:dyDescent="0.25">
      <c r="B21" s="27" t="s">
        <v>106</v>
      </c>
      <c r="C21" s="27">
        <v>0</v>
      </c>
      <c r="D21" s="27">
        <v>0</v>
      </c>
      <c r="E21" s="27">
        <v>0</v>
      </c>
      <c r="F21" s="27">
        <v>0</v>
      </c>
      <c r="G21" s="39">
        <v>0</v>
      </c>
      <c r="H21" s="27">
        <v>0</v>
      </c>
      <c r="I21" s="27">
        <v>0</v>
      </c>
      <c r="J21" s="27">
        <v>0</v>
      </c>
      <c r="K21" s="27">
        <v>0</v>
      </c>
      <c r="L21" s="39">
        <v>0</v>
      </c>
      <c r="M21" s="27">
        <v>0</v>
      </c>
      <c r="N21" s="27">
        <v>0</v>
      </c>
      <c r="O21" s="27">
        <v>0</v>
      </c>
      <c r="P21" s="27">
        <v>0</v>
      </c>
      <c r="Q21" s="39">
        <v>0</v>
      </c>
      <c r="R21" s="27">
        <v>0</v>
      </c>
      <c r="S21" s="27">
        <v>0</v>
      </c>
      <c r="T21" s="27">
        <v>0</v>
      </c>
      <c r="U21" s="27">
        <v>0</v>
      </c>
      <c r="V21" s="39">
        <v>0</v>
      </c>
      <c r="W21" s="27"/>
      <c r="X21" s="27">
        <v>71</v>
      </c>
      <c r="Y21" s="27"/>
      <c r="Z21" s="27"/>
      <c r="AA21" s="39">
        <v>0</v>
      </c>
    </row>
    <row r="22" spans="2:27" x14ac:dyDescent="0.25">
      <c r="B22" s="1" t="s">
        <v>117</v>
      </c>
      <c r="G22" s="35"/>
      <c r="L22" s="35"/>
      <c r="Q22" s="35"/>
      <c r="V22" s="35"/>
      <c r="AA22" s="35"/>
    </row>
    <row r="23" spans="2:27" s="14" customFormat="1" x14ac:dyDescent="0.25">
      <c r="B23" s="14" t="s">
        <v>45</v>
      </c>
      <c r="C23" s="14">
        <v>856</v>
      </c>
      <c r="D23" s="14">
        <v>747</v>
      </c>
      <c r="E23" s="14">
        <v>829</v>
      </c>
      <c r="F23" s="14">
        <v>960</v>
      </c>
      <c r="G23" s="47">
        <f>SUM(C23:F23)</f>
        <v>3392</v>
      </c>
      <c r="H23" s="14">
        <v>632</v>
      </c>
      <c r="I23" s="14">
        <v>645</v>
      </c>
      <c r="J23" s="14">
        <v>561</v>
      </c>
      <c r="K23" s="14">
        <v>751</v>
      </c>
      <c r="L23" s="47">
        <f>SUM(H23:K23)</f>
        <v>2589</v>
      </c>
      <c r="M23" s="14">
        <v>690</v>
      </c>
      <c r="N23" s="14">
        <v>457</v>
      </c>
      <c r="O23" s="14">
        <v>366</v>
      </c>
      <c r="P23" s="14">
        <v>511</v>
      </c>
      <c r="Q23" s="47">
        <f>SUM(M23:P23)</f>
        <v>2024</v>
      </c>
      <c r="R23" s="14">
        <v>460</v>
      </c>
      <c r="S23" s="14">
        <v>380</v>
      </c>
      <c r="T23" s="14">
        <v>395</v>
      </c>
      <c r="U23" s="14">
        <v>578</v>
      </c>
      <c r="V23" s="47">
        <f>SUM(R23:U23)</f>
        <v>1813</v>
      </c>
      <c r="W23" s="14">
        <v>829</v>
      </c>
      <c r="X23" s="14">
        <v>584</v>
      </c>
      <c r="AA23" s="47">
        <f>SUM(W23:Z23)</f>
        <v>1413</v>
      </c>
    </row>
    <row r="24" spans="2:27" x14ac:dyDescent="0.25">
      <c r="B24" s="11" t="s">
        <v>112</v>
      </c>
      <c r="G24" s="37"/>
      <c r="H24" s="33">
        <f t="shared" ref="H24" si="21">(H23-C23)/C23</f>
        <v>-0.26168224299065418</v>
      </c>
      <c r="I24" s="33">
        <f t="shared" ref="I24" si="22">(I23-D23)/D23</f>
        <v>-0.13654618473895583</v>
      </c>
      <c r="J24" s="33">
        <f t="shared" ref="J24" si="23">(J23-E23)/E23</f>
        <v>-0.32328106151990349</v>
      </c>
      <c r="K24" s="33">
        <f t="shared" ref="K24:L24" si="24">(K23-F23)/F23</f>
        <v>-0.21770833333333334</v>
      </c>
      <c r="L24" s="37">
        <f t="shared" si="24"/>
        <v>-0.23673349056603774</v>
      </c>
      <c r="M24" s="33">
        <f t="shared" ref="M24" si="25">(M23-H23)/H23</f>
        <v>9.1772151898734181E-2</v>
      </c>
      <c r="N24" s="33">
        <f t="shared" ref="N24" si="26">(N23-I23)/I23</f>
        <v>-0.29147286821705426</v>
      </c>
      <c r="O24" s="33">
        <f t="shared" ref="O24" si="27">(O23-J23)/J23</f>
        <v>-0.34759358288770054</v>
      </c>
      <c r="P24" s="33">
        <f t="shared" ref="P24:Q24" si="28">(P23-K23)/K23</f>
        <v>-0.31957390146471371</v>
      </c>
      <c r="Q24" s="37">
        <f t="shared" si="28"/>
        <v>-0.21823097721127849</v>
      </c>
      <c r="R24" s="33">
        <f t="shared" ref="R24" si="29">(R23-M23)/M23</f>
        <v>-0.33333333333333331</v>
      </c>
      <c r="S24" s="33">
        <f>(S23-N23)/N23</f>
        <v>-0.16849015317286653</v>
      </c>
      <c r="T24" s="33">
        <f t="shared" ref="T24" si="30">(T23-O23)/O23</f>
        <v>7.9234972677595633E-2</v>
      </c>
      <c r="U24" s="33">
        <f t="shared" ref="U24:V24" si="31">(U23-P23)/P23</f>
        <v>0.13111545988258316</v>
      </c>
      <c r="V24" s="37">
        <f t="shared" si="31"/>
        <v>-0.1042490118577075</v>
      </c>
      <c r="W24" s="33">
        <f t="shared" ref="W24" si="32">(W23-R23)/R23</f>
        <v>0.80217391304347829</v>
      </c>
      <c r="X24" s="33">
        <f>(X23-S23)/S23</f>
        <v>0.5368421052631579</v>
      </c>
      <c r="Y24" s="33">
        <f t="shared" ref="Y24" si="33">(Y23-T23)/T23</f>
        <v>-1</v>
      </c>
      <c r="Z24" s="33">
        <f t="shared" ref="Z24" si="34">(Z23-U23)/U23</f>
        <v>-1</v>
      </c>
      <c r="AA24" s="37">
        <f t="shared" ref="AA24" si="35">(AA23-V23)/V23</f>
        <v>-0.22062879205736349</v>
      </c>
    </row>
    <row r="25" spans="2:27" x14ac:dyDescent="0.25">
      <c r="B25" s="2" t="s">
        <v>50</v>
      </c>
      <c r="C25" s="2">
        <v>73</v>
      </c>
      <c r="D25" s="2">
        <v>61</v>
      </c>
      <c r="E25" s="2">
        <v>54</v>
      </c>
      <c r="F25" s="2">
        <v>51</v>
      </c>
      <c r="G25" s="36">
        <f>SUM(C25:F25)</f>
        <v>239</v>
      </c>
      <c r="H25" s="2">
        <v>42</v>
      </c>
      <c r="I25" s="2">
        <v>43</v>
      </c>
      <c r="J25" s="2">
        <v>30</v>
      </c>
      <c r="K25" s="2">
        <v>34</v>
      </c>
      <c r="L25" s="36">
        <f>SUM(H25:K25)</f>
        <v>149</v>
      </c>
      <c r="M25" s="2">
        <v>70</v>
      </c>
      <c r="N25" s="2">
        <v>28</v>
      </c>
      <c r="O25" s="2">
        <v>24</v>
      </c>
      <c r="P25" s="2">
        <v>21</v>
      </c>
      <c r="Q25" s="36">
        <f>SUM(M25:P25)</f>
        <v>143</v>
      </c>
      <c r="R25" s="2">
        <v>26</v>
      </c>
      <c r="S25" s="2">
        <v>27</v>
      </c>
      <c r="T25" s="2">
        <v>23</v>
      </c>
      <c r="U25" s="2">
        <v>34</v>
      </c>
      <c r="V25" s="36">
        <f>SUM(R25:U25)</f>
        <v>110</v>
      </c>
      <c r="W25" s="2">
        <v>47</v>
      </c>
      <c r="X25" s="2">
        <v>40</v>
      </c>
      <c r="AA25" s="36">
        <f>SUM(W25:Z25)</f>
        <v>87</v>
      </c>
    </row>
    <row r="26" spans="2:27" x14ac:dyDescent="0.25">
      <c r="B26" s="32" t="s">
        <v>111</v>
      </c>
      <c r="C26" s="32">
        <v>8.5999999999999993E-2</v>
      </c>
      <c r="D26" s="32">
        <v>8.1000000000000003E-2</v>
      </c>
      <c r="E26" s="32">
        <v>6.5000000000000002E-2</v>
      </c>
      <c r="F26" s="32">
        <v>5.2999999999999999E-2</v>
      </c>
      <c r="G26" s="38">
        <f>G25/G23</f>
        <v>7.0459905660377353E-2</v>
      </c>
      <c r="H26" s="32">
        <v>6.7000000000000004E-2</v>
      </c>
      <c r="I26" s="32">
        <v>6.7000000000000004E-2</v>
      </c>
      <c r="J26" s="32">
        <v>5.2999999999999999E-2</v>
      </c>
      <c r="K26" s="32">
        <v>4.4999999999999998E-2</v>
      </c>
      <c r="L26" s="38">
        <f>L25/L23</f>
        <v>5.7551178061027421E-2</v>
      </c>
      <c r="M26" s="32">
        <v>0.10100000000000001</v>
      </c>
      <c r="N26" s="32">
        <v>0.06</v>
      </c>
      <c r="O26" s="32">
        <v>6.6000000000000003E-2</v>
      </c>
      <c r="P26" s="32">
        <v>4.1000000000000002E-2</v>
      </c>
      <c r="Q26" s="38">
        <f>Q25/Q23</f>
        <v>7.0652173913043473E-2</v>
      </c>
      <c r="R26" s="32">
        <v>5.7000000000000002E-2</v>
      </c>
      <c r="S26" s="32">
        <v>7.1999999999999995E-2</v>
      </c>
      <c r="T26" s="32">
        <v>5.8000000000000003E-2</v>
      </c>
      <c r="U26" s="32">
        <v>5.8000000000000003E-2</v>
      </c>
      <c r="V26" s="38">
        <f>V25/V23</f>
        <v>6.0672917815774961E-2</v>
      </c>
      <c r="W26" s="32">
        <v>5.6000000000000001E-2</v>
      </c>
      <c r="X26" s="32">
        <v>6.9000000000000006E-2</v>
      </c>
      <c r="Y26" s="32"/>
      <c r="Z26" s="32"/>
      <c r="AA26" s="38">
        <f>AA25/AA23</f>
        <v>6.1571125265392782E-2</v>
      </c>
    </row>
    <row r="27" spans="2:27" x14ac:dyDescent="0.25">
      <c r="B27" s="2" t="s">
        <v>113</v>
      </c>
      <c r="C27" s="2">
        <v>-61</v>
      </c>
      <c r="D27" s="2">
        <v>-2</v>
      </c>
      <c r="E27" s="2">
        <v>16</v>
      </c>
      <c r="F27" s="2">
        <v>249</v>
      </c>
      <c r="G27" s="36">
        <f>SUM(C27:F27)</f>
        <v>202</v>
      </c>
      <c r="H27" s="2">
        <v>-12</v>
      </c>
      <c r="I27" s="2">
        <v>109</v>
      </c>
      <c r="J27" s="2">
        <v>-105</v>
      </c>
      <c r="K27" s="2">
        <v>46</v>
      </c>
      <c r="L27" s="36">
        <f>SUM(H27:K27)</f>
        <v>38</v>
      </c>
      <c r="M27" s="2">
        <v>-246</v>
      </c>
      <c r="N27" s="2">
        <v>200</v>
      </c>
      <c r="O27" s="2">
        <v>76</v>
      </c>
      <c r="P27" s="2">
        <v>81</v>
      </c>
      <c r="Q27" s="36">
        <f>SUM(M27:P27)</f>
        <v>111</v>
      </c>
      <c r="R27" s="2">
        <v>40</v>
      </c>
      <c r="S27" s="2">
        <v>12</v>
      </c>
      <c r="T27" s="2">
        <v>72</v>
      </c>
      <c r="U27" s="2">
        <v>238</v>
      </c>
      <c r="V27" s="36">
        <f>SUM(R27:U27)</f>
        <v>362</v>
      </c>
      <c r="W27" s="2">
        <v>-378</v>
      </c>
      <c r="X27" s="2">
        <v>34</v>
      </c>
      <c r="AA27" s="36">
        <f>SUM(W27:Z27)</f>
        <v>-344</v>
      </c>
    </row>
    <row r="28" spans="2:27" x14ac:dyDescent="0.25">
      <c r="B28" s="2" t="s">
        <v>115</v>
      </c>
      <c r="C28" s="2">
        <v>194</v>
      </c>
      <c r="D28" s="2">
        <v>93</v>
      </c>
      <c r="E28" s="2">
        <v>140</v>
      </c>
      <c r="F28" s="2">
        <v>100</v>
      </c>
      <c r="G28" s="36">
        <f>SUM(C28:F28)</f>
        <v>527</v>
      </c>
      <c r="H28" s="2">
        <v>77</v>
      </c>
      <c r="I28" s="2">
        <v>144</v>
      </c>
      <c r="J28" s="2">
        <v>71</v>
      </c>
      <c r="K28" s="2">
        <v>196</v>
      </c>
      <c r="L28" s="36">
        <f>SUM(H28:K28)</f>
        <v>488</v>
      </c>
      <c r="M28" s="2">
        <v>62</v>
      </c>
      <c r="N28" s="2">
        <v>143</v>
      </c>
      <c r="O28" s="2">
        <v>165</v>
      </c>
      <c r="P28" s="2">
        <v>41</v>
      </c>
      <c r="Q28" s="36">
        <f>SUM(M28:P28)</f>
        <v>411</v>
      </c>
      <c r="R28" s="2">
        <v>160</v>
      </c>
      <c r="S28" s="2">
        <v>60</v>
      </c>
      <c r="T28" s="2">
        <v>46</v>
      </c>
      <c r="U28" s="2">
        <v>103</v>
      </c>
      <c r="V28" s="36">
        <f>SUM(R28:U28)</f>
        <v>369</v>
      </c>
      <c r="X28" s="2">
        <v>71</v>
      </c>
      <c r="AA28" s="36">
        <f>SUM(W28:Z28)</f>
        <v>71</v>
      </c>
    </row>
    <row r="29" spans="2:27" x14ac:dyDescent="0.25">
      <c r="B29" s="2" t="s">
        <v>105</v>
      </c>
      <c r="C29" s="2">
        <v>0</v>
      </c>
      <c r="D29" s="2">
        <v>0</v>
      </c>
      <c r="E29" s="2">
        <v>0</v>
      </c>
      <c r="F29" s="2">
        <v>0</v>
      </c>
      <c r="G29" s="36">
        <f>SUM(C29:F29)</f>
        <v>0</v>
      </c>
      <c r="H29" s="2">
        <v>0</v>
      </c>
      <c r="I29" s="2">
        <v>0</v>
      </c>
      <c r="J29" s="2">
        <v>0</v>
      </c>
      <c r="K29" s="2">
        <v>0</v>
      </c>
      <c r="L29" s="36">
        <f>SUM(H29:K29)</f>
        <v>0</v>
      </c>
      <c r="M29" s="2">
        <v>0</v>
      </c>
      <c r="N29" s="2">
        <v>0</v>
      </c>
      <c r="O29" s="2">
        <v>0</v>
      </c>
      <c r="P29" s="2">
        <v>0</v>
      </c>
      <c r="Q29" s="36">
        <f>SUM(M29:P29)</f>
        <v>0</v>
      </c>
      <c r="R29" s="2">
        <v>0</v>
      </c>
      <c r="S29" s="2">
        <v>0</v>
      </c>
      <c r="T29" s="2">
        <v>0</v>
      </c>
      <c r="U29" s="2">
        <v>0</v>
      </c>
      <c r="V29" s="36">
        <f>SUM(R29:U29)</f>
        <v>0</v>
      </c>
      <c r="X29" s="2">
        <v>0</v>
      </c>
      <c r="AA29" s="36">
        <f>SUM(W29:Z29)</f>
        <v>0</v>
      </c>
    </row>
    <row r="30" spans="2:27" x14ac:dyDescent="0.25">
      <c r="B30" s="2" t="s">
        <v>116</v>
      </c>
      <c r="C30" s="2">
        <v>250</v>
      </c>
      <c r="D30" s="2">
        <v>34</v>
      </c>
      <c r="E30" s="2">
        <v>132</v>
      </c>
      <c r="F30" s="2">
        <v>189</v>
      </c>
      <c r="G30" s="36">
        <f>SUM(C30:F30)</f>
        <v>605</v>
      </c>
      <c r="H30" s="2">
        <v>41</v>
      </c>
      <c r="I30" s="2">
        <v>140</v>
      </c>
      <c r="J30" s="2">
        <v>68</v>
      </c>
      <c r="K30" s="2">
        <v>156</v>
      </c>
      <c r="L30" s="36">
        <f>SUM(H30:K30)</f>
        <v>405</v>
      </c>
      <c r="M30" s="2">
        <v>0</v>
      </c>
      <c r="N30" s="2">
        <v>188</v>
      </c>
      <c r="O30" s="2">
        <v>187</v>
      </c>
      <c r="P30" s="2">
        <v>0</v>
      </c>
      <c r="Q30" s="36">
        <f>SUM(M30:P30)</f>
        <v>375</v>
      </c>
      <c r="R30" s="2">
        <v>202</v>
      </c>
      <c r="S30" s="2">
        <v>0</v>
      </c>
      <c r="T30" s="2">
        <v>25</v>
      </c>
      <c r="U30" s="2">
        <v>156</v>
      </c>
      <c r="V30" s="36">
        <f>SUM(R30:U30)</f>
        <v>383</v>
      </c>
      <c r="X30" s="2">
        <v>0</v>
      </c>
      <c r="AA30" s="36">
        <f>SUM(W30:Z30)</f>
        <v>0</v>
      </c>
    </row>
    <row r="31" spans="2:27" x14ac:dyDescent="0.25">
      <c r="B31" s="27" t="s">
        <v>106</v>
      </c>
      <c r="C31" s="27">
        <v>0</v>
      </c>
      <c r="D31" s="27">
        <v>0</v>
      </c>
      <c r="E31" s="27">
        <v>0</v>
      </c>
      <c r="F31" s="27">
        <v>0</v>
      </c>
      <c r="G31" s="39">
        <f>SUM(C31:F31)</f>
        <v>0</v>
      </c>
      <c r="H31" s="27">
        <v>0</v>
      </c>
      <c r="I31" s="27">
        <v>0</v>
      </c>
      <c r="J31" s="27">
        <v>0</v>
      </c>
      <c r="K31" s="27">
        <v>0</v>
      </c>
      <c r="L31" s="39">
        <v>0</v>
      </c>
      <c r="M31" s="27">
        <v>0</v>
      </c>
      <c r="N31" s="27">
        <v>0</v>
      </c>
      <c r="O31" s="27">
        <v>0</v>
      </c>
      <c r="P31" s="27">
        <v>0</v>
      </c>
      <c r="Q31" s="39">
        <v>0</v>
      </c>
      <c r="R31" s="27">
        <v>0</v>
      </c>
      <c r="S31" s="27">
        <v>0</v>
      </c>
      <c r="T31" s="27">
        <v>0</v>
      </c>
      <c r="U31" s="27">
        <v>0</v>
      </c>
      <c r="V31" s="39">
        <v>0</v>
      </c>
      <c r="W31" s="27"/>
      <c r="X31" s="27">
        <v>0</v>
      </c>
      <c r="Y31" s="27"/>
      <c r="Z31" s="27"/>
      <c r="AA31" s="39">
        <v>0</v>
      </c>
    </row>
    <row r="32" spans="2:27" x14ac:dyDescent="0.25">
      <c r="B32" s="1" t="s">
        <v>118</v>
      </c>
      <c r="G32" s="35"/>
      <c r="L32" s="35"/>
      <c r="Q32" s="35"/>
      <c r="V32" s="35"/>
      <c r="AA32" s="35"/>
    </row>
    <row r="33" spans="2:27" s="14" customFormat="1" x14ac:dyDescent="0.25">
      <c r="B33" s="14" t="s">
        <v>45</v>
      </c>
      <c r="C33" s="14">
        <v>375</v>
      </c>
      <c r="D33" s="14">
        <v>449</v>
      </c>
      <c r="E33" s="14">
        <v>399</v>
      </c>
      <c r="F33" s="14">
        <v>505</v>
      </c>
      <c r="G33" s="47">
        <f>SUM(C33:F33)</f>
        <v>1728</v>
      </c>
      <c r="H33" s="14">
        <v>439</v>
      </c>
      <c r="I33" s="14">
        <v>389</v>
      </c>
      <c r="J33" s="14">
        <v>326</v>
      </c>
      <c r="K33" s="14">
        <v>437</v>
      </c>
      <c r="L33" s="47">
        <f>SUM(H33:K33)</f>
        <v>1591</v>
      </c>
      <c r="M33" s="14">
        <v>388</v>
      </c>
      <c r="N33" s="14">
        <v>494</v>
      </c>
      <c r="O33" s="14">
        <v>345</v>
      </c>
      <c r="P33" s="14">
        <v>381</v>
      </c>
      <c r="Q33" s="47">
        <f>SUM(M33:P33)</f>
        <v>1608</v>
      </c>
      <c r="R33" s="14">
        <v>332</v>
      </c>
      <c r="S33" s="14">
        <v>498</v>
      </c>
      <c r="T33" s="14">
        <v>336</v>
      </c>
      <c r="U33" s="14">
        <v>361</v>
      </c>
      <c r="V33" s="47">
        <f>SUM(R33:U33)</f>
        <v>1527</v>
      </c>
      <c r="W33" s="14">
        <v>316</v>
      </c>
      <c r="X33" s="14">
        <v>327</v>
      </c>
      <c r="AA33" s="47">
        <f>SUM(W33:Z33)</f>
        <v>643</v>
      </c>
    </row>
    <row r="34" spans="2:27" x14ac:dyDescent="0.25">
      <c r="B34" s="11" t="s">
        <v>112</v>
      </c>
      <c r="G34" s="37"/>
      <c r="H34" s="33">
        <f t="shared" ref="H34" si="36">(H33-C33)/C33</f>
        <v>0.17066666666666666</v>
      </c>
      <c r="I34" s="33">
        <f t="shared" ref="I34" si="37">(I33-D33)/D33</f>
        <v>-0.133630289532294</v>
      </c>
      <c r="J34" s="33">
        <f t="shared" ref="J34" si="38">(J33-E33)/E33</f>
        <v>-0.18295739348370926</v>
      </c>
      <c r="K34" s="33">
        <f t="shared" ref="K34:L34" si="39">(K33-F33)/F33</f>
        <v>-0.13465346534653466</v>
      </c>
      <c r="L34" s="37">
        <f t="shared" si="39"/>
        <v>-7.9282407407407413E-2</v>
      </c>
      <c r="M34" s="33">
        <f t="shared" ref="M34" si="40">(M33-H33)/H33</f>
        <v>-0.11617312072892938</v>
      </c>
      <c r="N34" s="33">
        <f t="shared" ref="N34" si="41">(N33-I33)/I33</f>
        <v>0.26992287917737789</v>
      </c>
      <c r="O34" s="33">
        <f t="shared" ref="O34" si="42">(O33-J33)/J33</f>
        <v>5.8282208588957052E-2</v>
      </c>
      <c r="P34" s="33">
        <f t="shared" ref="P34:Q34" si="43">(P33-K33)/K33</f>
        <v>-0.12814645308924486</v>
      </c>
      <c r="Q34" s="37">
        <f t="shared" si="43"/>
        <v>1.0685103708359522E-2</v>
      </c>
      <c r="R34" s="33">
        <f t="shared" ref="R34" si="44">(R33-M33)/M33</f>
        <v>-0.14432989690721648</v>
      </c>
      <c r="S34" s="33">
        <f>(S33-N33)/N33</f>
        <v>8.0971659919028341E-3</v>
      </c>
      <c r="T34" s="33">
        <f t="shared" ref="T34" si="45">(T33-O33)/O33</f>
        <v>-2.6086956521739129E-2</v>
      </c>
      <c r="U34" s="33">
        <f t="shared" ref="U34:V34" si="46">(U33-P33)/P33</f>
        <v>-5.2493438320209973E-2</v>
      </c>
      <c r="V34" s="37">
        <f t="shared" si="46"/>
        <v>-5.0373134328358209E-2</v>
      </c>
      <c r="W34" s="33">
        <f t="shared" ref="W34" si="47">(W33-R33)/R33</f>
        <v>-4.8192771084337352E-2</v>
      </c>
      <c r="X34" s="33">
        <f>(X33-S33)/S33</f>
        <v>-0.34337349397590361</v>
      </c>
      <c r="Y34" s="33">
        <f t="shared" ref="Y34" si="48">(Y33-T33)/T33</f>
        <v>-1</v>
      </c>
      <c r="Z34" s="33">
        <f t="shared" ref="Z34" si="49">(Z33-U33)/U33</f>
        <v>-1</v>
      </c>
      <c r="AA34" s="37">
        <f t="shared" ref="AA34" si="50">(AA33-V33)/V33</f>
        <v>-0.57891290111329408</v>
      </c>
    </row>
    <row r="35" spans="2:27" x14ac:dyDescent="0.25">
      <c r="B35" s="2" t="s">
        <v>50</v>
      </c>
      <c r="C35" s="2">
        <v>33</v>
      </c>
      <c r="D35" s="2">
        <v>41</v>
      </c>
      <c r="E35" s="2">
        <v>37</v>
      </c>
      <c r="F35" s="2">
        <v>47</v>
      </c>
      <c r="G35" s="36">
        <f>SUM(C35:F35)</f>
        <v>158</v>
      </c>
      <c r="H35" s="2">
        <v>38</v>
      </c>
      <c r="I35" s="2">
        <v>29</v>
      </c>
      <c r="J35" s="2">
        <v>27</v>
      </c>
      <c r="K35" s="2">
        <v>46</v>
      </c>
      <c r="L35" s="36">
        <f>SUM(H35:K35)</f>
        <v>140</v>
      </c>
      <c r="M35" s="2">
        <v>26</v>
      </c>
      <c r="N35" s="2">
        <v>38</v>
      </c>
      <c r="O35" s="2">
        <v>21</v>
      </c>
      <c r="P35" s="2">
        <v>8</v>
      </c>
      <c r="Q35" s="36">
        <f>SUM(M35:P35)</f>
        <v>93</v>
      </c>
      <c r="R35" s="2">
        <v>20</v>
      </c>
      <c r="S35" s="2">
        <v>39</v>
      </c>
      <c r="T35" s="2">
        <v>17</v>
      </c>
      <c r="U35" s="2">
        <v>22</v>
      </c>
      <c r="V35" s="36">
        <f>SUM(R35:U35)</f>
        <v>98</v>
      </c>
      <c r="W35" s="2">
        <v>21</v>
      </c>
      <c r="X35" s="2">
        <v>2</v>
      </c>
      <c r="AA35" s="36">
        <f>SUM(W35:Z35)</f>
        <v>23</v>
      </c>
    </row>
    <row r="36" spans="2:27" x14ac:dyDescent="0.25">
      <c r="B36" s="32" t="s">
        <v>111</v>
      </c>
      <c r="C36" s="32">
        <v>8.6999999999999994E-2</v>
      </c>
      <c r="D36" s="32">
        <v>9.0999999999999998E-2</v>
      </c>
      <c r="E36" s="32">
        <v>9.2999999999999999E-2</v>
      </c>
      <c r="F36" s="32">
        <v>9.4E-2</v>
      </c>
      <c r="G36" s="38">
        <f>G35/G33</f>
        <v>9.1435185185185189E-2</v>
      </c>
      <c r="H36" s="32">
        <v>8.5999999999999993E-2</v>
      </c>
      <c r="I36" s="32">
        <v>7.4999999999999997E-2</v>
      </c>
      <c r="J36" s="32">
        <v>8.4000000000000005E-2</v>
      </c>
      <c r="K36" s="32">
        <v>0.105</v>
      </c>
      <c r="L36" s="38">
        <f>L35/L33</f>
        <v>8.7994971715901954E-2</v>
      </c>
      <c r="M36" s="32">
        <v>6.7000000000000004E-2</v>
      </c>
      <c r="N36" s="32">
        <v>7.6999999999999999E-2</v>
      </c>
      <c r="O36" s="32">
        <v>0.06</v>
      </c>
      <c r="P36" s="32">
        <v>2.1000000000000001E-2</v>
      </c>
      <c r="Q36" s="38">
        <f>Q35/Q33</f>
        <v>5.7835820895522388E-2</v>
      </c>
      <c r="R36" s="32">
        <v>0.06</v>
      </c>
      <c r="S36" s="32">
        <v>7.8E-2</v>
      </c>
      <c r="T36" s="32">
        <v>4.9000000000000002E-2</v>
      </c>
      <c r="U36" s="32">
        <v>0.06</v>
      </c>
      <c r="V36" s="38">
        <f>V35/V33</f>
        <v>6.4178127046496392E-2</v>
      </c>
      <c r="W36" s="32">
        <v>6.7000000000000004E-2</v>
      </c>
      <c r="X36" s="32">
        <v>7.0000000000000001E-3</v>
      </c>
      <c r="Y36" s="32"/>
      <c r="Z36" s="32"/>
      <c r="AA36" s="38">
        <f>AA35/AA33</f>
        <v>3.5769828926905133E-2</v>
      </c>
    </row>
    <row r="37" spans="2:27" x14ac:dyDescent="0.25">
      <c r="B37" s="2" t="s">
        <v>113</v>
      </c>
      <c r="C37" s="2">
        <v>24</v>
      </c>
      <c r="D37" s="2">
        <v>-141</v>
      </c>
      <c r="E37" s="2">
        <v>79</v>
      </c>
      <c r="F37" s="2">
        <v>231</v>
      </c>
      <c r="G37" s="36">
        <f>SUM(C37:F37)</f>
        <v>193</v>
      </c>
      <c r="H37" s="2">
        <v>-29</v>
      </c>
      <c r="I37" s="2">
        <v>79</v>
      </c>
      <c r="J37" s="2">
        <v>-45</v>
      </c>
      <c r="K37" s="2">
        <v>-61</v>
      </c>
      <c r="L37" s="36">
        <f>SUM(H37:K37)</f>
        <v>-56</v>
      </c>
      <c r="M37" s="2">
        <v>85</v>
      </c>
      <c r="N37" s="2">
        <v>203</v>
      </c>
      <c r="O37" s="2">
        <v>44</v>
      </c>
      <c r="P37" s="2">
        <v>-185</v>
      </c>
      <c r="Q37" s="36">
        <f>SUM(M37:P37)</f>
        <v>147</v>
      </c>
      <c r="R37" s="2">
        <v>89</v>
      </c>
      <c r="S37" s="2">
        <v>-322</v>
      </c>
      <c r="T37" s="2">
        <v>71</v>
      </c>
      <c r="U37" s="2">
        <v>-250</v>
      </c>
      <c r="V37" s="36">
        <f>SUM(R37:U37)</f>
        <v>-412</v>
      </c>
      <c r="W37" s="2">
        <v>-339</v>
      </c>
      <c r="X37" s="2">
        <v>-5</v>
      </c>
      <c r="AA37" s="36">
        <f>SUM(W37:Z37)</f>
        <v>-344</v>
      </c>
    </row>
    <row r="38" spans="2:27" x14ac:dyDescent="0.25">
      <c r="B38" s="2" t="s">
        <v>115</v>
      </c>
      <c r="C38" s="2">
        <v>162</v>
      </c>
      <c r="D38" s="2">
        <v>119</v>
      </c>
      <c r="E38" s="2">
        <v>39</v>
      </c>
      <c r="F38" s="2">
        <v>139</v>
      </c>
      <c r="G38" s="36">
        <f>SUM(C38:F38)</f>
        <v>459</v>
      </c>
      <c r="H38" s="2">
        <v>20</v>
      </c>
      <c r="I38" s="2">
        <v>13</v>
      </c>
      <c r="J38" s="2">
        <v>2</v>
      </c>
      <c r="K38" s="2">
        <v>311</v>
      </c>
      <c r="L38" s="36">
        <f>SUM(H38:K38)</f>
        <v>346</v>
      </c>
      <c r="M38" s="2">
        <v>28</v>
      </c>
      <c r="N38" s="2">
        <v>11</v>
      </c>
      <c r="O38" s="2">
        <v>41</v>
      </c>
      <c r="P38" s="2">
        <v>100</v>
      </c>
      <c r="Q38" s="36">
        <f>SUM(M38:P38)</f>
        <v>180</v>
      </c>
      <c r="R38" s="2">
        <v>25</v>
      </c>
      <c r="S38" s="2">
        <v>48</v>
      </c>
      <c r="T38" s="2">
        <v>8</v>
      </c>
      <c r="U38" s="2">
        <v>26</v>
      </c>
      <c r="V38" s="36">
        <f>SUM(R38:U38)</f>
        <v>107</v>
      </c>
      <c r="X38" s="2">
        <v>18</v>
      </c>
      <c r="AA38" s="36">
        <f>SUM(W38:Z38)</f>
        <v>18</v>
      </c>
    </row>
    <row r="39" spans="2:27" x14ac:dyDescent="0.25">
      <c r="B39" s="2" t="s">
        <v>105</v>
      </c>
      <c r="C39" s="2">
        <v>0</v>
      </c>
      <c r="D39" s="2">
        <v>0</v>
      </c>
      <c r="E39" s="2">
        <v>0</v>
      </c>
      <c r="F39" s="2">
        <v>0</v>
      </c>
      <c r="G39" s="36">
        <f>SUM(C39:F39)</f>
        <v>0</v>
      </c>
      <c r="H39" s="2">
        <v>0</v>
      </c>
      <c r="I39" s="2">
        <v>0</v>
      </c>
      <c r="J39" s="2">
        <v>0</v>
      </c>
      <c r="K39" s="2">
        <v>0</v>
      </c>
      <c r="L39" s="36">
        <f>SUM(H39:K39)</f>
        <v>0</v>
      </c>
      <c r="M39" s="2">
        <v>50</v>
      </c>
      <c r="N39" s="2">
        <v>242</v>
      </c>
      <c r="O39" s="2">
        <v>0</v>
      </c>
      <c r="P39" s="2">
        <v>0</v>
      </c>
      <c r="Q39" s="36">
        <f>SUM(M39:P39)</f>
        <v>292</v>
      </c>
      <c r="R39" s="2">
        <v>0</v>
      </c>
      <c r="S39" s="2">
        <v>71</v>
      </c>
      <c r="T39" s="2">
        <v>31</v>
      </c>
      <c r="U39" s="2">
        <v>39</v>
      </c>
      <c r="V39" s="36">
        <f>SUM(R39:U39)</f>
        <v>141</v>
      </c>
      <c r="X39" s="2">
        <v>115</v>
      </c>
      <c r="AA39" s="36">
        <f>SUM(W39:Z39)</f>
        <v>115</v>
      </c>
    </row>
    <row r="40" spans="2:27" x14ac:dyDescent="0.25">
      <c r="B40" s="2" t="s">
        <v>116</v>
      </c>
      <c r="C40" s="2">
        <v>128</v>
      </c>
      <c r="D40" s="2">
        <v>245</v>
      </c>
      <c r="E40" s="2">
        <v>0</v>
      </c>
      <c r="F40" s="2">
        <v>226</v>
      </c>
      <c r="G40" s="36">
        <f>SUM(C40:F40)</f>
        <v>599</v>
      </c>
      <c r="H40" s="2">
        <v>34</v>
      </c>
      <c r="I40" s="2">
        <v>0</v>
      </c>
      <c r="J40" s="2">
        <v>0</v>
      </c>
      <c r="K40" s="2">
        <v>341</v>
      </c>
      <c r="L40" s="36">
        <f>SUM(H40:K40)</f>
        <v>375</v>
      </c>
      <c r="M40" s="2">
        <v>0</v>
      </c>
      <c r="N40" s="2">
        <v>0</v>
      </c>
      <c r="O40" s="2">
        <v>0</v>
      </c>
      <c r="P40" s="2">
        <v>154</v>
      </c>
      <c r="Q40" s="36">
        <f>SUM(M40:P40)</f>
        <v>154</v>
      </c>
      <c r="R40" s="2">
        <v>52</v>
      </c>
      <c r="S40" s="2">
        <v>0</v>
      </c>
      <c r="T40" s="2">
        <v>29</v>
      </c>
      <c r="U40" s="2">
        <v>52</v>
      </c>
      <c r="V40" s="36">
        <f>SUM(R40:U40)</f>
        <v>133</v>
      </c>
      <c r="X40" s="2">
        <v>34</v>
      </c>
      <c r="AA40" s="36">
        <f>SUM(W40:Z40)</f>
        <v>34</v>
      </c>
    </row>
    <row r="41" spans="2:27" x14ac:dyDescent="0.25">
      <c r="B41" s="27" t="s">
        <v>106</v>
      </c>
      <c r="C41" s="27">
        <v>0</v>
      </c>
      <c r="D41" s="27">
        <v>0</v>
      </c>
      <c r="E41" s="27">
        <v>0</v>
      </c>
      <c r="F41" s="27">
        <v>0</v>
      </c>
      <c r="G41" s="39">
        <f>SUM(C41:F41)</f>
        <v>0</v>
      </c>
      <c r="H41" s="27">
        <v>0</v>
      </c>
      <c r="I41" s="27">
        <v>0</v>
      </c>
      <c r="J41" s="27">
        <v>0</v>
      </c>
      <c r="K41" s="27">
        <v>0</v>
      </c>
      <c r="L41" s="39">
        <v>0</v>
      </c>
      <c r="M41" s="27">
        <v>0</v>
      </c>
      <c r="N41" s="27">
        <v>207</v>
      </c>
      <c r="O41" s="27">
        <v>0</v>
      </c>
      <c r="P41" s="27">
        <v>0</v>
      </c>
      <c r="Q41" s="39">
        <v>0</v>
      </c>
      <c r="R41" s="27">
        <v>71</v>
      </c>
      <c r="S41" s="27">
        <v>0</v>
      </c>
      <c r="T41" s="27">
        <v>31</v>
      </c>
      <c r="U41" s="27">
        <v>104</v>
      </c>
      <c r="V41" s="39">
        <v>0</v>
      </c>
      <c r="W41" s="27"/>
      <c r="X41" s="27">
        <v>115</v>
      </c>
      <c r="Y41" s="27"/>
      <c r="Z41" s="27"/>
      <c r="AA41" s="39">
        <v>0</v>
      </c>
    </row>
    <row r="42" spans="2:27" x14ac:dyDescent="0.25">
      <c r="B42" s="1" t="s">
        <v>119</v>
      </c>
      <c r="G42" s="35"/>
      <c r="L42" s="35"/>
      <c r="Q42" s="35"/>
      <c r="V42" s="35"/>
      <c r="AA42" s="35"/>
    </row>
    <row r="43" spans="2:27" s="14" customFormat="1" x14ac:dyDescent="0.25">
      <c r="B43" s="14" t="s">
        <v>45</v>
      </c>
      <c r="C43" s="14">
        <v>73</v>
      </c>
      <c r="D43" s="14">
        <v>40</v>
      </c>
      <c r="E43" s="14">
        <v>48</v>
      </c>
      <c r="F43" s="14">
        <v>1064</v>
      </c>
      <c r="G43" s="47">
        <f>SUM(C43:F43)</f>
        <v>1225</v>
      </c>
      <c r="H43" s="14">
        <v>566</v>
      </c>
      <c r="I43" s="14">
        <v>310</v>
      </c>
      <c r="J43" s="14">
        <v>247</v>
      </c>
      <c r="K43" s="14">
        <v>336</v>
      </c>
      <c r="L43" s="47">
        <f>SUM(H43:K43)</f>
        <v>1459</v>
      </c>
      <c r="M43" s="14">
        <v>367</v>
      </c>
      <c r="N43" s="14">
        <v>609</v>
      </c>
      <c r="O43" s="14">
        <v>313</v>
      </c>
      <c r="P43" s="14">
        <v>454</v>
      </c>
      <c r="Q43" s="47">
        <f>SUM(M43:P43)</f>
        <v>1743</v>
      </c>
      <c r="R43" s="14">
        <v>169</v>
      </c>
      <c r="S43" s="14">
        <v>127</v>
      </c>
      <c r="T43" s="14">
        <v>166</v>
      </c>
      <c r="U43" s="14">
        <v>45</v>
      </c>
      <c r="V43" s="47">
        <f>SUM(R43:U43)</f>
        <v>507</v>
      </c>
      <c r="AA43" s="47">
        <f>SUM(W43:Z43)</f>
        <v>0</v>
      </c>
    </row>
    <row r="44" spans="2:27" x14ac:dyDescent="0.25">
      <c r="B44" s="11" t="s">
        <v>112</v>
      </c>
      <c r="G44" s="37"/>
      <c r="H44" s="33">
        <f t="shared" ref="H44" si="51">(H43-C43)/C43</f>
        <v>6.7534246575342465</v>
      </c>
      <c r="I44" s="33">
        <f t="shared" ref="I44" si="52">(I43-D43)/D43</f>
        <v>6.75</v>
      </c>
      <c r="J44" s="33">
        <f t="shared" ref="J44:L44" si="53">(J43-E43)/E43</f>
        <v>4.145833333333333</v>
      </c>
      <c r="K44" s="33">
        <f t="shared" si="53"/>
        <v>-0.68421052631578949</v>
      </c>
      <c r="L44" s="37">
        <f t="shared" si="53"/>
        <v>0.19102040816326529</v>
      </c>
      <c r="M44" s="33">
        <f t="shared" ref="M44" si="54">(M43-H43)/H43</f>
        <v>-0.35159010600706714</v>
      </c>
      <c r="N44" s="33">
        <f t="shared" ref="N44" si="55">(N43-I43)/I43</f>
        <v>0.96451612903225803</v>
      </c>
      <c r="O44" s="33">
        <f t="shared" ref="O44" si="56">(O43-J43)/J43</f>
        <v>0.26720647773279355</v>
      </c>
      <c r="P44" s="33">
        <f t="shared" ref="P44:Q44" si="57">(P43-K43)/K43</f>
        <v>0.35119047619047616</v>
      </c>
      <c r="Q44" s="37">
        <f t="shared" si="57"/>
        <v>0.19465387251542152</v>
      </c>
      <c r="R44" s="33">
        <f t="shared" ref="R44" si="58">(R43-M43)/M43</f>
        <v>-0.53950953678474112</v>
      </c>
      <c r="S44" s="33">
        <f>(S43-N43)/N43</f>
        <v>-0.79146141215106736</v>
      </c>
      <c r="T44" s="33">
        <f t="shared" ref="T44" si="59">(T43-O43)/O43</f>
        <v>-0.46964856230031948</v>
      </c>
      <c r="U44" s="33">
        <f t="shared" ref="U44:V44" si="60">(U43-P43)/P43</f>
        <v>-0.90088105726872247</v>
      </c>
      <c r="V44" s="37">
        <f t="shared" si="60"/>
        <v>-0.7091222030981067</v>
      </c>
      <c r="W44" s="33">
        <f t="shared" ref="W44" si="61">(W43-R43)/R43</f>
        <v>-1</v>
      </c>
      <c r="X44" s="33">
        <f>(X43-S43)/S43</f>
        <v>-1</v>
      </c>
      <c r="Y44" s="33">
        <f t="shared" ref="Y44" si="62">(Y43-T43)/T43</f>
        <v>-1</v>
      </c>
      <c r="Z44" s="33">
        <f t="shared" ref="Z44" si="63">(Z43-U43)/U43</f>
        <v>-1</v>
      </c>
      <c r="AA44" s="37">
        <f t="shared" ref="AA44" si="64">(AA43-V43)/V43</f>
        <v>-1</v>
      </c>
    </row>
    <row r="45" spans="2:27" x14ac:dyDescent="0.25">
      <c r="B45" s="2" t="s">
        <v>50</v>
      </c>
      <c r="C45" s="2">
        <v>4</v>
      </c>
      <c r="D45" s="2">
        <v>-22</v>
      </c>
      <c r="E45" s="2">
        <v>-2</v>
      </c>
      <c r="F45" s="2">
        <v>326</v>
      </c>
      <c r="G45" s="36">
        <f>SUM(C45:F45)</f>
        <v>306</v>
      </c>
      <c r="H45" s="2">
        <v>106</v>
      </c>
      <c r="I45" s="2">
        <v>60</v>
      </c>
      <c r="J45" s="2">
        <v>39</v>
      </c>
      <c r="K45" s="2">
        <v>46</v>
      </c>
      <c r="L45" s="36">
        <f>SUM(H45:K45)</f>
        <v>251</v>
      </c>
      <c r="M45" s="2">
        <v>104</v>
      </c>
      <c r="N45" s="2">
        <v>97</v>
      </c>
      <c r="O45" s="2">
        <v>42</v>
      </c>
      <c r="P45" s="2">
        <v>158</v>
      </c>
      <c r="Q45" s="36">
        <f>SUM(M45:P45)</f>
        <v>401</v>
      </c>
      <c r="R45" s="2">
        <v>80</v>
      </c>
      <c r="S45" s="2">
        <v>51</v>
      </c>
      <c r="T45" s="2">
        <v>28</v>
      </c>
      <c r="U45" s="2">
        <v>-21</v>
      </c>
      <c r="V45" s="36">
        <f>SUM(R45:U45)</f>
        <v>138</v>
      </c>
      <c r="AA45" s="36">
        <f>SUM(W45:Z45)</f>
        <v>0</v>
      </c>
    </row>
    <row r="46" spans="2:27" x14ac:dyDescent="0.25">
      <c r="B46" s="11" t="s">
        <v>111</v>
      </c>
      <c r="C46" s="32">
        <v>5.6000000000000001E-2</v>
      </c>
      <c r="D46" s="32">
        <v>0</v>
      </c>
      <c r="E46" s="32">
        <v>0</v>
      </c>
      <c r="F46" s="32">
        <v>0.30599999999999999</v>
      </c>
      <c r="G46" s="38">
        <f>G45/G43</f>
        <v>0.24979591836734694</v>
      </c>
      <c r="H46" s="32">
        <v>0.183</v>
      </c>
      <c r="I46" s="32">
        <v>0.19400000000000001</v>
      </c>
      <c r="J46" s="32">
        <v>0.157</v>
      </c>
      <c r="K46" s="32">
        <v>0.13700000000000001</v>
      </c>
      <c r="L46" s="38">
        <f>L45/L43</f>
        <v>0.1720356408498972</v>
      </c>
      <c r="M46" s="32">
        <v>0.28399999999999997</v>
      </c>
      <c r="N46" s="32">
        <v>0.16</v>
      </c>
      <c r="O46" s="32">
        <v>0.13400000000000001</v>
      </c>
      <c r="P46" s="32">
        <v>0.34699999999999998</v>
      </c>
      <c r="Q46" s="38">
        <f>Q45/Q43</f>
        <v>0.23006310958118187</v>
      </c>
      <c r="R46" s="32">
        <v>0.47499999999999998</v>
      </c>
      <c r="S46" s="32">
        <v>0.40600000000000003</v>
      </c>
      <c r="T46" s="32">
        <v>0.16600000000000001</v>
      </c>
      <c r="U46" s="32">
        <v>-0.46500000000000002</v>
      </c>
      <c r="V46" s="38">
        <f>V45/V43</f>
        <v>0.27218934911242604</v>
      </c>
      <c r="W46" s="32"/>
      <c r="X46" s="32"/>
      <c r="Y46" s="32"/>
      <c r="Z46" s="32"/>
      <c r="AA46" s="38" t="e">
        <f>AA45/AA43</f>
        <v>#DIV/0!</v>
      </c>
    </row>
    <row r="47" spans="2:27" x14ac:dyDescent="0.25">
      <c r="B47" s="2" t="s">
        <v>113</v>
      </c>
      <c r="C47" s="2">
        <v>-81</v>
      </c>
      <c r="D47" s="2">
        <v>-316</v>
      </c>
      <c r="E47" s="2">
        <v>-124</v>
      </c>
      <c r="F47" s="2">
        <v>-145</v>
      </c>
      <c r="G47" s="36">
        <f>SUM(C47:F47)</f>
        <v>-666</v>
      </c>
      <c r="H47" s="2">
        <v>919</v>
      </c>
      <c r="I47" s="2">
        <v>-95</v>
      </c>
      <c r="J47" s="2">
        <v>-9</v>
      </c>
      <c r="K47" s="2">
        <v>9</v>
      </c>
      <c r="L47" s="36">
        <f>SUM(H47:K47)</f>
        <v>824</v>
      </c>
      <c r="M47" s="2">
        <v>-84</v>
      </c>
      <c r="N47" s="2">
        <v>531</v>
      </c>
      <c r="O47" s="2">
        <v>128</v>
      </c>
      <c r="P47" s="2">
        <v>463</v>
      </c>
      <c r="Q47" s="36">
        <f>SUM(M47:P47)</f>
        <v>1038</v>
      </c>
      <c r="R47" s="2">
        <v>258</v>
      </c>
      <c r="S47" s="2">
        <v>14</v>
      </c>
      <c r="T47" s="2">
        <v>151</v>
      </c>
      <c r="U47" s="2">
        <v>-84</v>
      </c>
      <c r="V47" s="36">
        <f>SUM(R47:U47)</f>
        <v>339</v>
      </c>
      <c r="AA47" s="36">
        <f>SUM(W47:Z47)</f>
        <v>0</v>
      </c>
    </row>
    <row r="48" spans="2:27" x14ac:dyDescent="0.25">
      <c r="B48" s="2" t="s">
        <v>120</v>
      </c>
      <c r="C48" s="2">
        <v>0</v>
      </c>
      <c r="D48" s="2">
        <v>0</v>
      </c>
      <c r="E48" s="2">
        <v>0</v>
      </c>
      <c r="F48" s="2">
        <v>70</v>
      </c>
      <c r="G48" s="36">
        <f>SUM(C48:F48)</f>
        <v>70</v>
      </c>
      <c r="H48" s="2">
        <v>218</v>
      </c>
      <c r="I48" s="2">
        <v>0</v>
      </c>
      <c r="J48" s="2">
        <v>0</v>
      </c>
      <c r="K48" s="2">
        <v>0</v>
      </c>
      <c r="L48" s="36">
        <f>SUM(H48:K48)</f>
        <v>218</v>
      </c>
      <c r="M48" s="2">
        <v>0</v>
      </c>
      <c r="N48" s="2">
        <v>278</v>
      </c>
      <c r="O48" s="2">
        <v>0</v>
      </c>
      <c r="P48" s="2">
        <v>96</v>
      </c>
      <c r="Q48" s="36">
        <f>SUM(M48:P48)</f>
        <v>374</v>
      </c>
      <c r="R48" s="2">
        <v>0</v>
      </c>
      <c r="S48" s="2">
        <v>0</v>
      </c>
      <c r="T48" s="2">
        <v>205</v>
      </c>
      <c r="U48" s="2">
        <v>0</v>
      </c>
      <c r="V48" s="36">
        <f>SUM(R48:U48)</f>
        <v>205</v>
      </c>
      <c r="AA48" s="36">
        <f>SUM(W48:Z48)</f>
        <v>0</v>
      </c>
    </row>
    <row r="49" spans="2:27" x14ac:dyDescent="0.25">
      <c r="B49" s="27" t="s">
        <v>121</v>
      </c>
      <c r="C49" s="27">
        <v>0</v>
      </c>
      <c r="D49" s="27">
        <v>0</v>
      </c>
      <c r="E49" s="27">
        <v>96</v>
      </c>
      <c r="F49" s="27">
        <v>70</v>
      </c>
      <c r="G49" s="39">
        <f>SUM(C49:F49)</f>
        <v>166</v>
      </c>
      <c r="H49" s="27">
        <v>0</v>
      </c>
      <c r="I49" s="27">
        <v>155</v>
      </c>
      <c r="J49" s="27">
        <v>0</v>
      </c>
      <c r="K49" s="27">
        <v>0</v>
      </c>
      <c r="L49" s="39">
        <f>SUM(H49:K49)</f>
        <v>155</v>
      </c>
      <c r="M49" s="27">
        <v>0</v>
      </c>
      <c r="N49" s="27">
        <v>0</v>
      </c>
      <c r="O49" s="27">
        <v>0</v>
      </c>
      <c r="P49" s="27">
        <v>205</v>
      </c>
      <c r="Q49" s="39">
        <f>SUM(M49:P49)</f>
        <v>205</v>
      </c>
      <c r="R49" s="27">
        <v>0</v>
      </c>
      <c r="S49" s="27">
        <v>165</v>
      </c>
      <c r="T49" s="27">
        <v>0</v>
      </c>
      <c r="U49" s="27">
        <v>0</v>
      </c>
      <c r="V49" s="39">
        <f>SUM(R49:U49)</f>
        <v>165</v>
      </c>
      <c r="W49" s="27"/>
      <c r="X49" s="27"/>
      <c r="Y49" s="27"/>
      <c r="Z49" s="27"/>
      <c r="AA49" s="39">
        <f>SUM(W49:Z49)</f>
        <v>0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445E-3E6A-224E-9C1C-6C7BE9DEC03F}">
  <dimension ref="A1"/>
  <sheetViews>
    <sheetView showGridLines="0" workbookViewId="0">
      <selection activeCell="E20" sqref="E20"/>
    </sheetView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D27" sqref="D27"/>
    </sheetView>
  </sheetViews>
  <sheetFormatPr baseColWidth="10" defaultColWidth="10.83203125" defaultRowHeight="16" x14ac:dyDescent="0.2"/>
  <cols>
    <col min="3" max="3" width="29.5" bestFit="1" customWidth="1"/>
    <col min="4" max="7" width="18.6640625" bestFit="1" customWidth="1"/>
  </cols>
  <sheetData>
    <row r="4" spans="3:6" ht="62" x14ac:dyDescent="0.7">
      <c r="C4" s="23"/>
      <c r="D4" s="23">
        <v>2026</v>
      </c>
      <c r="E4" s="23">
        <v>2027</v>
      </c>
      <c r="F4" s="23">
        <v>2028</v>
      </c>
    </row>
    <row r="5" spans="3:6" ht="62" x14ac:dyDescent="0.7">
      <c r="C5" s="23" t="s">
        <v>29</v>
      </c>
      <c r="D5" s="29">
        <f>Modell!$B$9/Modell!AJ9</f>
        <v>18.438317222579361</v>
      </c>
      <c r="E5" s="29">
        <f>Modell!$B$9/Modell!AK9</f>
        <v>12.305315175947174</v>
      </c>
      <c r="F5" s="29">
        <f>Modell!$B$9/Modell!AL9</f>
        <v>7.4100429227142373</v>
      </c>
    </row>
    <row r="6" spans="3:6" ht="62" x14ac:dyDescent="0.7">
      <c r="C6" s="23" t="s">
        <v>30</v>
      </c>
      <c r="D6" s="29">
        <f>Modell!$B$4/Modell!AJ16</f>
        <v>27.565093915744452</v>
      </c>
      <c r="E6" s="29">
        <f>Modell!$B$4/Modell!AK16</f>
        <v>12.577156564905962</v>
      </c>
      <c r="F6" s="29">
        <f>Modell!$B$4/Modell!AL16</f>
        <v>7.5737409939584648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4FB0-C75D-3C44-A4EA-E58D5AFDF4D9}">
  <dimension ref="A3:DG22"/>
  <sheetViews>
    <sheetView showGridLines="0" workbookViewId="0">
      <pane xSplit="3" ySplit="3" topLeftCell="O4" activePane="bottomRight" state="frozen"/>
      <selection pane="topRight" activeCell="D1" sqref="D1"/>
      <selection pane="bottomLeft" activeCell="A4" sqref="A4"/>
      <selection pane="bottomRight" activeCell="Y24" sqref="Y24"/>
    </sheetView>
  </sheetViews>
  <sheetFormatPr baseColWidth="10" defaultColWidth="10.83203125" defaultRowHeight="19" x14ac:dyDescent="0.25"/>
  <cols>
    <col min="1" max="1" width="10.83203125" style="2"/>
    <col min="2" max="2" width="23.33203125" style="4" customWidth="1"/>
    <col min="3" max="3" width="33.83203125" style="2" customWidth="1"/>
    <col min="4" max="25" width="10.83203125" style="2"/>
    <col min="26" max="26" width="14.1640625" style="2" bestFit="1" customWidth="1"/>
    <col min="27" max="27" width="13.33203125" style="2" bestFit="1" customWidth="1"/>
    <col min="28" max="16384" width="10.83203125" style="2"/>
  </cols>
  <sheetData>
    <row r="3" spans="1:111" x14ac:dyDescent="0.25">
      <c r="A3" s="1" t="s">
        <v>122</v>
      </c>
      <c r="D3" s="7" t="s">
        <v>96</v>
      </c>
      <c r="E3" s="7" t="s">
        <v>97</v>
      </c>
      <c r="F3" s="7" t="s">
        <v>98</v>
      </c>
      <c r="G3" s="7" t="s">
        <v>99</v>
      </c>
      <c r="H3" s="7" t="s">
        <v>32</v>
      </c>
      <c r="I3" s="7" t="s">
        <v>33</v>
      </c>
      <c r="J3" s="7" t="s">
        <v>34</v>
      </c>
      <c r="K3" s="7" t="s">
        <v>15</v>
      </c>
      <c r="L3" s="7" t="s">
        <v>16</v>
      </c>
      <c r="M3" s="7" t="s">
        <v>17</v>
      </c>
      <c r="N3" s="1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</row>
    <row r="4" spans="1:111" x14ac:dyDescent="0.25">
      <c r="A4" s="1" t="s">
        <v>123</v>
      </c>
      <c r="C4" s="1" t="s">
        <v>45</v>
      </c>
      <c r="D4" s="12">
        <v>13939</v>
      </c>
      <c r="E4" s="12">
        <v>15291</v>
      </c>
      <c r="F4" s="12">
        <v>17008</v>
      </c>
      <c r="G4" s="12">
        <v>16161</v>
      </c>
      <c r="H4" s="12">
        <v>15692</v>
      </c>
      <c r="I4" s="12">
        <v>15388</v>
      </c>
      <c r="J4" s="12">
        <v>14608</v>
      </c>
      <c r="K4" s="12">
        <v>16385</v>
      </c>
      <c r="L4" s="12">
        <v>13851</v>
      </c>
      <c r="M4" s="12">
        <v>12507</v>
      </c>
      <c r="N4" s="13">
        <f>M4*0.84</f>
        <v>10505.88</v>
      </c>
      <c r="O4" s="12">
        <f>N4*1</f>
        <v>10505.88</v>
      </c>
      <c r="P4" s="12">
        <f t="shared" ref="P4:X4" si="0">O4*1</f>
        <v>10505.88</v>
      </c>
      <c r="Q4" s="12">
        <f t="shared" si="0"/>
        <v>10505.88</v>
      </c>
      <c r="R4" s="12">
        <f t="shared" si="0"/>
        <v>10505.88</v>
      </c>
      <c r="S4" s="12">
        <f t="shared" si="0"/>
        <v>10505.88</v>
      </c>
      <c r="T4" s="12">
        <f t="shared" si="0"/>
        <v>10505.88</v>
      </c>
      <c r="U4" s="12">
        <f t="shared" si="0"/>
        <v>10505.88</v>
      </c>
      <c r="V4" s="12">
        <f t="shared" si="0"/>
        <v>10505.88</v>
      </c>
      <c r="W4" s="12">
        <f t="shared" si="0"/>
        <v>10505.88</v>
      </c>
      <c r="X4" s="12">
        <f t="shared" si="0"/>
        <v>10505.88</v>
      </c>
    </row>
    <row r="5" spans="1:111" x14ac:dyDescent="0.25">
      <c r="A5" s="43">
        <f>AA21</f>
        <v>105.4979461453914</v>
      </c>
      <c r="C5" s="2" t="s">
        <v>46</v>
      </c>
      <c r="D5" s="14">
        <v>-11630</v>
      </c>
      <c r="E5" s="14">
        <v>-12440</v>
      </c>
      <c r="F5" s="14">
        <v>-13648</v>
      </c>
      <c r="G5" s="14">
        <v>-13247</v>
      </c>
      <c r="H5" s="14">
        <v>-12994</v>
      </c>
      <c r="I5" s="14">
        <v>-12607</v>
      </c>
      <c r="J5" s="14">
        <v>-11814</v>
      </c>
      <c r="K5" s="14">
        <v>-13216</v>
      </c>
      <c r="L5" s="14">
        <v>-11877</v>
      </c>
      <c r="M5" s="14">
        <v>-11040</v>
      </c>
      <c r="N5" s="15">
        <f>N4*-0.865</f>
        <v>-9087.5861999999997</v>
      </c>
      <c r="O5" s="14">
        <f>O4*-0.85</f>
        <v>-8929.9979999999996</v>
      </c>
      <c r="P5" s="14">
        <f t="shared" ref="P5:X5" si="1">P4*-0.85</f>
        <v>-8929.9979999999996</v>
      </c>
      <c r="Q5" s="14">
        <f t="shared" si="1"/>
        <v>-8929.9979999999996</v>
      </c>
      <c r="R5" s="14">
        <f t="shared" si="1"/>
        <v>-8929.9979999999996</v>
      </c>
      <c r="S5" s="14">
        <f t="shared" si="1"/>
        <v>-8929.9979999999996</v>
      </c>
      <c r="T5" s="14">
        <f t="shared" si="1"/>
        <v>-8929.9979999999996</v>
      </c>
      <c r="U5" s="14">
        <f t="shared" si="1"/>
        <v>-8929.9979999999996</v>
      </c>
      <c r="V5" s="14">
        <f t="shared" si="1"/>
        <v>-8929.9979999999996</v>
      </c>
      <c r="W5" s="14">
        <f t="shared" si="1"/>
        <v>-8929.9979999999996</v>
      </c>
      <c r="X5" s="14">
        <f t="shared" si="1"/>
        <v>-8929.9979999999996</v>
      </c>
    </row>
    <row r="6" spans="1:111" x14ac:dyDescent="0.25">
      <c r="A6" s="18">
        <f>AA22</f>
        <v>-0.20678235980908724</v>
      </c>
      <c r="C6" s="2" t="s">
        <v>47</v>
      </c>
      <c r="D6" s="14">
        <f t="shared" ref="D6:X6" si="2">SUM(D4:D5)</f>
        <v>2309</v>
      </c>
      <c r="E6" s="14">
        <f t="shared" si="2"/>
        <v>2851</v>
      </c>
      <c r="F6" s="14">
        <f t="shared" si="2"/>
        <v>3360</v>
      </c>
      <c r="G6" s="14">
        <f t="shared" si="2"/>
        <v>2914</v>
      </c>
      <c r="H6" s="14">
        <f t="shared" si="2"/>
        <v>2698</v>
      </c>
      <c r="I6" s="14">
        <f t="shared" si="2"/>
        <v>2781</v>
      </c>
      <c r="J6" s="14">
        <f t="shared" si="2"/>
        <v>2794</v>
      </c>
      <c r="K6" s="14">
        <f t="shared" si="2"/>
        <v>3169</v>
      </c>
      <c r="L6" s="14">
        <f t="shared" si="2"/>
        <v>1974</v>
      </c>
      <c r="M6" s="14">
        <f t="shared" si="2"/>
        <v>1467</v>
      </c>
      <c r="N6" s="15">
        <f t="shared" si="2"/>
        <v>1418.2937999999995</v>
      </c>
      <c r="O6" s="14">
        <f t="shared" si="2"/>
        <v>1575.8819999999996</v>
      </c>
      <c r="P6" s="14">
        <f t="shared" si="2"/>
        <v>1575.8819999999996</v>
      </c>
      <c r="Q6" s="14">
        <f t="shared" si="2"/>
        <v>1575.8819999999996</v>
      </c>
      <c r="R6" s="14">
        <f t="shared" si="2"/>
        <v>1575.8819999999996</v>
      </c>
      <c r="S6" s="14">
        <f t="shared" si="2"/>
        <v>1575.8819999999996</v>
      </c>
      <c r="T6" s="14">
        <f t="shared" si="2"/>
        <v>1575.8819999999996</v>
      </c>
      <c r="U6" s="14">
        <f t="shared" si="2"/>
        <v>1575.8819999999996</v>
      </c>
      <c r="V6" s="14">
        <f t="shared" si="2"/>
        <v>1575.8819999999996</v>
      </c>
      <c r="W6" s="14">
        <f t="shared" si="2"/>
        <v>1575.8819999999996</v>
      </c>
      <c r="X6" s="14">
        <f t="shared" si="2"/>
        <v>1575.8819999999996</v>
      </c>
    </row>
    <row r="7" spans="1:111" x14ac:dyDescent="0.25">
      <c r="C7" s="2" t="s">
        <v>48</v>
      </c>
      <c r="D7" s="14">
        <v>-866</v>
      </c>
      <c r="E7" s="14">
        <v>-935</v>
      </c>
      <c r="F7" s="14">
        <v>-1005</v>
      </c>
      <c r="G7" s="14">
        <v>-1041</v>
      </c>
      <c r="H7" s="14">
        <v>-966</v>
      </c>
      <c r="I7" s="14">
        <v>-944</v>
      </c>
      <c r="J7" s="14">
        <v>-1015</v>
      </c>
      <c r="K7" s="14">
        <v>-1094</v>
      </c>
      <c r="L7" s="14">
        <v>-985</v>
      </c>
      <c r="M7" s="14">
        <v>-927</v>
      </c>
      <c r="N7" s="15">
        <f>M7*1.025</f>
        <v>-950.17499999999995</v>
      </c>
      <c r="O7" s="14">
        <f>N7*0.9</f>
        <v>-855.15750000000003</v>
      </c>
      <c r="P7" s="14">
        <f>O7</f>
        <v>-855.15750000000003</v>
      </c>
      <c r="Q7" s="14">
        <f t="shared" ref="Q7:X7" si="3">P7</f>
        <v>-855.15750000000003</v>
      </c>
      <c r="R7" s="14">
        <f t="shared" si="3"/>
        <v>-855.15750000000003</v>
      </c>
      <c r="S7" s="14">
        <f t="shared" si="3"/>
        <v>-855.15750000000003</v>
      </c>
      <c r="T7" s="14">
        <f t="shared" si="3"/>
        <v>-855.15750000000003</v>
      </c>
      <c r="U7" s="14">
        <f t="shared" si="3"/>
        <v>-855.15750000000003</v>
      </c>
      <c r="V7" s="14">
        <f t="shared" si="3"/>
        <v>-855.15750000000003</v>
      </c>
      <c r="W7" s="14">
        <f t="shared" si="3"/>
        <v>-855.15750000000003</v>
      </c>
      <c r="X7" s="14">
        <f t="shared" si="3"/>
        <v>-855.15750000000003</v>
      </c>
    </row>
    <row r="8" spans="1:111" x14ac:dyDescent="0.25">
      <c r="C8" s="2" t="s">
        <v>49</v>
      </c>
      <c r="D8" s="14">
        <v>56</v>
      </c>
      <c r="E8" s="14">
        <v>15</v>
      </c>
      <c r="F8" s="14">
        <v>14</v>
      </c>
      <c r="G8" s="14">
        <v>13</v>
      </c>
      <c r="H8" s="14">
        <v>276</v>
      </c>
      <c r="I8" s="14">
        <v>191</v>
      </c>
      <c r="J8" s="14">
        <v>436</v>
      </c>
      <c r="K8" s="14">
        <v>-11</v>
      </c>
      <c r="L8" s="14">
        <v>-256</v>
      </c>
      <c r="M8" s="14">
        <v>-8</v>
      </c>
      <c r="N8" s="15">
        <f>M8*1.025</f>
        <v>-8.1999999999999993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</row>
    <row r="9" spans="1:111" x14ac:dyDescent="0.25">
      <c r="C9" s="1" t="s">
        <v>109</v>
      </c>
      <c r="D9" s="12">
        <f t="shared" ref="D9:X9" si="4">SUM(D6:D8)</f>
        <v>1499</v>
      </c>
      <c r="E9" s="12">
        <f t="shared" si="4"/>
        <v>1931</v>
      </c>
      <c r="F9" s="12">
        <f t="shared" si="4"/>
        <v>2369</v>
      </c>
      <c r="G9" s="12">
        <f t="shared" si="4"/>
        <v>1886</v>
      </c>
      <c r="H9" s="12">
        <f t="shared" si="4"/>
        <v>2008</v>
      </c>
      <c r="I9" s="12">
        <f t="shared" si="4"/>
        <v>2028</v>
      </c>
      <c r="J9" s="12">
        <f t="shared" si="4"/>
        <v>2215</v>
      </c>
      <c r="K9" s="12">
        <f t="shared" si="4"/>
        <v>2064</v>
      </c>
      <c r="L9" s="12">
        <f t="shared" si="4"/>
        <v>733</v>
      </c>
      <c r="M9" s="12">
        <f t="shared" si="4"/>
        <v>532</v>
      </c>
      <c r="N9" s="13">
        <f t="shared" si="4"/>
        <v>459.91879999999952</v>
      </c>
      <c r="O9" s="12">
        <f t="shared" si="4"/>
        <v>720.72449999999958</v>
      </c>
      <c r="P9" s="12">
        <f t="shared" si="4"/>
        <v>720.72449999999958</v>
      </c>
      <c r="Q9" s="12">
        <f t="shared" si="4"/>
        <v>720.72449999999958</v>
      </c>
      <c r="R9" s="12">
        <f t="shared" si="4"/>
        <v>720.72449999999958</v>
      </c>
      <c r="S9" s="12">
        <f t="shared" si="4"/>
        <v>720.72449999999958</v>
      </c>
      <c r="T9" s="12">
        <f t="shared" si="4"/>
        <v>720.72449999999958</v>
      </c>
      <c r="U9" s="12">
        <f t="shared" si="4"/>
        <v>720.72449999999958</v>
      </c>
      <c r="V9" s="12">
        <f t="shared" si="4"/>
        <v>720.72449999999958</v>
      </c>
      <c r="W9" s="12">
        <f t="shared" si="4"/>
        <v>720.72449999999958</v>
      </c>
      <c r="X9" s="12">
        <f t="shared" si="4"/>
        <v>720.72449999999958</v>
      </c>
    </row>
    <row r="10" spans="1:111" x14ac:dyDescent="0.25">
      <c r="C10" s="2" t="s">
        <v>52</v>
      </c>
      <c r="D10" s="14">
        <v>11</v>
      </c>
      <c r="E10" s="14">
        <v>17</v>
      </c>
      <c r="F10" s="14">
        <v>279</v>
      </c>
      <c r="G10" s="14">
        <v>10</v>
      </c>
      <c r="H10" s="14">
        <v>6</v>
      </c>
      <c r="I10" s="14">
        <v>6</v>
      </c>
      <c r="J10" s="14">
        <v>4</v>
      </c>
      <c r="K10" s="14">
        <v>19</v>
      </c>
      <c r="L10" s="14">
        <v>33</v>
      </c>
      <c r="M10" s="14">
        <v>24</v>
      </c>
      <c r="N10" s="15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</row>
    <row r="11" spans="1:111" x14ac:dyDescent="0.25">
      <c r="C11" s="2" t="s">
        <v>51</v>
      </c>
      <c r="D11" s="14">
        <v>-83</v>
      </c>
      <c r="E11" s="14">
        <v>-77</v>
      </c>
      <c r="F11" s="14">
        <v>-69</v>
      </c>
      <c r="G11" s="14">
        <v>-79</v>
      </c>
      <c r="H11" s="14">
        <v>-86</v>
      </c>
      <c r="I11" s="14">
        <v>-79</v>
      </c>
      <c r="J11" s="14">
        <v>-62</v>
      </c>
      <c r="K11" s="14">
        <v>-89</v>
      </c>
      <c r="L11" s="14">
        <v>-133</v>
      </c>
      <c r="M11" s="14">
        <v>-151</v>
      </c>
      <c r="N11" s="15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</row>
    <row r="12" spans="1:111" x14ac:dyDescent="0.25">
      <c r="C12" s="2" t="s">
        <v>53</v>
      </c>
      <c r="D12" s="14">
        <f t="shared" ref="D12:X12" si="5">SUM(D9:D11)</f>
        <v>1427</v>
      </c>
      <c r="E12" s="14">
        <f t="shared" si="5"/>
        <v>1871</v>
      </c>
      <c r="F12" s="14">
        <f t="shared" si="5"/>
        <v>2579</v>
      </c>
      <c r="G12" s="14">
        <f t="shared" si="5"/>
        <v>1817</v>
      </c>
      <c r="H12" s="14">
        <f t="shared" si="5"/>
        <v>1928</v>
      </c>
      <c r="I12" s="14">
        <f t="shared" si="5"/>
        <v>1955</v>
      </c>
      <c r="J12" s="14">
        <f t="shared" si="5"/>
        <v>2157</v>
      </c>
      <c r="K12" s="14">
        <f t="shared" si="5"/>
        <v>1994</v>
      </c>
      <c r="L12" s="14">
        <f t="shared" si="5"/>
        <v>633</v>
      </c>
      <c r="M12" s="14">
        <f t="shared" si="5"/>
        <v>405</v>
      </c>
      <c r="N12" s="15">
        <f t="shared" si="5"/>
        <v>459.91879999999952</v>
      </c>
      <c r="O12" s="14">
        <f t="shared" si="5"/>
        <v>720.72449999999958</v>
      </c>
      <c r="P12" s="14">
        <f t="shared" si="5"/>
        <v>720.72449999999958</v>
      </c>
      <c r="Q12" s="14">
        <f t="shared" si="5"/>
        <v>720.72449999999958</v>
      </c>
      <c r="R12" s="14">
        <f t="shared" si="5"/>
        <v>720.72449999999958</v>
      </c>
      <c r="S12" s="14">
        <f t="shared" si="5"/>
        <v>720.72449999999958</v>
      </c>
      <c r="T12" s="14">
        <f t="shared" si="5"/>
        <v>720.72449999999958</v>
      </c>
      <c r="U12" s="14">
        <f t="shared" si="5"/>
        <v>720.72449999999958</v>
      </c>
      <c r="V12" s="14">
        <f t="shared" si="5"/>
        <v>720.72449999999958</v>
      </c>
      <c r="W12" s="14">
        <f t="shared" si="5"/>
        <v>720.72449999999958</v>
      </c>
      <c r="X12" s="14">
        <f t="shared" si="5"/>
        <v>720.72449999999958</v>
      </c>
    </row>
    <row r="13" spans="1:111" x14ac:dyDescent="0.25">
      <c r="C13" s="2" t="s">
        <v>54</v>
      </c>
      <c r="D13" s="14">
        <v>-342</v>
      </c>
      <c r="E13" s="14">
        <v>-393</v>
      </c>
      <c r="F13" s="14">
        <v>-385</v>
      </c>
      <c r="G13" s="14">
        <v>-379</v>
      </c>
      <c r="H13" s="14">
        <v>-358</v>
      </c>
      <c r="I13" s="14">
        <v>-380</v>
      </c>
      <c r="J13" s="14">
        <v>-360</v>
      </c>
      <c r="K13" s="14">
        <v>-419</v>
      </c>
      <c r="L13" s="14">
        <v>-199</v>
      </c>
      <c r="M13" s="14">
        <v>-157</v>
      </c>
      <c r="N13" s="15">
        <f>N12*-0.2</f>
        <v>-91.983759999999904</v>
      </c>
      <c r="O13" s="14">
        <f t="shared" ref="O13:X13" si="6">O12*-0.2</f>
        <v>-144.14489999999992</v>
      </c>
      <c r="P13" s="14">
        <f t="shared" si="6"/>
        <v>-144.14489999999992</v>
      </c>
      <c r="Q13" s="14">
        <f t="shared" si="6"/>
        <v>-144.14489999999992</v>
      </c>
      <c r="R13" s="14">
        <f t="shared" si="6"/>
        <v>-144.14489999999992</v>
      </c>
      <c r="S13" s="14">
        <f t="shared" si="6"/>
        <v>-144.14489999999992</v>
      </c>
      <c r="T13" s="14">
        <f t="shared" si="6"/>
        <v>-144.14489999999992</v>
      </c>
      <c r="U13" s="14">
        <f t="shared" si="6"/>
        <v>-144.14489999999992</v>
      </c>
      <c r="V13" s="14">
        <f t="shared" si="6"/>
        <v>-144.14489999999992</v>
      </c>
      <c r="W13" s="14">
        <f t="shared" si="6"/>
        <v>-144.14489999999992</v>
      </c>
      <c r="X13" s="14">
        <f t="shared" si="6"/>
        <v>-144.14489999999992</v>
      </c>
    </row>
    <row r="14" spans="1:111" x14ac:dyDescent="0.25">
      <c r="C14" s="1" t="s">
        <v>55</v>
      </c>
      <c r="D14" s="12">
        <f t="shared" ref="D14:X14" si="7">SUM(D12:D13)</f>
        <v>1085</v>
      </c>
      <c r="E14" s="12">
        <f t="shared" si="7"/>
        <v>1478</v>
      </c>
      <c r="F14" s="12">
        <f t="shared" si="7"/>
        <v>2194</v>
      </c>
      <c r="G14" s="12">
        <f t="shared" si="7"/>
        <v>1438</v>
      </c>
      <c r="H14" s="12">
        <f t="shared" si="7"/>
        <v>1570</v>
      </c>
      <c r="I14" s="12">
        <f t="shared" si="7"/>
        <v>1575</v>
      </c>
      <c r="J14" s="12">
        <f t="shared" si="7"/>
        <v>1797</v>
      </c>
      <c r="K14" s="12">
        <f t="shared" si="7"/>
        <v>1575</v>
      </c>
      <c r="L14" s="12">
        <f t="shared" si="7"/>
        <v>434</v>
      </c>
      <c r="M14" s="12">
        <f t="shared" si="7"/>
        <v>248</v>
      </c>
      <c r="N14" s="13">
        <f t="shared" si="7"/>
        <v>367.93503999999962</v>
      </c>
      <c r="O14" s="12">
        <f t="shared" si="7"/>
        <v>576.57959999999969</v>
      </c>
      <c r="P14" s="12">
        <f t="shared" si="7"/>
        <v>576.57959999999969</v>
      </c>
      <c r="Q14" s="12">
        <f t="shared" si="7"/>
        <v>576.57959999999969</v>
      </c>
      <c r="R14" s="12">
        <f t="shared" si="7"/>
        <v>576.57959999999969</v>
      </c>
      <c r="S14" s="12">
        <f t="shared" si="7"/>
        <v>576.57959999999969</v>
      </c>
      <c r="T14" s="12">
        <f t="shared" si="7"/>
        <v>576.57959999999969</v>
      </c>
      <c r="U14" s="12">
        <f t="shared" si="7"/>
        <v>576.57959999999969</v>
      </c>
      <c r="V14" s="12">
        <f t="shared" si="7"/>
        <v>576.57959999999969</v>
      </c>
      <c r="W14" s="12">
        <f t="shared" si="7"/>
        <v>576.57959999999969</v>
      </c>
      <c r="X14" s="12">
        <f t="shared" si="7"/>
        <v>576.57959999999969</v>
      </c>
      <c r="Y14" s="12">
        <f>X14*(1+$AA$18)</f>
        <v>570.81380399999966</v>
      </c>
      <c r="Z14" s="12">
        <f t="shared" ref="Z14:CK14" si="8">Y14*(1+$AA$18)</f>
        <v>565.10566595999967</v>
      </c>
      <c r="AA14" s="12">
        <f t="shared" si="8"/>
        <v>559.45460930039962</v>
      </c>
      <c r="AB14" s="12">
        <f t="shared" si="8"/>
        <v>553.86006320739557</v>
      </c>
      <c r="AC14" s="12">
        <f t="shared" si="8"/>
        <v>548.32146257532156</v>
      </c>
      <c r="AD14" s="12">
        <f t="shared" si="8"/>
        <v>542.83824794956831</v>
      </c>
      <c r="AE14" s="12">
        <f t="shared" si="8"/>
        <v>537.40986547007265</v>
      </c>
      <c r="AF14" s="12">
        <f t="shared" si="8"/>
        <v>532.03576681537186</v>
      </c>
      <c r="AG14" s="12">
        <f t="shared" si="8"/>
        <v>526.71540914721811</v>
      </c>
      <c r="AH14" s="12">
        <f t="shared" si="8"/>
        <v>521.4482550557459</v>
      </c>
      <c r="AI14" s="12">
        <f t="shared" si="8"/>
        <v>516.23377250518843</v>
      </c>
      <c r="AJ14" s="12">
        <f t="shared" si="8"/>
        <v>511.07143478013654</v>
      </c>
      <c r="AK14" s="12">
        <f t="shared" si="8"/>
        <v>505.96072043233517</v>
      </c>
      <c r="AL14" s="12">
        <f t="shared" si="8"/>
        <v>500.90111322801181</v>
      </c>
      <c r="AM14" s="12">
        <f t="shared" si="8"/>
        <v>495.89210209573167</v>
      </c>
      <c r="AN14" s="12">
        <f t="shared" si="8"/>
        <v>490.93318107477432</v>
      </c>
      <c r="AO14" s="12">
        <f t="shared" si="8"/>
        <v>486.02384926402658</v>
      </c>
      <c r="AP14" s="12">
        <f t="shared" si="8"/>
        <v>481.16361077138629</v>
      </c>
      <c r="AQ14" s="12">
        <f t="shared" si="8"/>
        <v>476.35197466367242</v>
      </c>
      <c r="AR14" s="12">
        <f t="shared" si="8"/>
        <v>471.58845491703568</v>
      </c>
      <c r="AS14" s="12">
        <f t="shared" si="8"/>
        <v>466.87257036786531</v>
      </c>
      <c r="AT14" s="12">
        <f t="shared" si="8"/>
        <v>462.20384466418665</v>
      </c>
      <c r="AU14" s="12">
        <f t="shared" si="8"/>
        <v>457.58180621754479</v>
      </c>
      <c r="AV14" s="12">
        <f t="shared" si="8"/>
        <v>453.00598815536932</v>
      </c>
      <c r="AW14" s="12">
        <f t="shared" si="8"/>
        <v>448.47592827381561</v>
      </c>
      <c r="AX14" s="12">
        <f t="shared" si="8"/>
        <v>443.99116899107747</v>
      </c>
      <c r="AY14" s="12">
        <f t="shared" si="8"/>
        <v>439.55125730116669</v>
      </c>
      <c r="AZ14" s="12">
        <f t="shared" si="8"/>
        <v>435.15574472815501</v>
      </c>
      <c r="BA14" s="12">
        <f t="shared" si="8"/>
        <v>430.80418728087346</v>
      </c>
      <c r="BB14" s="12">
        <f t="shared" si="8"/>
        <v>426.49614540806471</v>
      </c>
      <c r="BC14" s="12">
        <f t="shared" si="8"/>
        <v>422.23118395398404</v>
      </c>
      <c r="BD14" s="12">
        <f t="shared" si="8"/>
        <v>418.00887211444422</v>
      </c>
      <c r="BE14" s="12">
        <f t="shared" si="8"/>
        <v>413.82878339329977</v>
      </c>
      <c r="BF14" s="12">
        <f t="shared" si="8"/>
        <v>409.69049555936675</v>
      </c>
      <c r="BG14" s="12">
        <f t="shared" si="8"/>
        <v>405.59359060377307</v>
      </c>
      <c r="BH14" s="12">
        <f t="shared" si="8"/>
        <v>401.53765469773532</v>
      </c>
      <c r="BI14" s="12">
        <f t="shared" si="8"/>
        <v>397.52227815075798</v>
      </c>
      <c r="BJ14" s="12">
        <f t="shared" si="8"/>
        <v>393.54705536925042</v>
      </c>
      <c r="BK14" s="12">
        <f t="shared" si="8"/>
        <v>389.61158481555793</v>
      </c>
      <c r="BL14" s="12">
        <f t="shared" si="8"/>
        <v>385.71546896740233</v>
      </c>
      <c r="BM14" s="12">
        <f t="shared" si="8"/>
        <v>381.85831427772831</v>
      </c>
      <c r="BN14" s="12">
        <f t="shared" si="8"/>
        <v>378.03973113495101</v>
      </c>
      <c r="BO14" s="12">
        <f t="shared" si="8"/>
        <v>374.25933382360148</v>
      </c>
      <c r="BP14" s="12">
        <f t="shared" si="8"/>
        <v>370.51674048536546</v>
      </c>
      <c r="BQ14" s="12">
        <f t="shared" si="8"/>
        <v>366.81157308051178</v>
      </c>
      <c r="BR14" s="12">
        <f t="shared" si="8"/>
        <v>363.14345734970664</v>
      </c>
      <c r="BS14" s="12">
        <f t="shared" si="8"/>
        <v>359.51202277620956</v>
      </c>
      <c r="BT14" s="12">
        <f t="shared" si="8"/>
        <v>355.91690254844747</v>
      </c>
      <c r="BU14" s="12">
        <f t="shared" si="8"/>
        <v>352.35773352296297</v>
      </c>
      <c r="BV14" s="12">
        <f t="shared" si="8"/>
        <v>348.83415618773336</v>
      </c>
      <c r="BW14" s="12">
        <f t="shared" si="8"/>
        <v>345.34581462585601</v>
      </c>
      <c r="BX14" s="12">
        <f t="shared" si="8"/>
        <v>341.89235647959742</v>
      </c>
      <c r="BY14" s="12">
        <f t="shared" si="8"/>
        <v>338.47343291480144</v>
      </c>
      <c r="BZ14" s="12">
        <f t="shared" si="8"/>
        <v>335.08869858565339</v>
      </c>
      <c r="CA14" s="12">
        <f t="shared" si="8"/>
        <v>331.73781159979683</v>
      </c>
      <c r="CB14" s="12">
        <f t="shared" si="8"/>
        <v>328.42043348379883</v>
      </c>
      <c r="CC14" s="12">
        <f t="shared" si="8"/>
        <v>325.13622914896087</v>
      </c>
      <c r="CD14" s="12">
        <f t="shared" si="8"/>
        <v>321.88486685747125</v>
      </c>
      <c r="CE14" s="12">
        <f t="shared" si="8"/>
        <v>318.66601818889654</v>
      </c>
      <c r="CF14" s="12">
        <f t="shared" si="8"/>
        <v>315.47935800700759</v>
      </c>
      <c r="CG14" s="12">
        <f t="shared" si="8"/>
        <v>312.32456442693751</v>
      </c>
      <c r="CH14" s="12">
        <f t="shared" si="8"/>
        <v>309.20131878266812</v>
      </c>
      <c r="CI14" s="12">
        <f t="shared" si="8"/>
        <v>306.10930559484143</v>
      </c>
      <c r="CJ14" s="12">
        <f t="shared" si="8"/>
        <v>303.04821253889304</v>
      </c>
      <c r="CK14" s="12">
        <f t="shared" si="8"/>
        <v>300.01773041350413</v>
      </c>
      <c r="CL14" s="12">
        <f t="shared" ref="CL14:DG14" si="9">CK14*(1+$AA$18)</f>
        <v>297.01755310936909</v>
      </c>
      <c r="CM14" s="12">
        <f t="shared" si="9"/>
        <v>294.04737757827542</v>
      </c>
      <c r="CN14" s="12">
        <f t="shared" si="9"/>
        <v>291.10690380249264</v>
      </c>
      <c r="CO14" s="12">
        <f t="shared" si="9"/>
        <v>288.19583476446769</v>
      </c>
      <c r="CP14" s="12">
        <f t="shared" si="9"/>
        <v>285.31387641682301</v>
      </c>
      <c r="CQ14" s="12">
        <f t="shared" si="9"/>
        <v>282.46073765265476</v>
      </c>
      <c r="CR14" s="12">
        <f t="shared" si="9"/>
        <v>279.6361302761282</v>
      </c>
      <c r="CS14" s="12">
        <f t="shared" si="9"/>
        <v>276.83976897336692</v>
      </c>
      <c r="CT14" s="12">
        <f t="shared" si="9"/>
        <v>274.07137128363325</v>
      </c>
      <c r="CU14" s="12">
        <f t="shared" si="9"/>
        <v>271.33065757079692</v>
      </c>
      <c r="CV14" s="12">
        <f t="shared" si="9"/>
        <v>268.61735099508894</v>
      </c>
      <c r="CW14" s="12">
        <f t="shared" si="9"/>
        <v>265.93117748513805</v>
      </c>
      <c r="CX14" s="12">
        <f t="shared" si="9"/>
        <v>263.27186571028665</v>
      </c>
      <c r="CY14" s="12">
        <f t="shared" si="9"/>
        <v>260.63914705318376</v>
      </c>
      <c r="CZ14" s="12">
        <f t="shared" si="9"/>
        <v>258.03275558265193</v>
      </c>
      <c r="DA14" s="12">
        <f t="shared" si="9"/>
        <v>255.4524280268254</v>
      </c>
      <c r="DB14" s="12">
        <f t="shared" si="9"/>
        <v>252.89790374655715</v>
      </c>
      <c r="DC14" s="12">
        <f t="shared" si="9"/>
        <v>250.36892470909157</v>
      </c>
      <c r="DD14" s="12">
        <f t="shared" si="9"/>
        <v>247.86523546200067</v>
      </c>
      <c r="DE14" s="12">
        <f t="shared" si="9"/>
        <v>245.38658310738066</v>
      </c>
      <c r="DF14" s="12">
        <f t="shared" si="9"/>
        <v>242.93271727630685</v>
      </c>
      <c r="DG14" s="12">
        <f t="shared" si="9"/>
        <v>240.50339010354378</v>
      </c>
    </row>
    <row r="15" spans="1:111" x14ac:dyDescent="0.25">
      <c r="C15" s="2" t="s">
        <v>56</v>
      </c>
      <c r="D15" s="9">
        <v>70.844023000000007</v>
      </c>
      <c r="E15" s="9">
        <v>70.844023000000007</v>
      </c>
      <c r="F15" s="9">
        <v>70.844023000000007</v>
      </c>
      <c r="G15" s="9">
        <v>69.865418000000005</v>
      </c>
      <c r="H15" s="9">
        <v>69.985557</v>
      </c>
      <c r="I15" s="9">
        <v>70.061420999999996</v>
      </c>
      <c r="J15" s="9">
        <v>69.560505000000006</v>
      </c>
      <c r="K15" s="9">
        <v>67.384072000000003</v>
      </c>
      <c r="L15" s="21">
        <v>64.504840000000002</v>
      </c>
      <c r="M15" s="21">
        <v>64.504840000000002</v>
      </c>
      <c r="N15" s="5">
        <v>64.504840000000002</v>
      </c>
      <c r="O15" s="21">
        <v>64.504840000000002</v>
      </c>
      <c r="P15" s="21">
        <v>64.504840000000002</v>
      </c>
      <c r="Q15" s="21">
        <v>64.504840000000002</v>
      </c>
      <c r="R15" s="21">
        <v>64.504840000000002</v>
      </c>
      <c r="S15" s="21">
        <v>64.504840000000002</v>
      </c>
      <c r="T15" s="21">
        <v>64.504840000000002</v>
      </c>
      <c r="U15" s="21">
        <v>64.504840000000002</v>
      </c>
      <c r="V15" s="21">
        <v>64.504840000000002</v>
      </c>
      <c r="W15" s="21">
        <v>64.504840000000002</v>
      </c>
      <c r="X15" s="21">
        <v>64.504840000000002</v>
      </c>
    </row>
    <row r="16" spans="1:111" x14ac:dyDescent="0.25">
      <c r="C16" s="2" t="s">
        <v>57</v>
      </c>
      <c r="D16" s="19">
        <f t="shared" ref="D16:K16" si="10">D14/D15</f>
        <v>15.315335776456397</v>
      </c>
      <c r="E16" s="19">
        <f t="shared" si="10"/>
        <v>20.862733896407885</v>
      </c>
      <c r="F16" s="19">
        <f>F14/F15</f>
        <v>30.969443957184641</v>
      </c>
      <c r="G16" s="19">
        <f t="shared" si="10"/>
        <v>20.582428920700078</v>
      </c>
      <c r="H16" s="19">
        <f t="shared" si="10"/>
        <v>22.433200038687982</v>
      </c>
      <c r="I16" s="19">
        <f t="shared" si="10"/>
        <v>22.48027484341204</v>
      </c>
      <c r="J16" s="19">
        <f t="shared" si="10"/>
        <v>25.83362498590256</v>
      </c>
      <c r="K16" s="19">
        <f t="shared" si="10"/>
        <v>23.373476153236926</v>
      </c>
      <c r="L16" s="19">
        <f>L14/L15</f>
        <v>6.7281772964633353</v>
      </c>
      <c r="M16" s="19">
        <f>M14/M15</f>
        <v>3.8446727408361916</v>
      </c>
      <c r="N16" s="24">
        <f t="shared" ref="N16:X16" si="11">N14/N15</f>
        <v>5.7039912043809364</v>
      </c>
      <c r="O16" s="19">
        <f t="shared" si="11"/>
        <v>8.9385478671057808</v>
      </c>
      <c r="P16" s="19">
        <f t="shared" si="11"/>
        <v>8.9385478671057808</v>
      </c>
      <c r="Q16" s="19">
        <f t="shared" si="11"/>
        <v>8.9385478671057808</v>
      </c>
      <c r="R16" s="19">
        <f t="shared" si="11"/>
        <v>8.9385478671057808</v>
      </c>
      <c r="S16" s="19">
        <f t="shared" si="11"/>
        <v>8.9385478671057808</v>
      </c>
      <c r="T16" s="19">
        <f t="shared" si="11"/>
        <v>8.9385478671057808</v>
      </c>
      <c r="U16" s="19">
        <f t="shared" si="11"/>
        <v>8.9385478671057808</v>
      </c>
      <c r="V16" s="19">
        <f t="shared" si="11"/>
        <v>8.9385478671057808</v>
      </c>
      <c r="W16" s="19">
        <f t="shared" si="11"/>
        <v>8.9385478671057808</v>
      </c>
      <c r="X16" s="19">
        <f t="shared" si="11"/>
        <v>8.9385478671057808</v>
      </c>
    </row>
    <row r="17" spans="2:27" x14ac:dyDescent="0.25">
      <c r="N17" s="8"/>
      <c r="O17" s="9"/>
      <c r="P17" s="9"/>
      <c r="Q17" s="9"/>
      <c r="R17" s="9"/>
      <c r="S17" s="9"/>
      <c r="T17" s="9"/>
      <c r="U17" s="9"/>
      <c r="V17" s="9"/>
      <c r="W17" s="9"/>
      <c r="X17" s="9"/>
      <c r="Z17" s="2" t="s">
        <v>100</v>
      </c>
      <c r="AA17" s="28">
        <v>0.08</v>
      </c>
    </row>
    <row r="18" spans="2:27" x14ac:dyDescent="0.25">
      <c r="C18" s="1" t="s">
        <v>43</v>
      </c>
      <c r="E18" s="22">
        <f t="shared" ref="E18:L18" si="12">(E4-D4)/D4</f>
        <v>9.6994045483894106E-2</v>
      </c>
      <c r="F18" s="22">
        <f t="shared" si="12"/>
        <v>0.11228827414819174</v>
      </c>
      <c r="G18" s="22">
        <f t="shared" si="12"/>
        <v>-4.9800094073377231E-2</v>
      </c>
      <c r="H18" s="22">
        <f t="shared" si="12"/>
        <v>-2.9020481405853598E-2</v>
      </c>
      <c r="I18" s="22">
        <f t="shared" si="12"/>
        <v>-1.937292888095845E-2</v>
      </c>
      <c r="J18" s="22">
        <f t="shared" si="12"/>
        <v>-5.0688848453340263E-2</v>
      </c>
      <c r="K18" s="22">
        <f t="shared" si="12"/>
        <v>0.12164567360350492</v>
      </c>
      <c r="L18" s="22">
        <f t="shared" si="12"/>
        <v>-0.15465364662801342</v>
      </c>
      <c r="M18" s="22">
        <f>(M4-L4)/L4</f>
        <v>-9.7032705219839727E-2</v>
      </c>
      <c r="N18" s="25">
        <f t="shared" ref="N18:X18" si="13">(N4-M4)/M4</f>
        <v>-0.16000000000000006</v>
      </c>
      <c r="O18" s="22">
        <f t="shared" si="13"/>
        <v>0</v>
      </c>
      <c r="P18" s="22">
        <f t="shared" si="13"/>
        <v>0</v>
      </c>
      <c r="Q18" s="22">
        <f t="shared" si="13"/>
        <v>0</v>
      </c>
      <c r="R18" s="22">
        <f t="shared" si="13"/>
        <v>0</v>
      </c>
      <c r="S18" s="22">
        <f t="shared" si="13"/>
        <v>0</v>
      </c>
      <c r="T18" s="22">
        <f t="shared" si="13"/>
        <v>0</v>
      </c>
      <c r="U18" s="22">
        <f t="shared" si="13"/>
        <v>0</v>
      </c>
      <c r="V18" s="22">
        <f t="shared" si="13"/>
        <v>0</v>
      </c>
      <c r="W18" s="22">
        <f t="shared" si="13"/>
        <v>0</v>
      </c>
      <c r="X18" s="22">
        <f t="shared" si="13"/>
        <v>0</v>
      </c>
      <c r="Z18" s="2" t="s">
        <v>101</v>
      </c>
      <c r="AA18" s="28">
        <v>-0.01</v>
      </c>
    </row>
    <row r="19" spans="2:27" x14ac:dyDescent="0.25">
      <c r="C19" s="2" t="s">
        <v>58</v>
      </c>
      <c r="D19" s="20">
        <f t="shared" ref="D19:L19" si="14">D6/D4</f>
        <v>0.16565033359638426</v>
      </c>
      <c r="E19" s="20">
        <f t="shared" si="14"/>
        <v>0.18644954548427178</v>
      </c>
      <c r="F19" s="20">
        <f t="shared" si="14"/>
        <v>0.1975540921919097</v>
      </c>
      <c r="G19" s="20">
        <f t="shared" si="14"/>
        <v>0.18031062434255307</v>
      </c>
      <c r="H19" s="20">
        <f t="shared" si="14"/>
        <v>0.17193474381850624</v>
      </c>
      <c r="I19" s="20">
        <f t="shared" si="14"/>
        <v>0.18072524044710164</v>
      </c>
      <c r="J19" s="20">
        <f t="shared" si="14"/>
        <v>0.19126506024096385</v>
      </c>
      <c r="K19" s="20">
        <f t="shared" si="14"/>
        <v>0.19340860543179739</v>
      </c>
      <c r="L19" s="20">
        <f t="shared" si="14"/>
        <v>0.14251678579163959</v>
      </c>
      <c r="M19" s="20">
        <f>M6/M4</f>
        <v>0.11729431518349724</v>
      </c>
      <c r="N19" s="26">
        <f t="shared" ref="N19:X19" si="15">N6/N4</f>
        <v>0.13499999999999995</v>
      </c>
      <c r="O19" s="20">
        <f t="shared" si="15"/>
        <v>0.14999999999999997</v>
      </c>
      <c r="P19" s="20">
        <f t="shared" si="15"/>
        <v>0.14999999999999997</v>
      </c>
      <c r="Q19" s="20">
        <f t="shared" si="15"/>
        <v>0.14999999999999997</v>
      </c>
      <c r="R19" s="20">
        <f t="shared" si="15"/>
        <v>0.14999999999999997</v>
      </c>
      <c r="S19" s="20">
        <f t="shared" si="15"/>
        <v>0.14999999999999997</v>
      </c>
      <c r="T19" s="20">
        <f t="shared" si="15"/>
        <v>0.14999999999999997</v>
      </c>
      <c r="U19" s="20">
        <f t="shared" si="15"/>
        <v>0.14999999999999997</v>
      </c>
      <c r="V19" s="20">
        <f t="shared" si="15"/>
        <v>0.14999999999999997</v>
      </c>
      <c r="W19" s="20">
        <f t="shared" si="15"/>
        <v>0.14999999999999997</v>
      </c>
      <c r="X19" s="20">
        <f t="shared" si="15"/>
        <v>0.14999999999999997</v>
      </c>
      <c r="Z19" s="27" t="s">
        <v>102</v>
      </c>
      <c r="AA19" s="30">
        <f>NPV(AA17,O14:DG14)</f>
        <v>6805.1281364370889</v>
      </c>
    </row>
    <row r="20" spans="2:27" x14ac:dyDescent="0.25">
      <c r="C20" s="2" t="s">
        <v>44</v>
      </c>
      <c r="D20" s="20">
        <f t="shared" ref="D20:L20" si="16">D9/D4</f>
        <v>0.10753999569553052</v>
      </c>
      <c r="E20" s="20">
        <f t="shared" si="16"/>
        <v>0.12628343470015041</v>
      </c>
      <c r="F20" s="20">
        <f t="shared" si="16"/>
        <v>0.13928739416745062</v>
      </c>
      <c r="G20" s="20">
        <f t="shared" si="16"/>
        <v>0.11670069921415754</v>
      </c>
      <c r="H20" s="20">
        <f t="shared" si="16"/>
        <v>0.12796329339790977</v>
      </c>
      <c r="I20" s="20">
        <f t="shared" si="16"/>
        <v>0.13179100597868468</v>
      </c>
      <c r="J20" s="20">
        <f t="shared" si="16"/>
        <v>0.15162924424972618</v>
      </c>
      <c r="K20" s="20">
        <f t="shared" si="16"/>
        <v>0.1259688739700946</v>
      </c>
      <c r="L20" s="20">
        <f t="shared" si="16"/>
        <v>5.2920366760522704E-2</v>
      </c>
      <c r="M20" s="20">
        <f>M9/M4</f>
        <v>4.2536179739345967E-2</v>
      </c>
      <c r="N20" s="26">
        <f t="shared" ref="N20:X20" si="17">N9/N4</f>
        <v>4.3777275202077269E-2</v>
      </c>
      <c r="O20" s="20">
        <f t="shared" si="17"/>
        <v>6.8602011445019331E-2</v>
      </c>
      <c r="P20" s="20">
        <f t="shared" si="17"/>
        <v>6.8602011445019331E-2</v>
      </c>
      <c r="Q20" s="20">
        <f t="shared" si="17"/>
        <v>6.8602011445019331E-2</v>
      </c>
      <c r="R20" s="20">
        <f t="shared" si="17"/>
        <v>6.8602011445019331E-2</v>
      </c>
      <c r="S20" s="20">
        <f t="shared" si="17"/>
        <v>6.8602011445019331E-2</v>
      </c>
      <c r="T20" s="20">
        <f t="shared" si="17"/>
        <v>6.8602011445019331E-2</v>
      </c>
      <c r="U20" s="20">
        <f t="shared" si="17"/>
        <v>6.8602011445019331E-2</v>
      </c>
      <c r="V20" s="20">
        <f t="shared" si="17"/>
        <v>6.8602011445019331E-2</v>
      </c>
      <c r="W20" s="20">
        <f t="shared" si="17"/>
        <v>6.8602011445019331E-2</v>
      </c>
      <c r="X20" s="20">
        <f t="shared" si="17"/>
        <v>6.8602011445019331E-2</v>
      </c>
      <c r="Z20" s="2" t="s">
        <v>2</v>
      </c>
      <c r="AA20" s="9">
        <v>64.504840000000002</v>
      </c>
    </row>
    <row r="21" spans="2:27" x14ac:dyDescent="0.25"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4"/>
      <c r="Z21" s="2" t="s">
        <v>103</v>
      </c>
      <c r="AA21" s="9">
        <f>AA19/AA20</f>
        <v>105.4979461453914</v>
      </c>
    </row>
    <row r="22" spans="2:27" s="27" customFormat="1" x14ac:dyDescent="0.25">
      <c r="B22" s="40"/>
      <c r="H22" s="41"/>
      <c r="I22" s="41"/>
      <c r="J22" s="41"/>
      <c r="K22" s="41"/>
      <c r="L22" s="41"/>
      <c r="M22" s="41"/>
      <c r="N22" s="40"/>
      <c r="Z22" s="42" t="s">
        <v>104</v>
      </c>
      <c r="AA22" s="41">
        <f>(AA21-Modell!B4)/Modell!B4</f>
        <v>-0.20678235980908724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2025-02-09T20:32:11Z</dcterms:created>
  <dcterms:modified xsi:type="dcterms:W3CDTF">2026-07-10T13:51:19Z</dcterms:modified>
</cp:coreProperties>
</file>