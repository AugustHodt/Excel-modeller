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6BE1FDFC-B465-CA43-8C90-EBC6774FBBB7}" xr6:coauthVersionLast="47" xr6:coauthVersionMax="47" xr10:uidLastSave="{00000000-0000-0000-0000-000000000000}"/>
  <bookViews>
    <workbookView xWindow="0" yWindow="740" windowWidth="29400" windowHeight="17240" activeTab="1" xr2:uid="{5AE0DF26-B7DD-1242-A60E-253C73A930AF}"/>
  </bookViews>
  <sheets>
    <sheet name="Info" sheetId="1" r:id="rId1"/>
    <sheet name="Modell" sheetId="2" r:id="rId2"/>
    <sheet name="Segmenter" sheetId="7" r:id="rId3"/>
    <sheet name="SOTP" sheetId="6" r:id="rId4"/>
    <sheet name="Nøkkeltall" sheetId="3" r:id="rId5"/>
    <sheet name="Nedsideberegning" sheetId="5" r:id="rId6"/>
    <sheet name="Gamle segmenter" sheetId="4" r:id="rId7"/>
  </sheets>
  <definedNames>
    <definedName name="_xlchart.v1.0" hidden="1">SOTP!$A$43:$A$51</definedName>
    <definedName name="_xlchart.v1.1" hidden="1">SOTP!$B$43:$B$51</definedName>
    <definedName name="_xlchart.v1.2" hidden="1">SOTP!$A$43:$A$51</definedName>
    <definedName name="_xlchart.v1.3" hidden="1">SOTP!$B$43:$B$51</definedName>
    <definedName name="_xlchart.v1.4" hidden="1">SOTP!$A$43:$A$51</definedName>
    <definedName name="_xlchart.v1.5" hidden="1">SOTP!$B$43:$B$51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6" l="1"/>
  <c r="B50" i="6"/>
  <c r="AK4" i="2"/>
  <c r="AL4" i="2" s="1"/>
  <c r="AM4" i="2" s="1"/>
  <c r="AN4" i="2" s="1"/>
  <c r="AO4" i="2" s="1"/>
  <c r="AP4" i="2" s="1"/>
  <c r="AQ4" i="2" s="1"/>
  <c r="AR4" i="2" s="1"/>
  <c r="AS4" i="2" s="1"/>
  <c r="AT4" i="2" s="1"/>
  <c r="AK13" i="2"/>
  <c r="H10" i="6"/>
  <c r="B49" i="6" s="1"/>
  <c r="H9" i="6"/>
  <c r="B48" i="6" s="1"/>
  <c r="G10" i="6"/>
  <c r="G9" i="6"/>
  <c r="C7" i="6"/>
  <c r="G5" i="6"/>
  <c r="H5" i="6" s="1"/>
  <c r="B44" i="6" s="1"/>
  <c r="G6" i="6"/>
  <c r="H6" i="6" s="1"/>
  <c r="B45" i="6" s="1"/>
  <c r="G4" i="6"/>
  <c r="H4" i="6" s="1"/>
  <c r="B43" i="6" s="1"/>
  <c r="J26" i="7"/>
  <c r="J23" i="7"/>
  <c r="J18" i="7"/>
  <c r="J15" i="7"/>
  <c r="J10" i="7"/>
  <c r="J7" i="7"/>
  <c r="G27" i="7"/>
  <c r="F27" i="7"/>
  <c r="G19" i="7"/>
  <c r="F19" i="7"/>
  <c r="G11" i="7"/>
  <c r="F11" i="7"/>
  <c r="E26" i="7"/>
  <c r="E23" i="7"/>
  <c r="E18" i="7"/>
  <c r="E19" i="7" s="1"/>
  <c r="E15" i="7"/>
  <c r="J8" i="7"/>
  <c r="E10" i="7"/>
  <c r="E7" i="7"/>
  <c r="O27" i="7"/>
  <c r="N27" i="7"/>
  <c r="M27" i="7"/>
  <c r="L27" i="7"/>
  <c r="K27" i="7"/>
  <c r="I27" i="7"/>
  <c r="O19" i="7"/>
  <c r="N19" i="7"/>
  <c r="M19" i="7"/>
  <c r="L19" i="7"/>
  <c r="K19" i="7"/>
  <c r="I19" i="7"/>
  <c r="O16" i="7"/>
  <c r="N16" i="7"/>
  <c r="L16" i="7"/>
  <c r="K16" i="7"/>
  <c r="I16" i="7"/>
  <c r="O11" i="7"/>
  <c r="N11" i="7"/>
  <c r="M11" i="7"/>
  <c r="L11" i="7"/>
  <c r="K11" i="7"/>
  <c r="I11" i="7"/>
  <c r="O8" i="7"/>
  <c r="N8" i="7"/>
  <c r="L8" i="7"/>
  <c r="K8" i="7"/>
  <c r="I8" i="7"/>
  <c r="H27" i="7"/>
  <c r="C27" i="7"/>
  <c r="H19" i="7"/>
  <c r="D19" i="7"/>
  <c r="C19" i="7"/>
  <c r="H16" i="7"/>
  <c r="D11" i="7"/>
  <c r="C11" i="7"/>
  <c r="H11" i="7"/>
  <c r="H8" i="7"/>
  <c r="O8" i="5"/>
  <c r="O7" i="5"/>
  <c r="O5" i="5"/>
  <c r="I23" i="5"/>
  <c r="H23" i="5"/>
  <c r="M9" i="5"/>
  <c r="N6" i="5"/>
  <c r="N10" i="5" s="1"/>
  <c r="N12" i="5" s="1"/>
  <c r="N14" i="5" s="1"/>
  <c r="N16" i="5" s="1"/>
  <c r="N18" i="5" s="1"/>
  <c r="N20" i="5" s="1"/>
  <c r="M6" i="5"/>
  <c r="M10" i="5" s="1"/>
  <c r="M12" i="5" s="1"/>
  <c r="M14" i="5" s="1"/>
  <c r="M16" i="5" s="1"/>
  <c r="M18" i="5" s="1"/>
  <c r="M20" i="5" s="1"/>
  <c r="L6" i="5"/>
  <c r="L10" i="5" s="1"/>
  <c r="L12" i="5" s="1"/>
  <c r="L14" i="5" s="1"/>
  <c r="L16" i="5" s="1"/>
  <c r="L18" i="5" s="1"/>
  <c r="L20" i="5" s="1"/>
  <c r="K6" i="5"/>
  <c r="K23" i="5" s="1"/>
  <c r="J6" i="5"/>
  <c r="J23" i="5" s="1"/>
  <c r="I6" i="5"/>
  <c r="H6" i="5"/>
  <c r="H10" i="5" s="1"/>
  <c r="G6" i="5"/>
  <c r="G23" i="5" s="1"/>
  <c r="F6" i="5"/>
  <c r="F10" i="5" s="1"/>
  <c r="E6" i="5"/>
  <c r="E23" i="5" s="1"/>
  <c r="D6" i="5"/>
  <c r="D23" i="5" s="1"/>
  <c r="AA24" i="2"/>
  <c r="AB24" i="2"/>
  <c r="AC24" i="2"/>
  <c r="AD24" i="2"/>
  <c r="AE24" i="2"/>
  <c r="AF24" i="2"/>
  <c r="AG24" i="2"/>
  <c r="AH24" i="2"/>
  <c r="AI24" i="2"/>
  <c r="Z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AH10" i="2"/>
  <c r="AJ6" i="2"/>
  <c r="AJ10" i="2" s="1"/>
  <c r="AI6" i="2"/>
  <c r="AH6" i="2"/>
  <c r="AG6" i="2"/>
  <c r="AF6" i="2"/>
  <c r="AE6" i="2"/>
  <c r="AD6" i="2"/>
  <c r="AD10" i="2" s="1"/>
  <c r="AC6" i="2"/>
  <c r="AB6" i="2"/>
  <c r="AB10" i="2" s="1"/>
  <c r="AA6" i="2"/>
  <c r="Z6" i="2"/>
  <c r="D10" i="2"/>
  <c r="E10" i="2"/>
  <c r="F10" i="2"/>
  <c r="G10" i="2"/>
  <c r="H10" i="2"/>
  <c r="K10" i="2"/>
  <c r="L10" i="2"/>
  <c r="M10" i="2"/>
  <c r="N10" i="2"/>
  <c r="O10" i="2"/>
  <c r="P10" i="2"/>
  <c r="D6" i="2"/>
  <c r="E6" i="2"/>
  <c r="F6" i="2"/>
  <c r="G6" i="2"/>
  <c r="H6" i="2"/>
  <c r="I6" i="2"/>
  <c r="I10" i="2" s="1"/>
  <c r="J6" i="2"/>
  <c r="J10" i="2" s="1"/>
  <c r="K6" i="2"/>
  <c r="L6" i="2"/>
  <c r="M6" i="2"/>
  <c r="N6" i="2"/>
  <c r="O6" i="2"/>
  <c r="P6" i="2"/>
  <c r="Q6" i="2"/>
  <c r="Q10" i="2" s="1"/>
  <c r="R6" i="2"/>
  <c r="R10" i="2" s="1"/>
  <c r="S6" i="2"/>
  <c r="S10" i="2" s="1"/>
  <c r="S12" i="2" s="1"/>
  <c r="S25" i="2" s="1"/>
  <c r="AK7" i="2"/>
  <c r="AL7" i="2" s="1"/>
  <c r="AM7" i="2" s="1"/>
  <c r="AN7" i="2" s="1"/>
  <c r="AO7" i="2" s="1"/>
  <c r="AP7" i="2" s="1"/>
  <c r="AQ7" i="2" s="1"/>
  <c r="AR7" i="2" s="1"/>
  <c r="AS7" i="2" s="1"/>
  <c r="AT7" i="2" s="1"/>
  <c r="AK8" i="2"/>
  <c r="AL8" i="2" s="1"/>
  <c r="AM8" i="2" s="1"/>
  <c r="AN8" i="2" s="1"/>
  <c r="AO8" i="2" s="1"/>
  <c r="AP8" i="2" s="1"/>
  <c r="AQ8" i="2" s="1"/>
  <c r="AR8" i="2" s="1"/>
  <c r="AS8" i="2" s="1"/>
  <c r="AT8" i="2" s="1"/>
  <c r="B8" i="2"/>
  <c r="B7" i="2"/>
  <c r="S65" i="2"/>
  <c r="S67" i="2" s="1"/>
  <c r="S62" i="2"/>
  <c r="S63" i="2" s="1"/>
  <c r="S15" i="2"/>
  <c r="V73" i="2"/>
  <c r="U73" i="2"/>
  <c r="T73" i="2"/>
  <c r="S73" i="2"/>
  <c r="V67" i="2"/>
  <c r="U67" i="2"/>
  <c r="T67" i="2"/>
  <c r="V63" i="2"/>
  <c r="V79" i="2" s="1"/>
  <c r="U63" i="2"/>
  <c r="U79" i="2" s="1"/>
  <c r="T63" i="2"/>
  <c r="T79" i="2" s="1"/>
  <c r="V57" i="2"/>
  <c r="T57" i="2"/>
  <c r="V53" i="2"/>
  <c r="U53" i="2"/>
  <c r="U54" i="2" s="1"/>
  <c r="T53" i="2"/>
  <c r="S53" i="2"/>
  <c r="V42" i="2"/>
  <c r="U42" i="2"/>
  <c r="T42" i="2"/>
  <c r="S42" i="2"/>
  <c r="V39" i="2"/>
  <c r="U39" i="2"/>
  <c r="T39" i="2"/>
  <c r="S39" i="2"/>
  <c r="S22" i="2"/>
  <c r="Q67" i="2"/>
  <c r="R65" i="2"/>
  <c r="R67" i="2" s="1"/>
  <c r="R62" i="2"/>
  <c r="R63" i="2" s="1"/>
  <c r="R73" i="2"/>
  <c r="R53" i="2"/>
  <c r="R42" i="2"/>
  <c r="R39" i="2"/>
  <c r="R22" i="2"/>
  <c r="G7" i="6" l="1"/>
  <c r="H7" i="6"/>
  <c r="J11" i="7"/>
  <c r="J27" i="7"/>
  <c r="J19" i="7"/>
  <c r="M8" i="7"/>
  <c r="E27" i="7"/>
  <c r="J24" i="7"/>
  <c r="J16" i="7"/>
  <c r="M16" i="7"/>
  <c r="E11" i="7"/>
  <c r="AJ24" i="2"/>
  <c r="AK5" i="2"/>
  <c r="N23" i="5"/>
  <c r="L23" i="5"/>
  <c r="M23" i="5"/>
  <c r="F23" i="5"/>
  <c r="R12" i="2"/>
  <c r="R14" i="2" s="1"/>
  <c r="R16" i="2" s="1"/>
  <c r="R57" i="2" s="1"/>
  <c r="V77" i="2"/>
  <c r="T77" i="2"/>
  <c r="T54" i="2"/>
  <c r="V54" i="2"/>
  <c r="U77" i="2"/>
  <c r="S77" i="2"/>
  <c r="S79" i="2"/>
  <c r="S54" i="2"/>
  <c r="S14" i="2"/>
  <c r="R79" i="2"/>
  <c r="R77" i="2"/>
  <c r="R54" i="2"/>
  <c r="H12" i="6" l="1"/>
  <c r="B51" i="6" s="1"/>
  <c r="B46" i="6"/>
  <c r="AK6" i="2"/>
  <c r="AK24" i="2" s="1"/>
  <c r="AL5" i="2"/>
  <c r="R26" i="2"/>
  <c r="R25" i="2"/>
  <c r="R18" i="2"/>
  <c r="R20" i="2" s="1"/>
  <c r="S26" i="2"/>
  <c r="S16" i="2"/>
  <c r="P7" i="5"/>
  <c r="Q7" i="5" s="1"/>
  <c r="R7" i="5" s="1"/>
  <c r="S7" i="5" s="1"/>
  <c r="T7" i="5" s="1"/>
  <c r="U7" i="5" s="1"/>
  <c r="V7" i="5" s="1"/>
  <c r="W7" i="5" s="1"/>
  <c r="X7" i="5" s="1"/>
  <c r="P8" i="5"/>
  <c r="Q8" i="5" s="1"/>
  <c r="R8" i="5" s="1"/>
  <c r="S8" i="5" s="1"/>
  <c r="T8" i="5" s="1"/>
  <c r="U8" i="5" s="1"/>
  <c r="V8" i="5" s="1"/>
  <c r="W8" i="5" s="1"/>
  <c r="X8" i="5" s="1"/>
  <c r="O9" i="5"/>
  <c r="P9" i="5" s="1"/>
  <c r="Q9" i="5" s="1"/>
  <c r="R9" i="5" s="1"/>
  <c r="S9" i="5" s="1"/>
  <c r="T9" i="5" s="1"/>
  <c r="U9" i="5" s="1"/>
  <c r="V9" i="5" s="1"/>
  <c r="W9" i="5" s="1"/>
  <c r="X9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O34" i="5"/>
  <c r="P34" i="5" s="1"/>
  <c r="Q34" i="5" s="1"/>
  <c r="R34" i="5" s="1"/>
  <c r="S34" i="5" s="1"/>
  <c r="T34" i="5" s="1"/>
  <c r="U34" i="5" s="1"/>
  <c r="V34" i="5" s="1"/>
  <c r="W34" i="5" s="1"/>
  <c r="X34" i="5" s="1"/>
  <c r="O35" i="5"/>
  <c r="P35" i="5" s="1"/>
  <c r="Q35" i="5" s="1"/>
  <c r="R35" i="5" s="1"/>
  <c r="S35" i="5" s="1"/>
  <c r="T35" i="5" s="1"/>
  <c r="U35" i="5" s="1"/>
  <c r="V35" i="5" s="1"/>
  <c r="W35" i="5" s="1"/>
  <c r="X35" i="5" s="1"/>
  <c r="M50" i="5"/>
  <c r="L50" i="5"/>
  <c r="K50" i="5"/>
  <c r="J50" i="5"/>
  <c r="I50" i="5"/>
  <c r="H50" i="5"/>
  <c r="G50" i="5"/>
  <c r="F50" i="5"/>
  <c r="E50" i="5"/>
  <c r="O43" i="5"/>
  <c r="P43" i="5" s="1"/>
  <c r="Q43" i="5" s="1"/>
  <c r="R43" i="5" s="1"/>
  <c r="S43" i="5" s="1"/>
  <c r="T43" i="5" s="1"/>
  <c r="U43" i="5" s="1"/>
  <c r="V43" i="5" s="1"/>
  <c r="W43" i="5" s="1"/>
  <c r="X43" i="5" s="1"/>
  <c r="O41" i="5"/>
  <c r="P41" i="5" s="1"/>
  <c r="Q41" i="5" s="1"/>
  <c r="R41" i="5" s="1"/>
  <c r="S41" i="5" s="1"/>
  <c r="T41" i="5" s="1"/>
  <c r="U41" i="5" s="1"/>
  <c r="V41" i="5" s="1"/>
  <c r="W41" i="5" s="1"/>
  <c r="X41" i="5" s="1"/>
  <c r="H40" i="5"/>
  <c r="H51" i="5" s="1"/>
  <c r="L38" i="5"/>
  <c r="L40" i="5" s="1"/>
  <c r="L42" i="5" s="1"/>
  <c r="L44" i="5" s="1"/>
  <c r="L46" i="5" s="1"/>
  <c r="L48" i="5" s="1"/>
  <c r="H38" i="5"/>
  <c r="F38" i="5"/>
  <c r="F40" i="5" s="1"/>
  <c r="N37" i="5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M37" i="5"/>
  <c r="M38" i="5" s="1"/>
  <c r="M40" i="5" s="1"/>
  <c r="M42" i="5" s="1"/>
  <c r="M44" i="5" s="1"/>
  <c r="M46" i="5" s="1"/>
  <c r="M48" i="5" s="1"/>
  <c r="K37" i="5"/>
  <c r="K38" i="5" s="1"/>
  <c r="K40" i="5" s="1"/>
  <c r="J37" i="5"/>
  <c r="J38" i="5" s="1"/>
  <c r="J40" i="5" s="1"/>
  <c r="I37" i="5"/>
  <c r="I38" i="5" s="1"/>
  <c r="I40" i="5" s="1"/>
  <c r="G36" i="5"/>
  <c r="G38" i="5" s="1"/>
  <c r="G40" i="5" s="1"/>
  <c r="E36" i="5"/>
  <c r="E38" i="5" s="1"/>
  <c r="E40" i="5" s="1"/>
  <c r="E42" i="5" s="1"/>
  <c r="D36" i="5"/>
  <c r="D38" i="5" s="1"/>
  <c r="D40" i="5" s="1"/>
  <c r="D42" i="5" s="1"/>
  <c r="N33" i="5"/>
  <c r="O33" i="5" s="1"/>
  <c r="P33" i="5" s="1"/>
  <c r="P5" i="5"/>
  <c r="Q5" i="5" s="1"/>
  <c r="R5" i="5" s="1"/>
  <c r="S5" i="5" s="1"/>
  <c r="T5" i="5" s="1"/>
  <c r="U5" i="5" s="1"/>
  <c r="V5" i="5" s="1"/>
  <c r="W5" i="5" s="1"/>
  <c r="X5" i="5" s="1"/>
  <c r="O4" i="5"/>
  <c r="AM5" i="2" l="1"/>
  <c r="AL6" i="2"/>
  <c r="AL24" i="2" s="1"/>
  <c r="P4" i="5"/>
  <c r="O6" i="5"/>
  <c r="D44" i="5"/>
  <c r="D46" i="5" s="1"/>
  <c r="D48" i="5" s="1"/>
  <c r="D52" i="5"/>
  <c r="E44" i="5"/>
  <c r="E46" i="5" s="1"/>
  <c r="E48" i="5" s="1"/>
  <c r="E52" i="5"/>
  <c r="L51" i="5"/>
  <c r="S18" i="2"/>
  <c r="S20" i="2" s="1"/>
  <c r="S57" i="2"/>
  <c r="G51" i="5"/>
  <c r="G42" i="5"/>
  <c r="F51" i="5"/>
  <c r="F42" i="5"/>
  <c r="K42" i="5"/>
  <c r="K51" i="5"/>
  <c r="I51" i="5"/>
  <c r="I42" i="5"/>
  <c r="J42" i="5"/>
  <c r="J51" i="5"/>
  <c r="M52" i="5"/>
  <c r="M51" i="5"/>
  <c r="P38" i="5"/>
  <c r="P40" i="5" s="1"/>
  <c r="N50" i="5"/>
  <c r="D51" i="5"/>
  <c r="H42" i="5"/>
  <c r="O50" i="5"/>
  <c r="E51" i="5"/>
  <c r="Q33" i="5"/>
  <c r="N38" i="5"/>
  <c r="N40" i="5" s="1"/>
  <c r="O38" i="5"/>
  <c r="O40" i="5" s="1"/>
  <c r="P50" i="5"/>
  <c r="L52" i="5"/>
  <c r="M22" i="5"/>
  <c r="L22" i="5"/>
  <c r="K22" i="5"/>
  <c r="J22" i="5"/>
  <c r="I22" i="5"/>
  <c r="H22" i="5"/>
  <c r="G22" i="5"/>
  <c r="F22" i="5"/>
  <c r="E22" i="5"/>
  <c r="O15" i="5"/>
  <c r="P15" i="5" s="1"/>
  <c r="Q15" i="5" s="1"/>
  <c r="R15" i="5" s="1"/>
  <c r="S15" i="5" s="1"/>
  <c r="T15" i="5" s="1"/>
  <c r="U15" i="5" s="1"/>
  <c r="V15" i="5" s="1"/>
  <c r="W15" i="5" s="1"/>
  <c r="X15" i="5" s="1"/>
  <c r="H12" i="5"/>
  <c r="H24" i="5" s="1"/>
  <c r="F12" i="5"/>
  <c r="F24" i="5" s="1"/>
  <c r="K9" i="5"/>
  <c r="J9" i="5"/>
  <c r="I9" i="5"/>
  <c r="G8" i="5"/>
  <c r="E8" i="5"/>
  <c r="D8" i="5"/>
  <c r="AN5" i="2" l="1"/>
  <c r="AM6" i="2"/>
  <c r="AM24" i="2" s="1"/>
  <c r="O10" i="5"/>
  <c r="O23" i="5"/>
  <c r="J10" i="5"/>
  <c r="J12" i="5" s="1"/>
  <c r="I10" i="5"/>
  <c r="I12" i="5" s="1"/>
  <c r="K10" i="5"/>
  <c r="K12" i="5" s="1"/>
  <c r="D10" i="5"/>
  <c r="D12" i="5" s="1"/>
  <c r="E10" i="5"/>
  <c r="E12" i="5" s="1"/>
  <c r="G10" i="5"/>
  <c r="G12" i="5" s="1"/>
  <c r="Q4" i="5"/>
  <c r="P6" i="5"/>
  <c r="H52" i="5"/>
  <c r="H44" i="5"/>
  <c r="H46" i="5" s="1"/>
  <c r="H48" i="5" s="1"/>
  <c r="I52" i="5"/>
  <c r="I44" i="5"/>
  <c r="I46" i="5" s="1"/>
  <c r="I48" i="5" s="1"/>
  <c r="O51" i="5"/>
  <c r="O42" i="5"/>
  <c r="P51" i="5"/>
  <c r="P42" i="5"/>
  <c r="K52" i="5"/>
  <c r="K44" i="5"/>
  <c r="K46" i="5" s="1"/>
  <c r="K48" i="5" s="1"/>
  <c r="N51" i="5"/>
  <c r="N42" i="5"/>
  <c r="F44" i="5"/>
  <c r="F46" i="5" s="1"/>
  <c r="F48" i="5" s="1"/>
  <c r="F52" i="5"/>
  <c r="Q38" i="5"/>
  <c r="Q40" i="5" s="1"/>
  <c r="R33" i="5"/>
  <c r="Q50" i="5"/>
  <c r="G52" i="5"/>
  <c r="G44" i="5"/>
  <c r="G46" i="5" s="1"/>
  <c r="G48" i="5" s="1"/>
  <c r="J52" i="5"/>
  <c r="J44" i="5"/>
  <c r="J46" i="5" s="1"/>
  <c r="J48" i="5" s="1"/>
  <c r="H14" i="5"/>
  <c r="N24" i="5"/>
  <c r="F14" i="5"/>
  <c r="L24" i="5"/>
  <c r="M24" i="5"/>
  <c r="N22" i="5"/>
  <c r="AO5" i="2" l="1"/>
  <c r="AN6" i="2"/>
  <c r="AN24" i="2" s="1"/>
  <c r="P10" i="5"/>
  <c r="P23" i="5"/>
  <c r="G24" i="5"/>
  <c r="G14" i="5"/>
  <c r="E14" i="5"/>
  <c r="E16" i="5" s="1"/>
  <c r="E18" i="5" s="1"/>
  <c r="E20" i="5" s="1"/>
  <c r="E24" i="5"/>
  <c r="D14" i="5"/>
  <c r="D25" i="5" s="1"/>
  <c r="D24" i="5"/>
  <c r="K14" i="5"/>
  <c r="K16" i="5" s="1"/>
  <c r="K18" i="5" s="1"/>
  <c r="K20" i="5" s="1"/>
  <c r="K24" i="5"/>
  <c r="I14" i="5"/>
  <c r="I24" i="5"/>
  <c r="J14" i="5"/>
  <c r="J16" i="5" s="1"/>
  <c r="J18" i="5" s="1"/>
  <c r="J20" i="5" s="1"/>
  <c r="J24" i="5"/>
  <c r="R4" i="5"/>
  <c r="Q6" i="5"/>
  <c r="P52" i="5"/>
  <c r="P44" i="5"/>
  <c r="Q51" i="5"/>
  <c r="Q42" i="5"/>
  <c r="O44" i="5"/>
  <c r="O52" i="5"/>
  <c r="N44" i="5"/>
  <c r="N52" i="5"/>
  <c r="R50" i="5"/>
  <c r="R38" i="5"/>
  <c r="R40" i="5" s="1"/>
  <c r="S33" i="5"/>
  <c r="H25" i="5"/>
  <c r="H16" i="5"/>
  <c r="H18" i="5" s="1"/>
  <c r="H20" i="5" s="1"/>
  <c r="O12" i="5"/>
  <c r="O22" i="5"/>
  <c r="D16" i="5"/>
  <c r="D18" i="5" s="1"/>
  <c r="D20" i="5" s="1"/>
  <c r="M25" i="5"/>
  <c r="N25" i="5"/>
  <c r="G25" i="5"/>
  <c r="G16" i="5"/>
  <c r="G18" i="5" s="1"/>
  <c r="G20" i="5" s="1"/>
  <c r="F16" i="5"/>
  <c r="F18" i="5" s="1"/>
  <c r="F20" i="5" s="1"/>
  <c r="F25" i="5"/>
  <c r="J25" i="5"/>
  <c r="L25" i="5"/>
  <c r="AP5" i="2" l="1"/>
  <c r="AO6" i="2"/>
  <c r="AO24" i="2" s="1"/>
  <c r="Q10" i="5"/>
  <c r="Q23" i="5"/>
  <c r="K25" i="5"/>
  <c r="E25" i="5"/>
  <c r="I16" i="5"/>
  <c r="I18" i="5" s="1"/>
  <c r="I20" i="5" s="1"/>
  <c r="I25" i="5"/>
  <c r="S4" i="5"/>
  <c r="R6" i="5"/>
  <c r="Q52" i="5"/>
  <c r="Q44" i="5"/>
  <c r="N45" i="5"/>
  <c r="S50" i="5"/>
  <c r="S38" i="5"/>
  <c r="S40" i="5" s="1"/>
  <c r="T33" i="5"/>
  <c r="R51" i="5"/>
  <c r="R42" i="5"/>
  <c r="P45" i="5"/>
  <c r="P46" i="5" s="1"/>
  <c r="P48" i="5" s="1"/>
  <c r="O45" i="5"/>
  <c r="O46" i="5" s="1"/>
  <c r="O48" i="5" s="1"/>
  <c r="P12" i="5"/>
  <c r="P22" i="5"/>
  <c r="O24" i="5"/>
  <c r="O14" i="5"/>
  <c r="AQ5" i="2" l="1"/>
  <c r="AP6" i="2"/>
  <c r="AP24" i="2" s="1"/>
  <c r="R10" i="5"/>
  <c r="R23" i="5"/>
  <c r="N46" i="5"/>
  <c r="T4" i="5"/>
  <c r="S6" i="5"/>
  <c r="N48" i="5"/>
  <c r="S42" i="5"/>
  <c r="S51" i="5"/>
  <c r="Q45" i="5"/>
  <c r="Q46" i="5" s="1"/>
  <c r="Q48" i="5" s="1"/>
  <c r="T50" i="5"/>
  <c r="T38" i="5"/>
  <c r="T40" i="5" s="1"/>
  <c r="U33" i="5"/>
  <c r="R52" i="5"/>
  <c r="R44" i="5"/>
  <c r="O25" i="5"/>
  <c r="O16" i="5"/>
  <c r="Q12" i="5"/>
  <c r="Q22" i="5"/>
  <c r="P24" i="5"/>
  <c r="P14" i="5"/>
  <c r="AR5" i="2" l="1"/>
  <c r="AQ6" i="2"/>
  <c r="AQ24" i="2" s="1"/>
  <c r="S10" i="5"/>
  <c r="S23" i="5"/>
  <c r="U4" i="5"/>
  <c r="T6" i="5"/>
  <c r="T42" i="5"/>
  <c r="T51" i="5"/>
  <c r="R45" i="5"/>
  <c r="R46" i="5" s="1"/>
  <c r="R48" i="5" s="1"/>
  <c r="S44" i="5"/>
  <c r="S52" i="5"/>
  <c r="U50" i="5"/>
  <c r="V33" i="5"/>
  <c r="U38" i="5"/>
  <c r="U40" i="5" s="1"/>
  <c r="R22" i="5"/>
  <c r="R12" i="5"/>
  <c r="Q14" i="5"/>
  <c r="Q24" i="5"/>
  <c r="O17" i="5"/>
  <c r="O18" i="5" s="1"/>
  <c r="P25" i="5"/>
  <c r="P16" i="5"/>
  <c r="AS5" i="2" l="1"/>
  <c r="AR6" i="2"/>
  <c r="AR24" i="2" s="1"/>
  <c r="T10" i="5"/>
  <c r="T23" i="5"/>
  <c r="V4" i="5"/>
  <c r="U6" i="5"/>
  <c r="S45" i="5"/>
  <c r="S46" i="5"/>
  <c r="U42" i="5"/>
  <c r="U51" i="5"/>
  <c r="W33" i="5"/>
  <c r="V50" i="5"/>
  <c r="V38" i="5"/>
  <c r="V40" i="5" s="1"/>
  <c r="T44" i="5"/>
  <c r="T52" i="5"/>
  <c r="O20" i="5"/>
  <c r="Q25" i="5"/>
  <c r="Q16" i="5"/>
  <c r="R14" i="5"/>
  <c r="R24" i="5"/>
  <c r="S22" i="5"/>
  <c r="S12" i="5"/>
  <c r="P17" i="5"/>
  <c r="P18" i="5" s="1"/>
  <c r="P20" i="5" s="1"/>
  <c r="AT5" i="2" l="1"/>
  <c r="AT6" i="2" s="1"/>
  <c r="AT24" i="2" s="1"/>
  <c r="AS6" i="2"/>
  <c r="AS24" i="2" s="1"/>
  <c r="U10" i="5"/>
  <c r="U23" i="5"/>
  <c r="W4" i="5"/>
  <c r="V6" i="5"/>
  <c r="T45" i="5"/>
  <c r="T46" i="5" s="1"/>
  <c r="V51" i="5"/>
  <c r="V42" i="5"/>
  <c r="X33" i="5"/>
  <c r="W38" i="5"/>
  <c r="W40" i="5" s="1"/>
  <c r="W50" i="5"/>
  <c r="U44" i="5"/>
  <c r="U52" i="5"/>
  <c r="S48" i="5"/>
  <c r="T22" i="5"/>
  <c r="T12" i="5"/>
  <c r="R25" i="5"/>
  <c r="R16" i="5"/>
  <c r="Q17" i="5"/>
  <c r="Q18" i="5" s="1"/>
  <c r="Q20" i="5" s="1"/>
  <c r="S14" i="5"/>
  <c r="S24" i="5"/>
  <c r="V10" i="5" l="1"/>
  <c r="V23" i="5"/>
  <c r="X4" i="5"/>
  <c r="X6" i="5" s="1"/>
  <c r="W6" i="5"/>
  <c r="T48" i="5"/>
  <c r="U45" i="5"/>
  <c r="U46" i="5" s="1"/>
  <c r="W51" i="5"/>
  <c r="W42" i="5"/>
  <c r="X38" i="5"/>
  <c r="X40" i="5" s="1"/>
  <c r="X50" i="5"/>
  <c r="V44" i="5"/>
  <c r="V52" i="5"/>
  <c r="R17" i="5"/>
  <c r="R18" i="5" s="1"/>
  <c r="T14" i="5"/>
  <c r="T24" i="5"/>
  <c r="U22" i="5"/>
  <c r="U12" i="5"/>
  <c r="S16" i="5"/>
  <c r="S25" i="5"/>
  <c r="W10" i="5" l="1"/>
  <c r="W23" i="5"/>
  <c r="X10" i="5"/>
  <c r="X23" i="5"/>
  <c r="U48" i="5"/>
  <c r="X51" i="5"/>
  <c r="X42" i="5"/>
  <c r="W52" i="5"/>
  <c r="W44" i="5"/>
  <c r="V45" i="5"/>
  <c r="V46" i="5" s="1"/>
  <c r="V48" i="5" s="1"/>
  <c r="V12" i="5"/>
  <c r="V22" i="5"/>
  <c r="S17" i="5"/>
  <c r="S18" i="5" s="1"/>
  <c r="S20" i="5" s="1"/>
  <c r="U14" i="5"/>
  <c r="U24" i="5"/>
  <c r="T16" i="5"/>
  <c r="T25" i="5"/>
  <c r="R20" i="5"/>
  <c r="W45" i="5" l="1"/>
  <c r="W46" i="5"/>
  <c r="W48" i="5" s="1"/>
  <c r="X52" i="5"/>
  <c r="X44" i="5"/>
  <c r="U16" i="5"/>
  <c r="U25" i="5"/>
  <c r="T17" i="5"/>
  <c r="T18" i="5" s="1"/>
  <c r="W12" i="5"/>
  <c r="W22" i="5"/>
  <c r="V24" i="5"/>
  <c r="V14" i="5"/>
  <c r="X45" i="5" l="1"/>
  <c r="X46" i="5" s="1"/>
  <c r="Y45" i="5" s="1"/>
  <c r="Z45" i="5" s="1"/>
  <c r="AA45" i="5" s="1"/>
  <c r="AB45" i="5" s="1"/>
  <c r="AC45" i="5" s="1"/>
  <c r="AD45" i="5" s="1"/>
  <c r="AE45" i="5" s="1"/>
  <c r="AF45" i="5" s="1"/>
  <c r="AG45" i="5" s="1"/>
  <c r="AH45" i="5" s="1"/>
  <c r="AI45" i="5" s="1"/>
  <c r="AJ45" i="5" s="1"/>
  <c r="AK45" i="5" s="1"/>
  <c r="AL45" i="5" s="1"/>
  <c r="AM45" i="5" s="1"/>
  <c r="AN45" i="5" s="1"/>
  <c r="AO45" i="5" s="1"/>
  <c r="AP45" i="5" s="1"/>
  <c r="AQ45" i="5" s="1"/>
  <c r="AR45" i="5" s="1"/>
  <c r="AS45" i="5" s="1"/>
  <c r="AT45" i="5" s="1"/>
  <c r="AU45" i="5" s="1"/>
  <c r="AV45" i="5" s="1"/>
  <c r="AW45" i="5" s="1"/>
  <c r="AX45" i="5" s="1"/>
  <c r="AY45" i="5" s="1"/>
  <c r="AZ45" i="5" s="1"/>
  <c r="BA45" i="5" s="1"/>
  <c r="BB45" i="5" s="1"/>
  <c r="BC45" i="5" s="1"/>
  <c r="BD45" i="5" s="1"/>
  <c r="BE45" i="5" s="1"/>
  <c r="BF45" i="5" s="1"/>
  <c r="BG45" i="5" s="1"/>
  <c r="BH45" i="5" s="1"/>
  <c r="BI45" i="5" s="1"/>
  <c r="BJ45" i="5" s="1"/>
  <c r="BK45" i="5" s="1"/>
  <c r="BL45" i="5" s="1"/>
  <c r="BM45" i="5" s="1"/>
  <c r="BN45" i="5" s="1"/>
  <c r="BO45" i="5" s="1"/>
  <c r="BP45" i="5" s="1"/>
  <c r="BQ45" i="5" s="1"/>
  <c r="BR45" i="5" s="1"/>
  <c r="BS45" i="5" s="1"/>
  <c r="BT45" i="5" s="1"/>
  <c r="BU45" i="5" s="1"/>
  <c r="BV45" i="5" s="1"/>
  <c r="BW45" i="5" s="1"/>
  <c r="BX45" i="5" s="1"/>
  <c r="BY45" i="5" s="1"/>
  <c r="BZ45" i="5" s="1"/>
  <c r="CA45" i="5" s="1"/>
  <c r="CB45" i="5" s="1"/>
  <c r="CC45" i="5" s="1"/>
  <c r="CD45" i="5" s="1"/>
  <c r="CE45" i="5" s="1"/>
  <c r="CF45" i="5" s="1"/>
  <c r="CG45" i="5" s="1"/>
  <c r="CH45" i="5" s="1"/>
  <c r="CI45" i="5" s="1"/>
  <c r="CJ45" i="5" s="1"/>
  <c r="CK45" i="5" s="1"/>
  <c r="CL45" i="5" s="1"/>
  <c r="CM45" i="5" s="1"/>
  <c r="CN45" i="5" s="1"/>
  <c r="CO45" i="5" s="1"/>
  <c r="CP45" i="5" s="1"/>
  <c r="CQ45" i="5" s="1"/>
  <c r="CR45" i="5" s="1"/>
  <c r="CS45" i="5" s="1"/>
  <c r="CT45" i="5" s="1"/>
  <c r="CU45" i="5" s="1"/>
  <c r="CV45" i="5" s="1"/>
  <c r="CW45" i="5" s="1"/>
  <c r="CX45" i="5" s="1"/>
  <c r="CY45" i="5" s="1"/>
  <c r="CZ45" i="5" s="1"/>
  <c r="AA51" i="5" s="1"/>
  <c r="T20" i="5"/>
  <c r="X12" i="5"/>
  <c r="X22" i="5"/>
  <c r="W24" i="5"/>
  <c r="W14" i="5"/>
  <c r="V16" i="5"/>
  <c r="V25" i="5"/>
  <c r="U17" i="5"/>
  <c r="U18" i="5" s="1"/>
  <c r="U20" i="5" s="1"/>
  <c r="X48" i="5" l="1"/>
  <c r="AA53" i="5"/>
  <c r="AA54" i="5" s="1"/>
  <c r="W25" i="5"/>
  <c r="W16" i="5"/>
  <c r="X24" i="5"/>
  <c r="X14" i="5"/>
  <c r="V17" i="5"/>
  <c r="V18" i="5" s="1"/>
  <c r="V20" i="5" s="1"/>
  <c r="A35" i="5" l="1"/>
  <c r="A34" i="5"/>
  <c r="X25" i="5"/>
  <c r="X16" i="5"/>
  <c r="W17" i="5"/>
  <c r="W18" i="5" s="1"/>
  <c r="W20" i="5" s="1"/>
  <c r="Z8" i="2"/>
  <c r="AA8" i="2"/>
  <c r="AA10" i="2" s="1"/>
  <c r="AA12" i="2"/>
  <c r="AB12" i="2"/>
  <c r="AC8" i="2"/>
  <c r="AC10" i="2" s="1"/>
  <c r="AC12" i="2" s="1"/>
  <c r="AA22" i="2"/>
  <c r="AB22" i="2"/>
  <c r="AC22" i="2"/>
  <c r="AD22" i="2"/>
  <c r="Z10" i="2" l="1"/>
  <c r="Z12" i="2" s="1"/>
  <c r="Z25" i="2" s="1"/>
  <c r="X17" i="5"/>
  <c r="X18" i="5" s="1"/>
  <c r="Y18" i="5" s="1"/>
  <c r="AA14" i="2"/>
  <c r="AA25" i="2"/>
  <c r="AB14" i="2"/>
  <c r="AB25" i="2"/>
  <c r="AC25" i="2"/>
  <c r="AC14" i="2"/>
  <c r="Z18" i="5" l="1"/>
  <c r="AA18" i="5" s="1"/>
  <c r="AB18" i="5" s="1"/>
  <c r="AC18" i="5" s="1"/>
  <c r="AD18" i="5" s="1"/>
  <c r="AE18" i="5" s="1"/>
  <c r="AF18" i="5" s="1"/>
  <c r="AG18" i="5" s="1"/>
  <c r="AH18" i="5" s="1"/>
  <c r="AI18" i="5" s="1"/>
  <c r="AJ18" i="5" s="1"/>
  <c r="AK18" i="5" s="1"/>
  <c r="AL18" i="5" s="1"/>
  <c r="AM18" i="5" s="1"/>
  <c r="AN18" i="5" s="1"/>
  <c r="AO18" i="5" s="1"/>
  <c r="AP18" i="5" s="1"/>
  <c r="AQ18" i="5" s="1"/>
  <c r="AR18" i="5" s="1"/>
  <c r="AS18" i="5" s="1"/>
  <c r="AT18" i="5" s="1"/>
  <c r="AU18" i="5" s="1"/>
  <c r="AV18" i="5" s="1"/>
  <c r="AW18" i="5" s="1"/>
  <c r="AX18" i="5" s="1"/>
  <c r="AY18" i="5" s="1"/>
  <c r="AZ18" i="5" s="1"/>
  <c r="BA18" i="5" s="1"/>
  <c r="BB18" i="5" s="1"/>
  <c r="BC18" i="5" s="1"/>
  <c r="BD18" i="5" s="1"/>
  <c r="BE18" i="5" s="1"/>
  <c r="BF18" i="5" s="1"/>
  <c r="BG18" i="5" s="1"/>
  <c r="BH18" i="5" s="1"/>
  <c r="BI18" i="5" s="1"/>
  <c r="BJ18" i="5" s="1"/>
  <c r="BK18" i="5" s="1"/>
  <c r="BL18" i="5" s="1"/>
  <c r="BM18" i="5" s="1"/>
  <c r="BN18" i="5" s="1"/>
  <c r="BO18" i="5" s="1"/>
  <c r="BP18" i="5" s="1"/>
  <c r="BQ18" i="5" s="1"/>
  <c r="BR18" i="5" s="1"/>
  <c r="BS18" i="5" s="1"/>
  <c r="BT18" i="5" s="1"/>
  <c r="BU18" i="5" s="1"/>
  <c r="BV18" i="5" s="1"/>
  <c r="BW18" i="5" s="1"/>
  <c r="BX18" i="5" s="1"/>
  <c r="BY18" i="5" s="1"/>
  <c r="BZ18" i="5" s="1"/>
  <c r="CA18" i="5" s="1"/>
  <c r="CB18" i="5" s="1"/>
  <c r="CC18" i="5" s="1"/>
  <c r="CD18" i="5" s="1"/>
  <c r="CE18" i="5" s="1"/>
  <c r="CF18" i="5" s="1"/>
  <c r="CG18" i="5" s="1"/>
  <c r="CH18" i="5" s="1"/>
  <c r="CI18" i="5" s="1"/>
  <c r="CJ18" i="5" s="1"/>
  <c r="CK18" i="5" s="1"/>
  <c r="CL18" i="5" s="1"/>
  <c r="CM18" i="5" s="1"/>
  <c r="CN18" i="5" s="1"/>
  <c r="CO18" i="5" s="1"/>
  <c r="CP18" i="5" s="1"/>
  <c r="CQ18" i="5" s="1"/>
  <c r="CR18" i="5" s="1"/>
  <c r="CS18" i="5" s="1"/>
  <c r="CT18" i="5" s="1"/>
  <c r="CU18" i="5" s="1"/>
  <c r="CV18" i="5" s="1"/>
  <c r="CW18" i="5" s="1"/>
  <c r="CX18" i="5" s="1"/>
  <c r="CY18" i="5" s="1"/>
  <c r="CZ18" i="5" s="1"/>
  <c r="Z14" i="2"/>
  <c r="Z26" i="2" s="1"/>
  <c r="X20" i="5"/>
  <c r="Z16" i="2"/>
  <c r="Z18" i="2" s="1"/>
  <c r="Z20" i="2" s="1"/>
  <c r="AA26" i="2"/>
  <c r="AA16" i="2"/>
  <c r="AA18" i="2" s="1"/>
  <c r="AA20" i="2" s="1"/>
  <c r="AB26" i="2"/>
  <c r="AB16" i="2"/>
  <c r="AB18" i="2" s="1"/>
  <c r="AB20" i="2" s="1"/>
  <c r="AC16" i="2"/>
  <c r="AC18" i="2" s="1"/>
  <c r="AC20" i="2" s="1"/>
  <c r="AC26" i="2"/>
  <c r="Q73" i="2"/>
  <c r="Q63" i="2"/>
  <c r="Q79" i="2" s="1"/>
  <c r="Q53" i="2"/>
  <c r="Q42" i="2"/>
  <c r="Q39" i="2"/>
  <c r="Q22" i="2"/>
  <c r="Q12" i="2"/>
  <c r="Q14" i="2" s="1"/>
  <c r="AA24" i="5" l="1"/>
  <c r="AA26" i="5" s="1"/>
  <c r="AA27" i="5" s="1"/>
  <c r="A6" i="5" s="1"/>
  <c r="Q77" i="2"/>
  <c r="Q54" i="2"/>
  <c r="Q26" i="2"/>
  <c r="Q16" i="2"/>
  <c r="Q25" i="2"/>
  <c r="A5" i="5" l="1"/>
  <c r="Q18" i="2"/>
  <c r="Q20" i="2" s="1"/>
  <c r="Q57" i="2"/>
  <c r="V51" i="4"/>
  <c r="V50" i="4"/>
  <c r="V40" i="4"/>
  <c r="V39" i="4"/>
  <c r="V29" i="4"/>
  <c r="V28" i="4"/>
  <c r="V18" i="4"/>
  <c r="V17" i="4"/>
  <c r="Q51" i="4"/>
  <c r="Q50" i="4"/>
  <c r="Q40" i="4"/>
  <c r="Q39" i="4"/>
  <c r="Q29" i="4"/>
  <c r="Q28" i="4"/>
  <c r="Q18" i="4"/>
  <c r="Q17" i="4"/>
  <c r="L51" i="4"/>
  <c r="L50" i="4"/>
  <c r="L40" i="4"/>
  <c r="L39" i="4"/>
  <c r="L29" i="4"/>
  <c r="L28" i="4"/>
  <c r="L18" i="4"/>
  <c r="L17" i="4"/>
  <c r="G51" i="4"/>
  <c r="G50" i="4"/>
  <c r="G40" i="4"/>
  <c r="G39" i="4"/>
  <c r="G29" i="4"/>
  <c r="G28" i="4"/>
  <c r="G18" i="4"/>
  <c r="G17" i="4"/>
  <c r="V7" i="4"/>
  <c r="V6" i="4"/>
  <c r="Q7" i="4"/>
  <c r="Q6" i="4"/>
  <c r="L7" i="4"/>
  <c r="L6" i="4"/>
  <c r="L11" i="4" s="1"/>
  <c r="G7" i="4"/>
  <c r="G8" i="4" s="1"/>
  <c r="G6" i="4"/>
  <c r="L44" i="4" l="1"/>
  <c r="V44" i="4"/>
  <c r="G41" i="4"/>
  <c r="V11" i="4"/>
  <c r="G52" i="4"/>
  <c r="Q44" i="4"/>
  <c r="Q8" i="4"/>
  <c r="V55" i="4"/>
  <c r="L41" i="4"/>
  <c r="L55" i="4"/>
  <c r="L52" i="4"/>
  <c r="L22" i="4"/>
  <c r="G30" i="4"/>
  <c r="V33" i="4"/>
  <c r="Q41" i="4"/>
  <c r="Q55" i="4"/>
  <c r="Q52" i="4"/>
  <c r="G19" i="4"/>
  <c r="Q22" i="4"/>
  <c r="L8" i="4"/>
  <c r="L33" i="4"/>
  <c r="Q33" i="4"/>
  <c r="Q11" i="4"/>
  <c r="L30" i="4"/>
  <c r="Q30" i="4"/>
  <c r="V22" i="4"/>
  <c r="L19" i="4"/>
  <c r="Q19" i="4"/>
  <c r="V52" i="4"/>
  <c r="V41" i="4"/>
  <c r="V30" i="4"/>
  <c r="V19" i="4"/>
  <c r="V8" i="4"/>
  <c r="AK15" i="2"/>
  <c r="AL15" i="2" s="1"/>
  <c r="AM15" i="2" s="1"/>
  <c r="AN15" i="2" s="1"/>
  <c r="AO15" i="2" s="1"/>
  <c r="AP15" i="2" s="1"/>
  <c r="AQ15" i="2" s="1"/>
  <c r="AR15" i="2" s="1"/>
  <c r="AS15" i="2" s="1"/>
  <c r="AT15" i="2" s="1"/>
  <c r="AL13" i="2"/>
  <c r="AM13" i="2" s="1"/>
  <c r="AN13" i="2" s="1"/>
  <c r="AO13" i="2" s="1"/>
  <c r="AP13" i="2" s="1"/>
  <c r="AQ13" i="2" s="1"/>
  <c r="AR13" i="2" s="1"/>
  <c r="AS13" i="2" s="1"/>
  <c r="AT13" i="2" s="1"/>
  <c r="AK9" i="2"/>
  <c r="AK10" i="2" s="1"/>
  <c r="AJ22" i="2"/>
  <c r="E12" i="2"/>
  <c r="E14" i="2" s="1"/>
  <c r="E16" i="2" s="1"/>
  <c r="E18" i="2" s="1"/>
  <c r="F12" i="2"/>
  <c r="F14" i="2" s="1"/>
  <c r="F16" i="2" s="1"/>
  <c r="F18" i="2" s="1"/>
  <c r="G53" i="2"/>
  <c r="G12" i="2"/>
  <c r="G14" i="2" s="1"/>
  <c r="G16" i="2" s="1"/>
  <c r="G18" i="2" s="1"/>
  <c r="D12" i="2"/>
  <c r="D14" i="2" s="1"/>
  <c r="D16" i="2" s="1"/>
  <c r="D18" i="2" s="1"/>
  <c r="H12" i="2"/>
  <c r="H14" i="2" s="1"/>
  <c r="H16" i="2" s="1"/>
  <c r="H18" i="2" s="1"/>
  <c r="I12" i="2"/>
  <c r="I14" i="2" s="1"/>
  <c r="I16" i="2" s="1"/>
  <c r="I18" i="2" s="1"/>
  <c r="M12" i="2"/>
  <c r="M14" i="2" s="1"/>
  <c r="M16" i="2" s="1"/>
  <c r="M18" i="2" s="1"/>
  <c r="J12" i="2"/>
  <c r="J14" i="2" s="1"/>
  <c r="J16" i="2" s="1"/>
  <c r="J18" i="2" s="1"/>
  <c r="N12" i="2"/>
  <c r="N14" i="2" s="1"/>
  <c r="K12" i="2"/>
  <c r="K14" i="2" s="1"/>
  <c r="K16" i="2" s="1"/>
  <c r="K18" i="2" s="1"/>
  <c r="AD72" i="2"/>
  <c r="AD69" i="2"/>
  <c r="AD65" i="2"/>
  <c r="AD67" i="2" s="1"/>
  <c r="AD62" i="2"/>
  <c r="AD63" i="2" s="1"/>
  <c r="AE69" i="2"/>
  <c r="AE73" i="2" s="1"/>
  <c r="AE65" i="2"/>
  <c r="AE67" i="2" s="1"/>
  <c r="AE62" i="2"/>
  <c r="AE63" i="2" s="1"/>
  <c r="AD12" i="2"/>
  <c r="AD14" i="2" s="1"/>
  <c r="AE9" i="2"/>
  <c r="AF72" i="2"/>
  <c r="AF69" i="2"/>
  <c r="AF65" i="2"/>
  <c r="AF67" i="2" s="1"/>
  <c r="AF62" i="2"/>
  <c r="AF63" i="2" s="1"/>
  <c r="AG69" i="2"/>
  <c r="AG73" i="2" s="1"/>
  <c r="AG65" i="2"/>
  <c r="AG67" i="2" s="1"/>
  <c r="AG62" i="2"/>
  <c r="AG63" i="2" s="1"/>
  <c r="AF9" i="2"/>
  <c r="AG9" i="2"/>
  <c r="AG10" i="2" s="1"/>
  <c r="AH69" i="2"/>
  <c r="AH73" i="2" s="1"/>
  <c r="AH65" i="2"/>
  <c r="AH67" i="2" s="1"/>
  <c r="AH62" i="2"/>
  <c r="AH63" i="2" s="1"/>
  <c r="AI69" i="2"/>
  <c r="AI73" i="2" s="1"/>
  <c r="AI65" i="2"/>
  <c r="AI67" i="2" s="1"/>
  <c r="AI62" i="2"/>
  <c r="AI63" i="2" s="1"/>
  <c r="AE22" i="2"/>
  <c r="AF22" i="2"/>
  <c r="AG22" i="2"/>
  <c r="AH22" i="2"/>
  <c r="AI22" i="2"/>
  <c r="AH12" i="2"/>
  <c r="AH14" i="2" s="1"/>
  <c r="AH16" i="2" s="1"/>
  <c r="AH18" i="2" s="1"/>
  <c r="AH20" i="2" s="1"/>
  <c r="AI9" i="2"/>
  <c r="L65" i="2"/>
  <c r="L67" i="2" s="1"/>
  <c r="D73" i="2"/>
  <c r="E73" i="2"/>
  <c r="F73" i="2"/>
  <c r="G73" i="2"/>
  <c r="H73" i="2"/>
  <c r="I73" i="2"/>
  <c r="J73" i="2"/>
  <c r="K73" i="2"/>
  <c r="L73" i="2"/>
  <c r="M73" i="2"/>
  <c r="N73" i="2"/>
  <c r="O73" i="2"/>
  <c r="D67" i="2"/>
  <c r="F67" i="2"/>
  <c r="G67" i="2"/>
  <c r="H67" i="2"/>
  <c r="J67" i="2"/>
  <c r="K67" i="2"/>
  <c r="M67" i="2"/>
  <c r="N67" i="2"/>
  <c r="O67" i="2"/>
  <c r="D63" i="2"/>
  <c r="D79" i="2" s="1"/>
  <c r="E63" i="2"/>
  <c r="E79" i="2" s="1"/>
  <c r="F63" i="2"/>
  <c r="F79" i="2" s="1"/>
  <c r="G63" i="2"/>
  <c r="G79" i="2" s="1"/>
  <c r="H63" i="2"/>
  <c r="I63" i="2"/>
  <c r="J63" i="2"/>
  <c r="K63" i="2"/>
  <c r="K79" i="2" s="1"/>
  <c r="L63" i="2"/>
  <c r="M63" i="2"/>
  <c r="M79" i="2" s="1"/>
  <c r="N63" i="2"/>
  <c r="N79" i="2" s="1"/>
  <c r="O63" i="2"/>
  <c r="P73" i="2"/>
  <c r="P65" i="2"/>
  <c r="P67" i="2" s="1"/>
  <c r="P63" i="2"/>
  <c r="D53" i="2"/>
  <c r="E53" i="2"/>
  <c r="F53" i="2"/>
  <c r="H53" i="2"/>
  <c r="I53" i="2"/>
  <c r="J53" i="2"/>
  <c r="K53" i="2"/>
  <c r="L53" i="2"/>
  <c r="M53" i="2"/>
  <c r="N53" i="2"/>
  <c r="O53" i="2"/>
  <c r="D42" i="2"/>
  <c r="E42" i="2"/>
  <c r="F42" i="2"/>
  <c r="G42" i="2"/>
  <c r="H42" i="2"/>
  <c r="I42" i="2"/>
  <c r="J42" i="2"/>
  <c r="K42" i="2"/>
  <c r="L42" i="2"/>
  <c r="M42" i="2"/>
  <c r="N42" i="2"/>
  <c r="O42" i="2"/>
  <c r="D39" i="2"/>
  <c r="E39" i="2"/>
  <c r="F39" i="2"/>
  <c r="G39" i="2"/>
  <c r="H39" i="2"/>
  <c r="I39" i="2"/>
  <c r="J39" i="2"/>
  <c r="K39" i="2"/>
  <c r="L39" i="2"/>
  <c r="M39" i="2"/>
  <c r="N39" i="2"/>
  <c r="O39" i="2"/>
  <c r="P53" i="2"/>
  <c r="P42" i="2"/>
  <c r="P39" i="2"/>
  <c r="H22" i="2"/>
  <c r="I22" i="2"/>
  <c r="J22" i="2"/>
  <c r="K22" i="2"/>
  <c r="L22" i="2"/>
  <c r="M22" i="2"/>
  <c r="N22" i="2"/>
  <c r="O22" i="2"/>
  <c r="P22" i="2"/>
  <c r="L12" i="2"/>
  <c r="L14" i="2" s="1"/>
  <c r="L16" i="2" s="1"/>
  <c r="L18" i="2" s="1"/>
  <c r="L20" i="2" s="1"/>
  <c r="O12" i="2"/>
  <c r="O14" i="2" s="1"/>
  <c r="B6" i="2"/>
  <c r="AI10" i="2" l="1"/>
  <c r="AI12" i="2" s="1"/>
  <c r="AF10" i="2"/>
  <c r="AF12" i="2" s="1"/>
  <c r="AE10" i="2"/>
  <c r="AE12" i="2" s="1"/>
  <c r="AG12" i="2"/>
  <c r="AF73" i="2"/>
  <c r="AF77" i="2" s="1"/>
  <c r="P12" i="2"/>
  <c r="P25" i="2" s="1"/>
  <c r="P79" i="2"/>
  <c r="L25" i="2"/>
  <c r="G54" i="2"/>
  <c r="K25" i="2"/>
  <c r="AD25" i="2"/>
  <c r="AI79" i="2"/>
  <c r="D25" i="2"/>
  <c r="AK22" i="2"/>
  <c r="AL9" i="2"/>
  <c r="AK12" i="2"/>
  <c r="AK14" i="2" s="1"/>
  <c r="AK26" i="2" s="1"/>
  <c r="L77" i="2"/>
  <c r="AF79" i="2"/>
  <c r="J25" i="2"/>
  <c r="L79" i="2"/>
  <c r="H25" i="2"/>
  <c r="AD73" i="2"/>
  <c r="AD77" i="2" s="1"/>
  <c r="O25" i="2"/>
  <c r="G25" i="2"/>
  <c r="AH25" i="2"/>
  <c r="AJ12" i="2"/>
  <c r="I25" i="2"/>
  <c r="AG79" i="2"/>
  <c r="N25" i="2"/>
  <c r="F25" i="2"/>
  <c r="M25" i="2"/>
  <c r="E25" i="2"/>
  <c r="AL22" i="2"/>
  <c r="AM22" i="2"/>
  <c r="AN22" i="2"/>
  <c r="AO22" i="2"/>
  <c r="F54" i="2"/>
  <c r="D77" i="2"/>
  <c r="H77" i="2"/>
  <c r="N54" i="2"/>
  <c r="AI77" i="2"/>
  <c r="G77" i="2"/>
  <c r="AH79" i="2"/>
  <c r="M54" i="2"/>
  <c r="E54" i="2"/>
  <c r="P77" i="2"/>
  <c r="J77" i="2"/>
  <c r="N77" i="2"/>
  <c r="F77" i="2"/>
  <c r="P54" i="2"/>
  <c r="D54" i="2"/>
  <c r="M77" i="2"/>
  <c r="J26" i="2"/>
  <c r="I26" i="2"/>
  <c r="I20" i="2"/>
  <c r="H26" i="2"/>
  <c r="H20" i="2"/>
  <c r="J79" i="2"/>
  <c r="I79" i="2"/>
  <c r="AH26" i="2"/>
  <c r="J54" i="2"/>
  <c r="I54" i="2"/>
  <c r="H79" i="2"/>
  <c r="H54" i="2"/>
  <c r="M26" i="2"/>
  <c r="E26" i="2"/>
  <c r="G26" i="2"/>
  <c r="F26" i="2"/>
  <c r="D20" i="2"/>
  <c r="D57" i="2"/>
  <c r="D26" i="2"/>
  <c r="L26" i="2"/>
  <c r="L57" i="2"/>
  <c r="N16" i="2"/>
  <c r="N26" i="2"/>
  <c r="K77" i="2"/>
  <c r="O77" i="2"/>
  <c r="O79" i="2"/>
  <c r="K54" i="2"/>
  <c r="O54" i="2"/>
  <c r="K26" i="2"/>
  <c r="O16" i="2"/>
  <c r="O26" i="2"/>
  <c r="AE77" i="2"/>
  <c r="AD26" i="2"/>
  <c r="AD16" i="2"/>
  <c r="AE79" i="2"/>
  <c r="AD79" i="2"/>
  <c r="AH77" i="2"/>
  <c r="AG77" i="2"/>
  <c r="AH57" i="2"/>
  <c r="B9" i="2"/>
  <c r="L54" i="2"/>
  <c r="AJ14" i="2" l="1"/>
  <c r="AJ26" i="2" s="1"/>
  <c r="AJ25" i="2"/>
  <c r="AI14" i="2"/>
  <c r="AI25" i="2"/>
  <c r="AE14" i="2"/>
  <c r="AE25" i="2"/>
  <c r="AF14" i="2"/>
  <c r="AF25" i="2"/>
  <c r="AM9" i="2"/>
  <c r="AL10" i="2"/>
  <c r="AL12" i="2" s="1"/>
  <c r="AL25" i="2" s="1"/>
  <c r="AG14" i="2"/>
  <c r="AG25" i="2"/>
  <c r="P14" i="2"/>
  <c r="AK25" i="2"/>
  <c r="AJ16" i="2"/>
  <c r="AJ18" i="2" s="1"/>
  <c r="D5" i="3"/>
  <c r="AK16" i="2"/>
  <c r="AK17" i="2" s="1"/>
  <c r="D6" i="3"/>
  <c r="AP22" i="2"/>
  <c r="I57" i="2"/>
  <c r="H57" i="2"/>
  <c r="J57" i="2"/>
  <c r="J20" i="2"/>
  <c r="G57" i="2"/>
  <c r="G20" i="2"/>
  <c r="F20" i="2"/>
  <c r="F57" i="2"/>
  <c r="E20" i="2"/>
  <c r="E57" i="2"/>
  <c r="M20" i="2"/>
  <c r="M57" i="2"/>
  <c r="N18" i="2"/>
  <c r="N20" i="2" s="1"/>
  <c r="N57" i="2"/>
  <c r="K57" i="2"/>
  <c r="K20" i="2"/>
  <c r="O57" i="2"/>
  <c r="O18" i="2"/>
  <c r="O20" i="2" s="1"/>
  <c r="AD57" i="2"/>
  <c r="AD18" i="2"/>
  <c r="AD20" i="2" s="1"/>
  <c r="AJ20" i="2" l="1"/>
  <c r="AN9" i="2"/>
  <c r="AM10" i="2"/>
  <c r="AM12" i="2" s="1"/>
  <c r="AM14" i="2" s="1"/>
  <c r="AM16" i="2" s="1"/>
  <c r="AF26" i="2"/>
  <c r="AF16" i="2"/>
  <c r="AE16" i="2"/>
  <c r="AE26" i="2"/>
  <c r="AI16" i="2"/>
  <c r="AI26" i="2"/>
  <c r="AG26" i="2"/>
  <c r="AG16" i="2"/>
  <c r="F5" i="3"/>
  <c r="AM26" i="2"/>
  <c r="F6" i="3"/>
  <c r="AL14" i="2"/>
  <c r="AL26" i="2" s="1"/>
  <c r="P26" i="2"/>
  <c r="P16" i="2"/>
  <c r="E5" i="3"/>
  <c r="AK18" i="2"/>
  <c r="AK20" i="2" s="1"/>
  <c r="D7" i="3" s="1"/>
  <c r="AQ22" i="2"/>
  <c r="AM25" i="2" l="1"/>
  <c r="AI18" i="2"/>
  <c r="AI20" i="2" s="1"/>
  <c r="AI57" i="2"/>
  <c r="AE18" i="2"/>
  <c r="AE20" i="2" s="1"/>
  <c r="AE57" i="2"/>
  <c r="AF18" i="2"/>
  <c r="AF20" i="2" s="1"/>
  <c r="AF57" i="2"/>
  <c r="AM17" i="2"/>
  <c r="AM18" i="2" s="1"/>
  <c r="AM20" i="2" s="1"/>
  <c r="F7" i="3" s="1"/>
  <c r="AO9" i="2"/>
  <c r="AN10" i="2"/>
  <c r="AN12" i="2" s="1"/>
  <c r="AG57" i="2"/>
  <c r="AG18" i="2"/>
  <c r="AG20" i="2" s="1"/>
  <c r="E6" i="3"/>
  <c r="AL16" i="2"/>
  <c r="AL17" i="2" s="1"/>
  <c r="AL18" i="2" s="1"/>
  <c r="AL20" i="2" s="1"/>
  <c r="E7" i="3" s="1"/>
  <c r="U57" i="2"/>
  <c r="P18" i="2"/>
  <c r="P57" i="2"/>
  <c r="AR22" i="2"/>
  <c r="AN14" i="2" l="1"/>
  <c r="AN25" i="2"/>
  <c r="AP9" i="2"/>
  <c r="AO10" i="2"/>
  <c r="AO12" i="2" s="1"/>
  <c r="P20" i="2"/>
  <c r="AS22" i="2"/>
  <c r="AO25" i="2" l="1"/>
  <c r="AO14" i="2"/>
  <c r="AQ9" i="2"/>
  <c r="AP10" i="2"/>
  <c r="AP12" i="2" s="1"/>
  <c r="AN16" i="2"/>
  <c r="AN26" i="2"/>
  <c r="AT22" i="2"/>
  <c r="AN17" i="2" l="1"/>
  <c r="AN18" i="2" s="1"/>
  <c r="AP14" i="2"/>
  <c r="AP25" i="2"/>
  <c r="AR9" i="2"/>
  <c r="AQ10" i="2"/>
  <c r="AQ12" i="2" s="1"/>
  <c r="AO16" i="2"/>
  <c r="AO26" i="2"/>
  <c r="AN20" i="2" l="1"/>
  <c r="AO17" i="2"/>
  <c r="AO18" i="2" s="1"/>
  <c r="AO20" i="2" s="1"/>
  <c r="AQ14" i="2"/>
  <c r="AQ25" i="2"/>
  <c r="AS9" i="2"/>
  <c r="AR10" i="2"/>
  <c r="AR12" i="2" s="1"/>
  <c r="AP16" i="2"/>
  <c r="AP26" i="2"/>
  <c r="AP17" i="2" l="1"/>
  <c r="AP18" i="2" s="1"/>
  <c r="AR14" i="2"/>
  <c r="AR25" i="2"/>
  <c r="AT9" i="2"/>
  <c r="AT10" i="2" s="1"/>
  <c r="AT12" i="2" s="1"/>
  <c r="AS10" i="2"/>
  <c r="AS12" i="2" s="1"/>
  <c r="AQ16" i="2"/>
  <c r="AQ26" i="2"/>
  <c r="AP20" i="2" l="1"/>
  <c r="AQ17" i="2"/>
  <c r="AQ18" i="2" s="1"/>
  <c r="AQ20" i="2" s="1"/>
  <c r="AS14" i="2"/>
  <c r="AS25" i="2"/>
  <c r="AT14" i="2"/>
  <c r="AT25" i="2"/>
  <c r="AR16" i="2"/>
  <c r="AR26" i="2"/>
  <c r="AR17" i="2" l="1"/>
  <c r="AR18" i="2" s="1"/>
  <c r="AR20" i="2" s="1"/>
  <c r="AT16" i="2"/>
  <c r="AT26" i="2"/>
  <c r="AS16" i="2"/>
  <c r="AS26" i="2"/>
  <c r="AS17" i="2" l="1"/>
  <c r="AS18" i="2"/>
  <c r="AS20" i="2" s="1"/>
  <c r="AT17" i="2"/>
  <c r="AT18" i="2" s="1"/>
  <c r="AT20" i="2" l="1"/>
  <c r="AU18" i="2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AW23" i="2" l="1"/>
  <c r="AW25" i="2" s="1"/>
  <c r="AW26" i="2" s="1"/>
  <c r="E77" i="2" l="1"/>
  <c r="E67" i="2"/>
  <c r="I77" i="2"/>
  <c r="I6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tc={7A9D2D91-FEE1-1247-BDF5-14594CD95985}</author>
  </authors>
  <commentList>
    <comment ref="AM3" authorId="0" shapeId="0" xr:uid="{7A9D2D91-FEE1-1247-BDF5-14594CD9598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CMD 2025, mål om 35 mrd i 28.
Per nå tror jeg ikke på det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tc={755FA1AF-E37E-DF47-A767-3D6CA6191572}</author>
  </authors>
  <commentList>
    <comment ref="O52" authorId="0" shapeId="0" xr:uid="{755FA1AF-E37E-DF47-A767-3D6CA6191572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Ser at Afry aldri har hatt så lave marginer inneofr en 10-årsperiode</t>
      </text>
    </comment>
  </commentList>
</comments>
</file>

<file path=xl/sharedStrings.xml><?xml version="1.0" encoding="utf-8"?>
<sst xmlns="http://schemas.openxmlformats.org/spreadsheetml/2006/main" count="360" uniqueCount="160">
  <si>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</si>
  <si>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</si>
  <si>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</si>
  <si>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</si>
  <si>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</si>
  <si>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</si>
  <si>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</si>
  <si>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</si>
  <si>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</si>
  <si>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</si>
  <si>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</si>
  <si>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</si>
  <si>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</si>
  <si>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</si>
  <si>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</si>
  <si>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</si>
  <si>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</si>
  <si>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</si>
  <si>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</si>
  <si>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</si>
  <si>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</si>
  <si>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</si>
  <si>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</si>
  <si>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</si>
  <si>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</si>
  <si>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</si>
  <si>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</si>
  <si>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</si>
  <si>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</si>
  <si>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Revenue y/y</t>
  </si>
  <si>
    <t>EBIT margin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</si>
  <si>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</si>
  <si>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</si>
  <si>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</si>
  <si>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</si>
  <si>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</si>
  <si>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</si>
  <si>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</si>
  <si>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</si>
  <si>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</si>
  <si>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</t>
  </si>
  <si>
    <t>Personnel costs</t>
  </si>
  <si>
    <t>Purchases of services and materials</t>
  </si>
  <si>
    <t>Other costs</t>
  </si>
  <si>
    <t>Other income</t>
  </si>
  <si>
    <t>EBITDA</t>
  </si>
  <si>
    <t>D/A</t>
  </si>
  <si>
    <t>EBITA</t>
  </si>
  <si>
    <t>Acquisition-related items</t>
  </si>
  <si>
    <t>Operating items (EBIT)</t>
  </si>
  <si>
    <t>Financial items</t>
  </si>
  <si>
    <t>PTP</t>
  </si>
  <si>
    <t>Tax</t>
  </si>
  <si>
    <t>Net income</t>
  </si>
  <si>
    <t>Share</t>
  </si>
  <si>
    <t>EPS</t>
  </si>
  <si>
    <t>Intangible assets</t>
  </si>
  <si>
    <t>PP&amp;E</t>
  </si>
  <si>
    <t>Right of use assets</t>
  </si>
  <si>
    <t>Other non-current assets</t>
  </si>
  <si>
    <t>Account receivables</t>
  </si>
  <si>
    <t>Revenue generated but not invoiced</t>
  </si>
  <si>
    <t>Other current assets</t>
  </si>
  <si>
    <t>Cash</t>
  </si>
  <si>
    <t>Total assets</t>
  </si>
  <si>
    <t>Shareholders of the parent comp</t>
  </si>
  <si>
    <t>Non-controlling interests</t>
  </si>
  <si>
    <t>Total equity</t>
  </si>
  <si>
    <t>Loans and borrowings</t>
  </si>
  <si>
    <t>Lease liabilities</t>
  </si>
  <si>
    <t>Provisons</t>
  </si>
  <si>
    <t>Other current liabilities</t>
  </si>
  <si>
    <t>provisons</t>
  </si>
  <si>
    <t>Work onvoiced but not yet carried out</t>
  </si>
  <si>
    <t>Accounts payable</t>
  </si>
  <si>
    <t>Other current liabilties</t>
  </si>
  <si>
    <t>Total debt</t>
  </si>
  <si>
    <t>Total E/D</t>
  </si>
  <si>
    <t>Model PTP</t>
  </si>
  <si>
    <t>Reported PTP</t>
  </si>
  <si>
    <t>D/A/I</t>
  </si>
  <si>
    <t>Other non-cash</t>
  </si>
  <si>
    <t>Income tax paid</t>
  </si>
  <si>
    <t>WC</t>
  </si>
  <si>
    <t>CFFO</t>
  </si>
  <si>
    <t>Capex</t>
  </si>
  <si>
    <t>Change in financial assets</t>
  </si>
  <si>
    <t>CFFI</t>
  </si>
  <si>
    <t>Borrowings and repayments</t>
  </si>
  <si>
    <t xml:space="preserve">Principal elemente of leases </t>
  </si>
  <si>
    <t>Payment on convertible</t>
  </si>
  <si>
    <t>CFFF</t>
  </si>
  <si>
    <t>FX</t>
  </si>
  <si>
    <t>CIC</t>
  </si>
  <si>
    <t>FCF</t>
  </si>
  <si>
    <t>Dividends paid</t>
  </si>
  <si>
    <t>EBITA margin</t>
  </si>
  <si>
    <t xml:space="preserve">Press releases: </t>
  </si>
  <si>
    <t>EV/EBITA</t>
  </si>
  <si>
    <t>Disocunt</t>
  </si>
  <si>
    <t>TV</t>
  </si>
  <si>
    <t>NPV</t>
  </si>
  <si>
    <t>NPV/Share</t>
  </si>
  <si>
    <t>Opp/nedside</t>
  </si>
  <si>
    <t>SEK million</t>
  </si>
  <si>
    <t>MC SEKm</t>
  </si>
  <si>
    <t>Cash SEKm</t>
  </si>
  <si>
    <t>Debt SEKm</t>
  </si>
  <si>
    <t>EV SEKm</t>
  </si>
  <si>
    <t>Balanse SEKm</t>
  </si>
  <si>
    <t>Cash flow SEKm</t>
  </si>
  <si>
    <t>Infrastructure</t>
  </si>
  <si>
    <t>Order backlog</t>
  </si>
  <si>
    <t>Average full-time (FTEs)</t>
  </si>
  <si>
    <t>Growth</t>
  </si>
  <si>
    <t>Acquired</t>
  </si>
  <si>
    <t>Curreny effect</t>
  </si>
  <si>
    <t>Calender effect</t>
  </si>
  <si>
    <t>Organic adjusted calender</t>
  </si>
  <si>
    <t>Industrial &amp; digital solutions</t>
  </si>
  <si>
    <t>Process industries</t>
  </si>
  <si>
    <t>Energy</t>
  </si>
  <si>
    <t>Managment consulting</t>
  </si>
  <si>
    <t xml:space="preserve">02.07.25: Afry gjør endringer i ledelsen, Robert Larsson, EVP and Head of Global division transportation slutter. </t>
  </si>
  <si>
    <t>24.04.25: Afry lager en ny gruppe struktur og endrer ledelsen, nå er 3 fokussegmenter energi, Industri og Transport &amp; places</t>
  </si>
  <si>
    <t>12.01.25: Linda Pålsson blir ny CEO og tar over fra Jonas Gustavsson</t>
  </si>
  <si>
    <t>09.09.24: CEO Jonas Gustavsson forlater Afry han var der i 8 år</t>
  </si>
  <si>
    <t>28.09.23: Afry gå fra 6 til 5 divisjoner. X blir integrert i Industrial &amp; digital solutions</t>
  </si>
  <si>
    <t>FY 2016</t>
  </si>
  <si>
    <t>FY 2017</t>
  </si>
  <si>
    <t>FY 2018</t>
  </si>
  <si>
    <t>FY 2015</t>
  </si>
  <si>
    <t>ROE</t>
  </si>
  <si>
    <t>Capacity utilisation</t>
  </si>
  <si>
    <t>Nedside</t>
  </si>
  <si>
    <t>Nullvekst og konstante marginer</t>
  </si>
  <si>
    <t>Nullvekst og litt ned på marginer</t>
  </si>
  <si>
    <t xml:space="preserve">03.07.25: </t>
  </si>
  <si>
    <t>24.09.25: Afry og TEN join forces to drive energy innvoation in italy</t>
  </si>
  <si>
    <t>24.09.25: Afry awarded assignment to enhance rail capacity i southern Sweden</t>
  </si>
  <si>
    <t>15.09.25: Afry and BAE systems Hägglunds enter strategic parternship in defence</t>
  </si>
  <si>
    <t>Organic growth</t>
  </si>
  <si>
    <t>Q126</t>
  </si>
  <si>
    <t>Q326</t>
  </si>
  <si>
    <t>Q426</t>
  </si>
  <si>
    <t>Gross profit</t>
  </si>
  <si>
    <t>Gross margin</t>
  </si>
  <si>
    <t>Q226</t>
  </si>
  <si>
    <t>SEKm</t>
  </si>
  <si>
    <t>y/y</t>
  </si>
  <si>
    <t>Organic/calender</t>
  </si>
  <si>
    <t>Industry</t>
  </si>
  <si>
    <t>Transportation/Places</t>
  </si>
  <si>
    <t>EBITA 26E</t>
  </si>
  <si>
    <t xml:space="preserve">EV/EBITA </t>
  </si>
  <si>
    <t>Value</t>
  </si>
  <si>
    <t>SEK/Share</t>
  </si>
  <si>
    <t>Enterprise value</t>
  </si>
  <si>
    <t>Debt</t>
  </si>
  <si>
    <t>Equity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</si>
</sst>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5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0"/>
      <color rgb="FF000000"/>
      <name val="Tahoma"/>
      <family val="2"/>
    </font>
    <font>
      <i/>
      <sz val="14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/>
    <xf numFmtId="2" fontId="2" fillId="0" borderId="0" xfId="0" applyNumberFormat="1" applyFont="1"/>
    <xf numFmtId="10" fontId="2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10" fontId="2" fillId="0" borderId="1" xfId="0" applyNumberFormat="1" applyFont="1" applyBorder="1"/>
    <xf numFmtId="0" fontId="5" fillId="0" borderId="3" xfId="0" applyFont="1" applyBorder="1"/>
    <xf numFmtId="165" fontId="6" fillId="0" borderId="3" xfId="0" applyNumberFormat="1" applyFont="1" applyBorder="1"/>
    <xf numFmtId="0" fontId="2" fillId="0" borderId="4" xfId="0" applyFont="1" applyBorder="1"/>
    <xf numFmtId="9" fontId="2" fillId="0" borderId="0" xfId="0" applyNumberFormat="1" applyFont="1"/>
    <xf numFmtId="8" fontId="2" fillId="0" borderId="4" xfId="0" applyNumberFormat="1" applyFont="1" applyBorder="1"/>
    <xf numFmtId="8" fontId="2" fillId="0" borderId="0" xfId="0" applyNumberFormat="1" applyFont="1"/>
    <xf numFmtId="0" fontId="9" fillId="0" borderId="0" xfId="0" applyFont="1"/>
    <xf numFmtId="0" fontId="8" fillId="0" borderId="0" xfId="0" applyFont="1"/>
    <xf numFmtId="0" fontId="2" fillId="0" borderId="5" xfId="0" applyFont="1" applyBorder="1"/>
    <xf numFmtId="0" fontId="1" fillId="0" borderId="2" xfId="0" applyFont="1" applyBorder="1" applyAlignment="1">
      <alignment horizontal="right"/>
    </xf>
    <xf numFmtId="0" fontId="1" fillId="0" borderId="2" xfId="0" applyFont="1" applyBorder="1"/>
    <xf numFmtId="0" fontId="2" fillId="0" borderId="7" xfId="0" applyFont="1" applyBorder="1"/>
    <xf numFmtId="0" fontId="9" fillId="0" borderId="7" xfId="0" applyFont="1" applyBorder="1"/>
    <xf numFmtId="166" fontId="1" fillId="0" borderId="2" xfId="0" applyNumberFormat="1" applyFont="1" applyBorder="1"/>
    <xf numFmtId="166" fontId="2" fillId="0" borderId="7" xfId="0" applyNumberFormat="1" applyFont="1" applyBorder="1"/>
    <xf numFmtId="166" fontId="1" fillId="0" borderId="8" xfId="0" applyNumberFormat="1" applyFont="1" applyBorder="1"/>
    <xf numFmtId="166" fontId="1" fillId="0" borderId="0" xfId="0" applyNumberFormat="1" applyFont="1"/>
    <xf numFmtId="10" fontId="2" fillId="0" borderId="4" xfId="0" applyNumberFormat="1" applyFont="1" applyBorder="1"/>
    <xf numFmtId="10" fontId="2" fillId="0" borderId="5" xfId="0" applyNumberFormat="1" applyFont="1" applyBorder="1"/>
    <xf numFmtId="0" fontId="1" fillId="0" borderId="4" xfId="0" applyFont="1" applyBorder="1"/>
    <xf numFmtId="10" fontId="1" fillId="0" borderId="4" xfId="0" applyNumberFormat="1" applyFont="1" applyBorder="1"/>
    <xf numFmtId="8" fontId="1" fillId="0" borderId="0" xfId="0" applyNumberFormat="1" applyFont="1"/>
    <xf numFmtId="0" fontId="2" fillId="0" borderId="4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3" fontId="1" fillId="0" borderId="9" xfId="0" applyNumberFormat="1" applyFont="1" applyBorder="1"/>
    <xf numFmtId="3" fontId="1" fillId="0" borderId="2" xfId="0" applyNumberFormat="1" applyFont="1" applyBorder="1"/>
    <xf numFmtId="3" fontId="2" fillId="0" borderId="4" xfId="0" applyNumberFormat="1" applyFont="1" applyBorder="1"/>
    <xf numFmtId="3" fontId="1" fillId="0" borderId="6" xfId="0" applyNumberFormat="1" applyFont="1" applyBorder="1"/>
    <xf numFmtId="3" fontId="2" fillId="0" borderId="5" xfId="0" applyNumberFormat="1" applyFont="1" applyBorder="1"/>
    <xf numFmtId="0" fontId="2" fillId="0" borderId="0" xfId="0" applyFont="1" applyBorder="1"/>
    <xf numFmtId="10" fontId="2" fillId="0" borderId="0" xfId="0" applyNumberFormat="1" applyFont="1" applyBorder="1"/>
    <xf numFmtId="0" fontId="1" fillId="0" borderId="0" xfId="0" applyFont="1" applyBorder="1"/>
    <xf numFmtId="10" fontId="1" fillId="0" borderId="0" xfId="0" applyNumberFormat="1" applyFont="1" applyBorder="1"/>
    <xf numFmtId="166" fontId="2" fillId="0" borderId="1" xfId="0" applyNumberFormat="1" applyFont="1" applyBorder="1"/>
    <xf numFmtId="166" fontId="1" fillId="0" borderId="1" xfId="0" applyNumberFormat="1" applyFont="1" applyBorder="1"/>
    <xf numFmtId="10" fontId="4" fillId="0" borderId="0" xfId="0" applyNumberFormat="1" applyFont="1"/>
    <xf numFmtId="0" fontId="1" fillId="0" borderId="0" xfId="0" applyFont="1" applyAlignment="1">
      <alignment horizontal="right"/>
    </xf>
    <xf numFmtId="10" fontId="11" fillId="0" borderId="0" xfId="0" applyNumberFormat="1" applyFont="1"/>
    <xf numFmtId="0" fontId="9" fillId="0" borderId="4" xfId="0" applyFont="1" applyBorder="1"/>
    <xf numFmtId="3" fontId="8" fillId="0" borderId="0" xfId="0" applyNumberFormat="1" applyFont="1"/>
    <xf numFmtId="3" fontId="9" fillId="0" borderId="4" xfId="0" applyNumberFormat="1" applyFont="1" applyBorder="1"/>
    <xf numFmtId="0" fontId="2" fillId="0" borderId="2" xfId="0" applyFont="1" applyBorder="1"/>
    <xf numFmtId="10" fontId="4" fillId="0" borderId="2" xfId="0" applyNumberFormat="1" applyFont="1" applyBorder="1"/>
    <xf numFmtId="3" fontId="2" fillId="0" borderId="6" xfId="0" applyNumberFormat="1" applyFont="1" applyBorder="1"/>
    <xf numFmtId="0" fontId="9" fillId="0" borderId="2" xfId="0" applyFont="1" applyBorder="1"/>
    <xf numFmtId="3" fontId="9" fillId="0" borderId="6" xfId="0" applyNumberFormat="1" applyFont="1" applyBorder="1"/>
    <xf numFmtId="0" fontId="1" fillId="0" borderId="0" xfId="0" applyFont="1" applyBorder="1" applyAlignment="1">
      <alignment horizontal="right"/>
    </xf>
    <xf numFmtId="3" fontId="1" fillId="0" borderId="0" xfId="0" applyNumberFormat="1" applyFont="1" applyBorder="1"/>
    <xf numFmtId="10" fontId="4" fillId="0" borderId="0" xfId="0" applyNumberFormat="1" applyFont="1" applyBorder="1"/>
    <xf numFmtId="0" fontId="9" fillId="0" borderId="0" xfId="0" applyFont="1" applyBorder="1"/>
    <xf numFmtId="0" fontId="12" fillId="0" borderId="3" xfId="0" applyFont="1" applyBorder="1"/>
    <xf numFmtId="0" fontId="13" fillId="0" borderId="0" xfId="0" applyFont="1"/>
    <xf numFmtId="0" fontId="13" fillId="0" borderId="3" xfId="0" applyFont="1" applyBorder="1"/>
    <xf numFmtId="0" fontId="14" fillId="0" borderId="3" xfId="0" applyFont="1" applyBorder="1"/>
    <xf numFmtId="1" fontId="13" fillId="0" borderId="3" xfId="0" applyNumberFormat="1" applyFont="1" applyBorder="1"/>
    <xf numFmtId="1" fontId="12" fillId="0" borderId="3" xfId="0" applyNumberFormat="1" applyFont="1" applyBorder="1"/>
    <xf numFmtId="0" fontId="13" fillId="2" borderId="3" xfId="0" applyFont="1" applyFill="1" applyBorder="1"/>
    <xf numFmtId="3" fontId="13" fillId="0" borderId="3" xfId="0" applyNumberFormat="1" applyFont="1" applyBorder="1"/>
    <xf numFmtId="3" fontId="12" fillId="0" borderId="3" xfId="0" applyNumberFormat="1" applyFont="1" applyBorder="1"/>
    <xf numFmtId="3" fontId="13" fillId="2" borderId="3" xfId="0" applyNumberFormat="1" applyFont="1" applyFill="1" applyBorder="1"/>
    <xf numFmtId="3" fontId="4" fillId="0" borderId="1" xfId="0" applyNumberFormat="1" applyFont="1" applyBorder="1"/>
    <xf numFmtId="0" fontId="1" fillId="0" borderId="1" xfId="0" applyFont="1" applyBorder="1"/>
    <xf numFmtId="0" fontId="13" fillId="0" borderId="0" xfId="0" applyFont="1" applyFill="1" applyBorder="1"/>
    <xf numFmtId="1" fontId="13" fillId="0" borderId="0" xfId="0" applyNumberFormat="1" applyFont="1" applyFill="1" applyBorder="1"/>
    <xf numFmtId="0" fontId="14" fillId="0" borderId="0" xfId="0" applyFont="1" applyFill="1" applyBorder="1"/>
    <xf numFmtId="0" fontId="12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_xlchart.v1.2</cx:f>
      </cx:strDim>
      <cx:numDim type="val">
        <cx:f>_xlchart.v1.3</cx:f>
      </cx:numDim>
    </cx:data>
  </cx:chartData>
  <cx:chart>
    <cx:title pos="t" align="ctr" overlay="0">
      <cx:tx>
        <cx:txData>
          <cx:v>SOTP Afry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nb-NO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SOTP Afry</a:t>
          </a:r>
        </a:p>
      </cx:txPr>
    </cx:title>
    <cx:plotArea>
      <cx:plotAreaRegion>
        <cx:series layoutId="waterfall" uniqueId="{8C27E4B6-58CC-3145-821F-58CF4DBA90D5}">
          <cx:dataPt idx="3"/>
          <cx:dataPt idx="6">
            <cx:spPr>
              <a:solidFill>
                <a:srgbClr val="FF0000"/>
              </a:solidFill>
            </cx:spPr>
          </cx:dataPt>
          <cx:dataPt idx="8"/>
          <cx:dataLabels pos="outEnd">
            <cx:visibility seriesName="0" categoryName="0" value="1"/>
          </cx:dataLabels>
          <cx:dataId val="0"/>
          <cx:layoutPr>
            <cx:subtotals>
              <cx:idx val="3"/>
              <cx:idx val="8"/>
            </cx:subtotals>
          </cx:layoutPr>
        </cx:series>
      </cx:plotAreaRegion>
      <cx:axis id="0">
        <cx:catScaling gapWidth="0.5"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nb-NO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  <cx:axis id="1">
        <cx:valScaling/>
        <cx:title>
          <cx:tx>
            <cx:txData>
              <cx:v>SEK/Aksje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200"/>
              </a:pPr>
              <a:r>
                <a:rPr lang="nb-NO" sz="12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SEK/Aksje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100"/>
            </a:pPr>
            <a:endParaRPr lang="nb-NO" sz="11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510244</xdr:colOff>
      <xdr:row>0</xdr:row>
      <xdr:rowOff>0</xdr:rowOff>
    </xdr:from>
    <xdr:to>
      <xdr:col>10</xdr:col>
      <xdr:colOff>444500</xdr:colOff>
      <xdr:row>18</xdr:row>
      <xdr:rowOff>177800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8D85A519-C893-BF50-820A-467A00B37C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37744" y="0"/>
          <a:ext cx="4061756" cy="4521200"/>
        </a:xfrm>
        <a:prstGeom prst="rect">
          <a:avLst/>
        </a:prstGeom>
      </xdr:spPr>
    </xdr:pic>
    <xdr:clientData/>
  </xdr:twoCellAnchor>
  <xdr:twoCellAnchor editAs="oneCell">
    <xdr:from>
      <xdr:col>10</xdr:col>
      <xdr:colOff>190499</xdr:colOff>
      <xdr:row>0</xdr:row>
      <xdr:rowOff>0</xdr:rowOff>
    </xdr:from>
    <xdr:to>
      <xdr:col>25</xdr:col>
      <xdr:colOff>689882</xdr:colOff>
      <xdr:row>22</xdr:row>
      <xdr:rowOff>165100</xdr:rowOff>
    </xdr:to>
    <xdr:pic>
      <xdr:nvPicPr>
        <xdr:cNvPr id="7" name="Bilde 6">
          <a:extLst>
            <a:ext uri="{FF2B5EF4-FFF2-40B4-BE49-F238E27FC236}">
              <a16:creationId xmlns:a16="http://schemas.microsoft.com/office/drawing/2014/main" id="{F7A3C471-5F54-C670-3DEC-DCA058960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45499" y="0"/>
          <a:ext cx="12881883" cy="54737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</xdr:col>
      <xdr:colOff>508000</xdr:colOff>
      <xdr:row>18</xdr:row>
      <xdr:rowOff>76314</xdr:rowOff>
    </xdr:to>
    <xdr:pic>
      <xdr:nvPicPr>
        <xdr:cNvPr id="4" name="Bilde 3">
          <a:extLst>
            <a:ext uri="{FF2B5EF4-FFF2-40B4-BE49-F238E27FC236}">
              <a16:creationId xmlns:a16="http://schemas.microsoft.com/office/drawing/2014/main" id="{EB20D29D-102B-1CD7-3F7C-0EC9EFC62C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4670778" cy="43943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12</xdr:row>
      <xdr:rowOff>177800</xdr:rowOff>
    </xdr:from>
    <xdr:to>
      <xdr:col>7</xdr:col>
      <xdr:colOff>860778</xdr:colOff>
      <xdr:row>26</xdr:row>
      <xdr:rowOff>183445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Diagram 1">
              <a:extLst>
                <a:ext uri="{FF2B5EF4-FFF2-40B4-BE49-F238E27FC236}">
                  <a16:creationId xmlns:a16="http://schemas.microsoft.com/office/drawing/2014/main" id="{FB7ACE51-9EDE-ED25-2495-836B7C9743A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7028" y="4072467"/>
              <a:ext cx="8441972" cy="454942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nb-NO" sz="1100"/>
                <a:t>Diagrammet er ikke tilgjengelig i din versjon av Excel.
Hvis du redigerer denne figuren eller lagrer denne arbeidsboken i et annet filformat, blir diagrammet ødelagt for godt.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ACF767AF-D734-B948-9CB3-14C19E3A141E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M3" dT="2026-02-06T20:52:33.72" personId="{ACF767AF-D734-B948-9CB3-14C19E3A141E}" id="{7A9D2D91-FEE1-1247-BDF5-14594CD95985}">
    <text>CMD 2025, mål om 35 mrd i 28.
Per nå tror jeg ikke på det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52" dT="2025-08-01T18:39:53.83" personId="{ACF767AF-D734-B948-9CB3-14C19E3A141E}" id="{755FA1AF-E37E-DF47-A767-3D6CA6191572}">
    <text>Ser at Afry aldri har hatt så lave marginer inneofr en 10-årsperiode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A35"/>
  <sheetViews>
    <sheetView showGridLines="0" topLeftCell="C1" zoomScale="90" zoomScaleNormal="90" workbookViewId="0">
      <selection activeCell="L24" sqref="L24"/>
    </sheetView>
  </sheetViews>
  <sheetFormatPr baseColWidth="10" defaultRowHeight="19" x14ac:dyDescent="0.25"/>
  <cols>
    <col min="1" max="16384" width="10.83203125" style="2"/>
  </cols>
  <sheetData>
    <row r="5" spans="1:1" x14ac:dyDescent="0.25">
      <c r="A5" s="1"/>
    </row>
    <row r="6" spans="1:1" x14ac:dyDescent="0.25">
      <c r="A6" s="1"/>
    </row>
    <row r="7" spans="1:1" x14ac:dyDescent="0.25">
      <c r="A7" s="1"/>
    </row>
    <row r="8" spans="1:1" x14ac:dyDescent="0.25">
      <c r="A8" s="1"/>
    </row>
    <row r="23" spans="1:1" x14ac:dyDescent="0.25">
      <c r="A23" s="1" t="s">
        <v>97</v>
      </c>
    </row>
    <row r="24" spans="1:1" x14ac:dyDescent="0.25">
      <c r="A24" s="2" t="s">
        <v>138</v>
      </c>
    </row>
    <row r="25" spans="1:1" x14ac:dyDescent="0.25">
      <c r="A25" s="2" t="s">
        <v>139</v>
      </c>
    </row>
    <row r="26" spans="1:1" x14ac:dyDescent="0.25">
      <c r="A26" s="2" t="s">
        <v>140</v>
      </c>
    </row>
    <row r="29" spans="1:1" x14ac:dyDescent="0.25">
      <c r="A29" s="1"/>
    </row>
    <row r="30" spans="1:1" x14ac:dyDescent="0.25">
      <c r="A30" s="2" t="s">
        <v>137</v>
      </c>
    </row>
    <row r="31" spans="1:1" x14ac:dyDescent="0.25">
      <c r="A31" s="2" t="s">
        <v>123</v>
      </c>
    </row>
    <row r="32" spans="1:1" x14ac:dyDescent="0.25">
      <c r="A32" s="2" t="s">
        <v>124</v>
      </c>
    </row>
    <row r="33" spans="1:1" x14ac:dyDescent="0.25">
      <c r="A33" s="2" t="s">
        <v>125</v>
      </c>
    </row>
    <row r="34" spans="1:1" x14ac:dyDescent="0.25">
      <c r="A34" s="2" t="s">
        <v>126</v>
      </c>
    </row>
    <row r="35" spans="1:1" x14ac:dyDescent="0.25">
      <c r="A35" s="2" t="s">
        <v>127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DV79"/>
  <sheetViews>
    <sheetView showGridLines="0" tabSelected="1" workbookViewId="0">
      <pane xSplit="3" ySplit="3" topLeftCell="AN4" activePane="bottomRight" state="frozen"/>
      <selection pane="topRight" activeCell="D1" sqref="D1"/>
      <selection pane="bottomLeft" activeCell="A4" sqref="A4"/>
      <selection pane="bottomRight" activeCell="AW13" sqref="AW13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8" width="10.83203125" style="2"/>
    <col min="19" max="19" width="10.83203125" style="4"/>
    <col min="20" max="35" width="10.83203125" style="2"/>
    <col min="36" max="36" width="10.83203125" style="4"/>
    <col min="37" max="47" width="10.83203125" style="2"/>
    <col min="48" max="48" width="14.1640625" style="2" bestFit="1" customWidth="1"/>
    <col min="49" max="49" width="13.33203125" style="2" bestFit="1" customWidth="1"/>
    <col min="50" max="16384" width="10.83203125" style="2"/>
  </cols>
  <sheetData>
    <row r="1" spans="1:47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F1" s="1"/>
    </row>
    <row r="3" spans="1:47" x14ac:dyDescent="0.25">
      <c r="A3" s="1" t="s">
        <v>0</v>
      </c>
      <c r="C3" s="2" t="s">
        <v>104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39</v>
      </c>
      <c r="Q3" s="7" t="s">
        <v>33</v>
      </c>
      <c r="R3" s="7" t="s">
        <v>37</v>
      </c>
      <c r="S3" s="17" t="s">
        <v>38</v>
      </c>
      <c r="T3" s="7" t="s">
        <v>142</v>
      </c>
      <c r="U3" s="7" t="s">
        <v>147</v>
      </c>
      <c r="V3" s="7" t="s">
        <v>143</v>
      </c>
      <c r="W3" s="7" t="s">
        <v>144</v>
      </c>
      <c r="X3" s="7"/>
      <c r="Z3" s="7" t="s">
        <v>131</v>
      </c>
      <c r="AA3" s="7" t="s">
        <v>128</v>
      </c>
      <c r="AB3" s="7" t="s">
        <v>129</v>
      </c>
      <c r="AC3" s="7" t="s">
        <v>130</v>
      </c>
      <c r="AD3" s="7" t="s">
        <v>34</v>
      </c>
      <c r="AE3" s="7" t="s">
        <v>35</v>
      </c>
      <c r="AF3" s="7" t="s">
        <v>36</v>
      </c>
      <c r="AG3" s="7" t="s">
        <v>15</v>
      </c>
      <c r="AH3" s="7" t="s">
        <v>16</v>
      </c>
      <c r="AI3" s="7" t="s">
        <v>17</v>
      </c>
      <c r="AJ3" s="17" t="s">
        <v>18</v>
      </c>
      <c r="AK3" s="7" t="s">
        <v>19</v>
      </c>
      <c r="AL3" s="7" t="s">
        <v>20</v>
      </c>
      <c r="AM3" s="7" t="s">
        <v>21</v>
      </c>
      <c r="AN3" s="7" t="s">
        <v>22</v>
      </c>
      <c r="AO3" s="7" t="s">
        <v>23</v>
      </c>
      <c r="AP3" s="7" t="s">
        <v>24</v>
      </c>
      <c r="AQ3" s="7" t="s">
        <v>25</v>
      </c>
      <c r="AR3" s="7" t="s">
        <v>26</v>
      </c>
      <c r="AS3" s="7" t="s">
        <v>27</v>
      </c>
      <c r="AT3" s="7" t="s">
        <v>28</v>
      </c>
    </row>
    <row r="4" spans="1:47" x14ac:dyDescent="0.25">
      <c r="A4" s="2" t="s">
        <v>1</v>
      </c>
      <c r="B4" s="4">
        <v>135</v>
      </c>
      <c r="C4" s="1" t="s">
        <v>40</v>
      </c>
      <c r="D4" s="12">
        <v>5670</v>
      </c>
      <c r="E4" s="12">
        <v>5975</v>
      </c>
      <c r="F4" s="12">
        <v>5298</v>
      </c>
      <c r="G4" s="12">
        <v>6609</v>
      </c>
      <c r="H4" s="12">
        <v>6916</v>
      </c>
      <c r="I4" s="12">
        <v>6869</v>
      </c>
      <c r="J4" s="12">
        <v>6059</v>
      </c>
      <c r="K4" s="12">
        <v>7135</v>
      </c>
      <c r="L4" s="12">
        <v>6891</v>
      </c>
      <c r="M4" s="12">
        <v>7191</v>
      </c>
      <c r="N4" s="12">
        <v>5993</v>
      </c>
      <c r="O4" s="12">
        <v>7085</v>
      </c>
      <c r="P4" s="12">
        <v>6749</v>
      </c>
      <c r="Q4" s="12">
        <v>6674</v>
      </c>
      <c r="R4" s="12">
        <v>5687</v>
      </c>
      <c r="S4" s="13">
        <v>6647</v>
      </c>
      <c r="T4" s="12"/>
      <c r="V4" s="12"/>
      <c r="W4" s="12"/>
      <c r="X4" s="12"/>
      <c r="Y4" s="12"/>
      <c r="Z4" s="12">
        <v>9851</v>
      </c>
      <c r="AA4" s="12">
        <v>11070</v>
      </c>
      <c r="AB4" s="12">
        <v>12658</v>
      </c>
      <c r="AC4" s="12">
        <v>13975</v>
      </c>
      <c r="AD4" s="12">
        <v>19792</v>
      </c>
      <c r="AE4" s="12">
        <v>18991</v>
      </c>
      <c r="AF4" s="12">
        <v>20104</v>
      </c>
      <c r="AG4" s="12">
        <v>23552</v>
      </c>
      <c r="AH4" s="12">
        <v>26978</v>
      </c>
      <c r="AI4" s="12">
        <v>27160</v>
      </c>
      <c r="AJ4" s="13">
        <v>25757</v>
      </c>
      <c r="AK4" s="12">
        <f>AJ4*1.03</f>
        <v>26529.71</v>
      </c>
      <c r="AL4" s="12">
        <f>AK4*1.035</f>
        <v>27458.249849999997</v>
      </c>
      <c r="AM4" s="12">
        <f>AL4*1.05</f>
        <v>28831.162342499996</v>
      </c>
      <c r="AN4" s="12">
        <f t="shared" ref="AN4:AT4" si="0">AM4*1.05</f>
        <v>30272.720459624998</v>
      </c>
      <c r="AO4" s="12">
        <f t="shared" si="0"/>
        <v>31786.35648260625</v>
      </c>
      <c r="AP4" s="12">
        <f t="shared" si="0"/>
        <v>33375.674306736561</v>
      </c>
      <c r="AQ4" s="12">
        <f t="shared" si="0"/>
        <v>35044.458022073391</v>
      </c>
      <c r="AR4" s="12">
        <f t="shared" si="0"/>
        <v>36796.68092317706</v>
      </c>
      <c r="AS4" s="12">
        <f t="shared" si="0"/>
        <v>38636.514969335913</v>
      </c>
      <c r="AT4" s="12">
        <f t="shared" si="0"/>
        <v>40568.340717802712</v>
      </c>
    </row>
    <row r="5" spans="1:47" x14ac:dyDescent="0.25">
      <c r="A5" s="2" t="s">
        <v>2</v>
      </c>
      <c r="B5" s="8">
        <v>113.251741</v>
      </c>
      <c r="C5" s="2" t="s">
        <v>41</v>
      </c>
      <c r="D5" s="14">
        <v>-3612</v>
      </c>
      <c r="E5" s="14">
        <v>-3733</v>
      </c>
      <c r="F5" s="14">
        <v>-3189</v>
      </c>
      <c r="G5" s="14">
        <v>-3894</v>
      </c>
      <c r="H5" s="14">
        <v>-4027</v>
      </c>
      <c r="I5" s="14">
        <v>-4299</v>
      </c>
      <c r="J5" s="14">
        <v>-3713</v>
      </c>
      <c r="K5" s="14">
        <v>-4271</v>
      </c>
      <c r="L5" s="14">
        <v>-4198</v>
      </c>
      <c r="M5" s="14">
        <v>-4350</v>
      </c>
      <c r="N5" s="14">
        <v>-3596</v>
      </c>
      <c r="O5" s="14">
        <v>-4171</v>
      </c>
      <c r="P5" s="14">
        <v>-4195</v>
      </c>
      <c r="Q5" s="14">
        <v>-4178</v>
      </c>
      <c r="R5" s="14">
        <v>-3472</v>
      </c>
      <c r="S5" s="15">
        <v>-3972</v>
      </c>
      <c r="T5" s="14"/>
      <c r="V5" s="14"/>
      <c r="W5" s="14"/>
      <c r="X5" s="14"/>
      <c r="Y5" s="12"/>
      <c r="Z5" s="14">
        <v>-5467</v>
      </c>
      <c r="AA5" s="14">
        <v>-6139</v>
      </c>
      <c r="AB5" s="14">
        <v>-7269</v>
      </c>
      <c r="AC5" s="14">
        <v>-7996</v>
      </c>
      <c r="AD5" s="14">
        <v>-11782</v>
      </c>
      <c r="AE5" s="14">
        <v>-11860</v>
      </c>
      <c r="AF5" s="14">
        <v>-12266</v>
      </c>
      <c r="AG5" s="14">
        <v>-14428</v>
      </c>
      <c r="AH5" s="14">
        <v>-16310</v>
      </c>
      <c r="AI5" s="14">
        <v>-16315</v>
      </c>
      <c r="AJ5" s="15">
        <v>-15817</v>
      </c>
      <c r="AK5" s="14">
        <f>AK4*-0.61</f>
        <v>-16183.123099999999</v>
      </c>
      <c r="AL5" s="14">
        <f>AK5*1.035</f>
        <v>-16749.532408499999</v>
      </c>
      <c r="AM5" s="14">
        <f>AL5*1.05</f>
        <v>-17587.009028925</v>
      </c>
      <c r="AN5" s="14">
        <f t="shared" ref="AN5:AT5" si="1">AM5*1.05</f>
        <v>-18466.359480371251</v>
      </c>
      <c r="AO5" s="14">
        <f t="shared" si="1"/>
        <v>-19389.677454389814</v>
      </c>
      <c r="AP5" s="14">
        <f t="shared" si="1"/>
        <v>-20359.161327109305</v>
      </c>
      <c r="AQ5" s="14">
        <f t="shared" si="1"/>
        <v>-21377.119393464771</v>
      </c>
      <c r="AR5" s="14">
        <f t="shared" si="1"/>
        <v>-22445.975363138012</v>
      </c>
      <c r="AS5" s="14">
        <f t="shared" si="1"/>
        <v>-23568.274131294915</v>
      </c>
      <c r="AT5" s="14">
        <f t="shared" si="1"/>
        <v>-24746.687837859663</v>
      </c>
    </row>
    <row r="6" spans="1:47" x14ac:dyDescent="0.25">
      <c r="A6" s="2" t="s">
        <v>105</v>
      </c>
      <c r="B6" s="5">
        <f>B4*B5</f>
        <v>15288.985035</v>
      </c>
      <c r="C6" s="2" t="s">
        <v>145</v>
      </c>
      <c r="D6" s="14">
        <f t="shared" ref="D6:R6" si="2">SUM(D4:D5)</f>
        <v>2058</v>
      </c>
      <c r="E6" s="14">
        <f t="shared" si="2"/>
        <v>2242</v>
      </c>
      <c r="F6" s="14">
        <f t="shared" si="2"/>
        <v>2109</v>
      </c>
      <c r="G6" s="14">
        <f t="shared" si="2"/>
        <v>2715</v>
      </c>
      <c r="H6" s="14">
        <f t="shared" si="2"/>
        <v>2889</v>
      </c>
      <c r="I6" s="14">
        <f t="shared" si="2"/>
        <v>2570</v>
      </c>
      <c r="J6" s="14">
        <f t="shared" si="2"/>
        <v>2346</v>
      </c>
      <c r="K6" s="14">
        <f t="shared" si="2"/>
        <v>2864</v>
      </c>
      <c r="L6" s="14">
        <f t="shared" si="2"/>
        <v>2693</v>
      </c>
      <c r="M6" s="14">
        <f t="shared" si="2"/>
        <v>2841</v>
      </c>
      <c r="N6" s="14">
        <f t="shared" si="2"/>
        <v>2397</v>
      </c>
      <c r="O6" s="14">
        <f t="shared" si="2"/>
        <v>2914</v>
      </c>
      <c r="P6" s="14">
        <f t="shared" si="2"/>
        <v>2554</v>
      </c>
      <c r="Q6" s="14">
        <f t="shared" si="2"/>
        <v>2496</v>
      </c>
      <c r="R6" s="14">
        <f t="shared" si="2"/>
        <v>2215</v>
      </c>
      <c r="S6" s="15">
        <f>SUM(S4:S5)</f>
        <v>2675</v>
      </c>
      <c r="T6" s="14"/>
      <c r="V6" s="14"/>
      <c r="W6" s="14"/>
      <c r="X6" s="14"/>
      <c r="Y6" s="12"/>
      <c r="Z6" s="14">
        <f>SUM(Z4:Z5)</f>
        <v>4384</v>
      </c>
      <c r="AA6" s="14">
        <f t="shared" ref="AA6:AT6" si="3">SUM(AA4:AA5)</f>
        <v>4931</v>
      </c>
      <c r="AB6" s="14">
        <f t="shared" si="3"/>
        <v>5389</v>
      </c>
      <c r="AC6" s="14">
        <f t="shared" si="3"/>
        <v>5979</v>
      </c>
      <c r="AD6" s="14">
        <f t="shared" si="3"/>
        <v>8010</v>
      </c>
      <c r="AE6" s="14">
        <f t="shared" si="3"/>
        <v>7131</v>
      </c>
      <c r="AF6" s="14">
        <f t="shared" si="3"/>
        <v>7838</v>
      </c>
      <c r="AG6" s="14">
        <f t="shared" si="3"/>
        <v>9124</v>
      </c>
      <c r="AH6" s="14">
        <f t="shared" si="3"/>
        <v>10668</v>
      </c>
      <c r="AI6" s="14">
        <f t="shared" si="3"/>
        <v>10845</v>
      </c>
      <c r="AJ6" s="15">
        <f t="shared" si="3"/>
        <v>9940</v>
      </c>
      <c r="AK6" s="14">
        <f>SUM(AK4:AK5)</f>
        <v>10346.5869</v>
      </c>
      <c r="AL6" s="14">
        <f t="shared" si="3"/>
        <v>10708.717441499997</v>
      </c>
      <c r="AM6" s="14">
        <f t="shared" si="3"/>
        <v>11244.153313574996</v>
      </c>
      <c r="AN6" s="14">
        <f t="shared" si="3"/>
        <v>11806.360979253746</v>
      </c>
      <c r="AO6" s="14">
        <f t="shared" si="3"/>
        <v>12396.679028216437</v>
      </c>
      <c r="AP6" s="14">
        <f t="shared" si="3"/>
        <v>13016.512979627256</v>
      </c>
      <c r="AQ6" s="14">
        <f t="shared" si="3"/>
        <v>13667.338628608621</v>
      </c>
      <c r="AR6" s="14">
        <f t="shared" si="3"/>
        <v>14350.705560039049</v>
      </c>
      <c r="AS6" s="14">
        <f t="shared" si="3"/>
        <v>15068.240838040998</v>
      </c>
      <c r="AT6" s="14">
        <f t="shared" si="3"/>
        <v>15821.652879943049</v>
      </c>
    </row>
    <row r="7" spans="1:47" x14ac:dyDescent="0.25">
      <c r="A7" s="2" t="s">
        <v>106</v>
      </c>
      <c r="B7" s="5">
        <f>S38</f>
        <v>1378</v>
      </c>
      <c r="C7" s="2" t="s">
        <v>42</v>
      </c>
      <c r="D7" s="14">
        <v>-1116</v>
      </c>
      <c r="E7" s="14">
        <v>-1185</v>
      </c>
      <c r="F7" s="14">
        <v>-1162</v>
      </c>
      <c r="G7" s="14">
        <v>-1435</v>
      </c>
      <c r="H7" s="14">
        <v>-1407</v>
      </c>
      <c r="I7" s="14">
        <v>-1394</v>
      </c>
      <c r="J7" s="14">
        <v>-1234</v>
      </c>
      <c r="K7" s="14">
        <v>-1550</v>
      </c>
      <c r="L7" s="14">
        <v>-1337</v>
      </c>
      <c r="M7" s="14">
        <v>-1494</v>
      </c>
      <c r="N7" s="14">
        <v>-1326</v>
      </c>
      <c r="O7" s="14">
        <v>-1544</v>
      </c>
      <c r="P7" s="14">
        <v>-1317</v>
      </c>
      <c r="Q7" s="14">
        <v>-1347</v>
      </c>
      <c r="R7" s="14">
        <v>-1171</v>
      </c>
      <c r="S7" s="15">
        <v>-1454</v>
      </c>
      <c r="T7" s="14"/>
      <c r="V7" s="14"/>
      <c r="W7" s="14"/>
      <c r="X7" s="14"/>
      <c r="Y7" s="12"/>
      <c r="Z7" s="14">
        <v>-2672</v>
      </c>
      <c r="AA7" s="14">
        <v>-2944</v>
      </c>
      <c r="AB7" s="14">
        <v>-3192</v>
      </c>
      <c r="AC7" s="14">
        <v>-3547</v>
      </c>
      <c r="AD7" s="14">
        <v>-4408</v>
      </c>
      <c r="AE7" s="14">
        <v>-3811</v>
      </c>
      <c r="AF7" s="14">
        <v>-3918</v>
      </c>
      <c r="AG7" s="14">
        <v>-4897</v>
      </c>
      <c r="AH7" s="14">
        <v>-5585</v>
      </c>
      <c r="AI7" s="14">
        <v>-5701</v>
      </c>
      <c r="AJ7" s="15">
        <v>-5289</v>
      </c>
      <c r="AK7" s="14">
        <f t="shared" ref="AK7:AK8" si="4">AJ7*1.02</f>
        <v>-5394.78</v>
      </c>
      <c r="AL7" s="14">
        <f t="shared" ref="AL7:AL8" si="5">AK7*1.035</f>
        <v>-5583.5972999999994</v>
      </c>
      <c r="AM7" s="14">
        <f>AL7*1.05</f>
        <v>-5862.7771649999995</v>
      </c>
      <c r="AN7" s="14">
        <f t="shared" ref="AN7:AT7" si="6">AM7*1.05</f>
        <v>-6155.9160232499999</v>
      </c>
      <c r="AO7" s="14">
        <f t="shared" si="6"/>
        <v>-6463.7118244125004</v>
      </c>
      <c r="AP7" s="14">
        <f t="shared" si="6"/>
        <v>-6786.897415633126</v>
      </c>
      <c r="AQ7" s="14">
        <f t="shared" si="6"/>
        <v>-7126.2422864147829</v>
      </c>
      <c r="AR7" s="14">
        <f t="shared" si="6"/>
        <v>-7482.554400735522</v>
      </c>
      <c r="AS7" s="14">
        <f t="shared" si="6"/>
        <v>-7856.6821207722987</v>
      </c>
      <c r="AT7" s="14">
        <f t="shared" si="6"/>
        <v>-8249.5162268109143</v>
      </c>
    </row>
    <row r="8" spans="1:47" x14ac:dyDescent="0.25">
      <c r="A8" s="2" t="s">
        <v>107</v>
      </c>
      <c r="B8" s="5">
        <f>S43</f>
        <v>3572</v>
      </c>
      <c r="C8" s="2" t="s">
        <v>43</v>
      </c>
      <c r="D8" s="14">
        <v>-423</v>
      </c>
      <c r="E8" s="14">
        <v>-467</v>
      </c>
      <c r="F8" s="14">
        <v>-450</v>
      </c>
      <c r="G8" s="14">
        <v>-564</v>
      </c>
      <c r="H8" s="14">
        <v>-602</v>
      </c>
      <c r="I8" s="14">
        <v>-580</v>
      </c>
      <c r="J8" s="14">
        <v>-606</v>
      </c>
      <c r="K8" s="14">
        <v>-585</v>
      </c>
      <c r="L8" s="14">
        <v>-603</v>
      </c>
      <c r="M8" s="14">
        <v>-613</v>
      </c>
      <c r="N8" s="14">
        <v>-501</v>
      </c>
      <c r="O8" s="14">
        <v>-628</v>
      </c>
      <c r="P8" s="14">
        <v>-607</v>
      </c>
      <c r="Q8" s="14">
        <v>-639</v>
      </c>
      <c r="R8" s="14">
        <v>-551</v>
      </c>
      <c r="S8" s="15">
        <v>-649</v>
      </c>
      <c r="T8" s="14"/>
      <c r="V8" s="14"/>
      <c r="W8" s="14"/>
      <c r="X8" s="14"/>
      <c r="Y8" s="12"/>
      <c r="Z8" s="14">
        <f>-826-2</f>
        <v>-828</v>
      </c>
      <c r="AA8" s="14">
        <f>-917</f>
        <v>-917</v>
      </c>
      <c r="AB8" s="14">
        <v>-1066</v>
      </c>
      <c r="AC8" s="14">
        <f>-1073</f>
        <v>-1073</v>
      </c>
      <c r="AD8" s="14">
        <v>-1608</v>
      </c>
      <c r="AE8" s="14">
        <v>-1245</v>
      </c>
      <c r="AF8" s="14">
        <v>-1622</v>
      </c>
      <c r="AG8" s="14">
        <v>-1903</v>
      </c>
      <c r="AH8" s="14">
        <v>-2366</v>
      </c>
      <c r="AI8" s="14">
        <v>-2337</v>
      </c>
      <c r="AJ8" s="15">
        <v>-2446</v>
      </c>
      <c r="AK8" s="14">
        <f t="shared" si="4"/>
        <v>-2494.92</v>
      </c>
      <c r="AL8" s="14">
        <f t="shared" si="5"/>
        <v>-2582.2421999999997</v>
      </c>
      <c r="AM8" s="14">
        <f>AL8*1.05</f>
        <v>-2711.3543099999997</v>
      </c>
      <c r="AN8" s="14">
        <f t="shared" ref="AN8:AT8" si="7">AM8*1.05</f>
        <v>-2846.9220255</v>
      </c>
      <c r="AO8" s="14">
        <f t="shared" si="7"/>
        <v>-2989.2681267749999</v>
      </c>
      <c r="AP8" s="14">
        <f t="shared" si="7"/>
        <v>-3138.7315331137502</v>
      </c>
      <c r="AQ8" s="14">
        <f t="shared" si="7"/>
        <v>-3295.6681097694377</v>
      </c>
      <c r="AR8" s="14">
        <f t="shared" si="7"/>
        <v>-3460.4515152579097</v>
      </c>
      <c r="AS8" s="14">
        <f t="shared" si="7"/>
        <v>-3633.4740910208052</v>
      </c>
      <c r="AT8" s="14">
        <f t="shared" si="7"/>
        <v>-3815.1477955718456</v>
      </c>
    </row>
    <row r="9" spans="1:47" x14ac:dyDescent="0.25">
      <c r="A9" s="3" t="s">
        <v>108</v>
      </c>
      <c r="B9" s="6">
        <f>B6-B7+B8</f>
        <v>17482.985034999998</v>
      </c>
      <c r="C9" s="2" t="s">
        <v>44</v>
      </c>
      <c r="D9" s="14">
        <v>6</v>
      </c>
      <c r="E9" s="14">
        <v>12</v>
      </c>
      <c r="F9" s="14">
        <v>51</v>
      </c>
      <c r="G9" s="14">
        <v>37</v>
      </c>
      <c r="H9" s="14">
        <v>2</v>
      </c>
      <c r="I9" s="14">
        <v>-1</v>
      </c>
      <c r="J9" s="14">
        <v>4</v>
      </c>
      <c r="K9" s="14">
        <v>3</v>
      </c>
      <c r="L9" s="14">
        <v>4</v>
      </c>
      <c r="M9" s="14">
        <v>10</v>
      </c>
      <c r="N9" s="14">
        <v>6</v>
      </c>
      <c r="O9" s="14">
        <v>23</v>
      </c>
      <c r="P9" s="14">
        <v>1</v>
      </c>
      <c r="Q9" s="14">
        <v>2</v>
      </c>
      <c r="R9" s="14">
        <v>1</v>
      </c>
      <c r="S9" s="15">
        <v>9</v>
      </c>
      <c r="T9" s="14"/>
      <c r="V9" s="14"/>
      <c r="W9" s="14"/>
      <c r="X9" s="14"/>
      <c r="Y9" s="12"/>
      <c r="Z9" s="14">
        <v>0</v>
      </c>
      <c r="AA9" s="14">
        <v>10</v>
      </c>
      <c r="AB9" s="14">
        <v>1</v>
      </c>
      <c r="AC9" s="14">
        <v>-1</v>
      </c>
      <c r="AD9" s="14">
        <v>31</v>
      </c>
      <c r="AE9" s="14">
        <f>198-24+5</f>
        <v>179</v>
      </c>
      <c r="AF9" s="14">
        <f>58-1+5</f>
        <v>62</v>
      </c>
      <c r="AG9" s="14">
        <f>98+8</f>
        <v>106</v>
      </c>
      <c r="AH9" s="14">
        <v>0</v>
      </c>
      <c r="AI9" s="14">
        <f>42-8</f>
        <v>34</v>
      </c>
      <c r="AJ9" s="15">
        <v>13</v>
      </c>
      <c r="AK9" s="14">
        <f t="shared" ref="AK9" si="8">AJ9*1.05</f>
        <v>13.65</v>
      </c>
      <c r="AL9" s="14">
        <f t="shared" ref="AL9" si="9">AK9*1.05</f>
        <v>14.332500000000001</v>
      </c>
      <c r="AM9" s="14">
        <f t="shared" ref="AM9:AT9" si="10">AL9*1.075</f>
        <v>15.4074375</v>
      </c>
      <c r="AN9" s="14">
        <f t="shared" si="10"/>
        <v>16.5629953125</v>
      </c>
      <c r="AO9" s="14">
        <f t="shared" si="10"/>
        <v>17.805219960937499</v>
      </c>
      <c r="AP9" s="14">
        <f t="shared" si="10"/>
        <v>19.140611458007811</v>
      </c>
      <c r="AQ9" s="14">
        <f t="shared" si="10"/>
        <v>20.576157317358398</v>
      </c>
      <c r="AR9" s="14">
        <f t="shared" si="10"/>
        <v>22.119369116160275</v>
      </c>
      <c r="AS9" s="14">
        <f t="shared" si="10"/>
        <v>23.778321799872295</v>
      </c>
      <c r="AT9" s="14">
        <f t="shared" si="10"/>
        <v>25.561695934862716</v>
      </c>
    </row>
    <row r="10" spans="1:47" x14ac:dyDescent="0.25">
      <c r="C10" s="1" t="s">
        <v>45</v>
      </c>
      <c r="D10" s="12">
        <f t="shared" ref="D10:R10" si="11">SUM(D6:D9)</f>
        <v>525</v>
      </c>
      <c r="E10" s="12">
        <f t="shared" si="11"/>
        <v>602</v>
      </c>
      <c r="F10" s="12">
        <f t="shared" si="11"/>
        <v>548</v>
      </c>
      <c r="G10" s="12">
        <f t="shared" si="11"/>
        <v>753</v>
      </c>
      <c r="H10" s="12">
        <f t="shared" si="11"/>
        <v>882</v>
      </c>
      <c r="I10" s="12">
        <f t="shared" si="11"/>
        <v>595</v>
      </c>
      <c r="J10" s="12">
        <f t="shared" si="11"/>
        <v>510</v>
      </c>
      <c r="K10" s="12">
        <f t="shared" si="11"/>
        <v>732</v>
      </c>
      <c r="L10" s="12">
        <f t="shared" si="11"/>
        <v>757</v>
      </c>
      <c r="M10" s="12">
        <f t="shared" si="11"/>
        <v>744</v>
      </c>
      <c r="N10" s="12">
        <f t="shared" si="11"/>
        <v>576</v>
      </c>
      <c r="O10" s="12">
        <f t="shared" si="11"/>
        <v>765</v>
      </c>
      <c r="P10" s="12">
        <f t="shared" si="11"/>
        <v>631</v>
      </c>
      <c r="Q10" s="12">
        <f t="shared" si="11"/>
        <v>512</v>
      </c>
      <c r="R10" s="12">
        <f t="shared" si="11"/>
        <v>494</v>
      </c>
      <c r="S10" s="13">
        <f>SUM(S6:S9)</f>
        <v>581</v>
      </c>
      <c r="T10" s="12"/>
      <c r="V10" s="12"/>
      <c r="W10" s="12"/>
      <c r="X10" s="12"/>
      <c r="Y10" s="12"/>
      <c r="Z10" s="12">
        <f>SUM(Z6:Z9)</f>
        <v>884</v>
      </c>
      <c r="AA10" s="12">
        <f t="shared" ref="AA10:AT10" si="12">SUM(AA6:AA9)</f>
        <v>1080</v>
      </c>
      <c r="AB10" s="12">
        <f t="shared" si="12"/>
        <v>1132</v>
      </c>
      <c r="AC10" s="12">
        <f t="shared" si="12"/>
        <v>1358</v>
      </c>
      <c r="AD10" s="12">
        <f t="shared" si="12"/>
        <v>2025</v>
      </c>
      <c r="AE10" s="12">
        <f t="shared" si="12"/>
        <v>2254</v>
      </c>
      <c r="AF10" s="12">
        <f t="shared" si="12"/>
        <v>2360</v>
      </c>
      <c r="AG10" s="12">
        <f t="shared" si="12"/>
        <v>2430</v>
      </c>
      <c r="AH10" s="12">
        <f t="shared" si="12"/>
        <v>2717</v>
      </c>
      <c r="AI10" s="12">
        <f t="shared" si="12"/>
        <v>2841</v>
      </c>
      <c r="AJ10" s="13">
        <f t="shared" si="12"/>
        <v>2218</v>
      </c>
      <c r="AK10" s="12">
        <f t="shared" si="12"/>
        <v>2470.5369000000005</v>
      </c>
      <c r="AL10" s="12">
        <f t="shared" si="12"/>
        <v>2557.2104414999981</v>
      </c>
      <c r="AM10" s="12">
        <f t="shared" si="12"/>
        <v>2685.4292760749968</v>
      </c>
      <c r="AN10" s="12">
        <f t="shared" si="12"/>
        <v>2820.0859258162463</v>
      </c>
      <c r="AO10" s="12">
        <f t="shared" si="12"/>
        <v>2961.5042969898736</v>
      </c>
      <c r="AP10" s="12">
        <f t="shared" si="12"/>
        <v>3110.0246423383874</v>
      </c>
      <c r="AQ10" s="12">
        <f t="shared" si="12"/>
        <v>3266.0043897417586</v>
      </c>
      <c r="AR10" s="12">
        <f t="shared" si="12"/>
        <v>3429.8190131617771</v>
      </c>
      <c r="AS10" s="12">
        <f t="shared" si="12"/>
        <v>3601.8629480477662</v>
      </c>
      <c r="AT10" s="12">
        <f t="shared" si="12"/>
        <v>3782.5505534951517</v>
      </c>
    </row>
    <row r="11" spans="1:47" x14ac:dyDescent="0.25">
      <c r="C11" s="2" t="s">
        <v>46</v>
      </c>
      <c r="D11" s="14">
        <v>-167</v>
      </c>
      <c r="E11" s="14">
        <v>-170</v>
      </c>
      <c r="F11" s="14">
        <v>-173</v>
      </c>
      <c r="G11" s="14">
        <v>-191</v>
      </c>
      <c r="H11" s="14">
        <v>-192</v>
      </c>
      <c r="I11" s="14">
        <v>-197</v>
      </c>
      <c r="J11" s="14">
        <v>-200</v>
      </c>
      <c r="K11" s="14">
        <v>-175</v>
      </c>
      <c r="L11" s="14">
        <v>-175</v>
      </c>
      <c r="M11" s="14">
        <v>-171</v>
      </c>
      <c r="N11" s="14">
        <v>-212</v>
      </c>
      <c r="O11" s="14">
        <v>-179</v>
      </c>
      <c r="P11" s="14">
        <v>-172</v>
      </c>
      <c r="Q11" s="14">
        <v>-166</v>
      </c>
      <c r="R11" s="14">
        <v>-163</v>
      </c>
      <c r="S11" s="15">
        <v>-165</v>
      </c>
      <c r="T11" s="14"/>
      <c r="V11" s="14"/>
      <c r="W11" s="14"/>
      <c r="X11" s="14"/>
      <c r="Y11" s="12"/>
      <c r="Z11" s="14">
        <v>-45</v>
      </c>
      <c r="AA11" s="14">
        <v>-48</v>
      </c>
      <c r="AB11" s="14">
        <v>-105</v>
      </c>
      <c r="AC11" s="14">
        <v>-115</v>
      </c>
      <c r="AD11" s="14">
        <v>-657</v>
      </c>
      <c r="AE11" s="14">
        <v>-670</v>
      </c>
      <c r="AF11" s="14">
        <v>-698</v>
      </c>
      <c r="AG11" s="14">
        <v>-702</v>
      </c>
      <c r="AH11" s="14">
        <v>-780</v>
      </c>
      <c r="AI11" s="14">
        <v>-737</v>
      </c>
      <c r="AJ11" s="15">
        <v>-666</v>
      </c>
      <c r="AK11" s="14">
        <v>-500</v>
      </c>
      <c r="AL11" s="14">
        <v>-500</v>
      </c>
      <c r="AM11" s="14">
        <v>-500</v>
      </c>
      <c r="AN11" s="14">
        <v>-500</v>
      </c>
      <c r="AO11" s="14">
        <v>-500</v>
      </c>
      <c r="AP11" s="14">
        <v>-500</v>
      </c>
      <c r="AQ11" s="14">
        <v>-500</v>
      </c>
      <c r="AR11" s="14">
        <v>-500</v>
      </c>
      <c r="AS11" s="14">
        <v>-500</v>
      </c>
      <c r="AT11" s="14">
        <v>-500</v>
      </c>
    </row>
    <row r="12" spans="1:47" x14ac:dyDescent="0.25">
      <c r="C12" s="1" t="s">
        <v>47</v>
      </c>
      <c r="D12" s="12">
        <f t="shared" ref="D12:K12" si="13">SUM(D10:D11)</f>
        <v>358</v>
      </c>
      <c r="E12" s="12">
        <f t="shared" si="13"/>
        <v>432</v>
      </c>
      <c r="F12" s="12">
        <f t="shared" si="13"/>
        <v>375</v>
      </c>
      <c r="G12" s="12">
        <f t="shared" si="13"/>
        <v>562</v>
      </c>
      <c r="H12" s="12">
        <f t="shared" si="13"/>
        <v>690</v>
      </c>
      <c r="I12" s="12">
        <f t="shared" si="13"/>
        <v>398</v>
      </c>
      <c r="J12" s="12">
        <f t="shared" si="13"/>
        <v>310</v>
      </c>
      <c r="K12" s="12">
        <f t="shared" si="13"/>
        <v>557</v>
      </c>
      <c r="L12" s="12">
        <f t="shared" ref="L12:O12" si="14">SUM(L10:L11)</f>
        <v>582</v>
      </c>
      <c r="M12" s="12">
        <f t="shared" si="14"/>
        <v>573</v>
      </c>
      <c r="N12" s="12">
        <f t="shared" si="14"/>
        <v>364</v>
      </c>
      <c r="O12" s="12">
        <f t="shared" si="14"/>
        <v>586</v>
      </c>
      <c r="P12" s="12">
        <f>SUM(P10:P11)</f>
        <v>459</v>
      </c>
      <c r="Q12" s="12">
        <f>SUM(Q10:Q11)</f>
        <v>346</v>
      </c>
      <c r="R12" s="12">
        <f>SUM(R10:R11)</f>
        <v>331</v>
      </c>
      <c r="S12" s="13">
        <f>SUM(S10:S11)</f>
        <v>416</v>
      </c>
      <c r="T12" s="14"/>
      <c r="V12" s="14"/>
      <c r="W12" s="14"/>
      <c r="X12" s="14"/>
      <c r="Y12" s="12"/>
      <c r="Z12" s="12">
        <f t="shared" ref="Z12:AA12" si="15">SUM(Z10:Z11)</f>
        <v>839</v>
      </c>
      <c r="AA12" s="12">
        <f t="shared" si="15"/>
        <v>1032</v>
      </c>
      <c r="AB12" s="12">
        <f t="shared" ref="AB12:AC12" si="16">SUM(AB10:AB11)</f>
        <v>1027</v>
      </c>
      <c r="AC12" s="12">
        <f t="shared" si="16"/>
        <v>1243</v>
      </c>
      <c r="AD12" s="12">
        <f t="shared" ref="AD12:AI12" si="17">SUM(AD10:AD11)</f>
        <v>1368</v>
      </c>
      <c r="AE12" s="12">
        <f t="shared" si="17"/>
        <v>1584</v>
      </c>
      <c r="AF12" s="12">
        <f t="shared" si="17"/>
        <v>1662</v>
      </c>
      <c r="AG12" s="12">
        <f t="shared" si="17"/>
        <v>1728</v>
      </c>
      <c r="AH12" s="12">
        <f t="shared" si="17"/>
        <v>1937</v>
      </c>
      <c r="AI12" s="12">
        <f t="shared" si="17"/>
        <v>2104</v>
      </c>
      <c r="AJ12" s="13">
        <f t="shared" ref="AJ12:AT12" si="18">SUM(AJ10:AJ11)</f>
        <v>1552</v>
      </c>
      <c r="AK12" s="12">
        <f t="shared" si="18"/>
        <v>1970.5369000000005</v>
      </c>
      <c r="AL12" s="12">
        <f t="shared" si="18"/>
        <v>2057.2104414999981</v>
      </c>
      <c r="AM12" s="12">
        <f t="shared" si="18"/>
        <v>2185.4292760749968</v>
      </c>
      <c r="AN12" s="12">
        <f t="shared" si="18"/>
        <v>2320.0859258162463</v>
      </c>
      <c r="AO12" s="12">
        <f t="shared" si="18"/>
        <v>2461.5042969898736</v>
      </c>
      <c r="AP12" s="12">
        <f t="shared" si="18"/>
        <v>2610.0246423383874</v>
      </c>
      <c r="AQ12" s="12">
        <f t="shared" si="18"/>
        <v>2766.0043897417586</v>
      </c>
      <c r="AR12" s="12">
        <f t="shared" si="18"/>
        <v>2929.8190131617771</v>
      </c>
      <c r="AS12" s="12">
        <f t="shared" si="18"/>
        <v>3101.8629480477662</v>
      </c>
      <c r="AT12" s="12">
        <f t="shared" si="18"/>
        <v>3282.5505534951517</v>
      </c>
    </row>
    <row r="13" spans="1:47" x14ac:dyDescent="0.25">
      <c r="C13" s="2" t="s">
        <v>48</v>
      </c>
      <c r="D13" s="14">
        <v>-42</v>
      </c>
      <c r="E13" s="14">
        <v>-97</v>
      </c>
      <c r="F13" s="14">
        <v>-111</v>
      </c>
      <c r="G13" s="14">
        <v>-35</v>
      </c>
      <c r="H13" s="14">
        <v>-44</v>
      </c>
      <c r="I13" s="14">
        <v>-35</v>
      </c>
      <c r="J13" s="14">
        <v>-40</v>
      </c>
      <c r="K13" s="14">
        <v>-41</v>
      </c>
      <c r="L13" s="14">
        <v>-41</v>
      </c>
      <c r="M13" s="14">
        <v>-31</v>
      </c>
      <c r="N13" s="14">
        <v>-49</v>
      </c>
      <c r="O13" s="14">
        <v>-42</v>
      </c>
      <c r="P13" s="14">
        <v>-43</v>
      </c>
      <c r="Q13" s="14">
        <v>-39</v>
      </c>
      <c r="R13" s="14">
        <v>-43</v>
      </c>
      <c r="S13" s="15">
        <v>-42</v>
      </c>
      <c r="T13" s="14"/>
      <c r="V13" s="14"/>
      <c r="W13" s="14"/>
      <c r="X13" s="14"/>
      <c r="Y13" s="12"/>
      <c r="Z13" s="14">
        <v>0</v>
      </c>
      <c r="AA13" s="14">
        <v>-67</v>
      </c>
      <c r="AB13" s="14">
        <v>6</v>
      </c>
      <c r="AC13" s="14">
        <v>-40</v>
      </c>
      <c r="AD13" s="14">
        <v>-91</v>
      </c>
      <c r="AE13" s="14">
        <v>-128</v>
      </c>
      <c r="AF13" s="14">
        <v>-139</v>
      </c>
      <c r="AG13" s="14">
        <v>-285</v>
      </c>
      <c r="AH13" s="14">
        <v>-159</v>
      </c>
      <c r="AI13" s="14">
        <v>-164</v>
      </c>
      <c r="AJ13" s="15">
        <v>-167</v>
      </c>
      <c r="AK13" s="14">
        <f>AJ13*1.01</f>
        <v>-168.67</v>
      </c>
      <c r="AL13" s="14">
        <f>AK13*1.1</f>
        <v>-185.53700000000001</v>
      </c>
      <c r="AM13" s="14">
        <f t="shared" ref="AM13:AT13" si="19">AL13*1.1</f>
        <v>-204.09070000000003</v>
      </c>
      <c r="AN13" s="14">
        <f t="shared" si="19"/>
        <v>-224.49977000000004</v>
      </c>
      <c r="AO13" s="14">
        <f t="shared" si="19"/>
        <v>-246.94974700000006</v>
      </c>
      <c r="AP13" s="14">
        <f t="shared" si="19"/>
        <v>-271.6447217000001</v>
      </c>
      <c r="AQ13" s="14">
        <f t="shared" si="19"/>
        <v>-298.80919387000012</v>
      </c>
      <c r="AR13" s="14">
        <f t="shared" si="19"/>
        <v>-328.69011325700018</v>
      </c>
      <c r="AS13" s="14">
        <f t="shared" si="19"/>
        <v>-361.55912458270024</v>
      </c>
      <c r="AT13" s="14">
        <f t="shared" si="19"/>
        <v>-397.71503704097029</v>
      </c>
    </row>
    <row r="14" spans="1:47" x14ac:dyDescent="0.25">
      <c r="C14" s="1" t="s">
        <v>49</v>
      </c>
      <c r="D14" s="12">
        <f t="shared" ref="D14:K14" si="20">SUM(D12:D13)</f>
        <v>316</v>
      </c>
      <c r="E14" s="12">
        <f t="shared" si="20"/>
        <v>335</v>
      </c>
      <c r="F14" s="12">
        <f t="shared" si="20"/>
        <v>264</v>
      </c>
      <c r="G14" s="12">
        <f t="shared" si="20"/>
        <v>527</v>
      </c>
      <c r="H14" s="12">
        <f t="shared" si="20"/>
        <v>646</v>
      </c>
      <c r="I14" s="12">
        <f t="shared" si="20"/>
        <v>363</v>
      </c>
      <c r="J14" s="12">
        <f t="shared" si="20"/>
        <v>270</v>
      </c>
      <c r="K14" s="12">
        <f t="shared" si="20"/>
        <v>516</v>
      </c>
      <c r="L14" s="12">
        <f t="shared" ref="L14:O14" si="21">SUM(L12:L13)</f>
        <v>541</v>
      </c>
      <c r="M14" s="12">
        <f t="shared" si="21"/>
        <v>542</v>
      </c>
      <c r="N14" s="12">
        <f t="shared" si="21"/>
        <v>315</v>
      </c>
      <c r="O14" s="12">
        <f t="shared" si="21"/>
        <v>544</v>
      </c>
      <c r="P14" s="12">
        <f>SUM(P12:P13)</f>
        <v>416</v>
      </c>
      <c r="Q14" s="12">
        <f>SUM(Q12:Q13)</f>
        <v>307</v>
      </c>
      <c r="R14" s="12">
        <f>SUM(R12:R13)</f>
        <v>288</v>
      </c>
      <c r="S14" s="13">
        <f>SUM(S12:S13)</f>
        <v>374</v>
      </c>
      <c r="T14" s="12"/>
      <c r="V14" s="12"/>
      <c r="W14" s="12"/>
      <c r="X14" s="12"/>
      <c r="Y14" s="12"/>
      <c r="Z14" s="12">
        <f t="shared" ref="Z14:AA14" si="22">SUM(Z12:Z13)</f>
        <v>839</v>
      </c>
      <c r="AA14" s="12">
        <f t="shared" si="22"/>
        <v>965</v>
      </c>
      <c r="AB14" s="12">
        <f t="shared" ref="AB14:AC14" si="23">SUM(AB12:AB13)</f>
        <v>1033</v>
      </c>
      <c r="AC14" s="12">
        <f t="shared" si="23"/>
        <v>1203</v>
      </c>
      <c r="AD14" s="12">
        <f t="shared" ref="AD14:AI14" si="24">SUM(AD12:AD13)</f>
        <v>1277</v>
      </c>
      <c r="AE14" s="12">
        <f t="shared" si="24"/>
        <v>1456</v>
      </c>
      <c r="AF14" s="12">
        <f t="shared" si="24"/>
        <v>1523</v>
      </c>
      <c r="AG14" s="12">
        <f t="shared" si="24"/>
        <v>1443</v>
      </c>
      <c r="AH14" s="12">
        <f t="shared" si="24"/>
        <v>1778</v>
      </c>
      <c r="AI14" s="12">
        <f t="shared" si="24"/>
        <v>1940</v>
      </c>
      <c r="AJ14" s="13">
        <f t="shared" ref="AJ14:AT14" si="25">SUM(AJ12:AJ13)</f>
        <v>1385</v>
      </c>
      <c r="AK14" s="12">
        <f t="shared" si="25"/>
        <v>1801.8669000000004</v>
      </c>
      <c r="AL14" s="12">
        <f t="shared" si="25"/>
        <v>1871.673441499998</v>
      </c>
      <c r="AM14" s="12">
        <f t="shared" si="25"/>
        <v>1981.3385760749968</v>
      </c>
      <c r="AN14" s="12">
        <f t="shared" si="25"/>
        <v>2095.5861558162464</v>
      </c>
      <c r="AO14" s="12">
        <f t="shared" si="25"/>
        <v>2214.5545499898735</v>
      </c>
      <c r="AP14" s="12">
        <f t="shared" si="25"/>
        <v>2338.3799206383874</v>
      </c>
      <c r="AQ14" s="12">
        <f t="shared" si="25"/>
        <v>2467.1951958717586</v>
      </c>
      <c r="AR14" s="12">
        <f t="shared" si="25"/>
        <v>2601.128899904777</v>
      </c>
      <c r="AS14" s="12">
        <f t="shared" si="25"/>
        <v>2740.3038234650658</v>
      </c>
      <c r="AT14" s="12">
        <f t="shared" si="25"/>
        <v>2884.8355164541813</v>
      </c>
    </row>
    <row r="15" spans="1:47" x14ac:dyDescent="0.25">
      <c r="C15" s="2" t="s">
        <v>50</v>
      </c>
      <c r="D15" s="14">
        <v>-27</v>
      </c>
      <c r="E15" s="14">
        <v>-98</v>
      </c>
      <c r="F15" s="14">
        <v>-47</v>
      </c>
      <c r="G15" s="14">
        <v>-52</v>
      </c>
      <c r="H15" s="14">
        <v>-77</v>
      </c>
      <c r="I15" s="14">
        <v>-76</v>
      </c>
      <c r="J15" s="14">
        <v>-74</v>
      </c>
      <c r="K15" s="14">
        <v>-69</v>
      </c>
      <c r="L15" s="14">
        <v>-69</v>
      </c>
      <c r="M15" s="14">
        <v>-68</v>
      </c>
      <c r="N15" s="14">
        <v>-111</v>
      </c>
      <c r="O15" s="14">
        <v>-56</v>
      </c>
      <c r="P15" s="14">
        <v>-81</v>
      </c>
      <c r="Q15" s="14">
        <v>-82</v>
      </c>
      <c r="R15" s="14">
        <v>-86</v>
      </c>
      <c r="S15" s="15">
        <f>54-131</f>
        <v>-77</v>
      </c>
      <c r="Y15" s="12"/>
      <c r="Z15" s="14">
        <v>-40</v>
      </c>
      <c r="AA15" s="14">
        <v>-42</v>
      </c>
      <c r="AB15" s="14">
        <v>-76</v>
      </c>
      <c r="AC15" s="14">
        <v>-99</v>
      </c>
      <c r="AD15" s="14">
        <v>-237</v>
      </c>
      <c r="AE15" s="14">
        <v>-185</v>
      </c>
      <c r="AF15" s="14">
        <v>-129</v>
      </c>
      <c r="AG15" s="14">
        <v>-224</v>
      </c>
      <c r="AH15" s="14">
        <v>-337</v>
      </c>
      <c r="AI15" s="14">
        <v>-305</v>
      </c>
      <c r="AJ15" s="15">
        <v>-326</v>
      </c>
      <c r="AK15" s="14">
        <f>AJ15*1.05</f>
        <v>-342.3</v>
      </c>
      <c r="AL15" s="14">
        <f>AK15*1.1</f>
        <v>-376.53000000000003</v>
      </c>
      <c r="AM15" s="14">
        <f t="shared" ref="AM15:AT15" si="26">AL15*1.1</f>
        <v>-414.18300000000005</v>
      </c>
      <c r="AN15" s="14">
        <f t="shared" si="26"/>
        <v>-455.60130000000009</v>
      </c>
      <c r="AO15" s="14">
        <f t="shared" si="26"/>
        <v>-501.16143000000017</v>
      </c>
      <c r="AP15" s="14">
        <f t="shared" si="26"/>
        <v>-551.27757300000019</v>
      </c>
      <c r="AQ15" s="14">
        <f t="shared" si="26"/>
        <v>-606.40533030000029</v>
      </c>
      <c r="AR15" s="14">
        <f t="shared" si="26"/>
        <v>-667.04586333000032</v>
      </c>
      <c r="AS15" s="14">
        <f t="shared" si="26"/>
        <v>-733.75044966300038</v>
      </c>
      <c r="AT15" s="14">
        <f t="shared" si="26"/>
        <v>-807.12549462930053</v>
      </c>
    </row>
    <row r="16" spans="1:47" x14ac:dyDescent="0.25">
      <c r="C16" s="2" t="s">
        <v>51</v>
      </c>
      <c r="D16" s="14">
        <f t="shared" ref="D16:K16" si="27">SUM(D14:D15)</f>
        <v>289</v>
      </c>
      <c r="E16" s="14">
        <f t="shared" si="27"/>
        <v>237</v>
      </c>
      <c r="F16" s="14">
        <f t="shared" si="27"/>
        <v>217</v>
      </c>
      <c r="G16" s="14">
        <f t="shared" si="27"/>
        <v>475</v>
      </c>
      <c r="H16" s="14">
        <f t="shared" si="27"/>
        <v>569</v>
      </c>
      <c r="I16" s="14">
        <f t="shared" si="27"/>
        <v>287</v>
      </c>
      <c r="J16" s="14">
        <f t="shared" si="27"/>
        <v>196</v>
      </c>
      <c r="K16" s="14">
        <f t="shared" si="27"/>
        <v>447</v>
      </c>
      <c r="L16" s="14">
        <f t="shared" ref="L16:O16" si="28">SUM(L14:L15)</f>
        <v>472</v>
      </c>
      <c r="M16" s="14">
        <f t="shared" si="28"/>
        <v>474</v>
      </c>
      <c r="N16" s="14">
        <f t="shared" si="28"/>
        <v>204</v>
      </c>
      <c r="O16" s="14">
        <f t="shared" si="28"/>
        <v>488</v>
      </c>
      <c r="P16" s="14">
        <f>SUM(P14:P15)</f>
        <v>335</v>
      </c>
      <c r="Q16" s="14">
        <f>SUM(Q14:Q15)</f>
        <v>225</v>
      </c>
      <c r="R16" s="14">
        <f>SUM(R14:R15)</f>
        <v>202</v>
      </c>
      <c r="S16" s="15">
        <f>SUM(S14:S15)</f>
        <v>297</v>
      </c>
      <c r="T16" s="14"/>
      <c r="V16" s="14"/>
      <c r="W16" s="14"/>
      <c r="X16" s="14"/>
      <c r="Y16" s="12"/>
      <c r="Z16" s="14">
        <f t="shared" ref="Z16:AA16" si="29">SUM(Z14:Z15)</f>
        <v>799</v>
      </c>
      <c r="AA16" s="14">
        <f t="shared" si="29"/>
        <v>923</v>
      </c>
      <c r="AB16" s="14">
        <f t="shared" ref="AB16:AC16" si="30">SUM(AB14:AB15)</f>
        <v>957</v>
      </c>
      <c r="AC16" s="14">
        <f t="shared" si="30"/>
        <v>1104</v>
      </c>
      <c r="AD16" s="14">
        <f t="shared" ref="AD16:AI16" si="31">SUM(AD14:AD15)</f>
        <v>1040</v>
      </c>
      <c r="AE16" s="14">
        <f t="shared" si="31"/>
        <v>1271</v>
      </c>
      <c r="AF16" s="14">
        <f t="shared" si="31"/>
        <v>1394</v>
      </c>
      <c r="AG16" s="14">
        <f t="shared" si="31"/>
        <v>1219</v>
      </c>
      <c r="AH16" s="14">
        <f t="shared" si="31"/>
        <v>1441</v>
      </c>
      <c r="AI16" s="14">
        <f t="shared" si="31"/>
        <v>1635</v>
      </c>
      <c r="AJ16" s="15">
        <f t="shared" ref="AJ16:AT16" si="32">SUM(AJ14:AJ15)</f>
        <v>1059</v>
      </c>
      <c r="AK16" s="14">
        <f t="shared" si="32"/>
        <v>1459.5669000000005</v>
      </c>
      <c r="AL16" s="14">
        <f t="shared" si="32"/>
        <v>1495.1434414999981</v>
      </c>
      <c r="AM16" s="14">
        <f t="shared" si="32"/>
        <v>1567.1555760749968</v>
      </c>
      <c r="AN16" s="14">
        <f t="shared" si="32"/>
        <v>1639.9848558162464</v>
      </c>
      <c r="AO16" s="14">
        <f t="shared" si="32"/>
        <v>1713.3931199898734</v>
      </c>
      <c r="AP16" s="14">
        <f t="shared" si="32"/>
        <v>1787.1023476383871</v>
      </c>
      <c r="AQ16" s="14">
        <f t="shared" si="32"/>
        <v>1860.7898655717584</v>
      </c>
      <c r="AR16" s="14">
        <f t="shared" si="32"/>
        <v>1934.0830365747765</v>
      </c>
      <c r="AS16" s="14">
        <f t="shared" si="32"/>
        <v>2006.5533738020654</v>
      </c>
      <c r="AT16" s="14">
        <f t="shared" si="32"/>
        <v>2077.7100218248806</v>
      </c>
      <c r="AU16" s="14"/>
    </row>
    <row r="17" spans="3:126" x14ac:dyDescent="0.25">
      <c r="C17" s="2" t="s">
        <v>52</v>
      </c>
      <c r="D17" s="14">
        <v>-67</v>
      </c>
      <c r="E17" s="14">
        <v>-63</v>
      </c>
      <c r="F17" s="14">
        <v>-39</v>
      </c>
      <c r="G17" s="14">
        <v>-77</v>
      </c>
      <c r="H17" s="14">
        <v>-133</v>
      </c>
      <c r="I17" s="14">
        <v>-86</v>
      </c>
      <c r="J17" s="14">
        <v>-46</v>
      </c>
      <c r="K17" s="14">
        <v>-117</v>
      </c>
      <c r="L17" s="14">
        <v>-117</v>
      </c>
      <c r="M17" s="14">
        <v>-96</v>
      </c>
      <c r="N17" s="14">
        <v>-55</v>
      </c>
      <c r="O17" s="14">
        <v>-134</v>
      </c>
      <c r="P17" s="14">
        <v>-84</v>
      </c>
      <c r="Q17" s="14">
        <v>-31</v>
      </c>
      <c r="R17" s="14">
        <v>-65</v>
      </c>
      <c r="S17" s="15">
        <v>-77</v>
      </c>
      <c r="T17" s="14"/>
      <c r="V17" s="14"/>
      <c r="W17" s="14"/>
      <c r="X17" s="14"/>
      <c r="Y17" s="12"/>
      <c r="Z17" s="14">
        <v>-190</v>
      </c>
      <c r="AA17" s="14">
        <v>-212</v>
      </c>
      <c r="AB17" s="14">
        <v>-215</v>
      </c>
      <c r="AC17" s="14">
        <v>-253</v>
      </c>
      <c r="AD17" s="14">
        <v>-219</v>
      </c>
      <c r="AE17" s="14">
        <v>-279</v>
      </c>
      <c r="AF17" s="14">
        <v>-264</v>
      </c>
      <c r="AG17" s="14">
        <v>-246</v>
      </c>
      <c r="AH17" s="14">
        <v>-341</v>
      </c>
      <c r="AI17" s="14">
        <v>-401</v>
      </c>
      <c r="AJ17" s="15">
        <v>-257</v>
      </c>
      <c r="AK17" s="14">
        <f t="shared" ref="AK17:AT17" si="33">AK16*-0.2</f>
        <v>-291.91338000000013</v>
      </c>
      <c r="AL17" s="14">
        <f t="shared" si="33"/>
        <v>-299.0286882999996</v>
      </c>
      <c r="AM17" s="14">
        <f t="shared" si="33"/>
        <v>-313.43111521499941</v>
      </c>
      <c r="AN17" s="14">
        <f t="shared" si="33"/>
        <v>-327.99697116324933</v>
      </c>
      <c r="AO17" s="14">
        <f t="shared" si="33"/>
        <v>-342.67862399797468</v>
      </c>
      <c r="AP17" s="14">
        <f t="shared" si="33"/>
        <v>-357.42046952767743</v>
      </c>
      <c r="AQ17" s="14">
        <f t="shared" si="33"/>
        <v>-372.15797311435171</v>
      </c>
      <c r="AR17" s="14">
        <f t="shared" si="33"/>
        <v>-386.81660731495532</v>
      </c>
      <c r="AS17" s="14">
        <f t="shared" si="33"/>
        <v>-401.31067476041312</v>
      </c>
      <c r="AT17" s="14">
        <f t="shared" si="33"/>
        <v>-415.54200436497615</v>
      </c>
    </row>
    <row r="18" spans="3:126" x14ac:dyDescent="0.25">
      <c r="C18" s="1" t="s">
        <v>53</v>
      </c>
      <c r="D18" s="12">
        <f t="shared" ref="D18:K18" si="34">SUM(D16:D17)</f>
        <v>222</v>
      </c>
      <c r="E18" s="12">
        <f t="shared" si="34"/>
        <v>174</v>
      </c>
      <c r="F18" s="12">
        <f t="shared" si="34"/>
        <v>178</v>
      </c>
      <c r="G18" s="12">
        <f t="shared" si="34"/>
        <v>398</v>
      </c>
      <c r="H18" s="12">
        <f t="shared" si="34"/>
        <v>436</v>
      </c>
      <c r="I18" s="12">
        <f t="shared" si="34"/>
        <v>201</v>
      </c>
      <c r="J18" s="12">
        <f t="shared" si="34"/>
        <v>150</v>
      </c>
      <c r="K18" s="12">
        <f t="shared" si="34"/>
        <v>330</v>
      </c>
      <c r="L18" s="12">
        <f t="shared" ref="L18:O18" si="35">SUM(L16:L17)</f>
        <v>355</v>
      </c>
      <c r="M18" s="12">
        <f t="shared" si="35"/>
        <v>378</v>
      </c>
      <c r="N18" s="12">
        <f t="shared" si="35"/>
        <v>149</v>
      </c>
      <c r="O18" s="12">
        <f t="shared" si="35"/>
        <v>354</v>
      </c>
      <c r="P18" s="12">
        <f>SUM(P16:P17)</f>
        <v>251</v>
      </c>
      <c r="Q18" s="12">
        <f>SUM(Q16:Q17)</f>
        <v>194</v>
      </c>
      <c r="R18" s="12">
        <f>SUM(R16:R17)</f>
        <v>137</v>
      </c>
      <c r="S18" s="13">
        <f>SUM(S16:S17)</f>
        <v>220</v>
      </c>
      <c r="T18" s="12"/>
      <c r="V18" s="12"/>
      <c r="W18" s="12"/>
      <c r="X18" s="12"/>
      <c r="Y18" s="12"/>
      <c r="Z18" s="12">
        <f t="shared" ref="Z18:AA18" si="36">SUM(Z16:Z17)</f>
        <v>609</v>
      </c>
      <c r="AA18" s="12">
        <f t="shared" si="36"/>
        <v>711</v>
      </c>
      <c r="AB18" s="12">
        <f t="shared" ref="AB18:AC18" si="37">SUM(AB16:AB17)</f>
        <v>742</v>
      </c>
      <c r="AC18" s="12">
        <f t="shared" si="37"/>
        <v>851</v>
      </c>
      <c r="AD18" s="12">
        <f t="shared" ref="AD18:AI18" si="38">SUM(AD16:AD17)</f>
        <v>821</v>
      </c>
      <c r="AE18" s="12">
        <f t="shared" si="38"/>
        <v>992</v>
      </c>
      <c r="AF18" s="12">
        <f t="shared" si="38"/>
        <v>1130</v>
      </c>
      <c r="AG18" s="12">
        <f t="shared" si="38"/>
        <v>973</v>
      </c>
      <c r="AH18" s="12">
        <f t="shared" si="38"/>
        <v>1100</v>
      </c>
      <c r="AI18" s="12">
        <f t="shared" si="38"/>
        <v>1234</v>
      </c>
      <c r="AJ18" s="13">
        <f t="shared" ref="AJ18:AT18" si="39">SUM(AJ16:AJ17)</f>
        <v>802</v>
      </c>
      <c r="AK18" s="12">
        <f t="shared" si="39"/>
        <v>1167.6535200000003</v>
      </c>
      <c r="AL18" s="12">
        <f t="shared" si="39"/>
        <v>1196.1147531999984</v>
      </c>
      <c r="AM18" s="12">
        <f t="shared" si="39"/>
        <v>1253.7244608599974</v>
      </c>
      <c r="AN18" s="12">
        <f t="shared" si="39"/>
        <v>1311.9878846529971</v>
      </c>
      <c r="AO18" s="12">
        <f t="shared" si="39"/>
        <v>1370.7144959918987</v>
      </c>
      <c r="AP18" s="12">
        <f t="shared" si="39"/>
        <v>1429.6818781107097</v>
      </c>
      <c r="AQ18" s="12">
        <f t="shared" si="39"/>
        <v>1488.6318924574066</v>
      </c>
      <c r="AR18" s="12">
        <f t="shared" si="39"/>
        <v>1547.2664292598213</v>
      </c>
      <c r="AS18" s="12">
        <f t="shared" si="39"/>
        <v>1605.2426990416523</v>
      </c>
      <c r="AT18" s="12">
        <f t="shared" si="39"/>
        <v>1662.1680174599046</v>
      </c>
      <c r="AU18" s="12">
        <f>AT18*(1+$AW$22)</f>
        <v>1645.5463372853055</v>
      </c>
      <c r="AV18" s="12">
        <f>AU18*(1+$AW$22)</f>
        <v>1629.0908739124525</v>
      </c>
      <c r="AW18" s="12">
        <f>AV18*(1+$AW$22)</f>
        <v>1612.799965173328</v>
      </c>
      <c r="AX18" s="12">
        <f>AW18*(1+$AW$22)</f>
        <v>1596.6719655215948</v>
      </c>
      <c r="AY18" s="12">
        <f>AX18*(1+$AW$22)</f>
        <v>1580.7052458663788</v>
      </c>
      <c r="AZ18" s="12">
        <f>AY18*(1+$AW$22)</f>
        <v>1564.8981934077151</v>
      </c>
      <c r="BA18" s="12">
        <f>AZ18*(1+$AW$22)</f>
        <v>1549.2492114736378</v>
      </c>
      <c r="BB18" s="12">
        <f>BA18*(1+$AW$22)</f>
        <v>1533.7567193589014</v>
      </c>
      <c r="BC18" s="12">
        <f>BB18*(1+$AW$22)</f>
        <v>1518.4191521653124</v>
      </c>
      <c r="BD18" s="12">
        <f>BC18*(1+$AW$22)</f>
        <v>1503.2349606436592</v>
      </c>
      <c r="BE18" s="12">
        <f>BD18*(1+$AW$22)</f>
        <v>1488.2026110372226</v>
      </c>
      <c r="BF18" s="12">
        <f>BE18*(1+$AW$22)</f>
        <v>1473.3205849268504</v>
      </c>
      <c r="BG18" s="12">
        <f>BF18*(1+$AW$22)</f>
        <v>1458.587379077582</v>
      </c>
      <c r="BH18" s="12">
        <f>BG18*(1+$AW$22)</f>
        <v>1444.0015052868062</v>
      </c>
      <c r="BI18" s="12">
        <f>BH18*(1+$AW$22)</f>
        <v>1429.561490233938</v>
      </c>
      <c r="BJ18" s="12">
        <f>BI18*(1+$AW$22)</f>
        <v>1415.2658753315986</v>
      </c>
      <c r="BK18" s="12">
        <f>BJ18*(1+$AW$22)</f>
        <v>1401.1132165782826</v>
      </c>
      <c r="BL18" s="12">
        <f>BK18*(1+$AW$22)</f>
        <v>1387.1020844124998</v>
      </c>
      <c r="BM18" s="12">
        <f>BL18*(1+$AW$22)</f>
        <v>1373.2310635683748</v>
      </c>
      <c r="BN18" s="12">
        <f>BM18*(1+$AW$22)</f>
        <v>1359.4987529326911</v>
      </c>
      <c r="BO18" s="12">
        <f>BN18*(1+$AW$22)</f>
        <v>1345.9037654033641</v>
      </c>
      <c r="BP18" s="12">
        <f>BO18*(1+$AW$22)</f>
        <v>1332.4447277493305</v>
      </c>
      <c r="BQ18" s="12">
        <f>BP18*(1+$AW$22)</f>
        <v>1319.1202804718371</v>
      </c>
      <c r="BR18" s="12">
        <f>BQ18*(1+$AW$22)</f>
        <v>1305.9290776671187</v>
      </c>
      <c r="BS18" s="12">
        <f>BR18*(1+$AW$22)</f>
        <v>1292.8697868904476</v>
      </c>
      <c r="BT18" s="12">
        <f>BS18*(1+$AW$22)</f>
        <v>1279.9410890215431</v>
      </c>
      <c r="BU18" s="12">
        <f>BT18*(1+$AW$22)</f>
        <v>1267.1416781313276</v>
      </c>
      <c r="BV18" s="12">
        <f>BU18*(1+$AW$22)</f>
        <v>1254.4702613500142</v>
      </c>
      <c r="BW18" s="12">
        <f>BV18*(1+$AW$22)</f>
        <v>1241.9255587365139</v>
      </c>
      <c r="BX18" s="12">
        <f>BW18*(1+$AW$22)</f>
        <v>1229.5063031491488</v>
      </c>
      <c r="BY18" s="12">
        <f>BX18*(1+$AW$22)</f>
        <v>1217.2112401176573</v>
      </c>
      <c r="BZ18" s="12">
        <f>BY18*(1+$AW$22)</f>
        <v>1205.0391277164808</v>
      </c>
      <c r="CA18" s="12">
        <f>BZ18*(1+$AW$22)</f>
        <v>1192.988736439316</v>
      </c>
      <c r="CB18" s="12">
        <f>CA18*(1+$AW$22)</f>
        <v>1181.0588490749228</v>
      </c>
      <c r="CC18" s="12">
        <f>CB18*(1+$AW$22)</f>
        <v>1169.2482605841735</v>
      </c>
      <c r="CD18" s="12">
        <f>CC18*(1+$AW$22)</f>
        <v>1157.5557779783319</v>
      </c>
      <c r="CE18" s="12">
        <f>CD18*(1+$AW$22)</f>
        <v>1145.9802201985485</v>
      </c>
      <c r="CF18" s="12">
        <f>CE18*(1+$AW$22)</f>
        <v>1134.5204179965631</v>
      </c>
      <c r="CG18" s="12">
        <f>CF18*(1+$AW$22)</f>
        <v>1123.1752138165975</v>
      </c>
      <c r="CH18" s="12">
        <f>CG18*(1+$AW$22)</f>
        <v>1111.9434616784315</v>
      </c>
      <c r="CI18" s="12">
        <f>CH18*(1+$AW$22)</f>
        <v>1100.8240270616473</v>
      </c>
      <c r="CJ18" s="12">
        <f>CI18*(1+$AW$22)</f>
        <v>1089.8157867910309</v>
      </c>
      <c r="CK18" s="12">
        <f>CJ18*(1+$AW$22)</f>
        <v>1078.9176289231204</v>
      </c>
      <c r="CL18" s="12">
        <f>CK18*(1+$AW$22)</f>
        <v>1068.1284526338893</v>
      </c>
      <c r="CM18" s="12">
        <f>CL18*(1+$AW$22)</f>
        <v>1057.4471681075504</v>
      </c>
      <c r="CN18" s="12">
        <f>CM18*(1+$AW$22)</f>
        <v>1046.8726964264749</v>
      </c>
      <c r="CO18" s="12">
        <f>CN18*(1+$AW$22)</f>
        <v>1036.4039694622102</v>
      </c>
      <c r="CP18" s="12">
        <f>CO18*(1+$AW$22)</f>
        <v>1026.0399297675881</v>
      </c>
      <c r="CQ18" s="12">
        <f>CP18*(1+$AW$22)</f>
        <v>1015.7795304699122</v>
      </c>
      <c r="CR18" s="12">
        <f>CQ18*(1+$AW$22)</f>
        <v>1005.6217351652131</v>
      </c>
      <c r="CS18" s="12">
        <f>CR18*(1+$AW$22)</f>
        <v>995.56551781356097</v>
      </c>
      <c r="CT18" s="12">
        <f>CS18*(1+$AW$22)</f>
        <v>985.60986263542532</v>
      </c>
      <c r="CU18" s="12">
        <f>CT18*(1+$AW$22)</f>
        <v>975.75376400907101</v>
      </c>
      <c r="CV18" s="12">
        <f>CU18*(1+$AW$22)</f>
        <v>965.99622636898027</v>
      </c>
      <c r="CW18" s="12">
        <f>CV18*(1+$AW$22)</f>
        <v>956.33626410529041</v>
      </c>
      <c r="CX18" s="12">
        <f>CW18*(1+$AW$22)</f>
        <v>946.77290146423752</v>
      </c>
      <c r="CY18" s="12">
        <f>CX18*(1+$AW$22)</f>
        <v>937.30517244959515</v>
      </c>
      <c r="CZ18" s="12">
        <f>CY18*(1+$AW$22)</f>
        <v>927.93212072509914</v>
      </c>
      <c r="DA18" s="12">
        <f>CZ18*(1+$AW$22)</f>
        <v>918.65279951784817</v>
      </c>
      <c r="DB18" s="12">
        <f>DA18*(1+$AW$22)</f>
        <v>909.46627152266967</v>
      </c>
      <c r="DC18" s="12">
        <f>DB18*(1+$AW$22)</f>
        <v>900.37160880744295</v>
      </c>
      <c r="DD18" s="12">
        <f>DC18*(1+$AW$22)</f>
        <v>891.36789271936857</v>
      </c>
      <c r="DE18" s="12">
        <f>DD18*(1+$AW$22)</f>
        <v>882.45421379217487</v>
      </c>
      <c r="DF18" s="12">
        <f>DE18*(1+$AW$22)</f>
        <v>873.62967165425312</v>
      </c>
      <c r="DG18" s="12">
        <f>DF18*(1+$AW$22)</f>
        <v>864.89337493771063</v>
      </c>
      <c r="DH18" s="12">
        <f>DG18*(1+$AW$22)</f>
        <v>856.24444118833355</v>
      </c>
      <c r="DI18" s="12">
        <f>DH18*(1+$AW$22)</f>
        <v>847.68199677645021</v>
      </c>
      <c r="DJ18" s="12">
        <f>DI18*(1+$AW$22)</f>
        <v>839.20517680868568</v>
      </c>
      <c r="DK18" s="12">
        <f>DJ18*(1+$AW$22)</f>
        <v>830.81312504059883</v>
      </c>
      <c r="DL18" s="12">
        <f>DK18*(1+$AW$22)</f>
        <v>822.50499379019288</v>
      </c>
      <c r="DM18" s="12">
        <f>DL18*(1+$AW$22)</f>
        <v>814.2799438522909</v>
      </c>
      <c r="DN18" s="12">
        <f>DM18*(1+$AW$22)</f>
        <v>806.13714441376794</v>
      </c>
      <c r="DO18" s="12">
        <f>DN18*(1+$AW$22)</f>
        <v>798.07577296963029</v>
      </c>
      <c r="DP18" s="12">
        <f>DO18*(1+$AW$22)</f>
        <v>790.09501523993401</v>
      </c>
      <c r="DQ18" s="12">
        <f>DP18*(1+$AW$22)</f>
        <v>782.19406508753468</v>
      </c>
      <c r="DR18" s="12">
        <f>DQ18*(1+$AW$22)</f>
        <v>774.37212443665931</v>
      </c>
      <c r="DS18" s="12">
        <f>DR18*(1+$AW$22)</f>
        <v>766.62840319229269</v>
      </c>
      <c r="DT18" s="12">
        <f>DS18*(1+$AW$22)</f>
        <v>758.96211916036975</v>
      </c>
      <c r="DU18" s="12">
        <f>DT18*(1+$AW$22)</f>
        <v>751.37249796876608</v>
      </c>
      <c r="DV18" s="12">
        <f>DU18*(1+$AW$22)</f>
        <v>743.85877298907837</v>
      </c>
    </row>
    <row r="19" spans="3:126" x14ac:dyDescent="0.25">
      <c r="C19" s="2" t="s">
        <v>54</v>
      </c>
      <c r="D19" s="9">
        <v>113.251741</v>
      </c>
      <c r="E19" s="9">
        <v>113.251741</v>
      </c>
      <c r="F19" s="9">
        <v>113.251741</v>
      </c>
      <c r="G19" s="9">
        <v>113.251741</v>
      </c>
      <c r="H19" s="9">
        <v>113.251741</v>
      </c>
      <c r="I19" s="9">
        <v>113.251741</v>
      </c>
      <c r="J19" s="9">
        <v>113.251741</v>
      </c>
      <c r="K19" s="9">
        <v>113.251741</v>
      </c>
      <c r="L19" s="9">
        <v>113.251741</v>
      </c>
      <c r="M19" s="9">
        <v>113.251741</v>
      </c>
      <c r="N19" s="9">
        <v>113.251741</v>
      </c>
      <c r="O19" s="9">
        <v>113.251741</v>
      </c>
      <c r="P19" s="9">
        <v>113.251741</v>
      </c>
      <c r="Q19" s="9">
        <v>113.251741</v>
      </c>
      <c r="R19" s="9">
        <v>113.251741</v>
      </c>
      <c r="S19" s="8">
        <v>113.251741</v>
      </c>
      <c r="Y19" s="9"/>
      <c r="Z19" s="9">
        <v>79.931532000000004</v>
      </c>
      <c r="AA19" s="9">
        <v>80.220365999999999</v>
      </c>
      <c r="AB19" s="9">
        <v>80.169882000000001</v>
      </c>
      <c r="AC19" s="9">
        <v>80.021396999999993</v>
      </c>
      <c r="AD19" s="9">
        <v>113.251741</v>
      </c>
      <c r="AE19" s="9">
        <v>113.251741</v>
      </c>
      <c r="AF19" s="9">
        <v>113.251741</v>
      </c>
      <c r="AG19" s="9">
        <v>113.251741</v>
      </c>
      <c r="AH19" s="9">
        <v>113.251741</v>
      </c>
      <c r="AI19" s="9">
        <v>113.251741</v>
      </c>
      <c r="AJ19" s="8">
        <v>113.251741</v>
      </c>
      <c r="AK19" s="9">
        <v>113.251741</v>
      </c>
      <c r="AL19" s="9">
        <v>113.251741</v>
      </c>
      <c r="AM19" s="9">
        <v>113.251741</v>
      </c>
      <c r="AN19" s="9">
        <v>113.251741</v>
      </c>
      <c r="AO19" s="9">
        <v>113.251741</v>
      </c>
      <c r="AP19" s="9">
        <v>113.251741</v>
      </c>
      <c r="AQ19" s="9">
        <v>113.251741</v>
      </c>
      <c r="AR19" s="9">
        <v>113.251741</v>
      </c>
      <c r="AS19" s="9">
        <v>113.251741</v>
      </c>
      <c r="AT19" s="9">
        <v>113.251741</v>
      </c>
    </row>
    <row r="20" spans="3:126" x14ac:dyDescent="0.25">
      <c r="C20" s="2" t="s">
        <v>55</v>
      </c>
      <c r="D20" s="19">
        <f t="shared" ref="D20:O20" si="40">D18/D19</f>
        <v>1.9602347658390524</v>
      </c>
      <c r="E20" s="19">
        <f t="shared" si="40"/>
        <v>1.5364002218738519</v>
      </c>
      <c r="F20" s="19">
        <f t="shared" si="40"/>
        <v>1.5717197672042853</v>
      </c>
      <c r="G20" s="19">
        <f t="shared" si="40"/>
        <v>3.5142947603781209</v>
      </c>
      <c r="H20" s="19">
        <f t="shared" si="40"/>
        <v>3.8498304410172381</v>
      </c>
      <c r="I20" s="19">
        <f t="shared" si="40"/>
        <v>1.7748071528542773</v>
      </c>
      <c r="J20" s="19">
        <f>J18/J19</f>
        <v>1.3244829498912516</v>
      </c>
      <c r="K20" s="19">
        <f>K18/K19</f>
        <v>2.9138624897607537</v>
      </c>
      <c r="L20" s="19">
        <f t="shared" si="40"/>
        <v>3.134609648075962</v>
      </c>
      <c r="M20" s="19">
        <f t="shared" si="40"/>
        <v>3.3376970337259539</v>
      </c>
      <c r="N20" s="19">
        <f t="shared" si="40"/>
        <v>1.3156530635586432</v>
      </c>
      <c r="O20" s="19">
        <f t="shared" si="40"/>
        <v>3.1257797617433538</v>
      </c>
      <c r="P20" s="19">
        <f>P18/P19</f>
        <v>2.2163014694846943</v>
      </c>
      <c r="Q20" s="19">
        <f>Q18/Q19</f>
        <v>1.7129979485260187</v>
      </c>
      <c r="R20" s="19">
        <f>R18/R19</f>
        <v>1.2096944275673431</v>
      </c>
      <c r="S20" s="18">
        <f>S18/S19</f>
        <v>1.9425749931738356</v>
      </c>
      <c r="Y20" s="12"/>
      <c r="Z20" s="19">
        <f t="shared" ref="Z20:AB20" si="41">Z18/Z19</f>
        <v>7.6190207388993869</v>
      </c>
      <c r="AA20" s="19">
        <f t="shared" si="41"/>
        <v>8.8630859649780209</v>
      </c>
      <c r="AB20" s="19">
        <f t="shared" si="41"/>
        <v>9.2553460412976527</v>
      </c>
      <c r="AC20" s="19">
        <f t="shared" ref="AC20" si="42">AC18/AC19</f>
        <v>10.634655628418985</v>
      </c>
      <c r="AD20" s="19">
        <f t="shared" ref="AD20:AI20" si="43">AD18/AD19</f>
        <v>7.2493366790714502</v>
      </c>
      <c r="AE20" s="19">
        <f t="shared" si="43"/>
        <v>8.7592472419474774</v>
      </c>
      <c r="AF20" s="19">
        <f t="shared" si="43"/>
        <v>9.9777715558474291</v>
      </c>
      <c r="AG20" s="19">
        <f t="shared" si="43"/>
        <v>8.5914794016279181</v>
      </c>
      <c r="AH20" s="19">
        <f t="shared" si="43"/>
        <v>9.7128749658691778</v>
      </c>
      <c r="AI20" s="19">
        <f t="shared" si="43"/>
        <v>10.896079734438697</v>
      </c>
      <c r="AJ20" s="18">
        <f t="shared" ref="AJ20:AT20" si="44">AJ18/AJ19</f>
        <v>7.0815688387518918</v>
      </c>
      <c r="AK20" s="19">
        <f t="shared" si="44"/>
        <v>10.310247857470026</v>
      </c>
      <c r="AL20" s="19">
        <f t="shared" si="44"/>
        <v>10.561557311511869</v>
      </c>
      <c r="AM20" s="19">
        <f t="shared" si="44"/>
        <v>11.070244481804457</v>
      </c>
      <c r="AN20" s="19">
        <f t="shared" si="44"/>
        <v>11.584703891245232</v>
      </c>
      <c r="AO20" s="19">
        <f t="shared" si="44"/>
        <v>12.103253194067001</v>
      </c>
      <c r="AP20" s="19">
        <f t="shared" si="44"/>
        <v>12.623928475507585</v>
      </c>
      <c r="AQ20" s="19">
        <f t="shared" si="44"/>
        <v>13.144450401494549</v>
      </c>
      <c r="AR20" s="19">
        <f t="shared" si="44"/>
        <v>13.662186696625012</v>
      </c>
      <c r="AS20" s="19">
        <f t="shared" si="44"/>
        <v>14.174110568787215</v>
      </c>
      <c r="AT20" s="19">
        <f t="shared" si="44"/>
        <v>14.676754659867919</v>
      </c>
    </row>
    <row r="21" spans="3:126" x14ac:dyDescent="0.25">
      <c r="AV21" s="2" t="s">
        <v>99</v>
      </c>
      <c r="AW21" s="27">
        <v>0.08</v>
      </c>
    </row>
    <row r="22" spans="3:126" x14ac:dyDescent="0.25">
      <c r="C22" s="1" t="s">
        <v>29</v>
      </c>
      <c r="D22" s="10"/>
      <c r="E22" s="10"/>
      <c r="F22" s="10"/>
      <c r="G22" s="10"/>
      <c r="H22" s="40">
        <f>(H4-D4)/D4</f>
        <v>0.21975308641975308</v>
      </c>
      <c r="I22" s="40">
        <f>(I4-E4)/E4</f>
        <v>0.1496234309623431</v>
      </c>
      <c r="J22" s="40">
        <f>(J4-F4)/F4</f>
        <v>0.14363910909777275</v>
      </c>
      <c r="K22" s="40">
        <f>(K4-G4)/G4</f>
        <v>7.9588440006052349E-2</v>
      </c>
      <c r="L22" s="40">
        <f>(L4-H4)/H4</f>
        <v>-3.6148062463851939E-3</v>
      </c>
      <c r="M22" s="40">
        <f>(M4-I4)/I4</f>
        <v>4.6877274712476345E-2</v>
      </c>
      <c r="N22" s="40">
        <f>(N4-J4)/J4</f>
        <v>-1.0892886614952963E-2</v>
      </c>
      <c r="O22" s="40">
        <f>(O4-K4)/K4</f>
        <v>-7.0077084793272598E-3</v>
      </c>
      <c r="P22" s="40">
        <f>(P4-L4)/L4</f>
        <v>-2.0606588303584385E-2</v>
      </c>
      <c r="Q22" s="40">
        <f>(Q4-M4)/M4</f>
        <v>-7.1895424836601302E-2</v>
      </c>
      <c r="R22" s="40">
        <f>(R4-N4)/N4</f>
        <v>-5.105956949774737E-2</v>
      </c>
      <c r="S22" s="58">
        <f>(S4-O4)/O4</f>
        <v>-6.1820748059280173E-2</v>
      </c>
      <c r="AA22" s="40">
        <f>(AA4-Z4)/Z4</f>
        <v>0.12374378235712111</v>
      </c>
      <c r="AB22" s="40">
        <f>(AB4-AA4)/AA4</f>
        <v>0.14345076784101174</v>
      </c>
      <c r="AC22" s="40">
        <f>(AC4-AB4)/AB4</f>
        <v>0.10404487280771053</v>
      </c>
      <c r="AD22" s="40">
        <f>(AD4-AC4)/AC4</f>
        <v>0.41624329159212881</v>
      </c>
      <c r="AE22" s="40">
        <f>(AE4-AD4)/AD4</f>
        <v>-4.0470897332255458E-2</v>
      </c>
      <c r="AF22" s="40">
        <f>(AF4-AE4)/AE4</f>
        <v>5.8606708440840399E-2</v>
      </c>
      <c r="AG22" s="40">
        <f>(AG4-AF4)/AF4</f>
        <v>0.17150815758058097</v>
      </c>
      <c r="AH22" s="40">
        <f>(AH4-AG4)/AG4</f>
        <v>0.14546535326086957</v>
      </c>
      <c r="AI22" s="40">
        <f>(AI4-AH4)/AH4</f>
        <v>6.7462376751427086E-3</v>
      </c>
      <c r="AJ22" s="58">
        <f>(AJ4-AI4)/AI4</f>
        <v>-5.1656848306332839E-2</v>
      </c>
      <c r="AK22" s="40">
        <f>(AK4-AJ4)/AJ4</f>
        <v>2.9999999999999968E-2</v>
      </c>
      <c r="AL22" s="40">
        <f>(AL4-AK4)/AK4</f>
        <v>3.4999999999999899E-2</v>
      </c>
      <c r="AM22" s="40">
        <f>(AM4-AL4)/AL4</f>
        <v>4.9999999999999996E-2</v>
      </c>
      <c r="AN22" s="40">
        <f>(AN4-AM4)/AM4</f>
        <v>5.0000000000000058E-2</v>
      </c>
      <c r="AO22" s="40">
        <f>(AO4-AN4)/AN4</f>
        <v>5.0000000000000093E-2</v>
      </c>
      <c r="AP22" s="40">
        <f>(AP4-AO4)/AO4</f>
        <v>4.9999999999999933E-2</v>
      </c>
      <c r="AQ22" s="40">
        <f>(AQ4-AP4)/AP4</f>
        <v>5.0000000000000086E-2</v>
      </c>
      <c r="AR22" s="40">
        <f>(AR4-AQ4)/AQ4</f>
        <v>4.9999999999999982E-2</v>
      </c>
      <c r="AS22" s="40">
        <f>(AS4-AR4)/AR4</f>
        <v>4.9999999999999982E-2</v>
      </c>
      <c r="AT22" s="40">
        <f>(AT4-AS4)/AS4</f>
        <v>5.0000000000000093E-2</v>
      </c>
      <c r="AV22" s="2" t="s">
        <v>100</v>
      </c>
      <c r="AW22" s="27">
        <v>-0.01</v>
      </c>
    </row>
    <row r="23" spans="3:126" x14ac:dyDescent="0.25">
      <c r="C23" s="1" t="s">
        <v>141</v>
      </c>
      <c r="D23" s="40">
        <v>3.3000000000000002E-2</v>
      </c>
      <c r="E23" s="40">
        <v>7.4999999999999997E-2</v>
      </c>
      <c r="F23" s="40">
        <v>0.104</v>
      </c>
      <c r="G23" s="40">
        <v>0.113</v>
      </c>
      <c r="H23" s="40">
        <v>0.159</v>
      </c>
      <c r="I23" s="40">
        <v>0.108</v>
      </c>
      <c r="J23" s="40">
        <v>8.8999999999999996E-2</v>
      </c>
      <c r="K23" s="40">
        <v>5.8999999999999997E-2</v>
      </c>
      <c r="L23" s="40">
        <v>5.0000000000000001E-3</v>
      </c>
      <c r="M23" s="40">
        <v>2.1999999999999999E-2</v>
      </c>
      <c r="N23" s="40">
        <v>1E-3</v>
      </c>
      <c r="O23" s="40">
        <v>-2E-3</v>
      </c>
      <c r="P23" s="40">
        <v>-8.9999999999999993E-3</v>
      </c>
      <c r="Q23" s="40">
        <v>-2.5000000000000001E-2</v>
      </c>
      <c r="R23" s="40">
        <v>-3.6999999999999998E-2</v>
      </c>
      <c r="S23" s="58">
        <v>-4.2999999999999997E-2</v>
      </c>
      <c r="T23" s="20"/>
      <c r="U23" s="20"/>
      <c r="V23" s="20"/>
      <c r="W23" s="20"/>
      <c r="X23" s="20"/>
      <c r="AA23" s="21"/>
      <c r="AB23" s="21"/>
      <c r="AC23" s="21"/>
      <c r="AD23" s="21"/>
      <c r="AE23" s="21"/>
      <c r="AF23" s="21"/>
      <c r="AG23" s="21"/>
      <c r="AH23" s="21"/>
      <c r="AI23" s="21"/>
      <c r="AJ23" s="22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V23" s="26" t="s">
        <v>101</v>
      </c>
      <c r="AW23" s="28">
        <f>NPV(AW21,AJ18:DV18)</f>
        <v>17074.498502427181</v>
      </c>
    </row>
    <row r="24" spans="3:126" x14ac:dyDescent="0.25">
      <c r="C24" s="2" t="s">
        <v>146</v>
      </c>
      <c r="D24" s="10">
        <f t="shared" ref="D24:R24" si="45">D6/D4</f>
        <v>0.36296296296296299</v>
      </c>
      <c r="E24" s="10">
        <f t="shared" si="45"/>
        <v>0.37523012552301255</v>
      </c>
      <c r="F24" s="10">
        <f t="shared" si="45"/>
        <v>0.39807474518686298</v>
      </c>
      <c r="G24" s="10">
        <f t="shared" si="45"/>
        <v>0.41080344984112571</v>
      </c>
      <c r="H24" s="10">
        <f t="shared" si="45"/>
        <v>0.41772700983227301</v>
      </c>
      <c r="I24" s="10">
        <f t="shared" si="45"/>
        <v>0.37414470810889505</v>
      </c>
      <c r="J24" s="10">
        <f t="shared" si="45"/>
        <v>0.38719260604060074</v>
      </c>
      <c r="K24" s="10">
        <f t="shared" si="45"/>
        <v>0.40140154169586545</v>
      </c>
      <c r="L24" s="10">
        <f t="shared" si="45"/>
        <v>0.39079959367290668</v>
      </c>
      <c r="M24" s="10">
        <f t="shared" si="45"/>
        <v>0.39507717980809343</v>
      </c>
      <c r="N24" s="10">
        <f t="shared" si="45"/>
        <v>0.39996662773235442</v>
      </c>
      <c r="O24" s="10">
        <f t="shared" si="45"/>
        <v>0.41129146083274526</v>
      </c>
      <c r="P24" s="10">
        <f t="shared" si="45"/>
        <v>0.37842643354571048</v>
      </c>
      <c r="Q24" s="10">
        <f t="shared" si="45"/>
        <v>0.37398861252622118</v>
      </c>
      <c r="R24" s="10">
        <f t="shared" si="45"/>
        <v>0.38948478987163709</v>
      </c>
      <c r="S24" s="57">
        <f>S6/S4</f>
        <v>0.40243718970964343</v>
      </c>
      <c r="T24" s="20"/>
      <c r="U24" s="20"/>
      <c r="V24" s="20"/>
      <c r="W24" s="20"/>
      <c r="X24" s="20"/>
      <c r="Z24" s="10">
        <f>Z6/Z4</f>
        <v>0.4450309613237235</v>
      </c>
      <c r="AA24" s="10">
        <f t="shared" ref="AA24:AT24" si="46">AA6/AA4</f>
        <v>0.44543812104787717</v>
      </c>
      <c r="AB24" s="10">
        <f t="shared" si="46"/>
        <v>0.42573866329593935</v>
      </c>
      <c r="AC24" s="10">
        <f t="shared" si="46"/>
        <v>0.42783542039355993</v>
      </c>
      <c r="AD24" s="10">
        <f t="shared" si="46"/>
        <v>0.40470897332255457</v>
      </c>
      <c r="AE24" s="10">
        <f t="shared" si="46"/>
        <v>0.37549365488915804</v>
      </c>
      <c r="AF24" s="10">
        <f t="shared" si="46"/>
        <v>0.38987266215678473</v>
      </c>
      <c r="AG24" s="10">
        <f t="shared" si="46"/>
        <v>0.38739809782608697</v>
      </c>
      <c r="AH24" s="10">
        <f t="shared" si="46"/>
        <v>0.39543331603528803</v>
      </c>
      <c r="AI24" s="10">
        <f t="shared" si="46"/>
        <v>0.39930044182621505</v>
      </c>
      <c r="AJ24" s="57">
        <f t="shared" si="46"/>
        <v>0.3859145086772528</v>
      </c>
      <c r="AK24" s="10">
        <f t="shared" si="46"/>
        <v>0.39</v>
      </c>
      <c r="AL24" s="10">
        <f t="shared" si="46"/>
        <v>0.38999999999999996</v>
      </c>
      <c r="AM24" s="10">
        <f t="shared" si="46"/>
        <v>0.3899999999999999</v>
      </c>
      <c r="AN24" s="10">
        <f t="shared" si="46"/>
        <v>0.3899999999999999</v>
      </c>
      <c r="AO24" s="10">
        <f t="shared" si="46"/>
        <v>0.38999999999999996</v>
      </c>
      <c r="AP24" s="10">
        <f t="shared" si="46"/>
        <v>0.3899999999999999</v>
      </c>
      <c r="AQ24" s="10">
        <f t="shared" si="46"/>
        <v>0.38999999999999996</v>
      </c>
      <c r="AR24" s="10">
        <f t="shared" si="46"/>
        <v>0.38999999999999985</v>
      </c>
      <c r="AS24" s="10">
        <f t="shared" si="46"/>
        <v>0.38999999999999979</v>
      </c>
      <c r="AT24" s="10">
        <f t="shared" si="46"/>
        <v>0.38999999999999979</v>
      </c>
      <c r="AV24" s="2" t="s">
        <v>2</v>
      </c>
      <c r="AW24" s="9">
        <v>113.251741</v>
      </c>
    </row>
    <row r="25" spans="3:126" x14ac:dyDescent="0.25">
      <c r="C25" s="2" t="s">
        <v>96</v>
      </c>
      <c r="D25" s="10">
        <f>D12/D4</f>
        <v>6.3139329805996472E-2</v>
      </c>
      <c r="E25" s="10">
        <f>E12/E4</f>
        <v>7.2301255230125525E-2</v>
      </c>
      <c r="F25" s="10">
        <f>F12/F4</f>
        <v>7.0781426953567386E-2</v>
      </c>
      <c r="G25" s="10">
        <f>G12/G4</f>
        <v>8.5035557573006501E-2</v>
      </c>
      <c r="H25" s="10">
        <f>H12/H4</f>
        <v>9.9768652400231347E-2</v>
      </c>
      <c r="I25" s="10">
        <f>I12/I4</f>
        <v>5.7941476197408651E-2</v>
      </c>
      <c r="J25" s="10">
        <f>J12/J4</f>
        <v>5.1163558342960887E-2</v>
      </c>
      <c r="K25" s="10">
        <f>K12/K4</f>
        <v>7.8065872459705671E-2</v>
      </c>
      <c r="L25" s="10">
        <f>L12/L4</f>
        <v>8.4457988680888121E-2</v>
      </c>
      <c r="M25" s="10">
        <f>M12/M4</f>
        <v>7.9682937004589074E-2</v>
      </c>
      <c r="N25" s="10">
        <f>N12/N4</f>
        <v>6.0737527114967459E-2</v>
      </c>
      <c r="O25" s="10">
        <f>O12/O4</f>
        <v>8.2709950599858861E-2</v>
      </c>
      <c r="P25" s="10">
        <f>P12/P4</f>
        <v>6.8010075566750636E-2</v>
      </c>
      <c r="Q25" s="10">
        <f>Q12/Q4</f>
        <v>5.1842972729997001E-2</v>
      </c>
      <c r="R25" s="10">
        <f>R12/R4</f>
        <v>5.8202918937928609E-2</v>
      </c>
      <c r="S25" s="57">
        <f>S12/S4</f>
        <v>6.2584624642695957E-2</v>
      </c>
      <c r="Z25" s="10">
        <f>Z12/Z4</f>
        <v>8.5169018373769154E-2</v>
      </c>
      <c r="AA25" s="10">
        <f>AA12/AA4</f>
        <v>9.322493224932249E-2</v>
      </c>
      <c r="AB25" s="10">
        <f>AB12/AB4</f>
        <v>8.113446042028756E-2</v>
      </c>
      <c r="AC25" s="10">
        <f>AC12/AC4</f>
        <v>8.8944543828264763E-2</v>
      </c>
      <c r="AD25" s="10">
        <f>AD12/AD4</f>
        <v>6.9118835893290223E-2</v>
      </c>
      <c r="AE25" s="10">
        <f>AE12/AE4</f>
        <v>8.3407930072139438E-2</v>
      </c>
      <c r="AF25" s="10">
        <f>AF12/AF4</f>
        <v>8.2670115399920419E-2</v>
      </c>
      <c r="AG25" s="10">
        <f>AG12/AG4</f>
        <v>7.3369565217391311E-2</v>
      </c>
      <c r="AH25" s="10">
        <f>AH12/AH4</f>
        <v>7.1799243828304549E-2</v>
      </c>
      <c r="AI25" s="10">
        <f>AI12/AI4</f>
        <v>7.7466863033873345E-2</v>
      </c>
      <c r="AJ25" s="57">
        <f>AJ12/AJ4</f>
        <v>6.025546453391311E-2</v>
      </c>
      <c r="AK25" s="10">
        <f>AK12/AK4</f>
        <v>7.4276609129915128E-2</v>
      </c>
      <c r="AL25" s="10">
        <f>AL12/AL4</f>
        <v>7.4921397129759107E-2</v>
      </c>
      <c r="AM25" s="10">
        <f>AM12/AM4</f>
        <v>7.5800942400905458E-2</v>
      </c>
      <c r="AN25" s="10">
        <f>AN12/AN4</f>
        <v>7.6639492275250451E-2</v>
      </c>
      <c r="AO25" s="10">
        <f>AO12/AO4</f>
        <v>7.7439020050531063E-2</v>
      </c>
      <c r="AP25" s="10">
        <f>AP12/AP4</f>
        <v>7.8201405561162812E-2</v>
      </c>
      <c r="AQ25" s="10">
        <f>AQ12/AQ4</f>
        <v>7.8928439640856773E-2</v>
      </c>
      <c r="AR25" s="10">
        <f>AR12/AR4</f>
        <v>7.9621828373014403E-2</v>
      </c>
      <c r="AS25" s="10">
        <f>AS12/AS4</f>
        <v>8.0283197139016729E-2</v>
      </c>
      <c r="AT25" s="10">
        <f>AT12/AT4</f>
        <v>8.0914094474035553E-2</v>
      </c>
      <c r="AV25" s="2" t="s">
        <v>102</v>
      </c>
      <c r="AW25" s="29">
        <f>AW23/AW24</f>
        <v>150.7658809627234</v>
      </c>
    </row>
    <row r="26" spans="3:126" x14ac:dyDescent="0.25">
      <c r="C26" s="2" t="s">
        <v>30</v>
      </c>
      <c r="D26" s="10">
        <f>D14/D4</f>
        <v>5.5731922398589068E-2</v>
      </c>
      <c r="E26" s="10">
        <f>E14/E4</f>
        <v>5.6066945606694563E-2</v>
      </c>
      <c r="F26" s="10">
        <f>F14/F4</f>
        <v>4.9830124575311441E-2</v>
      </c>
      <c r="G26" s="10">
        <f>G14/G4</f>
        <v>7.9739748827356641E-2</v>
      </c>
      <c r="H26" s="10">
        <f>H14/H4</f>
        <v>9.3406593406593408E-2</v>
      </c>
      <c r="I26" s="10">
        <f>I14/I4</f>
        <v>5.284612025040035E-2</v>
      </c>
      <c r="J26" s="10">
        <f>J14/J4</f>
        <v>4.4561808879353029E-2</v>
      </c>
      <c r="K26" s="10">
        <f>K14/K4</f>
        <v>7.2319551506657323E-2</v>
      </c>
      <c r="L26" s="10">
        <f>L14/L4</f>
        <v>7.8508199100275719E-2</v>
      </c>
      <c r="M26" s="10">
        <f>M14/M4</f>
        <v>7.5371992768738696E-2</v>
      </c>
      <c r="N26" s="10">
        <f>N14/N4</f>
        <v>5.2561321541798767E-2</v>
      </c>
      <c r="O26" s="10">
        <f>O14/O4</f>
        <v>7.6781933662667612E-2</v>
      </c>
      <c r="P26" s="10">
        <f>P14/P4</f>
        <v>6.1638761297970072E-2</v>
      </c>
      <c r="Q26" s="10">
        <f>Q14/Q4</f>
        <v>4.5999400659274797E-2</v>
      </c>
      <c r="R26" s="10">
        <f>R14/R4</f>
        <v>5.0641814665025493E-2</v>
      </c>
      <c r="S26" s="57">
        <f>S14/S4</f>
        <v>5.6265984654731455E-2</v>
      </c>
      <c r="Z26" s="10">
        <f>Z14/Z4</f>
        <v>8.5169018373769154E-2</v>
      </c>
      <c r="AA26" s="10">
        <f>AA14/AA4</f>
        <v>8.717253839205058E-2</v>
      </c>
      <c r="AB26" s="10">
        <f>AB14/AB4</f>
        <v>8.1608468952441143E-2</v>
      </c>
      <c r="AC26" s="10">
        <f>AC14/AC4</f>
        <v>8.6082289803220038E-2</v>
      </c>
      <c r="AD26" s="10">
        <f>AD14/AD4</f>
        <v>6.452101859337106E-2</v>
      </c>
      <c r="AE26" s="10">
        <f>AE14/AE4</f>
        <v>7.6667895318835236E-2</v>
      </c>
      <c r="AF26" s="10">
        <f>AF14/AF4</f>
        <v>7.5756068444090732E-2</v>
      </c>
      <c r="AG26" s="10">
        <f>AG14/AG4</f>
        <v>6.1268682065217392E-2</v>
      </c>
      <c r="AH26" s="10">
        <f>AH14/AH4</f>
        <v>6.5905552672547996E-2</v>
      </c>
      <c r="AI26" s="10">
        <f>AI14/AI4</f>
        <v>7.1428571428571425E-2</v>
      </c>
      <c r="AJ26" s="57">
        <f>AJ14/AJ4</f>
        <v>5.3771790192957254E-2</v>
      </c>
      <c r="AK26" s="10">
        <f>AK14/AK4</f>
        <v>6.7918831378104033E-2</v>
      </c>
      <c r="AL26" s="10">
        <f>AL14/AL4</f>
        <v>6.8164338649573414E-2</v>
      </c>
      <c r="AM26" s="10">
        <f>AM14/AM4</f>
        <v>6.8722119231187123E-2</v>
      </c>
      <c r="AN26" s="10">
        <f>AN14/AN4</f>
        <v>6.922358228792648E-2</v>
      </c>
      <c r="AO26" s="10">
        <f>AO14/AO4</f>
        <v>6.9669971492382132E-2</v>
      </c>
      <c r="AP26" s="10">
        <f>AP14/AP4</f>
        <v>7.0062402309768693E-2</v>
      </c>
      <c r="AQ26" s="10">
        <f>AQ14/AQ4</f>
        <v>7.0401864806062933E-2</v>
      </c>
      <c r="AR26" s="10">
        <f>AR14/AR4</f>
        <v>7.0689226165135136E-2</v>
      </c>
      <c r="AS26" s="10">
        <f>AS14/AS4</f>
        <v>7.0925232921238451E-2</v>
      </c>
      <c r="AT26" s="10">
        <f>AT14/AT4</f>
        <v>7.1110512912553533E-2</v>
      </c>
      <c r="AV26" s="1" t="s">
        <v>103</v>
      </c>
      <c r="AW26" s="21">
        <f>(AW25-B4)/B4</f>
        <v>0.11678430342758074</v>
      </c>
    </row>
    <row r="27" spans="3:126" x14ac:dyDescent="0.25">
      <c r="C27" s="2" t="s">
        <v>133</v>
      </c>
      <c r="D27" s="10">
        <v>0.74299999999999999</v>
      </c>
      <c r="E27" s="10">
        <v>0.75800000000000001</v>
      </c>
      <c r="F27" s="10">
        <v>0.74099999999999999</v>
      </c>
      <c r="G27" s="10">
        <v>0.74399999999999999</v>
      </c>
      <c r="H27" s="10">
        <v>0.73299999999999998</v>
      </c>
      <c r="I27" s="10">
        <v>0.74199999999999999</v>
      </c>
      <c r="J27" s="10">
        <v>0.72899999999999998</v>
      </c>
      <c r="K27" s="10">
        <v>0.73599999999999999</v>
      </c>
      <c r="L27" s="10">
        <v>0.72599999999999998</v>
      </c>
      <c r="M27" s="10">
        <v>0.73399999999999999</v>
      </c>
      <c r="N27" s="10">
        <v>0.72199999999999998</v>
      </c>
      <c r="O27" s="10">
        <v>0.72299999999999998</v>
      </c>
      <c r="P27" s="10">
        <v>0.71099999999999997</v>
      </c>
      <c r="Q27" s="10">
        <v>0.72599999999999998</v>
      </c>
      <c r="R27" s="10">
        <v>0.72</v>
      </c>
      <c r="S27" s="23">
        <v>0.72799999999999998</v>
      </c>
      <c r="T27" s="20"/>
      <c r="U27" s="20"/>
      <c r="V27" s="20"/>
      <c r="W27" s="20"/>
      <c r="X27" s="20"/>
      <c r="Y27" s="20"/>
      <c r="Z27" s="20">
        <v>0.76900000000000002</v>
      </c>
      <c r="AA27" s="20">
        <v>0.77600000000000002</v>
      </c>
      <c r="AB27" s="20">
        <v>0.77600000000000002</v>
      </c>
      <c r="AC27" s="20">
        <v>0.77200000000000002</v>
      </c>
      <c r="AD27" s="20">
        <v>0.75800000000000001</v>
      </c>
      <c r="AE27" s="20">
        <v>0.75600000000000001</v>
      </c>
      <c r="AF27" s="20">
        <v>0.747</v>
      </c>
      <c r="AG27" s="20">
        <v>0.747</v>
      </c>
      <c r="AH27" s="20">
        <v>0.73499999999999999</v>
      </c>
      <c r="AI27" s="20">
        <v>0.72699999999999998</v>
      </c>
      <c r="AJ27" s="23"/>
      <c r="AK27" s="20"/>
      <c r="AL27" s="20"/>
      <c r="AM27" s="20"/>
      <c r="AN27" s="20"/>
      <c r="AO27" s="20"/>
      <c r="AP27" s="20"/>
      <c r="AQ27" s="20"/>
      <c r="AR27" s="20"/>
      <c r="AS27" s="20"/>
      <c r="AT27" s="20"/>
    </row>
    <row r="28" spans="3:126" x14ac:dyDescent="0.25">
      <c r="C28" s="2" t="s">
        <v>132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3"/>
      <c r="T28" s="20"/>
      <c r="U28" s="20"/>
      <c r="V28" s="20"/>
      <c r="W28" s="20"/>
      <c r="X28" s="20"/>
      <c r="Y28" s="20"/>
      <c r="Z28" s="20">
        <v>0.14799999999999999</v>
      </c>
      <c r="AA28" s="20">
        <v>0.159</v>
      </c>
      <c r="AB28" s="20">
        <v>0.154</v>
      </c>
      <c r="AC28" s="20">
        <v>0.161</v>
      </c>
      <c r="AD28" s="20">
        <v>0.106</v>
      </c>
      <c r="AE28" s="20">
        <v>9.5000000000000001E-2</v>
      </c>
      <c r="AF28" s="20">
        <v>0.108</v>
      </c>
      <c r="AG28" s="20">
        <v>8.5000000000000006E-2</v>
      </c>
      <c r="AH28" s="20">
        <v>8.7999999999999995E-2</v>
      </c>
      <c r="AI28" s="20">
        <v>9.6000000000000002E-2</v>
      </c>
      <c r="AJ28" s="23"/>
      <c r="AK28" s="20"/>
      <c r="AL28" s="20"/>
      <c r="AM28" s="20"/>
      <c r="AN28" s="20"/>
      <c r="AO28" s="20"/>
      <c r="AP28" s="20"/>
      <c r="AQ28" s="20"/>
      <c r="AR28" s="20"/>
      <c r="AS28" s="20"/>
      <c r="AT28" s="20"/>
    </row>
    <row r="29" spans="3:126" x14ac:dyDescent="0.25">
      <c r="T29" s="14"/>
      <c r="U29" s="14"/>
      <c r="V29" s="14"/>
      <c r="W29" s="14"/>
      <c r="X29" s="14"/>
    </row>
    <row r="30" spans="3:126" x14ac:dyDescent="0.25">
      <c r="C30" s="3" t="s">
        <v>109</v>
      </c>
    </row>
    <row r="31" spans="3:126" x14ac:dyDescent="0.25">
      <c r="C31" s="2" t="s">
        <v>56</v>
      </c>
      <c r="D31" s="14">
        <v>14852</v>
      </c>
      <c r="E31" s="14">
        <v>15221</v>
      </c>
      <c r="F31" s="14">
        <v>15481</v>
      </c>
      <c r="G31" s="14">
        <v>15590</v>
      </c>
      <c r="H31" s="14">
        <v>15738</v>
      </c>
      <c r="I31" s="14">
        <v>16391</v>
      </c>
      <c r="J31" s="14">
        <v>16153</v>
      </c>
      <c r="K31" s="14">
        <v>15760</v>
      </c>
      <c r="L31" s="14">
        <v>16107</v>
      </c>
      <c r="M31" s="14">
        <v>15957</v>
      </c>
      <c r="N31" s="14">
        <v>15827</v>
      </c>
      <c r="O31" s="14">
        <v>15926</v>
      </c>
      <c r="P31" s="14">
        <v>15344</v>
      </c>
      <c r="Q31" s="14">
        <v>15344</v>
      </c>
      <c r="R31" s="14">
        <v>15611</v>
      </c>
      <c r="S31" s="15">
        <v>15365</v>
      </c>
      <c r="T31" s="12"/>
      <c r="U31" s="12"/>
      <c r="V31" s="12"/>
      <c r="W31" s="12"/>
      <c r="X31" s="12"/>
      <c r="Y31" s="12"/>
      <c r="Z31" s="12"/>
      <c r="AA31" s="1"/>
      <c r="AB31" s="1"/>
      <c r="AC31" s="1"/>
      <c r="AD31" s="1"/>
      <c r="AE31" s="1"/>
      <c r="AF31" s="1"/>
      <c r="AG31" s="14"/>
      <c r="AH31" s="14"/>
      <c r="AI31" s="14"/>
    </row>
    <row r="32" spans="3:126" x14ac:dyDescent="0.25">
      <c r="C32" s="2" t="s">
        <v>57</v>
      </c>
      <c r="D32" s="14">
        <v>500</v>
      </c>
      <c r="E32" s="14">
        <v>338</v>
      </c>
      <c r="F32" s="14">
        <v>346</v>
      </c>
      <c r="G32" s="14">
        <v>355</v>
      </c>
      <c r="H32" s="14">
        <v>363</v>
      </c>
      <c r="I32" s="14">
        <v>387</v>
      </c>
      <c r="J32" s="14">
        <v>386</v>
      </c>
      <c r="K32" s="14">
        <v>382</v>
      </c>
      <c r="L32" s="14">
        <v>379</v>
      </c>
      <c r="M32" s="14">
        <v>386</v>
      </c>
      <c r="N32" s="14">
        <v>368</v>
      </c>
      <c r="O32" s="14">
        <v>363</v>
      </c>
      <c r="P32" s="14">
        <v>342</v>
      </c>
      <c r="Q32" s="14">
        <v>333</v>
      </c>
      <c r="R32" s="14">
        <v>321</v>
      </c>
      <c r="S32" s="15">
        <v>317</v>
      </c>
      <c r="T32" s="14"/>
      <c r="U32" s="14"/>
      <c r="V32" s="14"/>
      <c r="W32" s="14"/>
      <c r="X32" s="14"/>
      <c r="Y32" s="14"/>
      <c r="Z32" s="14"/>
    </row>
    <row r="33" spans="3:26" x14ac:dyDescent="0.25">
      <c r="C33" s="2" t="s">
        <v>58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2">
        <v>0</v>
      </c>
      <c r="J33" s="14">
        <v>0</v>
      </c>
      <c r="K33" s="14">
        <v>0</v>
      </c>
      <c r="L33" s="14">
        <v>1569</v>
      </c>
      <c r="M33" s="14">
        <v>0</v>
      </c>
      <c r="N33" s="14">
        <v>0</v>
      </c>
      <c r="O33" s="2">
        <v>0</v>
      </c>
      <c r="P33" s="14">
        <v>1423</v>
      </c>
      <c r="Q33" s="14">
        <v>1321</v>
      </c>
      <c r="R33" s="14">
        <v>2100</v>
      </c>
      <c r="S33" s="15">
        <v>1301</v>
      </c>
      <c r="T33" s="14"/>
      <c r="U33" s="14"/>
      <c r="V33" s="14"/>
      <c r="W33" s="14"/>
      <c r="X33" s="14"/>
      <c r="Y33" s="14"/>
      <c r="Z33" s="14"/>
    </row>
    <row r="34" spans="3:26" x14ac:dyDescent="0.25">
      <c r="C34" s="2" t="s">
        <v>59</v>
      </c>
      <c r="D34" s="14">
        <v>2217</v>
      </c>
      <c r="E34" s="14">
        <v>2221</v>
      </c>
      <c r="F34" s="14">
        <v>2258</v>
      </c>
      <c r="G34" s="14">
        <v>2272</v>
      </c>
      <c r="H34" s="14">
        <v>2258</v>
      </c>
      <c r="I34" s="14">
        <v>2176</v>
      </c>
      <c r="J34" s="14">
        <v>2064</v>
      </c>
      <c r="K34" s="14">
        <v>2020</v>
      </c>
      <c r="L34" s="14">
        <v>345</v>
      </c>
      <c r="M34" s="14">
        <v>1874</v>
      </c>
      <c r="N34" s="14">
        <v>1952</v>
      </c>
      <c r="O34" s="14">
        <v>1768</v>
      </c>
      <c r="P34" s="14">
        <v>362</v>
      </c>
      <c r="Q34" s="14">
        <v>404</v>
      </c>
      <c r="R34" s="14">
        <v>398</v>
      </c>
      <c r="S34" s="15">
        <v>418</v>
      </c>
      <c r="T34" s="14"/>
      <c r="U34" s="14"/>
      <c r="V34" s="14"/>
      <c r="W34" s="14"/>
      <c r="X34" s="14"/>
      <c r="Y34" s="14"/>
      <c r="Z34" s="14"/>
    </row>
    <row r="35" spans="3:26" x14ac:dyDescent="0.25">
      <c r="C35" s="2" t="s">
        <v>60</v>
      </c>
      <c r="D35" s="14">
        <v>7290</v>
      </c>
      <c r="E35" s="14">
        <v>7950</v>
      </c>
      <c r="F35" s="14">
        <v>8024</v>
      </c>
      <c r="G35" s="14">
        <v>8690</v>
      </c>
      <c r="H35" s="14">
        <v>8890</v>
      </c>
      <c r="I35" s="14">
        <v>9472</v>
      </c>
      <c r="J35" s="14">
        <v>8842</v>
      </c>
      <c r="K35" s="14">
        <v>8843</v>
      </c>
      <c r="L35" s="14">
        <v>4974</v>
      </c>
      <c r="M35" s="14">
        <v>9472</v>
      </c>
      <c r="N35" s="14">
        <v>9071</v>
      </c>
      <c r="O35" s="14">
        <v>8977</v>
      </c>
      <c r="P35" s="14">
        <v>4116</v>
      </c>
      <c r="Q35" s="14">
        <v>4528</v>
      </c>
      <c r="R35" s="14">
        <v>4023</v>
      </c>
      <c r="S35" s="15">
        <v>4743</v>
      </c>
      <c r="T35" s="14"/>
      <c r="U35" s="14"/>
      <c r="V35" s="14"/>
      <c r="W35" s="14"/>
      <c r="X35" s="14"/>
      <c r="Y35" s="14"/>
      <c r="Z35" s="14"/>
    </row>
    <row r="36" spans="3:26" x14ac:dyDescent="0.25">
      <c r="C36" s="2" t="s">
        <v>61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v>0</v>
      </c>
      <c r="K36" s="14">
        <v>0</v>
      </c>
      <c r="L36" s="14">
        <v>2998</v>
      </c>
      <c r="M36" s="14">
        <v>0</v>
      </c>
      <c r="N36" s="14">
        <v>0</v>
      </c>
      <c r="O36" s="2">
        <v>0</v>
      </c>
      <c r="P36" s="14">
        <v>3342</v>
      </c>
      <c r="Q36" s="14">
        <v>3307</v>
      </c>
      <c r="R36" s="14">
        <v>3607</v>
      </c>
      <c r="S36" s="15">
        <v>2661</v>
      </c>
      <c r="T36" s="14"/>
      <c r="U36" s="14"/>
      <c r="V36" s="14"/>
      <c r="W36" s="14"/>
      <c r="X36" s="14"/>
      <c r="Y36" s="14"/>
      <c r="Z36" s="14"/>
    </row>
    <row r="37" spans="3:26" x14ac:dyDescent="0.25">
      <c r="C37" s="2" t="s">
        <v>62</v>
      </c>
      <c r="D37" s="14">
        <v>0</v>
      </c>
      <c r="E37" s="14">
        <v>0</v>
      </c>
      <c r="F37" s="14">
        <v>0</v>
      </c>
      <c r="G37" s="14">
        <v>0</v>
      </c>
      <c r="H37" s="14">
        <v>0</v>
      </c>
      <c r="I37" s="14">
        <v>0</v>
      </c>
      <c r="J37" s="14">
        <v>0</v>
      </c>
      <c r="K37" s="14">
        <v>0</v>
      </c>
      <c r="L37" s="14">
        <v>1237</v>
      </c>
      <c r="M37" s="14">
        <v>0</v>
      </c>
      <c r="N37" s="14">
        <v>0</v>
      </c>
      <c r="O37" s="14">
        <v>0</v>
      </c>
      <c r="P37" s="14">
        <v>1113</v>
      </c>
      <c r="Q37" s="14">
        <v>1196</v>
      </c>
      <c r="R37" s="14">
        <v>1137</v>
      </c>
      <c r="S37" s="15">
        <v>857</v>
      </c>
      <c r="T37" s="14"/>
      <c r="U37" s="14"/>
      <c r="V37" s="14"/>
      <c r="W37" s="14"/>
      <c r="X37" s="14"/>
      <c r="Y37" s="14"/>
      <c r="Z37" s="14"/>
    </row>
    <row r="38" spans="3:26" x14ac:dyDescent="0.25">
      <c r="C38" s="2" t="s">
        <v>63</v>
      </c>
      <c r="D38" s="14">
        <v>902</v>
      </c>
      <c r="E38" s="14">
        <v>1187</v>
      </c>
      <c r="F38" s="14">
        <v>862</v>
      </c>
      <c r="G38" s="14">
        <v>1088</v>
      </c>
      <c r="H38" s="14">
        <v>1162</v>
      </c>
      <c r="I38" s="14">
        <v>827</v>
      </c>
      <c r="J38" s="14">
        <v>853</v>
      </c>
      <c r="K38" s="14">
        <v>1167</v>
      </c>
      <c r="L38" s="14">
        <v>1563</v>
      </c>
      <c r="M38" s="14">
        <v>827</v>
      </c>
      <c r="N38" s="14">
        <v>863</v>
      </c>
      <c r="O38" s="14">
        <v>1270</v>
      </c>
      <c r="P38" s="14">
        <v>884</v>
      </c>
      <c r="Q38" s="14">
        <v>761</v>
      </c>
      <c r="R38" s="14">
        <v>756</v>
      </c>
      <c r="S38" s="15">
        <v>1378</v>
      </c>
      <c r="T38" s="14"/>
      <c r="U38" s="14"/>
      <c r="V38" s="14"/>
      <c r="W38" s="14"/>
      <c r="X38" s="14"/>
      <c r="Y38" s="14"/>
      <c r="Z38" s="14"/>
    </row>
    <row r="39" spans="3:26" x14ac:dyDescent="0.25">
      <c r="C39" s="1" t="s">
        <v>64</v>
      </c>
      <c r="D39" s="12">
        <f t="shared" ref="D39:N39" si="47">SUM(D31:D38)</f>
        <v>25761</v>
      </c>
      <c r="E39" s="12">
        <f t="shared" si="47"/>
        <v>26917</v>
      </c>
      <c r="F39" s="12">
        <f t="shared" si="47"/>
        <v>26971</v>
      </c>
      <c r="G39" s="12">
        <f t="shared" si="47"/>
        <v>27995</v>
      </c>
      <c r="H39" s="12">
        <f t="shared" si="47"/>
        <v>28411</v>
      </c>
      <c r="I39" s="12">
        <f t="shared" si="47"/>
        <v>29253</v>
      </c>
      <c r="J39" s="12">
        <f t="shared" si="47"/>
        <v>28298</v>
      </c>
      <c r="K39" s="12">
        <f t="shared" si="47"/>
        <v>28172</v>
      </c>
      <c r="L39" s="12">
        <f t="shared" si="47"/>
        <v>29172</v>
      </c>
      <c r="M39" s="12">
        <f t="shared" si="47"/>
        <v>28516</v>
      </c>
      <c r="N39" s="12">
        <f t="shared" si="47"/>
        <v>28081</v>
      </c>
      <c r="O39" s="12">
        <f>SUM(O31:O38)</f>
        <v>28304</v>
      </c>
      <c r="P39" s="12">
        <f>SUM(P31:P38)</f>
        <v>26926</v>
      </c>
      <c r="Q39" s="12">
        <f>SUM(Q31:Q38)</f>
        <v>27194</v>
      </c>
      <c r="R39" s="12">
        <f>SUM(R31:R38)</f>
        <v>27953</v>
      </c>
      <c r="S39" s="13">
        <f t="shared" ref="S39:V39" si="48">SUM(S31:S38)</f>
        <v>27040</v>
      </c>
      <c r="T39" s="12">
        <f t="shared" si="48"/>
        <v>0</v>
      </c>
      <c r="U39" s="12">
        <f t="shared" si="48"/>
        <v>0</v>
      </c>
      <c r="V39" s="12">
        <f t="shared" si="48"/>
        <v>0</v>
      </c>
      <c r="W39" s="14"/>
      <c r="X39" s="14"/>
      <c r="Y39" s="14"/>
      <c r="Z39" s="14"/>
    </row>
    <row r="40" spans="3:26" x14ac:dyDescent="0.25">
      <c r="C40" s="2" t="s">
        <v>65</v>
      </c>
      <c r="D40" s="14">
        <v>11419</v>
      </c>
      <c r="E40" s="14">
        <v>11317</v>
      </c>
      <c r="F40" s="14">
        <v>11701</v>
      </c>
      <c r="G40" s="14">
        <v>12176</v>
      </c>
      <c r="H40" s="14">
        <v>12600</v>
      </c>
      <c r="I40" s="14">
        <v>12550</v>
      </c>
      <c r="J40" s="14">
        <v>12535</v>
      </c>
      <c r="K40" s="14">
        <v>12454</v>
      </c>
      <c r="L40" s="14">
        <v>13025</v>
      </c>
      <c r="M40" s="14">
        <v>12678</v>
      </c>
      <c r="N40" s="14">
        <v>12665</v>
      </c>
      <c r="O40" s="14">
        <v>13128</v>
      </c>
      <c r="P40" s="14">
        <v>12884</v>
      </c>
      <c r="Q40" s="14">
        <v>12534</v>
      </c>
      <c r="R40" s="14">
        <v>12600</v>
      </c>
      <c r="S40" s="15">
        <v>12677</v>
      </c>
      <c r="T40" s="14"/>
      <c r="U40" s="14"/>
      <c r="V40" s="14"/>
      <c r="W40" s="14"/>
      <c r="X40" s="14"/>
      <c r="Y40" s="14"/>
      <c r="Z40" s="14"/>
    </row>
    <row r="41" spans="3:26" x14ac:dyDescent="0.25">
      <c r="C41" s="2" t="s">
        <v>66</v>
      </c>
      <c r="D41" s="14">
        <v>1</v>
      </c>
      <c r="E41" s="14">
        <v>1</v>
      </c>
      <c r="F41" s="14">
        <v>1</v>
      </c>
      <c r="G41" s="14">
        <v>2</v>
      </c>
      <c r="H41" s="14">
        <v>2</v>
      </c>
      <c r="I41" s="14">
        <v>2</v>
      </c>
      <c r="J41" s="14">
        <v>2</v>
      </c>
      <c r="K41" s="14">
        <v>1</v>
      </c>
      <c r="L41" s="14">
        <v>1</v>
      </c>
      <c r="M41" s="14">
        <v>1</v>
      </c>
      <c r="N41" s="14">
        <v>0</v>
      </c>
      <c r="O41" s="14">
        <v>23</v>
      </c>
      <c r="P41" s="14">
        <v>24</v>
      </c>
      <c r="Q41" s="14">
        <v>25</v>
      </c>
      <c r="R41" s="14">
        <v>26</v>
      </c>
      <c r="S41" s="15">
        <v>1</v>
      </c>
      <c r="T41" s="14"/>
      <c r="U41" s="14"/>
      <c r="V41" s="14"/>
      <c r="W41" s="14"/>
      <c r="X41" s="14"/>
      <c r="Y41" s="14"/>
      <c r="Z41" s="14"/>
    </row>
    <row r="42" spans="3:26" x14ac:dyDescent="0.25">
      <c r="C42" s="11" t="s">
        <v>67</v>
      </c>
      <c r="D42" s="16">
        <f t="shared" ref="D42:O42" si="49">SUM(D40:D41)</f>
        <v>11420</v>
      </c>
      <c r="E42" s="16">
        <f t="shared" si="49"/>
        <v>11318</v>
      </c>
      <c r="F42" s="16">
        <f t="shared" si="49"/>
        <v>11702</v>
      </c>
      <c r="G42" s="16">
        <f t="shared" si="49"/>
        <v>12178</v>
      </c>
      <c r="H42" s="16">
        <f t="shared" si="49"/>
        <v>12602</v>
      </c>
      <c r="I42" s="16">
        <f t="shared" si="49"/>
        <v>12552</v>
      </c>
      <c r="J42" s="16">
        <f t="shared" si="49"/>
        <v>12537</v>
      </c>
      <c r="K42" s="16">
        <f t="shared" si="49"/>
        <v>12455</v>
      </c>
      <c r="L42" s="16">
        <f t="shared" si="49"/>
        <v>13026</v>
      </c>
      <c r="M42" s="16">
        <f t="shared" si="49"/>
        <v>12679</v>
      </c>
      <c r="N42" s="16">
        <f t="shared" si="49"/>
        <v>12665</v>
      </c>
      <c r="O42" s="16">
        <f t="shared" si="49"/>
        <v>13151</v>
      </c>
      <c r="P42" s="16">
        <f>SUM(P40:P41)</f>
        <v>12908</v>
      </c>
      <c r="Q42" s="16">
        <f>SUM(Q40:Q41)</f>
        <v>12559</v>
      </c>
      <c r="R42" s="16">
        <f>SUM(R40:R41)</f>
        <v>12626</v>
      </c>
      <c r="S42" s="84">
        <f t="shared" ref="S42:V42" si="50">SUM(S40:S41)</f>
        <v>12678</v>
      </c>
      <c r="T42" s="16">
        <f t="shared" si="50"/>
        <v>0</v>
      </c>
      <c r="U42" s="16">
        <f t="shared" si="50"/>
        <v>0</v>
      </c>
      <c r="V42" s="16">
        <f t="shared" si="50"/>
        <v>0</v>
      </c>
      <c r="W42" s="14"/>
      <c r="X42" s="14"/>
      <c r="Y42" s="14"/>
      <c r="Z42" s="14"/>
    </row>
    <row r="43" spans="3:26" x14ac:dyDescent="0.25">
      <c r="C43" s="2" t="s">
        <v>68</v>
      </c>
      <c r="D43" s="14">
        <v>5107</v>
      </c>
      <c r="E43" s="14">
        <v>6350</v>
      </c>
      <c r="F43" s="14">
        <v>6199</v>
      </c>
      <c r="G43" s="14">
        <v>6139</v>
      </c>
      <c r="H43" s="14">
        <v>5902</v>
      </c>
      <c r="I43" s="14">
        <v>5964</v>
      </c>
      <c r="J43" s="14">
        <v>5813</v>
      </c>
      <c r="K43" s="14">
        <v>6067</v>
      </c>
      <c r="L43" s="14">
        <v>5328</v>
      </c>
      <c r="M43" s="14">
        <v>6736</v>
      </c>
      <c r="N43" s="14">
        <v>6753</v>
      </c>
      <c r="O43" s="14">
        <v>6120</v>
      </c>
      <c r="P43" s="14">
        <v>5405</v>
      </c>
      <c r="Q43" s="14">
        <v>5223</v>
      </c>
      <c r="R43" s="14">
        <v>5202</v>
      </c>
      <c r="S43" s="15">
        <v>3572</v>
      </c>
      <c r="T43" s="14"/>
      <c r="U43" s="14"/>
      <c r="V43" s="14"/>
      <c r="W43" s="14"/>
      <c r="X43" s="14"/>
      <c r="Y43" s="14"/>
      <c r="Z43" s="14"/>
    </row>
    <row r="44" spans="3:26" x14ac:dyDescent="0.25">
      <c r="C44" s="2" t="s">
        <v>69</v>
      </c>
      <c r="D44" s="14">
        <v>0</v>
      </c>
      <c r="E44" s="14">
        <v>0</v>
      </c>
      <c r="F44" s="14">
        <v>0</v>
      </c>
      <c r="G44" s="14">
        <v>0</v>
      </c>
      <c r="H44" s="14">
        <v>0</v>
      </c>
      <c r="I44" s="14">
        <v>0</v>
      </c>
      <c r="J44" s="14">
        <v>0</v>
      </c>
      <c r="K44" s="14">
        <v>0</v>
      </c>
      <c r="L44" s="14">
        <v>1245</v>
      </c>
      <c r="M44" s="14">
        <v>0</v>
      </c>
      <c r="N44" s="14">
        <v>0</v>
      </c>
      <c r="O44" s="14">
        <v>0</v>
      </c>
      <c r="P44" s="14">
        <v>991</v>
      </c>
      <c r="Q44" s="14">
        <v>904</v>
      </c>
      <c r="R44" s="14">
        <v>802</v>
      </c>
      <c r="S44" s="15">
        <v>880</v>
      </c>
      <c r="T44" s="14"/>
      <c r="U44" s="14"/>
      <c r="V44" s="14"/>
      <c r="W44" s="14"/>
      <c r="X44" s="14"/>
      <c r="Y44" s="14"/>
      <c r="Z44" s="14"/>
    </row>
    <row r="45" spans="3:26" x14ac:dyDescent="0.25">
      <c r="C45" s="2" t="s">
        <v>70</v>
      </c>
      <c r="D45" s="14">
        <v>667</v>
      </c>
      <c r="E45" s="14">
        <v>668</v>
      </c>
      <c r="F45" s="14">
        <v>619</v>
      </c>
      <c r="G45" s="14">
        <v>657</v>
      </c>
      <c r="H45" s="14">
        <v>646</v>
      </c>
      <c r="I45" s="14">
        <v>613</v>
      </c>
      <c r="J45" s="14">
        <v>591</v>
      </c>
      <c r="K45" s="14">
        <v>607</v>
      </c>
      <c r="L45" s="14">
        <v>624</v>
      </c>
      <c r="M45" s="14">
        <v>680</v>
      </c>
      <c r="N45" s="14">
        <v>663</v>
      </c>
      <c r="O45" s="14">
        <v>675</v>
      </c>
      <c r="P45" s="14">
        <v>580</v>
      </c>
      <c r="Q45" s="14">
        <v>599</v>
      </c>
      <c r="R45" s="14">
        <v>602</v>
      </c>
      <c r="S45" s="15">
        <v>552</v>
      </c>
      <c r="T45" s="14"/>
      <c r="U45" s="14"/>
      <c r="V45" s="14"/>
      <c r="W45" s="14"/>
      <c r="X45" s="14"/>
      <c r="Y45" s="14"/>
      <c r="Z45" s="14"/>
    </row>
    <row r="46" spans="3:26" x14ac:dyDescent="0.25">
      <c r="C46" s="2" t="s">
        <v>71</v>
      </c>
      <c r="D46" s="14">
        <v>0</v>
      </c>
      <c r="E46" s="14">
        <v>0</v>
      </c>
      <c r="F46" s="14">
        <v>0</v>
      </c>
      <c r="G46" s="14">
        <v>0</v>
      </c>
      <c r="H46" s="14">
        <v>0</v>
      </c>
      <c r="I46" s="14">
        <v>0</v>
      </c>
      <c r="J46" s="14">
        <v>0</v>
      </c>
      <c r="K46" s="14">
        <v>0</v>
      </c>
      <c r="L46" s="14">
        <v>34</v>
      </c>
      <c r="M46" s="14">
        <v>0</v>
      </c>
      <c r="N46" s="14">
        <v>0</v>
      </c>
      <c r="O46" s="14">
        <v>0</v>
      </c>
      <c r="P46" s="14">
        <v>13</v>
      </c>
      <c r="Q46" s="14">
        <v>14</v>
      </c>
      <c r="R46" s="14">
        <v>18</v>
      </c>
      <c r="S46" s="15">
        <v>55</v>
      </c>
      <c r="T46" s="14"/>
      <c r="U46" s="14"/>
      <c r="V46" s="14"/>
      <c r="W46" s="14"/>
      <c r="X46" s="14"/>
      <c r="Y46" s="14"/>
      <c r="Z46" s="14"/>
    </row>
    <row r="47" spans="3:26" x14ac:dyDescent="0.25">
      <c r="C47" s="2" t="s">
        <v>68</v>
      </c>
      <c r="D47" s="14">
        <v>8458</v>
      </c>
      <c r="E47" s="14">
        <v>8495</v>
      </c>
      <c r="F47" s="14">
        <v>8384</v>
      </c>
      <c r="G47" s="14">
        <v>8975</v>
      </c>
      <c r="H47" s="14">
        <v>9224</v>
      </c>
      <c r="I47" s="14">
        <v>10334</v>
      </c>
      <c r="J47" s="14">
        <v>9304</v>
      </c>
      <c r="K47" s="14">
        <v>8982</v>
      </c>
      <c r="L47" s="14">
        <v>968</v>
      </c>
      <c r="M47" s="14">
        <v>8380</v>
      </c>
      <c r="N47" s="14">
        <v>7952</v>
      </c>
      <c r="O47" s="14">
        <v>8317</v>
      </c>
      <c r="P47" s="14">
        <v>0</v>
      </c>
      <c r="Q47" s="14">
        <v>525</v>
      </c>
      <c r="R47" s="14">
        <v>500</v>
      </c>
      <c r="S47" s="15">
        <v>1615</v>
      </c>
      <c r="T47" s="14"/>
      <c r="U47" s="14"/>
      <c r="V47" s="14"/>
      <c r="W47" s="14"/>
      <c r="X47" s="14"/>
      <c r="Y47" s="14"/>
      <c r="Z47" s="14"/>
    </row>
    <row r="48" spans="3:26" x14ac:dyDescent="0.25">
      <c r="C48" s="2" t="s">
        <v>69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v>0</v>
      </c>
      <c r="K48" s="14">
        <v>0</v>
      </c>
      <c r="L48" s="14">
        <v>603</v>
      </c>
      <c r="M48" s="14">
        <v>0</v>
      </c>
      <c r="N48" s="14">
        <v>0</v>
      </c>
      <c r="O48" s="14">
        <v>0</v>
      </c>
      <c r="P48" s="14">
        <v>576</v>
      </c>
      <c r="Q48" s="14">
        <v>556</v>
      </c>
      <c r="R48" s="14">
        <v>527</v>
      </c>
      <c r="S48" s="15">
        <v>538</v>
      </c>
      <c r="T48" s="14"/>
      <c r="U48" s="14"/>
      <c r="V48" s="14"/>
      <c r="W48" s="14"/>
      <c r="X48" s="14"/>
      <c r="Y48" s="14"/>
      <c r="Z48" s="14"/>
    </row>
    <row r="49" spans="3:35" x14ac:dyDescent="0.25">
      <c r="C49" s="2" t="s">
        <v>72</v>
      </c>
      <c r="D49" s="14">
        <v>108</v>
      </c>
      <c r="E49" s="14">
        <v>85</v>
      </c>
      <c r="F49" s="14">
        <v>66</v>
      </c>
      <c r="G49" s="14">
        <v>45</v>
      </c>
      <c r="H49" s="14">
        <v>36</v>
      </c>
      <c r="I49" s="14">
        <v>48</v>
      </c>
      <c r="J49" s="14">
        <v>53</v>
      </c>
      <c r="K49" s="14">
        <v>61</v>
      </c>
      <c r="L49" s="14">
        <v>43</v>
      </c>
      <c r="M49" s="14">
        <v>40</v>
      </c>
      <c r="N49" s="14">
        <v>46</v>
      </c>
      <c r="O49" s="14">
        <v>41</v>
      </c>
      <c r="P49" s="14">
        <v>41</v>
      </c>
      <c r="Q49" s="14">
        <v>68</v>
      </c>
      <c r="R49" s="14">
        <v>46</v>
      </c>
      <c r="S49" s="15">
        <v>138</v>
      </c>
      <c r="T49" s="14"/>
      <c r="U49" s="14"/>
      <c r="V49" s="14"/>
      <c r="W49" s="14"/>
      <c r="X49" s="14"/>
      <c r="Y49" s="14"/>
      <c r="Z49" s="14"/>
    </row>
    <row r="50" spans="3:35" x14ac:dyDescent="0.25">
      <c r="C50" s="2" t="s">
        <v>73</v>
      </c>
      <c r="D50" s="14">
        <v>0</v>
      </c>
      <c r="E50" s="14">
        <v>0</v>
      </c>
      <c r="F50" s="14">
        <v>0</v>
      </c>
      <c r="G50" s="14">
        <v>0</v>
      </c>
      <c r="H50" s="14">
        <v>0</v>
      </c>
      <c r="I50" s="14">
        <v>0</v>
      </c>
      <c r="J50" s="14">
        <v>0</v>
      </c>
      <c r="K50" s="14">
        <v>0</v>
      </c>
      <c r="L50" s="14">
        <v>2098</v>
      </c>
      <c r="M50" s="14">
        <v>0</v>
      </c>
      <c r="N50" s="14">
        <v>0</v>
      </c>
      <c r="O50" s="14">
        <v>0</v>
      </c>
      <c r="P50" s="14">
        <v>1859</v>
      </c>
      <c r="Q50" s="14">
        <v>1986</v>
      </c>
      <c r="R50" s="14">
        <v>2253</v>
      </c>
      <c r="S50" s="15">
        <v>2638</v>
      </c>
      <c r="T50" s="14"/>
      <c r="U50" s="14"/>
      <c r="V50" s="14"/>
      <c r="W50" s="14"/>
      <c r="X50" s="14"/>
      <c r="Y50" s="14"/>
      <c r="Z50" s="14"/>
    </row>
    <row r="51" spans="3:35" x14ac:dyDescent="0.25">
      <c r="C51" s="2" t="s">
        <v>74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v>0</v>
      </c>
      <c r="K51" s="14">
        <v>0</v>
      </c>
      <c r="L51" s="14">
        <v>1000</v>
      </c>
      <c r="M51" s="14">
        <v>0</v>
      </c>
      <c r="N51" s="14">
        <v>0</v>
      </c>
      <c r="O51" s="14">
        <v>0</v>
      </c>
      <c r="P51" s="14">
        <v>654</v>
      </c>
      <c r="Q51" s="14">
        <v>940</v>
      </c>
      <c r="R51" s="14">
        <v>867</v>
      </c>
      <c r="S51" s="15">
        <v>787</v>
      </c>
      <c r="T51" s="14"/>
      <c r="U51" s="14"/>
      <c r="V51" s="14"/>
      <c r="W51" s="14"/>
      <c r="X51" s="14"/>
      <c r="Y51" s="14"/>
      <c r="Z51" s="14"/>
    </row>
    <row r="52" spans="3:35" x14ac:dyDescent="0.25">
      <c r="C52" s="2" t="s">
        <v>75</v>
      </c>
      <c r="D52" s="14">
        <v>0</v>
      </c>
      <c r="E52" s="14">
        <v>0</v>
      </c>
      <c r="F52" s="14">
        <v>0</v>
      </c>
      <c r="G52" s="14">
        <v>0</v>
      </c>
      <c r="H52" s="14">
        <v>0</v>
      </c>
      <c r="I52" s="14">
        <v>0</v>
      </c>
      <c r="J52" s="14">
        <v>0</v>
      </c>
      <c r="K52" s="14">
        <v>0</v>
      </c>
      <c r="L52" s="14">
        <v>4203</v>
      </c>
      <c r="M52" s="14">
        <v>0</v>
      </c>
      <c r="N52" s="14">
        <v>0</v>
      </c>
      <c r="O52" s="14">
        <v>0</v>
      </c>
      <c r="P52" s="14">
        <v>3898</v>
      </c>
      <c r="Q52" s="14">
        <v>4020</v>
      </c>
      <c r="R52" s="14">
        <v>3605</v>
      </c>
      <c r="S52" s="15">
        <v>3586</v>
      </c>
      <c r="T52" s="14"/>
      <c r="U52" s="14"/>
      <c r="V52" s="14"/>
      <c r="W52" s="14"/>
      <c r="X52" s="14"/>
      <c r="Y52" s="14"/>
      <c r="Z52" s="14"/>
    </row>
    <row r="53" spans="3:35" x14ac:dyDescent="0.25">
      <c r="C53" s="11" t="s">
        <v>76</v>
      </c>
      <c r="D53" s="16">
        <f t="shared" ref="D53:O53" si="51">SUM(D43:D52)</f>
        <v>14340</v>
      </c>
      <c r="E53" s="16">
        <f t="shared" si="51"/>
        <v>15598</v>
      </c>
      <c r="F53" s="16">
        <f t="shared" si="51"/>
        <v>15268</v>
      </c>
      <c r="G53" s="16">
        <f t="shared" si="51"/>
        <v>15816</v>
      </c>
      <c r="H53" s="16">
        <f t="shared" si="51"/>
        <v>15808</v>
      </c>
      <c r="I53" s="16">
        <f t="shared" si="51"/>
        <v>16959</v>
      </c>
      <c r="J53" s="16">
        <f t="shared" si="51"/>
        <v>15761</v>
      </c>
      <c r="K53" s="16">
        <f t="shared" si="51"/>
        <v>15717</v>
      </c>
      <c r="L53" s="16">
        <f t="shared" si="51"/>
        <v>16146</v>
      </c>
      <c r="M53" s="16">
        <f t="shared" si="51"/>
        <v>15836</v>
      </c>
      <c r="N53" s="16">
        <f t="shared" si="51"/>
        <v>15414</v>
      </c>
      <c r="O53" s="16">
        <f t="shared" si="51"/>
        <v>15153</v>
      </c>
      <c r="P53" s="16">
        <f>SUM(P43:P52)</f>
        <v>14017</v>
      </c>
      <c r="Q53" s="16">
        <f>SUM(Q43:Q52)</f>
        <v>14835</v>
      </c>
      <c r="R53" s="16">
        <f>SUM(R43:R52)</f>
        <v>14422</v>
      </c>
      <c r="S53" s="84">
        <f t="shared" ref="S53:V53" si="52">SUM(S43:S52)</f>
        <v>14361</v>
      </c>
      <c r="T53" s="16">
        <f t="shared" si="52"/>
        <v>0</v>
      </c>
      <c r="U53" s="16">
        <f t="shared" si="52"/>
        <v>0</v>
      </c>
      <c r="V53" s="16">
        <f t="shared" si="52"/>
        <v>0</v>
      </c>
      <c r="W53" s="14"/>
      <c r="X53" s="14"/>
      <c r="Y53" s="14"/>
      <c r="Z53" s="14"/>
    </row>
    <row r="54" spans="3:35" x14ac:dyDescent="0.25">
      <c r="C54" s="1" t="s">
        <v>77</v>
      </c>
      <c r="D54" s="12">
        <f t="shared" ref="D54:O54" si="53">D42+D53</f>
        <v>25760</v>
      </c>
      <c r="E54" s="12">
        <f t="shared" si="53"/>
        <v>26916</v>
      </c>
      <c r="F54" s="12">
        <f t="shared" si="53"/>
        <v>26970</v>
      </c>
      <c r="G54" s="12">
        <f t="shared" si="53"/>
        <v>27994</v>
      </c>
      <c r="H54" s="12">
        <f t="shared" si="53"/>
        <v>28410</v>
      </c>
      <c r="I54" s="12">
        <f t="shared" si="53"/>
        <v>29511</v>
      </c>
      <c r="J54" s="12">
        <f t="shared" si="53"/>
        <v>28298</v>
      </c>
      <c r="K54" s="12">
        <f t="shared" si="53"/>
        <v>28172</v>
      </c>
      <c r="L54" s="12">
        <f t="shared" si="53"/>
        <v>29172</v>
      </c>
      <c r="M54" s="12">
        <f t="shared" si="53"/>
        <v>28515</v>
      </c>
      <c r="N54" s="12">
        <f t="shared" si="53"/>
        <v>28079</v>
      </c>
      <c r="O54" s="12">
        <f t="shared" si="53"/>
        <v>28304</v>
      </c>
      <c r="P54" s="12">
        <f>P42+P53</f>
        <v>26925</v>
      </c>
      <c r="Q54" s="12">
        <f>Q42+Q53</f>
        <v>27394</v>
      </c>
      <c r="R54" s="12">
        <f>R42+R53</f>
        <v>27048</v>
      </c>
      <c r="S54" s="13">
        <f t="shared" ref="S54:V54" si="54">S42+S53</f>
        <v>27039</v>
      </c>
      <c r="T54" s="12">
        <f t="shared" si="54"/>
        <v>0</v>
      </c>
      <c r="U54" s="12">
        <f t="shared" si="54"/>
        <v>0</v>
      </c>
      <c r="V54" s="12">
        <f t="shared" si="54"/>
        <v>0</v>
      </c>
      <c r="W54" s="14"/>
      <c r="X54" s="14"/>
      <c r="Y54" s="14"/>
      <c r="Z54" s="14"/>
    </row>
    <row r="55" spans="3:35" x14ac:dyDescent="0.25"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"/>
      <c r="P55" s="1"/>
    </row>
    <row r="56" spans="3:35" x14ac:dyDescent="0.25">
      <c r="C56" s="3" t="s">
        <v>110</v>
      </c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</row>
    <row r="57" spans="3:35" x14ac:dyDescent="0.25">
      <c r="C57" s="2" t="s">
        <v>78</v>
      </c>
      <c r="D57" s="14">
        <f>D16</f>
        <v>289</v>
      </c>
      <c r="E57" s="14">
        <f>E16</f>
        <v>237</v>
      </c>
      <c r="F57" s="14">
        <f>F16</f>
        <v>217</v>
      </c>
      <c r="G57" s="14">
        <f>G16</f>
        <v>475</v>
      </c>
      <c r="H57" s="14">
        <f>H16</f>
        <v>569</v>
      </c>
      <c r="I57" s="14">
        <f>I16</f>
        <v>287</v>
      </c>
      <c r="J57" s="14">
        <f>J16</f>
        <v>196</v>
      </c>
      <c r="K57" s="14">
        <f>K16</f>
        <v>447</v>
      </c>
      <c r="L57" s="14">
        <f>L16</f>
        <v>472</v>
      </c>
      <c r="M57" s="14">
        <f>M16</f>
        <v>474</v>
      </c>
      <c r="N57" s="14">
        <f>N16</f>
        <v>204</v>
      </c>
      <c r="O57" s="14">
        <f>O16</f>
        <v>488</v>
      </c>
      <c r="P57" s="14">
        <f>P16</f>
        <v>335</v>
      </c>
      <c r="Q57" s="14">
        <f>Q16</f>
        <v>225</v>
      </c>
      <c r="R57" s="14">
        <f>R16</f>
        <v>202</v>
      </c>
      <c r="S57" s="15">
        <f>S16</f>
        <v>297</v>
      </c>
      <c r="T57" s="14">
        <f>T16</f>
        <v>0</v>
      </c>
      <c r="U57" s="14">
        <f>Y16</f>
        <v>0</v>
      </c>
      <c r="V57" s="14">
        <f>V16</f>
        <v>0</v>
      </c>
      <c r="AD57" s="14">
        <f>AD16</f>
        <v>1040</v>
      </c>
      <c r="AE57" s="14">
        <f>AE16</f>
        <v>1271</v>
      </c>
      <c r="AF57" s="14">
        <f>AF16</f>
        <v>1394</v>
      </c>
      <c r="AG57" s="14">
        <f>AG16</f>
        <v>1219</v>
      </c>
      <c r="AH57" s="14">
        <f>AH16</f>
        <v>1441</v>
      </c>
      <c r="AI57" s="14">
        <f>AI16</f>
        <v>1635</v>
      </c>
    </row>
    <row r="58" spans="3:35" x14ac:dyDescent="0.25">
      <c r="C58" s="2" t="s">
        <v>79</v>
      </c>
      <c r="D58" s="14">
        <v>290</v>
      </c>
      <c r="E58" s="14">
        <v>237</v>
      </c>
      <c r="F58" s="14">
        <v>218</v>
      </c>
      <c r="G58" s="14">
        <v>475</v>
      </c>
      <c r="H58" s="14">
        <v>568</v>
      </c>
      <c r="I58" s="14">
        <v>287</v>
      </c>
      <c r="J58" s="14">
        <v>196</v>
      </c>
      <c r="K58" s="14">
        <v>391</v>
      </c>
      <c r="L58" s="14">
        <v>471</v>
      </c>
      <c r="M58" s="14">
        <v>474</v>
      </c>
      <c r="N58" s="14">
        <v>204</v>
      </c>
      <c r="O58" s="14">
        <v>487</v>
      </c>
      <c r="P58" s="14">
        <v>335</v>
      </c>
      <c r="Q58" s="14">
        <v>226</v>
      </c>
      <c r="R58" s="2">
        <v>203</v>
      </c>
      <c r="S58" s="4">
        <v>298</v>
      </c>
      <c r="AD58" s="14">
        <v>1039</v>
      </c>
      <c r="AE58" s="14">
        <v>1270</v>
      </c>
      <c r="AF58" s="14">
        <v>1393</v>
      </c>
      <c r="AG58" s="14">
        <v>1220</v>
      </c>
      <c r="AH58" s="14">
        <v>1441</v>
      </c>
      <c r="AI58" s="14">
        <v>1635</v>
      </c>
    </row>
    <row r="59" spans="3:35" x14ac:dyDescent="0.25">
      <c r="C59" s="2" t="s">
        <v>80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219</v>
      </c>
      <c r="M59" s="14">
        <v>0</v>
      </c>
      <c r="N59" s="14">
        <v>0</v>
      </c>
      <c r="O59" s="14">
        <v>0</v>
      </c>
      <c r="P59" s="14">
        <v>215</v>
      </c>
      <c r="Q59" s="14">
        <v>208</v>
      </c>
      <c r="R59" s="2">
        <v>206</v>
      </c>
      <c r="S59" s="4">
        <v>208</v>
      </c>
      <c r="AD59" s="14">
        <v>0</v>
      </c>
      <c r="AE59" s="14">
        <v>0</v>
      </c>
      <c r="AF59" s="14">
        <v>0</v>
      </c>
      <c r="AG59" s="14">
        <v>0</v>
      </c>
      <c r="AH59" s="14">
        <v>958</v>
      </c>
      <c r="AI59" s="14">
        <v>914</v>
      </c>
    </row>
    <row r="60" spans="3:35" x14ac:dyDescent="0.25">
      <c r="C60" s="2" t="s">
        <v>81</v>
      </c>
      <c r="D60" s="14">
        <v>351</v>
      </c>
      <c r="E60" s="14">
        <v>392</v>
      </c>
      <c r="F60" s="14">
        <v>212</v>
      </c>
      <c r="G60" s="14">
        <v>50</v>
      </c>
      <c r="H60" s="14">
        <v>215</v>
      </c>
      <c r="I60" s="14">
        <v>364</v>
      </c>
      <c r="J60" s="14">
        <v>267</v>
      </c>
      <c r="K60" s="14">
        <v>195</v>
      </c>
      <c r="L60" s="14">
        <v>-20</v>
      </c>
      <c r="M60" s="14">
        <v>103</v>
      </c>
      <c r="N60" s="14">
        <v>273</v>
      </c>
      <c r="O60" s="14">
        <v>363</v>
      </c>
      <c r="P60" s="14">
        <v>14</v>
      </c>
      <c r="Q60" s="14">
        <v>11</v>
      </c>
      <c r="R60" s="2">
        <v>22</v>
      </c>
      <c r="S60" s="4">
        <v>84</v>
      </c>
      <c r="AD60" s="14">
        <v>880</v>
      </c>
      <c r="AE60" s="14">
        <v>460</v>
      </c>
      <c r="AF60" s="14">
        <v>874</v>
      </c>
      <c r="AG60" s="14">
        <v>1005</v>
      </c>
      <c r="AH60" s="14">
        <v>82</v>
      </c>
      <c r="AI60" s="14">
        <v>25</v>
      </c>
    </row>
    <row r="61" spans="3:35" x14ac:dyDescent="0.25">
      <c r="C61" s="2" t="s">
        <v>82</v>
      </c>
      <c r="D61" s="14">
        <v>-142</v>
      </c>
      <c r="E61" s="14">
        <v>-79</v>
      </c>
      <c r="F61" s="14">
        <v>-20</v>
      </c>
      <c r="G61" s="14">
        <v>-145</v>
      </c>
      <c r="H61" s="14">
        <v>-120</v>
      </c>
      <c r="I61" s="14">
        <v>-136</v>
      </c>
      <c r="J61" s="14">
        <v>-37</v>
      </c>
      <c r="K61" s="14">
        <v>-140</v>
      </c>
      <c r="L61" s="14">
        <v>-85</v>
      </c>
      <c r="M61" s="14">
        <v>-97</v>
      </c>
      <c r="N61" s="14">
        <v>-110</v>
      </c>
      <c r="O61" s="14">
        <v>-87</v>
      </c>
      <c r="P61" s="14">
        <v>-98</v>
      </c>
      <c r="Q61" s="14">
        <v>-95</v>
      </c>
      <c r="R61" s="2">
        <v>-118</v>
      </c>
      <c r="S61" s="4">
        <v>-26</v>
      </c>
      <c r="AD61" s="14">
        <v>-284</v>
      </c>
      <c r="AE61" s="14">
        <v>-163</v>
      </c>
      <c r="AF61" s="14">
        <v>-229</v>
      </c>
      <c r="AG61" s="14">
        <v>-385</v>
      </c>
      <c r="AH61" s="14">
        <v>-433</v>
      </c>
      <c r="AI61" s="14">
        <v>-379</v>
      </c>
    </row>
    <row r="62" spans="3:35" x14ac:dyDescent="0.25">
      <c r="C62" s="2" t="s">
        <v>83</v>
      </c>
      <c r="D62" s="14">
        <v>-235</v>
      </c>
      <c r="E62" s="14">
        <v>-260</v>
      </c>
      <c r="F62" s="14">
        <v>-323</v>
      </c>
      <c r="G62" s="14">
        <v>21</v>
      </c>
      <c r="H62" s="14">
        <v>-609</v>
      </c>
      <c r="I62" s="14">
        <v>-11</v>
      </c>
      <c r="J62" s="14">
        <v>-148</v>
      </c>
      <c r="K62" s="14">
        <v>512</v>
      </c>
      <c r="L62" s="14">
        <v>-477</v>
      </c>
      <c r="M62" s="14">
        <v>-59</v>
      </c>
      <c r="N62" s="14">
        <v>-205</v>
      </c>
      <c r="O62" s="14">
        <v>540</v>
      </c>
      <c r="P62" s="14">
        <v>-348</v>
      </c>
      <c r="Q62" s="14">
        <v>4</v>
      </c>
      <c r="R62" s="2">
        <f>253-148</f>
        <v>105</v>
      </c>
      <c r="S62" s="4">
        <f>429+340</f>
        <v>769</v>
      </c>
      <c r="AD62" s="14">
        <f>99+259</f>
        <v>358</v>
      </c>
      <c r="AE62" s="14">
        <f>445+73</f>
        <v>518</v>
      </c>
      <c r="AF62" s="14">
        <f>-980+440</f>
        <v>-540</v>
      </c>
      <c r="AG62" s="14">
        <f>-996+198</f>
        <v>-798</v>
      </c>
      <c r="AH62" s="14">
        <f>-325+70</f>
        <v>-255</v>
      </c>
      <c r="AI62" s="14">
        <f>-115-86</f>
        <v>-201</v>
      </c>
    </row>
    <row r="63" spans="3:35" x14ac:dyDescent="0.25">
      <c r="C63" s="1" t="s">
        <v>84</v>
      </c>
      <c r="D63" s="12">
        <f t="shared" ref="D63:O63" si="55">SUM(D58:D62)</f>
        <v>264</v>
      </c>
      <c r="E63" s="12">
        <f t="shared" si="55"/>
        <v>290</v>
      </c>
      <c r="F63" s="12">
        <f t="shared" si="55"/>
        <v>87</v>
      </c>
      <c r="G63" s="12">
        <f t="shared" si="55"/>
        <v>401</v>
      </c>
      <c r="H63" s="12">
        <f t="shared" si="55"/>
        <v>54</v>
      </c>
      <c r="I63" s="12">
        <f t="shared" si="55"/>
        <v>504</v>
      </c>
      <c r="J63" s="12">
        <f t="shared" si="55"/>
        <v>278</v>
      </c>
      <c r="K63" s="12">
        <f t="shared" si="55"/>
        <v>958</v>
      </c>
      <c r="L63" s="12">
        <f t="shared" si="55"/>
        <v>108</v>
      </c>
      <c r="M63" s="12">
        <f t="shared" si="55"/>
        <v>421</v>
      </c>
      <c r="N63" s="12">
        <f t="shared" si="55"/>
        <v>162</v>
      </c>
      <c r="O63" s="12">
        <f t="shared" si="55"/>
        <v>1303</v>
      </c>
      <c r="P63" s="12">
        <f>SUM(P58:P62)</f>
        <v>118</v>
      </c>
      <c r="Q63" s="12">
        <f>SUM(Q58:Q62)</f>
        <v>354</v>
      </c>
      <c r="R63" s="12">
        <f>SUM(R58:R62)</f>
        <v>418</v>
      </c>
      <c r="S63" s="13">
        <f t="shared" ref="S63:V63" si="56">SUM(S58:S62)</f>
        <v>1333</v>
      </c>
      <c r="T63" s="12">
        <f t="shared" si="56"/>
        <v>0</v>
      </c>
      <c r="U63" s="12">
        <f t="shared" si="56"/>
        <v>0</v>
      </c>
      <c r="V63" s="12">
        <f t="shared" si="56"/>
        <v>0</v>
      </c>
      <c r="AD63" s="12">
        <f t="shared" ref="AD63:AH63" si="57">SUM(AD58:AD62)</f>
        <v>1993</v>
      </c>
      <c r="AE63" s="12">
        <f t="shared" si="57"/>
        <v>2085</v>
      </c>
      <c r="AF63" s="12">
        <f t="shared" si="57"/>
        <v>1498</v>
      </c>
      <c r="AG63" s="12">
        <f t="shared" si="57"/>
        <v>1042</v>
      </c>
      <c r="AH63" s="12">
        <f t="shared" si="57"/>
        <v>1793</v>
      </c>
      <c r="AI63" s="12">
        <f>SUM(AI58:AI62)</f>
        <v>1994</v>
      </c>
    </row>
    <row r="64" spans="3:35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AD64" s="14"/>
      <c r="AE64" s="14"/>
      <c r="AF64" s="14"/>
      <c r="AG64" s="14"/>
      <c r="AH64" s="14"/>
      <c r="AI64" s="14"/>
    </row>
    <row r="65" spans="3:35" x14ac:dyDescent="0.25">
      <c r="C65" s="2" t="s">
        <v>85</v>
      </c>
      <c r="D65" s="14">
        <v>-720</v>
      </c>
      <c r="E65" s="14">
        <v>-28</v>
      </c>
      <c r="F65" s="14">
        <v>-117</v>
      </c>
      <c r="G65" s="14">
        <v>-8</v>
      </c>
      <c r="H65" s="14">
        <v>-168</v>
      </c>
      <c r="I65" s="14">
        <v>-381</v>
      </c>
      <c r="J65" s="14">
        <v>-68</v>
      </c>
      <c r="K65" s="14">
        <v>-139</v>
      </c>
      <c r="L65" s="14">
        <f>-84-29</f>
        <v>-113</v>
      </c>
      <c r="M65" s="14">
        <v>-133</v>
      </c>
      <c r="N65" s="14">
        <v>-46</v>
      </c>
      <c r="O65" s="14">
        <v>-103</v>
      </c>
      <c r="P65" s="14">
        <f>-8-20</f>
        <v>-28</v>
      </c>
      <c r="Q65" s="14">
        <v>-32</v>
      </c>
      <c r="R65" s="2">
        <f>-217-18</f>
        <v>-235</v>
      </c>
      <c r="S65" s="4">
        <f>-21-25</f>
        <v>-46</v>
      </c>
      <c r="AD65" s="14">
        <f>-136+7-67-4891+1-310-106</f>
        <v>-5502</v>
      </c>
      <c r="AE65" s="14">
        <f>-81+8-101-41-5-108-18+1</f>
        <v>-345</v>
      </c>
      <c r="AF65" s="14">
        <f>-87+44-27+1-955-204+15</f>
        <v>-1213</v>
      </c>
      <c r="AG65" s="14">
        <f>-112+105-39-813+41-44-11</f>
        <v>-873</v>
      </c>
      <c r="AH65" s="14">
        <f>-147+3-29-357-107-111-9</f>
        <v>-757</v>
      </c>
      <c r="AI65" s="14">
        <f>-107+9-26-86-13-101-60</f>
        <v>-384</v>
      </c>
    </row>
    <row r="66" spans="3:35" x14ac:dyDescent="0.25">
      <c r="C66" s="2" t="s">
        <v>86</v>
      </c>
      <c r="D66" s="14">
        <v>0</v>
      </c>
      <c r="E66" s="14">
        <v>0</v>
      </c>
      <c r="F66" s="14">
        <v>0</v>
      </c>
      <c r="G66" s="14">
        <v>0</v>
      </c>
      <c r="H66" s="14">
        <v>0</v>
      </c>
      <c r="I66" s="14">
        <v>0</v>
      </c>
      <c r="J66" s="14">
        <v>0</v>
      </c>
      <c r="K66" s="14">
        <v>0</v>
      </c>
      <c r="L66" s="14">
        <v>10</v>
      </c>
      <c r="M66" s="14">
        <v>0</v>
      </c>
      <c r="N66" s="14">
        <v>0</v>
      </c>
      <c r="O66" s="14">
        <v>0</v>
      </c>
      <c r="P66" s="14">
        <v>0</v>
      </c>
      <c r="Q66" s="14">
        <v>11</v>
      </c>
      <c r="R66" s="2">
        <v>8</v>
      </c>
      <c r="S66" s="85">
        <v>-7</v>
      </c>
      <c r="T66" s="1"/>
      <c r="U66" s="1"/>
      <c r="V66" s="1"/>
      <c r="W66" s="1"/>
      <c r="X66" s="1"/>
      <c r="Y66" s="1"/>
      <c r="Z66" s="1"/>
      <c r="AA66" s="1"/>
      <c r="AB66" s="1"/>
      <c r="AC66" s="1"/>
      <c r="AD66" s="14">
        <v>0</v>
      </c>
      <c r="AE66" s="14">
        <v>0</v>
      </c>
      <c r="AF66" s="14">
        <v>0</v>
      </c>
      <c r="AG66" s="14">
        <v>0</v>
      </c>
      <c r="AH66" s="14">
        <v>0</v>
      </c>
      <c r="AI66" s="14">
        <v>0</v>
      </c>
    </row>
    <row r="67" spans="3:35" x14ac:dyDescent="0.25">
      <c r="C67" s="1" t="s">
        <v>87</v>
      </c>
      <c r="D67" s="12">
        <f t="shared" ref="D67:O67" si="58">SUM(D65:D66)</f>
        <v>-720</v>
      </c>
      <c r="E67" s="12">
        <f ca="1">SUM(E65:E69)</f>
        <v>-152</v>
      </c>
      <c r="F67" s="12">
        <f t="shared" si="58"/>
        <v>-117</v>
      </c>
      <c r="G67" s="12">
        <f t="shared" si="58"/>
        <v>-8</v>
      </c>
      <c r="H67" s="12">
        <f t="shared" si="58"/>
        <v>-168</v>
      </c>
      <c r="I67" s="12">
        <f ca="1">SUM(I65:I69)</f>
        <v>-493</v>
      </c>
      <c r="J67" s="12">
        <f t="shared" si="58"/>
        <v>-68</v>
      </c>
      <c r="K67" s="12">
        <f t="shared" si="58"/>
        <v>-139</v>
      </c>
      <c r="L67" s="12">
        <f t="shared" si="58"/>
        <v>-103</v>
      </c>
      <c r="M67" s="12">
        <f t="shared" si="58"/>
        <v>-133</v>
      </c>
      <c r="N67" s="12">
        <f t="shared" si="58"/>
        <v>-46</v>
      </c>
      <c r="O67" s="12">
        <f t="shared" si="58"/>
        <v>-103</v>
      </c>
      <c r="P67" s="12">
        <f>SUM(P65:P66)</f>
        <v>-28</v>
      </c>
      <c r="Q67" s="12">
        <f t="shared" ref="Q67:V67" si="59">SUM(Q65:Q66)</f>
        <v>-21</v>
      </c>
      <c r="R67" s="12">
        <f t="shared" si="59"/>
        <v>-227</v>
      </c>
      <c r="S67" s="13">
        <f t="shared" si="59"/>
        <v>-53</v>
      </c>
      <c r="T67" s="12">
        <f t="shared" si="59"/>
        <v>0</v>
      </c>
      <c r="U67" s="12">
        <f t="shared" si="59"/>
        <v>0</v>
      </c>
      <c r="V67" s="12">
        <f t="shared" si="59"/>
        <v>0</v>
      </c>
      <c r="W67" s="1"/>
      <c r="X67" s="1"/>
      <c r="Y67" s="1"/>
      <c r="Z67" s="1"/>
      <c r="AA67" s="1"/>
      <c r="AB67" s="1"/>
      <c r="AC67" s="1"/>
      <c r="AD67" s="12">
        <f t="shared" ref="AD67:AH67" si="60">SUM(AD65:AD66)</f>
        <v>-5502</v>
      </c>
      <c r="AE67" s="12">
        <f t="shared" si="60"/>
        <v>-345</v>
      </c>
      <c r="AF67" s="12">
        <f t="shared" si="60"/>
        <v>-1213</v>
      </c>
      <c r="AG67" s="12">
        <f t="shared" si="60"/>
        <v>-873</v>
      </c>
      <c r="AH67" s="12">
        <f t="shared" si="60"/>
        <v>-757</v>
      </c>
      <c r="AI67" s="12">
        <f>SUM(AI65:AI66)</f>
        <v>-384</v>
      </c>
    </row>
    <row r="68" spans="3:35" x14ac:dyDescent="0.25">
      <c r="C68" s="1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"/>
      <c r="S68" s="85"/>
      <c r="T68" s="1"/>
      <c r="U68" s="1"/>
      <c r="V68" s="1"/>
      <c r="W68" s="1"/>
      <c r="X68" s="1"/>
      <c r="Y68" s="1"/>
      <c r="Z68" s="1"/>
      <c r="AA68" s="1"/>
      <c r="AB68" s="1"/>
      <c r="AC68" s="1"/>
      <c r="AD68" s="12"/>
      <c r="AE68" s="12"/>
      <c r="AF68" s="14"/>
      <c r="AG68" s="14"/>
      <c r="AH68" s="14"/>
      <c r="AI68" s="14"/>
    </row>
    <row r="69" spans="3:35" x14ac:dyDescent="0.25">
      <c r="C69" s="2" t="s">
        <v>88</v>
      </c>
      <c r="D69" s="14">
        <v>-711</v>
      </c>
      <c r="E69" s="14">
        <v>-124</v>
      </c>
      <c r="F69" s="14">
        <v>-230</v>
      </c>
      <c r="G69" s="14">
        <v>-195</v>
      </c>
      <c r="H69" s="14">
        <v>201</v>
      </c>
      <c r="I69" s="14">
        <v>-112</v>
      </c>
      <c r="J69" s="14">
        <v>-478</v>
      </c>
      <c r="K69" s="14">
        <v>-553</v>
      </c>
      <c r="L69" s="14">
        <v>561</v>
      </c>
      <c r="M69" s="14">
        <v>-1049</v>
      </c>
      <c r="N69" s="14">
        <v>-84</v>
      </c>
      <c r="O69" s="14">
        <v>-754</v>
      </c>
      <c r="P69" s="14">
        <v>-212</v>
      </c>
      <c r="Q69" s="14">
        <v>313</v>
      </c>
      <c r="R69" s="2">
        <v>-37</v>
      </c>
      <c r="S69" s="4">
        <v>-492</v>
      </c>
      <c r="Y69" s="1"/>
      <c r="Z69" s="1"/>
      <c r="AA69" s="1"/>
      <c r="AB69" s="1"/>
      <c r="AC69" s="1"/>
      <c r="AD69" s="14">
        <f>3967+3035-1881</f>
        <v>5121</v>
      </c>
      <c r="AE69" s="14">
        <f>849-1836</f>
        <v>-987</v>
      </c>
      <c r="AF69" s="14">
        <f>2139-1373</f>
        <v>766</v>
      </c>
      <c r="AG69" s="14">
        <f>1785-2117</f>
        <v>-332</v>
      </c>
      <c r="AH69" s="14">
        <f>4372-3914</f>
        <v>458</v>
      </c>
      <c r="AI69" s="14">
        <f>2174-2252</f>
        <v>-78</v>
      </c>
    </row>
    <row r="70" spans="3:35" x14ac:dyDescent="0.25">
      <c r="C70" s="2" t="s">
        <v>89</v>
      </c>
      <c r="D70" s="14">
        <v>0</v>
      </c>
      <c r="E70" s="14">
        <v>0</v>
      </c>
      <c r="F70" s="14">
        <v>0</v>
      </c>
      <c r="G70" s="14">
        <v>0</v>
      </c>
      <c r="H70" s="14">
        <v>0</v>
      </c>
      <c r="I70" s="14">
        <v>0</v>
      </c>
      <c r="J70" s="14">
        <v>0</v>
      </c>
      <c r="K70" s="14">
        <v>0</v>
      </c>
      <c r="L70" s="14">
        <v>-143</v>
      </c>
      <c r="M70" s="14">
        <v>0</v>
      </c>
      <c r="N70" s="14">
        <v>0</v>
      </c>
      <c r="O70" s="14">
        <v>0</v>
      </c>
      <c r="P70" s="14">
        <v>-148</v>
      </c>
      <c r="Q70" s="14">
        <v>-138</v>
      </c>
      <c r="R70" s="2">
        <v>-137</v>
      </c>
      <c r="S70" s="4">
        <v>-148</v>
      </c>
      <c r="Y70" s="1"/>
      <c r="Z70" s="1"/>
      <c r="AA70" s="1"/>
      <c r="AB70" s="1"/>
      <c r="AC70" s="1"/>
      <c r="AD70" s="14">
        <v>0</v>
      </c>
      <c r="AE70" s="14">
        <v>0</v>
      </c>
      <c r="AF70" s="14">
        <v>0</v>
      </c>
      <c r="AG70" s="14">
        <v>0</v>
      </c>
      <c r="AH70" s="14">
        <v>-606</v>
      </c>
      <c r="AI70" s="14">
        <v>-620</v>
      </c>
    </row>
    <row r="71" spans="3:35" x14ac:dyDescent="0.25">
      <c r="C71" s="2" t="s">
        <v>90</v>
      </c>
      <c r="D71" s="14">
        <v>0</v>
      </c>
      <c r="E71" s="14">
        <v>0</v>
      </c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0</v>
      </c>
      <c r="Q71" s="14">
        <v>0</v>
      </c>
      <c r="R71" s="2">
        <v>0</v>
      </c>
      <c r="S71" s="4">
        <v>0</v>
      </c>
      <c r="Y71" s="1"/>
      <c r="Z71" s="1"/>
      <c r="AA71" s="1"/>
      <c r="AB71" s="1"/>
      <c r="AC71" s="1"/>
      <c r="AD71" s="14">
        <v>-331</v>
      </c>
      <c r="AE71" s="14">
        <v>0</v>
      </c>
      <c r="AF71" s="14">
        <v>-7</v>
      </c>
      <c r="AG71" s="14">
        <v>-58</v>
      </c>
      <c r="AH71" s="14">
        <v>-623</v>
      </c>
      <c r="AI71" s="14">
        <v>-149</v>
      </c>
    </row>
    <row r="72" spans="3:35" x14ac:dyDescent="0.25">
      <c r="C72" s="2" t="s">
        <v>95</v>
      </c>
      <c r="D72" s="14">
        <v>0</v>
      </c>
      <c r="E72" s="14">
        <v>0</v>
      </c>
      <c r="F72" s="14">
        <v>0</v>
      </c>
      <c r="G72" s="14">
        <v>0</v>
      </c>
      <c r="H72" s="14">
        <v>0</v>
      </c>
      <c r="I72" s="14">
        <v>0</v>
      </c>
      <c r="J72" s="14">
        <v>0</v>
      </c>
      <c r="K72" s="14">
        <v>0</v>
      </c>
      <c r="L72" s="14">
        <v>0</v>
      </c>
      <c r="M72" s="14">
        <v>0</v>
      </c>
      <c r="N72" s="14">
        <v>0</v>
      </c>
      <c r="O72" s="14">
        <v>0</v>
      </c>
      <c r="P72" s="14">
        <v>0</v>
      </c>
      <c r="Q72" s="14">
        <v>-680</v>
      </c>
      <c r="R72" s="2">
        <v>0</v>
      </c>
      <c r="S72" s="4">
        <v>0</v>
      </c>
      <c r="Y72" s="1"/>
      <c r="Z72" s="1"/>
      <c r="AA72" s="1"/>
      <c r="AB72" s="1"/>
      <c r="AC72" s="1"/>
      <c r="AD72" s="14">
        <f>-560-164</f>
        <v>-724</v>
      </c>
      <c r="AE72" s="14">
        <v>0</v>
      </c>
      <c r="AF72" s="14">
        <f>-566-205</f>
        <v>-771</v>
      </c>
      <c r="AG72" s="14">
        <v>-623</v>
      </c>
      <c r="AH72" s="14">
        <v>-171</v>
      </c>
      <c r="AI72" s="14">
        <v>-623</v>
      </c>
    </row>
    <row r="73" spans="3:35" x14ac:dyDescent="0.25">
      <c r="C73" s="1" t="s">
        <v>91</v>
      </c>
      <c r="D73" s="12">
        <f t="shared" ref="D73:O73" si="61">SUM(D69:D72)</f>
        <v>-711</v>
      </c>
      <c r="E73" s="12">
        <f>SUM(E69:E72)</f>
        <v>-124</v>
      </c>
      <c r="F73" s="12">
        <f t="shared" si="61"/>
        <v>-230</v>
      </c>
      <c r="G73" s="12">
        <f t="shared" si="61"/>
        <v>-195</v>
      </c>
      <c r="H73" s="12">
        <f t="shared" si="61"/>
        <v>201</v>
      </c>
      <c r="I73" s="12">
        <f>SUM(I69:I72)</f>
        <v>-112</v>
      </c>
      <c r="J73" s="12">
        <f t="shared" si="61"/>
        <v>-478</v>
      </c>
      <c r="K73" s="12">
        <f t="shared" si="61"/>
        <v>-553</v>
      </c>
      <c r="L73" s="12">
        <f t="shared" si="61"/>
        <v>418</v>
      </c>
      <c r="M73" s="12">
        <f t="shared" si="61"/>
        <v>-1049</v>
      </c>
      <c r="N73" s="12">
        <f t="shared" si="61"/>
        <v>-84</v>
      </c>
      <c r="O73" s="12">
        <f t="shared" si="61"/>
        <v>-754</v>
      </c>
      <c r="P73" s="12">
        <f>SUM(P69:P72)</f>
        <v>-360</v>
      </c>
      <c r="Q73" s="12">
        <f>SUM(Q69:Q72)</f>
        <v>-505</v>
      </c>
      <c r="R73" s="12">
        <f>SUM(R69:R72)</f>
        <v>-174</v>
      </c>
      <c r="S73" s="13">
        <f t="shared" ref="S73:V73" si="62">SUM(S69:S72)</f>
        <v>-640</v>
      </c>
      <c r="T73" s="12">
        <f t="shared" si="62"/>
        <v>0</v>
      </c>
      <c r="U73" s="12">
        <f t="shared" si="62"/>
        <v>0</v>
      </c>
      <c r="V73" s="12">
        <f t="shared" si="62"/>
        <v>0</v>
      </c>
      <c r="AD73" s="12">
        <f>SUM(AD69:AD72)</f>
        <v>4066</v>
      </c>
      <c r="AE73" s="12">
        <f t="shared" ref="AE73:AH73" si="63">SUM(AE69:AE72)</f>
        <v>-987</v>
      </c>
      <c r="AF73" s="12">
        <f t="shared" si="63"/>
        <v>-12</v>
      </c>
      <c r="AG73" s="12">
        <f t="shared" si="63"/>
        <v>-1013</v>
      </c>
      <c r="AH73" s="12">
        <f t="shared" si="63"/>
        <v>-942</v>
      </c>
      <c r="AI73" s="12">
        <f>SUM(AI69:AI72)</f>
        <v>-1470</v>
      </c>
    </row>
    <row r="74" spans="3:35" x14ac:dyDescent="0.25"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AD74" s="14"/>
      <c r="AE74" s="14"/>
      <c r="AF74" s="14"/>
      <c r="AG74" s="14"/>
      <c r="AH74" s="14"/>
      <c r="AI74" s="14"/>
    </row>
    <row r="75" spans="3:35" x14ac:dyDescent="0.25">
      <c r="C75" s="2" t="s">
        <v>92</v>
      </c>
      <c r="D75" s="14">
        <v>-42</v>
      </c>
      <c r="E75" s="14">
        <v>-101</v>
      </c>
      <c r="F75" s="14">
        <v>-65</v>
      </c>
      <c r="G75" s="14">
        <v>28</v>
      </c>
      <c r="H75" s="14">
        <v>-13</v>
      </c>
      <c r="I75" s="14">
        <v>-94</v>
      </c>
      <c r="J75" s="14">
        <v>42</v>
      </c>
      <c r="K75" s="14">
        <v>49</v>
      </c>
      <c r="L75" s="14">
        <v>-27</v>
      </c>
      <c r="M75" s="14">
        <v>26</v>
      </c>
      <c r="N75" s="14">
        <v>4</v>
      </c>
      <c r="O75" s="14">
        <v>-40</v>
      </c>
      <c r="P75" s="14">
        <v>-114</v>
      </c>
      <c r="Q75" s="14">
        <v>51</v>
      </c>
      <c r="R75" s="2">
        <v>-22</v>
      </c>
      <c r="S75" s="4">
        <v>-18</v>
      </c>
      <c r="AD75" s="14">
        <v>-11</v>
      </c>
      <c r="AE75" s="14">
        <v>180</v>
      </c>
      <c r="AF75" s="14">
        <v>-92</v>
      </c>
      <c r="AG75" s="14">
        <v>-180</v>
      </c>
      <c r="AH75" s="14">
        <v>-16</v>
      </c>
      <c r="AI75" s="14">
        <v>-38</v>
      </c>
    </row>
    <row r="76" spans="3:35" x14ac:dyDescent="0.25"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AD76" s="14"/>
      <c r="AE76" s="14"/>
      <c r="AF76" s="14"/>
      <c r="AG76" s="14"/>
      <c r="AH76" s="14"/>
      <c r="AI76" s="14"/>
    </row>
    <row r="77" spans="3:35" x14ac:dyDescent="0.25">
      <c r="C77" s="2" t="s">
        <v>93</v>
      </c>
      <c r="D77" s="14">
        <f t="shared" ref="D77:O77" si="64">D63+D67+D73+D75</f>
        <v>-1209</v>
      </c>
      <c r="E77" s="14">
        <f ca="1">E63+E67+E73+E75</f>
        <v>0</v>
      </c>
      <c r="F77" s="14">
        <f t="shared" si="64"/>
        <v>-325</v>
      </c>
      <c r="G77" s="14">
        <f t="shared" si="64"/>
        <v>226</v>
      </c>
      <c r="H77" s="14">
        <f t="shared" si="64"/>
        <v>74</v>
      </c>
      <c r="I77" s="14">
        <f t="shared" ca="1" si="64"/>
        <v>11</v>
      </c>
      <c r="J77" s="14">
        <f t="shared" si="64"/>
        <v>-226</v>
      </c>
      <c r="K77" s="14">
        <f t="shared" si="64"/>
        <v>315</v>
      </c>
      <c r="L77" s="14">
        <f t="shared" si="64"/>
        <v>396</v>
      </c>
      <c r="M77" s="14">
        <f t="shared" si="64"/>
        <v>-735</v>
      </c>
      <c r="N77" s="14">
        <f t="shared" si="64"/>
        <v>36</v>
      </c>
      <c r="O77" s="14">
        <f t="shared" si="64"/>
        <v>406</v>
      </c>
      <c r="P77" s="14">
        <f>P63+P67+P73+P75</f>
        <v>-384</v>
      </c>
      <c r="Q77" s="14">
        <f>Q63+Q67+Q73+Q75</f>
        <v>-121</v>
      </c>
      <c r="R77" s="14">
        <f>R63+R67+R73+R75</f>
        <v>-5</v>
      </c>
      <c r="S77" s="15">
        <f t="shared" ref="S77:V77" si="65">S63+S67+S73+S75</f>
        <v>622</v>
      </c>
      <c r="T77" s="14">
        <f t="shared" si="65"/>
        <v>0</v>
      </c>
      <c r="U77" s="14">
        <f t="shared" si="65"/>
        <v>0</v>
      </c>
      <c r="V77" s="14">
        <f t="shared" si="65"/>
        <v>0</v>
      </c>
      <c r="AD77" s="14">
        <f t="shared" ref="AD77:AH77" si="66">AD63+AD67+AD73+AD75</f>
        <v>546</v>
      </c>
      <c r="AE77" s="14">
        <f t="shared" si="66"/>
        <v>933</v>
      </c>
      <c r="AF77" s="14">
        <f t="shared" si="66"/>
        <v>181</v>
      </c>
      <c r="AG77" s="14">
        <f t="shared" si="66"/>
        <v>-1024</v>
      </c>
      <c r="AH77" s="14">
        <f t="shared" si="66"/>
        <v>78</v>
      </c>
      <c r="AI77" s="14">
        <f>AI63+AI67+AI73+AI75</f>
        <v>102</v>
      </c>
    </row>
    <row r="78" spans="3:35" x14ac:dyDescent="0.25"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5"/>
      <c r="T78" s="14"/>
      <c r="U78" s="14"/>
      <c r="V78" s="14"/>
      <c r="AD78" s="14"/>
      <c r="AE78" s="14"/>
      <c r="AF78" s="14"/>
      <c r="AG78" s="14"/>
      <c r="AH78" s="14"/>
      <c r="AI78" s="14"/>
    </row>
    <row r="79" spans="3:35" x14ac:dyDescent="0.25">
      <c r="C79" s="2" t="s">
        <v>94</v>
      </c>
      <c r="D79" s="14">
        <f t="shared" ref="D79:O79" si="67">D63+D65</f>
        <v>-456</v>
      </c>
      <c r="E79" s="14">
        <f t="shared" si="67"/>
        <v>262</v>
      </c>
      <c r="F79" s="14">
        <f t="shared" si="67"/>
        <v>-30</v>
      </c>
      <c r="G79" s="14">
        <f t="shared" si="67"/>
        <v>393</v>
      </c>
      <c r="H79" s="14">
        <f t="shared" si="67"/>
        <v>-114</v>
      </c>
      <c r="I79" s="14">
        <f t="shared" si="67"/>
        <v>123</v>
      </c>
      <c r="J79" s="14">
        <f t="shared" si="67"/>
        <v>210</v>
      </c>
      <c r="K79" s="14">
        <f t="shared" si="67"/>
        <v>819</v>
      </c>
      <c r="L79" s="14">
        <f t="shared" si="67"/>
        <v>-5</v>
      </c>
      <c r="M79" s="14">
        <f t="shared" si="67"/>
        <v>288</v>
      </c>
      <c r="N79" s="14">
        <f t="shared" si="67"/>
        <v>116</v>
      </c>
      <c r="O79" s="14">
        <f t="shared" si="67"/>
        <v>1200</v>
      </c>
      <c r="P79" s="14">
        <f>P63+P65</f>
        <v>90</v>
      </c>
      <c r="Q79" s="14">
        <f>Q63+Q65</f>
        <v>322</v>
      </c>
      <c r="R79" s="14">
        <f>R63+R65</f>
        <v>183</v>
      </c>
      <c r="S79" s="15">
        <f t="shared" ref="S79:V79" si="68">S63+S65</f>
        <v>1287</v>
      </c>
      <c r="T79" s="14">
        <f t="shared" si="68"/>
        <v>0</v>
      </c>
      <c r="U79" s="14">
        <f t="shared" si="68"/>
        <v>0</v>
      </c>
      <c r="V79" s="14">
        <f t="shared" si="68"/>
        <v>0</v>
      </c>
      <c r="AD79" s="14">
        <f t="shared" ref="AD79:AH79" si="69">AD63+AD65</f>
        <v>-3509</v>
      </c>
      <c r="AE79" s="14">
        <f t="shared" si="69"/>
        <v>1740</v>
      </c>
      <c r="AF79" s="14">
        <f t="shared" si="69"/>
        <v>285</v>
      </c>
      <c r="AG79" s="14">
        <f t="shared" si="69"/>
        <v>169</v>
      </c>
      <c r="AH79" s="14">
        <f t="shared" si="69"/>
        <v>1036</v>
      </c>
      <c r="AI79" s="14">
        <f>AI63+AI65</f>
        <v>1610</v>
      </c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847E-B402-7F4A-8E10-DB9A2C073928}">
  <dimension ref="B4:R29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16" sqref="Q16"/>
    </sheetView>
  </sheetViews>
  <sheetFormatPr baseColWidth="10" defaultRowHeight="19" x14ac:dyDescent="0.25"/>
  <cols>
    <col min="1" max="1" width="10.83203125" style="2"/>
    <col min="2" max="2" width="23.5" style="2" customWidth="1"/>
    <col min="3" max="16384" width="10.83203125" style="2"/>
  </cols>
  <sheetData>
    <row r="4" spans="2:18" x14ac:dyDescent="0.25">
      <c r="C4" s="7" t="s">
        <v>13</v>
      </c>
      <c r="D4" s="7" t="s">
        <v>14</v>
      </c>
      <c r="E4" s="33">
        <v>2024</v>
      </c>
      <c r="F4" s="70" t="s">
        <v>39</v>
      </c>
      <c r="G4" s="70" t="s">
        <v>33</v>
      </c>
      <c r="H4" s="7" t="s">
        <v>37</v>
      </c>
      <c r="I4" s="7" t="s">
        <v>38</v>
      </c>
      <c r="J4" s="33">
        <v>2025</v>
      </c>
      <c r="K4" s="7" t="s">
        <v>142</v>
      </c>
      <c r="L4" s="7" t="s">
        <v>147</v>
      </c>
      <c r="M4" s="7" t="s">
        <v>143</v>
      </c>
      <c r="N4" s="7" t="s">
        <v>144</v>
      </c>
      <c r="O4" s="60">
        <v>2026</v>
      </c>
    </row>
    <row r="5" spans="2:18" x14ac:dyDescent="0.25">
      <c r="B5" s="2" t="s">
        <v>148</v>
      </c>
      <c r="E5" s="65"/>
      <c r="F5" s="53"/>
      <c r="G5" s="53"/>
      <c r="J5" s="65"/>
    </row>
    <row r="6" spans="2:18" x14ac:dyDescent="0.25">
      <c r="B6" s="1" t="s">
        <v>121</v>
      </c>
      <c r="E6" s="65"/>
      <c r="F6" s="53"/>
      <c r="G6" s="53"/>
      <c r="J6" s="65"/>
    </row>
    <row r="7" spans="2:18" x14ac:dyDescent="0.25">
      <c r="B7" s="1" t="s">
        <v>40</v>
      </c>
      <c r="C7" s="12">
        <v>1405</v>
      </c>
      <c r="D7" s="12">
        <v>1550</v>
      </c>
      <c r="E7" s="49">
        <f>SUM(C7:D7)</f>
        <v>2955</v>
      </c>
      <c r="F7" s="71"/>
      <c r="G7" s="71"/>
      <c r="H7" s="12">
        <v>1333</v>
      </c>
      <c r="I7" s="12">
        <v>1444</v>
      </c>
      <c r="J7" s="49">
        <f>SUM(F7:I7)</f>
        <v>2777</v>
      </c>
      <c r="K7" s="12"/>
      <c r="L7" s="12"/>
      <c r="M7" s="12"/>
      <c r="N7" s="12"/>
      <c r="O7" s="12"/>
      <c r="P7" s="14"/>
      <c r="Q7" s="14"/>
      <c r="R7" s="14"/>
    </row>
    <row r="8" spans="2:18" x14ac:dyDescent="0.25">
      <c r="B8" s="59" t="s">
        <v>149</v>
      </c>
      <c r="C8" s="59"/>
      <c r="D8" s="59"/>
      <c r="E8" s="66"/>
      <c r="F8" s="72"/>
      <c r="G8" s="72"/>
      <c r="H8" s="59">
        <f>(H7-C7)/C7</f>
        <v>-5.1245551601423488E-2</v>
      </c>
      <c r="I8" s="59">
        <f>(I7-D7)/D7</f>
        <v>-6.8387096774193551E-2</v>
      </c>
      <c r="J8" s="66">
        <f>(J7-E7)/E7</f>
        <v>-6.0236886632825719E-2</v>
      </c>
      <c r="K8" s="59">
        <f t="shared" ref="K8:O8" si="0">(K7-H7)/H7</f>
        <v>-1</v>
      </c>
      <c r="L8" s="59">
        <f t="shared" si="0"/>
        <v>-1</v>
      </c>
      <c r="M8" s="59">
        <f t="shared" si="0"/>
        <v>-1</v>
      </c>
      <c r="N8" s="59" t="e">
        <f t="shared" si="0"/>
        <v>#DIV/0!</v>
      </c>
      <c r="O8" s="59" t="e">
        <f t="shared" si="0"/>
        <v>#DIV/0!</v>
      </c>
      <c r="P8" s="59"/>
      <c r="Q8" s="59"/>
      <c r="R8" s="59"/>
    </row>
    <row r="9" spans="2:18" x14ac:dyDescent="0.25">
      <c r="B9" s="59" t="s">
        <v>150</v>
      </c>
      <c r="C9" s="59">
        <v>6.3E-2</v>
      </c>
      <c r="D9" s="59">
        <v>1.2999999999999999E-2</v>
      </c>
      <c r="E9" s="66"/>
      <c r="F9" s="72"/>
      <c r="G9" s="72"/>
      <c r="H9" s="59">
        <v>-2.1999999999999999E-2</v>
      </c>
      <c r="I9" s="59">
        <v>-1.2999999999999999E-2</v>
      </c>
      <c r="J9" s="66"/>
      <c r="K9" s="59"/>
      <c r="L9" s="59"/>
      <c r="M9" s="59"/>
      <c r="N9" s="59"/>
      <c r="O9" s="59"/>
      <c r="P9" s="59"/>
      <c r="Q9" s="59"/>
      <c r="R9" s="59"/>
    </row>
    <row r="10" spans="2:18" x14ac:dyDescent="0.25">
      <c r="B10" s="2" t="s">
        <v>47</v>
      </c>
      <c r="C10" s="2">
        <v>142</v>
      </c>
      <c r="D10" s="2">
        <v>178</v>
      </c>
      <c r="E10" s="49">
        <f>SUM(C10:D10)</f>
        <v>320</v>
      </c>
      <c r="F10" s="71"/>
      <c r="G10" s="71"/>
      <c r="H10" s="2">
        <v>131</v>
      </c>
      <c r="I10" s="2">
        <v>180</v>
      </c>
      <c r="J10" s="49">
        <f>SUM(F10:I10)</f>
        <v>311</v>
      </c>
    </row>
    <row r="11" spans="2:18" x14ac:dyDescent="0.25">
      <c r="B11" s="59" t="s">
        <v>96</v>
      </c>
      <c r="C11" s="59">
        <f t="shared" ref="C11:D11" si="1">C10/C7</f>
        <v>0.10106761565836299</v>
      </c>
      <c r="D11" s="59">
        <f t="shared" si="1"/>
        <v>0.11483870967741935</v>
      </c>
      <c r="E11" s="66">
        <f>E10/E7</f>
        <v>0.10829103214890017</v>
      </c>
      <c r="F11" s="59" t="e">
        <f t="shared" ref="F11:G11" si="2">F10/F7</f>
        <v>#DIV/0!</v>
      </c>
      <c r="G11" s="59" t="e">
        <f t="shared" si="2"/>
        <v>#DIV/0!</v>
      </c>
      <c r="H11" s="59">
        <f>H10/H7</f>
        <v>9.827456864216054E-2</v>
      </c>
      <c r="I11" s="59">
        <f t="shared" ref="I11:O11" si="3">I10/I7</f>
        <v>0.12465373961218837</v>
      </c>
      <c r="J11" s="66">
        <f t="shared" si="3"/>
        <v>0.11199135758012244</v>
      </c>
      <c r="K11" s="59" t="e">
        <f t="shared" si="3"/>
        <v>#DIV/0!</v>
      </c>
      <c r="L11" s="59" t="e">
        <f t="shared" si="3"/>
        <v>#DIV/0!</v>
      </c>
      <c r="M11" s="59" t="e">
        <f t="shared" si="3"/>
        <v>#DIV/0!</v>
      </c>
      <c r="N11" s="59" t="e">
        <f t="shared" si="3"/>
        <v>#DIV/0!</v>
      </c>
      <c r="O11" s="59" t="e">
        <f t="shared" si="3"/>
        <v>#DIV/0!</v>
      </c>
    </row>
    <row r="12" spans="2:18" x14ac:dyDescent="0.25">
      <c r="E12" s="65"/>
      <c r="F12" s="53"/>
      <c r="G12" s="53"/>
      <c r="J12" s="65"/>
    </row>
    <row r="13" spans="2:18" x14ac:dyDescent="0.25">
      <c r="B13" s="26" t="s">
        <v>112</v>
      </c>
      <c r="C13" s="50">
        <v>6102</v>
      </c>
      <c r="D13" s="50">
        <v>5889</v>
      </c>
      <c r="E13" s="67"/>
      <c r="F13" s="50"/>
      <c r="G13" s="50"/>
      <c r="H13" s="50">
        <v>6159</v>
      </c>
      <c r="I13" s="50">
        <v>5925</v>
      </c>
      <c r="J13" s="67"/>
      <c r="K13" s="50"/>
      <c r="L13" s="50"/>
      <c r="M13" s="50"/>
      <c r="N13" s="50"/>
      <c r="O13" s="50"/>
      <c r="P13" s="14"/>
      <c r="Q13" s="14"/>
    </row>
    <row r="14" spans="2:18" x14ac:dyDescent="0.25">
      <c r="B14" s="1" t="s">
        <v>151</v>
      </c>
      <c r="E14" s="65"/>
      <c r="F14" s="53"/>
      <c r="G14" s="53"/>
      <c r="J14" s="65"/>
    </row>
    <row r="15" spans="2:18" x14ac:dyDescent="0.25">
      <c r="B15" s="1" t="s">
        <v>40</v>
      </c>
      <c r="C15" s="12">
        <v>2743</v>
      </c>
      <c r="D15" s="12">
        <v>3166</v>
      </c>
      <c r="E15" s="49">
        <f>SUM(C15:D15)</f>
        <v>5909</v>
      </c>
      <c r="F15" s="71"/>
      <c r="G15" s="71"/>
      <c r="H15" s="12">
        <v>2496</v>
      </c>
      <c r="I15" s="12">
        <v>2970</v>
      </c>
      <c r="J15" s="49">
        <f>SUM(F15:I15)</f>
        <v>5466</v>
      </c>
      <c r="K15" s="12"/>
      <c r="L15" s="12"/>
      <c r="M15" s="12"/>
      <c r="N15" s="12"/>
      <c r="O15" s="12"/>
    </row>
    <row r="16" spans="2:18" x14ac:dyDescent="0.25">
      <c r="B16" s="59" t="s">
        <v>149</v>
      </c>
      <c r="C16" s="59"/>
      <c r="D16" s="59"/>
      <c r="E16" s="66"/>
      <c r="F16" s="72"/>
      <c r="G16" s="72"/>
      <c r="H16" s="59">
        <f>(H15-C15)/C15</f>
        <v>-9.004739336492891E-2</v>
      </c>
      <c r="I16" s="59">
        <f>(I15-D15)/D15</f>
        <v>-6.1907770056854078E-2</v>
      </c>
      <c r="J16" s="66">
        <f>(J15-E15)/E15</f>
        <v>-7.4970384159756306E-2</v>
      </c>
      <c r="K16" s="59">
        <f t="shared" ref="K16:O16" si="4">(K15-H15)/H15</f>
        <v>-1</v>
      </c>
      <c r="L16" s="59">
        <f t="shared" si="4"/>
        <v>-1</v>
      </c>
      <c r="M16" s="59">
        <f t="shared" si="4"/>
        <v>-1</v>
      </c>
      <c r="N16" s="59" t="e">
        <f t="shared" si="4"/>
        <v>#DIV/0!</v>
      </c>
      <c r="O16" s="59" t="e">
        <f t="shared" si="4"/>
        <v>#DIV/0!</v>
      </c>
    </row>
    <row r="17" spans="2:16" x14ac:dyDescent="0.25">
      <c r="B17" s="59" t="s">
        <v>150</v>
      </c>
      <c r="C17" s="59">
        <v>-2.9000000000000001E-2</v>
      </c>
      <c r="D17" s="59">
        <v>-4.5999999999999999E-2</v>
      </c>
      <c r="E17" s="66"/>
      <c r="F17" s="72"/>
      <c r="G17" s="72"/>
      <c r="H17" s="59">
        <v>-8.3000000000000004E-2</v>
      </c>
      <c r="I17" s="59">
        <v>-0.06</v>
      </c>
      <c r="J17" s="66"/>
      <c r="K17" s="59"/>
      <c r="L17" s="59"/>
      <c r="M17" s="59"/>
      <c r="N17" s="59"/>
      <c r="O17" s="59"/>
    </row>
    <row r="18" spans="2:16" x14ac:dyDescent="0.25">
      <c r="B18" s="2" t="s">
        <v>47</v>
      </c>
      <c r="C18" s="2">
        <v>166</v>
      </c>
      <c r="D18" s="2">
        <v>253</v>
      </c>
      <c r="E18" s="49">
        <f>SUM(C18:D18)</f>
        <v>419</v>
      </c>
      <c r="F18" s="71"/>
      <c r="G18" s="71"/>
      <c r="H18" s="2">
        <v>178</v>
      </c>
      <c r="I18" s="2">
        <v>264</v>
      </c>
      <c r="J18" s="49">
        <f>SUM(F18:I18)</f>
        <v>442</v>
      </c>
    </row>
    <row r="19" spans="2:16" x14ac:dyDescent="0.25">
      <c r="B19" s="59" t="s">
        <v>96</v>
      </c>
      <c r="C19" s="59">
        <f t="shared" ref="C19" si="5">C18/C15</f>
        <v>6.0517681370761939E-2</v>
      </c>
      <c r="D19" s="59">
        <f t="shared" ref="D19" si="6">D18/D15</f>
        <v>7.9911560328490214E-2</v>
      </c>
      <c r="E19" s="66">
        <f>E18/E15</f>
        <v>7.0908783212049423E-2</v>
      </c>
      <c r="F19" s="59" t="e">
        <f t="shared" ref="F19:G19" si="7">F18/F15</f>
        <v>#DIV/0!</v>
      </c>
      <c r="G19" s="59" t="e">
        <f t="shared" si="7"/>
        <v>#DIV/0!</v>
      </c>
      <c r="H19" s="59">
        <f>H18/H15</f>
        <v>7.1314102564102561E-2</v>
      </c>
      <c r="I19" s="59">
        <f t="shared" ref="I19:O19" si="8">I18/I15</f>
        <v>8.8888888888888892E-2</v>
      </c>
      <c r="J19" s="66">
        <f t="shared" si="8"/>
        <v>8.0863519941456269E-2</v>
      </c>
      <c r="K19" s="59" t="e">
        <f t="shared" si="8"/>
        <v>#DIV/0!</v>
      </c>
      <c r="L19" s="59" t="e">
        <f t="shared" si="8"/>
        <v>#DIV/0!</v>
      </c>
      <c r="M19" s="59" t="e">
        <f t="shared" si="8"/>
        <v>#DIV/0!</v>
      </c>
      <c r="N19" s="59" t="e">
        <f t="shared" si="8"/>
        <v>#DIV/0!</v>
      </c>
      <c r="O19" s="59" t="e">
        <f t="shared" si="8"/>
        <v>#DIV/0!</v>
      </c>
    </row>
    <row r="20" spans="2:16" x14ac:dyDescent="0.25">
      <c r="E20" s="65"/>
      <c r="F20" s="53"/>
      <c r="G20" s="53"/>
      <c r="J20" s="65"/>
    </row>
    <row r="21" spans="2:16" x14ac:dyDescent="0.25">
      <c r="B21" s="26" t="s">
        <v>112</v>
      </c>
      <c r="C21" s="50">
        <v>5396</v>
      </c>
      <c r="D21" s="50">
        <v>6147</v>
      </c>
      <c r="E21" s="67"/>
      <c r="F21" s="50"/>
      <c r="G21" s="50"/>
      <c r="H21" s="50">
        <v>6338</v>
      </c>
      <c r="I21" s="50">
        <v>6159</v>
      </c>
      <c r="J21" s="67"/>
      <c r="K21" s="50"/>
      <c r="L21" s="50"/>
      <c r="M21" s="50"/>
      <c r="N21" s="50"/>
      <c r="O21" s="50"/>
      <c r="P21" s="14"/>
    </row>
    <row r="22" spans="2:16" x14ac:dyDescent="0.25">
      <c r="B22" s="31" t="s">
        <v>152</v>
      </c>
      <c r="C22" s="30"/>
      <c r="D22" s="30"/>
      <c r="E22" s="68"/>
      <c r="F22" s="73"/>
      <c r="G22" s="73"/>
      <c r="H22" s="30"/>
      <c r="I22" s="30"/>
      <c r="J22" s="68"/>
      <c r="K22" s="30"/>
      <c r="L22" s="30"/>
      <c r="M22" s="30"/>
      <c r="N22" s="30"/>
      <c r="O22" s="30"/>
    </row>
    <row r="23" spans="2:16" x14ac:dyDescent="0.25">
      <c r="B23" s="31" t="s">
        <v>40</v>
      </c>
      <c r="C23" s="63">
        <v>2009</v>
      </c>
      <c r="D23" s="63">
        <v>2538</v>
      </c>
      <c r="E23" s="49">
        <f>SUM(C23:D23)</f>
        <v>4547</v>
      </c>
      <c r="F23" s="71"/>
      <c r="G23" s="71"/>
      <c r="H23" s="63">
        <v>2038</v>
      </c>
      <c r="I23" s="63">
        <v>2431</v>
      </c>
      <c r="J23" s="49">
        <f>SUM(F23:I23)</f>
        <v>4469</v>
      </c>
      <c r="K23" s="63"/>
      <c r="L23" s="63"/>
      <c r="M23" s="63"/>
      <c r="N23" s="63"/>
      <c r="O23" s="63"/>
      <c r="P23" s="14"/>
    </row>
    <row r="24" spans="2:16" x14ac:dyDescent="0.25">
      <c r="B24" s="61" t="s">
        <v>149</v>
      </c>
      <c r="C24" s="61"/>
      <c r="D24" s="61"/>
      <c r="E24" s="66"/>
      <c r="F24" s="72"/>
      <c r="G24" s="72"/>
      <c r="H24" s="61">
        <v>-5.1200000000000002E-2</v>
      </c>
      <c r="I24" s="61">
        <v>-5.1200000000000002E-2</v>
      </c>
      <c r="J24" s="66">
        <f t="shared" ref="J24" si="9">(J23-E23)/E23</f>
        <v>-1.7154167583021771E-2</v>
      </c>
      <c r="K24" s="61">
        <v>-5.1200000000000002E-2</v>
      </c>
      <c r="L24" s="61">
        <v>-5.1200000000000002E-2</v>
      </c>
      <c r="M24" s="61">
        <v>-5.1200000000000002E-2</v>
      </c>
      <c r="N24" s="61">
        <v>-5.1200000000000002E-2</v>
      </c>
      <c r="O24" s="61">
        <v>-5.1200000000000002E-2</v>
      </c>
    </row>
    <row r="25" spans="2:16" x14ac:dyDescent="0.25">
      <c r="B25" s="61" t="s">
        <v>150</v>
      </c>
      <c r="C25" s="61">
        <v>7.0000000000000001E-3</v>
      </c>
      <c r="D25" s="61">
        <v>3.9E-2</v>
      </c>
      <c r="E25" s="66"/>
      <c r="F25" s="72"/>
      <c r="G25" s="72"/>
      <c r="H25" s="61">
        <v>2.7E-2</v>
      </c>
      <c r="I25" s="61">
        <v>-1.9E-2</v>
      </c>
      <c r="J25" s="66"/>
      <c r="K25" s="61"/>
      <c r="L25" s="61"/>
      <c r="M25" s="61"/>
      <c r="N25" s="61"/>
      <c r="O25" s="61"/>
    </row>
    <row r="26" spans="2:16" x14ac:dyDescent="0.25">
      <c r="B26" s="30" t="s">
        <v>47</v>
      </c>
      <c r="C26" s="30">
        <v>103</v>
      </c>
      <c r="D26" s="30">
        <v>231</v>
      </c>
      <c r="E26" s="49">
        <f>SUM(C26:D26)</f>
        <v>334</v>
      </c>
      <c r="F26" s="71"/>
      <c r="G26" s="71"/>
      <c r="H26" s="30">
        <v>117</v>
      </c>
      <c r="I26" s="30">
        <v>191</v>
      </c>
      <c r="J26" s="49">
        <f>SUM(F26:I26)</f>
        <v>308</v>
      </c>
      <c r="K26" s="30"/>
      <c r="L26" s="30"/>
      <c r="M26" s="30"/>
      <c r="N26" s="30"/>
      <c r="O26" s="30"/>
    </row>
    <row r="27" spans="2:16" x14ac:dyDescent="0.25">
      <c r="B27" s="61" t="s">
        <v>96</v>
      </c>
      <c r="C27" s="59">
        <f t="shared" ref="C27" si="10">C26/C23</f>
        <v>5.1269288203086114E-2</v>
      </c>
      <c r="D27" s="61" t="e">
        <v>#DIV/0!</v>
      </c>
      <c r="E27" s="66">
        <f>E26/E23</f>
        <v>7.3455025291400924E-2</v>
      </c>
      <c r="F27" s="59" t="e">
        <f t="shared" ref="F27" si="11">F26/F23</f>
        <v>#DIV/0!</v>
      </c>
      <c r="G27" s="59" t="e">
        <f t="shared" ref="G27" si="12">G26/G23</f>
        <v>#DIV/0!</v>
      </c>
      <c r="H27" s="59">
        <f t="shared" ref="H27" si="13">H26/H23</f>
        <v>5.7409224730127578E-2</v>
      </c>
      <c r="I27" s="59">
        <f t="shared" ref="I27:J27" si="14">I26/I23</f>
        <v>7.8568490333196211E-2</v>
      </c>
      <c r="J27" s="66">
        <f t="shared" si="14"/>
        <v>6.8919221302304767E-2</v>
      </c>
      <c r="K27" s="59" t="e">
        <f t="shared" ref="K27" si="15">K26/K23</f>
        <v>#DIV/0!</v>
      </c>
      <c r="L27" s="59" t="e">
        <f t="shared" ref="L27" si="16">L26/L23</f>
        <v>#DIV/0!</v>
      </c>
      <c r="M27" s="59" t="e">
        <f t="shared" ref="M27" si="17">M26/M23</f>
        <v>#DIV/0!</v>
      </c>
      <c r="N27" s="59" t="e">
        <f t="shared" ref="N27" si="18">N26/N23</f>
        <v>#DIV/0!</v>
      </c>
      <c r="O27" s="59" t="e">
        <f t="shared" ref="O27" si="19">O26/O23</f>
        <v>#DIV/0!</v>
      </c>
    </row>
    <row r="28" spans="2:16" x14ac:dyDescent="0.25">
      <c r="B28" s="30"/>
      <c r="C28" s="30"/>
      <c r="D28" s="30"/>
      <c r="E28" s="68"/>
      <c r="F28" s="73"/>
      <c r="G28" s="73"/>
      <c r="H28" s="30"/>
      <c r="I28" s="30"/>
      <c r="J28" s="68"/>
      <c r="K28" s="30"/>
      <c r="L28" s="30"/>
      <c r="M28" s="30"/>
      <c r="N28" s="30"/>
      <c r="O28" s="30"/>
    </row>
    <row r="29" spans="2:16" x14ac:dyDescent="0.25">
      <c r="B29" s="62" t="s">
        <v>112</v>
      </c>
      <c r="C29" s="64">
        <v>8195</v>
      </c>
      <c r="D29" s="64">
        <v>8094</v>
      </c>
      <c r="E29" s="69"/>
      <c r="F29" s="64"/>
      <c r="G29" s="64"/>
      <c r="H29" s="64">
        <v>7901</v>
      </c>
      <c r="I29" s="64">
        <v>8312</v>
      </c>
      <c r="J29" s="69"/>
      <c r="K29" s="64"/>
      <c r="L29" s="64"/>
      <c r="M29" s="64"/>
      <c r="N29" s="64"/>
      <c r="O29" s="64"/>
      <c r="P29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3BD52-9649-DF40-87AE-36A7F8BF5018}">
  <dimension ref="A3:H51"/>
  <sheetViews>
    <sheetView showGridLines="0" zoomScale="90" zoomScaleNormal="90" workbookViewId="0">
      <selection activeCell="I7" sqref="I7"/>
    </sheetView>
  </sheetViews>
  <sheetFormatPr baseColWidth="10" defaultRowHeight="26" x14ac:dyDescent="0.3"/>
  <cols>
    <col min="1" max="1" width="33" style="75" bestFit="1" customWidth="1"/>
    <col min="2" max="2" width="15" style="75" customWidth="1"/>
    <col min="3" max="3" width="33" style="75" bestFit="1" customWidth="1"/>
    <col min="4" max="4" width="15.33203125" style="75" bestFit="1" customWidth="1"/>
    <col min="5" max="5" width="10.83203125" style="75"/>
    <col min="6" max="6" width="15.5" style="75" bestFit="1" customWidth="1"/>
    <col min="7" max="7" width="10.83203125" style="75"/>
    <col min="8" max="8" width="16.33203125" style="75" bestFit="1" customWidth="1"/>
    <col min="9" max="9" width="15.83203125" style="75" bestFit="1" customWidth="1"/>
    <col min="10" max="16384" width="10.83203125" style="75"/>
  </cols>
  <sheetData>
    <row r="3" spans="2:8" x14ac:dyDescent="0.3">
      <c r="B3" s="74" t="s">
        <v>148</v>
      </c>
      <c r="C3" s="74" t="s">
        <v>153</v>
      </c>
      <c r="D3" s="74"/>
      <c r="E3" s="74" t="s">
        <v>154</v>
      </c>
      <c r="F3" s="74"/>
      <c r="G3" s="74" t="s">
        <v>155</v>
      </c>
      <c r="H3" s="74" t="s">
        <v>156</v>
      </c>
    </row>
    <row r="4" spans="2:8" x14ac:dyDescent="0.3">
      <c r="B4" s="76" t="s">
        <v>121</v>
      </c>
      <c r="C4" s="81">
        <v>650</v>
      </c>
      <c r="D4" s="76"/>
      <c r="E4" s="76">
        <v>10</v>
      </c>
      <c r="F4" s="76"/>
      <c r="G4" s="81">
        <f>C4*E4</f>
        <v>6500</v>
      </c>
      <c r="H4" s="78">
        <f>G4/Modell!$B$5</f>
        <v>57.394261161954233</v>
      </c>
    </row>
    <row r="5" spans="2:8" x14ac:dyDescent="0.3">
      <c r="B5" s="76" t="s">
        <v>151</v>
      </c>
      <c r="C5" s="81">
        <v>900</v>
      </c>
      <c r="D5" s="76"/>
      <c r="E5" s="76">
        <v>8</v>
      </c>
      <c r="F5" s="76"/>
      <c r="G5" s="81">
        <f t="shared" ref="G5:G6" si="0">C5*E5</f>
        <v>7200</v>
      </c>
      <c r="H5" s="78">
        <f>G5/Modell!$B$5</f>
        <v>63.575181594780076</v>
      </c>
    </row>
    <row r="6" spans="2:8" x14ac:dyDescent="0.3">
      <c r="B6" s="77" t="s">
        <v>152</v>
      </c>
      <c r="C6" s="81">
        <v>610</v>
      </c>
      <c r="D6" s="76"/>
      <c r="E6" s="76">
        <v>6</v>
      </c>
      <c r="F6" s="76"/>
      <c r="G6" s="81">
        <f t="shared" si="0"/>
        <v>3660</v>
      </c>
      <c r="H6" s="78">
        <f>G6/Modell!$B$5</f>
        <v>32.317383977346537</v>
      </c>
    </row>
    <row r="7" spans="2:8" x14ac:dyDescent="0.3">
      <c r="B7" s="74" t="s">
        <v>157</v>
      </c>
      <c r="C7" s="82">
        <f>SUM(C4:C6)</f>
        <v>2160</v>
      </c>
      <c r="D7" s="74"/>
      <c r="E7" s="74"/>
      <c r="F7" s="74"/>
      <c r="G7" s="82">
        <f>SUM(G4:G6)</f>
        <v>17360</v>
      </c>
      <c r="H7" s="79">
        <f>SUM(H4:H6)</f>
        <v>153.28682673408085</v>
      </c>
    </row>
    <row r="8" spans="2:8" x14ac:dyDescent="0.3">
      <c r="B8" s="80"/>
      <c r="C8" s="80"/>
      <c r="D8" s="80"/>
      <c r="E8" s="80"/>
      <c r="F8" s="80"/>
      <c r="G8" s="83"/>
      <c r="H8" s="80"/>
    </row>
    <row r="9" spans="2:8" x14ac:dyDescent="0.3">
      <c r="B9" s="76" t="s">
        <v>63</v>
      </c>
      <c r="C9" s="76"/>
      <c r="D9" s="76"/>
      <c r="E9" s="76"/>
      <c r="F9" s="76"/>
      <c r="G9" s="81">
        <f>Modell!B7</f>
        <v>1378</v>
      </c>
      <c r="H9" s="78">
        <f>G9/Modell!$B$5</f>
        <v>12.167583366334298</v>
      </c>
    </row>
    <row r="10" spans="2:8" x14ac:dyDescent="0.3">
      <c r="B10" s="76" t="s">
        <v>158</v>
      </c>
      <c r="C10" s="76"/>
      <c r="D10" s="76"/>
      <c r="E10" s="76"/>
      <c r="F10" s="76"/>
      <c r="G10" s="81">
        <f>Modell!B8</f>
        <v>3572</v>
      </c>
      <c r="H10" s="78">
        <f>-G10/Modell!$B$5</f>
        <v>-31.540353980077004</v>
      </c>
    </row>
    <row r="11" spans="2:8" x14ac:dyDescent="0.3">
      <c r="B11" s="80"/>
      <c r="C11" s="80"/>
      <c r="D11" s="80"/>
      <c r="E11" s="80"/>
      <c r="F11" s="80"/>
      <c r="G11" s="80"/>
      <c r="H11" s="80"/>
    </row>
    <row r="12" spans="2:8" x14ac:dyDescent="0.3">
      <c r="B12" s="74" t="s">
        <v>159</v>
      </c>
      <c r="C12" s="74"/>
      <c r="D12" s="74"/>
      <c r="E12" s="74"/>
      <c r="F12" s="74"/>
      <c r="G12" s="74"/>
      <c r="H12" s="79">
        <f>SUM(H7:H10)</f>
        <v>133.91405612033813</v>
      </c>
    </row>
    <row r="43" spans="1:2" x14ac:dyDescent="0.3">
      <c r="A43" s="86" t="s">
        <v>121</v>
      </c>
      <c r="B43" s="87">
        <f>H4</f>
        <v>57.394261161954233</v>
      </c>
    </row>
    <row r="44" spans="1:2" x14ac:dyDescent="0.3">
      <c r="A44" s="86" t="s">
        <v>151</v>
      </c>
      <c r="B44" s="87">
        <f>H5</f>
        <v>63.575181594780076</v>
      </c>
    </row>
    <row r="45" spans="1:2" x14ac:dyDescent="0.3">
      <c r="A45" s="88" t="s">
        <v>152</v>
      </c>
      <c r="B45" s="87">
        <f>H6</f>
        <v>32.317383977346537</v>
      </c>
    </row>
    <row r="46" spans="1:2" x14ac:dyDescent="0.3">
      <c r="A46" s="89" t="s">
        <v>157</v>
      </c>
      <c r="B46" s="87">
        <f>H7</f>
        <v>153.28682673408085</v>
      </c>
    </row>
    <row r="47" spans="1:2" x14ac:dyDescent="0.3">
      <c r="A47" s="86"/>
      <c r="B47" s="87">
        <f>H8</f>
        <v>0</v>
      </c>
    </row>
    <row r="48" spans="1:2" x14ac:dyDescent="0.3">
      <c r="A48" s="86" t="s">
        <v>63</v>
      </c>
      <c r="B48" s="87">
        <f>H9</f>
        <v>12.167583366334298</v>
      </c>
    </row>
    <row r="49" spans="1:2" x14ac:dyDescent="0.3">
      <c r="A49" s="86" t="s">
        <v>158</v>
      </c>
      <c r="B49" s="87">
        <f>H10</f>
        <v>-31.540353980077004</v>
      </c>
    </row>
    <row r="50" spans="1:2" x14ac:dyDescent="0.3">
      <c r="A50" s="86"/>
      <c r="B50" s="87">
        <f>H11</f>
        <v>0</v>
      </c>
    </row>
    <row r="51" spans="1:2" x14ac:dyDescent="0.3">
      <c r="A51" s="89" t="s">
        <v>159</v>
      </c>
      <c r="B51" s="87">
        <f>H12</f>
        <v>133.91405612033813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7"/>
  <sheetViews>
    <sheetView showGridLines="0" workbookViewId="0">
      <selection activeCell="E20" sqref="E20"/>
    </sheetView>
  </sheetViews>
  <sheetFormatPr baseColWidth="10" defaultRowHeight="16" x14ac:dyDescent="0.2"/>
  <cols>
    <col min="3" max="3" width="34.5" bestFit="1" customWidth="1"/>
    <col min="4" max="7" width="18.6640625" bestFit="1" customWidth="1"/>
  </cols>
  <sheetData>
    <row r="4" spans="3:6" ht="62" x14ac:dyDescent="0.7">
      <c r="C4" s="24"/>
      <c r="D4" s="24">
        <v>2026</v>
      </c>
      <c r="E4" s="24">
        <v>2027</v>
      </c>
      <c r="F4" s="24">
        <v>2028</v>
      </c>
    </row>
    <row r="5" spans="3:6" ht="62" x14ac:dyDescent="0.7">
      <c r="C5" s="24" t="s">
        <v>98</v>
      </c>
      <c r="D5" s="25">
        <f>Modell!$B$9/Modell!AK12</f>
        <v>8.8721936823410879</v>
      </c>
      <c r="E5" s="25">
        <f>Modell!$B$9/Modell!AL12</f>
        <v>8.4983940788538987</v>
      </c>
      <c r="F5" s="25">
        <f>Modell!$B$9/Modell!AM12</f>
        <v>7.9997944689380276</v>
      </c>
    </row>
    <row r="6" spans="3:6" ht="62" x14ac:dyDescent="0.7">
      <c r="C6" s="24" t="s">
        <v>31</v>
      </c>
      <c r="D6" s="25">
        <f>Modell!$B$9/Modell!AK14</f>
        <v>9.7027061405034924</v>
      </c>
      <c r="E6" s="25">
        <f>Modell!$B$9/Modell!AL14</f>
        <v>9.3408308561501894</v>
      </c>
      <c r="F6" s="25">
        <f>Modell!$B$9/Modell!AM14</f>
        <v>8.8238250878017723</v>
      </c>
    </row>
    <row r="7" spans="3:6" ht="62" x14ac:dyDescent="0.7">
      <c r="C7" s="24" t="s">
        <v>32</v>
      </c>
      <c r="D7" s="25">
        <f>Modell!$B$4/Modell!AK20</f>
        <v>13.093768633524093</v>
      </c>
      <c r="E7" s="25">
        <f>Modell!$B$4/Modell!AL20</f>
        <v>12.782205882919644</v>
      </c>
      <c r="F7" s="25">
        <f>Modell!$B$4/Modell!AM20</f>
        <v>12.194852626957966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ECAD9-09F3-AF43-8AC1-08C61255878F}">
  <dimension ref="A3:CZ54"/>
  <sheetViews>
    <sheetView showGridLines="0" zoomScale="90" zoomScaleNormal="90" workbookViewId="0">
      <pane xSplit="3" ySplit="3" topLeftCell="L4" activePane="bottomRight" state="frozen"/>
      <selection pane="topRight" activeCell="D1" sqref="D1"/>
      <selection pane="bottomLeft" activeCell="A4" sqref="A4"/>
      <selection pane="bottomRight" activeCell="AC20" sqref="AC20"/>
    </sheetView>
  </sheetViews>
  <sheetFormatPr baseColWidth="10" defaultRowHeight="19" x14ac:dyDescent="0.25"/>
  <cols>
    <col min="1" max="1" width="16" style="2" customWidth="1"/>
    <col min="2" max="2" width="18.83203125" style="4" customWidth="1"/>
    <col min="3" max="3" width="35.33203125" style="2" customWidth="1"/>
    <col min="4" max="4" width="13.83203125" style="2" customWidth="1"/>
    <col min="5" max="5" width="10.83203125" style="2"/>
    <col min="6" max="13" width="11" style="2" bestFit="1" customWidth="1"/>
    <col min="14" max="14" width="11" style="4" bestFit="1" customWidth="1"/>
    <col min="15" max="26" width="11" style="2" bestFit="1" customWidth="1"/>
    <col min="27" max="27" width="14.83203125" style="2" bestFit="1" customWidth="1"/>
    <col min="28" max="28" width="11.5" style="2" customWidth="1"/>
    <col min="29" max="29" width="10.33203125" style="2" customWidth="1"/>
    <col min="30" max="106" width="11" style="2" bestFit="1" customWidth="1"/>
    <col min="107" max="16384" width="10.83203125" style="2"/>
  </cols>
  <sheetData>
    <row r="3" spans="1:25" x14ac:dyDescent="0.25">
      <c r="A3" s="1" t="s">
        <v>134</v>
      </c>
      <c r="D3" s="7" t="s">
        <v>131</v>
      </c>
      <c r="E3" s="7" t="s">
        <v>128</v>
      </c>
      <c r="F3" s="7" t="s">
        <v>129</v>
      </c>
      <c r="G3" s="7" t="s">
        <v>130</v>
      </c>
      <c r="H3" s="7" t="s">
        <v>34</v>
      </c>
      <c r="I3" s="7" t="s">
        <v>35</v>
      </c>
      <c r="J3" s="7" t="s">
        <v>36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5" x14ac:dyDescent="0.25">
      <c r="A4" s="1" t="s">
        <v>135</v>
      </c>
      <c r="C4" s="1" t="s">
        <v>40</v>
      </c>
      <c r="D4" s="12">
        <v>9851</v>
      </c>
      <c r="E4" s="12">
        <v>11070</v>
      </c>
      <c r="F4" s="12">
        <v>12658</v>
      </c>
      <c r="G4" s="12">
        <v>13975</v>
      </c>
      <c r="H4" s="12">
        <v>19792</v>
      </c>
      <c r="I4" s="12">
        <v>18991</v>
      </c>
      <c r="J4" s="12">
        <v>20104</v>
      </c>
      <c r="K4" s="12">
        <v>23552</v>
      </c>
      <c r="L4" s="12">
        <v>26978</v>
      </c>
      <c r="M4" s="12">
        <v>27160</v>
      </c>
      <c r="N4" s="13">
        <v>25757</v>
      </c>
      <c r="O4" s="12">
        <f>N4*1</f>
        <v>25757</v>
      </c>
      <c r="P4" s="12">
        <f t="shared" ref="P4:X4" si="0">O4*1</f>
        <v>25757</v>
      </c>
      <c r="Q4" s="12">
        <f t="shared" si="0"/>
        <v>25757</v>
      </c>
      <c r="R4" s="12">
        <f t="shared" si="0"/>
        <v>25757</v>
      </c>
      <c r="S4" s="12">
        <f t="shared" si="0"/>
        <v>25757</v>
      </c>
      <c r="T4" s="12">
        <f t="shared" si="0"/>
        <v>25757</v>
      </c>
      <c r="U4" s="12">
        <f t="shared" si="0"/>
        <v>25757</v>
      </c>
      <c r="V4" s="12">
        <f t="shared" si="0"/>
        <v>25757</v>
      </c>
      <c r="W4" s="12">
        <f t="shared" si="0"/>
        <v>25757</v>
      </c>
      <c r="X4" s="12">
        <f t="shared" si="0"/>
        <v>25757</v>
      </c>
    </row>
    <row r="5" spans="1:25" x14ac:dyDescent="0.25">
      <c r="A5" s="45">
        <f>AA26</f>
        <v>63.91496202598902</v>
      </c>
      <c r="C5" s="2" t="s">
        <v>41</v>
      </c>
      <c r="D5" s="14">
        <v>-5467</v>
      </c>
      <c r="E5" s="14">
        <v>-6139</v>
      </c>
      <c r="F5" s="14">
        <v>-7269</v>
      </c>
      <c r="G5" s="14">
        <v>-7996</v>
      </c>
      <c r="H5" s="14">
        <v>-11782</v>
      </c>
      <c r="I5" s="14">
        <v>-11860</v>
      </c>
      <c r="J5" s="14">
        <v>-12266</v>
      </c>
      <c r="K5" s="14">
        <v>-14428</v>
      </c>
      <c r="L5" s="14">
        <v>-16310</v>
      </c>
      <c r="M5" s="14">
        <v>-16315</v>
      </c>
      <c r="N5" s="15">
        <v>-15817</v>
      </c>
      <c r="O5" s="14">
        <f>N5*1</f>
        <v>-15817</v>
      </c>
      <c r="P5" s="14">
        <f t="shared" ref="P5:X5" si="1">O5*1</f>
        <v>-15817</v>
      </c>
      <c r="Q5" s="14">
        <f t="shared" si="1"/>
        <v>-15817</v>
      </c>
      <c r="R5" s="14">
        <f t="shared" si="1"/>
        <v>-15817</v>
      </c>
      <c r="S5" s="14">
        <f t="shared" si="1"/>
        <v>-15817</v>
      </c>
      <c r="T5" s="14">
        <f t="shared" si="1"/>
        <v>-15817</v>
      </c>
      <c r="U5" s="14">
        <f t="shared" si="1"/>
        <v>-15817</v>
      </c>
      <c r="V5" s="14">
        <f t="shared" si="1"/>
        <v>-15817</v>
      </c>
      <c r="W5" s="14">
        <f t="shared" si="1"/>
        <v>-15817</v>
      </c>
      <c r="X5" s="14">
        <f t="shared" si="1"/>
        <v>-15817</v>
      </c>
    </row>
    <row r="6" spans="1:25" x14ac:dyDescent="0.25">
      <c r="A6" s="21">
        <f>AA27</f>
        <v>-0.52655583684452578</v>
      </c>
      <c r="D6" s="14">
        <f>SUM(D4:D5)</f>
        <v>4384</v>
      </c>
      <c r="E6" s="14">
        <f t="shared" ref="E6:X6" si="2">SUM(E4:E5)</f>
        <v>4931</v>
      </c>
      <c r="F6" s="14">
        <f t="shared" si="2"/>
        <v>5389</v>
      </c>
      <c r="G6" s="14">
        <f t="shared" si="2"/>
        <v>5979</v>
      </c>
      <c r="H6" s="14">
        <f t="shared" si="2"/>
        <v>8010</v>
      </c>
      <c r="I6" s="14">
        <f t="shared" si="2"/>
        <v>7131</v>
      </c>
      <c r="J6" s="14">
        <f t="shared" si="2"/>
        <v>7838</v>
      </c>
      <c r="K6" s="14">
        <f t="shared" si="2"/>
        <v>9124</v>
      </c>
      <c r="L6" s="14">
        <f t="shared" ref="L6:N6" si="3">SUM(L4:L5)</f>
        <v>10668</v>
      </c>
      <c r="M6" s="14">
        <f t="shared" si="3"/>
        <v>10845</v>
      </c>
      <c r="N6" s="15">
        <f t="shared" si="3"/>
        <v>9940</v>
      </c>
      <c r="O6" s="14">
        <f t="shared" si="2"/>
        <v>9940</v>
      </c>
      <c r="P6" s="14">
        <f t="shared" si="2"/>
        <v>9940</v>
      </c>
      <c r="Q6" s="14">
        <f t="shared" si="2"/>
        <v>9940</v>
      </c>
      <c r="R6" s="14">
        <f t="shared" si="2"/>
        <v>9940</v>
      </c>
      <c r="S6" s="14">
        <f t="shared" si="2"/>
        <v>9940</v>
      </c>
      <c r="T6" s="14">
        <f t="shared" si="2"/>
        <v>9940</v>
      </c>
      <c r="U6" s="14">
        <f t="shared" si="2"/>
        <v>9940</v>
      </c>
      <c r="V6" s="14">
        <f t="shared" si="2"/>
        <v>9940</v>
      </c>
      <c r="W6" s="14">
        <f t="shared" si="2"/>
        <v>9940</v>
      </c>
      <c r="X6" s="14">
        <f t="shared" si="2"/>
        <v>9940</v>
      </c>
    </row>
    <row r="7" spans="1:25" x14ac:dyDescent="0.25">
      <c r="C7" s="2" t="s">
        <v>42</v>
      </c>
      <c r="D7" s="14">
        <v>-2672</v>
      </c>
      <c r="E7" s="14">
        <v>-2944</v>
      </c>
      <c r="F7" s="14">
        <v>-3192</v>
      </c>
      <c r="G7" s="14">
        <v>-3547</v>
      </c>
      <c r="H7" s="14">
        <v>-4408</v>
      </c>
      <c r="I7" s="14">
        <v>-3811</v>
      </c>
      <c r="J7" s="14">
        <v>-3918</v>
      </c>
      <c r="K7" s="14">
        <v>-4897</v>
      </c>
      <c r="L7" s="14">
        <v>-5585</v>
      </c>
      <c r="M7" s="14">
        <v>-5701</v>
      </c>
      <c r="N7" s="15">
        <v>-5289</v>
      </c>
      <c r="O7" s="14">
        <f>N7*1.02</f>
        <v>-5394.78</v>
      </c>
      <c r="P7" s="14">
        <f t="shared" ref="P7:X9" si="4">O7*1</f>
        <v>-5394.78</v>
      </c>
      <c r="Q7" s="14">
        <f t="shared" si="4"/>
        <v>-5394.78</v>
      </c>
      <c r="R7" s="14">
        <f t="shared" si="4"/>
        <v>-5394.78</v>
      </c>
      <c r="S7" s="14">
        <f t="shared" si="4"/>
        <v>-5394.78</v>
      </c>
      <c r="T7" s="14">
        <f t="shared" si="4"/>
        <v>-5394.78</v>
      </c>
      <c r="U7" s="14">
        <f t="shared" si="4"/>
        <v>-5394.78</v>
      </c>
      <c r="V7" s="14">
        <f t="shared" si="4"/>
        <v>-5394.78</v>
      </c>
      <c r="W7" s="14">
        <f t="shared" si="4"/>
        <v>-5394.78</v>
      </c>
      <c r="X7" s="14">
        <f t="shared" si="4"/>
        <v>-5394.78</v>
      </c>
    </row>
    <row r="8" spans="1:25" x14ac:dyDescent="0.25">
      <c r="C8" s="2" t="s">
        <v>43</v>
      </c>
      <c r="D8" s="14">
        <f>-826-2</f>
        <v>-828</v>
      </c>
      <c r="E8" s="14">
        <f>-917</f>
        <v>-917</v>
      </c>
      <c r="F8" s="14">
        <v>-1066</v>
      </c>
      <c r="G8" s="14">
        <f>-1073</f>
        <v>-1073</v>
      </c>
      <c r="H8" s="14">
        <v>-1608</v>
      </c>
      <c r="I8" s="14">
        <v>-1245</v>
      </c>
      <c r="J8" s="14">
        <v>-1622</v>
      </c>
      <c r="K8" s="14">
        <v>-1903</v>
      </c>
      <c r="L8" s="14">
        <v>-2366</v>
      </c>
      <c r="M8" s="14">
        <v>-2337</v>
      </c>
      <c r="N8" s="15">
        <v>-2446</v>
      </c>
      <c r="O8" s="14">
        <f>N8*1.02</f>
        <v>-2494.92</v>
      </c>
      <c r="P8" s="14">
        <f t="shared" si="4"/>
        <v>-2494.92</v>
      </c>
      <c r="Q8" s="14">
        <f t="shared" si="4"/>
        <v>-2494.92</v>
      </c>
      <c r="R8" s="14">
        <f t="shared" si="4"/>
        <v>-2494.92</v>
      </c>
      <c r="S8" s="14">
        <f t="shared" si="4"/>
        <v>-2494.92</v>
      </c>
      <c r="T8" s="14">
        <f t="shared" si="4"/>
        <v>-2494.92</v>
      </c>
      <c r="U8" s="14">
        <f t="shared" si="4"/>
        <v>-2494.92</v>
      </c>
      <c r="V8" s="14">
        <f t="shared" si="4"/>
        <v>-2494.92</v>
      </c>
      <c r="W8" s="14">
        <f t="shared" si="4"/>
        <v>-2494.92</v>
      </c>
      <c r="X8" s="14">
        <f t="shared" si="4"/>
        <v>-2494.92</v>
      </c>
    </row>
    <row r="9" spans="1:25" x14ac:dyDescent="0.25">
      <c r="C9" s="2" t="s">
        <v>44</v>
      </c>
      <c r="D9" s="14">
        <v>0</v>
      </c>
      <c r="E9" s="14">
        <v>10</v>
      </c>
      <c r="F9" s="14">
        <v>1</v>
      </c>
      <c r="G9" s="14">
        <v>-1</v>
      </c>
      <c r="H9" s="14">
        <v>31</v>
      </c>
      <c r="I9" s="14">
        <f>198-24+5</f>
        <v>179</v>
      </c>
      <c r="J9" s="14">
        <f>58-1+5</f>
        <v>62</v>
      </c>
      <c r="K9" s="14">
        <f>98+8</f>
        <v>106</v>
      </c>
      <c r="L9" s="14">
        <v>0</v>
      </c>
      <c r="M9" s="14">
        <f>42-8</f>
        <v>34</v>
      </c>
      <c r="N9" s="15">
        <v>13</v>
      </c>
      <c r="O9" s="14">
        <f t="shared" ref="O9" si="5">N9*1.01</f>
        <v>13.13</v>
      </c>
      <c r="P9" s="14">
        <f t="shared" si="4"/>
        <v>13.13</v>
      </c>
      <c r="Q9" s="14">
        <f t="shared" si="4"/>
        <v>13.13</v>
      </c>
      <c r="R9" s="14">
        <f t="shared" si="4"/>
        <v>13.13</v>
      </c>
      <c r="S9" s="14">
        <f t="shared" si="4"/>
        <v>13.13</v>
      </c>
      <c r="T9" s="14">
        <f t="shared" si="4"/>
        <v>13.13</v>
      </c>
      <c r="U9" s="14">
        <f t="shared" si="4"/>
        <v>13.13</v>
      </c>
      <c r="V9" s="14">
        <f t="shared" si="4"/>
        <v>13.13</v>
      </c>
      <c r="W9" s="14">
        <f t="shared" si="4"/>
        <v>13.13</v>
      </c>
      <c r="X9" s="14">
        <f t="shared" si="4"/>
        <v>13.13</v>
      </c>
    </row>
    <row r="10" spans="1:25" x14ac:dyDescent="0.25">
      <c r="C10" s="1" t="s">
        <v>45</v>
      </c>
      <c r="D10" s="12">
        <f>SUM(D6:D9)</f>
        <v>884</v>
      </c>
      <c r="E10" s="12">
        <f t="shared" ref="E10:X10" si="6">SUM(E6:E9)</f>
        <v>1080</v>
      </c>
      <c r="F10" s="12">
        <f t="shared" si="6"/>
        <v>1132</v>
      </c>
      <c r="G10" s="12">
        <f t="shared" si="6"/>
        <v>1358</v>
      </c>
      <c r="H10" s="12">
        <f t="shared" si="6"/>
        <v>2025</v>
      </c>
      <c r="I10" s="12">
        <f t="shared" si="6"/>
        <v>2254</v>
      </c>
      <c r="J10" s="12">
        <f t="shared" si="6"/>
        <v>2360</v>
      </c>
      <c r="K10" s="12">
        <f t="shared" si="6"/>
        <v>2430</v>
      </c>
      <c r="L10" s="12">
        <f t="shared" si="6"/>
        <v>2717</v>
      </c>
      <c r="M10" s="12">
        <f t="shared" si="6"/>
        <v>2841</v>
      </c>
      <c r="N10" s="13">
        <f t="shared" si="6"/>
        <v>2218</v>
      </c>
      <c r="O10" s="12">
        <f t="shared" si="6"/>
        <v>2063.4300000000003</v>
      </c>
      <c r="P10" s="12">
        <f t="shared" si="6"/>
        <v>2063.4300000000003</v>
      </c>
      <c r="Q10" s="12">
        <f t="shared" si="6"/>
        <v>2063.4300000000003</v>
      </c>
      <c r="R10" s="12">
        <f t="shared" si="6"/>
        <v>2063.4300000000003</v>
      </c>
      <c r="S10" s="12">
        <f t="shared" si="6"/>
        <v>2063.4300000000003</v>
      </c>
      <c r="T10" s="12">
        <f t="shared" si="6"/>
        <v>2063.4300000000003</v>
      </c>
      <c r="U10" s="12">
        <f t="shared" si="6"/>
        <v>2063.4300000000003</v>
      </c>
      <c r="V10" s="12">
        <f t="shared" si="6"/>
        <v>2063.4300000000003</v>
      </c>
      <c r="W10" s="12">
        <f t="shared" si="6"/>
        <v>2063.4300000000003</v>
      </c>
      <c r="X10" s="12">
        <f t="shared" si="6"/>
        <v>2063.4300000000003</v>
      </c>
    </row>
    <row r="11" spans="1:25" x14ac:dyDescent="0.25">
      <c r="C11" s="2" t="s">
        <v>46</v>
      </c>
      <c r="D11" s="14">
        <v>-45</v>
      </c>
      <c r="E11" s="14">
        <v>-48</v>
      </c>
      <c r="F11" s="14">
        <v>-105</v>
      </c>
      <c r="G11" s="14">
        <v>-115</v>
      </c>
      <c r="H11" s="14">
        <v>-657</v>
      </c>
      <c r="I11" s="14">
        <v>-670</v>
      </c>
      <c r="J11" s="14">
        <v>-698</v>
      </c>
      <c r="K11" s="14">
        <v>-702</v>
      </c>
      <c r="L11" s="14">
        <v>-780</v>
      </c>
      <c r="M11" s="14">
        <v>-737</v>
      </c>
      <c r="N11" s="15">
        <v>-666</v>
      </c>
      <c r="O11" s="14">
        <v>-500</v>
      </c>
      <c r="P11" s="14">
        <v>-500</v>
      </c>
      <c r="Q11" s="14">
        <v>-500</v>
      </c>
      <c r="R11" s="14">
        <v>-500</v>
      </c>
      <c r="S11" s="14">
        <v>-500</v>
      </c>
      <c r="T11" s="14">
        <v>-500</v>
      </c>
      <c r="U11" s="14">
        <v>-500</v>
      </c>
      <c r="V11" s="14">
        <v>-500</v>
      </c>
      <c r="W11" s="14">
        <v>-500</v>
      </c>
      <c r="X11" s="14">
        <v>-500</v>
      </c>
    </row>
    <row r="12" spans="1:25" x14ac:dyDescent="0.25">
      <c r="C12" s="1" t="s">
        <v>47</v>
      </c>
      <c r="D12" s="12">
        <f t="shared" ref="D12:X12" si="7">SUM(D10:D11)</f>
        <v>839</v>
      </c>
      <c r="E12" s="12">
        <f t="shared" si="7"/>
        <v>1032</v>
      </c>
      <c r="F12" s="12">
        <f t="shared" si="7"/>
        <v>1027</v>
      </c>
      <c r="G12" s="12">
        <f t="shared" si="7"/>
        <v>1243</v>
      </c>
      <c r="H12" s="12">
        <f t="shared" si="7"/>
        <v>1368</v>
      </c>
      <c r="I12" s="12">
        <f t="shared" si="7"/>
        <v>1584</v>
      </c>
      <c r="J12" s="12">
        <f t="shared" si="7"/>
        <v>1662</v>
      </c>
      <c r="K12" s="12">
        <f t="shared" si="7"/>
        <v>1728</v>
      </c>
      <c r="L12" s="12">
        <f t="shared" ref="L12:N12" si="8">SUM(L10:L11)</f>
        <v>1937</v>
      </c>
      <c r="M12" s="12">
        <f t="shared" si="8"/>
        <v>2104</v>
      </c>
      <c r="N12" s="13">
        <f t="shared" si="8"/>
        <v>1552</v>
      </c>
      <c r="O12" s="12">
        <f t="shared" si="7"/>
        <v>1563.4300000000003</v>
      </c>
      <c r="P12" s="12">
        <f t="shared" si="7"/>
        <v>1563.4300000000003</v>
      </c>
      <c r="Q12" s="12">
        <f t="shared" si="7"/>
        <v>1563.4300000000003</v>
      </c>
      <c r="R12" s="12">
        <f t="shared" si="7"/>
        <v>1563.4300000000003</v>
      </c>
      <c r="S12" s="12">
        <f t="shared" si="7"/>
        <v>1563.4300000000003</v>
      </c>
      <c r="T12" s="12">
        <f t="shared" si="7"/>
        <v>1563.4300000000003</v>
      </c>
      <c r="U12" s="12">
        <f t="shared" si="7"/>
        <v>1563.4300000000003</v>
      </c>
      <c r="V12" s="12">
        <f t="shared" si="7"/>
        <v>1563.4300000000003</v>
      </c>
      <c r="W12" s="12">
        <f t="shared" si="7"/>
        <v>1563.4300000000003</v>
      </c>
      <c r="X12" s="12">
        <f t="shared" si="7"/>
        <v>1563.4300000000003</v>
      </c>
    </row>
    <row r="13" spans="1:25" x14ac:dyDescent="0.25">
      <c r="C13" s="2" t="s">
        <v>48</v>
      </c>
      <c r="D13" s="14">
        <v>0</v>
      </c>
      <c r="E13" s="14">
        <v>-67</v>
      </c>
      <c r="F13" s="14">
        <v>6</v>
      </c>
      <c r="G13" s="14">
        <v>-40</v>
      </c>
      <c r="H13" s="14">
        <v>-91</v>
      </c>
      <c r="I13" s="14">
        <v>-128</v>
      </c>
      <c r="J13" s="14">
        <v>-139</v>
      </c>
      <c r="K13" s="14">
        <v>-285</v>
      </c>
      <c r="L13" s="14">
        <v>-159</v>
      </c>
      <c r="M13" s="14">
        <v>-164</v>
      </c>
      <c r="N13" s="15">
        <v>-167</v>
      </c>
      <c r="O13" s="14">
        <v>-180</v>
      </c>
      <c r="P13" s="14">
        <v>-180</v>
      </c>
      <c r="Q13" s="14">
        <v>-180</v>
      </c>
      <c r="R13" s="14">
        <v>-180</v>
      </c>
      <c r="S13" s="14">
        <v>-180</v>
      </c>
      <c r="T13" s="14">
        <v>-180</v>
      </c>
      <c r="U13" s="14">
        <v>-180</v>
      </c>
      <c r="V13" s="14">
        <v>-180</v>
      </c>
      <c r="W13" s="14">
        <v>-180</v>
      </c>
      <c r="X13" s="14">
        <v>-180</v>
      </c>
    </row>
    <row r="14" spans="1:25" x14ac:dyDescent="0.25">
      <c r="C14" s="1" t="s">
        <v>49</v>
      </c>
      <c r="D14" s="12">
        <f t="shared" ref="D14:X14" si="9">SUM(D12:D13)</f>
        <v>839</v>
      </c>
      <c r="E14" s="12">
        <f t="shared" si="9"/>
        <v>965</v>
      </c>
      <c r="F14" s="12">
        <f t="shared" si="9"/>
        <v>1033</v>
      </c>
      <c r="G14" s="12">
        <f t="shared" si="9"/>
        <v>1203</v>
      </c>
      <c r="H14" s="12">
        <f t="shared" si="9"/>
        <v>1277</v>
      </c>
      <c r="I14" s="12">
        <f t="shared" si="9"/>
        <v>1456</v>
      </c>
      <c r="J14" s="12">
        <f t="shared" si="9"/>
        <v>1523</v>
      </c>
      <c r="K14" s="12">
        <f t="shared" si="9"/>
        <v>1443</v>
      </c>
      <c r="L14" s="12">
        <f t="shared" ref="L14:N14" si="10">SUM(L12:L13)</f>
        <v>1778</v>
      </c>
      <c r="M14" s="12">
        <f t="shared" si="10"/>
        <v>1940</v>
      </c>
      <c r="N14" s="13">
        <f t="shared" si="10"/>
        <v>1385</v>
      </c>
      <c r="O14" s="12">
        <f t="shared" si="9"/>
        <v>1383.4300000000003</v>
      </c>
      <c r="P14" s="12">
        <f t="shared" si="9"/>
        <v>1383.4300000000003</v>
      </c>
      <c r="Q14" s="12">
        <f t="shared" si="9"/>
        <v>1383.4300000000003</v>
      </c>
      <c r="R14" s="12">
        <f t="shared" si="9"/>
        <v>1383.4300000000003</v>
      </c>
      <c r="S14" s="12">
        <f t="shared" si="9"/>
        <v>1383.4300000000003</v>
      </c>
      <c r="T14" s="12">
        <f t="shared" si="9"/>
        <v>1383.4300000000003</v>
      </c>
      <c r="U14" s="12">
        <f t="shared" si="9"/>
        <v>1383.4300000000003</v>
      </c>
      <c r="V14" s="12">
        <f t="shared" si="9"/>
        <v>1383.4300000000003</v>
      </c>
      <c r="W14" s="12">
        <f t="shared" si="9"/>
        <v>1383.4300000000003</v>
      </c>
      <c r="X14" s="12">
        <f t="shared" si="9"/>
        <v>1383.4300000000003</v>
      </c>
    </row>
    <row r="15" spans="1:25" x14ac:dyDescent="0.25">
      <c r="C15" s="2" t="s">
        <v>50</v>
      </c>
      <c r="D15" s="14">
        <v>-40</v>
      </c>
      <c r="E15" s="14">
        <v>-42</v>
      </c>
      <c r="F15" s="14">
        <v>-76</v>
      </c>
      <c r="G15" s="14">
        <v>-99</v>
      </c>
      <c r="H15" s="14">
        <v>-237</v>
      </c>
      <c r="I15" s="14">
        <v>-185</v>
      </c>
      <c r="J15" s="14">
        <v>-129</v>
      </c>
      <c r="K15" s="14">
        <v>-224</v>
      </c>
      <c r="L15" s="14">
        <v>-337</v>
      </c>
      <c r="M15" s="14">
        <v>-305</v>
      </c>
      <c r="N15" s="15">
        <v>-326</v>
      </c>
      <c r="O15" s="14">
        <f>N15*1.05</f>
        <v>-342.3</v>
      </c>
      <c r="P15" s="14">
        <f>O15*1.1</f>
        <v>-376.53000000000003</v>
      </c>
      <c r="Q15" s="14">
        <f t="shared" ref="Q15:X15" si="11">P15*1.1</f>
        <v>-414.18300000000005</v>
      </c>
      <c r="R15" s="14">
        <f t="shared" si="11"/>
        <v>-455.60130000000009</v>
      </c>
      <c r="S15" s="14">
        <f t="shared" si="11"/>
        <v>-501.16143000000017</v>
      </c>
      <c r="T15" s="14">
        <f t="shared" si="11"/>
        <v>-551.27757300000019</v>
      </c>
      <c r="U15" s="14">
        <f t="shared" si="11"/>
        <v>-606.40533030000029</v>
      </c>
      <c r="V15" s="14">
        <f t="shared" si="11"/>
        <v>-667.04586333000032</v>
      </c>
      <c r="W15" s="14">
        <f t="shared" si="11"/>
        <v>-733.75044966300038</v>
      </c>
      <c r="X15" s="14">
        <f t="shared" si="11"/>
        <v>-807.12549462930053</v>
      </c>
    </row>
    <row r="16" spans="1:25" x14ac:dyDescent="0.25">
      <c r="C16" s="2" t="s">
        <v>51</v>
      </c>
      <c r="D16" s="14">
        <f t="shared" ref="D16:X16" si="12">SUM(D14:D15)</f>
        <v>799</v>
      </c>
      <c r="E16" s="14">
        <f t="shared" si="12"/>
        <v>923</v>
      </c>
      <c r="F16" s="14">
        <f t="shared" si="12"/>
        <v>957</v>
      </c>
      <c r="G16" s="14">
        <f t="shared" si="12"/>
        <v>1104</v>
      </c>
      <c r="H16" s="14">
        <f t="shared" si="12"/>
        <v>1040</v>
      </c>
      <c r="I16" s="14">
        <f t="shared" si="12"/>
        <v>1271</v>
      </c>
      <c r="J16" s="14">
        <f t="shared" si="12"/>
        <v>1394</v>
      </c>
      <c r="K16" s="14">
        <f t="shared" si="12"/>
        <v>1219</v>
      </c>
      <c r="L16" s="14">
        <f t="shared" ref="L16:N16" si="13">SUM(L14:L15)</f>
        <v>1441</v>
      </c>
      <c r="M16" s="14">
        <f t="shared" si="13"/>
        <v>1635</v>
      </c>
      <c r="N16" s="15">
        <f t="shared" si="13"/>
        <v>1059</v>
      </c>
      <c r="O16" s="14">
        <f t="shared" si="12"/>
        <v>1041.1300000000003</v>
      </c>
      <c r="P16" s="14">
        <f t="shared" si="12"/>
        <v>1006.9000000000003</v>
      </c>
      <c r="Q16" s="14">
        <f t="shared" si="12"/>
        <v>969.2470000000003</v>
      </c>
      <c r="R16" s="14">
        <f t="shared" si="12"/>
        <v>927.82870000000025</v>
      </c>
      <c r="S16" s="14">
        <f t="shared" si="12"/>
        <v>882.26857000000018</v>
      </c>
      <c r="T16" s="14">
        <f t="shared" si="12"/>
        <v>832.1524270000001</v>
      </c>
      <c r="U16" s="14">
        <f t="shared" si="12"/>
        <v>777.0246697</v>
      </c>
      <c r="V16" s="14">
        <f t="shared" si="12"/>
        <v>716.38413666999998</v>
      </c>
      <c r="W16" s="14">
        <f t="shared" si="12"/>
        <v>649.67955033699991</v>
      </c>
      <c r="X16" s="14">
        <f t="shared" si="12"/>
        <v>576.30450537069976</v>
      </c>
      <c r="Y16" s="14"/>
    </row>
    <row r="17" spans="1:104" x14ac:dyDescent="0.25">
      <c r="C17" s="2" t="s">
        <v>52</v>
      </c>
      <c r="D17" s="14">
        <v>-190</v>
      </c>
      <c r="E17" s="14">
        <v>-212</v>
      </c>
      <c r="F17" s="14">
        <v>-215</v>
      </c>
      <c r="G17" s="14">
        <v>-253</v>
      </c>
      <c r="H17" s="14">
        <v>-219</v>
      </c>
      <c r="I17" s="14">
        <v>-279</v>
      </c>
      <c r="J17" s="14">
        <v>-264</v>
      </c>
      <c r="K17" s="14">
        <v>-246</v>
      </c>
      <c r="L17" s="14">
        <v>-341</v>
      </c>
      <c r="M17" s="14">
        <v>-401</v>
      </c>
      <c r="N17" s="15">
        <v>-257</v>
      </c>
      <c r="O17" s="14">
        <f t="shared" ref="O17:X17" si="14">O16*-0.2</f>
        <v>-208.22600000000008</v>
      </c>
      <c r="P17" s="14">
        <f t="shared" si="14"/>
        <v>-201.38000000000008</v>
      </c>
      <c r="Q17" s="14">
        <f t="shared" si="14"/>
        <v>-193.84940000000006</v>
      </c>
      <c r="R17" s="14">
        <f t="shared" si="14"/>
        <v>-185.56574000000006</v>
      </c>
      <c r="S17" s="14">
        <f t="shared" si="14"/>
        <v>-176.45371400000005</v>
      </c>
      <c r="T17" s="14">
        <f t="shared" si="14"/>
        <v>-166.43048540000004</v>
      </c>
      <c r="U17" s="14">
        <f t="shared" si="14"/>
        <v>-155.40493394000001</v>
      </c>
      <c r="V17" s="14">
        <f t="shared" si="14"/>
        <v>-143.27682733399999</v>
      </c>
      <c r="W17" s="14">
        <f t="shared" si="14"/>
        <v>-129.93591006739999</v>
      </c>
      <c r="X17" s="14">
        <f t="shared" si="14"/>
        <v>-115.26090107413995</v>
      </c>
    </row>
    <row r="18" spans="1:104" x14ac:dyDescent="0.25">
      <c r="C18" s="1" t="s">
        <v>53</v>
      </c>
      <c r="D18" s="12">
        <f t="shared" ref="D18:X18" si="15">SUM(D16:D17)</f>
        <v>609</v>
      </c>
      <c r="E18" s="12">
        <f t="shared" si="15"/>
        <v>711</v>
      </c>
      <c r="F18" s="12">
        <f t="shared" si="15"/>
        <v>742</v>
      </c>
      <c r="G18" s="12">
        <f t="shared" si="15"/>
        <v>851</v>
      </c>
      <c r="H18" s="12">
        <f t="shared" si="15"/>
        <v>821</v>
      </c>
      <c r="I18" s="12">
        <f t="shared" si="15"/>
        <v>992</v>
      </c>
      <c r="J18" s="12">
        <f t="shared" si="15"/>
        <v>1130</v>
      </c>
      <c r="K18" s="12">
        <f t="shared" si="15"/>
        <v>973</v>
      </c>
      <c r="L18" s="12">
        <f t="shared" ref="L18:N18" si="16">SUM(L16:L17)</f>
        <v>1100</v>
      </c>
      <c r="M18" s="12">
        <f t="shared" si="16"/>
        <v>1234</v>
      </c>
      <c r="N18" s="13">
        <f t="shared" si="16"/>
        <v>802</v>
      </c>
      <c r="O18" s="12">
        <f t="shared" si="15"/>
        <v>832.90400000000022</v>
      </c>
      <c r="P18" s="12">
        <f t="shared" si="15"/>
        <v>805.52000000000021</v>
      </c>
      <c r="Q18" s="12">
        <f t="shared" si="15"/>
        <v>775.39760000000024</v>
      </c>
      <c r="R18" s="12">
        <f t="shared" si="15"/>
        <v>742.26296000000025</v>
      </c>
      <c r="S18" s="12">
        <f t="shared" si="15"/>
        <v>705.81485600000019</v>
      </c>
      <c r="T18" s="12">
        <f t="shared" si="15"/>
        <v>665.72194160000004</v>
      </c>
      <c r="U18" s="12">
        <f t="shared" si="15"/>
        <v>621.61973576000003</v>
      </c>
      <c r="V18" s="12">
        <f t="shared" si="15"/>
        <v>573.10730933599996</v>
      </c>
      <c r="W18" s="12">
        <f t="shared" si="15"/>
        <v>519.74364026959995</v>
      </c>
      <c r="X18" s="12">
        <f t="shared" si="15"/>
        <v>461.04360429655981</v>
      </c>
      <c r="Y18" s="12">
        <f>X18*(1+$AA$23)</f>
        <v>456.4331682535942</v>
      </c>
      <c r="Z18" s="12">
        <f>Y18*(1+$AA$23)</f>
        <v>451.86883657105824</v>
      </c>
      <c r="AA18" s="12">
        <f>Z18*(1+$AA$23)</f>
        <v>447.35014820534764</v>
      </c>
      <c r="AB18" s="12">
        <f>AA18*(1+$AA$23)</f>
        <v>442.87664672329413</v>
      </c>
      <c r="AC18" s="12">
        <f>AB18*(1+$AA$23)</f>
        <v>438.44788025606118</v>
      </c>
      <c r="AD18" s="12">
        <f>AC18*(1+$AA$23)</f>
        <v>434.06340145350055</v>
      </c>
      <c r="AE18" s="12">
        <f>AD18*(1+$AA$23)</f>
        <v>429.72276743896555</v>
      </c>
      <c r="AF18" s="12">
        <f>AE18*(1+$AA$23)</f>
        <v>425.42553976457589</v>
      </c>
      <c r="AG18" s="12">
        <f>AF18*(1+$AA$23)</f>
        <v>421.17128436693014</v>
      </c>
      <c r="AH18" s="12">
        <f>AG18*(1+$AA$23)</f>
        <v>416.95957152326082</v>
      </c>
      <c r="AI18" s="12">
        <f>AH18*(1+$AA$23)</f>
        <v>412.7899758080282</v>
      </c>
      <c r="AJ18" s="12">
        <f>AI18*(1+$AA$23)</f>
        <v>408.66207604994793</v>
      </c>
      <c r="AK18" s="12">
        <f>AJ18*(1+$AA$23)</f>
        <v>404.57545528944843</v>
      </c>
      <c r="AL18" s="12">
        <f>AK18*(1+$AA$23)</f>
        <v>400.52970073655393</v>
      </c>
      <c r="AM18" s="12">
        <f>AL18*(1+$AA$23)</f>
        <v>396.52440372918841</v>
      </c>
      <c r="AN18" s="12">
        <f>AM18*(1+$AA$23)</f>
        <v>392.55915969189653</v>
      </c>
      <c r="AO18" s="12">
        <f>AN18*(1+$AA$23)</f>
        <v>388.63356809497753</v>
      </c>
      <c r="AP18" s="12">
        <f>AO18*(1+$AA$23)</f>
        <v>384.74723241402774</v>
      </c>
      <c r="AQ18" s="12">
        <f>AP18*(1+$AA$23)</f>
        <v>380.89976008988748</v>
      </c>
      <c r="AR18" s="12">
        <f>AQ18*(1+$AA$23)</f>
        <v>377.09076248898862</v>
      </c>
      <c r="AS18" s="12">
        <f>AR18*(1+$AA$23)</f>
        <v>373.31985486409872</v>
      </c>
      <c r="AT18" s="12">
        <f>AS18*(1+$AA$23)</f>
        <v>369.58665631545773</v>
      </c>
      <c r="AU18" s="12">
        <f>AT18*(1+$AA$23)</f>
        <v>365.89078975230314</v>
      </c>
      <c r="AV18" s="12">
        <f>AU18*(1+$AA$23)</f>
        <v>362.23188185478011</v>
      </c>
      <c r="AW18" s="12">
        <f>AV18*(1+$AA$23)</f>
        <v>358.60956303623232</v>
      </c>
      <c r="AX18" s="12">
        <f>AW18*(1+$AA$23)</f>
        <v>355.02346740587001</v>
      </c>
      <c r="AY18" s="12">
        <f>AX18*(1+$AA$23)</f>
        <v>351.47323273181132</v>
      </c>
      <c r="AZ18" s="12">
        <f>AY18*(1+$AA$23)</f>
        <v>347.95850040449318</v>
      </c>
      <c r="BA18" s="12">
        <f>AZ18*(1+$AA$23)</f>
        <v>344.47891540044827</v>
      </c>
      <c r="BB18" s="12">
        <f>BA18*(1+$AA$23)</f>
        <v>341.0341262464438</v>
      </c>
      <c r="BC18" s="12">
        <f>BB18*(1+$AA$23)</f>
        <v>337.62378498397936</v>
      </c>
      <c r="BD18" s="12">
        <f>BC18*(1+$AA$23)</f>
        <v>334.24754713413955</v>
      </c>
      <c r="BE18" s="12">
        <f>BD18*(1+$AA$23)</f>
        <v>330.90507166279815</v>
      </c>
      <c r="BF18" s="12">
        <f>BE18*(1+$AA$23)</f>
        <v>327.59602094617014</v>
      </c>
      <c r="BG18" s="12">
        <f>BF18*(1+$AA$23)</f>
        <v>324.32006073670846</v>
      </c>
      <c r="BH18" s="12">
        <f>BG18*(1+$AA$23)</f>
        <v>321.07686012934136</v>
      </c>
      <c r="BI18" s="12">
        <f>BH18*(1+$AA$23)</f>
        <v>317.86609152804795</v>
      </c>
      <c r="BJ18" s="12">
        <f>BI18*(1+$AA$23)</f>
        <v>314.68743061276746</v>
      </c>
      <c r="BK18" s="12">
        <f>BJ18*(1+$AA$23)</f>
        <v>311.54055630663976</v>
      </c>
      <c r="BL18" s="12">
        <f>BK18*(1+$AA$23)</f>
        <v>308.42515074357334</v>
      </c>
      <c r="BM18" s="12">
        <f>BL18*(1+$AA$23)</f>
        <v>305.3408992361376</v>
      </c>
      <c r="BN18" s="12">
        <f>BM18*(1+$AA$23)</f>
        <v>302.28749024377623</v>
      </c>
      <c r="BO18" s="12">
        <f>BN18*(1+$AA$23)</f>
        <v>299.26461534133847</v>
      </c>
      <c r="BP18" s="12">
        <f>BO18*(1+$AA$23)</f>
        <v>296.27196918792509</v>
      </c>
      <c r="BQ18" s="12">
        <f>BP18*(1+$AA$23)</f>
        <v>293.30924949604582</v>
      </c>
      <c r="BR18" s="12">
        <f>BQ18*(1+$AA$23)</f>
        <v>290.37615700108535</v>
      </c>
      <c r="BS18" s="12">
        <f>BR18*(1+$AA$23)</f>
        <v>287.47239543107452</v>
      </c>
      <c r="BT18" s="12">
        <f>BS18*(1+$AA$23)</f>
        <v>284.59767147676376</v>
      </c>
      <c r="BU18" s="12">
        <f>BT18*(1+$AA$23)</f>
        <v>281.75169476199613</v>
      </c>
      <c r="BV18" s="12">
        <f>BU18*(1+$AA$23)</f>
        <v>278.9341778143762</v>
      </c>
      <c r="BW18" s="12">
        <f>BV18*(1+$AA$23)</f>
        <v>276.14483603623245</v>
      </c>
      <c r="BX18" s="12">
        <f>BW18*(1+$AA$23)</f>
        <v>273.3833876758701</v>
      </c>
      <c r="BY18" s="12">
        <f>BX18*(1+$AA$23)</f>
        <v>270.6495537991114</v>
      </c>
      <c r="BZ18" s="12">
        <f>BY18*(1+$AA$23)</f>
        <v>267.94305826112031</v>
      </c>
      <c r="CA18" s="12">
        <f>BZ18*(1+$AA$23)</f>
        <v>265.26362767850912</v>
      </c>
      <c r="CB18" s="12">
        <f>CA18*(1+$AA$23)</f>
        <v>262.61099140172405</v>
      </c>
      <c r="CC18" s="12">
        <f>CB18*(1+$AA$23)</f>
        <v>259.98488148770679</v>
      </c>
      <c r="CD18" s="12">
        <f>CC18*(1+$AA$23)</f>
        <v>257.38503267282971</v>
      </c>
      <c r="CE18" s="12">
        <f>CD18*(1+$AA$23)</f>
        <v>254.81118234610142</v>
      </c>
      <c r="CF18" s="12">
        <f>CE18*(1+$AA$23)</f>
        <v>252.26307052264039</v>
      </c>
      <c r="CG18" s="12">
        <f>CF18*(1+$AA$23)</f>
        <v>249.74043981741397</v>
      </c>
      <c r="CH18" s="12">
        <f>CG18*(1+$AA$23)</f>
        <v>247.24303541923982</v>
      </c>
      <c r="CI18" s="12">
        <f>CH18*(1+$AA$23)</f>
        <v>244.77060506504742</v>
      </c>
      <c r="CJ18" s="12">
        <f>CI18*(1+$AA$23)</f>
        <v>242.32289901439694</v>
      </c>
      <c r="CK18" s="12">
        <f>CJ18*(1+$AA$23)</f>
        <v>239.89967002425297</v>
      </c>
      <c r="CL18" s="12">
        <f>CK18*(1+$AA$23)</f>
        <v>237.50067332401045</v>
      </c>
      <c r="CM18" s="12">
        <f>CL18*(1+$AA$23)</f>
        <v>235.12566659077035</v>
      </c>
      <c r="CN18" s="12">
        <f>CM18*(1+$AA$23)</f>
        <v>232.77440992486265</v>
      </c>
      <c r="CO18" s="12">
        <f>CN18*(1+$AA$23)</f>
        <v>230.44666582561402</v>
      </c>
      <c r="CP18" s="12">
        <f>CO18*(1+$AA$23)</f>
        <v>228.14219916735789</v>
      </c>
      <c r="CQ18" s="12">
        <f>CP18*(1+$AA$23)</f>
        <v>225.86077717568432</v>
      </c>
      <c r="CR18" s="12">
        <f>CQ18*(1+$AA$23)</f>
        <v>223.60216940392746</v>
      </c>
      <c r="CS18" s="12">
        <f>CR18*(1+$AA$23)</f>
        <v>221.3661477098882</v>
      </c>
      <c r="CT18" s="12">
        <f>CS18*(1+$AA$23)</f>
        <v>219.1524862327893</v>
      </c>
      <c r="CU18" s="12">
        <f>CT18*(1+$AA$23)</f>
        <v>216.9609613704614</v>
      </c>
      <c r="CV18" s="12">
        <f>CU18*(1+$AA$23)</f>
        <v>214.7913517567568</v>
      </c>
      <c r="CW18" s="12">
        <f>CV18*(1+$AA$23)</f>
        <v>212.64343823918924</v>
      </c>
      <c r="CX18" s="12">
        <f>CW18*(1+$AA$23)</f>
        <v>210.51700385679734</v>
      </c>
      <c r="CY18" s="12">
        <f>CX18*(1+$AA$23)</f>
        <v>208.41183381822938</v>
      </c>
      <c r="CZ18" s="12">
        <f>CY18*(1+$AA$23)</f>
        <v>206.32771548004709</v>
      </c>
    </row>
    <row r="19" spans="1:104" x14ac:dyDescent="0.25">
      <c r="C19" s="2" t="s">
        <v>54</v>
      </c>
      <c r="D19" s="9">
        <v>79.931532000000004</v>
      </c>
      <c r="E19" s="9">
        <v>80.220365999999999</v>
      </c>
      <c r="F19" s="9">
        <v>80.169882000000001</v>
      </c>
      <c r="G19" s="9">
        <v>80.021396999999993</v>
      </c>
      <c r="H19" s="9">
        <v>113.251741</v>
      </c>
      <c r="I19" s="9">
        <v>113.251741</v>
      </c>
      <c r="J19" s="9">
        <v>113.251741</v>
      </c>
      <c r="K19" s="9">
        <v>113.251741</v>
      </c>
      <c r="L19" s="9">
        <v>113.251741</v>
      </c>
      <c r="M19" s="9">
        <v>113.251741</v>
      </c>
      <c r="N19" s="8">
        <v>113.251741</v>
      </c>
      <c r="O19" s="9">
        <v>113.251741</v>
      </c>
      <c r="P19" s="9">
        <v>113.251741</v>
      </c>
      <c r="Q19" s="9">
        <v>113.251741</v>
      </c>
      <c r="R19" s="9">
        <v>113.251741</v>
      </c>
      <c r="S19" s="9">
        <v>113.251741</v>
      </c>
      <c r="T19" s="9">
        <v>113.251741</v>
      </c>
      <c r="U19" s="9">
        <v>113.251741</v>
      </c>
      <c r="V19" s="9">
        <v>113.251741</v>
      </c>
      <c r="W19" s="9">
        <v>113.251741</v>
      </c>
      <c r="X19" s="9">
        <v>113.251741</v>
      </c>
    </row>
    <row r="20" spans="1:104" x14ac:dyDescent="0.25">
      <c r="C20" s="2" t="s">
        <v>55</v>
      </c>
      <c r="D20" s="19">
        <f t="shared" ref="D20:X20" si="17">D18/D19</f>
        <v>7.6190207388993869</v>
      </c>
      <c r="E20" s="19">
        <f t="shared" si="17"/>
        <v>8.8630859649780209</v>
      </c>
      <c r="F20" s="19">
        <f t="shared" si="17"/>
        <v>9.2553460412976527</v>
      </c>
      <c r="G20" s="19">
        <f t="shared" si="17"/>
        <v>10.634655628418985</v>
      </c>
      <c r="H20" s="19">
        <f t="shared" si="17"/>
        <v>7.2493366790714502</v>
      </c>
      <c r="I20" s="19">
        <f t="shared" si="17"/>
        <v>8.7592472419474774</v>
      </c>
      <c r="J20" s="19">
        <f t="shared" si="17"/>
        <v>9.9777715558474291</v>
      </c>
      <c r="K20" s="19">
        <f t="shared" si="17"/>
        <v>8.5914794016279181</v>
      </c>
      <c r="L20" s="19">
        <f t="shared" si="17"/>
        <v>9.7128749658691778</v>
      </c>
      <c r="M20" s="19">
        <f t="shared" si="17"/>
        <v>10.896079734438697</v>
      </c>
      <c r="N20" s="18">
        <f t="shared" si="17"/>
        <v>7.0815688387518918</v>
      </c>
      <c r="O20" s="19">
        <f t="shared" si="17"/>
        <v>7.3544476459748225</v>
      </c>
      <c r="P20" s="19">
        <f t="shared" si="17"/>
        <v>7.1126500386426752</v>
      </c>
      <c r="Q20" s="19">
        <f t="shared" si="17"/>
        <v>6.8466726705773135</v>
      </c>
      <c r="R20" s="19">
        <f t="shared" si="17"/>
        <v>6.5540975657054164</v>
      </c>
      <c r="S20" s="19">
        <f t="shared" si="17"/>
        <v>6.2322649503463285</v>
      </c>
      <c r="T20" s="19">
        <f t="shared" si="17"/>
        <v>5.8782490734513306</v>
      </c>
      <c r="U20" s="19">
        <f t="shared" si="17"/>
        <v>5.4888316088668345</v>
      </c>
      <c r="V20" s="19">
        <f t="shared" si="17"/>
        <v>5.0604723978238884</v>
      </c>
      <c r="W20" s="19">
        <f t="shared" si="17"/>
        <v>4.5892772656766487</v>
      </c>
      <c r="X20" s="19">
        <f t="shared" si="17"/>
        <v>4.0709626203146829</v>
      </c>
    </row>
    <row r="22" spans="1:104" x14ac:dyDescent="0.25">
      <c r="C22" s="1" t="s">
        <v>29</v>
      </c>
      <c r="E22" s="21">
        <f>(E4-D4)/D4</f>
        <v>0.12374378235712111</v>
      </c>
      <c r="F22" s="21">
        <f>(F4-E4)/E4</f>
        <v>0.14345076784101174</v>
      </c>
      <c r="G22" s="21">
        <f>(G4-F4)/F4</f>
        <v>0.10404487280771053</v>
      </c>
      <c r="H22" s="21">
        <f>(H4-G4)/G4</f>
        <v>0.41624329159212881</v>
      </c>
      <c r="I22" s="21">
        <f>(I4-H4)/H4</f>
        <v>-4.0470897332255458E-2</v>
      </c>
      <c r="J22" s="21">
        <f>(J4-I4)/I4</f>
        <v>5.8606708440840399E-2</v>
      </c>
      <c r="K22" s="21">
        <f>(K4-J4)/J4</f>
        <v>0.17150815758058097</v>
      </c>
      <c r="L22" s="21">
        <f>(L4-K4)/K4</f>
        <v>0.14546535326086957</v>
      </c>
      <c r="M22" s="21">
        <f>(M4-L4)/L4</f>
        <v>6.7462376751427086E-3</v>
      </c>
      <c r="N22" s="22">
        <f>(N4-M4)/M4</f>
        <v>-5.1656848306332839E-2</v>
      </c>
      <c r="O22" s="21">
        <f>(O4-N4)/N4</f>
        <v>0</v>
      </c>
      <c r="P22" s="21">
        <f>(P4-O4)/O4</f>
        <v>0</v>
      </c>
      <c r="Q22" s="21">
        <f>(Q4-P4)/P4</f>
        <v>0</v>
      </c>
      <c r="R22" s="21">
        <f>(R4-Q4)/Q4</f>
        <v>0</v>
      </c>
      <c r="S22" s="21">
        <f>(S4-R4)/R4</f>
        <v>0</v>
      </c>
      <c r="T22" s="21">
        <f>(T4-S4)/S4</f>
        <v>0</v>
      </c>
      <c r="U22" s="21">
        <f>(U4-T4)/T4</f>
        <v>0</v>
      </c>
      <c r="V22" s="21">
        <f>(V4-U4)/U4</f>
        <v>0</v>
      </c>
      <c r="W22" s="21">
        <f>(W4-V4)/V4</f>
        <v>0</v>
      </c>
      <c r="X22" s="21">
        <f>(X4-W4)/W4</f>
        <v>0</v>
      </c>
      <c r="Z22" s="2" t="s">
        <v>99</v>
      </c>
      <c r="AA22" s="27">
        <v>0.08</v>
      </c>
    </row>
    <row r="23" spans="1:104" x14ac:dyDescent="0.25">
      <c r="C23" s="2" t="s">
        <v>146</v>
      </c>
      <c r="D23" s="2">
        <f>D6/D4</f>
        <v>0.4450309613237235</v>
      </c>
      <c r="E23" s="20">
        <f t="shared" ref="E23:X23" si="18">E6/E4</f>
        <v>0.44543812104787717</v>
      </c>
      <c r="F23" s="20">
        <f t="shared" si="18"/>
        <v>0.42573866329593935</v>
      </c>
      <c r="G23" s="20">
        <f t="shared" si="18"/>
        <v>0.42783542039355993</v>
      </c>
      <c r="H23" s="20">
        <f t="shared" si="18"/>
        <v>0.40470897332255457</v>
      </c>
      <c r="I23" s="20">
        <f t="shared" si="18"/>
        <v>0.37549365488915804</v>
      </c>
      <c r="J23" s="20">
        <f t="shared" si="18"/>
        <v>0.38987266215678473</v>
      </c>
      <c r="K23" s="20">
        <f t="shared" si="18"/>
        <v>0.38739809782608697</v>
      </c>
      <c r="L23" s="20">
        <f t="shared" si="18"/>
        <v>0.39543331603528803</v>
      </c>
      <c r="M23" s="20">
        <f t="shared" si="18"/>
        <v>0.39930044182621505</v>
      </c>
      <c r="N23" s="23">
        <f t="shared" si="18"/>
        <v>0.3859145086772528</v>
      </c>
      <c r="O23" s="20">
        <f t="shared" si="18"/>
        <v>0.3859145086772528</v>
      </c>
      <c r="P23" s="20">
        <f t="shared" si="18"/>
        <v>0.3859145086772528</v>
      </c>
      <c r="Q23" s="20">
        <f t="shared" si="18"/>
        <v>0.3859145086772528</v>
      </c>
      <c r="R23" s="20">
        <f t="shared" si="18"/>
        <v>0.3859145086772528</v>
      </c>
      <c r="S23" s="20">
        <f t="shared" si="18"/>
        <v>0.3859145086772528</v>
      </c>
      <c r="T23" s="20">
        <f t="shared" si="18"/>
        <v>0.3859145086772528</v>
      </c>
      <c r="U23" s="20">
        <f t="shared" si="18"/>
        <v>0.3859145086772528</v>
      </c>
      <c r="V23" s="20">
        <f t="shared" si="18"/>
        <v>0.3859145086772528</v>
      </c>
      <c r="W23" s="20">
        <f t="shared" si="18"/>
        <v>0.3859145086772528</v>
      </c>
      <c r="X23" s="20">
        <f t="shared" si="18"/>
        <v>0.3859145086772528</v>
      </c>
      <c r="Z23" s="2" t="s">
        <v>100</v>
      </c>
      <c r="AA23" s="27">
        <v>-0.01</v>
      </c>
    </row>
    <row r="24" spans="1:104" x14ac:dyDescent="0.25">
      <c r="C24" s="2" t="s">
        <v>96</v>
      </c>
      <c r="D24" s="20">
        <f>D12/D4</f>
        <v>8.5169018373769154E-2</v>
      </c>
      <c r="E24" s="20">
        <f>E12/E4</f>
        <v>9.322493224932249E-2</v>
      </c>
      <c r="F24" s="20">
        <f>F12/F4</f>
        <v>8.113446042028756E-2</v>
      </c>
      <c r="G24" s="20">
        <f>G12/G4</f>
        <v>8.8944543828264763E-2</v>
      </c>
      <c r="H24" s="20">
        <f>H12/H4</f>
        <v>6.9118835893290223E-2</v>
      </c>
      <c r="I24" s="20">
        <f>I12/I4</f>
        <v>8.3407930072139438E-2</v>
      </c>
      <c r="J24" s="20">
        <f>J12/J4</f>
        <v>8.2670115399920419E-2</v>
      </c>
      <c r="K24" s="20">
        <f>K12/K4</f>
        <v>7.3369565217391311E-2</v>
      </c>
      <c r="L24" s="20">
        <f>L12/L4</f>
        <v>7.1799243828304549E-2</v>
      </c>
      <c r="M24" s="20">
        <f>M12/M4</f>
        <v>7.7466863033873345E-2</v>
      </c>
      <c r="N24" s="23">
        <f>N12/N4</f>
        <v>6.025546453391311E-2</v>
      </c>
      <c r="O24" s="20">
        <f>O12/O4</f>
        <v>6.0699227394494709E-2</v>
      </c>
      <c r="P24" s="20">
        <f>P12/P4</f>
        <v>6.0699227394494709E-2</v>
      </c>
      <c r="Q24" s="20">
        <f>Q12/Q4</f>
        <v>6.0699227394494709E-2</v>
      </c>
      <c r="R24" s="20">
        <f>R12/R4</f>
        <v>6.0699227394494709E-2</v>
      </c>
      <c r="S24" s="20">
        <f>S12/S4</f>
        <v>6.0699227394494709E-2</v>
      </c>
      <c r="T24" s="20">
        <f>T12/T4</f>
        <v>6.0699227394494709E-2</v>
      </c>
      <c r="U24" s="20">
        <f>U12/U4</f>
        <v>6.0699227394494709E-2</v>
      </c>
      <c r="V24" s="20">
        <f>V12/V4</f>
        <v>6.0699227394494709E-2</v>
      </c>
      <c r="W24" s="20">
        <f>W12/W4</f>
        <v>6.0699227394494709E-2</v>
      </c>
      <c r="X24" s="20">
        <f>X12/X4</f>
        <v>6.0699227394494709E-2</v>
      </c>
      <c r="Z24" s="26" t="s">
        <v>101</v>
      </c>
      <c r="AA24" s="28">
        <f>NPV(AA22,N18:CZ18)</f>
        <v>7238.4807253921435</v>
      </c>
    </row>
    <row r="25" spans="1:104" s="53" customFormat="1" x14ac:dyDescent="0.25">
      <c r="B25" s="4"/>
      <c r="C25" s="2" t="s">
        <v>30</v>
      </c>
      <c r="D25" s="20">
        <f>D14/D4</f>
        <v>8.5169018373769154E-2</v>
      </c>
      <c r="E25" s="20">
        <f>E14/E4</f>
        <v>8.717253839205058E-2</v>
      </c>
      <c r="F25" s="20">
        <f>F14/F4</f>
        <v>8.1608468952441143E-2</v>
      </c>
      <c r="G25" s="20">
        <f>G14/G4</f>
        <v>8.6082289803220038E-2</v>
      </c>
      <c r="H25" s="20">
        <f>H14/H4</f>
        <v>6.452101859337106E-2</v>
      </c>
      <c r="I25" s="20">
        <f>I14/I4</f>
        <v>7.6667895318835236E-2</v>
      </c>
      <c r="J25" s="20">
        <f>J14/J4</f>
        <v>7.5756068444090732E-2</v>
      </c>
      <c r="K25" s="20">
        <f>K14/K4</f>
        <v>6.1268682065217392E-2</v>
      </c>
      <c r="L25" s="20">
        <f>L14/L4</f>
        <v>6.5905552672547996E-2</v>
      </c>
      <c r="M25" s="20">
        <f>M14/M4</f>
        <v>7.1428571428571425E-2</v>
      </c>
      <c r="N25" s="23">
        <f>N14/N4</f>
        <v>5.3771790192957254E-2</v>
      </c>
      <c r="O25" s="20">
        <f>O14/O4</f>
        <v>5.3710835889272827E-2</v>
      </c>
      <c r="P25" s="20">
        <f>P14/P4</f>
        <v>5.3710835889272827E-2</v>
      </c>
      <c r="Q25" s="20">
        <f>Q14/Q4</f>
        <v>5.3710835889272827E-2</v>
      </c>
      <c r="R25" s="20">
        <f>R14/R4</f>
        <v>5.3710835889272827E-2</v>
      </c>
      <c r="S25" s="20">
        <f>S14/S4</f>
        <v>5.3710835889272827E-2</v>
      </c>
      <c r="T25" s="20">
        <f>T14/T4</f>
        <v>5.3710835889272827E-2</v>
      </c>
      <c r="U25" s="20">
        <f>U14/U4</f>
        <v>5.3710835889272827E-2</v>
      </c>
      <c r="V25" s="20">
        <f>V14/V4</f>
        <v>5.3710835889272827E-2</v>
      </c>
      <c r="W25" s="20">
        <f>W14/W4</f>
        <v>5.3710835889272827E-2</v>
      </c>
      <c r="X25" s="20">
        <f>X14/X4</f>
        <v>5.3710835889272827E-2</v>
      </c>
      <c r="Z25" s="2" t="s">
        <v>2</v>
      </c>
      <c r="AA25" s="9">
        <v>113.251741</v>
      </c>
    </row>
    <row r="26" spans="1:104" s="53" customFormat="1" x14ac:dyDescent="0.25">
      <c r="B26" s="4"/>
      <c r="C26" s="2" t="s">
        <v>133</v>
      </c>
      <c r="D26" s="20">
        <v>0.76900000000000002</v>
      </c>
      <c r="E26" s="20">
        <v>0.77600000000000002</v>
      </c>
      <c r="F26" s="20">
        <v>0.77600000000000002</v>
      </c>
      <c r="G26" s="20">
        <v>0.77200000000000002</v>
      </c>
      <c r="H26" s="20">
        <v>0.75800000000000001</v>
      </c>
      <c r="I26" s="20">
        <v>0.75600000000000001</v>
      </c>
      <c r="J26" s="20">
        <v>0.747</v>
      </c>
      <c r="K26" s="20">
        <v>0.747</v>
      </c>
      <c r="L26" s="20">
        <v>0.73499999999999999</v>
      </c>
      <c r="M26" s="20">
        <v>0.72699999999999998</v>
      </c>
      <c r="N26" s="23"/>
      <c r="O26" s="20"/>
      <c r="P26" s="20"/>
      <c r="Q26" s="20"/>
      <c r="R26" s="20"/>
      <c r="S26" s="20"/>
      <c r="T26" s="20"/>
      <c r="U26" s="20"/>
      <c r="V26" s="20"/>
      <c r="W26" s="20"/>
      <c r="X26" s="20"/>
      <c r="Z26" s="2" t="s">
        <v>102</v>
      </c>
      <c r="AA26" s="29">
        <f>AA24/AA25</f>
        <v>63.91496202598902</v>
      </c>
    </row>
    <row r="27" spans="1:104" s="26" customFormat="1" x14ac:dyDescent="0.25">
      <c r="C27" s="26" t="s">
        <v>132</v>
      </c>
      <c r="D27" s="41">
        <v>0.14799999999999999</v>
      </c>
      <c r="E27" s="41">
        <v>0.159</v>
      </c>
      <c r="F27" s="41">
        <v>0.154</v>
      </c>
      <c r="G27" s="41">
        <v>0.161</v>
      </c>
      <c r="H27" s="41">
        <v>0.106</v>
      </c>
      <c r="I27" s="41">
        <v>9.5000000000000001E-2</v>
      </c>
      <c r="J27" s="41">
        <v>0.108</v>
      </c>
      <c r="K27" s="41">
        <v>8.5000000000000006E-2</v>
      </c>
      <c r="L27" s="41">
        <v>8.7999999999999995E-2</v>
      </c>
      <c r="M27" s="41">
        <v>9.6000000000000002E-2</v>
      </c>
      <c r="N27" s="42"/>
      <c r="O27" s="41"/>
      <c r="P27" s="41"/>
      <c r="Q27" s="41"/>
      <c r="R27" s="41"/>
      <c r="S27" s="41"/>
      <c r="T27" s="41"/>
      <c r="U27" s="41"/>
      <c r="V27" s="41"/>
      <c r="W27" s="41"/>
      <c r="X27" s="41"/>
      <c r="Z27" s="43" t="s">
        <v>103</v>
      </c>
      <c r="AA27" s="44">
        <f>(AA26-Modell!$B$4)/Modell!$B$4</f>
        <v>-0.52655583684452578</v>
      </c>
    </row>
    <row r="28" spans="1:104" s="53" customFormat="1" x14ac:dyDescent="0.25">
      <c r="B28" s="4"/>
      <c r="D28" s="54"/>
      <c r="E28" s="54"/>
      <c r="F28" s="54"/>
      <c r="G28" s="54"/>
      <c r="H28" s="54"/>
      <c r="I28" s="54"/>
      <c r="J28" s="54"/>
      <c r="K28" s="54"/>
      <c r="L28" s="54"/>
      <c r="M28" s="54"/>
      <c r="N28" s="23"/>
      <c r="O28" s="54"/>
      <c r="P28" s="54"/>
      <c r="Q28" s="54"/>
      <c r="R28" s="54"/>
      <c r="S28" s="54"/>
      <c r="T28" s="54"/>
      <c r="U28" s="54"/>
      <c r="V28" s="54"/>
      <c r="W28" s="54"/>
      <c r="X28" s="54"/>
      <c r="Z28" s="55"/>
      <c r="AA28" s="56"/>
    </row>
    <row r="29" spans="1:104" x14ac:dyDescent="0.25">
      <c r="C29" s="53"/>
      <c r="D29" s="54"/>
      <c r="E29" s="54"/>
      <c r="F29" s="54"/>
      <c r="G29" s="54"/>
      <c r="H29" s="54"/>
      <c r="I29" s="54"/>
      <c r="J29" s="54"/>
      <c r="K29" s="54"/>
      <c r="L29" s="54"/>
      <c r="M29" s="54"/>
      <c r="N29" s="23"/>
      <c r="O29" s="54"/>
      <c r="P29" s="54"/>
      <c r="Q29" s="54"/>
      <c r="R29" s="54"/>
      <c r="S29" s="54"/>
      <c r="T29" s="54"/>
      <c r="U29" s="54"/>
      <c r="V29" s="54"/>
      <c r="W29" s="54"/>
      <c r="X29" s="54"/>
    </row>
    <row r="30" spans="1:104" x14ac:dyDescent="0.25">
      <c r="C30" s="53"/>
      <c r="D30" s="54"/>
      <c r="E30" s="54"/>
      <c r="F30" s="54"/>
      <c r="G30" s="54"/>
      <c r="H30" s="54"/>
      <c r="I30" s="54"/>
      <c r="J30" s="54"/>
      <c r="K30" s="54"/>
      <c r="L30" s="54"/>
      <c r="M30" s="54"/>
      <c r="N30" s="23"/>
      <c r="O30" s="54"/>
      <c r="P30" s="54"/>
      <c r="Q30" s="54"/>
      <c r="R30" s="54"/>
      <c r="S30" s="54"/>
      <c r="T30" s="54"/>
      <c r="U30" s="54"/>
      <c r="V30" s="54"/>
      <c r="W30" s="54"/>
      <c r="X30" s="54"/>
    </row>
    <row r="32" spans="1:104" x14ac:dyDescent="0.25">
      <c r="A32" s="43" t="s">
        <v>134</v>
      </c>
      <c r="B32" s="32"/>
      <c r="C32" s="26"/>
      <c r="D32" s="46" t="s">
        <v>131</v>
      </c>
      <c r="E32" s="46" t="s">
        <v>128</v>
      </c>
      <c r="F32" s="46" t="s">
        <v>129</v>
      </c>
      <c r="G32" s="46" t="s">
        <v>130</v>
      </c>
      <c r="H32" s="46" t="s">
        <v>34</v>
      </c>
      <c r="I32" s="46" t="s">
        <v>35</v>
      </c>
      <c r="J32" s="46" t="s">
        <v>36</v>
      </c>
      <c r="K32" s="46" t="s">
        <v>15</v>
      </c>
      <c r="L32" s="46" t="s">
        <v>16</v>
      </c>
      <c r="M32" s="46" t="s">
        <v>17</v>
      </c>
      <c r="N32" s="47" t="s">
        <v>18</v>
      </c>
      <c r="O32" s="46" t="s">
        <v>19</v>
      </c>
      <c r="P32" s="46" t="s">
        <v>20</v>
      </c>
      <c r="Q32" s="46" t="s">
        <v>21</v>
      </c>
      <c r="R32" s="46" t="s">
        <v>22</v>
      </c>
      <c r="S32" s="46" t="s">
        <v>23</v>
      </c>
      <c r="T32" s="46" t="s">
        <v>24</v>
      </c>
      <c r="U32" s="46" t="s">
        <v>25</v>
      </c>
      <c r="V32" s="46" t="s">
        <v>26</v>
      </c>
      <c r="W32" s="46" t="s">
        <v>27</v>
      </c>
      <c r="X32" s="46" t="s">
        <v>28</v>
      </c>
    </row>
    <row r="33" spans="1:104" x14ac:dyDescent="0.25">
      <c r="A33" s="1" t="s">
        <v>136</v>
      </c>
      <c r="C33" s="1" t="s">
        <v>40</v>
      </c>
      <c r="D33" s="12">
        <v>9851</v>
      </c>
      <c r="E33" s="12">
        <v>11070</v>
      </c>
      <c r="F33" s="12">
        <v>12658</v>
      </c>
      <c r="G33" s="12">
        <v>13975</v>
      </c>
      <c r="H33" s="12">
        <v>19792</v>
      </c>
      <c r="I33" s="12">
        <v>18991</v>
      </c>
      <c r="J33" s="12">
        <v>20104</v>
      </c>
      <c r="K33" s="12">
        <v>23552</v>
      </c>
      <c r="L33" s="12">
        <v>26978</v>
      </c>
      <c r="M33" s="12">
        <v>27160</v>
      </c>
      <c r="N33" s="48">
        <f>M33*0.99</f>
        <v>26888.400000000001</v>
      </c>
      <c r="O33" s="12">
        <f>N33*1</f>
        <v>26888.400000000001</v>
      </c>
      <c r="P33" s="12">
        <f t="shared" ref="P33:X33" si="19">O33*1</f>
        <v>26888.400000000001</v>
      </c>
      <c r="Q33" s="12">
        <f t="shared" si="19"/>
        <v>26888.400000000001</v>
      </c>
      <c r="R33" s="12">
        <f t="shared" si="19"/>
        <v>26888.400000000001</v>
      </c>
      <c r="S33" s="12">
        <f t="shared" si="19"/>
        <v>26888.400000000001</v>
      </c>
      <c r="T33" s="12">
        <f t="shared" si="19"/>
        <v>26888.400000000001</v>
      </c>
      <c r="U33" s="12">
        <f t="shared" si="19"/>
        <v>26888.400000000001</v>
      </c>
      <c r="V33" s="12">
        <f t="shared" si="19"/>
        <v>26888.400000000001</v>
      </c>
      <c r="W33" s="12">
        <f t="shared" si="19"/>
        <v>26888.400000000001</v>
      </c>
      <c r="X33" s="12">
        <f t="shared" si="19"/>
        <v>26888.400000000001</v>
      </c>
    </row>
    <row r="34" spans="1:104" x14ac:dyDescent="0.25">
      <c r="A34" s="45">
        <f>AA53</f>
        <v>20.462026435035657</v>
      </c>
      <c r="C34" s="2" t="s">
        <v>41</v>
      </c>
      <c r="D34" s="14">
        <v>-5467</v>
      </c>
      <c r="E34" s="14">
        <v>-6139</v>
      </c>
      <c r="F34" s="14">
        <v>-7269</v>
      </c>
      <c r="G34" s="14">
        <v>-7996</v>
      </c>
      <c r="H34" s="14">
        <v>-11782</v>
      </c>
      <c r="I34" s="14">
        <v>-11860</v>
      </c>
      <c r="J34" s="14">
        <v>-12266</v>
      </c>
      <c r="K34" s="14">
        <v>-14428</v>
      </c>
      <c r="L34" s="14">
        <v>-5585</v>
      </c>
      <c r="M34" s="14">
        <v>-5701</v>
      </c>
      <c r="N34" s="15">
        <v>-5701</v>
      </c>
      <c r="O34" s="14">
        <f>N34*1.01</f>
        <v>-5758.01</v>
      </c>
      <c r="P34" s="14">
        <f t="shared" ref="P34:X34" si="20">O34*1</f>
        <v>-5758.01</v>
      </c>
      <c r="Q34" s="14">
        <f t="shared" si="20"/>
        <v>-5758.01</v>
      </c>
      <c r="R34" s="14">
        <f t="shared" si="20"/>
        <v>-5758.01</v>
      </c>
      <c r="S34" s="14">
        <f t="shared" si="20"/>
        <v>-5758.01</v>
      </c>
      <c r="T34" s="14">
        <f t="shared" si="20"/>
        <v>-5758.01</v>
      </c>
      <c r="U34" s="14">
        <f t="shared" si="20"/>
        <v>-5758.01</v>
      </c>
      <c r="V34" s="14">
        <f t="shared" si="20"/>
        <v>-5758.01</v>
      </c>
      <c r="W34" s="14">
        <f t="shared" si="20"/>
        <v>-5758.01</v>
      </c>
      <c r="X34" s="14">
        <f t="shared" si="20"/>
        <v>-5758.01</v>
      </c>
    </row>
    <row r="35" spans="1:104" x14ac:dyDescent="0.25">
      <c r="A35" s="21">
        <f>AA54</f>
        <v>-0.84842943381455072</v>
      </c>
      <c r="C35" s="2" t="s">
        <v>42</v>
      </c>
      <c r="D35" s="14">
        <v>-2672</v>
      </c>
      <c r="E35" s="14">
        <v>-2944</v>
      </c>
      <c r="F35" s="14">
        <v>-3192</v>
      </c>
      <c r="G35" s="14">
        <v>-3547</v>
      </c>
      <c r="H35" s="14">
        <v>-4408</v>
      </c>
      <c r="I35" s="14">
        <v>-3811</v>
      </c>
      <c r="J35" s="14">
        <v>-3918</v>
      </c>
      <c r="K35" s="14">
        <v>-4897</v>
      </c>
      <c r="L35" s="14">
        <v>-2366</v>
      </c>
      <c r="M35" s="14">
        <v>-2337</v>
      </c>
      <c r="N35" s="15">
        <v>-2337</v>
      </c>
      <c r="O35" s="14">
        <f t="shared" ref="O35:O37" si="21">N35*1.01</f>
        <v>-2360.37</v>
      </c>
      <c r="P35" s="14">
        <f t="shared" ref="P35:X35" si="22">O35*1</f>
        <v>-2360.37</v>
      </c>
      <c r="Q35" s="14">
        <f t="shared" si="22"/>
        <v>-2360.37</v>
      </c>
      <c r="R35" s="14">
        <f t="shared" si="22"/>
        <v>-2360.37</v>
      </c>
      <c r="S35" s="14">
        <f t="shared" si="22"/>
        <v>-2360.37</v>
      </c>
      <c r="T35" s="14">
        <f t="shared" si="22"/>
        <v>-2360.37</v>
      </c>
      <c r="U35" s="14">
        <f t="shared" si="22"/>
        <v>-2360.37</v>
      </c>
      <c r="V35" s="14">
        <f t="shared" si="22"/>
        <v>-2360.37</v>
      </c>
      <c r="W35" s="14">
        <f t="shared" si="22"/>
        <v>-2360.37</v>
      </c>
      <c r="X35" s="14">
        <f t="shared" si="22"/>
        <v>-2360.37</v>
      </c>
    </row>
    <row r="36" spans="1:104" x14ac:dyDescent="0.25">
      <c r="C36" s="2" t="s">
        <v>43</v>
      </c>
      <c r="D36" s="14">
        <f>-826-2</f>
        <v>-828</v>
      </c>
      <c r="E36" s="14">
        <f>-917</f>
        <v>-917</v>
      </c>
      <c r="F36" s="14">
        <v>-1066</v>
      </c>
      <c r="G36" s="14">
        <f>-1073</f>
        <v>-1073</v>
      </c>
      <c r="H36" s="14">
        <v>-1608</v>
      </c>
      <c r="I36" s="14">
        <v>-1245</v>
      </c>
      <c r="J36" s="14">
        <v>-1622</v>
      </c>
      <c r="K36" s="14">
        <v>-1903</v>
      </c>
      <c r="L36" s="14">
        <v>-16310</v>
      </c>
      <c r="M36" s="14">
        <v>-16315</v>
      </c>
      <c r="N36" s="15">
        <v>-16315</v>
      </c>
      <c r="O36" s="14">
        <f>N36*1.03</f>
        <v>-16804.45</v>
      </c>
      <c r="P36" s="14">
        <f t="shared" ref="P36:X36" si="23">O36*1</f>
        <v>-16804.45</v>
      </c>
      <c r="Q36" s="14">
        <f t="shared" si="23"/>
        <v>-16804.45</v>
      </c>
      <c r="R36" s="14">
        <f t="shared" si="23"/>
        <v>-16804.45</v>
      </c>
      <c r="S36" s="14">
        <f t="shared" si="23"/>
        <v>-16804.45</v>
      </c>
      <c r="T36" s="14">
        <f t="shared" si="23"/>
        <v>-16804.45</v>
      </c>
      <c r="U36" s="14">
        <f t="shared" si="23"/>
        <v>-16804.45</v>
      </c>
      <c r="V36" s="14">
        <f t="shared" si="23"/>
        <v>-16804.45</v>
      </c>
      <c r="W36" s="14">
        <f t="shared" si="23"/>
        <v>-16804.45</v>
      </c>
      <c r="X36" s="14">
        <f t="shared" si="23"/>
        <v>-16804.45</v>
      </c>
    </row>
    <row r="37" spans="1:104" x14ac:dyDescent="0.25">
      <c r="C37" s="2" t="s">
        <v>44</v>
      </c>
      <c r="D37" s="14">
        <v>0</v>
      </c>
      <c r="E37" s="14">
        <v>10</v>
      </c>
      <c r="F37" s="14">
        <v>1</v>
      </c>
      <c r="G37" s="14">
        <v>-1</v>
      </c>
      <c r="H37" s="14">
        <v>31</v>
      </c>
      <c r="I37" s="14">
        <f>198-24+5</f>
        <v>179</v>
      </c>
      <c r="J37" s="14">
        <f>58-1+5</f>
        <v>62</v>
      </c>
      <c r="K37" s="14">
        <f>98+8</f>
        <v>106</v>
      </c>
      <c r="L37" s="14">
        <v>0</v>
      </c>
      <c r="M37" s="14">
        <f>42-8</f>
        <v>34</v>
      </c>
      <c r="N37" s="15">
        <f>42-8</f>
        <v>34</v>
      </c>
      <c r="O37" s="14">
        <f t="shared" si="21"/>
        <v>34.340000000000003</v>
      </c>
      <c r="P37" s="14">
        <f t="shared" ref="P37:X37" si="24">O37*1</f>
        <v>34.340000000000003</v>
      </c>
      <c r="Q37" s="14">
        <f t="shared" si="24"/>
        <v>34.340000000000003</v>
      </c>
      <c r="R37" s="14">
        <f t="shared" si="24"/>
        <v>34.340000000000003</v>
      </c>
      <c r="S37" s="14">
        <f t="shared" si="24"/>
        <v>34.340000000000003</v>
      </c>
      <c r="T37" s="14">
        <f t="shared" si="24"/>
        <v>34.340000000000003</v>
      </c>
      <c r="U37" s="14">
        <f t="shared" si="24"/>
        <v>34.340000000000003</v>
      </c>
      <c r="V37" s="14">
        <f t="shared" si="24"/>
        <v>34.340000000000003</v>
      </c>
      <c r="W37" s="14">
        <f t="shared" si="24"/>
        <v>34.340000000000003</v>
      </c>
      <c r="X37" s="14">
        <f t="shared" si="24"/>
        <v>34.340000000000003</v>
      </c>
    </row>
    <row r="38" spans="1:104" x14ac:dyDescent="0.25">
      <c r="C38" s="1" t="s">
        <v>45</v>
      </c>
      <c r="D38" s="12">
        <f t="shared" ref="D38:X38" si="25">SUM(D33:D37)</f>
        <v>884</v>
      </c>
      <c r="E38" s="12">
        <f t="shared" si="25"/>
        <v>1080</v>
      </c>
      <c r="F38" s="12">
        <f t="shared" si="25"/>
        <v>1132</v>
      </c>
      <c r="G38" s="12">
        <f t="shared" si="25"/>
        <v>1358</v>
      </c>
      <c r="H38" s="12">
        <f t="shared" si="25"/>
        <v>2025</v>
      </c>
      <c r="I38" s="12">
        <f t="shared" si="25"/>
        <v>2254</v>
      </c>
      <c r="J38" s="12">
        <f t="shared" si="25"/>
        <v>2360</v>
      </c>
      <c r="K38" s="12">
        <f t="shared" si="25"/>
        <v>2430</v>
      </c>
      <c r="L38" s="12">
        <f t="shared" si="25"/>
        <v>2717</v>
      </c>
      <c r="M38" s="12">
        <f t="shared" si="25"/>
        <v>2841</v>
      </c>
      <c r="N38" s="13">
        <f t="shared" si="25"/>
        <v>2569.4000000000015</v>
      </c>
      <c r="O38" s="12">
        <f t="shared" si="25"/>
        <v>1999.9099999999996</v>
      </c>
      <c r="P38" s="12">
        <f t="shared" si="25"/>
        <v>1999.9099999999996</v>
      </c>
      <c r="Q38" s="12">
        <f t="shared" si="25"/>
        <v>1999.9099999999996</v>
      </c>
      <c r="R38" s="12">
        <f t="shared" si="25"/>
        <v>1999.9099999999996</v>
      </c>
      <c r="S38" s="12">
        <f t="shared" si="25"/>
        <v>1999.9099999999996</v>
      </c>
      <c r="T38" s="12">
        <f t="shared" si="25"/>
        <v>1999.9099999999996</v>
      </c>
      <c r="U38" s="12">
        <f t="shared" si="25"/>
        <v>1999.9099999999996</v>
      </c>
      <c r="V38" s="12">
        <f t="shared" si="25"/>
        <v>1999.9099999999996</v>
      </c>
      <c r="W38" s="12">
        <f t="shared" si="25"/>
        <v>1999.9099999999996</v>
      </c>
      <c r="X38" s="12">
        <f t="shared" si="25"/>
        <v>1999.9099999999996</v>
      </c>
    </row>
    <row r="39" spans="1:104" x14ac:dyDescent="0.25">
      <c r="C39" s="2" t="s">
        <v>46</v>
      </c>
      <c r="D39" s="14">
        <v>-45</v>
      </c>
      <c r="E39" s="14">
        <v>-48</v>
      </c>
      <c r="F39" s="14">
        <v>-105</v>
      </c>
      <c r="G39" s="14">
        <v>-115</v>
      </c>
      <c r="H39" s="14">
        <v>-657</v>
      </c>
      <c r="I39" s="14">
        <v>-670</v>
      </c>
      <c r="J39" s="14">
        <v>-698</v>
      </c>
      <c r="K39" s="14">
        <v>-702</v>
      </c>
      <c r="L39" s="14">
        <v>-780</v>
      </c>
      <c r="M39" s="14">
        <v>-737</v>
      </c>
      <c r="N39" s="15">
        <v>-750</v>
      </c>
      <c r="O39" s="14">
        <v>-500</v>
      </c>
      <c r="P39" s="14">
        <v>-500</v>
      </c>
      <c r="Q39" s="14">
        <v>-500</v>
      </c>
      <c r="R39" s="14">
        <v>-500</v>
      </c>
      <c r="S39" s="14">
        <v>-500</v>
      </c>
      <c r="T39" s="14">
        <v>-500</v>
      </c>
      <c r="U39" s="14">
        <v>-500</v>
      </c>
      <c r="V39" s="14">
        <v>-500</v>
      </c>
      <c r="W39" s="14">
        <v>-500</v>
      </c>
      <c r="X39" s="14">
        <v>-500</v>
      </c>
    </row>
    <row r="40" spans="1:104" x14ac:dyDescent="0.25">
      <c r="C40" s="1" t="s">
        <v>47</v>
      </c>
      <c r="D40" s="12">
        <f t="shared" ref="D40:X40" si="26">SUM(D38:D39)</f>
        <v>839</v>
      </c>
      <c r="E40" s="12">
        <f t="shared" si="26"/>
        <v>1032</v>
      </c>
      <c r="F40" s="12">
        <f t="shared" si="26"/>
        <v>1027</v>
      </c>
      <c r="G40" s="12">
        <f t="shared" si="26"/>
        <v>1243</v>
      </c>
      <c r="H40" s="12">
        <f t="shared" si="26"/>
        <v>1368</v>
      </c>
      <c r="I40" s="12">
        <f t="shared" si="26"/>
        <v>1584</v>
      </c>
      <c r="J40" s="12">
        <f t="shared" si="26"/>
        <v>1662</v>
      </c>
      <c r="K40" s="12">
        <f t="shared" si="26"/>
        <v>1728</v>
      </c>
      <c r="L40" s="12">
        <f t="shared" si="26"/>
        <v>1937</v>
      </c>
      <c r="M40" s="12">
        <f t="shared" si="26"/>
        <v>2104</v>
      </c>
      <c r="N40" s="13">
        <f t="shared" si="26"/>
        <v>1819.4000000000015</v>
      </c>
      <c r="O40" s="12">
        <f t="shared" si="26"/>
        <v>1499.9099999999996</v>
      </c>
      <c r="P40" s="12">
        <f t="shared" si="26"/>
        <v>1499.9099999999996</v>
      </c>
      <c r="Q40" s="12">
        <f t="shared" si="26"/>
        <v>1499.9099999999996</v>
      </c>
      <c r="R40" s="12">
        <f t="shared" si="26"/>
        <v>1499.9099999999996</v>
      </c>
      <c r="S40" s="12">
        <f t="shared" si="26"/>
        <v>1499.9099999999996</v>
      </c>
      <c r="T40" s="12">
        <f t="shared" si="26"/>
        <v>1499.9099999999996</v>
      </c>
      <c r="U40" s="12">
        <f t="shared" si="26"/>
        <v>1499.9099999999996</v>
      </c>
      <c r="V40" s="12">
        <f t="shared" si="26"/>
        <v>1499.9099999999996</v>
      </c>
      <c r="W40" s="12">
        <f t="shared" si="26"/>
        <v>1499.9099999999996</v>
      </c>
      <c r="X40" s="12">
        <f t="shared" si="26"/>
        <v>1499.9099999999996</v>
      </c>
    </row>
    <row r="41" spans="1:104" x14ac:dyDescent="0.25">
      <c r="C41" s="2" t="s">
        <v>48</v>
      </c>
      <c r="D41" s="14">
        <v>0</v>
      </c>
      <c r="E41" s="14">
        <v>-67</v>
      </c>
      <c r="F41" s="14">
        <v>6</v>
      </c>
      <c r="G41" s="14">
        <v>-40</v>
      </c>
      <c r="H41" s="14">
        <v>-91</v>
      </c>
      <c r="I41" s="14">
        <v>-128</v>
      </c>
      <c r="J41" s="14">
        <v>-139</v>
      </c>
      <c r="K41" s="14">
        <v>-285</v>
      </c>
      <c r="L41" s="14">
        <v>-159</v>
      </c>
      <c r="M41" s="14">
        <v>-164</v>
      </c>
      <c r="N41" s="15">
        <v>-150</v>
      </c>
      <c r="O41" s="14">
        <f>N41*1.05</f>
        <v>-157.5</v>
      </c>
      <c r="P41" s="14">
        <f>O41*1.01</f>
        <v>-159.07499999999999</v>
      </c>
      <c r="Q41" s="14">
        <f t="shared" ref="Q41:X41" si="27">P41*1.01</f>
        <v>-160.66575</v>
      </c>
      <c r="R41" s="14">
        <f t="shared" si="27"/>
        <v>-162.27240750000001</v>
      </c>
      <c r="S41" s="14">
        <f t="shared" si="27"/>
        <v>-163.89513157500002</v>
      </c>
      <c r="T41" s="14">
        <f t="shared" si="27"/>
        <v>-165.53408289075003</v>
      </c>
      <c r="U41" s="14">
        <f t="shared" si="27"/>
        <v>-167.18942371965753</v>
      </c>
      <c r="V41" s="14">
        <f t="shared" si="27"/>
        <v>-168.86131795685409</v>
      </c>
      <c r="W41" s="14">
        <f t="shared" si="27"/>
        <v>-170.54993113642263</v>
      </c>
      <c r="X41" s="14">
        <f t="shared" si="27"/>
        <v>-172.25543044778686</v>
      </c>
    </row>
    <row r="42" spans="1:104" x14ac:dyDescent="0.25">
      <c r="C42" s="1" t="s">
        <v>49</v>
      </c>
      <c r="D42" s="12">
        <f t="shared" ref="D42:X42" si="28">SUM(D40:D41)</f>
        <v>839</v>
      </c>
      <c r="E42" s="12">
        <f t="shared" si="28"/>
        <v>965</v>
      </c>
      <c r="F42" s="12">
        <f t="shared" si="28"/>
        <v>1033</v>
      </c>
      <c r="G42" s="12">
        <f t="shared" si="28"/>
        <v>1203</v>
      </c>
      <c r="H42" s="12">
        <f t="shared" si="28"/>
        <v>1277</v>
      </c>
      <c r="I42" s="12">
        <f t="shared" si="28"/>
        <v>1456</v>
      </c>
      <c r="J42" s="12">
        <f t="shared" si="28"/>
        <v>1523</v>
      </c>
      <c r="K42" s="12">
        <f t="shared" si="28"/>
        <v>1443</v>
      </c>
      <c r="L42" s="12">
        <f t="shared" si="28"/>
        <v>1778</v>
      </c>
      <c r="M42" s="12">
        <f t="shared" si="28"/>
        <v>1940</v>
      </c>
      <c r="N42" s="13">
        <f t="shared" si="28"/>
        <v>1669.4000000000015</v>
      </c>
      <c r="O42" s="12">
        <f t="shared" si="28"/>
        <v>1342.4099999999996</v>
      </c>
      <c r="P42" s="12">
        <f t="shared" si="28"/>
        <v>1340.8349999999996</v>
      </c>
      <c r="Q42" s="12">
        <f t="shared" si="28"/>
        <v>1339.2442499999997</v>
      </c>
      <c r="R42" s="12">
        <f t="shared" si="28"/>
        <v>1337.6375924999995</v>
      </c>
      <c r="S42" s="12">
        <f t="shared" si="28"/>
        <v>1336.0148684249996</v>
      </c>
      <c r="T42" s="12">
        <f t="shared" si="28"/>
        <v>1334.3759171092497</v>
      </c>
      <c r="U42" s="12">
        <f t="shared" si="28"/>
        <v>1332.7205762803421</v>
      </c>
      <c r="V42" s="12">
        <f t="shared" si="28"/>
        <v>1331.0486820431456</v>
      </c>
      <c r="W42" s="12">
        <f t="shared" si="28"/>
        <v>1329.360068863577</v>
      </c>
      <c r="X42" s="12">
        <f t="shared" si="28"/>
        <v>1327.6545695522127</v>
      </c>
    </row>
    <row r="43" spans="1:104" x14ac:dyDescent="0.25">
      <c r="C43" s="2" t="s">
        <v>50</v>
      </c>
      <c r="D43" s="14">
        <v>-40</v>
      </c>
      <c r="E43" s="14">
        <v>-42</v>
      </c>
      <c r="F43" s="14">
        <v>-76</v>
      </c>
      <c r="G43" s="14">
        <v>-99</v>
      </c>
      <c r="H43" s="14">
        <v>-237</v>
      </c>
      <c r="I43" s="14">
        <v>-185</v>
      </c>
      <c r="J43" s="14">
        <v>-129</v>
      </c>
      <c r="K43" s="14">
        <v>-224</v>
      </c>
      <c r="L43" s="14">
        <v>-337</v>
      </c>
      <c r="M43" s="14">
        <v>-305</v>
      </c>
      <c r="N43" s="15">
        <v>-100</v>
      </c>
      <c r="O43" s="14">
        <f>N43*1.05</f>
        <v>-105</v>
      </c>
      <c r="P43" s="14">
        <f>O43*1.1</f>
        <v>-115.50000000000001</v>
      </c>
      <c r="Q43" s="14">
        <f t="shared" ref="Q43" si="29">P43*1.1</f>
        <v>-127.05000000000003</v>
      </c>
      <c r="R43" s="14">
        <f t="shared" ref="R43" si="30">Q43*1.1</f>
        <v>-139.75500000000005</v>
      </c>
      <c r="S43" s="14">
        <f t="shared" ref="S43" si="31">R43*1.1</f>
        <v>-153.73050000000006</v>
      </c>
      <c r="T43" s="14">
        <f t="shared" ref="T43" si="32">S43*1.1</f>
        <v>-169.10355000000007</v>
      </c>
      <c r="U43" s="14">
        <f t="shared" ref="U43" si="33">T43*1.1</f>
        <v>-186.01390500000008</v>
      </c>
      <c r="V43" s="14">
        <f t="shared" ref="V43" si="34">U43*1.1</f>
        <v>-204.61529550000012</v>
      </c>
      <c r="W43" s="14">
        <f t="shared" ref="W43" si="35">V43*1.1</f>
        <v>-225.07682505000014</v>
      </c>
      <c r="X43" s="14">
        <f t="shared" ref="X43" si="36">W43*1.1</f>
        <v>-247.58450755500019</v>
      </c>
      <c r="Y43" s="14"/>
    </row>
    <row r="44" spans="1:104" x14ac:dyDescent="0.25">
      <c r="C44" s="2" t="s">
        <v>51</v>
      </c>
      <c r="D44" s="14">
        <f t="shared" ref="D44:X44" si="37">SUM(D42:D43)</f>
        <v>799</v>
      </c>
      <c r="E44" s="14">
        <f t="shared" si="37"/>
        <v>923</v>
      </c>
      <c r="F44" s="14">
        <f t="shared" si="37"/>
        <v>957</v>
      </c>
      <c r="G44" s="14">
        <f t="shared" si="37"/>
        <v>1104</v>
      </c>
      <c r="H44" s="14">
        <f t="shared" si="37"/>
        <v>1040</v>
      </c>
      <c r="I44" s="14">
        <f t="shared" si="37"/>
        <v>1271</v>
      </c>
      <c r="J44" s="14">
        <f t="shared" si="37"/>
        <v>1394</v>
      </c>
      <c r="K44" s="14">
        <f t="shared" si="37"/>
        <v>1219</v>
      </c>
      <c r="L44" s="14">
        <f t="shared" si="37"/>
        <v>1441</v>
      </c>
      <c r="M44" s="14">
        <f t="shared" si="37"/>
        <v>1635</v>
      </c>
      <c r="N44" s="15">
        <f t="shared" si="37"/>
        <v>1569.4000000000015</v>
      </c>
      <c r="O44" s="14">
        <f t="shared" si="37"/>
        <v>1237.4099999999996</v>
      </c>
      <c r="P44" s="14">
        <f t="shared" si="37"/>
        <v>1225.3349999999996</v>
      </c>
      <c r="Q44" s="14">
        <f t="shared" si="37"/>
        <v>1212.1942499999998</v>
      </c>
      <c r="R44" s="14">
        <f t="shared" si="37"/>
        <v>1197.8825924999994</v>
      </c>
      <c r="S44" s="14">
        <f t="shared" si="37"/>
        <v>1182.2843684249995</v>
      </c>
      <c r="T44" s="14">
        <f t="shared" si="37"/>
        <v>1165.2723671092497</v>
      </c>
      <c r="U44" s="14">
        <f t="shared" si="37"/>
        <v>1146.7066712803421</v>
      </c>
      <c r="V44" s="14">
        <f t="shared" si="37"/>
        <v>1126.4333865431454</v>
      </c>
      <c r="W44" s="14">
        <f t="shared" si="37"/>
        <v>1104.283243813577</v>
      </c>
      <c r="X44" s="14">
        <f t="shared" si="37"/>
        <v>1080.0700619972126</v>
      </c>
    </row>
    <row r="45" spans="1:104" x14ac:dyDescent="0.25">
      <c r="C45" s="2" t="s">
        <v>52</v>
      </c>
      <c r="D45" s="14">
        <v>-190</v>
      </c>
      <c r="E45" s="14">
        <v>-212</v>
      </c>
      <c r="F45" s="14">
        <v>-215</v>
      </c>
      <c r="G45" s="14">
        <v>-253</v>
      </c>
      <c r="H45" s="14">
        <v>-219</v>
      </c>
      <c r="I45" s="14">
        <v>-279</v>
      </c>
      <c r="J45" s="14">
        <v>-264</v>
      </c>
      <c r="K45" s="14">
        <v>-246</v>
      </c>
      <c r="L45" s="14">
        <v>-341</v>
      </c>
      <c r="M45" s="14">
        <v>-401</v>
      </c>
      <c r="N45" s="15">
        <f>N44*-0.2</f>
        <v>-313.88000000000034</v>
      </c>
      <c r="O45" s="14">
        <f t="shared" ref="O45:X45" si="38">O44*-0.2</f>
        <v>-247.48199999999994</v>
      </c>
      <c r="P45" s="14">
        <f t="shared" si="38"/>
        <v>-245.06699999999992</v>
      </c>
      <c r="Q45" s="14">
        <f t="shared" si="38"/>
        <v>-242.43884999999997</v>
      </c>
      <c r="R45" s="14">
        <f t="shared" si="38"/>
        <v>-239.57651849999991</v>
      </c>
      <c r="S45" s="14">
        <f t="shared" si="38"/>
        <v>-236.45687368499989</v>
      </c>
      <c r="T45" s="14">
        <f t="shared" si="38"/>
        <v>-233.05447342184993</v>
      </c>
      <c r="U45" s="14">
        <f t="shared" si="38"/>
        <v>-229.34133425606842</v>
      </c>
      <c r="V45" s="14">
        <f t="shared" si="38"/>
        <v>-225.28667730862909</v>
      </c>
      <c r="W45" s="14">
        <f t="shared" si="38"/>
        <v>-220.85664876271539</v>
      </c>
      <c r="X45" s="14">
        <f t="shared" si="38"/>
        <v>-216.01401239944255</v>
      </c>
      <c r="Y45" s="12">
        <f>X46*(1+$AA$23)</f>
        <v>855.41548910179233</v>
      </c>
      <c r="Z45" s="12">
        <f>Y45*(1+$AA$23)</f>
        <v>846.86133421077443</v>
      </c>
      <c r="AA45" s="12">
        <f>Z45*(1+$AA$23)</f>
        <v>838.39272086866663</v>
      </c>
      <c r="AB45" s="12">
        <f>AA45*(1+$AA$23)</f>
        <v>830.00879365997991</v>
      </c>
      <c r="AC45" s="12">
        <f>AB45*(1+$AA$23)</f>
        <v>821.70870572338015</v>
      </c>
      <c r="AD45" s="12">
        <f>AC45*(1+$AA$23)</f>
        <v>813.49161866614634</v>
      </c>
      <c r="AE45" s="12">
        <f>AD45*(1+$AA$23)</f>
        <v>805.35670247948485</v>
      </c>
      <c r="AF45" s="12">
        <f>AE45*(1+$AA$23)</f>
        <v>797.30313545469005</v>
      </c>
      <c r="AG45" s="12">
        <f>AF45*(1+$AA$23)</f>
        <v>789.3301041001431</v>
      </c>
      <c r="AH45" s="12">
        <f>AG45*(1+$AA$23)</f>
        <v>781.43680305914165</v>
      </c>
      <c r="AI45" s="12">
        <f>AH45*(1+$AA$23)</f>
        <v>773.62243502855029</v>
      </c>
      <c r="AJ45" s="12">
        <f>AI45*(1+$AA$23)</f>
        <v>765.88621067826477</v>
      </c>
      <c r="AK45" s="12">
        <f>AJ45*(1+$AA$23)</f>
        <v>758.22734857148214</v>
      </c>
      <c r="AL45" s="12">
        <f>AK45*(1+$AA$23)</f>
        <v>750.6450750857673</v>
      </c>
      <c r="AM45" s="12">
        <f>AL45*(1+$AA$23)</f>
        <v>743.13862433490965</v>
      </c>
      <c r="AN45" s="12">
        <f>AM45*(1+$AA$23)</f>
        <v>735.7072380915605</v>
      </c>
      <c r="AO45" s="12">
        <f>AN45*(1+$AA$23)</f>
        <v>728.35016571064489</v>
      </c>
      <c r="AP45" s="12">
        <f>AO45*(1+$AA$23)</f>
        <v>721.06666405353849</v>
      </c>
      <c r="AQ45" s="12">
        <f>AP45*(1+$AA$23)</f>
        <v>713.85599741300314</v>
      </c>
      <c r="AR45" s="12">
        <f>AQ45*(1+$AA$23)</f>
        <v>706.71743743887305</v>
      </c>
      <c r="AS45" s="12">
        <f>AR45*(1+$AA$23)</f>
        <v>699.65026306448431</v>
      </c>
      <c r="AT45" s="12">
        <f>AS45*(1+$AA$23)</f>
        <v>692.65376043383947</v>
      </c>
      <c r="AU45" s="12">
        <f>AT45*(1+$AA$23)</f>
        <v>685.7272228295011</v>
      </c>
      <c r="AV45" s="12">
        <f>AU45*(1+$AA$23)</f>
        <v>678.86995060120603</v>
      </c>
      <c r="AW45" s="12">
        <f>AV45*(1+$AA$23)</f>
        <v>672.08125109519392</v>
      </c>
      <c r="AX45" s="12">
        <f>AW45*(1+$AA$23)</f>
        <v>665.36043858424193</v>
      </c>
      <c r="AY45" s="12">
        <f>AX45*(1+$AA$23)</f>
        <v>658.70683419839952</v>
      </c>
      <c r="AZ45" s="12">
        <f>AY45*(1+$AA$23)</f>
        <v>652.11976585641548</v>
      </c>
      <c r="BA45" s="12">
        <f>AZ45*(1+$AA$23)</f>
        <v>645.59856819785136</v>
      </c>
      <c r="BB45" s="12">
        <f>BA45*(1+$AA$23)</f>
        <v>639.14258251587285</v>
      </c>
      <c r="BC45" s="12">
        <f>BB45*(1+$AA$23)</f>
        <v>632.75115669071408</v>
      </c>
      <c r="BD45" s="12">
        <f>BC45*(1+$AA$23)</f>
        <v>626.42364512380698</v>
      </c>
      <c r="BE45" s="12">
        <f>BD45*(1+$AA$23)</f>
        <v>620.15940867256893</v>
      </c>
      <c r="BF45" s="12">
        <f>BE45*(1+$AA$23)</f>
        <v>613.95781458584327</v>
      </c>
      <c r="BG45" s="12">
        <f>BF45*(1+$AA$23)</f>
        <v>607.81823643998484</v>
      </c>
      <c r="BH45" s="12">
        <f>BG45*(1+$AA$23)</f>
        <v>601.74005407558502</v>
      </c>
      <c r="BI45" s="12">
        <f>BH45*(1+$AA$23)</f>
        <v>595.72265353482919</v>
      </c>
      <c r="BJ45" s="12">
        <f>BI45*(1+$AA$23)</f>
        <v>589.76542699948095</v>
      </c>
      <c r="BK45" s="12">
        <f>BJ45*(1+$AA$23)</f>
        <v>583.86777272948609</v>
      </c>
      <c r="BL45" s="12">
        <f>BK45*(1+$AA$23)</f>
        <v>578.02909500219118</v>
      </c>
      <c r="BM45" s="12">
        <f>BL45*(1+$AA$23)</f>
        <v>572.24880405216925</v>
      </c>
      <c r="BN45" s="12">
        <f>BM45*(1+$AA$23)</f>
        <v>566.52631601164751</v>
      </c>
      <c r="BO45" s="12">
        <f>BN45*(1+$AA$23)</f>
        <v>560.86105285153099</v>
      </c>
      <c r="BP45" s="12">
        <f>BO45*(1+$AA$23)</f>
        <v>555.25244232301566</v>
      </c>
      <c r="BQ45" s="12">
        <f>BP45*(1+$AA$23)</f>
        <v>549.69991789978553</v>
      </c>
      <c r="BR45" s="12">
        <f>BQ45*(1+$AA$23)</f>
        <v>544.20291872078769</v>
      </c>
      <c r="BS45" s="12">
        <f>BR45*(1+$AA$23)</f>
        <v>538.76088953357976</v>
      </c>
      <c r="BT45" s="12">
        <f>BS45*(1+$AA$23)</f>
        <v>533.37328063824395</v>
      </c>
      <c r="BU45" s="12">
        <f>BT45*(1+$AA$23)</f>
        <v>528.03954783186146</v>
      </c>
      <c r="BV45" s="12">
        <f>BU45*(1+$AA$23)</f>
        <v>522.75915235354285</v>
      </c>
      <c r="BW45" s="12">
        <f>BV45*(1+$AA$23)</f>
        <v>517.53156083000738</v>
      </c>
      <c r="BX45" s="12">
        <f>BW45*(1+$AA$23)</f>
        <v>512.35624522170735</v>
      </c>
      <c r="BY45" s="12">
        <f>BX45*(1+$AA$23)</f>
        <v>507.23268276949028</v>
      </c>
      <c r="BZ45" s="12">
        <f>BY45*(1+$AA$23)</f>
        <v>502.16035594179539</v>
      </c>
      <c r="CA45" s="12">
        <f>BZ45*(1+$AA$23)</f>
        <v>497.13875238237745</v>
      </c>
      <c r="CB45" s="12">
        <f>CA45*(1+$AA$23)</f>
        <v>492.1673648585537</v>
      </c>
      <c r="CC45" s="12">
        <f>CB45*(1+$AA$23)</f>
        <v>487.24569120996813</v>
      </c>
      <c r="CD45" s="12">
        <f>CC45*(1+$AA$23)</f>
        <v>482.37323429786846</v>
      </c>
      <c r="CE45" s="12">
        <f>CD45*(1+$AA$23)</f>
        <v>477.54950195488976</v>
      </c>
      <c r="CF45" s="12">
        <f>CE45*(1+$AA$23)</f>
        <v>472.77400693534088</v>
      </c>
      <c r="CG45" s="12">
        <f>CF45*(1+$AA$23)</f>
        <v>468.04626686598749</v>
      </c>
      <c r="CH45" s="12">
        <f>CG45*(1+$AA$23)</f>
        <v>463.36580419732763</v>
      </c>
      <c r="CI45" s="12">
        <f>CH45*(1+$AA$23)</f>
        <v>458.73214615535437</v>
      </c>
      <c r="CJ45" s="12">
        <f>CI45*(1+$AA$23)</f>
        <v>454.14482469380084</v>
      </c>
      <c r="CK45" s="12">
        <f>CJ45*(1+$AA$23)</f>
        <v>449.60337644686285</v>
      </c>
      <c r="CL45" s="12">
        <f>CK45*(1+$AA$23)</f>
        <v>445.10734268239423</v>
      </c>
      <c r="CM45" s="12">
        <f>CL45*(1+$AA$23)</f>
        <v>440.65626925557029</v>
      </c>
      <c r="CN45" s="12">
        <f>CM45*(1+$AA$23)</f>
        <v>436.24970656301457</v>
      </c>
      <c r="CO45" s="12">
        <f>CN45*(1+$AA$23)</f>
        <v>431.88720949738445</v>
      </c>
      <c r="CP45" s="12">
        <f>CO45*(1+$AA$23)</f>
        <v>427.56833740241058</v>
      </c>
      <c r="CQ45" s="12">
        <f>CP45*(1+$AA$23)</f>
        <v>423.29265402838649</v>
      </c>
      <c r="CR45" s="12">
        <f>CQ45*(1+$AA$23)</f>
        <v>419.05972748810262</v>
      </c>
      <c r="CS45" s="12">
        <f>CR45*(1+$AA$23)</f>
        <v>414.86913021322158</v>
      </c>
      <c r="CT45" s="12">
        <f>CS45*(1+$AA$23)</f>
        <v>410.72043891108939</v>
      </c>
      <c r="CU45" s="12">
        <f>CT45*(1+$AA$23)</f>
        <v>406.61323452197848</v>
      </c>
      <c r="CV45" s="12">
        <f>CU45*(1+$AA$23)</f>
        <v>402.5471021767587</v>
      </c>
      <c r="CW45" s="12">
        <f>CV45*(1+$AA$23)</f>
        <v>398.5216311549911</v>
      </c>
      <c r="CX45" s="12">
        <f>CW45*(1+$AA$23)</f>
        <v>394.53641484344121</v>
      </c>
      <c r="CY45" s="12">
        <f>CX45*(1+$AA$23)</f>
        <v>390.5910506950068</v>
      </c>
      <c r="CZ45" s="12">
        <f>CY45*(1+$AA$23)</f>
        <v>386.68514018805672</v>
      </c>
    </row>
    <row r="46" spans="1:104" x14ac:dyDescent="0.25">
      <c r="C46" s="1" t="s">
        <v>53</v>
      </c>
      <c r="D46" s="12">
        <f t="shared" ref="D46:X46" si="39">SUM(D44:D45)</f>
        <v>609</v>
      </c>
      <c r="E46" s="12">
        <f t="shared" si="39"/>
        <v>711</v>
      </c>
      <c r="F46" s="12">
        <f t="shared" si="39"/>
        <v>742</v>
      </c>
      <c r="G46" s="12">
        <f t="shared" si="39"/>
        <v>851</v>
      </c>
      <c r="H46" s="12">
        <f t="shared" si="39"/>
        <v>821</v>
      </c>
      <c r="I46" s="12">
        <f t="shared" si="39"/>
        <v>992</v>
      </c>
      <c r="J46" s="12">
        <f t="shared" si="39"/>
        <v>1130</v>
      </c>
      <c r="K46" s="12">
        <f t="shared" si="39"/>
        <v>973</v>
      </c>
      <c r="L46" s="12">
        <f t="shared" si="39"/>
        <v>1100</v>
      </c>
      <c r="M46" s="12">
        <f t="shared" si="39"/>
        <v>1234</v>
      </c>
      <c r="N46" s="13">
        <f t="shared" si="39"/>
        <v>1255.5200000000011</v>
      </c>
      <c r="O46" s="12">
        <f t="shared" si="39"/>
        <v>989.92799999999966</v>
      </c>
      <c r="P46" s="12">
        <f t="shared" si="39"/>
        <v>980.26799999999969</v>
      </c>
      <c r="Q46" s="12">
        <f t="shared" si="39"/>
        <v>969.75539999999978</v>
      </c>
      <c r="R46" s="12">
        <f t="shared" si="39"/>
        <v>958.30607399999951</v>
      </c>
      <c r="S46" s="12">
        <f t="shared" si="39"/>
        <v>945.82749473999957</v>
      </c>
      <c r="T46" s="12">
        <f t="shared" si="39"/>
        <v>932.21789368739974</v>
      </c>
      <c r="U46" s="12">
        <f t="shared" si="39"/>
        <v>917.36533702427369</v>
      </c>
      <c r="V46" s="12">
        <f t="shared" si="39"/>
        <v>901.14670923451627</v>
      </c>
      <c r="W46" s="12">
        <f t="shared" si="39"/>
        <v>883.42659505086158</v>
      </c>
      <c r="X46" s="12">
        <f t="shared" si="39"/>
        <v>864.05604959777008</v>
      </c>
    </row>
    <row r="47" spans="1:104" x14ac:dyDescent="0.25">
      <c r="C47" s="2" t="s">
        <v>54</v>
      </c>
      <c r="D47" s="9">
        <v>79.931532000000004</v>
      </c>
      <c r="E47" s="9">
        <v>80.220365999999999</v>
      </c>
      <c r="F47" s="9">
        <v>80.169882000000001</v>
      </c>
      <c r="G47" s="9">
        <v>80.021396999999993</v>
      </c>
      <c r="H47" s="9">
        <v>113.251741</v>
      </c>
      <c r="I47" s="9">
        <v>113.251741</v>
      </c>
      <c r="J47" s="9">
        <v>113.251741</v>
      </c>
      <c r="K47" s="9">
        <v>113.251741</v>
      </c>
      <c r="L47" s="9">
        <v>113.251741</v>
      </c>
      <c r="M47" s="9">
        <v>113.251741</v>
      </c>
      <c r="N47" s="8">
        <v>113.251741</v>
      </c>
      <c r="O47" s="9">
        <v>113.251741</v>
      </c>
      <c r="P47" s="9">
        <v>113.251741</v>
      </c>
      <c r="Q47" s="9">
        <v>113.251741</v>
      </c>
      <c r="R47" s="9">
        <v>113.251741</v>
      </c>
      <c r="S47" s="9">
        <v>113.251741</v>
      </c>
      <c r="T47" s="9">
        <v>113.251741</v>
      </c>
      <c r="U47" s="9">
        <v>113.251741</v>
      </c>
      <c r="V47" s="9">
        <v>113.251741</v>
      </c>
      <c r="W47" s="9">
        <v>113.251741</v>
      </c>
      <c r="X47" s="9">
        <v>113.251741</v>
      </c>
    </row>
    <row r="48" spans="1:104" x14ac:dyDescent="0.25">
      <c r="C48" s="2" t="s">
        <v>55</v>
      </c>
      <c r="D48" s="19">
        <f t="shared" ref="D48:X48" si="40">D46/D47</f>
        <v>7.6190207388993869</v>
      </c>
      <c r="E48" s="19">
        <f t="shared" si="40"/>
        <v>8.8630859649780209</v>
      </c>
      <c r="F48" s="19">
        <f t="shared" si="40"/>
        <v>9.2553460412976527</v>
      </c>
      <c r="G48" s="19">
        <f t="shared" si="40"/>
        <v>10.634655628418985</v>
      </c>
      <c r="H48" s="19">
        <f t="shared" si="40"/>
        <v>7.2493366790714502</v>
      </c>
      <c r="I48" s="19">
        <f t="shared" si="40"/>
        <v>8.7592472419474774</v>
      </c>
      <c r="J48" s="19">
        <f t="shared" si="40"/>
        <v>9.9777715558474291</v>
      </c>
      <c r="K48" s="19">
        <f t="shared" si="40"/>
        <v>8.5914794016279181</v>
      </c>
      <c r="L48" s="19">
        <f t="shared" si="40"/>
        <v>9.7128749658691778</v>
      </c>
      <c r="M48" s="19">
        <f t="shared" si="40"/>
        <v>10.896079734438697</v>
      </c>
      <c r="N48" s="18">
        <f t="shared" si="40"/>
        <v>11.086098888316439</v>
      </c>
      <c r="O48" s="19">
        <f t="shared" si="40"/>
        <v>8.7409517174663094</v>
      </c>
      <c r="P48" s="19">
        <f t="shared" si="40"/>
        <v>8.6556550154933127</v>
      </c>
      <c r="Q48" s="19">
        <f t="shared" si="40"/>
        <v>8.5628299524331357</v>
      </c>
      <c r="R48" s="19">
        <f t="shared" si="40"/>
        <v>8.4617337052681556</v>
      </c>
      <c r="S48" s="19">
        <f t="shared" si="40"/>
        <v>8.3515492688099133</v>
      </c>
      <c r="T48" s="19">
        <f t="shared" si="40"/>
        <v>8.2313780384833084</v>
      </c>
      <c r="U48" s="19">
        <f t="shared" si="40"/>
        <v>8.100231651399282</v>
      </c>
      <c r="V48" s="19">
        <f t="shared" si="40"/>
        <v>7.957023011544841</v>
      </c>
      <c r="W48" s="19">
        <f t="shared" si="40"/>
        <v>7.800556417502329</v>
      </c>
      <c r="X48" s="19">
        <f t="shared" si="40"/>
        <v>7.6295167029509079</v>
      </c>
    </row>
    <row r="49" spans="2:27" x14ac:dyDescent="0.25">
      <c r="Z49" s="2" t="s">
        <v>99</v>
      </c>
      <c r="AA49" s="27">
        <v>0.08</v>
      </c>
    </row>
    <row r="50" spans="2:27" x14ac:dyDescent="0.25">
      <c r="C50" s="1" t="s">
        <v>29</v>
      </c>
      <c r="E50" s="21">
        <f t="shared" ref="E50" si="41">(E33-D33)/D33</f>
        <v>0.12374378235712111</v>
      </c>
      <c r="F50" s="21">
        <f t="shared" ref="F50" si="42">(F33-E33)/E33</f>
        <v>0.14345076784101174</v>
      </c>
      <c r="G50" s="21">
        <f t="shared" ref="G50" si="43">(G33-F33)/F33</f>
        <v>0.10404487280771053</v>
      </c>
      <c r="H50" s="21">
        <f t="shared" ref="H50" si="44">(H33-G33)/G33</f>
        <v>0.41624329159212881</v>
      </c>
      <c r="I50" s="21">
        <f t="shared" ref="I50" si="45">(I33-H33)/H33</f>
        <v>-4.0470897332255458E-2</v>
      </c>
      <c r="J50" s="21">
        <f t="shared" ref="J50" si="46">(J33-I33)/I33</f>
        <v>5.8606708440840399E-2</v>
      </c>
      <c r="K50" s="21">
        <f t="shared" ref="K50" si="47">(K33-J33)/J33</f>
        <v>0.17150815758058097</v>
      </c>
      <c r="L50" s="21">
        <f t="shared" ref="L50" si="48">(L33-K33)/K33</f>
        <v>0.14546535326086957</v>
      </c>
      <c r="M50" s="21">
        <f t="shared" ref="M50" si="49">(M33-L33)/L33</f>
        <v>6.7462376751427086E-3</v>
      </c>
      <c r="N50" s="22">
        <f>(N33-M33)/M33</f>
        <v>-9.9999999999999464E-3</v>
      </c>
      <c r="O50" s="21">
        <f t="shared" ref="O50" si="50">(O33-N33)/N33</f>
        <v>0</v>
      </c>
      <c r="P50" s="21">
        <f t="shared" ref="P50" si="51">(P33-O33)/O33</f>
        <v>0</v>
      </c>
      <c r="Q50" s="21">
        <f t="shared" ref="Q50" si="52">(Q33-P33)/P33</f>
        <v>0</v>
      </c>
      <c r="R50" s="21">
        <f t="shared" ref="R50" si="53">(R33-Q33)/Q33</f>
        <v>0</v>
      </c>
      <c r="S50" s="21">
        <f t="shared" ref="S50" si="54">(S33-R33)/R33</f>
        <v>0</v>
      </c>
      <c r="T50" s="21">
        <f t="shared" ref="T50" si="55">(T33-S33)/S33</f>
        <v>0</v>
      </c>
      <c r="U50" s="21">
        <f t="shared" ref="U50" si="56">(U33-T33)/T33</f>
        <v>0</v>
      </c>
      <c r="V50" s="21">
        <f t="shared" ref="V50" si="57">(V33-U33)/U33</f>
        <v>0</v>
      </c>
      <c r="W50" s="21">
        <f t="shared" ref="W50" si="58">(W33-V33)/V33</f>
        <v>0</v>
      </c>
      <c r="X50" s="21">
        <f t="shared" ref="X50" si="59">(X33-W33)/W33</f>
        <v>0</v>
      </c>
      <c r="Z50" s="2" t="s">
        <v>100</v>
      </c>
      <c r="AA50" s="27">
        <v>-0.01</v>
      </c>
    </row>
    <row r="51" spans="2:27" x14ac:dyDescent="0.25">
      <c r="C51" s="2" t="s">
        <v>96</v>
      </c>
      <c r="D51" s="20">
        <f t="shared" ref="D51:X51" si="60">D40/D33</f>
        <v>8.5169018373769154E-2</v>
      </c>
      <c r="E51" s="20">
        <f t="shared" si="60"/>
        <v>9.322493224932249E-2</v>
      </c>
      <c r="F51" s="20">
        <f t="shared" si="60"/>
        <v>8.113446042028756E-2</v>
      </c>
      <c r="G51" s="20">
        <f t="shared" si="60"/>
        <v>8.8944543828264763E-2</v>
      </c>
      <c r="H51" s="20">
        <f t="shared" si="60"/>
        <v>6.9118835893290223E-2</v>
      </c>
      <c r="I51" s="20">
        <f t="shared" si="60"/>
        <v>8.3407930072139438E-2</v>
      </c>
      <c r="J51" s="20">
        <f t="shared" si="60"/>
        <v>8.2670115399920419E-2</v>
      </c>
      <c r="K51" s="20">
        <f t="shared" si="60"/>
        <v>7.3369565217391311E-2</v>
      </c>
      <c r="L51" s="20">
        <f t="shared" si="60"/>
        <v>7.1799243828304549E-2</v>
      </c>
      <c r="M51" s="20">
        <f t="shared" si="60"/>
        <v>7.7466863033873345E-2</v>
      </c>
      <c r="N51" s="23">
        <f t="shared" si="60"/>
        <v>6.766486663393885E-2</v>
      </c>
      <c r="O51" s="20">
        <f t="shared" si="60"/>
        <v>5.5782791092069427E-2</v>
      </c>
      <c r="P51" s="20">
        <f t="shared" si="60"/>
        <v>5.5782791092069427E-2</v>
      </c>
      <c r="Q51" s="20">
        <f t="shared" si="60"/>
        <v>5.5782791092069427E-2</v>
      </c>
      <c r="R51" s="20">
        <f t="shared" si="60"/>
        <v>5.5782791092069427E-2</v>
      </c>
      <c r="S51" s="20">
        <f t="shared" si="60"/>
        <v>5.5782791092069427E-2</v>
      </c>
      <c r="T51" s="20">
        <f t="shared" si="60"/>
        <v>5.5782791092069427E-2</v>
      </c>
      <c r="U51" s="20">
        <f t="shared" si="60"/>
        <v>5.5782791092069427E-2</v>
      </c>
      <c r="V51" s="20">
        <f t="shared" si="60"/>
        <v>5.5782791092069427E-2</v>
      </c>
      <c r="W51" s="20">
        <f t="shared" si="60"/>
        <v>5.5782791092069427E-2</v>
      </c>
      <c r="X51" s="20">
        <f t="shared" si="60"/>
        <v>5.5782791092069427E-2</v>
      </c>
      <c r="Z51" s="26" t="s">
        <v>101</v>
      </c>
      <c r="AA51" s="28">
        <f>NPV(AA49,N45:CZ45)</f>
        <v>2317.3601181558115</v>
      </c>
    </row>
    <row r="52" spans="2:27" s="53" customFormat="1" x14ac:dyDescent="0.25">
      <c r="B52" s="4"/>
      <c r="C52" s="2" t="s">
        <v>30</v>
      </c>
      <c r="D52" s="20">
        <f t="shared" ref="D52:X52" si="61">D42/D33</f>
        <v>8.5169018373769154E-2</v>
      </c>
      <c r="E52" s="20">
        <f t="shared" si="61"/>
        <v>8.717253839205058E-2</v>
      </c>
      <c r="F52" s="20">
        <f t="shared" si="61"/>
        <v>8.1608468952441143E-2</v>
      </c>
      <c r="G52" s="20">
        <f t="shared" si="61"/>
        <v>8.6082289803220038E-2</v>
      </c>
      <c r="H52" s="20">
        <f t="shared" si="61"/>
        <v>6.452101859337106E-2</v>
      </c>
      <c r="I52" s="20">
        <f t="shared" si="61"/>
        <v>7.6667895318835236E-2</v>
      </c>
      <c r="J52" s="20">
        <f t="shared" si="61"/>
        <v>7.5756068444090732E-2</v>
      </c>
      <c r="K52" s="20">
        <f t="shared" si="61"/>
        <v>6.1268682065217392E-2</v>
      </c>
      <c r="L52" s="20">
        <f t="shared" si="61"/>
        <v>6.5905552672547996E-2</v>
      </c>
      <c r="M52" s="20">
        <f t="shared" si="61"/>
        <v>7.1428571428571425E-2</v>
      </c>
      <c r="N52" s="23">
        <f t="shared" si="61"/>
        <v>6.2086252807902344E-2</v>
      </c>
      <c r="O52" s="20">
        <f t="shared" si="61"/>
        <v>4.9925246574731096E-2</v>
      </c>
      <c r="P52" s="20">
        <f t="shared" si="61"/>
        <v>4.9866671129557706E-2</v>
      </c>
      <c r="Q52" s="20">
        <f t="shared" si="61"/>
        <v>4.9807509929932596E-2</v>
      </c>
      <c r="R52" s="20">
        <f t="shared" si="61"/>
        <v>4.9747757118311219E-2</v>
      </c>
      <c r="S52" s="20">
        <f t="shared" si="61"/>
        <v>4.968740677857364E-2</v>
      </c>
      <c r="T52" s="20">
        <f t="shared" si="61"/>
        <v>4.9626452935438686E-2</v>
      </c>
      <c r="U52" s="20">
        <f t="shared" si="61"/>
        <v>4.9564889553872379E-2</v>
      </c>
      <c r="V52" s="20">
        <f t="shared" si="61"/>
        <v>4.950271053849041E-2</v>
      </c>
      <c r="W52" s="20">
        <f t="shared" si="61"/>
        <v>4.9439909732954618E-2</v>
      </c>
      <c r="X52" s="20">
        <f t="shared" si="61"/>
        <v>4.9376480919363468E-2</v>
      </c>
      <c r="Z52" s="2" t="s">
        <v>2</v>
      </c>
      <c r="AA52" s="9">
        <v>113.251741</v>
      </c>
    </row>
    <row r="53" spans="2:27" s="53" customFormat="1" x14ac:dyDescent="0.25">
      <c r="B53" s="4"/>
      <c r="C53" s="2" t="s">
        <v>133</v>
      </c>
      <c r="D53" s="20">
        <v>0.76900000000000002</v>
      </c>
      <c r="E53" s="20">
        <v>0.77600000000000002</v>
      </c>
      <c r="F53" s="20">
        <v>0.77600000000000002</v>
      </c>
      <c r="G53" s="20">
        <v>0.77200000000000002</v>
      </c>
      <c r="H53" s="20">
        <v>0.75800000000000001</v>
      </c>
      <c r="I53" s="20">
        <v>0.75600000000000001</v>
      </c>
      <c r="J53" s="20">
        <v>0.747</v>
      </c>
      <c r="K53" s="20">
        <v>0.747</v>
      </c>
      <c r="L53" s="20">
        <v>0.73499999999999999</v>
      </c>
      <c r="M53" s="20">
        <v>0.72699999999999998</v>
      </c>
      <c r="N53" s="23"/>
      <c r="O53" s="20"/>
      <c r="P53" s="20"/>
      <c r="Q53" s="20"/>
      <c r="R53" s="20"/>
      <c r="S53" s="20"/>
      <c r="T53" s="20"/>
      <c r="U53" s="20"/>
      <c r="V53" s="20"/>
      <c r="W53" s="20"/>
      <c r="X53" s="20"/>
      <c r="Z53" s="2" t="s">
        <v>102</v>
      </c>
      <c r="AA53" s="29">
        <f>AA51/AA52</f>
        <v>20.462026435035657</v>
      </c>
    </row>
    <row r="54" spans="2:27" s="26" customFormat="1" x14ac:dyDescent="0.25">
      <c r="B54" s="32"/>
      <c r="C54" s="26" t="s">
        <v>132</v>
      </c>
      <c r="D54" s="41">
        <v>0.14799999999999999</v>
      </c>
      <c r="E54" s="41">
        <v>0.159</v>
      </c>
      <c r="F54" s="41">
        <v>0.154</v>
      </c>
      <c r="G54" s="41">
        <v>0.161</v>
      </c>
      <c r="H54" s="41">
        <v>0.106</v>
      </c>
      <c r="I54" s="41">
        <v>9.5000000000000001E-2</v>
      </c>
      <c r="J54" s="41">
        <v>0.108</v>
      </c>
      <c r="K54" s="41">
        <v>8.5000000000000006E-2</v>
      </c>
      <c r="L54" s="41">
        <v>8.7999999999999995E-2</v>
      </c>
      <c r="M54" s="41">
        <v>9.6000000000000002E-2</v>
      </c>
      <c r="N54" s="42"/>
      <c r="O54" s="41"/>
      <c r="P54" s="41"/>
      <c r="Q54" s="41"/>
      <c r="R54" s="41"/>
      <c r="S54" s="41"/>
      <c r="T54" s="41"/>
      <c r="U54" s="41"/>
      <c r="V54" s="41"/>
      <c r="W54" s="41"/>
      <c r="X54" s="41"/>
      <c r="Z54" s="43" t="s">
        <v>103</v>
      </c>
      <c r="AA54" s="44">
        <f>(AA53-Modell!$B$4)/Modell!$B$4</f>
        <v>-0.84842943381455072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59"/>
  <sheetViews>
    <sheetView showGridLines="0" zoomScale="90" zoomScaleNormal="90" workbookViewId="0">
      <pane xSplit="2" ySplit="4" topLeftCell="G25" activePane="bottomRight" state="frozen"/>
      <selection pane="topRight" activeCell="C1" sqref="C1"/>
      <selection pane="bottomLeft" activeCell="A5" sqref="A5"/>
      <selection pane="bottomRight" activeCell="AB15" sqref="AB15"/>
    </sheetView>
  </sheetViews>
  <sheetFormatPr baseColWidth="10" defaultRowHeight="19" x14ac:dyDescent="0.25"/>
  <cols>
    <col min="1" max="1" width="6" style="2" customWidth="1"/>
    <col min="2" max="2" width="29.1640625" style="2" customWidth="1"/>
    <col min="3" max="16384" width="10.83203125" style="2"/>
  </cols>
  <sheetData>
    <row r="4" spans="2:22" x14ac:dyDescent="0.25">
      <c r="B4" s="2" t="s">
        <v>104</v>
      </c>
      <c r="C4" s="7" t="s">
        <v>3</v>
      </c>
      <c r="D4" s="7" t="s">
        <v>4</v>
      </c>
      <c r="E4" s="7" t="s">
        <v>5</v>
      </c>
      <c r="F4" s="7" t="s">
        <v>6</v>
      </c>
      <c r="G4" s="33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33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33">
        <v>2024</v>
      </c>
      <c r="R4" s="7" t="s">
        <v>39</v>
      </c>
      <c r="S4" s="7" t="s">
        <v>33</v>
      </c>
      <c r="T4" s="7" t="s">
        <v>37</v>
      </c>
      <c r="U4" s="7" t="s">
        <v>38</v>
      </c>
      <c r="V4" s="34">
        <v>2025</v>
      </c>
    </row>
    <row r="5" spans="2:22" x14ac:dyDescent="0.25">
      <c r="B5" s="1" t="s">
        <v>111</v>
      </c>
      <c r="G5" s="34"/>
      <c r="L5" s="34"/>
      <c r="Q5" s="34"/>
      <c r="V5" s="34"/>
    </row>
    <row r="6" spans="2:22" x14ac:dyDescent="0.25">
      <c r="B6" s="1" t="s">
        <v>40</v>
      </c>
      <c r="C6" s="12">
        <v>2240</v>
      </c>
      <c r="D6" s="12">
        <v>2279</v>
      </c>
      <c r="E6" s="12">
        <v>1954</v>
      </c>
      <c r="F6" s="12">
        <v>2466</v>
      </c>
      <c r="G6" s="49">
        <f>SUM(C6:F6)</f>
        <v>8939</v>
      </c>
      <c r="H6" s="12">
        <v>2595</v>
      </c>
      <c r="I6" s="12">
        <v>2601</v>
      </c>
      <c r="J6" s="12">
        <v>2249</v>
      </c>
      <c r="K6" s="12">
        <v>2737</v>
      </c>
      <c r="L6" s="49">
        <f>SUM(H6:K6)</f>
        <v>10182</v>
      </c>
      <c r="M6" s="12">
        <v>2670</v>
      </c>
      <c r="N6" s="12">
        <v>2771</v>
      </c>
      <c r="O6" s="12">
        <v>2240</v>
      </c>
      <c r="P6" s="12">
        <v>2790</v>
      </c>
      <c r="Q6" s="49">
        <f>SUM(M6:P6)</f>
        <v>10471</v>
      </c>
      <c r="R6" s="12">
        <v>2695</v>
      </c>
      <c r="S6" s="12">
        <v>2650</v>
      </c>
      <c r="T6" s="12"/>
      <c r="U6" s="12"/>
      <c r="V6" s="49">
        <f>SUM(R6:U6)</f>
        <v>5345</v>
      </c>
    </row>
    <row r="7" spans="2:22" x14ac:dyDescent="0.25">
      <c r="B7" s="2" t="s">
        <v>47</v>
      </c>
      <c r="C7" s="14">
        <v>183</v>
      </c>
      <c r="D7" s="14">
        <v>171</v>
      </c>
      <c r="E7" s="14">
        <v>119</v>
      </c>
      <c r="F7" s="14">
        <v>193</v>
      </c>
      <c r="G7" s="49">
        <f>SUM(C7:F7)</f>
        <v>666</v>
      </c>
      <c r="H7" s="14">
        <v>253</v>
      </c>
      <c r="I7" s="14">
        <v>103</v>
      </c>
      <c r="J7" s="14">
        <v>65</v>
      </c>
      <c r="K7" s="14">
        <v>229</v>
      </c>
      <c r="L7" s="49">
        <f>SUM(H7:K7)</f>
        <v>650</v>
      </c>
      <c r="M7" s="14">
        <v>216</v>
      </c>
      <c r="N7" s="14">
        <v>213</v>
      </c>
      <c r="O7" s="14">
        <v>120</v>
      </c>
      <c r="P7" s="14">
        <v>261</v>
      </c>
      <c r="Q7" s="49">
        <f>SUM(M7:P7)</f>
        <v>810</v>
      </c>
      <c r="R7" s="14">
        <v>231</v>
      </c>
      <c r="S7" s="14">
        <v>171</v>
      </c>
      <c r="T7" s="14"/>
      <c r="U7" s="14"/>
      <c r="V7" s="49">
        <f>SUM(R7:U7)</f>
        <v>402</v>
      </c>
    </row>
    <row r="8" spans="2:22" x14ac:dyDescent="0.25">
      <c r="B8" s="2" t="s">
        <v>96</v>
      </c>
      <c r="C8" s="10">
        <v>8.2000000000000003E-2</v>
      </c>
      <c r="D8" s="10">
        <v>7.4999999999999997E-2</v>
      </c>
      <c r="E8" s="10">
        <v>6.0999999999999999E-2</v>
      </c>
      <c r="F8" s="10">
        <v>7.8E-2</v>
      </c>
      <c r="G8" s="37">
        <f>G7/G6</f>
        <v>7.4504978185479354E-2</v>
      </c>
      <c r="H8" s="10">
        <v>9.8000000000000004E-2</v>
      </c>
      <c r="I8" s="10">
        <v>0.04</v>
      </c>
      <c r="J8" s="10">
        <v>2.9000000000000001E-2</v>
      </c>
      <c r="K8" s="10">
        <v>8.4000000000000005E-2</v>
      </c>
      <c r="L8" s="37">
        <f>L7/L6</f>
        <v>6.3838145747397365E-2</v>
      </c>
      <c r="M8" s="10">
        <v>8.1000000000000003E-2</v>
      </c>
      <c r="N8" s="10">
        <v>7.6999999999999999E-2</v>
      </c>
      <c r="O8" s="10">
        <v>5.2999999999999999E-2</v>
      </c>
      <c r="P8" s="10">
        <v>9.4E-2</v>
      </c>
      <c r="Q8" s="37">
        <f>Q7/Q6</f>
        <v>7.7356508451914816E-2</v>
      </c>
      <c r="R8" s="10">
        <v>8.5999999999999993E-2</v>
      </c>
      <c r="S8" s="10">
        <v>6.5000000000000002E-2</v>
      </c>
      <c r="T8" s="10"/>
      <c r="U8" s="10"/>
      <c r="V8" s="37">
        <f>V7/V6</f>
        <v>7.5210477081384466E-2</v>
      </c>
    </row>
    <row r="9" spans="2:22" x14ac:dyDescent="0.25">
      <c r="B9" s="2" t="s">
        <v>112</v>
      </c>
      <c r="C9" s="14">
        <v>7191</v>
      </c>
      <c r="D9" s="14">
        <v>0</v>
      </c>
      <c r="E9" s="14">
        <v>0</v>
      </c>
      <c r="F9" s="14">
        <v>0</v>
      </c>
      <c r="G9" s="49"/>
      <c r="H9" s="14">
        <v>8080</v>
      </c>
      <c r="I9" s="14">
        <v>0</v>
      </c>
      <c r="J9" s="14">
        <v>0</v>
      </c>
      <c r="K9" s="14">
        <v>0</v>
      </c>
      <c r="L9" s="49"/>
      <c r="M9" s="14">
        <v>8679</v>
      </c>
      <c r="N9" s="14">
        <v>8526</v>
      </c>
      <c r="O9" s="14">
        <v>0</v>
      </c>
      <c r="P9" s="14">
        <v>0</v>
      </c>
      <c r="Q9" s="49"/>
      <c r="R9" s="14">
        <v>8399</v>
      </c>
      <c r="S9" s="14">
        <v>9039</v>
      </c>
      <c r="T9" s="14"/>
      <c r="U9" s="14"/>
      <c r="V9" s="49"/>
    </row>
    <row r="10" spans="2:22" x14ac:dyDescent="0.25">
      <c r="B10" s="26" t="s">
        <v>113</v>
      </c>
      <c r="C10" s="50">
        <v>6436</v>
      </c>
      <c r="D10" s="50">
        <v>6455</v>
      </c>
      <c r="E10" s="50">
        <v>6433</v>
      </c>
      <c r="F10" s="50">
        <v>6603</v>
      </c>
      <c r="G10" s="51"/>
      <c r="H10" s="50">
        <v>6748</v>
      </c>
      <c r="I10" s="50">
        <v>6923</v>
      </c>
      <c r="J10" s="50">
        <v>6867</v>
      </c>
      <c r="K10" s="50">
        <v>6901</v>
      </c>
      <c r="L10" s="51"/>
      <c r="M10" s="50">
        <v>6740</v>
      </c>
      <c r="N10" s="50">
        <v>6746</v>
      </c>
      <c r="O10" s="50">
        <v>6644</v>
      </c>
      <c r="P10" s="50">
        <v>6706</v>
      </c>
      <c r="Q10" s="51"/>
      <c r="R10" s="50">
        <v>6684</v>
      </c>
      <c r="S10" s="50">
        <v>6752</v>
      </c>
      <c r="T10" s="50"/>
      <c r="U10" s="50"/>
      <c r="V10" s="51"/>
    </row>
    <row r="11" spans="2:22" x14ac:dyDescent="0.25">
      <c r="B11" s="1" t="s">
        <v>114</v>
      </c>
      <c r="C11" s="40">
        <v>0.13600000000000001</v>
      </c>
      <c r="D11" s="40">
        <v>0.114</v>
      </c>
      <c r="E11" s="40">
        <v>0.193</v>
      </c>
      <c r="F11" s="40">
        <v>0.19800000000000001</v>
      </c>
      <c r="G11" s="37"/>
      <c r="H11" s="40">
        <v>0.158</v>
      </c>
      <c r="I11" s="40">
        <v>0.13100000000000001</v>
      </c>
      <c r="J11" s="40">
        <v>0.14000000000000001</v>
      </c>
      <c r="K11" s="40">
        <v>9.8000000000000004E-2</v>
      </c>
      <c r="L11" s="37">
        <f>(L6-G6)/G6</f>
        <v>0.1390535854122385</v>
      </c>
      <c r="M11" s="40">
        <v>1.6E-2</v>
      </c>
      <c r="N11" s="40">
        <v>6.5000000000000002E-2</v>
      </c>
      <c r="O11" s="40">
        <v>-4.0000000000000001E-3</v>
      </c>
      <c r="P11" s="40">
        <v>0.02</v>
      </c>
      <c r="Q11" s="37">
        <f>(Q6-L6)/L6</f>
        <v>2.838342172461206E-2</v>
      </c>
      <c r="R11" s="40">
        <v>0.01</v>
      </c>
      <c r="S11" s="40">
        <v>-4.3999999999999997E-2</v>
      </c>
      <c r="T11" s="40"/>
      <c r="U11" s="40"/>
      <c r="V11" s="37">
        <f>(V6-Q6)/Q6</f>
        <v>-0.48954254607964853</v>
      </c>
    </row>
    <row r="12" spans="2:22" x14ac:dyDescent="0.25">
      <c r="B12" s="2" t="s">
        <v>115</v>
      </c>
      <c r="C12" s="10">
        <v>7.0999999999999994E-2</v>
      </c>
      <c r="D12" s="10">
        <v>7.0999999999999994E-2</v>
      </c>
      <c r="E12" s="10">
        <v>6.4000000000000001E-2</v>
      </c>
      <c r="F12" s="10">
        <v>5.8000000000000003E-2</v>
      </c>
      <c r="G12" s="37"/>
      <c r="H12" s="10">
        <v>3.0000000000000001E-3</v>
      </c>
      <c r="I12" s="10">
        <v>8.9999999999999993E-3</v>
      </c>
      <c r="J12" s="10">
        <v>0.01</v>
      </c>
      <c r="K12" s="10">
        <v>1.0999999999999999E-2</v>
      </c>
      <c r="L12" s="37"/>
      <c r="M12" s="10">
        <v>8.0000000000000002E-3</v>
      </c>
      <c r="N12" s="10">
        <v>0</v>
      </c>
      <c r="O12" s="10">
        <v>0</v>
      </c>
      <c r="P12" s="10">
        <v>0</v>
      </c>
      <c r="Q12" s="37"/>
      <c r="R12" s="10">
        <v>0</v>
      </c>
      <c r="S12" s="10">
        <v>0</v>
      </c>
      <c r="T12" s="10"/>
      <c r="U12" s="10"/>
      <c r="V12" s="37"/>
    </row>
    <row r="13" spans="2:22" x14ac:dyDescent="0.25">
      <c r="B13" s="2" t="s">
        <v>116</v>
      </c>
      <c r="C13" s="10">
        <v>3.4000000000000002E-2</v>
      </c>
      <c r="D13" s="10">
        <v>2.7E-2</v>
      </c>
      <c r="E13" s="10">
        <v>4.9000000000000002E-2</v>
      </c>
      <c r="F13" s="10">
        <v>4.8000000000000001E-2</v>
      </c>
      <c r="G13" s="37"/>
      <c r="H13" s="10">
        <v>2.8000000000000001E-2</v>
      </c>
      <c r="I13" s="10">
        <v>4.2000000000000003E-2</v>
      </c>
      <c r="J13" s="10">
        <v>5.3999999999999999E-2</v>
      </c>
      <c r="K13" s="10">
        <v>1.2E-2</v>
      </c>
      <c r="L13" s="37"/>
      <c r="M13" s="10">
        <v>1E-3</v>
      </c>
      <c r="N13" s="10">
        <v>3.0000000000000001E-3</v>
      </c>
      <c r="O13" s="10">
        <v>-2.5000000000000001E-2</v>
      </c>
      <c r="P13" s="10">
        <v>1E-3</v>
      </c>
      <c r="Q13" s="37"/>
      <c r="R13" s="10">
        <v>-6.0000000000000001E-3</v>
      </c>
      <c r="S13" s="10">
        <v>-2.5999999999999999E-2</v>
      </c>
      <c r="T13" s="10"/>
      <c r="U13" s="10"/>
      <c r="V13" s="37"/>
    </row>
    <row r="14" spans="2:22" x14ac:dyDescent="0.25">
      <c r="B14" s="2" t="s">
        <v>117</v>
      </c>
      <c r="C14" s="10">
        <v>1.7000000000000001E-2</v>
      </c>
      <c r="D14" s="10">
        <v>-1.0999999999999999E-2</v>
      </c>
      <c r="E14" s="10">
        <v>-4.0000000000000001E-3</v>
      </c>
      <c r="F14" s="10">
        <v>9.2999999999999999E-2</v>
      </c>
      <c r="G14" s="37"/>
      <c r="H14" s="10">
        <v>1.2E-2</v>
      </c>
      <c r="I14" s="10">
        <v>-1.4999999999999999E-2</v>
      </c>
      <c r="J14" s="10">
        <v>-1.4E-2</v>
      </c>
      <c r="K14" s="10">
        <v>-4.0000000000000001E-3</v>
      </c>
      <c r="L14" s="37"/>
      <c r="M14" s="10">
        <v>-2.5000000000000001E-2</v>
      </c>
      <c r="N14" s="10">
        <v>2.5999999999999999E-2</v>
      </c>
      <c r="O14" s="10">
        <v>4.0000000000000001E-3</v>
      </c>
      <c r="P14" s="10">
        <v>-1.2999999999999999E-2</v>
      </c>
      <c r="Q14" s="37"/>
      <c r="R14" s="10">
        <v>-1E-3</v>
      </c>
      <c r="S14" s="10">
        <v>-2.3E-2</v>
      </c>
      <c r="T14" s="10"/>
      <c r="U14" s="10"/>
      <c r="V14" s="37"/>
    </row>
    <row r="15" spans="2:22" ht="20" thickBot="1" x14ac:dyDescent="0.3">
      <c r="B15" s="35" t="s">
        <v>118</v>
      </c>
      <c r="C15" s="38">
        <v>1.2999999999999999E-2</v>
      </c>
      <c r="D15" s="38">
        <v>2.7E-2</v>
      </c>
      <c r="E15" s="38">
        <v>8.5000000000000006E-2</v>
      </c>
      <c r="F15" s="38">
        <v>0.104</v>
      </c>
      <c r="G15" s="39"/>
      <c r="H15" s="38">
        <v>0.115</v>
      </c>
      <c r="I15" s="38">
        <v>9.5000000000000001E-2</v>
      </c>
      <c r="J15" s="38">
        <v>8.8999999999999996E-2</v>
      </c>
      <c r="K15" s="38">
        <v>0.08</v>
      </c>
      <c r="L15" s="39"/>
      <c r="M15" s="38">
        <v>3.2000000000000001E-2</v>
      </c>
      <c r="N15" s="38">
        <v>3.6999999999999998E-2</v>
      </c>
      <c r="O15" s="38">
        <v>1.7999999999999999E-2</v>
      </c>
      <c r="P15" s="38">
        <v>3.2000000000000001E-2</v>
      </c>
      <c r="Q15" s="39"/>
      <c r="R15" s="38">
        <v>1.7000000000000001E-2</v>
      </c>
      <c r="S15" s="38">
        <v>5.0000000000000001E-3</v>
      </c>
      <c r="T15" s="38"/>
      <c r="U15" s="38"/>
      <c r="V15" s="39"/>
    </row>
    <row r="16" spans="2:22" x14ac:dyDescent="0.25">
      <c r="B16" s="1" t="s">
        <v>119</v>
      </c>
      <c r="G16" s="34"/>
      <c r="L16" s="34"/>
      <c r="Q16" s="34"/>
      <c r="V16" s="34"/>
    </row>
    <row r="17" spans="2:22" x14ac:dyDescent="0.25">
      <c r="B17" s="1" t="s">
        <v>40</v>
      </c>
      <c r="C17" s="12">
        <v>1355</v>
      </c>
      <c r="D17" s="12">
        <v>1388</v>
      </c>
      <c r="E17" s="12">
        <v>1200</v>
      </c>
      <c r="F17" s="12">
        <v>1548</v>
      </c>
      <c r="G17" s="49">
        <f>SUM(C17:F17)</f>
        <v>5491</v>
      </c>
      <c r="H17" s="12">
        <v>1566</v>
      </c>
      <c r="I17" s="12">
        <v>1747</v>
      </c>
      <c r="J17" s="12">
        <v>1455</v>
      </c>
      <c r="K17" s="12">
        <v>1775</v>
      </c>
      <c r="L17" s="49">
        <f>SUM(H17:K17)</f>
        <v>6543</v>
      </c>
      <c r="M17" s="12">
        <v>1792</v>
      </c>
      <c r="N17" s="12">
        <v>1810</v>
      </c>
      <c r="O17" s="12">
        <v>1478</v>
      </c>
      <c r="P17" s="12">
        <v>1778</v>
      </c>
      <c r="Q17" s="49">
        <f>SUM(M17:P17)</f>
        <v>6858</v>
      </c>
      <c r="R17" s="12">
        <v>1711</v>
      </c>
      <c r="S17" s="12">
        <v>1665</v>
      </c>
      <c r="T17" s="12"/>
      <c r="U17" s="12"/>
      <c r="V17" s="49">
        <f>SUM(R17:U17)</f>
        <v>3376</v>
      </c>
    </row>
    <row r="18" spans="2:22" x14ac:dyDescent="0.25">
      <c r="B18" s="2" t="s">
        <v>47</v>
      </c>
      <c r="C18" s="14">
        <v>121</v>
      </c>
      <c r="D18" s="14">
        <v>101</v>
      </c>
      <c r="E18" s="14">
        <v>93</v>
      </c>
      <c r="F18" s="14">
        <v>130</v>
      </c>
      <c r="G18" s="49">
        <f>SUM(C18:F18)</f>
        <v>445</v>
      </c>
      <c r="H18" s="14">
        <v>159</v>
      </c>
      <c r="I18" s="14">
        <v>101</v>
      </c>
      <c r="J18" s="14">
        <v>69</v>
      </c>
      <c r="K18" s="14">
        <v>120</v>
      </c>
      <c r="L18" s="49">
        <f>SUM(H18:K18)</f>
        <v>449</v>
      </c>
      <c r="M18" s="14">
        <v>165</v>
      </c>
      <c r="N18" s="14">
        <v>116</v>
      </c>
      <c r="O18" s="14">
        <v>76</v>
      </c>
      <c r="P18" s="14">
        <v>108</v>
      </c>
      <c r="Q18" s="49">
        <f>SUM(M18:P18)</f>
        <v>465</v>
      </c>
      <c r="R18" s="14">
        <v>119</v>
      </c>
      <c r="S18" s="14">
        <v>104</v>
      </c>
      <c r="T18" s="14"/>
      <c r="U18" s="14"/>
      <c r="V18" s="49">
        <f>SUM(R18:U18)</f>
        <v>223</v>
      </c>
    </row>
    <row r="19" spans="2:22" x14ac:dyDescent="0.25">
      <c r="B19" s="2" t="s">
        <v>96</v>
      </c>
      <c r="C19" s="10">
        <v>8.8999999999999996E-2</v>
      </c>
      <c r="D19" s="10">
        <v>7.2999999999999995E-2</v>
      </c>
      <c r="E19" s="10">
        <v>7.8E-2</v>
      </c>
      <c r="F19" s="10">
        <v>8.4000000000000005E-2</v>
      </c>
      <c r="G19" s="37">
        <f>G18/G17</f>
        <v>8.1041704607539608E-2</v>
      </c>
      <c r="H19" s="10">
        <v>0.10199999999999999</v>
      </c>
      <c r="I19" s="10">
        <v>5.8000000000000003E-2</v>
      </c>
      <c r="J19" s="10">
        <v>4.7E-2</v>
      </c>
      <c r="K19" s="10">
        <v>6.7000000000000004E-2</v>
      </c>
      <c r="L19" s="37">
        <f>L18/L17</f>
        <v>6.8622955830658722E-2</v>
      </c>
      <c r="M19" s="10">
        <v>9.1999999999999998E-2</v>
      </c>
      <c r="N19" s="10">
        <v>6.4000000000000001E-2</v>
      </c>
      <c r="O19" s="10">
        <v>5.0999999999999997E-2</v>
      </c>
      <c r="P19" s="10">
        <v>6.0999999999999999E-2</v>
      </c>
      <c r="Q19" s="37">
        <f>Q18/Q17</f>
        <v>6.7804024496937884E-2</v>
      </c>
      <c r="R19" s="10">
        <v>7.0000000000000007E-2</v>
      </c>
      <c r="S19" s="10">
        <v>6.2E-2</v>
      </c>
      <c r="T19" s="10"/>
      <c r="U19" s="10"/>
      <c r="V19" s="37">
        <f>V18/V17</f>
        <v>6.6054502369668242E-2</v>
      </c>
    </row>
    <row r="20" spans="2:22" x14ac:dyDescent="0.25">
      <c r="B20" s="2" t="s">
        <v>112</v>
      </c>
      <c r="C20" s="14">
        <v>2411</v>
      </c>
      <c r="D20" s="14">
        <v>0</v>
      </c>
      <c r="E20" s="14">
        <v>0</v>
      </c>
      <c r="F20" s="14">
        <v>0</v>
      </c>
      <c r="G20" s="49"/>
      <c r="H20" s="14">
        <v>2544</v>
      </c>
      <c r="I20" s="14">
        <v>0</v>
      </c>
      <c r="J20" s="14">
        <v>0</v>
      </c>
      <c r="K20" s="14">
        <v>0</v>
      </c>
      <c r="L20" s="49"/>
      <c r="M20" s="14">
        <v>2814</v>
      </c>
      <c r="N20" s="14">
        <v>0</v>
      </c>
      <c r="O20" s="14">
        <v>0</v>
      </c>
      <c r="P20" s="14">
        <v>0</v>
      </c>
      <c r="Q20" s="49"/>
      <c r="R20" s="14">
        <v>3074</v>
      </c>
      <c r="S20" s="14">
        <v>3132</v>
      </c>
      <c r="T20" s="14"/>
      <c r="U20" s="14"/>
      <c r="V20" s="49"/>
    </row>
    <row r="21" spans="2:22" x14ac:dyDescent="0.25">
      <c r="B21" s="26" t="s">
        <v>113</v>
      </c>
      <c r="C21" s="50">
        <v>3141</v>
      </c>
      <c r="D21" s="50">
        <v>3239</v>
      </c>
      <c r="E21" s="50">
        <v>3265</v>
      </c>
      <c r="F21" s="52">
        <v>3376</v>
      </c>
      <c r="G21" s="51"/>
      <c r="H21" s="50">
        <v>3322</v>
      </c>
      <c r="I21" s="50">
        <v>3840</v>
      </c>
      <c r="J21" s="50">
        <v>3834</v>
      </c>
      <c r="K21" s="50">
        <v>3846</v>
      </c>
      <c r="L21" s="51"/>
      <c r="M21" s="50">
        <v>3757</v>
      </c>
      <c r="N21" s="50">
        <v>3699</v>
      </c>
      <c r="O21" s="50">
        <v>3603</v>
      </c>
      <c r="P21" s="50">
        <v>3589</v>
      </c>
      <c r="Q21" s="51"/>
      <c r="R21" s="50">
        <v>3460</v>
      </c>
      <c r="S21" s="50">
        <v>3407</v>
      </c>
      <c r="T21" s="50"/>
      <c r="U21" s="50"/>
      <c r="V21" s="51"/>
    </row>
    <row r="22" spans="2:22" x14ac:dyDescent="0.25">
      <c r="B22" s="1" t="s">
        <v>114</v>
      </c>
      <c r="C22" s="40">
        <v>0.14099999999999999</v>
      </c>
      <c r="D22" s="40">
        <v>0.109</v>
      </c>
      <c r="E22" s="40">
        <v>9.1999999999999998E-2</v>
      </c>
      <c r="F22" s="40">
        <v>0.12</v>
      </c>
      <c r="G22" s="37"/>
      <c r="H22" s="40">
        <v>0.156</v>
      </c>
      <c r="I22" s="40">
        <v>9.4E-2</v>
      </c>
      <c r="J22" s="40">
        <v>5.7000000000000002E-2</v>
      </c>
      <c r="K22" s="40">
        <v>-6.0000000000000001E-3</v>
      </c>
      <c r="L22" s="37">
        <f>(L17-G17)/G17</f>
        <v>0.19158623201602623</v>
      </c>
      <c r="M22" s="40">
        <v>-1.2999999999999999E-2</v>
      </c>
      <c r="N22" s="40">
        <v>3.5999999999999997E-2</v>
      </c>
      <c r="O22" s="40">
        <v>1.6E-2</v>
      </c>
      <c r="P22" s="40">
        <v>2E-3</v>
      </c>
      <c r="Q22" s="37">
        <f>(Q17-L17)/L17</f>
        <v>4.8143053645116916E-2</v>
      </c>
      <c r="R22" s="40">
        <v>-4.4999999999999998E-2</v>
      </c>
      <c r="S22" s="40">
        <v>-8.1000000000000003E-2</v>
      </c>
      <c r="T22" s="40"/>
      <c r="U22" s="40"/>
      <c r="V22" s="37">
        <f>(V17-Q17)/Q17</f>
        <v>-0.50772820064158641</v>
      </c>
    </row>
    <row r="23" spans="2:22" x14ac:dyDescent="0.25">
      <c r="B23" s="2" t="s">
        <v>115</v>
      </c>
      <c r="C23" s="10">
        <v>2.4E-2</v>
      </c>
      <c r="D23" s="10">
        <v>2.1000000000000001E-2</v>
      </c>
      <c r="E23" s="10">
        <v>1.4999999999999999E-2</v>
      </c>
      <c r="F23" s="10">
        <v>8.0000000000000002E-3</v>
      </c>
      <c r="G23" s="37"/>
      <c r="H23" s="10">
        <v>0</v>
      </c>
      <c r="I23" s="10">
        <v>0</v>
      </c>
      <c r="J23" s="10">
        <v>0</v>
      </c>
      <c r="K23" s="10">
        <v>0</v>
      </c>
      <c r="L23" s="37"/>
      <c r="M23" s="10">
        <v>0</v>
      </c>
      <c r="N23" s="10">
        <v>0</v>
      </c>
      <c r="O23" s="10">
        <v>0</v>
      </c>
      <c r="P23" s="10">
        <v>0</v>
      </c>
      <c r="Q23" s="37"/>
      <c r="R23" s="10">
        <v>0</v>
      </c>
      <c r="S23" s="10">
        <v>0</v>
      </c>
      <c r="T23" s="10"/>
      <c r="U23" s="10"/>
      <c r="V23" s="37"/>
    </row>
    <row r="24" spans="2:22" x14ac:dyDescent="0.25">
      <c r="B24" s="2" t="s">
        <v>116</v>
      </c>
      <c r="C24" s="10">
        <v>3.0000000000000001E-3</v>
      </c>
      <c r="D24" s="10">
        <v>0.01</v>
      </c>
      <c r="E24" s="10">
        <v>1.7999999999999999E-2</v>
      </c>
      <c r="F24" s="10">
        <v>1.4E-2</v>
      </c>
      <c r="G24" s="37"/>
      <c r="H24" s="10">
        <v>0.01</v>
      </c>
      <c r="I24" s="10">
        <v>1.0999999999999999E-2</v>
      </c>
      <c r="J24" s="10">
        <v>1.2999999999999999E-2</v>
      </c>
      <c r="K24" s="10">
        <v>2E-3</v>
      </c>
      <c r="L24" s="37"/>
      <c r="M24" s="10">
        <v>-1E-3</v>
      </c>
      <c r="N24" s="10">
        <v>0</v>
      </c>
      <c r="O24" s="10">
        <v>-7.0000000000000001E-3</v>
      </c>
      <c r="P24" s="10">
        <v>0</v>
      </c>
      <c r="Q24" s="37"/>
      <c r="R24" s="10">
        <v>-1E-3</v>
      </c>
      <c r="S24" s="10">
        <v>-7.0000000000000001E-3</v>
      </c>
      <c r="T24" s="10"/>
      <c r="U24" s="10"/>
      <c r="V24" s="37"/>
    </row>
    <row r="25" spans="2:22" x14ac:dyDescent="0.25">
      <c r="B25" s="2" t="s">
        <v>117</v>
      </c>
      <c r="C25" s="10">
        <v>1.6E-2</v>
      </c>
      <c r="D25" s="10">
        <v>-1.6E-2</v>
      </c>
      <c r="E25" s="10">
        <v>-1E-3</v>
      </c>
      <c r="F25" s="10">
        <v>-1E-3</v>
      </c>
      <c r="G25" s="37"/>
      <c r="H25" s="10">
        <v>1.2999999999999999E-2</v>
      </c>
      <c r="I25" s="10">
        <v>-1.4E-2</v>
      </c>
      <c r="J25" s="10">
        <v>-1.7000000000000001E-2</v>
      </c>
      <c r="K25" s="10">
        <v>-3.0000000000000001E-3</v>
      </c>
      <c r="L25" s="37"/>
      <c r="M25" s="10">
        <v>-1.7000000000000001E-2</v>
      </c>
      <c r="N25" s="10">
        <v>1.7999999999999999E-2</v>
      </c>
      <c r="O25" s="10">
        <v>6.0000000000000001E-3</v>
      </c>
      <c r="P25" s="10">
        <v>-2.4E-2</v>
      </c>
      <c r="Q25" s="37"/>
      <c r="R25" s="10">
        <v>-1.2999999999999999E-2</v>
      </c>
      <c r="S25" s="10">
        <v>-1.7000000000000001E-2</v>
      </c>
      <c r="T25" s="10"/>
      <c r="U25" s="10"/>
      <c r="V25" s="37"/>
    </row>
    <row r="26" spans="2:22" ht="20" thickBot="1" x14ac:dyDescent="0.3">
      <c r="B26" s="35" t="s">
        <v>118</v>
      </c>
      <c r="C26" s="38">
        <v>9.8000000000000004E-2</v>
      </c>
      <c r="D26" s="38">
        <v>9.4E-2</v>
      </c>
      <c r="E26" s="38">
        <v>0.06</v>
      </c>
      <c r="F26" s="38">
        <v>9.9000000000000005E-2</v>
      </c>
      <c r="G26" s="39"/>
      <c r="H26" s="38">
        <v>0.13200000000000001</v>
      </c>
      <c r="I26" s="38">
        <v>9.8000000000000004E-2</v>
      </c>
      <c r="J26" s="38">
        <v>6.0999999999999999E-2</v>
      </c>
      <c r="K26" s="38">
        <v>-5.0000000000000001E-3</v>
      </c>
      <c r="L26" s="39"/>
      <c r="M26" s="38">
        <v>4.0000000000000001E-3</v>
      </c>
      <c r="N26" s="38">
        <v>1.7999999999999999E-2</v>
      </c>
      <c r="O26" s="38">
        <v>1.6E-2</v>
      </c>
      <c r="P26" s="38">
        <v>2.5999999999999999E-2</v>
      </c>
      <c r="Q26" s="39"/>
      <c r="R26" s="38">
        <v>-3.1E-2</v>
      </c>
      <c r="S26" s="38">
        <v>-5.7000000000000002E-2</v>
      </c>
      <c r="T26" s="38"/>
      <c r="U26" s="38"/>
      <c r="V26" s="39"/>
    </row>
    <row r="27" spans="2:22" x14ac:dyDescent="0.25">
      <c r="B27" s="1" t="s">
        <v>120</v>
      </c>
      <c r="G27" s="34"/>
      <c r="L27" s="34"/>
      <c r="Q27" s="34"/>
      <c r="V27" s="34"/>
    </row>
    <row r="28" spans="2:22" x14ac:dyDescent="0.25">
      <c r="B28" s="31" t="s">
        <v>40</v>
      </c>
      <c r="C28" s="12">
        <v>1060</v>
      </c>
      <c r="D28" s="12">
        <v>1157</v>
      </c>
      <c r="E28" s="12">
        <v>1107</v>
      </c>
      <c r="F28" s="12">
        <v>1294</v>
      </c>
      <c r="G28" s="49">
        <f>SUM(C28:F28)</f>
        <v>4618</v>
      </c>
      <c r="H28" s="12">
        <v>1402</v>
      </c>
      <c r="I28" s="12">
        <v>1457</v>
      </c>
      <c r="J28" s="12">
        <v>1282</v>
      </c>
      <c r="K28" s="12">
        <v>1432</v>
      </c>
      <c r="L28" s="49">
        <f>SUM(H28:K28)</f>
        <v>5573</v>
      </c>
      <c r="M28" s="12">
        <v>1361</v>
      </c>
      <c r="N28" s="12">
        <v>1397</v>
      </c>
      <c r="O28" s="12">
        <v>1138</v>
      </c>
      <c r="P28" s="12">
        <v>1293</v>
      </c>
      <c r="Q28" s="49">
        <f>SUM(M28:P28)</f>
        <v>5189</v>
      </c>
      <c r="R28" s="12">
        <v>1260</v>
      </c>
      <c r="S28" s="12">
        <v>1247</v>
      </c>
      <c r="T28" s="12"/>
      <c r="U28" s="12"/>
      <c r="V28" s="49">
        <f>SUM(R28:U28)</f>
        <v>2507</v>
      </c>
    </row>
    <row r="29" spans="2:22" x14ac:dyDescent="0.25">
      <c r="B29" s="30" t="s">
        <v>47</v>
      </c>
      <c r="C29" s="14">
        <v>123</v>
      </c>
      <c r="D29" s="14">
        <v>113</v>
      </c>
      <c r="E29" s="14">
        <v>101</v>
      </c>
      <c r="F29" s="14">
        <v>148</v>
      </c>
      <c r="G29" s="49">
        <f>SUM(C29:F29)</f>
        <v>485</v>
      </c>
      <c r="H29" s="14">
        <v>199</v>
      </c>
      <c r="I29" s="14">
        <v>168</v>
      </c>
      <c r="J29" s="14">
        <v>122</v>
      </c>
      <c r="K29" s="14">
        <v>170</v>
      </c>
      <c r="L29" s="49">
        <f>SUM(H29:K29)</f>
        <v>659</v>
      </c>
      <c r="M29" s="14">
        <v>142</v>
      </c>
      <c r="N29" s="14">
        <v>129</v>
      </c>
      <c r="O29" s="14">
        <v>81</v>
      </c>
      <c r="P29" s="14">
        <v>125</v>
      </c>
      <c r="Q29" s="49">
        <f>SUM(M29:P29)</f>
        <v>477</v>
      </c>
      <c r="R29" s="14">
        <v>98</v>
      </c>
      <c r="S29" s="14">
        <v>125</v>
      </c>
      <c r="T29" s="14"/>
      <c r="U29" s="14"/>
      <c r="V29" s="49">
        <f>SUM(R29:U29)</f>
        <v>223</v>
      </c>
    </row>
    <row r="30" spans="2:22" x14ac:dyDescent="0.25">
      <c r="B30" s="30" t="s">
        <v>96</v>
      </c>
      <c r="C30" s="10">
        <v>0.11600000000000001</v>
      </c>
      <c r="D30" s="10">
        <v>9.8000000000000004E-2</v>
      </c>
      <c r="E30" s="10">
        <v>9.1999999999999998E-2</v>
      </c>
      <c r="F30" s="10">
        <v>0.115</v>
      </c>
      <c r="G30" s="37">
        <f>G29/G28</f>
        <v>0.10502381983542659</v>
      </c>
      <c r="H30" s="10">
        <v>0.14199999999999999</v>
      </c>
      <c r="I30" s="10">
        <v>0.115</v>
      </c>
      <c r="J30" s="10">
        <v>9.5000000000000001E-2</v>
      </c>
      <c r="K30" s="10">
        <v>0.11899999999999999</v>
      </c>
      <c r="L30" s="37">
        <f>L29/L28</f>
        <v>0.1182486990848735</v>
      </c>
      <c r="M30" s="10">
        <v>0.104</v>
      </c>
      <c r="N30" s="10">
        <v>9.2999999999999999E-2</v>
      </c>
      <c r="O30" s="10">
        <v>7.1999999999999995E-2</v>
      </c>
      <c r="P30" s="10">
        <v>9.7000000000000003E-2</v>
      </c>
      <c r="Q30" s="37">
        <f>Q29/Q28</f>
        <v>9.1925226440547306E-2</v>
      </c>
      <c r="R30" s="10">
        <v>7.8E-2</v>
      </c>
      <c r="S30" s="10">
        <v>0.1</v>
      </c>
      <c r="T30" s="10"/>
      <c r="U30" s="10"/>
      <c r="V30" s="37">
        <f>V29/V28</f>
        <v>8.8950937375349023E-2</v>
      </c>
    </row>
    <row r="31" spans="2:22" x14ac:dyDescent="0.25">
      <c r="B31" s="30" t="s">
        <v>112</v>
      </c>
      <c r="C31" s="14">
        <v>3332</v>
      </c>
      <c r="D31" s="14">
        <v>0</v>
      </c>
      <c r="E31" s="14">
        <v>0</v>
      </c>
      <c r="F31" s="14">
        <v>0</v>
      </c>
      <c r="G31" s="49"/>
      <c r="H31" s="14">
        <v>3770</v>
      </c>
      <c r="I31" s="14">
        <v>0</v>
      </c>
      <c r="J31" s="14">
        <v>0</v>
      </c>
      <c r="K31" s="14">
        <v>0</v>
      </c>
      <c r="L31" s="49"/>
      <c r="M31" s="14">
        <v>3098</v>
      </c>
      <c r="N31" s="14">
        <v>0</v>
      </c>
      <c r="O31" s="14">
        <v>0</v>
      </c>
      <c r="P31" s="14">
        <v>0</v>
      </c>
      <c r="Q31" s="49"/>
      <c r="R31" s="14">
        <v>3125</v>
      </c>
      <c r="S31" s="14">
        <v>2931</v>
      </c>
      <c r="T31" s="14"/>
      <c r="U31" s="14"/>
      <c r="V31" s="49"/>
    </row>
    <row r="32" spans="2:22" x14ac:dyDescent="0.25">
      <c r="B32" s="26" t="s">
        <v>113</v>
      </c>
      <c r="C32" s="50">
        <v>3870</v>
      </c>
      <c r="D32" s="50">
        <v>4072</v>
      </c>
      <c r="E32" s="50">
        <v>4202</v>
      </c>
      <c r="F32" s="50">
        <v>4314</v>
      </c>
      <c r="G32" s="51"/>
      <c r="H32" s="50">
        <v>4394</v>
      </c>
      <c r="I32" s="50">
        <v>4383</v>
      </c>
      <c r="J32" s="50">
        <v>4334</v>
      </c>
      <c r="K32" s="50">
        <v>4230</v>
      </c>
      <c r="L32" s="51"/>
      <c r="M32" s="50">
        <v>4137</v>
      </c>
      <c r="N32" s="50">
        <v>4024</v>
      </c>
      <c r="O32" s="50">
        <v>3908</v>
      </c>
      <c r="P32" s="50">
        <v>3820</v>
      </c>
      <c r="Q32" s="51"/>
      <c r="R32" s="50">
        <v>3787</v>
      </c>
      <c r="S32" s="50">
        <v>3725</v>
      </c>
      <c r="T32" s="50"/>
      <c r="U32" s="50"/>
      <c r="V32" s="51"/>
    </row>
    <row r="33" spans="2:22" x14ac:dyDescent="0.25">
      <c r="B33" s="31" t="s">
        <v>114</v>
      </c>
      <c r="C33" s="40">
        <v>0.16600000000000001</v>
      </c>
      <c r="D33" s="40">
        <v>0.17299999999999999</v>
      </c>
      <c r="E33" s="40">
        <v>0.30099999999999999</v>
      </c>
      <c r="F33" s="40">
        <v>0.20899999999999999</v>
      </c>
      <c r="G33" s="37"/>
      <c r="H33" s="40">
        <v>0.32200000000000001</v>
      </c>
      <c r="I33" s="40">
        <v>0.25900000000000001</v>
      </c>
      <c r="J33" s="40">
        <v>0.158</v>
      </c>
      <c r="K33" s="40">
        <v>0.107</v>
      </c>
      <c r="L33" s="37">
        <f>(L28-G28)/G28</f>
        <v>0.20679948029449979</v>
      </c>
      <c r="M33" s="40">
        <v>-2.8000000000000001E-2</v>
      </c>
      <c r="N33" s="40">
        <v>-4.1000000000000002E-2</v>
      </c>
      <c r="O33" s="40">
        <v>-0.113</v>
      </c>
      <c r="P33" s="40">
        <v>-9.7000000000000003E-2</v>
      </c>
      <c r="Q33" s="37">
        <f>(Q28-L28)/L28</f>
        <v>-6.8903642562354206E-2</v>
      </c>
      <c r="R33" s="40">
        <v>-7.3999999999999996E-2</v>
      </c>
      <c r="S33" s="40">
        <v>-0.106</v>
      </c>
      <c r="T33" s="40"/>
      <c r="U33" s="40"/>
      <c r="V33" s="37">
        <f>(V28-Q28)/Q28</f>
        <v>-0.51686259394873768</v>
      </c>
    </row>
    <row r="34" spans="2:22" x14ac:dyDescent="0.25">
      <c r="B34" s="30" t="s">
        <v>115</v>
      </c>
      <c r="C34" s="10">
        <v>2.8000000000000001E-2</v>
      </c>
      <c r="D34" s="10">
        <v>1.6E-2</v>
      </c>
      <c r="E34" s="10">
        <v>0</v>
      </c>
      <c r="F34" s="10">
        <v>0</v>
      </c>
      <c r="G34" s="37"/>
      <c r="H34" s="10">
        <v>4.0000000000000001E-3</v>
      </c>
      <c r="I34" s="10">
        <v>5.0000000000000001E-3</v>
      </c>
      <c r="J34" s="10">
        <v>3.2000000000000001E-2</v>
      </c>
      <c r="K34" s="10">
        <v>3.1E-2</v>
      </c>
      <c r="L34" s="37"/>
      <c r="M34" s="10">
        <v>0.03</v>
      </c>
      <c r="N34" s="10">
        <v>2E-3</v>
      </c>
      <c r="O34" s="10">
        <v>0</v>
      </c>
      <c r="P34" s="10">
        <v>0</v>
      </c>
      <c r="Q34" s="37"/>
      <c r="R34" s="10">
        <v>0</v>
      </c>
      <c r="S34" s="10">
        <v>0</v>
      </c>
      <c r="T34" s="10"/>
      <c r="U34" s="10"/>
      <c r="V34" s="37"/>
    </row>
    <row r="35" spans="2:22" x14ac:dyDescent="0.25">
      <c r="B35" s="30" t="s">
        <v>116</v>
      </c>
      <c r="C35" s="10">
        <v>4.8000000000000001E-2</v>
      </c>
      <c r="D35" s="10">
        <v>7.5999999999999998E-2</v>
      </c>
      <c r="E35" s="10">
        <v>0.109</v>
      </c>
      <c r="F35" s="10">
        <v>0.11</v>
      </c>
      <c r="G35" s="37"/>
      <c r="H35" s="10">
        <v>7.2999999999999995E-2</v>
      </c>
      <c r="I35" s="10">
        <v>5.7000000000000002E-2</v>
      </c>
      <c r="J35" s="10">
        <v>6.3E-2</v>
      </c>
      <c r="K35" s="10">
        <v>2.1000000000000001E-2</v>
      </c>
      <c r="L35" s="37"/>
      <c r="M35" s="10">
        <v>3.0000000000000001E-3</v>
      </c>
      <c r="N35" s="10">
        <v>-1E-3</v>
      </c>
      <c r="O35" s="10">
        <v>-3.7999999999999999E-2</v>
      </c>
      <c r="P35" s="10">
        <v>-1.4E-2</v>
      </c>
      <c r="Q35" s="37"/>
      <c r="R35" s="10">
        <v>-1.6E-2</v>
      </c>
      <c r="S35" s="10">
        <v>-4.9000000000000002E-2</v>
      </c>
      <c r="T35" s="10"/>
      <c r="U35" s="10"/>
      <c r="V35" s="37"/>
    </row>
    <row r="36" spans="2:22" x14ac:dyDescent="0.25">
      <c r="B36" s="30" t="s">
        <v>117</v>
      </c>
      <c r="C36" s="10">
        <v>4.0000000000000001E-3</v>
      </c>
      <c r="D36" s="10">
        <v>-1.7000000000000001E-2</v>
      </c>
      <c r="E36" s="10">
        <v>0.191</v>
      </c>
      <c r="F36" s="10">
        <v>-8.0000000000000002E-3</v>
      </c>
      <c r="G36" s="37"/>
      <c r="H36" s="10">
        <v>2.1999999999999999E-2</v>
      </c>
      <c r="I36" s="10">
        <v>-8.0000000000000002E-3</v>
      </c>
      <c r="J36" s="10">
        <v>-2.1000000000000001E-2</v>
      </c>
      <c r="K36" s="10">
        <v>-0.02</v>
      </c>
      <c r="L36" s="37"/>
      <c r="M36" s="10">
        <v>-2.1999999999999999E-2</v>
      </c>
      <c r="N36" s="10">
        <v>1.7000000000000001E-2</v>
      </c>
      <c r="O36" s="10">
        <v>0.01</v>
      </c>
      <c r="P36" s="10">
        <v>1.2999999999999999E-2</v>
      </c>
      <c r="Q36" s="37"/>
      <c r="R36" s="10">
        <v>-6.0000000000000001E-3</v>
      </c>
      <c r="S36" s="10">
        <v>-0.02</v>
      </c>
      <c r="T36" s="10"/>
      <c r="U36" s="10"/>
      <c r="V36" s="37"/>
    </row>
    <row r="37" spans="2:22" ht="20" thickBot="1" x14ac:dyDescent="0.3">
      <c r="B37" s="36" t="s">
        <v>118</v>
      </c>
      <c r="C37" s="38">
        <v>8.5999999999999993E-2</v>
      </c>
      <c r="D37" s="38">
        <v>9.8000000000000004E-2</v>
      </c>
      <c r="E37" s="38">
        <v>0.191</v>
      </c>
      <c r="F37" s="38">
        <v>0.106</v>
      </c>
      <c r="G37" s="39"/>
      <c r="H37" s="38">
        <v>0.224</v>
      </c>
      <c r="I37" s="38">
        <v>0.20499999999999999</v>
      </c>
      <c r="J37" s="38">
        <v>8.4000000000000005E-2</v>
      </c>
      <c r="K37" s="38">
        <v>7.5999999999999998E-2</v>
      </c>
      <c r="L37" s="39"/>
      <c r="M37" s="38">
        <v>-3.9E-2</v>
      </c>
      <c r="N37" s="38">
        <v>-5.8999999999999997E-2</v>
      </c>
      <c r="O37" s="38">
        <v>-8.5000000000000006E-2</v>
      </c>
      <c r="P37" s="38">
        <v>-9.6000000000000002E-2</v>
      </c>
      <c r="Q37" s="39"/>
      <c r="R37" s="38">
        <v>-5.0999999999999997E-2</v>
      </c>
      <c r="S37" s="38">
        <v>-3.5999999999999997E-2</v>
      </c>
      <c r="T37" s="38"/>
      <c r="U37" s="38"/>
      <c r="V37" s="39"/>
    </row>
    <row r="38" spans="2:22" x14ac:dyDescent="0.25">
      <c r="B38" s="1" t="s">
        <v>121</v>
      </c>
      <c r="G38" s="34"/>
      <c r="L38" s="34"/>
      <c r="Q38" s="34"/>
      <c r="V38" s="34"/>
    </row>
    <row r="39" spans="2:22" x14ac:dyDescent="0.25">
      <c r="B39" s="31" t="s">
        <v>40</v>
      </c>
      <c r="C39" s="12">
        <v>695</v>
      </c>
      <c r="D39" s="12">
        <v>771</v>
      </c>
      <c r="E39" s="12">
        <v>726</v>
      </c>
      <c r="F39" s="12">
        <v>840</v>
      </c>
      <c r="G39" s="49">
        <f>SUM(C39:F39)</f>
        <v>3032</v>
      </c>
      <c r="H39" s="12">
        <v>867</v>
      </c>
      <c r="I39" s="12">
        <v>884</v>
      </c>
      <c r="J39" s="12">
        <v>869</v>
      </c>
      <c r="K39" s="12">
        <v>961</v>
      </c>
      <c r="L39" s="49">
        <f>SUM(H39:K39)</f>
        <v>3581</v>
      </c>
      <c r="M39" s="12">
        <v>877</v>
      </c>
      <c r="N39" s="12">
        <v>986</v>
      </c>
      <c r="O39" s="12">
        <v>949</v>
      </c>
      <c r="P39" s="12">
        <v>1052</v>
      </c>
      <c r="Q39" s="49">
        <f>SUM(M39:P39)</f>
        <v>3864</v>
      </c>
      <c r="R39" s="12">
        <v>966</v>
      </c>
      <c r="S39" s="12">
        <v>978</v>
      </c>
      <c r="T39" s="12"/>
      <c r="U39" s="12"/>
      <c r="V39" s="49">
        <f>SUM(R39:U39)</f>
        <v>1944</v>
      </c>
    </row>
    <row r="40" spans="2:22" x14ac:dyDescent="0.25">
      <c r="B40" s="30" t="s">
        <v>47</v>
      </c>
      <c r="C40" s="14">
        <v>72</v>
      </c>
      <c r="D40" s="14">
        <v>71</v>
      </c>
      <c r="E40" s="14">
        <v>58</v>
      </c>
      <c r="F40" s="14">
        <v>94</v>
      </c>
      <c r="G40" s="49">
        <f>SUM(C40:F40)</f>
        <v>295</v>
      </c>
      <c r="H40" s="14">
        <v>91</v>
      </c>
      <c r="I40" s="14">
        <v>80</v>
      </c>
      <c r="J40" s="14">
        <v>79</v>
      </c>
      <c r="K40" s="14">
        <v>110</v>
      </c>
      <c r="L40" s="49">
        <f>SUM(H40:K40)</f>
        <v>360</v>
      </c>
      <c r="M40" s="14">
        <v>84</v>
      </c>
      <c r="N40" s="14">
        <v>97</v>
      </c>
      <c r="O40" s="14">
        <v>98</v>
      </c>
      <c r="P40" s="14">
        <v>125</v>
      </c>
      <c r="Q40" s="49">
        <f>SUM(M40:P40)</f>
        <v>404</v>
      </c>
      <c r="R40" s="14">
        <v>95</v>
      </c>
      <c r="S40" s="14">
        <v>92</v>
      </c>
      <c r="T40" s="14"/>
      <c r="U40" s="14"/>
      <c r="V40" s="49">
        <f>SUM(R40:U40)</f>
        <v>187</v>
      </c>
    </row>
    <row r="41" spans="2:22" x14ac:dyDescent="0.25">
      <c r="B41" s="30" t="s">
        <v>96</v>
      </c>
      <c r="C41" s="10">
        <v>0.10299999999999999</v>
      </c>
      <c r="D41" s="10">
        <v>9.1999999999999998E-2</v>
      </c>
      <c r="E41" s="10">
        <v>0.08</v>
      </c>
      <c r="F41" s="10">
        <v>0.112</v>
      </c>
      <c r="G41" s="37">
        <f>G40/G39</f>
        <v>9.7295514511873349E-2</v>
      </c>
      <c r="H41" s="10">
        <v>0.105</v>
      </c>
      <c r="I41" s="10">
        <v>0.09</v>
      </c>
      <c r="J41" s="10">
        <v>9.0999999999999998E-2</v>
      </c>
      <c r="K41" s="10">
        <v>0.114</v>
      </c>
      <c r="L41" s="37">
        <f>L40/L39</f>
        <v>0.1005305780508238</v>
      </c>
      <c r="M41" s="10">
        <v>9.6000000000000002E-2</v>
      </c>
      <c r="N41" s="10">
        <v>9.8000000000000004E-2</v>
      </c>
      <c r="O41" s="10">
        <v>0.10299999999999999</v>
      </c>
      <c r="P41" s="10">
        <v>0.11899999999999999</v>
      </c>
      <c r="Q41" s="37">
        <f>Q40/Q39</f>
        <v>0.10455486542443064</v>
      </c>
      <c r="R41" s="10">
        <v>9.9000000000000005E-2</v>
      </c>
      <c r="S41" s="10">
        <v>9.4E-2</v>
      </c>
      <c r="T41" s="10"/>
      <c r="U41" s="10"/>
      <c r="V41" s="37">
        <f>V40/V39</f>
        <v>9.6193415637860089E-2</v>
      </c>
    </row>
    <row r="42" spans="2:22" x14ac:dyDescent="0.25">
      <c r="B42" s="30" t="s">
        <v>112</v>
      </c>
      <c r="C42" s="14">
        <v>3874</v>
      </c>
      <c r="D42" s="14">
        <v>0</v>
      </c>
      <c r="E42" s="14">
        <v>0</v>
      </c>
      <c r="F42" s="14">
        <v>0</v>
      </c>
      <c r="G42" s="49"/>
      <c r="H42" s="14">
        <v>4882</v>
      </c>
      <c r="I42" s="14">
        <v>0</v>
      </c>
      <c r="J42" s="14">
        <v>0</v>
      </c>
      <c r="K42" s="14">
        <v>0</v>
      </c>
      <c r="L42" s="49"/>
      <c r="M42" s="14">
        <v>5255</v>
      </c>
      <c r="N42" s="14">
        <v>0</v>
      </c>
      <c r="O42" s="14">
        <v>0</v>
      </c>
      <c r="P42" s="14">
        <v>0</v>
      </c>
      <c r="Q42" s="49"/>
      <c r="R42" s="14">
        <v>5124</v>
      </c>
      <c r="S42" s="14">
        <v>5125</v>
      </c>
      <c r="T42" s="14"/>
      <c r="U42" s="14"/>
      <c r="V42" s="49"/>
    </row>
    <row r="43" spans="2:22" x14ac:dyDescent="0.25">
      <c r="B43" s="26" t="s">
        <v>113</v>
      </c>
      <c r="C43" s="50">
        <v>1676</v>
      </c>
      <c r="D43" s="50">
        <v>1738</v>
      </c>
      <c r="E43" s="50">
        <v>1783</v>
      </c>
      <c r="F43" s="50">
        <v>1819</v>
      </c>
      <c r="G43" s="51"/>
      <c r="H43" s="50">
        <v>1851</v>
      </c>
      <c r="I43" s="50">
        <v>1907</v>
      </c>
      <c r="J43" s="50">
        <v>1907</v>
      </c>
      <c r="K43" s="50">
        <v>1938</v>
      </c>
      <c r="L43" s="51"/>
      <c r="M43" s="50">
        <v>1945</v>
      </c>
      <c r="N43" s="50">
        <v>1973</v>
      </c>
      <c r="O43" s="50">
        <v>1959</v>
      </c>
      <c r="P43" s="50">
        <v>2009</v>
      </c>
      <c r="Q43" s="51"/>
      <c r="R43" s="50">
        <v>2015</v>
      </c>
      <c r="S43" s="50">
        <v>2038</v>
      </c>
      <c r="T43" s="50"/>
      <c r="U43" s="50"/>
      <c r="V43" s="51"/>
    </row>
    <row r="44" spans="2:22" x14ac:dyDescent="0.25">
      <c r="B44" s="31" t="s">
        <v>114</v>
      </c>
      <c r="C44" s="40">
        <v>-1.7000000000000001E-2</v>
      </c>
      <c r="D44" s="40">
        <v>0.14399999999999999</v>
      </c>
      <c r="E44" s="40">
        <v>0.25</v>
      </c>
      <c r="F44" s="40">
        <v>0.16500000000000001</v>
      </c>
      <c r="G44" s="37"/>
      <c r="H44" s="40">
        <v>0.247</v>
      </c>
      <c r="I44" s="40">
        <v>0.14599999999999999</v>
      </c>
      <c r="J44" s="40">
        <v>0.19700000000000001</v>
      </c>
      <c r="K44" s="40">
        <v>0.14399999999999999</v>
      </c>
      <c r="L44" s="37">
        <f>(L39-G39)/G39</f>
        <v>0.18106860158311347</v>
      </c>
      <c r="M44" s="40">
        <v>1.0999999999999999E-2</v>
      </c>
      <c r="N44" s="40">
        <v>0.11600000000000001</v>
      </c>
      <c r="O44" s="40">
        <v>9.1999999999999998E-2</v>
      </c>
      <c r="P44" s="40">
        <v>9.4E-2</v>
      </c>
      <c r="Q44" s="37">
        <f>(Q39-L39)/L39</f>
        <v>7.9028204412175368E-2</v>
      </c>
      <c r="R44" s="40">
        <v>0.10100000000000001</v>
      </c>
      <c r="S44" s="40">
        <v>-8.0000000000000002E-3</v>
      </c>
      <c r="T44" s="40"/>
      <c r="U44" s="40"/>
      <c r="V44" s="37">
        <f>(V39-Q39)/Q39</f>
        <v>-0.49689440993788819</v>
      </c>
    </row>
    <row r="45" spans="2:22" x14ac:dyDescent="0.25">
      <c r="B45" s="30" t="s">
        <v>115</v>
      </c>
      <c r="C45" s="10">
        <v>1.2999999999999999E-2</v>
      </c>
      <c r="D45" s="10">
        <v>1.4999999999999999E-2</v>
      </c>
      <c r="E45" s="10">
        <v>3.7999999999999999E-2</v>
      </c>
      <c r="F45" s="10">
        <v>2.1000000000000001E-2</v>
      </c>
      <c r="G45" s="37"/>
      <c r="H45" s="10">
        <v>2.9000000000000001E-2</v>
      </c>
      <c r="I45" s="10">
        <v>4.2999999999999997E-2</v>
      </c>
      <c r="J45" s="10">
        <v>0.03</v>
      </c>
      <c r="K45" s="10">
        <v>2.4E-2</v>
      </c>
      <c r="L45" s="37"/>
      <c r="M45" s="10">
        <v>1.6E-2</v>
      </c>
      <c r="N45" s="10">
        <v>2.5000000000000001E-2</v>
      </c>
      <c r="O45" s="10">
        <v>3.7999999999999999E-2</v>
      </c>
      <c r="P45" s="10">
        <v>3.3000000000000002E-2</v>
      </c>
      <c r="Q45" s="37"/>
      <c r="R45" s="10">
        <v>0</v>
      </c>
      <c r="S45" s="10">
        <v>0</v>
      </c>
      <c r="T45" s="10"/>
      <c r="U45" s="10"/>
      <c r="V45" s="37"/>
    </row>
    <row r="46" spans="2:22" x14ac:dyDescent="0.25">
      <c r="B46" s="30" t="s">
        <v>116</v>
      </c>
      <c r="C46" s="10">
        <v>0.04</v>
      </c>
      <c r="D46" s="10">
        <v>5.3999999999999999E-2</v>
      </c>
      <c r="E46" s="10">
        <v>8.1000000000000003E-2</v>
      </c>
      <c r="F46" s="10">
        <v>0.09</v>
      </c>
      <c r="G46" s="37"/>
      <c r="H46" s="10">
        <v>6.6000000000000003E-2</v>
      </c>
      <c r="I46" s="10">
        <v>7.6999999999999999E-2</v>
      </c>
      <c r="J46" s="10">
        <v>8.8999999999999996E-2</v>
      </c>
      <c r="K46" s="10">
        <v>3.9E-2</v>
      </c>
      <c r="L46" s="37"/>
      <c r="M46" s="10">
        <v>7.0000000000000001E-3</v>
      </c>
      <c r="N46" s="10">
        <v>-2E-3</v>
      </c>
      <c r="O46" s="10">
        <v>-2.5999999999999999E-2</v>
      </c>
      <c r="P46" s="10">
        <v>4.0000000000000001E-3</v>
      </c>
      <c r="Q46" s="37"/>
      <c r="R46" s="10">
        <v>1E-3</v>
      </c>
      <c r="S46" s="10">
        <v>-3.9E-2</v>
      </c>
      <c r="T46" s="10"/>
      <c r="U46" s="10"/>
      <c r="V46" s="37"/>
    </row>
    <row r="47" spans="2:22" x14ac:dyDescent="0.25">
      <c r="B47" s="30" t="s">
        <v>117</v>
      </c>
      <c r="C47" s="10">
        <v>8.0000000000000002E-3</v>
      </c>
      <c r="D47" s="10">
        <v>7.0000000000000001E-3</v>
      </c>
      <c r="E47" s="10">
        <v>-3.0000000000000001E-3</v>
      </c>
      <c r="F47" s="10">
        <v>-3.5999999999999997E-2</v>
      </c>
      <c r="G47" s="37"/>
      <c r="H47" s="10">
        <v>4.0000000000000001E-3</v>
      </c>
      <c r="I47" s="10">
        <v>-0.02</v>
      </c>
      <c r="J47" s="10">
        <v>-1.7000000000000001E-2</v>
      </c>
      <c r="K47" s="10">
        <v>-1.2999999999999999E-2</v>
      </c>
      <c r="L47" s="37"/>
      <c r="M47" s="10">
        <v>-2.4E-2</v>
      </c>
      <c r="N47" s="10">
        <v>5.0000000000000001E-3</v>
      </c>
      <c r="O47" s="10">
        <v>4.0000000000000001E-3</v>
      </c>
      <c r="P47" s="10">
        <v>-0.01</v>
      </c>
      <c r="Q47" s="37"/>
      <c r="R47" s="10">
        <v>-1.7000000000000001E-2</v>
      </c>
      <c r="S47" s="10">
        <v>-1.2E-2</v>
      </c>
      <c r="T47" s="10"/>
      <c r="U47" s="10"/>
      <c r="V47" s="37"/>
    </row>
    <row r="48" spans="2:22" ht="20" thickBot="1" x14ac:dyDescent="0.3">
      <c r="B48" s="36" t="s">
        <v>118</v>
      </c>
      <c r="C48" s="38">
        <v>-7.8E-2</v>
      </c>
      <c r="D48" s="38">
        <v>6.7000000000000004E-2</v>
      </c>
      <c r="E48" s="38">
        <v>0.13400000000000001</v>
      </c>
      <c r="F48" s="38">
        <v>8.8999999999999996E-2</v>
      </c>
      <c r="G48" s="39"/>
      <c r="H48" s="38">
        <v>0.14699999999999999</v>
      </c>
      <c r="I48" s="38">
        <v>4.7E-2</v>
      </c>
      <c r="J48" s="38">
        <v>9.5000000000000001E-2</v>
      </c>
      <c r="K48" s="38">
        <v>9.4E-2</v>
      </c>
      <c r="L48" s="39"/>
      <c r="M48" s="38">
        <v>1.2999999999999999E-2</v>
      </c>
      <c r="N48" s="38">
        <v>8.7999999999999995E-2</v>
      </c>
      <c r="O48" s="38">
        <v>7.5999999999999998E-2</v>
      </c>
      <c r="P48" s="38">
        <v>6.7000000000000004E-2</v>
      </c>
      <c r="Q48" s="39"/>
      <c r="R48" s="38">
        <v>0.11700000000000001</v>
      </c>
      <c r="S48" s="38">
        <v>4.2000000000000003E-2</v>
      </c>
      <c r="T48" s="38"/>
      <c r="U48" s="38"/>
      <c r="V48" s="39"/>
    </row>
    <row r="49" spans="2:22" x14ac:dyDescent="0.25">
      <c r="B49" s="1" t="s">
        <v>122</v>
      </c>
      <c r="G49" s="34"/>
      <c r="L49" s="34"/>
      <c r="Q49" s="34"/>
      <c r="V49" s="34"/>
    </row>
    <row r="50" spans="2:22" x14ac:dyDescent="0.25">
      <c r="B50" s="31" t="s">
        <v>40</v>
      </c>
      <c r="C50" s="12">
        <v>256</v>
      </c>
      <c r="D50" s="12">
        <v>298</v>
      </c>
      <c r="E50" s="12">
        <v>286</v>
      </c>
      <c r="F50" s="12">
        <v>327</v>
      </c>
      <c r="G50" s="49">
        <f>SUM(C50:F50)</f>
        <v>1167</v>
      </c>
      <c r="H50" s="12">
        <v>331</v>
      </c>
      <c r="I50" s="12">
        <v>398</v>
      </c>
      <c r="J50" s="12">
        <v>385</v>
      </c>
      <c r="K50" s="12">
        <v>453</v>
      </c>
      <c r="L50" s="49">
        <f>SUM(H50:K50)</f>
        <v>1567</v>
      </c>
      <c r="M50" s="12">
        <v>397</v>
      </c>
      <c r="N50" s="12">
        <v>459</v>
      </c>
      <c r="O50" s="12">
        <v>385</v>
      </c>
      <c r="P50" s="12">
        <v>421</v>
      </c>
      <c r="Q50" s="49">
        <f>SUM(M50:P50)</f>
        <v>1662</v>
      </c>
      <c r="R50" s="12">
        <v>388</v>
      </c>
      <c r="S50" s="12">
        <v>393</v>
      </c>
      <c r="T50" s="12"/>
      <c r="U50" s="12"/>
      <c r="V50" s="49">
        <f>SUM(R50:U50)</f>
        <v>781</v>
      </c>
    </row>
    <row r="51" spans="2:22" x14ac:dyDescent="0.25">
      <c r="B51" s="30" t="s">
        <v>47</v>
      </c>
      <c r="C51" s="14">
        <v>34</v>
      </c>
      <c r="D51" s="14">
        <v>50</v>
      </c>
      <c r="E51" s="14">
        <v>42</v>
      </c>
      <c r="F51" s="14">
        <v>7</v>
      </c>
      <c r="G51" s="49">
        <f>SUM(C51:F51)</f>
        <v>133</v>
      </c>
      <c r="H51" s="14">
        <v>45</v>
      </c>
      <c r="I51" s="14">
        <v>49</v>
      </c>
      <c r="J51" s="14">
        <v>42</v>
      </c>
      <c r="K51" s="14">
        <v>46</v>
      </c>
      <c r="L51" s="49">
        <f>SUM(H51:K51)</f>
        <v>182</v>
      </c>
      <c r="M51" s="14">
        <v>45</v>
      </c>
      <c r="N51" s="14">
        <v>72</v>
      </c>
      <c r="O51" s="14">
        <v>36</v>
      </c>
      <c r="P51" s="14">
        <v>42</v>
      </c>
      <c r="Q51" s="49">
        <f>SUM(M51:P51)</f>
        <v>195</v>
      </c>
      <c r="R51" s="14">
        <v>38</v>
      </c>
      <c r="S51" s="14">
        <v>37</v>
      </c>
      <c r="T51" s="14"/>
      <c r="U51" s="14"/>
      <c r="V51" s="49">
        <f>SUM(R51:U51)</f>
        <v>75</v>
      </c>
    </row>
    <row r="52" spans="2:22" x14ac:dyDescent="0.25">
      <c r="B52" s="30" t="s">
        <v>96</v>
      </c>
      <c r="C52" s="10">
        <v>0.13400000000000001</v>
      </c>
      <c r="D52" s="10">
        <v>0.16800000000000001</v>
      </c>
      <c r="E52" s="10">
        <v>0.14699999999999999</v>
      </c>
      <c r="F52" s="10">
        <v>2.3E-2</v>
      </c>
      <c r="G52" s="37">
        <f>G51/G50</f>
        <v>0.11396743787489289</v>
      </c>
      <c r="H52" s="10">
        <v>0.13600000000000001</v>
      </c>
      <c r="I52" s="10">
        <v>0.123</v>
      </c>
      <c r="J52" s="10">
        <v>0.108</v>
      </c>
      <c r="K52" s="10">
        <v>0.10199999999999999</v>
      </c>
      <c r="L52" s="37">
        <f>L51/L50</f>
        <v>0.11614550095724314</v>
      </c>
      <c r="M52" s="10">
        <v>0.114</v>
      </c>
      <c r="N52" s="10">
        <v>0.157</v>
      </c>
      <c r="O52" s="10">
        <v>9.2999999999999999E-2</v>
      </c>
      <c r="P52" s="10">
        <v>0.10100000000000001</v>
      </c>
      <c r="Q52" s="37">
        <f>Q51/Q50</f>
        <v>0.11732851985559567</v>
      </c>
      <c r="R52" s="10">
        <v>9.9000000000000005E-2</v>
      </c>
      <c r="S52" s="10">
        <v>9.4E-2</v>
      </c>
      <c r="T52" s="10"/>
      <c r="U52" s="10"/>
      <c r="V52" s="37">
        <f>V51/V50</f>
        <v>9.6030729833546741E-2</v>
      </c>
    </row>
    <row r="53" spans="2:22" x14ac:dyDescent="0.25">
      <c r="B53" s="30" t="s">
        <v>112</v>
      </c>
      <c r="C53" s="14">
        <v>307</v>
      </c>
      <c r="D53" s="14">
        <v>0</v>
      </c>
      <c r="E53" s="14">
        <v>0</v>
      </c>
      <c r="F53" s="14"/>
      <c r="G53" s="49"/>
      <c r="H53" s="14">
        <v>352</v>
      </c>
      <c r="I53" s="14">
        <v>0</v>
      </c>
      <c r="J53" s="14">
        <v>0</v>
      </c>
      <c r="K53" s="14">
        <v>0</v>
      </c>
      <c r="L53" s="49"/>
      <c r="M53" s="14">
        <v>503</v>
      </c>
      <c r="N53" s="14">
        <v>0</v>
      </c>
      <c r="O53" s="14">
        <v>0</v>
      </c>
      <c r="P53" s="14">
        <v>0</v>
      </c>
      <c r="Q53" s="49"/>
      <c r="R53" s="14">
        <v>453</v>
      </c>
      <c r="S53" s="14">
        <v>479</v>
      </c>
      <c r="T53" s="14"/>
      <c r="U53" s="14"/>
      <c r="V53" s="49"/>
    </row>
    <row r="54" spans="2:22" x14ac:dyDescent="0.25">
      <c r="B54" s="26" t="s">
        <v>113</v>
      </c>
      <c r="C54" s="50">
        <v>484</v>
      </c>
      <c r="D54" s="50">
        <v>511</v>
      </c>
      <c r="E54" s="50">
        <v>527</v>
      </c>
      <c r="F54" s="50">
        <v>681</v>
      </c>
      <c r="G54" s="51"/>
      <c r="H54" s="50">
        <v>578</v>
      </c>
      <c r="I54" s="50">
        <v>758</v>
      </c>
      <c r="J54" s="50">
        <v>774</v>
      </c>
      <c r="K54" s="50">
        <v>791</v>
      </c>
      <c r="L54" s="51"/>
      <c r="M54" s="50">
        <v>770</v>
      </c>
      <c r="N54" s="50">
        <v>774</v>
      </c>
      <c r="O54" s="50">
        <v>740</v>
      </c>
      <c r="P54" s="50">
        <v>746</v>
      </c>
      <c r="Q54" s="51"/>
      <c r="R54" s="50">
        <v>752</v>
      </c>
      <c r="S54" s="50">
        <v>743</v>
      </c>
      <c r="T54" s="50"/>
      <c r="U54" s="50"/>
      <c r="V54" s="51"/>
    </row>
    <row r="55" spans="2:22" x14ac:dyDescent="0.25">
      <c r="B55" s="31" t="s">
        <v>114</v>
      </c>
      <c r="C55" s="40">
        <v>0.17799999999999999</v>
      </c>
      <c r="D55" s="40">
        <v>0.29199999999999998</v>
      </c>
      <c r="E55" s="40">
        <v>0.17</v>
      </c>
      <c r="F55" s="40">
        <v>0.11600000000000001</v>
      </c>
      <c r="G55" s="37"/>
      <c r="H55" s="40">
        <v>0.29299999999999998</v>
      </c>
      <c r="I55" s="40">
        <v>0.191</v>
      </c>
      <c r="J55" s="40">
        <v>0.249</v>
      </c>
      <c r="K55" s="40">
        <v>0.23499999999999999</v>
      </c>
      <c r="L55" s="37">
        <f>(L50-G50)/G50</f>
        <v>0.34275921165381318</v>
      </c>
      <c r="M55" s="40">
        <v>6.8000000000000005E-2</v>
      </c>
      <c r="N55" s="40">
        <v>0.152</v>
      </c>
      <c r="O55" s="40">
        <v>0</v>
      </c>
      <c r="P55" s="40">
        <v>-6.9000000000000006E-2</v>
      </c>
      <c r="Q55" s="37">
        <f>(Q50-L50)/L50</f>
        <v>6.0625398851308229E-2</v>
      </c>
      <c r="R55" s="40">
        <v>-2.3E-2</v>
      </c>
      <c r="S55" s="40">
        <v>-0.14399999999999999</v>
      </c>
      <c r="T55" s="40"/>
      <c r="U55" s="40"/>
      <c r="V55" s="37">
        <f>(V50-Q50)/Q50</f>
        <v>-0.53008423586040909</v>
      </c>
    </row>
    <row r="56" spans="2:22" x14ac:dyDescent="0.25">
      <c r="B56" s="30" t="s">
        <v>115</v>
      </c>
      <c r="C56" s="10">
        <v>0</v>
      </c>
      <c r="D56" s="10">
        <v>0</v>
      </c>
      <c r="E56" s="10">
        <v>0</v>
      </c>
      <c r="F56" s="10">
        <v>0.05</v>
      </c>
      <c r="G56" s="37"/>
      <c r="H56" s="10">
        <v>0</v>
      </c>
      <c r="I56" s="10">
        <v>0</v>
      </c>
      <c r="J56" s="10">
        <v>0</v>
      </c>
      <c r="K56" s="10">
        <v>0</v>
      </c>
      <c r="L56" s="37"/>
      <c r="M56" s="10">
        <v>0</v>
      </c>
      <c r="N56" s="10">
        <v>0</v>
      </c>
      <c r="O56" s="10">
        <v>0</v>
      </c>
      <c r="P56" s="10">
        <v>0</v>
      </c>
      <c r="Q56" s="37"/>
      <c r="R56" s="10">
        <v>0</v>
      </c>
      <c r="S56" s="10">
        <v>0</v>
      </c>
      <c r="T56" s="10"/>
      <c r="U56" s="10"/>
      <c r="V56" s="37"/>
    </row>
    <row r="57" spans="2:22" x14ac:dyDescent="0.25">
      <c r="B57" s="30" t="s">
        <v>116</v>
      </c>
      <c r="C57" s="10">
        <v>7.9000000000000001E-2</v>
      </c>
      <c r="D57" s="10">
        <v>8.2000000000000003E-2</v>
      </c>
      <c r="E57" s="10">
        <v>9.2999999999999999E-2</v>
      </c>
      <c r="F57" s="10">
        <v>1.4E-2</v>
      </c>
      <c r="G57" s="37"/>
      <c r="H57" s="10">
        <v>8.5000000000000006E-2</v>
      </c>
      <c r="I57" s="10">
        <v>0.11</v>
      </c>
      <c r="J57" s="10">
        <v>0.127</v>
      </c>
      <c r="K57" s="10">
        <v>0.05</v>
      </c>
      <c r="L57" s="37"/>
      <c r="M57" s="10">
        <v>0.01</v>
      </c>
      <c r="N57" s="10">
        <v>0.01</v>
      </c>
      <c r="O57" s="10">
        <v>-2.8000000000000001E-2</v>
      </c>
      <c r="P57" s="10">
        <v>0.01</v>
      </c>
      <c r="Q57" s="37"/>
      <c r="R57" s="10">
        <v>4.0000000000000001E-3</v>
      </c>
      <c r="S57" s="10">
        <v>-4.4999999999999998E-2</v>
      </c>
      <c r="T57" s="10"/>
      <c r="U57" s="10"/>
      <c r="V57" s="37"/>
    </row>
    <row r="58" spans="2:22" x14ac:dyDescent="0.25">
      <c r="B58" s="30" t="s">
        <v>117</v>
      </c>
      <c r="C58" s="10">
        <v>-4.0000000000000001E-3</v>
      </c>
      <c r="D58" s="10">
        <v>1.2999999999999999E-2</v>
      </c>
      <c r="E58" s="10">
        <v>-1.0999999999999999E-2</v>
      </c>
      <c r="F58" s="10">
        <v>2.7E-2</v>
      </c>
      <c r="G58" s="37"/>
      <c r="H58" s="10">
        <v>1.2E-2</v>
      </c>
      <c r="I58" s="10">
        <v>-0.02</v>
      </c>
      <c r="J58" s="10">
        <v>-1.2E-2</v>
      </c>
      <c r="K58" s="10">
        <v>-1.7999999999999999E-2</v>
      </c>
      <c r="L58" s="37"/>
      <c r="M58" s="10">
        <v>-1.6E-2</v>
      </c>
      <c r="N58" s="10">
        <v>2.7E-2</v>
      </c>
      <c r="O58" s="10">
        <v>1.4E-2</v>
      </c>
      <c r="P58" s="10">
        <v>1.7000000000000001E-2</v>
      </c>
      <c r="Q58" s="37"/>
      <c r="R58" s="10">
        <v>-1E-3</v>
      </c>
      <c r="S58" s="10">
        <v>-5.0000000000000001E-3</v>
      </c>
      <c r="T58" s="10"/>
      <c r="U58" s="10"/>
      <c r="V58" s="37"/>
    </row>
    <row r="59" spans="2:22" ht="20" thickBot="1" x14ac:dyDescent="0.3">
      <c r="B59" s="36" t="s">
        <v>118</v>
      </c>
      <c r="C59" s="38">
        <v>0.104</v>
      </c>
      <c r="D59" s="38">
        <v>0.19700000000000001</v>
      </c>
      <c r="E59" s="38">
        <v>8.7999999999999995E-2</v>
      </c>
      <c r="F59" s="38">
        <v>2.4E-2</v>
      </c>
      <c r="G59" s="39"/>
      <c r="H59" s="38">
        <v>0.19600000000000001</v>
      </c>
      <c r="I59" s="38">
        <v>0.1</v>
      </c>
      <c r="J59" s="38">
        <v>0.13400000000000001</v>
      </c>
      <c r="K59" s="38">
        <v>0.20300000000000001</v>
      </c>
      <c r="L59" s="39"/>
      <c r="M59" s="38">
        <v>7.3999999999999996E-2</v>
      </c>
      <c r="N59" s="38">
        <v>0.115</v>
      </c>
      <c r="O59" s="38">
        <v>1.4E-2</v>
      </c>
      <c r="P59" s="38">
        <v>-9.6000000000000002E-2</v>
      </c>
      <c r="Q59" s="39"/>
      <c r="R59" s="38">
        <v>-2.5999999999999999E-2</v>
      </c>
      <c r="S59" s="38">
        <v>-9.4E-2</v>
      </c>
      <c r="T59" s="38"/>
      <c r="U59" s="38"/>
      <c r="V59" s="3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7</vt:i4>
      </vt:variant>
    </vt:vector>
  </HeadingPairs>
  <TitlesOfParts>
    <vt:vector size="7" baseType="lpstr">
      <vt:lpstr>Info</vt:lpstr>
      <vt:lpstr>Modell</vt:lpstr>
      <vt:lpstr>Segmenter</vt:lpstr>
      <vt:lpstr>SOTP</vt:lpstr>
      <vt:lpstr>Nøkkeltall</vt:lpstr>
      <vt:lpstr>Nedsideberegning</vt:lpstr>
      <vt:lpstr>Gamle segmenter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2026-02-06T21:29:44Z</dcterms:modified>
</cp:coreProperties>
</file>