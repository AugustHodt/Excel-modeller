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augusthodt/Desktop/Aksjemodellering/"/>
    </mc:Choice>
  </mc:AlternateContent>
  <xr:revisionPtr revIDLastSave="0" documentId="13_ncr:1_{91E00B12-180B-9C48-8863-B93DC0214B38}" xr6:coauthVersionLast="47" xr6:coauthVersionMax="47" xr10:uidLastSave="{00000000-0000-0000-0000-000000000000}"/>
  <bookViews>
    <workbookView xWindow="23900" yWindow="500" windowWidth="24040" windowHeight="26500" activeTab="2" xr2:uid="{5AE0DF26-B7DD-1242-A60E-253C73A930AF}"/>
  </bookViews>
  <sheets>
    <sheet name="Info" sheetId="1" r:id="rId1"/>
    <sheet name="Modell" sheetId="2" r:id="rId2"/>
    <sheet name="SOTP" sheetId="5" r:id="rId3"/>
    <sheet name="Segementer" sheetId="4" r:id="rId4"/>
    <sheet name="Nøkkeltall"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 i="5" l="1"/>
  <c r="M27" i="5"/>
  <c r="L34" i="5"/>
  <c r="B8" i="2" l="1"/>
  <c r="B7" i="2"/>
  <c r="R52" i="2"/>
  <c r="R6" i="2"/>
  <c r="R9" i="2" s="1"/>
  <c r="R12" i="2" s="1"/>
  <c r="R14" i="2" s="1"/>
  <c r="V46" i="4"/>
  <c r="V45" i="4"/>
  <c r="V44" i="4"/>
  <c r="V43" i="4"/>
  <c r="V31" i="4"/>
  <c r="V30" i="4"/>
  <c r="V29" i="4"/>
  <c r="V28" i="4"/>
  <c r="M36" i="5" l="1"/>
  <c r="S72" i="2"/>
  <c r="S70" i="2"/>
  <c r="S66" i="2"/>
  <c r="R66" i="2"/>
  <c r="S60" i="2"/>
  <c r="R60" i="2"/>
  <c r="S55" i="2"/>
  <c r="R55" i="2"/>
  <c r="R72" i="2" s="1"/>
  <c r="S45" i="2"/>
  <c r="R45" i="2"/>
  <c r="S41" i="2"/>
  <c r="S42" i="2" s="1"/>
  <c r="R41" i="2"/>
  <c r="S36" i="2"/>
  <c r="R36" i="2"/>
  <c r="S30" i="2"/>
  <c r="R30" i="2"/>
  <c r="V42" i="4"/>
  <c r="V41" i="4"/>
  <c r="V40" i="4"/>
  <c r="V38" i="4"/>
  <c r="V36" i="4"/>
  <c r="V37" i="4" s="1"/>
  <c r="Q42" i="4"/>
  <c r="Q41" i="4"/>
  <c r="Q40" i="4"/>
  <c r="Q39" i="4"/>
  <c r="Q38" i="4"/>
  <c r="Q37" i="4"/>
  <c r="Q36" i="4"/>
  <c r="L42" i="4"/>
  <c r="L41" i="4"/>
  <c r="L40" i="4"/>
  <c r="L38" i="4"/>
  <c r="L39" i="4" s="1"/>
  <c r="L36" i="4"/>
  <c r="L37" i="4" s="1"/>
  <c r="V27" i="4"/>
  <c r="V26" i="4"/>
  <c r="V25" i="4"/>
  <c r="V23" i="4"/>
  <c r="V21" i="4"/>
  <c r="V22" i="4" s="1"/>
  <c r="Q27" i="4"/>
  <c r="Q26" i="4"/>
  <c r="Q25" i="4"/>
  <c r="Q23" i="4"/>
  <c r="Q24" i="4" s="1"/>
  <c r="Q21" i="4"/>
  <c r="Q22" i="4" s="1"/>
  <c r="L27" i="4"/>
  <c r="L26" i="4"/>
  <c r="L25" i="4"/>
  <c r="L23" i="4"/>
  <c r="L24" i="4" s="1"/>
  <c r="L21" i="4"/>
  <c r="L22" i="4" s="1"/>
  <c r="G42" i="4"/>
  <c r="G41" i="4"/>
  <c r="G40" i="4"/>
  <c r="G38" i="4"/>
  <c r="G39" i="4" s="1"/>
  <c r="G36" i="4"/>
  <c r="G27" i="4"/>
  <c r="G26" i="4"/>
  <c r="G25" i="4"/>
  <c r="G23" i="4"/>
  <c r="G24" i="4" s="1"/>
  <c r="G21" i="4"/>
  <c r="V12" i="4"/>
  <c r="V11" i="4"/>
  <c r="V10" i="4"/>
  <c r="V8" i="4"/>
  <c r="V6" i="4"/>
  <c r="V7" i="4" s="1"/>
  <c r="Q12" i="4"/>
  <c r="Q11" i="4"/>
  <c r="Q10" i="4"/>
  <c r="Q8" i="4"/>
  <c r="Q9" i="4" s="1"/>
  <c r="Q6" i="4"/>
  <c r="Q7" i="4" s="1"/>
  <c r="L7" i="4"/>
  <c r="L12" i="4"/>
  <c r="L11" i="4"/>
  <c r="L10" i="4"/>
  <c r="L8" i="4"/>
  <c r="L9" i="4" s="1"/>
  <c r="L6" i="4"/>
  <c r="G9" i="4"/>
  <c r="G12" i="4"/>
  <c r="G11" i="4"/>
  <c r="G10" i="4"/>
  <c r="G8" i="4"/>
  <c r="G6" i="4"/>
  <c r="M37" i="4"/>
  <c r="R37" i="4"/>
  <c r="R47" i="4"/>
  <c r="R48" i="4" s="1"/>
  <c r="P47" i="4"/>
  <c r="P48" i="4" s="1"/>
  <c r="O47" i="4"/>
  <c r="O48" i="4" s="1"/>
  <c r="N47" i="4"/>
  <c r="N48" i="4" s="1"/>
  <c r="M47" i="4"/>
  <c r="M48" i="4" s="1"/>
  <c r="K47" i="4"/>
  <c r="K48" i="4" s="1"/>
  <c r="J47" i="4"/>
  <c r="J48" i="4" s="1"/>
  <c r="I47" i="4"/>
  <c r="I48" i="4" s="1"/>
  <c r="H47" i="4"/>
  <c r="H48" i="4" s="1"/>
  <c r="F47" i="4"/>
  <c r="F48" i="4" s="1"/>
  <c r="E47" i="4"/>
  <c r="E48" i="4" s="1"/>
  <c r="D47" i="4"/>
  <c r="D48" i="4" s="1"/>
  <c r="C47" i="4"/>
  <c r="C48" i="4" s="1"/>
  <c r="U47" i="4"/>
  <c r="U48" i="4" s="1"/>
  <c r="T47" i="4"/>
  <c r="T48" i="4" s="1"/>
  <c r="S47" i="4"/>
  <c r="S48" i="4" s="1"/>
  <c r="R32" i="4"/>
  <c r="R33" i="4" s="1"/>
  <c r="P32" i="4"/>
  <c r="P33" i="4" s="1"/>
  <c r="O32" i="4"/>
  <c r="O33" i="4" s="1"/>
  <c r="N32" i="4"/>
  <c r="N33" i="4" s="1"/>
  <c r="M32" i="4"/>
  <c r="M33" i="4" s="1"/>
  <c r="K32" i="4"/>
  <c r="K33" i="4" s="1"/>
  <c r="J32" i="4"/>
  <c r="J33" i="4" s="1"/>
  <c r="I32" i="4"/>
  <c r="I33" i="4" s="1"/>
  <c r="H32" i="4"/>
  <c r="H33" i="4" s="1"/>
  <c r="F32" i="4"/>
  <c r="F33" i="4" s="1"/>
  <c r="E32" i="4"/>
  <c r="E33" i="4" s="1"/>
  <c r="D32" i="4"/>
  <c r="D33" i="4" s="1"/>
  <c r="C32" i="4"/>
  <c r="C33" i="4" s="1"/>
  <c r="U32" i="4"/>
  <c r="U33" i="4" s="1"/>
  <c r="T32" i="4"/>
  <c r="T33" i="4" s="1"/>
  <c r="S32" i="4"/>
  <c r="S33" i="4" s="1"/>
  <c r="C17" i="4"/>
  <c r="C18" i="4" s="1"/>
  <c r="D17" i="4"/>
  <c r="D18" i="4" s="1"/>
  <c r="E17" i="4"/>
  <c r="E18" i="4" s="1"/>
  <c r="F17" i="4"/>
  <c r="F18" i="4" s="1"/>
  <c r="H17" i="4"/>
  <c r="H18" i="4" s="1"/>
  <c r="I17" i="4"/>
  <c r="I18" i="4" s="1"/>
  <c r="J17" i="4"/>
  <c r="J18" i="4" s="1"/>
  <c r="K17" i="4"/>
  <c r="K18" i="4" s="1"/>
  <c r="M17" i="4"/>
  <c r="M18" i="4" s="1"/>
  <c r="N17" i="4"/>
  <c r="N18" i="4" s="1"/>
  <c r="O17" i="4"/>
  <c r="O18" i="4" s="1"/>
  <c r="P17" i="4"/>
  <c r="P18" i="4" s="1"/>
  <c r="S17" i="4"/>
  <c r="S18" i="4" s="1"/>
  <c r="T17" i="4"/>
  <c r="T18" i="4" s="1"/>
  <c r="U17" i="4"/>
  <c r="U18" i="4" s="1"/>
  <c r="R17" i="4"/>
  <c r="R18" i="4" s="1"/>
  <c r="R70" i="2" l="1"/>
  <c r="R42" i="2"/>
  <c r="V39" i="4"/>
  <c r="V24" i="4"/>
  <c r="V9" i="4"/>
  <c r="L23" i="5"/>
  <c r="M43" i="5"/>
  <c r="L43" i="5"/>
  <c r="M42" i="5"/>
  <c r="M40" i="5"/>
  <c r="L32" i="5"/>
  <c r="L38" i="5"/>
  <c r="M38" i="5"/>
  <c r="M34" i="5"/>
  <c r="M31" i="5"/>
  <c r="M30" i="5"/>
  <c r="L27" i="5"/>
  <c r="M26" i="5"/>
  <c r="M28" i="5" s="1"/>
  <c r="M32" i="5" s="1"/>
  <c r="M23" i="5"/>
  <c r="M22" i="5"/>
  <c r="M21" i="5"/>
  <c r="J19" i="5"/>
  <c r="I19" i="5"/>
  <c r="G19" i="5"/>
  <c r="M4" i="5"/>
  <c r="M6" i="5"/>
  <c r="M7" i="5"/>
  <c r="M8" i="5"/>
  <c r="M9" i="5"/>
  <c r="M10" i="5"/>
  <c r="M11" i="5"/>
  <c r="M12" i="5"/>
  <c r="M13" i="5"/>
  <c r="M14" i="5"/>
  <c r="M15" i="5"/>
  <c r="M16" i="5"/>
  <c r="M17" i="5"/>
  <c r="M3" i="5"/>
  <c r="L4" i="5"/>
  <c r="L5" i="5"/>
  <c r="L6" i="5"/>
  <c r="L7" i="5"/>
  <c r="L8" i="5"/>
  <c r="L9" i="5"/>
  <c r="L10" i="5"/>
  <c r="L11" i="5"/>
  <c r="L12" i="5"/>
  <c r="L13" i="5"/>
  <c r="L14" i="5"/>
  <c r="L15" i="5"/>
  <c r="L16" i="5"/>
  <c r="L17" i="5"/>
  <c r="L18" i="5"/>
  <c r="M18" i="5" s="1"/>
  <c r="L3" i="5"/>
  <c r="K4" i="5"/>
  <c r="K5" i="5"/>
  <c r="K6" i="5"/>
  <c r="K7" i="5"/>
  <c r="K8" i="5"/>
  <c r="K9" i="5"/>
  <c r="K10" i="5"/>
  <c r="K11" i="5"/>
  <c r="K12" i="5"/>
  <c r="K13" i="5"/>
  <c r="K14" i="5"/>
  <c r="K15" i="5"/>
  <c r="K16" i="5"/>
  <c r="K17" i="5"/>
  <c r="K18" i="5"/>
  <c r="K3" i="5"/>
  <c r="L45" i="5" l="1"/>
  <c r="M45" i="5" s="1"/>
  <c r="B13" i="2" s="1"/>
  <c r="L19" i="5"/>
  <c r="M5" i="5"/>
  <c r="M19" i="5" s="1"/>
  <c r="U37" i="4"/>
  <c r="T37" i="4"/>
  <c r="S37" i="4"/>
  <c r="P37" i="4"/>
  <c r="O37" i="4"/>
  <c r="N37" i="4"/>
  <c r="K37" i="4"/>
  <c r="J37" i="4"/>
  <c r="I37" i="4"/>
  <c r="H37" i="4"/>
  <c r="U22" i="4"/>
  <c r="T22" i="4"/>
  <c r="S22" i="4"/>
  <c r="R22" i="4"/>
  <c r="P22" i="4"/>
  <c r="O22" i="4"/>
  <c r="N22" i="4"/>
  <c r="M22" i="4"/>
  <c r="K22" i="4"/>
  <c r="J22" i="4"/>
  <c r="I22" i="4"/>
  <c r="H22" i="4"/>
  <c r="K7" i="4"/>
  <c r="J7" i="4"/>
  <c r="I7" i="4"/>
  <c r="H7" i="4"/>
  <c r="P7" i="4"/>
  <c r="O7" i="4"/>
  <c r="N7" i="4"/>
  <c r="M7" i="4"/>
  <c r="U7" i="4"/>
  <c r="T7" i="4"/>
  <c r="R7" i="4"/>
  <c r="S7" i="4"/>
  <c r="D72" i="2"/>
  <c r="E72" i="2"/>
  <c r="F72" i="2"/>
  <c r="G72" i="2"/>
  <c r="H72" i="2"/>
  <c r="I72" i="2"/>
  <c r="J72" i="2"/>
  <c r="K72" i="2"/>
  <c r="L72" i="2"/>
  <c r="M72" i="2"/>
  <c r="N72" i="2"/>
  <c r="O72" i="2"/>
  <c r="P72" i="2"/>
  <c r="Q72" i="2"/>
  <c r="Q52" i="2"/>
  <c r="Q66" i="2"/>
  <c r="Q60" i="2"/>
  <c r="Q55" i="2"/>
  <c r="Q41" i="2"/>
  <c r="Q36" i="2"/>
  <c r="Q42" i="2" s="1"/>
  <c r="Q30" i="2"/>
  <c r="Y72" i="2"/>
  <c r="Y70" i="2"/>
  <c r="Y68" i="2"/>
  <c r="Y63" i="2"/>
  <c r="Y64" i="2"/>
  <c r="Y65" i="2"/>
  <c r="Y66" i="2"/>
  <c r="Y62" i="2"/>
  <c r="Y58" i="2"/>
  <c r="Y59" i="2"/>
  <c r="Y60" i="2"/>
  <c r="Y57" i="2"/>
  <c r="Y47" i="2"/>
  <c r="Y48" i="2"/>
  <c r="Y49" i="2"/>
  <c r="Y50" i="2"/>
  <c r="Y51" i="2"/>
  <c r="Y52" i="2"/>
  <c r="Y53" i="2"/>
  <c r="Y54" i="2"/>
  <c r="Y55" i="2"/>
  <c r="Y46" i="2"/>
  <c r="Z70" i="2"/>
  <c r="Z72" i="2"/>
  <c r="Z68" i="2"/>
  <c r="Z63" i="2"/>
  <c r="Z64" i="2"/>
  <c r="Z65" i="2"/>
  <c r="Z66" i="2"/>
  <c r="Z62" i="2"/>
  <c r="Z58" i="2"/>
  <c r="Z59" i="2"/>
  <c r="Z60" i="2"/>
  <c r="Z57" i="2"/>
  <c r="Z47" i="2"/>
  <c r="Z48" i="2"/>
  <c r="Z49" i="2"/>
  <c r="Z50" i="2"/>
  <c r="Z51" i="2"/>
  <c r="Z52" i="2"/>
  <c r="Z53" i="2"/>
  <c r="Z54" i="2"/>
  <c r="Z55" i="2"/>
  <c r="Z46" i="2"/>
  <c r="AA72" i="2"/>
  <c r="AA70" i="2"/>
  <c r="AA68" i="2"/>
  <c r="AA66" i="2"/>
  <c r="AA63" i="2"/>
  <c r="AA64" i="2"/>
  <c r="AA65" i="2"/>
  <c r="AA62" i="2"/>
  <c r="AA60" i="2"/>
  <c r="AA58" i="2"/>
  <c r="AA59" i="2"/>
  <c r="AA57" i="2"/>
  <c r="AA47" i="2"/>
  <c r="AA48" i="2"/>
  <c r="AA49" i="2"/>
  <c r="AA50" i="2"/>
  <c r="AA51" i="2"/>
  <c r="AA52" i="2"/>
  <c r="AA53" i="2"/>
  <c r="AA54" i="2"/>
  <c r="AA55" i="2"/>
  <c r="AA46" i="2"/>
  <c r="Y45" i="2"/>
  <c r="Z45" i="2"/>
  <c r="AA45" i="2"/>
  <c r="AB19" i="2"/>
  <c r="AC19" i="2"/>
  <c r="AD19" i="2"/>
  <c r="AE19" i="2"/>
  <c r="AF19" i="2"/>
  <c r="AG19" i="2"/>
  <c r="AH19" i="2"/>
  <c r="AI19" i="2"/>
  <c r="AJ19" i="2"/>
  <c r="AK19" i="2"/>
  <c r="AL19" i="2"/>
  <c r="Y19" i="2"/>
  <c r="Z19" i="2"/>
  <c r="AA19" i="2"/>
  <c r="AB18" i="2"/>
  <c r="AC18" i="2"/>
  <c r="AD18" i="2"/>
  <c r="AE18" i="2"/>
  <c r="AF18" i="2"/>
  <c r="AG18" i="2"/>
  <c r="AH18" i="2"/>
  <c r="AI18" i="2"/>
  <c r="AJ18" i="2"/>
  <c r="AK18" i="2"/>
  <c r="AL18" i="2"/>
  <c r="Z18" i="2"/>
  <c r="AA18" i="2"/>
  <c r="Y5" i="2"/>
  <c r="Y6" i="2"/>
  <c r="Y7" i="2"/>
  <c r="Y8" i="2"/>
  <c r="Y9" i="2"/>
  <c r="Y10" i="2"/>
  <c r="Y11" i="2"/>
  <c r="Y12" i="2"/>
  <c r="Y13" i="2"/>
  <c r="Y14" i="2"/>
  <c r="Y4" i="2"/>
  <c r="Y15" i="2"/>
  <c r="Z5" i="2"/>
  <c r="Z6" i="2"/>
  <c r="Z7" i="2"/>
  <c r="Z8" i="2"/>
  <c r="Z9" i="2"/>
  <c r="Z10" i="2"/>
  <c r="Z11" i="2"/>
  <c r="Z12" i="2"/>
  <c r="Z13" i="2"/>
  <c r="Z14" i="2"/>
  <c r="Z4" i="2"/>
  <c r="Z15" i="2"/>
  <c r="AA14" i="2"/>
  <c r="AA15" i="2"/>
  <c r="AA13" i="2"/>
  <c r="AA5" i="2"/>
  <c r="AA6" i="2"/>
  <c r="AA7" i="2"/>
  <c r="AA8" i="2"/>
  <c r="AA9" i="2"/>
  <c r="AA10" i="2"/>
  <c r="AA11" i="2"/>
  <c r="AA12" i="2"/>
  <c r="AA4" i="2"/>
  <c r="P52" i="2"/>
  <c r="P29" i="2"/>
  <c r="P45" i="2"/>
  <c r="P66" i="2"/>
  <c r="P60" i="2"/>
  <c r="P55" i="2"/>
  <c r="P70" i="2" s="1"/>
  <c r="P41" i="2"/>
  <c r="P34" i="2"/>
  <c r="P36" i="2" s="1"/>
  <c r="P30" i="2"/>
  <c r="D52" i="2"/>
  <c r="D6" i="2"/>
  <c r="D9" i="2" s="1"/>
  <c r="D12" i="2" s="1"/>
  <c r="D14" i="2" s="1"/>
  <c r="D15" i="2" s="1"/>
  <c r="E52" i="2"/>
  <c r="E6" i="2"/>
  <c r="E9" i="2"/>
  <c r="E12" i="2" s="1"/>
  <c r="E14" i="2" s="1"/>
  <c r="E15" i="2" s="1"/>
  <c r="F52" i="2"/>
  <c r="F6" i="2"/>
  <c r="F9" i="2" s="1"/>
  <c r="F12" i="2" s="1"/>
  <c r="F14" i="2" s="1"/>
  <c r="F15" i="2" s="1"/>
  <c r="G52" i="2"/>
  <c r="G14" i="2"/>
  <c r="G15" i="2"/>
  <c r="G6" i="2"/>
  <c r="G9" i="2" s="1"/>
  <c r="G12" i="2" s="1"/>
  <c r="M49" i="5" l="1"/>
  <c r="Q70" i="2"/>
  <c r="P42" i="2"/>
  <c r="I52" i="2" l="1"/>
  <c r="M52" i="2"/>
  <c r="I29" i="2"/>
  <c r="I6" i="2"/>
  <c r="I9" i="2" s="1"/>
  <c r="I12" i="2" s="1"/>
  <c r="I14" i="2" s="1"/>
  <c r="M6" i="2"/>
  <c r="M9" i="2" s="1"/>
  <c r="M12" i="2" s="1"/>
  <c r="M14" i="2" s="1"/>
  <c r="P6" i="2"/>
  <c r="P9" i="2" s="1"/>
  <c r="P12" i="2" s="1"/>
  <c r="P14" i="2" s="1"/>
  <c r="P15" i="2" s="1"/>
  <c r="Q6" i="2"/>
  <c r="Q9" i="2" s="1"/>
  <c r="Q12" i="2" s="1"/>
  <c r="Q14" i="2" s="1"/>
  <c r="R19" i="2"/>
  <c r="S15" i="2"/>
  <c r="S18" i="2"/>
  <c r="R18" i="2"/>
  <c r="Q18" i="2"/>
  <c r="P18" i="2"/>
  <c r="J52" i="2"/>
  <c r="N52" i="2"/>
  <c r="J6" i="2"/>
  <c r="J19" i="2" s="1"/>
  <c r="N6" i="2"/>
  <c r="N9" i="2"/>
  <c r="N12" i="2" s="1"/>
  <c r="N14" i="2" s="1"/>
  <c r="H52" i="2"/>
  <c r="L52" i="2"/>
  <c r="H29" i="2"/>
  <c r="H6" i="2"/>
  <c r="H19" i="2"/>
  <c r="L6" i="2"/>
  <c r="L9" i="2" s="1"/>
  <c r="L12" i="2" s="1"/>
  <c r="L14" i="2" s="1"/>
  <c r="D66" i="2"/>
  <c r="E66" i="2"/>
  <c r="F66" i="2"/>
  <c r="G66" i="2"/>
  <c r="H66" i="2"/>
  <c r="I66" i="2"/>
  <c r="J66" i="2"/>
  <c r="K66" i="2"/>
  <c r="K70" i="2" s="1"/>
  <c r="L66" i="2"/>
  <c r="M66" i="2"/>
  <c r="N66" i="2"/>
  <c r="D60" i="2"/>
  <c r="E60" i="2"/>
  <c r="F60" i="2"/>
  <c r="G60" i="2"/>
  <c r="H60" i="2"/>
  <c r="I60" i="2"/>
  <c r="J60" i="2"/>
  <c r="K60" i="2"/>
  <c r="L60" i="2"/>
  <c r="M60" i="2"/>
  <c r="N60" i="2"/>
  <c r="D55" i="2"/>
  <c r="E55" i="2"/>
  <c r="F55" i="2"/>
  <c r="G55" i="2"/>
  <c r="H55" i="2"/>
  <c r="I55" i="2"/>
  <c r="J55" i="2"/>
  <c r="J70" i="2" s="1"/>
  <c r="K55" i="2"/>
  <c r="L55" i="2"/>
  <c r="M55" i="2"/>
  <c r="N55" i="2"/>
  <c r="K52" i="2"/>
  <c r="O70" i="2"/>
  <c r="O66" i="2"/>
  <c r="O60" i="2"/>
  <c r="O55" i="2"/>
  <c r="O52" i="2"/>
  <c r="D45" i="2"/>
  <c r="E45" i="2"/>
  <c r="F45" i="2"/>
  <c r="G45" i="2"/>
  <c r="K45" i="2"/>
  <c r="O45" i="2"/>
  <c r="D30" i="2"/>
  <c r="E30" i="2"/>
  <c r="F30" i="2"/>
  <c r="G30" i="2"/>
  <c r="H30" i="2"/>
  <c r="I30" i="2"/>
  <c r="J30" i="2"/>
  <c r="K30" i="2"/>
  <c r="L30" i="2"/>
  <c r="M30" i="2"/>
  <c r="N30" i="2"/>
  <c r="D41" i="2"/>
  <c r="E41" i="2"/>
  <c r="F41" i="2"/>
  <c r="G41" i="2"/>
  <c r="H41" i="2"/>
  <c r="I41" i="2"/>
  <c r="J41" i="2"/>
  <c r="K41" i="2"/>
  <c r="L41" i="2"/>
  <c r="M41" i="2"/>
  <c r="N41" i="2"/>
  <c r="L36" i="2"/>
  <c r="D34" i="2"/>
  <c r="D36" i="2" s="1"/>
  <c r="E34" i="2"/>
  <c r="E36" i="2" s="1"/>
  <c r="F34" i="2"/>
  <c r="F36" i="2" s="1"/>
  <c r="G34" i="2"/>
  <c r="G36" i="2" s="1"/>
  <c r="H34" i="2"/>
  <c r="H36" i="2" s="1"/>
  <c r="I34" i="2"/>
  <c r="I36" i="2" s="1"/>
  <c r="J34" i="2"/>
  <c r="J36" i="2" s="1"/>
  <c r="K34" i="2"/>
  <c r="K36" i="2" s="1"/>
  <c r="L34" i="2"/>
  <c r="M34" i="2"/>
  <c r="M36" i="2" s="1"/>
  <c r="N34" i="2"/>
  <c r="N36" i="2" s="1"/>
  <c r="O42" i="2"/>
  <c r="O41" i="2"/>
  <c r="O36" i="2"/>
  <c r="O34" i="2"/>
  <c r="O30" i="2"/>
  <c r="H18" i="2"/>
  <c r="I18" i="2"/>
  <c r="J18" i="2"/>
  <c r="K18" i="2"/>
  <c r="L18" i="2"/>
  <c r="M18" i="2"/>
  <c r="N18" i="2"/>
  <c r="D19" i="2"/>
  <c r="E19" i="2"/>
  <c r="F19" i="2"/>
  <c r="G19" i="2"/>
  <c r="I19" i="2"/>
  <c r="K19" i="2"/>
  <c r="L19" i="2"/>
  <c r="M19" i="2"/>
  <c r="O19" i="2"/>
  <c r="O18" i="2"/>
  <c r="K6" i="2"/>
  <c r="K9" i="2" s="1"/>
  <c r="K12" i="2" s="1"/>
  <c r="K14" i="2" s="1"/>
  <c r="K15" i="2" s="1"/>
  <c r="O15" i="2"/>
  <c r="O14" i="2"/>
  <c r="O12" i="2"/>
  <c r="O9" i="2"/>
  <c r="O6" i="2"/>
  <c r="Q15" i="2" l="1"/>
  <c r="Q45" i="2"/>
  <c r="P19" i="2"/>
  <c r="D70" i="2"/>
  <c r="D42" i="2"/>
  <c r="E42" i="2"/>
  <c r="F70" i="2"/>
  <c r="F42" i="2"/>
  <c r="G42" i="2"/>
  <c r="I70" i="2"/>
  <c r="G70" i="2"/>
  <c r="E70" i="2"/>
  <c r="M70" i="2"/>
  <c r="I42" i="2"/>
  <c r="M42" i="2"/>
  <c r="I45" i="2"/>
  <c r="I15" i="2"/>
  <c r="M15" i="2"/>
  <c r="M45" i="2"/>
  <c r="S19" i="2"/>
  <c r="R15" i="2"/>
  <c r="Q19" i="2"/>
  <c r="N70" i="2"/>
  <c r="J42" i="2"/>
  <c r="N42" i="2"/>
  <c r="J9" i="2"/>
  <c r="J12" i="2" s="1"/>
  <c r="J14" i="2" s="1"/>
  <c r="J15" i="2" s="1"/>
  <c r="N15" i="2"/>
  <c r="N45" i="2"/>
  <c r="N19" i="2"/>
  <c r="H70" i="2"/>
  <c r="L70" i="2"/>
  <c r="H42" i="2"/>
  <c r="L42" i="2"/>
  <c r="H9" i="2"/>
  <c r="H12" i="2" s="1"/>
  <c r="H14" i="2" s="1"/>
  <c r="L15" i="2"/>
  <c r="L45" i="2"/>
  <c r="K42" i="2"/>
  <c r="B6" i="2"/>
  <c r="B9" i="2" s="1"/>
  <c r="J45" i="2" l="1"/>
  <c r="H15" i="2"/>
  <c r="H45" i="2"/>
</calcChain>
</file>

<file path=xl/sharedStrings.xml><?xml version="1.0" encoding="utf-8"?>
<sst xmlns="http://schemas.openxmlformats.org/spreadsheetml/2006/main" count="294" uniqueCount="195">
  <si>
    <t>Kapitalstruktur</t>
  </si>
  <si>
    <t>Price</t>
  </si>
  <si>
    <t>S/O</t>
  </si>
  <si>
    <t>Q122</t>
  </si>
  <si>
    <t>Q222</t>
  </si>
  <si>
    <t>Q322</t>
  </si>
  <si>
    <t>Q422</t>
  </si>
  <si>
    <t>Q123</t>
  </si>
  <si>
    <t>Q223</t>
  </si>
  <si>
    <t>Q323</t>
  </si>
  <si>
    <t>Q423</t>
  </si>
  <si>
    <t>Q124</t>
  </si>
  <si>
    <t>Q224</t>
  </si>
  <si>
    <t>Q324</t>
  </si>
  <si>
    <t>Q424</t>
  </si>
  <si>
    <t>FY 2022</t>
  </si>
  <si>
    <t>FY 2023</t>
  </si>
  <si>
    <t>FY 2024</t>
  </si>
  <si>
    <t>FY 2025</t>
  </si>
  <si>
    <t>FY 2026</t>
  </si>
  <si>
    <t>FY 2027</t>
  </si>
  <si>
    <t>FY 2028</t>
  </si>
  <si>
    <t>FY 2029</t>
  </si>
  <si>
    <t>FY 2030</t>
  </si>
  <si>
    <t>FY 2031</t>
  </si>
  <si>
    <t>FY 2032</t>
  </si>
  <si>
    <t>FY 2033</t>
  </si>
  <si>
    <t>FY 2034</t>
  </si>
  <si>
    <t>FY 2035</t>
  </si>
  <si>
    <t>Revenue y/y</t>
  </si>
  <si>
    <t>Cash flow NOKm</t>
  </si>
  <si>
    <t>CFFO</t>
  </si>
  <si>
    <t>CFFF</t>
  </si>
  <si>
    <t>CFFI</t>
  </si>
  <si>
    <t>EV/EBIT</t>
  </si>
  <si>
    <t>P/E</t>
  </si>
  <si>
    <t>Balanse NOKm</t>
  </si>
  <si>
    <t>NOK million</t>
  </si>
  <si>
    <t>MC NOKm</t>
  </si>
  <si>
    <t>Cash NOKm</t>
  </si>
  <si>
    <t>Debt NOKm</t>
  </si>
  <si>
    <t>EV NOKm</t>
  </si>
  <si>
    <t>Q125</t>
  </si>
  <si>
    <t>Q225</t>
  </si>
  <si>
    <t>Q325</t>
  </si>
  <si>
    <t>Q425</t>
  </si>
  <si>
    <t>Revenues</t>
  </si>
  <si>
    <t>Operating costs</t>
  </si>
  <si>
    <t>EBITDA</t>
  </si>
  <si>
    <t>Depreciation</t>
  </si>
  <si>
    <t>Impairment losses</t>
  </si>
  <si>
    <t>Operating profit (EBIT)</t>
  </si>
  <si>
    <t>Share from associated</t>
  </si>
  <si>
    <t>Net financial</t>
  </si>
  <si>
    <t>PTP</t>
  </si>
  <si>
    <t>Tax</t>
  </si>
  <si>
    <t>Net income</t>
  </si>
  <si>
    <t>Share</t>
  </si>
  <si>
    <t xml:space="preserve">EPS </t>
  </si>
  <si>
    <t>EBITDA margin</t>
  </si>
  <si>
    <t>Intangiable fixed assets</t>
  </si>
  <si>
    <t>Deferred tax assets</t>
  </si>
  <si>
    <t>PP&amp;E</t>
  </si>
  <si>
    <t>Investments in associates</t>
  </si>
  <si>
    <t>Other financial fixed assets</t>
  </si>
  <si>
    <t>Inventories and consumable spareparts</t>
  </si>
  <si>
    <t>trade and other receivables</t>
  </si>
  <si>
    <t>Cash</t>
  </si>
  <si>
    <t>Assets</t>
  </si>
  <si>
    <t>Share capital</t>
  </si>
  <si>
    <t>Share premium reserves</t>
  </si>
  <si>
    <t>Retained earnings</t>
  </si>
  <si>
    <t>Equitynowned by the shareholders</t>
  </si>
  <si>
    <t>Non-controlling interest</t>
  </si>
  <si>
    <t>Total equity</t>
  </si>
  <si>
    <t>Non-current IB debt</t>
  </si>
  <si>
    <t>Other non-current liabilties</t>
  </si>
  <si>
    <t>Current IB liabilties</t>
  </si>
  <si>
    <t>Other current liabilteis</t>
  </si>
  <si>
    <t>Total Debt</t>
  </si>
  <si>
    <t>Total E/D</t>
  </si>
  <si>
    <t>Model NI</t>
  </si>
  <si>
    <t>Reported NI</t>
  </si>
  <si>
    <t>D/I</t>
  </si>
  <si>
    <t>Net of investment income/expense</t>
  </si>
  <si>
    <t>Share of result from ass</t>
  </si>
  <si>
    <t>Net gain/loss on sale</t>
  </si>
  <si>
    <t>Tax expense</t>
  </si>
  <si>
    <t>WC</t>
  </si>
  <si>
    <t>Tax paid</t>
  </si>
  <si>
    <t>Interest paid</t>
  </si>
  <si>
    <t>Proceeds from sale</t>
  </si>
  <si>
    <t>Interest and dividends received</t>
  </si>
  <si>
    <t>Capex</t>
  </si>
  <si>
    <t>Net proceeds from issue of shares</t>
  </si>
  <si>
    <t>Increase in borrowings</t>
  </si>
  <si>
    <t>Repayment of borrowings</t>
  </si>
  <si>
    <t>Dividends paid</t>
  </si>
  <si>
    <t>FX</t>
  </si>
  <si>
    <t>CIC</t>
  </si>
  <si>
    <t>FCF</t>
  </si>
  <si>
    <t>Renewables energy</t>
  </si>
  <si>
    <t>Bonheur er fordelt inn i 4 ulike segmenter</t>
  </si>
  <si>
    <t>EBIT</t>
  </si>
  <si>
    <t>EBT</t>
  </si>
  <si>
    <t>Growth</t>
  </si>
  <si>
    <t>Wind Service</t>
  </si>
  <si>
    <t>Cruise</t>
  </si>
  <si>
    <t xml:space="preserve">Fred Olsen Renewables AS (FOR) eier 12 windfarms og har en portefølje for utvikling av prosjekter onshore i UK, Norge, Sverige og Italia. </t>
  </si>
  <si>
    <t>Fred Olsen Seawind (FOS) utvikler offshore vind porsjekt i ulike land og har en JV i Irland med EDF, i Skotland med Vattenfall og i Norge med Hafslund</t>
  </si>
  <si>
    <t>FOO eier 100% av Fred Olsen Windcarrier (FOWIC)</t>
  </si>
  <si>
    <t>FOO eier 92% av Global Wind Service (GWS)</t>
  </si>
  <si>
    <t>FOWIC tilby både Transport &amp; Installation (T&amp;I) og Operation &amp; maintenance services (O&amp;M). De eier 100% i Brave Tern og Bold Tern og 51% av Blue Tern og 100% av Blue wind</t>
  </si>
  <si>
    <r>
      <t xml:space="preserve">Renewable energy: </t>
    </r>
    <r>
      <rPr>
        <sz val="14"/>
        <color theme="1"/>
        <rFont val="Calibri"/>
        <family val="2"/>
        <scheme val="minor"/>
      </rPr>
      <t>Inneholder Fred Olsen Renewables og Fred Olsen Seawind</t>
    </r>
    <r>
      <rPr>
        <b/>
        <sz val="14"/>
        <color theme="1"/>
        <rFont val="Calibri"/>
        <family val="2"/>
        <scheme val="minor"/>
      </rPr>
      <t xml:space="preserve"> (Onshore)</t>
    </r>
  </si>
  <si>
    <r>
      <rPr>
        <b/>
        <sz val="14"/>
        <color theme="1"/>
        <rFont val="Calibri"/>
        <family val="2"/>
        <scheme val="minor"/>
      </rPr>
      <t xml:space="preserve">Wind service: </t>
    </r>
    <r>
      <rPr>
        <sz val="14"/>
        <color theme="1"/>
        <rFont val="Calibri"/>
        <family val="2"/>
        <scheme val="minor"/>
      </rPr>
      <t xml:space="preserve">Inneholder Fred Olsen Ocean subsidiaries (FOO) </t>
    </r>
    <r>
      <rPr>
        <b/>
        <sz val="14"/>
        <color theme="1"/>
        <rFont val="Calibri"/>
        <family val="2"/>
        <scheme val="minor"/>
      </rPr>
      <t>(Offshore)</t>
    </r>
  </si>
  <si>
    <r>
      <t xml:space="preserve">Cruise: </t>
    </r>
    <r>
      <rPr>
        <sz val="14"/>
        <color theme="1"/>
        <rFont val="Calibri"/>
        <family val="2"/>
        <scheme val="minor"/>
      </rPr>
      <t>Inneholder First Olsen Holding AS med subsidiaries</t>
    </r>
  </si>
  <si>
    <t>Fred Olsen Cruise lines (FOCL) eier 3 cruiseskip som operer i UK Skipene heter Balmoral, Bolette og Borealis</t>
  </si>
  <si>
    <r>
      <rPr>
        <b/>
        <sz val="14"/>
        <color theme="1"/>
        <rFont val="Calibri"/>
        <family val="2"/>
        <scheme val="minor"/>
      </rPr>
      <t xml:space="preserve">Other investments: </t>
    </r>
    <r>
      <rPr>
        <sz val="14"/>
        <color theme="1"/>
        <rFont val="Calibri"/>
        <family val="2"/>
        <scheme val="minor"/>
      </rPr>
      <t>Inneholder 55,13% eierskap i NHST media Group, Fred Olsen 1848, Fred Olsen investments, Fred Olsen Travel</t>
    </r>
  </si>
  <si>
    <t>NHTS eier DN</t>
  </si>
  <si>
    <t>Asset/Division</t>
  </si>
  <si>
    <t>Type</t>
  </si>
  <si>
    <t>Country</t>
  </si>
  <si>
    <t>Status</t>
  </si>
  <si>
    <t>Interest (%)</t>
  </si>
  <si>
    <t>Capacity net (MW)</t>
  </si>
  <si>
    <t>Weight</t>
  </si>
  <si>
    <t>WACC</t>
  </si>
  <si>
    <t>NPV (NOKm)</t>
  </si>
  <si>
    <t>NPV/MW (NOKm)</t>
  </si>
  <si>
    <t>NPV weighted (NOKm)</t>
  </si>
  <si>
    <t>NOK/Share</t>
  </si>
  <si>
    <t>Crystal Rig I</t>
  </si>
  <si>
    <t>Crystal Rig II</t>
  </si>
  <si>
    <t>Crystal Rig III</t>
  </si>
  <si>
    <t>Rothes I</t>
  </si>
  <si>
    <t>Rothes II</t>
  </si>
  <si>
    <t>Paul's Hill</t>
  </si>
  <si>
    <t>Mid Hill</t>
  </si>
  <si>
    <t>Brockloch Rig</t>
  </si>
  <si>
    <t>Brockloch Rig I</t>
  </si>
  <si>
    <t>Lista</t>
  </si>
  <si>
    <t>Fäbodliden</t>
  </si>
  <si>
    <t>Högaliden</t>
  </si>
  <si>
    <t>Fäbodliden II</t>
  </si>
  <si>
    <t>Crystal Rig IV</t>
  </si>
  <si>
    <t>Windy standard III</t>
  </si>
  <si>
    <t>Codling</t>
  </si>
  <si>
    <t>Wind</t>
  </si>
  <si>
    <t>Offshore</t>
  </si>
  <si>
    <t>UK</t>
  </si>
  <si>
    <t>Norway</t>
  </si>
  <si>
    <t>Sweden</t>
  </si>
  <si>
    <t>Ireland</t>
  </si>
  <si>
    <t>Construction</t>
  </si>
  <si>
    <t>Awarded</t>
  </si>
  <si>
    <t>In operation</t>
  </si>
  <si>
    <t>EV Renewable Energy</t>
  </si>
  <si>
    <t>NPV unallocated costs 2025 and onwards</t>
  </si>
  <si>
    <t>Ownership-adjusted external net IB cash (debt) end-24</t>
  </si>
  <si>
    <t>Equity value - Renewable Energy</t>
  </si>
  <si>
    <t xml:space="preserve">Valuation </t>
  </si>
  <si>
    <t>EV/EBITDA</t>
  </si>
  <si>
    <t>Fred Olsen Windcarrier (FOWIC)</t>
  </si>
  <si>
    <t>Global Wind Service (GWS)</t>
  </si>
  <si>
    <t>EV Wind Service</t>
  </si>
  <si>
    <t>26-27e EV/EBITDA</t>
  </si>
  <si>
    <t>25e EV/EBITDA</t>
  </si>
  <si>
    <t>8,0x</t>
  </si>
  <si>
    <t>Equity value Wind Service</t>
  </si>
  <si>
    <t>EV - Cruise</t>
  </si>
  <si>
    <t>5.0x</t>
  </si>
  <si>
    <t>External net cash (debt) end-24</t>
  </si>
  <si>
    <t>NPV of remaing capex 25 and onwards</t>
  </si>
  <si>
    <t>Equity value Cruise</t>
  </si>
  <si>
    <t>EV - Other investments (Inc NHST)</t>
  </si>
  <si>
    <t>Equity value - Other investments</t>
  </si>
  <si>
    <t>Book value of equity</t>
  </si>
  <si>
    <t>NAV</t>
  </si>
  <si>
    <t>Target price</t>
  </si>
  <si>
    <t>Discount</t>
  </si>
  <si>
    <t>Equity</t>
  </si>
  <si>
    <t>Gross IB debt</t>
  </si>
  <si>
    <t>Net IB debt</t>
  </si>
  <si>
    <t>Capital employed</t>
  </si>
  <si>
    <t>Hereof internal debt to Bonheur</t>
  </si>
  <si>
    <t>Occupany</t>
  </si>
  <si>
    <t>P/NAV</t>
  </si>
  <si>
    <t>Press releases</t>
  </si>
  <si>
    <t>19.12.25: MEAG investerer 150 mill euro inn i Fred Olsen Wind carrier. Transaksjonen innebærer både salg av eksisterende akjser og tilførsel av ny EK og verdsetter FOWIC til 600 mill EURO. Etter transaksjonen er fullføfrt Q327 vil MEAG eie 24%</t>
  </si>
  <si>
    <t>Investering fra MEAG 19.12.25.</t>
  </si>
  <si>
    <t>FOWIC betaler ekstraodrinært utbytte til BONH på 54 MEUR / BONH gir kortsiktgi akjsonærlån tilbake på 29 MEUR</t>
  </si>
  <si>
    <t xml:space="preserve">MEAG kjøper eksisterende aksjer for MEUR 70 </t>
  </si>
  <si>
    <t xml:space="preserve">MEAG skyter inn ny EK på MEUR 30 </t>
  </si>
  <si>
    <t>Q327, MEAG skyer inn yttligere MEUR 50</t>
  </si>
  <si>
    <t>4,85x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</si>
</sst>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
  </numFmts>
  <fonts count="8" x14ac:knownFonts="1">
    <font>
      <sz val="12"/>
      <color theme="1"/>
      <name val="Calibri"/>
      <family val="2"/>
      <scheme val="minor"/>
    </font>
    <font>
      <b/>
      <sz val="14"/>
      <color theme="1"/>
      <name val="Calibri"/>
      <family val="2"/>
      <scheme val="minor"/>
    </font>
    <font>
      <sz val="14"/>
      <color theme="1"/>
      <name val="Calibri"/>
      <family val="2"/>
      <scheme val="minor"/>
    </font>
    <font>
      <b/>
      <i/>
      <sz val="14"/>
      <color theme="1"/>
      <name val="Calibri"/>
      <family val="2"/>
      <scheme val="minor"/>
    </font>
    <font>
      <i/>
      <sz val="14"/>
      <color theme="1"/>
      <name val="Calibri"/>
      <family val="2"/>
      <scheme val="minor"/>
    </font>
    <font>
      <b/>
      <sz val="48"/>
      <color theme="1"/>
      <name val="Calibri"/>
      <family val="2"/>
      <scheme val="minor"/>
    </font>
    <font>
      <sz val="48"/>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s>
  <cellStyleXfs count="1">
    <xf numFmtId="0" fontId="0" fillId="0" borderId="0"/>
  </cellStyleXfs>
  <cellXfs count="65">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xf numFmtId="164" fontId="2" fillId="0" borderId="1" xfId="0" applyNumberFormat="1" applyFont="1" applyBorder="1"/>
    <xf numFmtId="164" fontId="3" fillId="0" borderId="1" xfId="0" applyNumberFormat="1" applyFont="1" applyBorder="1"/>
    <xf numFmtId="0" fontId="2" fillId="0" borderId="0" xfId="0" applyFont="1" applyAlignment="1">
      <alignment horizontal="right"/>
    </xf>
    <xf numFmtId="165" fontId="2" fillId="0" borderId="1" xfId="0" applyNumberFormat="1" applyFont="1" applyBorder="1"/>
    <xf numFmtId="165" fontId="2" fillId="0" borderId="0" xfId="0" applyNumberFormat="1" applyFont="1"/>
    <xf numFmtId="0" fontId="4" fillId="0" borderId="0" xfId="0" applyFont="1"/>
    <xf numFmtId="3" fontId="1" fillId="0" borderId="0" xfId="0" applyNumberFormat="1" applyFont="1"/>
    <xf numFmtId="3" fontId="1" fillId="0" borderId="1" xfId="0" applyNumberFormat="1" applyFont="1" applyBorder="1"/>
    <xf numFmtId="3" fontId="2" fillId="0" borderId="0" xfId="0" applyNumberFormat="1" applyFont="1"/>
    <xf numFmtId="3" fontId="2" fillId="0" borderId="1" xfId="0" applyNumberFormat="1" applyFont="1" applyBorder="1"/>
    <xf numFmtId="3" fontId="4" fillId="0" borderId="0" xfId="0" applyNumberFormat="1" applyFont="1"/>
    <xf numFmtId="164" fontId="2" fillId="0" borderId="0" xfId="0" applyNumberFormat="1" applyFont="1"/>
    <xf numFmtId="10" fontId="2" fillId="0" borderId="1" xfId="0" applyNumberFormat="1" applyFont="1" applyBorder="1"/>
    <xf numFmtId="10" fontId="1" fillId="0" borderId="0" xfId="0" applyNumberFormat="1" applyFont="1"/>
    <xf numFmtId="10" fontId="1" fillId="0" borderId="1" xfId="0" applyNumberFormat="1" applyFont="1" applyBorder="1"/>
    <xf numFmtId="10" fontId="2" fillId="0" borderId="0" xfId="0" applyNumberFormat="1" applyFont="1"/>
    <xf numFmtId="1" fontId="2" fillId="0" borderId="0" xfId="0" applyNumberFormat="1" applyFont="1"/>
    <xf numFmtId="0" fontId="5" fillId="0" borderId="2" xfId="0" applyFont="1" applyBorder="1"/>
    <xf numFmtId="0" fontId="6" fillId="0" borderId="2" xfId="0" applyFont="1" applyBorder="1"/>
    <xf numFmtId="10" fontId="4" fillId="0" borderId="0" xfId="0" applyNumberFormat="1" applyFont="1"/>
    <xf numFmtId="9" fontId="2" fillId="0" borderId="0" xfId="0" applyNumberFormat="1" applyFont="1"/>
    <xf numFmtId="0" fontId="2" fillId="0" borderId="3" xfId="0" applyFont="1" applyBorder="1"/>
    <xf numFmtId="0" fontId="1" fillId="0" borderId="3" xfId="0" applyFont="1" applyBorder="1"/>
    <xf numFmtId="9" fontId="2" fillId="2" borderId="0" xfId="0" applyNumberFormat="1" applyFont="1" applyFill="1"/>
    <xf numFmtId="0" fontId="2" fillId="0" borderId="4" xfId="0" applyFont="1" applyBorder="1"/>
    <xf numFmtId="9" fontId="2" fillId="0" borderId="4" xfId="0" applyNumberFormat="1" applyFont="1" applyBorder="1"/>
    <xf numFmtId="0" fontId="2" fillId="0" borderId="4" xfId="0" applyFont="1" applyBorder="1" applyAlignment="1">
      <alignment horizontal="right"/>
    </xf>
    <xf numFmtId="9" fontId="2" fillId="2" borderId="4" xfId="0" applyNumberFormat="1" applyFont="1" applyFill="1" applyBorder="1"/>
    <xf numFmtId="10" fontId="2" fillId="0" borderId="4" xfId="0" applyNumberFormat="1" applyFont="1" applyBorder="1"/>
    <xf numFmtId="165" fontId="2" fillId="0" borderId="4" xfId="0" applyNumberFormat="1" applyFont="1" applyBorder="1"/>
    <xf numFmtId="1" fontId="2" fillId="0" borderId="4" xfId="0" applyNumberFormat="1" applyFont="1" applyBorder="1"/>
    <xf numFmtId="3" fontId="2" fillId="0" borderId="4" xfId="0" applyNumberFormat="1" applyFont="1" applyBorder="1"/>
    <xf numFmtId="3" fontId="1" fillId="0" borderId="0" xfId="0" applyNumberFormat="1" applyFont="1" applyAlignment="1">
      <alignment horizontal="right"/>
    </xf>
    <xf numFmtId="166" fontId="1" fillId="0" borderId="0" xfId="0" applyNumberFormat="1" applyFont="1"/>
    <xf numFmtId="1" fontId="1" fillId="0" borderId="0" xfId="0" applyNumberFormat="1" applyFont="1"/>
    <xf numFmtId="0" fontId="1" fillId="0" borderId="5" xfId="0" applyFont="1" applyBorder="1"/>
    <xf numFmtId="1" fontId="1" fillId="0" borderId="5" xfId="0" applyNumberFormat="1" applyFont="1" applyBorder="1"/>
    <xf numFmtId="0" fontId="2" fillId="2" borderId="0" xfId="0" applyFont="1" applyFill="1" applyAlignment="1">
      <alignment horizontal="right"/>
    </xf>
    <xf numFmtId="0" fontId="2" fillId="2" borderId="4" xfId="0" applyFont="1" applyFill="1" applyBorder="1" applyAlignment="1">
      <alignment horizontal="right"/>
    </xf>
    <xf numFmtId="0" fontId="1" fillId="0" borderId="3" xfId="0" applyFont="1" applyBorder="1" applyAlignment="1">
      <alignment horizontal="left"/>
    </xf>
    <xf numFmtId="0" fontId="2" fillId="0" borderId="6" xfId="0" applyFont="1" applyBorder="1"/>
    <xf numFmtId="3" fontId="1" fillId="0" borderId="5" xfId="0" applyNumberFormat="1" applyFont="1" applyBorder="1"/>
    <xf numFmtId="3" fontId="1" fillId="0" borderId="3" xfId="0" applyNumberFormat="1" applyFont="1" applyBorder="1"/>
    <xf numFmtId="1" fontId="1" fillId="0" borderId="3" xfId="0" applyNumberFormat="1" applyFont="1" applyBorder="1"/>
    <xf numFmtId="0" fontId="2" fillId="0" borderId="7" xfId="0" applyFont="1" applyBorder="1"/>
    <xf numFmtId="3" fontId="2" fillId="0" borderId="7" xfId="0" applyNumberFormat="1" applyFont="1" applyBorder="1"/>
    <xf numFmtId="3" fontId="2" fillId="0" borderId="3" xfId="0" applyNumberFormat="1" applyFont="1" applyBorder="1"/>
    <xf numFmtId="9" fontId="4" fillId="0" borderId="0" xfId="0" applyNumberFormat="1" applyFont="1"/>
    <xf numFmtId="0" fontId="1" fillId="0" borderId="0" xfId="0" applyFont="1" applyAlignment="1">
      <alignment horizontal="right"/>
    </xf>
    <xf numFmtId="10" fontId="3" fillId="0" borderId="0" xfId="0" applyNumberFormat="1" applyFont="1"/>
    <xf numFmtId="9" fontId="3" fillId="0" borderId="0" xfId="0" applyNumberFormat="1" applyFont="1"/>
    <xf numFmtId="3" fontId="1" fillId="0" borderId="4" xfId="0" applyNumberFormat="1" applyFont="1" applyBorder="1"/>
    <xf numFmtId="3" fontId="1" fillId="0" borderId="7" xfId="0" applyNumberFormat="1" applyFont="1" applyBorder="1"/>
    <xf numFmtId="0" fontId="1" fillId="0" borderId="7" xfId="0" applyFont="1" applyBorder="1"/>
    <xf numFmtId="0" fontId="2" fillId="0" borderId="1" xfId="0" applyFont="1" applyBorder="1" applyAlignment="1">
      <alignment horizontal="right"/>
    </xf>
    <xf numFmtId="3" fontId="4" fillId="0" borderId="1" xfId="0" applyNumberFormat="1" applyFont="1" applyBorder="1"/>
    <xf numFmtId="0" fontId="1" fillId="0" borderId="4" xfId="0" applyFont="1" applyBorder="1"/>
    <xf numFmtId="2" fontId="1" fillId="0" borderId="1" xfId="0" applyNumberFormat="1" applyFont="1" applyBorder="1"/>
    <xf numFmtId="3" fontId="2" fillId="0" borderId="0" xfId="0" applyNumberFormat="1" applyFont="1" applyAlignment="1">
      <alignment horizontal="right"/>
    </xf>
    <xf numFmtId="3" fontId="2" fillId="0" borderId="4"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FABC2-1253-924E-8CB2-F0C03750A097}">
  <dimension ref="A3:A23"/>
  <sheetViews>
    <sheetView showGridLines="0" workbookViewId="0">
      <selection activeCell="A24" sqref="A24"/>
    </sheetView>
  </sheetViews>
  <sheetFormatPr baseColWidth="10" defaultRowHeight="19" x14ac:dyDescent="0.25"/>
  <cols>
    <col min="1" max="16384" width="10.83203125" style="2"/>
  </cols>
  <sheetData>
    <row r="3" spans="1:1" x14ac:dyDescent="0.25">
      <c r="A3" s="1" t="s">
        <v>102</v>
      </c>
    </row>
    <row r="5" spans="1:1" x14ac:dyDescent="0.25">
      <c r="A5" s="1" t="s">
        <v>113</v>
      </c>
    </row>
    <row r="6" spans="1:1" x14ac:dyDescent="0.25">
      <c r="A6" s="2" t="s">
        <v>108</v>
      </c>
    </row>
    <row r="7" spans="1:1" x14ac:dyDescent="0.25">
      <c r="A7" s="2" t="s">
        <v>109</v>
      </c>
    </row>
    <row r="8" spans="1:1" x14ac:dyDescent="0.25">
      <c r="A8" s="1"/>
    </row>
    <row r="9" spans="1:1" x14ac:dyDescent="0.25">
      <c r="A9" s="2" t="s">
        <v>114</v>
      </c>
    </row>
    <row r="10" spans="1:1" x14ac:dyDescent="0.25">
      <c r="A10" s="2" t="s">
        <v>110</v>
      </c>
    </row>
    <row r="11" spans="1:1" x14ac:dyDescent="0.25">
      <c r="A11" s="2" t="s">
        <v>111</v>
      </c>
    </row>
    <row r="12" spans="1:1" x14ac:dyDescent="0.25">
      <c r="A12" s="2" t="s">
        <v>112</v>
      </c>
    </row>
    <row r="14" spans="1:1" x14ac:dyDescent="0.25">
      <c r="A14" s="1" t="s">
        <v>115</v>
      </c>
    </row>
    <row r="15" spans="1:1" x14ac:dyDescent="0.25">
      <c r="A15" s="2" t="s">
        <v>116</v>
      </c>
    </row>
    <row r="17" spans="1:1" x14ac:dyDescent="0.25">
      <c r="A17" s="2" t="s">
        <v>117</v>
      </c>
    </row>
    <row r="18" spans="1:1" x14ac:dyDescent="0.25">
      <c r="A18" s="2" t="s">
        <v>118</v>
      </c>
    </row>
    <row r="22" spans="1:1" x14ac:dyDescent="0.25">
      <c r="A22" s="1" t="s">
        <v>187</v>
      </c>
    </row>
    <row r="23" spans="1:1" x14ac:dyDescent="0.25">
      <c r="A23" s="2" t="s">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41D6-FA1C-5144-915F-9569A5873643}">
  <dimension ref="A1:AL72"/>
  <sheetViews>
    <sheetView showGridLines="0" workbookViewId="0">
      <pane xSplit="3" ySplit="3" topLeftCell="U4" activePane="bottomRight" state="frozen"/>
      <selection pane="topRight" activeCell="D1" sqref="D1"/>
      <selection pane="bottomLeft" activeCell="A4" sqref="A4"/>
      <selection pane="bottomRight" activeCell="B5" sqref="B5"/>
    </sheetView>
  </sheetViews>
  <sheetFormatPr baseColWidth="10" defaultRowHeight="19" x14ac:dyDescent="0.25"/>
  <cols>
    <col min="1" max="1" width="16.33203125" style="2" bestFit="1" customWidth="1"/>
    <col min="2" max="2" width="10.83203125" style="4"/>
    <col min="3" max="3" width="35" style="2" customWidth="1"/>
    <col min="4" max="4" width="10.83203125" style="2"/>
    <col min="5" max="5" width="10.33203125" style="2" customWidth="1"/>
    <col min="6" max="6" width="11.6640625" style="2" customWidth="1"/>
    <col min="7" max="7" width="10.5" style="2" customWidth="1"/>
    <col min="8" max="8" width="10.6640625" style="2" customWidth="1"/>
    <col min="9" max="9" width="11.1640625" style="2" customWidth="1"/>
    <col min="10" max="10" width="10.5" style="2" customWidth="1"/>
    <col min="11" max="12" width="10" style="2" customWidth="1"/>
    <col min="13" max="13" width="11.1640625" style="2" customWidth="1"/>
    <col min="14" max="14" width="11.33203125" style="2" customWidth="1"/>
    <col min="15" max="15" width="10.33203125" style="2" customWidth="1"/>
    <col min="16" max="17" width="10.83203125" style="2"/>
    <col min="18" max="18" width="10.83203125" style="4"/>
    <col min="19" max="27" width="10.83203125" style="2"/>
    <col min="28" max="28" width="10.83203125" style="4"/>
    <col min="29" max="16384" width="10.83203125" style="2"/>
  </cols>
  <sheetData>
    <row r="1" spans="1:38" x14ac:dyDescent="0.25">
      <c r="D1" s="7"/>
      <c r="E1" s="7"/>
      <c r="F1" s="7"/>
      <c r="G1" s="7"/>
      <c r="H1" s="7"/>
      <c r="I1" s="7"/>
      <c r="J1" s="7"/>
      <c r="K1" s="7"/>
      <c r="L1" s="7"/>
      <c r="M1" s="7"/>
      <c r="N1" s="7"/>
      <c r="O1" s="7"/>
      <c r="S1" s="1"/>
      <c r="T1" s="1"/>
      <c r="U1" s="1"/>
      <c r="V1" s="1"/>
      <c r="W1" s="1"/>
      <c r="X1" s="1"/>
    </row>
    <row r="3" spans="1:38" x14ac:dyDescent="0.25">
      <c r="A3" s="1" t="s">
        <v>0</v>
      </c>
      <c r="C3" s="2" t="s">
        <v>37</v>
      </c>
      <c r="D3" s="7" t="s">
        <v>3</v>
      </c>
      <c r="E3" s="7" t="s">
        <v>4</v>
      </c>
      <c r="F3" s="7" t="s">
        <v>5</v>
      </c>
      <c r="G3" s="7" t="s">
        <v>6</v>
      </c>
      <c r="H3" s="7" t="s">
        <v>7</v>
      </c>
      <c r="I3" s="7" t="s">
        <v>8</v>
      </c>
      <c r="J3" s="7" t="s">
        <v>9</v>
      </c>
      <c r="K3" s="7" t="s">
        <v>10</v>
      </c>
      <c r="L3" s="7" t="s">
        <v>11</v>
      </c>
      <c r="M3" s="7" t="s">
        <v>12</v>
      </c>
      <c r="N3" s="7" t="s">
        <v>13</v>
      </c>
      <c r="O3" s="7" t="s">
        <v>14</v>
      </c>
      <c r="P3" s="7" t="s">
        <v>42</v>
      </c>
      <c r="Q3" s="7" t="s">
        <v>43</v>
      </c>
      <c r="R3" s="59" t="s">
        <v>44</v>
      </c>
      <c r="S3" s="7" t="s">
        <v>45</v>
      </c>
      <c r="Y3" s="2" t="s">
        <v>15</v>
      </c>
      <c r="Z3" s="2" t="s">
        <v>16</v>
      </c>
      <c r="AA3" s="2" t="s">
        <v>17</v>
      </c>
      <c r="AB3" s="4" t="s">
        <v>18</v>
      </c>
      <c r="AC3" s="2" t="s">
        <v>19</v>
      </c>
      <c r="AD3" s="2" t="s">
        <v>20</v>
      </c>
      <c r="AE3" s="2" t="s">
        <v>21</v>
      </c>
      <c r="AF3" s="2" t="s">
        <v>22</v>
      </c>
      <c r="AG3" s="2" t="s">
        <v>23</v>
      </c>
      <c r="AH3" s="2" t="s">
        <v>24</v>
      </c>
      <c r="AI3" s="2" t="s">
        <v>25</v>
      </c>
      <c r="AJ3" s="2" t="s">
        <v>26</v>
      </c>
      <c r="AK3" s="2" t="s">
        <v>27</v>
      </c>
      <c r="AL3" s="2" t="s">
        <v>28</v>
      </c>
    </row>
    <row r="4" spans="1:38" x14ac:dyDescent="0.25">
      <c r="A4" s="2" t="s">
        <v>1</v>
      </c>
      <c r="B4" s="4">
        <v>250</v>
      </c>
      <c r="C4" s="1" t="s">
        <v>46</v>
      </c>
      <c r="D4" s="11">
        <v>2476.1999999999998</v>
      </c>
      <c r="E4" s="11">
        <v>2385.9</v>
      </c>
      <c r="F4" s="11">
        <v>3211.9</v>
      </c>
      <c r="G4" s="11">
        <v>3361.1</v>
      </c>
      <c r="H4" s="11">
        <v>2999</v>
      </c>
      <c r="I4" s="11">
        <v>2833.5</v>
      </c>
      <c r="J4" s="11">
        <v>3196.5</v>
      </c>
      <c r="K4" s="11">
        <v>3530.6</v>
      </c>
      <c r="L4" s="11">
        <v>2973</v>
      </c>
      <c r="M4" s="11">
        <v>4282.7</v>
      </c>
      <c r="N4" s="11">
        <v>3606.3</v>
      </c>
      <c r="O4" s="11">
        <v>3133.5</v>
      </c>
      <c r="P4" s="11">
        <v>2896</v>
      </c>
      <c r="Q4" s="11">
        <v>3251</v>
      </c>
      <c r="R4" s="12">
        <v>3406</v>
      </c>
      <c r="S4" s="11"/>
      <c r="Y4" s="11">
        <f>SUM(D4:G4)</f>
        <v>11435.1</v>
      </c>
      <c r="Z4" s="11">
        <f>SUM(H4:K4)</f>
        <v>12559.6</v>
      </c>
      <c r="AA4" s="11">
        <f>SUM(L4:O4)</f>
        <v>13995.5</v>
      </c>
      <c r="AB4" s="12"/>
      <c r="AC4" s="11"/>
      <c r="AD4" s="11"/>
      <c r="AE4" s="11"/>
      <c r="AF4" s="11"/>
      <c r="AG4" s="11"/>
      <c r="AH4" s="11"/>
      <c r="AI4" s="11"/>
      <c r="AJ4" s="11"/>
      <c r="AK4" s="11"/>
      <c r="AL4" s="11"/>
    </row>
    <row r="5" spans="1:38" x14ac:dyDescent="0.25">
      <c r="A5" s="2" t="s">
        <v>2</v>
      </c>
      <c r="B5" s="8">
        <v>42.531892999999997</v>
      </c>
      <c r="C5" s="2" t="s">
        <v>47</v>
      </c>
      <c r="D5" s="13">
        <v>-1550</v>
      </c>
      <c r="E5" s="13">
        <v>-1824.3</v>
      </c>
      <c r="F5" s="13">
        <v>-2129.1999999999998</v>
      </c>
      <c r="G5" s="13">
        <v>-2075.9</v>
      </c>
      <c r="H5" s="13">
        <v>-2073.1</v>
      </c>
      <c r="I5" s="13">
        <v>-2106.8000000000002</v>
      </c>
      <c r="J5" s="13">
        <v>-2396.4</v>
      </c>
      <c r="K5" s="13">
        <v>-2426.4</v>
      </c>
      <c r="L5" s="13">
        <v>-2376.6</v>
      </c>
      <c r="M5" s="13">
        <v>-3053.3</v>
      </c>
      <c r="N5" s="13">
        <v>-2668.6</v>
      </c>
      <c r="O5" s="13">
        <v>-2359.8000000000002</v>
      </c>
      <c r="P5" s="13">
        <v>-2168</v>
      </c>
      <c r="Q5" s="13">
        <v>-2198</v>
      </c>
      <c r="R5" s="14">
        <v>-2289</v>
      </c>
      <c r="S5" s="13"/>
      <c r="Y5" s="13">
        <f t="shared" ref="Y5:Y14" si="0">SUM(D5:G5)</f>
        <v>-7579.4</v>
      </c>
      <c r="Z5" s="13">
        <f t="shared" ref="Z5:Z14" si="1">SUM(H5:K5)</f>
        <v>-9002.6999999999989</v>
      </c>
      <c r="AA5" s="13">
        <f t="shared" ref="AA5:AA12" si="2">SUM(L5:O5)</f>
        <v>-10458.299999999999</v>
      </c>
      <c r="AB5" s="14"/>
      <c r="AC5" s="13"/>
      <c r="AD5" s="13"/>
      <c r="AE5" s="13"/>
      <c r="AF5" s="13"/>
      <c r="AG5" s="13"/>
      <c r="AH5" s="13"/>
      <c r="AI5" s="13"/>
      <c r="AJ5" s="13"/>
      <c r="AK5" s="13"/>
      <c r="AL5" s="13"/>
    </row>
    <row r="6" spans="1:38" x14ac:dyDescent="0.25">
      <c r="A6" s="2" t="s">
        <v>38</v>
      </c>
      <c r="B6" s="5">
        <f>B4*B5</f>
        <v>10632.973249999999</v>
      </c>
      <c r="C6" s="1" t="s">
        <v>48</v>
      </c>
      <c r="D6" s="11">
        <f t="shared" ref="D6:O6" si="3">SUM(D4:D5)</f>
        <v>926.19999999999982</v>
      </c>
      <c r="E6" s="11">
        <f t="shared" si="3"/>
        <v>561.60000000000014</v>
      </c>
      <c r="F6" s="11">
        <f t="shared" si="3"/>
        <v>1082.7000000000003</v>
      </c>
      <c r="G6" s="11">
        <f t="shared" si="3"/>
        <v>1285.1999999999998</v>
      </c>
      <c r="H6" s="11">
        <f t="shared" si="3"/>
        <v>925.90000000000009</v>
      </c>
      <c r="I6" s="11">
        <f t="shared" si="3"/>
        <v>726.69999999999982</v>
      </c>
      <c r="J6" s="11">
        <f t="shared" si="3"/>
        <v>800.09999999999991</v>
      </c>
      <c r="K6" s="11">
        <f t="shared" si="3"/>
        <v>1104.1999999999998</v>
      </c>
      <c r="L6" s="11">
        <f t="shared" si="3"/>
        <v>596.40000000000009</v>
      </c>
      <c r="M6" s="11">
        <f t="shared" si="3"/>
        <v>1229.3999999999996</v>
      </c>
      <c r="N6" s="11">
        <f t="shared" si="3"/>
        <v>937.70000000000027</v>
      </c>
      <c r="O6" s="11">
        <f t="shared" si="3"/>
        <v>773.69999999999982</v>
      </c>
      <c r="P6" s="11">
        <f t="shared" ref="P6:Q6" si="4">SUM(P4:P5)</f>
        <v>728</v>
      </c>
      <c r="Q6" s="11">
        <f t="shared" si="4"/>
        <v>1053</v>
      </c>
      <c r="R6" s="12">
        <f t="shared" ref="R6" si="5">SUM(R4:R5)</f>
        <v>1117</v>
      </c>
      <c r="S6" s="11"/>
      <c r="Y6" s="11">
        <f t="shared" si="0"/>
        <v>3855.7</v>
      </c>
      <c r="Z6" s="11">
        <f t="shared" si="1"/>
        <v>3556.8999999999996</v>
      </c>
      <c r="AA6" s="11">
        <f t="shared" si="2"/>
        <v>3537.2</v>
      </c>
      <c r="AB6" s="14"/>
      <c r="AC6" s="13"/>
      <c r="AD6" s="13"/>
      <c r="AE6" s="13"/>
      <c r="AF6" s="13"/>
      <c r="AG6" s="13"/>
      <c r="AH6" s="13"/>
      <c r="AI6" s="13"/>
      <c r="AJ6" s="13"/>
      <c r="AK6" s="13"/>
      <c r="AL6" s="13"/>
    </row>
    <row r="7" spans="1:38" x14ac:dyDescent="0.25">
      <c r="A7" s="2" t="s">
        <v>39</v>
      </c>
      <c r="B7" s="5">
        <f>R29</f>
        <v>7219</v>
      </c>
      <c r="C7" s="2" t="s">
        <v>49</v>
      </c>
      <c r="D7" s="13">
        <v>-244.8</v>
      </c>
      <c r="E7" s="13">
        <v>-227.9</v>
      </c>
      <c r="F7" s="13">
        <v>-336.9</v>
      </c>
      <c r="G7" s="13">
        <v>-260.89999999999998</v>
      </c>
      <c r="H7" s="13">
        <v>-241.5</v>
      </c>
      <c r="I7" s="13">
        <v>-267.8</v>
      </c>
      <c r="J7" s="13">
        <v>-263.39999999999998</v>
      </c>
      <c r="K7" s="13">
        <v>-297.39999999999998</v>
      </c>
      <c r="L7" s="13">
        <v>-279.39999999999998</v>
      </c>
      <c r="M7" s="13">
        <v>-291.8</v>
      </c>
      <c r="N7" s="13">
        <v>-284.39999999999998</v>
      </c>
      <c r="O7" s="13">
        <v>-281.2</v>
      </c>
      <c r="P7" s="13">
        <v>-325</v>
      </c>
      <c r="Q7" s="13">
        <v>-270</v>
      </c>
      <c r="R7" s="14">
        <v>-299</v>
      </c>
      <c r="S7" s="13"/>
      <c r="Y7" s="13">
        <f t="shared" si="0"/>
        <v>-1070.5</v>
      </c>
      <c r="Z7" s="13">
        <f t="shared" si="1"/>
        <v>-1070.0999999999999</v>
      </c>
      <c r="AA7" s="13">
        <f t="shared" si="2"/>
        <v>-1136.8</v>
      </c>
      <c r="AB7" s="14"/>
      <c r="AC7" s="13"/>
      <c r="AD7" s="13"/>
      <c r="AE7" s="13"/>
      <c r="AF7" s="13"/>
      <c r="AG7" s="13"/>
      <c r="AH7" s="13"/>
      <c r="AI7" s="13"/>
      <c r="AJ7" s="13"/>
      <c r="AK7" s="13"/>
      <c r="AL7" s="13"/>
    </row>
    <row r="8" spans="1:38" x14ac:dyDescent="0.25">
      <c r="A8" s="2" t="s">
        <v>40</v>
      </c>
      <c r="B8" s="5">
        <f>R37+R39</f>
        <v>9669</v>
      </c>
      <c r="C8" s="2" t="s">
        <v>50</v>
      </c>
      <c r="D8" s="13">
        <v>0</v>
      </c>
      <c r="E8" s="13">
        <v>0</v>
      </c>
      <c r="F8" s="13">
        <v>-455.4</v>
      </c>
      <c r="G8" s="13">
        <v>-14.3</v>
      </c>
      <c r="H8" s="13">
        <v>0</v>
      </c>
      <c r="I8" s="13">
        <v>-0.7</v>
      </c>
      <c r="J8" s="13">
        <v>-39.5</v>
      </c>
      <c r="K8" s="13">
        <v>-4.8</v>
      </c>
      <c r="L8" s="13">
        <v>0</v>
      </c>
      <c r="M8" s="13">
        <v>0</v>
      </c>
      <c r="N8" s="13">
        <v>-50.3</v>
      </c>
      <c r="O8" s="13">
        <v>-25.7</v>
      </c>
      <c r="P8" s="13">
        <v>0</v>
      </c>
      <c r="Q8" s="13">
        <v>0</v>
      </c>
      <c r="R8" s="14">
        <v>0</v>
      </c>
      <c r="S8" s="13"/>
      <c r="Y8" s="13">
        <f t="shared" si="0"/>
        <v>-469.7</v>
      </c>
      <c r="Z8" s="13">
        <f t="shared" si="1"/>
        <v>-45</v>
      </c>
      <c r="AA8" s="13">
        <f t="shared" si="2"/>
        <v>-76</v>
      </c>
      <c r="AB8" s="14"/>
      <c r="AC8" s="13"/>
      <c r="AD8" s="13"/>
      <c r="AE8" s="13"/>
      <c r="AF8" s="13"/>
      <c r="AG8" s="13"/>
      <c r="AH8" s="13"/>
      <c r="AI8" s="13"/>
      <c r="AJ8" s="13"/>
      <c r="AK8" s="13"/>
      <c r="AL8" s="13"/>
    </row>
    <row r="9" spans="1:38" x14ac:dyDescent="0.25">
      <c r="A9" s="3" t="s">
        <v>41</v>
      </c>
      <c r="B9" s="6">
        <f>B6-B7+B8</f>
        <v>13082.973249999999</v>
      </c>
      <c r="C9" s="1" t="s">
        <v>51</v>
      </c>
      <c r="D9" s="11">
        <f t="shared" ref="D9:O9" si="6">SUM(D6:D8)</f>
        <v>681.39999999999986</v>
      </c>
      <c r="E9" s="11">
        <f t="shared" si="6"/>
        <v>333.70000000000016</v>
      </c>
      <c r="F9" s="11">
        <f t="shared" si="6"/>
        <v>290.40000000000032</v>
      </c>
      <c r="G9" s="11">
        <f t="shared" si="6"/>
        <v>1009.9999999999998</v>
      </c>
      <c r="H9" s="11">
        <f t="shared" si="6"/>
        <v>684.40000000000009</v>
      </c>
      <c r="I9" s="11">
        <f t="shared" si="6"/>
        <v>458.19999999999982</v>
      </c>
      <c r="J9" s="11">
        <f t="shared" si="6"/>
        <v>497.19999999999993</v>
      </c>
      <c r="K9" s="11">
        <f t="shared" si="6"/>
        <v>801.99999999999989</v>
      </c>
      <c r="L9" s="11">
        <f t="shared" si="6"/>
        <v>317.00000000000011</v>
      </c>
      <c r="M9" s="11">
        <f t="shared" si="6"/>
        <v>937.59999999999968</v>
      </c>
      <c r="N9" s="11">
        <f t="shared" si="6"/>
        <v>603.00000000000034</v>
      </c>
      <c r="O9" s="11">
        <f t="shared" si="6"/>
        <v>466.79999999999984</v>
      </c>
      <c r="P9" s="11">
        <f t="shared" ref="P9:Q9" si="7">SUM(P6:P8)</f>
        <v>403</v>
      </c>
      <c r="Q9" s="11">
        <f t="shared" si="7"/>
        <v>783</v>
      </c>
      <c r="R9" s="12">
        <f t="shared" ref="R9" si="8">SUM(R6:R8)</f>
        <v>818</v>
      </c>
      <c r="S9" s="11"/>
      <c r="Y9" s="11">
        <f t="shared" si="0"/>
        <v>2315.5</v>
      </c>
      <c r="Z9" s="11">
        <f t="shared" si="1"/>
        <v>2441.7999999999997</v>
      </c>
      <c r="AA9" s="11">
        <f t="shared" si="2"/>
        <v>2324.4</v>
      </c>
      <c r="AB9" s="14"/>
      <c r="AC9" s="13"/>
      <c r="AD9" s="13"/>
      <c r="AE9" s="13"/>
      <c r="AF9" s="13"/>
      <c r="AG9" s="13"/>
      <c r="AH9" s="13"/>
      <c r="AI9" s="13"/>
      <c r="AJ9" s="13"/>
      <c r="AK9" s="13"/>
      <c r="AL9" s="13"/>
    </row>
    <row r="10" spans="1:38" x14ac:dyDescent="0.25">
      <c r="C10" s="2" t="s">
        <v>52</v>
      </c>
      <c r="D10" s="13">
        <v>-0.7</v>
      </c>
      <c r="E10" s="13">
        <v>-2.8</v>
      </c>
      <c r="F10" s="13">
        <v>-2.6</v>
      </c>
      <c r="G10" s="13">
        <v>-8.1999999999999993</v>
      </c>
      <c r="H10" s="13">
        <v>-2.5</v>
      </c>
      <c r="I10" s="13">
        <v>-4.3</v>
      </c>
      <c r="J10" s="13">
        <v>-2.2999999999999998</v>
      </c>
      <c r="K10" s="13">
        <v>-11.2</v>
      </c>
      <c r="L10" s="13">
        <v>-5.4</v>
      </c>
      <c r="M10" s="13">
        <v>-4</v>
      </c>
      <c r="N10" s="13">
        <v>-4.8</v>
      </c>
      <c r="O10" s="13">
        <v>-6.1</v>
      </c>
      <c r="P10" s="13">
        <v>-7</v>
      </c>
      <c r="Q10" s="13">
        <v>-6</v>
      </c>
      <c r="R10" s="14">
        <v>-5</v>
      </c>
      <c r="S10" s="13"/>
      <c r="Y10" s="13">
        <f t="shared" si="0"/>
        <v>-14.299999999999999</v>
      </c>
      <c r="Z10" s="13">
        <f t="shared" si="1"/>
        <v>-20.299999999999997</v>
      </c>
      <c r="AA10" s="13">
        <f t="shared" si="2"/>
        <v>-20.299999999999997</v>
      </c>
      <c r="AB10" s="14"/>
      <c r="AC10" s="13"/>
      <c r="AD10" s="13"/>
      <c r="AE10" s="13"/>
      <c r="AF10" s="13"/>
      <c r="AG10" s="13"/>
      <c r="AH10" s="13"/>
      <c r="AI10" s="13"/>
      <c r="AJ10" s="13"/>
      <c r="AK10" s="13"/>
      <c r="AL10" s="13"/>
    </row>
    <row r="11" spans="1:38" x14ac:dyDescent="0.25">
      <c r="C11" s="2" t="s">
        <v>53</v>
      </c>
      <c r="D11" s="13">
        <v>-14.2</v>
      </c>
      <c r="E11" s="13">
        <v>-34</v>
      </c>
      <c r="F11" s="13">
        <v>387.1</v>
      </c>
      <c r="G11" s="13">
        <v>-166.8</v>
      </c>
      <c r="H11" s="13">
        <v>95.2</v>
      </c>
      <c r="I11" s="13">
        <v>92.9</v>
      </c>
      <c r="J11" s="13">
        <v>-211.3</v>
      </c>
      <c r="K11" s="13">
        <v>-361.4</v>
      </c>
      <c r="L11" s="13">
        <v>113.7</v>
      </c>
      <c r="M11" s="13">
        <v>-130.30000000000001</v>
      </c>
      <c r="N11" s="13">
        <v>-160.69999999999999</v>
      </c>
      <c r="O11" s="13">
        <v>-34.1</v>
      </c>
      <c r="P11" s="13">
        <v>-199</v>
      </c>
      <c r="Q11" s="13">
        <v>189</v>
      </c>
      <c r="R11" s="14">
        <v>-133</v>
      </c>
      <c r="S11" s="13"/>
      <c r="Y11" s="13">
        <f t="shared" si="0"/>
        <v>172.10000000000002</v>
      </c>
      <c r="Z11" s="13">
        <f t="shared" si="1"/>
        <v>-384.59999999999997</v>
      </c>
      <c r="AA11" s="13">
        <f t="shared" si="2"/>
        <v>-211.4</v>
      </c>
      <c r="AB11" s="12"/>
      <c r="AC11" s="11"/>
      <c r="AD11" s="11"/>
      <c r="AE11" s="11"/>
      <c r="AF11" s="11"/>
      <c r="AG11" s="11"/>
      <c r="AH11" s="11"/>
      <c r="AI11" s="11"/>
      <c r="AJ11" s="11"/>
      <c r="AK11" s="11"/>
      <c r="AL11" s="11"/>
    </row>
    <row r="12" spans="1:38" x14ac:dyDescent="0.25">
      <c r="C12" s="2" t="s">
        <v>54</v>
      </c>
      <c r="D12" s="13">
        <f t="shared" ref="D12:O12" si="9">SUM(D9:D11)</f>
        <v>666.49999999999977</v>
      </c>
      <c r="E12" s="13">
        <f t="shared" si="9"/>
        <v>296.90000000000015</v>
      </c>
      <c r="F12" s="13">
        <f t="shared" si="9"/>
        <v>674.90000000000032</v>
      </c>
      <c r="G12" s="13">
        <f t="shared" si="9"/>
        <v>834.99999999999977</v>
      </c>
      <c r="H12" s="13">
        <f t="shared" si="9"/>
        <v>777.10000000000014</v>
      </c>
      <c r="I12" s="13">
        <f t="shared" si="9"/>
        <v>546.79999999999984</v>
      </c>
      <c r="J12" s="13">
        <f t="shared" si="9"/>
        <v>283.59999999999991</v>
      </c>
      <c r="K12" s="13">
        <f t="shared" si="9"/>
        <v>429.39999999999986</v>
      </c>
      <c r="L12" s="13">
        <f t="shared" si="9"/>
        <v>425.30000000000013</v>
      </c>
      <c r="M12" s="13">
        <f t="shared" si="9"/>
        <v>803.29999999999973</v>
      </c>
      <c r="N12" s="13">
        <f t="shared" si="9"/>
        <v>437.5000000000004</v>
      </c>
      <c r="O12" s="13">
        <f t="shared" si="9"/>
        <v>426.5999999999998</v>
      </c>
      <c r="P12" s="13">
        <f t="shared" ref="P12:Q12" si="10">SUM(P9:P11)</f>
        <v>197</v>
      </c>
      <c r="Q12" s="13">
        <f t="shared" si="10"/>
        <v>966</v>
      </c>
      <c r="R12" s="14">
        <f t="shared" ref="R12" si="11">SUM(R9:R11)</f>
        <v>680</v>
      </c>
      <c r="S12" s="13"/>
      <c r="Y12" s="13">
        <f t="shared" si="0"/>
        <v>2473.3000000000002</v>
      </c>
      <c r="Z12" s="13">
        <f t="shared" si="1"/>
        <v>2036.8999999999999</v>
      </c>
      <c r="AA12" s="13">
        <f t="shared" si="2"/>
        <v>2092.7000000000003</v>
      </c>
      <c r="AB12" s="14"/>
      <c r="AC12" s="13"/>
      <c r="AD12" s="13"/>
      <c r="AE12" s="13"/>
      <c r="AF12" s="13"/>
      <c r="AG12" s="13"/>
      <c r="AH12" s="13"/>
      <c r="AI12" s="13"/>
      <c r="AJ12" s="13"/>
      <c r="AK12" s="13"/>
      <c r="AL12" s="13"/>
    </row>
    <row r="13" spans="1:38" x14ac:dyDescent="0.25">
      <c r="A13" s="1" t="s">
        <v>186</v>
      </c>
      <c r="B13" s="62">
        <f>B4/SOTP!M45</f>
        <v>0.63357165074044008</v>
      </c>
      <c r="C13" s="2" t="s">
        <v>55</v>
      </c>
      <c r="D13" s="13">
        <v>-236.6</v>
      </c>
      <c r="E13" s="13">
        <v>-135.9</v>
      </c>
      <c r="F13" s="13">
        <v>-281.5</v>
      </c>
      <c r="G13" s="13">
        <v>-103.5</v>
      </c>
      <c r="H13" s="13">
        <v>-212.1</v>
      </c>
      <c r="I13" s="13">
        <v>7.6</v>
      </c>
      <c r="J13" s="13">
        <v>-111.3</v>
      </c>
      <c r="K13" s="13">
        <v>-142</v>
      </c>
      <c r="L13" s="13">
        <v>-121.7</v>
      </c>
      <c r="M13" s="13">
        <v>-109.2</v>
      </c>
      <c r="N13" s="13">
        <v>-87.2</v>
      </c>
      <c r="O13" s="13">
        <v>-127.3</v>
      </c>
      <c r="P13" s="13">
        <v>-105</v>
      </c>
      <c r="Q13" s="13">
        <v>-47</v>
      </c>
      <c r="R13" s="14">
        <v>-119</v>
      </c>
      <c r="S13" s="13"/>
      <c r="Y13" s="13">
        <f t="shared" si="0"/>
        <v>-757.5</v>
      </c>
      <c r="Z13" s="13">
        <f t="shared" si="1"/>
        <v>-457.8</v>
      </c>
      <c r="AA13" s="13">
        <f>SUM(L13:O13)</f>
        <v>-445.40000000000003</v>
      </c>
      <c r="AB13" s="14"/>
      <c r="AC13" s="13"/>
      <c r="AD13" s="13"/>
      <c r="AE13" s="13"/>
      <c r="AF13" s="13"/>
      <c r="AG13" s="13"/>
      <c r="AH13" s="13"/>
      <c r="AI13" s="13"/>
      <c r="AJ13" s="13"/>
      <c r="AK13" s="13"/>
      <c r="AL13" s="13"/>
    </row>
    <row r="14" spans="1:38" x14ac:dyDescent="0.25">
      <c r="C14" s="1" t="s">
        <v>56</v>
      </c>
      <c r="D14" s="11">
        <f t="shared" ref="D14:O14" si="12">SUM(D12:D13)</f>
        <v>429.89999999999975</v>
      </c>
      <c r="E14" s="11">
        <f t="shared" si="12"/>
        <v>161.00000000000014</v>
      </c>
      <c r="F14" s="11">
        <f t="shared" si="12"/>
        <v>393.40000000000032</v>
      </c>
      <c r="G14" s="11">
        <f t="shared" si="12"/>
        <v>731.49999999999977</v>
      </c>
      <c r="H14" s="11">
        <f t="shared" si="12"/>
        <v>565.00000000000011</v>
      </c>
      <c r="I14" s="11">
        <f t="shared" si="12"/>
        <v>554.39999999999986</v>
      </c>
      <c r="J14" s="11">
        <f t="shared" si="12"/>
        <v>172.2999999999999</v>
      </c>
      <c r="K14" s="11">
        <f t="shared" si="12"/>
        <v>287.39999999999986</v>
      </c>
      <c r="L14" s="11">
        <f t="shared" si="12"/>
        <v>303.60000000000014</v>
      </c>
      <c r="M14" s="11">
        <f t="shared" si="12"/>
        <v>694.09999999999968</v>
      </c>
      <c r="N14" s="11">
        <f t="shared" si="12"/>
        <v>350.30000000000041</v>
      </c>
      <c r="O14" s="11">
        <f t="shared" si="12"/>
        <v>299.29999999999978</v>
      </c>
      <c r="P14" s="11">
        <f t="shared" ref="P14:Q14" si="13">SUM(P12:P13)</f>
        <v>92</v>
      </c>
      <c r="Q14" s="11">
        <f t="shared" si="13"/>
        <v>919</v>
      </c>
      <c r="R14" s="12">
        <f t="shared" ref="R14" si="14">SUM(R12:R13)</f>
        <v>561</v>
      </c>
      <c r="S14" s="11"/>
      <c r="Y14" s="11">
        <f t="shared" si="0"/>
        <v>1715.8</v>
      </c>
      <c r="Z14" s="11">
        <f t="shared" si="1"/>
        <v>1579.1</v>
      </c>
      <c r="AA14" s="11">
        <f>SUM(L14:O14)</f>
        <v>1647.3</v>
      </c>
      <c r="AB14" s="14"/>
      <c r="AC14" s="13"/>
      <c r="AD14" s="13"/>
      <c r="AE14" s="13"/>
      <c r="AF14" s="13"/>
      <c r="AG14" s="13"/>
      <c r="AH14" s="13"/>
      <c r="AI14" s="13"/>
      <c r="AJ14" s="13"/>
      <c r="AK14" s="13"/>
      <c r="AL14" s="13"/>
    </row>
    <row r="15" spans="1:38" x14ac:dyDescent="0.25">
      <c r="C15" s="2" t="s">
        <v>58</v>
      </c>
      <c r="D15" s="16">
        <f t="shared" ref="D15:O15" si="15">D14/D16</f>
        <v>10.107709054943776</v>
      </c>
      <c r="E15" s="16">
        <f t="shared" si="15"/>
        <v>3.7853946449080023</v>
      </c>
      <c r="F15" s="16">
        <f t="shared" si="15"/>
        <v>9.249529523644771</v>
      </c>
      <c r="G15" s="16">
        <f t="shared" si="15"/>
        <v>17.198858277951555</v>
      </c>
      <c r="H15" s="16">
        <f t="shared" si="15"/>
        <v>13.284148909149192</v>
      </c>
      <c r="I15" s="16">
        <f t="shared" si="15"/>
        <v>13.034924168552759</v>
      </c>
      <c r="J15" s="16">
        <f t="shared" si="15"/>
        <v>4.0510776230909809</v>
      </c>
      <c r="K15" s="16">
        <f t="shared" si="15"/>
        <v>6.7572821176804867</v>
      </c>
      <c r="L15" s="16">
        <f t="shared" si="15"/>
        <v>7.1381727589693726</v>
      </c>
      <c r="M15" s="16">
        <f t="shared" si="15"/>
        <v>16.319518155469819</v>
      </c>
      <c r="N15" s="16">
        <f t="shared" si="15"/>
        <v>8.2361723236725073</v>
      </c>
      <c r="O15" s="16">
        <f t="shared" si="15"/>
        <v>7.0370721566519459</v>
      </c>
      <c r="P15" s="16">
        <f t="shared" ref="P15:S15" si="16">P14/P16</f>
        <v>2.1630826542331425</v>
      </c>
      <c r="Q15" s="16">
        <f t="shared" si="16"/>
        <v>21.607314774350627</v>
      </c>
      <c r="R15" s="5">
        <f t="shared" si="16"/>
        <v>13.19010183722601</v>
      </c>
      <c r="S15" s="16">
        <f t="shared" si="16"/>
        <v>0</v>
      </c>
      <c r="Y15" s="16">
        <f t="shared" ref="Y15:AA15" si="17">Y14/Y16</f>
        <v>40.341491501448104</v>
      </c>
      <c r="Z15" s="16">
        <f t="shared" si="17"/>
        <v>37.127432818473423</v>
      </c>
      <c r="AA15" s="16">
        <f t="shared" si="17"/>
        <v>38.730935394763641</v>
      </c>
      <c r="AB15" s="14"/>
      <c r="AC15" s="13"/>
      <c r="AD15" s="13"/>
      <c r="AE15" s="13"/>
      <c r="AF15" s="13"/>
      <c r="AG15" s="13"/>
      <c r="AH15" s="13"/>
      <c r="AI15" s="13"/>
      <c r="AJ15" s="13"/>
      <c r="AK15" s="13"/>
      <c r="AL15" s="13"/>
    </row>
    <row r="16" spans="1:38" x14ac:dyDescent="0.25">
      <c r="C16" s="2" t="s">
        <v>57</v>
      </c>
      <c r="D16" s="16">
        <v>42.531892999999997</v>
      </c>
      <c r="E16" s="16">
        <v>42.531892999999997</v>
      </c>
      <c r="F16" s="16">
        <v>42.531892999999997</v>
      </c>
      <c r="G16" s="16">
        <v>42.531892999999997</v>
      </c>
      <c r="H16" s="16">
        <v>42.531892999999997</v>
      </c>
      <c r="I16" s="16">
        <v>42.531892999999997</v>
      </c>
      <c r="J16" s="16">
        <v>42.531892999999997</v>
      </c>
      <c r="K16" s="16">
        <v>42.531892999999997</v>
      </c>
      <c r="L16" s="16">
        <v>42.531892999999997</v>
      </c>
      <c r="M16" s="16">
        <v>42.531892999999997</v>
      </c>
      <c r="N16" s="16">
        <v>42.531892999999997</v>
      </c>
      <c r="O16" s="16">
        <v>42.531892999999997</v>
      </c>
      <c r="P16" s="16">
        <v>42.531892999999997</v>
      </c>
      <c r="Q16" s="16">
        <v>42.531892999999997</v>
      </c>
      <c r="R16" s="5">
        <v>42.531892999999997</v>
      </c>
      <c r="S16" s="16">
        <v>42.531892999999997</v>
      </c>
      <c r="Y16" s="16">
        <v>42.531892999999997</v>
      </c>
      <c r="Z16" s="16">
        <v>42.531892999999997</v>
      </c>
      <c r="AA16" s="16">
        <v>42.531892999999997</v>
      </c>
      <c r="AB16" s="12"/>
      <c r="AC16" s="11"/>
      <c r="AD16" s="11"/>
      <c r="AE16" s="11"/>
      <c r="AF16" s="11"/>
      <c r="AG16" s="11"/>
      <c r="AH16" s="11"/>
      <c r="AI16" s="11"/>
      <c r="AJ16" s="11"/>
      <c r="AK16" s="11"/>
      <c r="AL16" s="11"/>
    </row>
    <row r="17" spans="3:38" x14ac:dyDescent="0.25">
      <c r="E17" s="9"/>
      <c r="F17" s="9"/>
      <c r="G17" s="9"/>
      <c r="H17" s="9"/>
      <c r="I17" s="9"/>
      <c r="J17" s="9"/>
      <c r="K17" s="9"/>
      <c r="L17" s="9"/>
      <c r="M17" s="9"/>
      <c r="N17" s="9"/>
      <c r="O17" s="9"/>
      <c r="Y17" s="9"/>
      <c r="Z17" s="9"/>
      <c r="AA17" s="9"/>
      <c r="AB17" s="8"/>
      <c r="AC17" s="9"/>
      <c r="AD17" s="9"/>
      <c r="AE17" s="9"/>
      <c r="AF17" s="9"/>
      <c r="AG17" s="9"/>
      <c r="AH17" s="9"/>
      <c r="AI17" s="9"/>
      <c r="AJ17" s="9"/>
      <c r="AK17" s="9"/>
      <c r="AL17" s="9"/>
    </row>
    <row r="18" spans="3:38" x14ac:dyDescent="0.25">
      <c r="C18" s="1" t="s">
        <v>29</v>
      </c>
      <c r="D18" s="18"/>
      <c r="E18" s="18"/>
      <c r="F18" s="18"/>
      <c r="G18" s="18"/>
      <c r="H18" s="18">
        <f t="shared" ref="H18:N18" si="18">(H4-D4)/D4</f>
        <v>0.21112995719247243</v>
      </c>
      <c r="I18" s="18">
        <f t="shared" si="18"/>
        <v>0.18760216270589711</v>
      </c>
      <c r="J18" s="18">
        <f t="shared" si="18"/>
        <v>-4.7946698216009501E-3</v>
      </c>
      <c r="K18" s="18">
        <f t="shared" si="18"/>
        <v>5.0429918776590997E-2</v>
      </c>
      <c r="L18" s="18">
        <f t="shared" si="18"/>
        <v>-8.6695565188396138E-3</v>
      </c>
      <c r="M18" s="18">
        <f t="shared" si="18"/>
        <v>0.51145226751367556</v>
      </c>
      <c r="N18" s="18">
        <f t="shared" si="18"/>
        <v>0.12820272172688885</v>
      </c>
      <c r="O18" s="18">
        <f>(O4-K4)/K4</f>
        <v>-0.1124738004871693</v>
      </c>
      <c r="P18" s="18">
        <f t="shared" ref="P18:S18" si="19">(P4-L4)/L4</f>
        <v>-2.589976454759502E-2</v>
      </c>
      <c r="Q18" s="18">
        <f t="shared" si="19"/>
        <v>-0.24089943260092928</v>
      </c>
      <c r="R18" s="19">
        <f t="shared" si="19"/>
        <v>-5.5541690929761856E-2</v>
      </c>
      <c r="S18" s="18">
        <f t="shared" si="19"/>
        <v>-1</v>
      </c>
      <c r="Y18" s="9"/>
      <c r="Z18" s="18">
        <f>(Z4-Y4)/Y4</f>
        <v>9.8337574660475199E-2</v>
      </c>
      <c r="AA18" s="18">
        <f>(AA4-Z4)/Z4</f>
        <v>0.11432688939138186</v>
      </c>
      <c r="AB18" s="19">
        <f t="shared" ref="AB18:AL18" si="20">(AB4-AA4)/AA4</f>
        <v>-1</v>
      </c>
      <c r="AC18" s="18" t="e">
        <f t="shared" si="20"/>
        <v>#DIV/0!</v>
      </c>
      <c r="AD18" s="18" t="e">
        <f t="shared" si="20"/>
        <v>#DIV/0!</v>
      </c>
      <c r="AE18" s="18" t="e">
        <f t="shared" si="20"/>
        <v>#DIV/0!</v>
      </c>
      <c r="AF18" s="18" t="e">
        <f t="shared" si="20"/>
        <v>#DIV/0!</v>
      </c>
      <c r="AG18" s="18" t="e">
        <f t="shared" si="20"/>
        <v>#DIV/0!</v>
      </c>
      <c r="AH18" s="18" t="e">
        <f t="shared" si="20"/>
        <v>#DIV/0!</v>
      </c>
      <c r="AI18" s="18" t="e">
        <f t="shared" si="20"/>
        <v>#DIV/0!</v>
      </c>
      <c r="AJ18" s="18" t="e">
        <f t="shared" si="20"/>
        <v>#DIV/0!</v>
      </c>
      <c r="AK18" s="18" t="e">
        <f t="shared" si="20"/>
        <v>#DIV/0!</v>
      </c>
      <c r="AL18" s="18" t="e">
        <f t="shared" si="20"/>
        <v>#DIV/0!</v>
      </c>
    </row>
    <row r="19" spans="3:38" x14ac:dyDescent="0.25">
      <c r="C19" s="2" t="s">
        <v>59</v>
      </c>
      <c r="D19" s="20">
        <f t="shared" ref="D19:N19" si="21">D6/D4</f>
        <v>0.37404086907358042</v>
      </c>
      <c r="E19" s="20">
        <f t="shared" si="21"/>
        <v>0.23538287438702382</v>
      </c>
      <c r="F19" s="20">
        <f t="shared" si="21"/>
        <v>0.33709019583424149</v>
      </c>
      <c r="G19" s="20">
        <f t="shared" si="21"/>
        <v>0.38237481776799259</v>
      </c>
      <c r="H19" s="20">
        <f t="shared" si="21"/>
        <v>0.30873624541513839</v>
      </c>
      <c r="I19" s="20">
        <f t="shared" si="21"/>
        <v>0.25646726663137454</v>
      </c>
      <c r="J19" s="20">
        <f t="shared" si="21"/>
        <v>0.25030502111684655</v>
      </c>
      <c r="K19" s="20">
        <f t="shared" si="21"/>
        <v>0.31275137370418621</v>
      </c>
      <c r="L19" s="20">
        <f t="shared" si="21"/>
        <v>0.20060544904137237</v>
      </c>
      <c r="M19" s="20">
        <f t="shared" si="21"/>
        <v>0.28706190020314282</v>
      </c>
      <c r="N19" s="20">
        <f t="shared" si="21"/>
        <v>0.26001719213598429</v>
      </c>
      <c r="O19" s="20">
        <f>O6/O4</f>
        <v>0.24691239827668734</v>
      </c>
      <c r="P19" s="20">
        <f t="shared" ref="P19:S19" si="22">P6/P4</f>
        <v>0.25138121546961328</v>
      </c>
      <c r="Q19" s="20">
        <f t="shared" si="22"/>
        <v>0.32390033835742849</v>
      </c>
      <c r="R19" s="17">
        <f t="shared" si="22"/>
        <v>0.32795067527891958</v>
      </c>
      <c r="S19" s="20" t="e">
        <f t="shared" si="22"/>
        <v>#DIV/0!</v>
      </c>
      <c r="Y19" s="20">
        <f t="shared" ref="Y19:Z19" si="23">Y6/Y4</f>
        <v>0.33718113527647331</v>
      </c>
      <c r="Z19" s="20">
        <f t="shared" si="23"/>
        <v>0.28320169432147518</v>
      </c>
      <c r="AA19" s="20">
        <f>AA6/AA4</f>
        <v>0.25273838019363365</v>
      </c>
      <c r="AB19" s="17" t="e">
        <f t="shared" ref="AB19:AL19" si="24">AB6/AB4</f>
        <v>#DIV/0!</v>
      </c>
      <c r="AC19" s="20" t="e">
        <f t="shared" si="24"/>
        <v>#DIV/0!</v>
      </c>
      <c r="AD19" s="20" t="e">
        <f t="shared" si="24"/>
        <v>#DIV/0!</v>
      </c>
      <c r="AE19" s="20" t="e">
        <f t="shared" si="24"/>
        <v>#DIV/0!</v>
      </c>
      <c r="AF19" s="20" t="e">
        <f t="shared" si="24"/>
        <v>#DIV/0!</v>
      </c>
      <c r="AG19" s="20" t="e">
        <f t="shared" si="24"/>
        <v>#DIV/0!</v>
      </c>
      <c r="AH19" s="20" t="e">
        <f t="shared" si="24"/>
        <v>#DIV/0!</v>
      </c>
      <c r="AI19" s="20" t="e">
        <f t="shared" si="24"/>
        <v>#DIV/0!</v>
      </c>
      <c r="AJ19" s="20" t="e">
        <f t="shared" si="24"/>
        <v>#DIV/0!</v>
      </c>
      <c r="AK19" s="20" t="e">
        <f t="shared" si="24"/>
        <v>#DIV/0!</v>
      </c>
      <c r="AL19" s="20" t="e">
        <f t="shared" si="24"/>
        <v>#DIV/0!</v>
      </c>
    </row>
    <row r="21" spans="3:38" x14ac:dyDescent="0.25">
      <c r="C21" s="3" t="s">
        <v>36</v>
      </c>
    </row>
    <row r="22" spans="3:38" x14ac:dyDescent="0.25">
      <c r="C22" s="2" t="s">
        <v>60</v>
      </c>
      <c r="D22" s="13">
        <v>1064.9000000000001</v>
      </c>
      <c r="E22" s="13">
        <v>1113.5999999999999</v>
      </c>
      <c r="F22" s="13">
        <v>1115.8</v>
      </c>
      <c r="G22" s="13">
        <v>1128.2</v>
      </c>
      <c r="H22" s="13">
        <v>1193.9000000000001</v>
      </c>
      <c r="I22" s="13">
        <v>1250</v>
      </c>
      <c r="J22" s="13">
        <v>1186.2</v>
      </c>
      <c r="K22" s="13">
        <v>1222.9000000000001</v>
      </c>
      <c r="L22" s="13">
        <v>1260.8</v>
      </c>
      <c r="M22" s="13">
        <v>1254.8</v>
      </c>
      <c r="N22" s="13">
        <v>1248.2</v>
      </c>
      <c r="O22" s="13">
        <v>1253.5999999999999</v>
      </c>
      <c r="P22" s="13">
        <v>1190</v>
      </c>
      <c r="Q22" s="13">
        <v>1121</v>
      </c>
      <c r="R22" s="14">
        <v>1133</v>
      </c>
    </row>
    <row r="23" spans="3:38" x14ac:dyDescent="0.25">
      <c r="C23" s="2" t="s">
        <v>61</v>
      </c>
      <c r="D23" s="13">
        <v>149.1</v>
      </c>
      <c r="E23" s="13">
        <v>128.9</v>
      </c>
      <c r="F23" s="13">
        <v>124.3</v>
      </c>
      <c r="G23" s="13">
        <v>126.7</v>
      </c>
      <c r="H23" s="13">
        <v>170.4</v>
      </c>
      <c r="I23" s="13">
        <v>208.2</v>
      </c>
      <c r="J23" s="13">
        <v>207.1</v>
      </c>
      <c r="K23" s="13">
        <v>187.8</v>
      </c>
      <c r="L23" s="13">
        <v>202.3</v>
      </c>
      <c r="M23" s="13">
        <v>185.5</v>
      </c>
      <c r="N23" s="13">
        <v>176.4</v>
      </c>
      <c r="O23" s="13">
        <v>226.6</v>
      </c>
      <c r="P23" s="13">
        <v>234</v>
      </c>
      <c r="Q23" s="13">
        <v>186</v>
      </c>
      <c r="R23" s="14">
        <v>168</v>
      </c>
    </row>
    <row r="24" spans="3:38" x14ac:dyDescent="0.25">
      <c r="C24" s="2" t="s">
        <v>62</v>
      </c>
      <c r="D24" s="13">
        <v>10461.5</v>
      </c>
      <c r="E24" s="13">
        <v>11031.8</v>
      </c>
      <c r="F24" s="13">
        <v>10518.5</v>
      </c>
      <c r="G24" s="13">
        <v>10387.1</v>
      </c>
      <c r="H24" s="13">
        <v>11164.3</v>
      </c>
      <c r="I24" s="13">
        <v>11628.3</v>
      </c>
      <c r="J24" s="13">
        <v>11009.1</v>
      </c>
      <c r="K24" s="13">
        <v>10993.9</v>
      </c>
      <c r="L24" s="13">
        <v>11339</v>
      </c>
      <c r="M24" s="13">
        <v>11005.4</v>
      </c>
      <c r="N24" s="13">
        <v>11747.6</v>
      </c>
      <c r="O24" s="13">
        <v>12016</v>
      </c>
      <c r="P24" s="13">
        <v>11470</v>
      </c>
      <c r="Q24" s="13">
        <v>11947</v>
      </c>
      <c r="R24" s="14">
        <v>11559</v>
      </c>
    </row>
    <row r="25" spans="3:38" x14ac:dyDescent="0.25">
      <c r="C25" s="2" t="s">
        <v>63</v>
      </c>
      <c r="D25" s="13">
        <v>44.1</v>
      </c>
      <c r="E25" s="13">
        <v>164.3</v>
      </c>
      <c r="F25" s="13">
        <v>163.19999999999999</v>
      </c>
      <c r="G25" s="13">
        <v>185.4</v>
      </c>
      <c r="H25" s="13">
        <v>236.8</v>
      </c>
      <c r="I25" s="13">
        <v>310</v>
      </c>
      <c r="J25" s="13">
        <v>275.60000000000002</v>
      </c>
      <c r="K25" s="13">
        <v>312.5</v>
      </c>
      <c r="L25" s="13">
        <v>321.2</v>
      </c>
      <c r="M25" s="13">
        <v>314.8</v>
      </c>
      <c r="N25" s="13">
        <v>358.9</v>
      </c>
      <c r="O25" s="13">
        <v>388.7</v>
      </c>
      <c r="P25" s="13">
        <v>402</v>
      </c>
      <c r="Q25" s="13">
        <v>418</v>
      </c>
      <c r="R25" s="14">
        <v>417</v>
      </c>
      <c r="T25" s="1"/>
      <c r="U25" s="1"/>
      <c r="V25" s="1"/>
      <c r="W25" s="1"/>
      <c r="X25" s="1"/>
    </row>
    <row r="26" spans="3:38" x14ac:dyDescent="0.25">
      <c r="C26" s="2" t="s">
        <v>64</v>
      </c>
      <c r="D26" s="13">
        <v>796.4</v>
      </c>
      <c r="E26" s="13">
        <v>897.3</v>
      </c>
      <c r="F26" s="13">
        <v>1265.5999999999999</v>
      </c>
      <c r="G26" s="13">
        <v>1231.4000000000001</v>
      </c>
      <c r="H26" s="13">
        <v>1489.3</v>
      </c>
      <c r="I26" s="13">
        <v>1624.9</v>
      </c>
      <c r="J26" s="13">
        <v>1464.5</v>
      </c>
      <c r="K26" s="13">
        <v>1330.9</v>
      </c>
      <c r="L26" s="13">
        <v>1517</v>
      </c>
      <c r="M26" s="13">
        <v>1551.9</v>
      </c>
      <c r="N26" s="13">
        <v>1639.9</v>
      </c>
      <c r="O26" s="13">
        <v>1589.5</v>
      </c>
      <c r="P26" s="13">
        <v>1662</v>
      </c>
      <c r="Q26" s="13">
        <v>1713</v>
      </c>
      <c r="R26" s="14">
        <v>1774</v>
      </c>
    </row>
    <row r="27" spans="3:38" x14ac:dyDescent="0.25">
      <c r="C27" s="2" t="s">
        <v>65</v>
      </c>
      <c r="D27" s="13">
        <v>191.1</v>
      </c>
      <c r="E27" s="13">
        <v>300.7</v>
      </c>
      <c r="F27" s="13">
        <v>303.10000000000002</v>
      </c>
      <c r="G27" s="13">
        <v>299.60000000000002</v>
      </c>
      <c r="H27" s="13">
        <v>364.5</v>
      </c>
      <c r="I27" s="13">
        <v>406.4</v>
      </c>
      <c r="J27" s="13">
        <v>407.9</v>
      </c>
      <c r="K27" s="13">
        <v>549</v>
      </c>
      <c r="L27" s="13">
        <v>556.5</v>
      </c>
      <c r="M27" s="13">
        <v>392.1</v>
      </c>
      <c r="N27" s="13">
        <v>350.9</v>
      </c>
      <c r="O27" s="13">
        <v>376</v>
      </c>
      <c r="P27" s="13">
        <v>317</v>
      </c>
      <c r="Q27" s="13">
        <v>333</v>
      </c>
      <c r="R27" s="14">
        <v>327</v>
      </c>
    </row>
    <row r="28" spans="3:38" x14ac:dyDescent="0.25">
      <c r="C28" s="2" t="s">
        <v>66</v>
      </c>
      <c r="D28" s="13">
        <v>2084.5</v>
      </c>
      <c r="E28" s="13">
        <v>2422.6999999999998</v>
      </c>
      <c r="F28" s="13">
        <v>2716.2</v>
      </c>
      <c r="G28" s="13">
        <v>2966.7</v>
      </c>
      <c r="H28" s="13">
        <v>2572.3000000000002</v>
      </c>
      <c r="I28" s="13">
        <v>2830.5</v>
      </c>
      <c r="J28" s="13">
        <v>2874.6</v>
      </c>
      <c r="K28" s="13">
        <v>3447.5</v>
      </c>
      <c r="L28" s="13">
        <v>2838.9</v>
      </c>
      <c r="M28" s="13">
        <v>2715.4</v>
      </c>
      <c r="N28" s="13">
        <v>2904.5</v>
      </c>
      <c r="O28" s="13">
        <v>2829.4</v>
      </c>
      <c r="P28" s="13">
        <v>3018</v>
      </c>
      <c r="Q28" s="13">
        <v>3145</v>
      </c>
      <c r="R28" s="14">
        <v>3403</v>
      </c>
    </row>
    <row r="29" spans="3:38" x14ac:dyDescent="0.25">
      <c r="C29" s="2" t="s">
        <v>67</v>
      </c>
      <c r="D29" s="13">
        <v>4508.5</v>
      </c>
      <c r="E29" s="13">
        <v>3776.3</v>
      </c>
      <c r="F29" s="13">
        <v>5252.3</v>
      </c>
      <c r="G29" s="13">
        <v>5458.5</v>
      </c>
      <c r="H29" s="13">
        <f>6263+39.3</f>
        <v>6302.3</v>
      </c>
      <c r="I29" s="13">
        <f>6221.6+39.3</f>
        <v>6260.9000000000005</v>
      </c>
      <c r="J29" s="13">
        <v>5997.8</v>
      </c>
      <c r="K29" s="13">
        <v>5460.2</v>
      </c>
      <c r="L29" s="13">
        <v>6545.2</v>
      </c>
      <c r="M29" s="13">
        <v>6802</v>
      </c>
      <c r="N29" s="13">
        <v>6169.6</v>
      </c>
      <c r="O29" s="13">
        <v>6582</v>
      </c>
      <c r="P29" s="13">
        <f>6826+504</f>
        <v>7330</v>
      </c>
      <c r="Q29" s="13">
        <v>6896</v>
      </c>
      <c r="R29" s="14">
        <v>7219</v>
      </c>
    </row>
    <row r="30" spans="3:38" x14ac:dyDescent="0.25">
      <c r="C30" s="1" t="s">
        <v>68</v>
      </c>
      <c r="D30" s="11">
        <f t="shared" ref="D30:N30" si="25">SUM(D22:D29)</f>
        <v>19300.099999999999</v>
      </c>
      <c r="E30" s="11">
        <f t="shared" si="25"/>
        <v>19835.599999999999</v>
      </c>
      <c r="F30" s="11">
        <f t="shared" si="25"/>
        <v>21459</v>
      </c>
      <c r="G30" s="11">
        <f t="shared" si="25"/>
        <v>21783.599999999999</v>
      </c>
      <c r="H30" s="11">
        <f t="shared" si="25"/>
        <v>23493.799999999996</v>
      </c>
      <c r="I30" s="11">
        <f t="shared" si="25"/>
        <v>24519.200000000001</v>
      </c>
      <c r="J30" s="11">
        <f t="shared" si="25"/>
        <v>23422.799999999999</v>
      </c>
      <c r="K30" s="11">
        <f t="shared" si="25"/>
        <v>23504.7</v>
      </c>
      <c r="L30" s="11">
        <f t="shared" si="25"/>
        <v>24580.9</v>
      </c>
      <c r="M30" s="11">
        <f t="shared" si="25"/>
        <v>24221.899999999998</v>
      </c>
      <c r="N30" s="11">
        <f t="shared" si="25"/>
        <v>24596</v>
      </c>
      <c r="O30" s="11">
        <f>SUM(O22:O29)</f>
        <v>25261.800000000003</v>
      </c>
      <c r="P30" s="11">
        <f>SUM(P22:P29)</f>
        <v>25623</v>
      </c>
      <c r="Q30" s="11">
        <f>SUM(Q22:Q29)</f>
        <v>25759</v>
      </c>
      <c r="R30" s="12">
        <f t="shared" ref="R30:S30" si="26">SUM(R22:R29)</f>
        <v>26000</v>
      </c>
      <c r="S30" s="11">
        <f t="shared" si="26"/>
        <v>0</v>
      </c>
    </row>
    <row r="31" spans="3:38" x14ac:dyDescent="0.25">
      <c r="C31" s="2" t="s">
        <v>69</v>
      </c>
      <c r="D31" s="13">
        <v>53.2</v>
      </c>
      <c r="E31" s="13">
        <v>53.2</v>
      </c>
      <c r="F31" s="13">
        <v>53.2</v>
      </c>
      <c r="G31" s="13">
        <v>53.2</v>
      </c>
      <c r="H31" s="13">
        <v>53.2</v>
      </c>
      <c r="I31" s="13">
        <v>53.2</v>
      </c>
      <c r="J31" s="13">
        <v>53.2</v>
      </c>
      <c r="K31" s="13">
        <v>53.2</v>
      </c>
      <c r="L31" s="13">
        <v>53.2</v>
      </c>
      <c r="M31" s="13">
        <v>53.2</v>
      </c>
      <c r="N31" s="13">
        <v>53.2</v>
      </c>
      <c r="O31" s="13">
        <v>53.2</v>
      </c>
      <c r="P31" s="13">
        <v>53</v>
      </c>
      <c r="Q31" s="13">
        <v>53</v>
      </c>
      <c r="R31" s="14">
        <v>53</v>
      </c>
    </row>
    <row r="32" spans="3:38" x14ac:dyDescent="0.25">
      <c r="C32" s="2" t="s">
        <v>70</v>
      </c>
      <c r="D32" s="13">
        <v>143.30000000000001</v>
      </c>
      <c r="E32" s="13">
        <v>143.30000000000001</v>
      </c>
      <c r="F32" s="13">
        <v>143.30000000000001</v>
      </c>
      <c r="G32" s="13">
        <v>143.30000000000001</v>
      </c>
      <c r="H32" s="13">
        <v>143.30000000000001</v>
      </c>
      <c r="I32" s="13">
        <v>143.30000000000001</v>
      </c>
      <c r="J32" s="13">
        <v>143.30000000000001</v>
      </c>
      <c r="K32" s="13">
        <v>143.30000000000001</v>
      </c>
      <c r="L32" s="13">
        <v>143.30000000000001</v>
      </c>
      <c r="M32" s="13">
        <v>143.30000000000001</v>
      </c>
      <c r="N32" s="13">
        <v>143.30000000000001</v>
      </c>
      <c r="O32" s="13">
        <v>143.30000000000001</v>
      </c>
      <c r="P32" s="13">
        <v>143</v>
      </c>
      <c r="Q32" s="13">
        <v>143</v>
      </c>
      <c r="R32" s="14">
        <v>143</v>
      </c>
    </row>
    <row r="33" spans="3:27" x14ac:dyDescent="0.25">
      <c r="C33" s="2" t="s">
        <v>71</v>
      </c>
      <c r="D33" s="13">
        <v>4362.2</v>
      </c>
      <c r="E33" s="13">
        <v>4372.8999999999996</v>
      </c>
      <c r="F33" s="13">
        <v>5154.1000000000004</v>
      </c>
      <c r="G33" s="13">
        <v>5537.6</v>
      </c>
      <c r="H33" s="13">
        <v>6164.7</v>
      </c>
      <c r="I33" s="13">
        <v>6490</v>
      </c>
      <c r="J33" s="13">
        <v>6361</v>
      </c>
      <c r="K33" s="13">
        <v>6481</v>
      </c>
      <c r="L33" s="13">
        <v>6850.1</v>
      </c>
      <c r="M33" s="13">
        <v>7068.8</v>
      </c>
      <c r="N33" s="13">
        <v>7529.8</v>
      </c>
      <c r="O33" s="13">
        <v>7545.7</v>
      </c>
      <c r="P33" s="13">
        <v>7647</v>
      </c>
      <c r="Q33" s="13">
        <v>8256</v>
      </c>
      <c r="R33" s="14">
        <v>8847</v>
      </c>
    </row>
    <row r="34" spans="3:27" x14ac:dyDescent="0.25">
      <c r="C34" s="2" t="s">
        <v>72</v>
      </c>
      <c r="D34" s="13">
        <f t="shared" ref="D34:N34" si="27">SUM(D31:D33)</f>
        <v>4558.7</v>
      </c>
      <c r="E34" s="13">
        <f t="shared" si="27"/>
        <v>4569.3999999999996</v>
      </c>
      <c r="F34" s="13">
        <f t="shared" si="27"/>
        <v>5350.6</v>
      </c>
      <c r="G34" s="13">
        <f t="shared" si="27"/>
        <v>5734.1</v>
      </c>
      <c r="H34" s="13">
        <f t="shared" si="27"/>
        <v>6361.2</v>
      </c>
      <c r="I34" s="13">
        <f t="shared" si="27"/>
        <v>6686.5</v>
      </c>
      <c r="J34" s="13">
        <f t="shared" si="27"/>
        <v>6557.5</v>
      </c>
      <c r="K34" s="13">
        <f t="shared" si="27"/>
        <v>6677.5</v>
      </c>
      <c r="L34" s="13">
        <f t="shared" si="27"/>
        <v>7046.6</v>
      </c>
      <c r="M34" s="13">
        <f t="shared" si="27"/>
        <v>7265.3</v>
      </c>
      <c r="N34" s="13">
        <f t="shared" si="27"/>
        <v>7726.3</v>
      </c>
      <c r="O34" s="13">
        <f>SUM(O31:O33)</f>
        <v>7742.2</v>
      </c>
      <c r="P34" s="13">
        <f>SUM(P31:P33)</f>
        <v>7843</v>
      </c>
      <c r="Q34" s="13">
        <v>8452</v>
      </c>
      <c r="R34" s="14">
        <v>9044</v>
      </c>
    </row>
    <row r="35" spans="3:27" x14ac:dyDescent="0.25">
      <c r="C35" s="2" t="s">
        <v>73</v>
      </c>
      <c r="D35" s="13">
        <v>11.9</v>
      </c>
      <c r="E35" s="13">
        <v>92.7</v>
      </c>
      <c r="F35" s="13">
        <v>954.5</v>
      </c>
      <c r="G35" s="13">
        <v>1238</v>
      </c>
      <c r="H35" s="13">
        <v>1329.5</v>
      </c>
      <c r="I35" s="13">
        <v>1456.5</v>
      </c>
      <c r="J35" s="13">
        <v>1050.3</v>
      </c>
      <c r="K35" s="13">
        <v>1230.4000000000001</v>
      </c>
      <c r="L35" s="13">
        <v>1157.5999999999999</v>
      </c>
      <c r="M35" s="13">
        <v>1198.5999999999999</v>
      </c>
      <c r="N35" s="13">
        <v>1246.8</v>
      </c>
      <c r="O35" s="13">
        <v>1429.7</v>
      </c>
      <c r="P35" s="13">
        <v>1585</v>
      </c>
      <c r="Q35" s="13">
        <v>1422</v>
      </c>
      <c r="R35" s="14">
        <v>1776</v>
      </c>
    </row>
    <row r="36" spans="3:27" x14ac:dyDescent="0.25">
      <c r="C36" s="10" t="s">
        <v>74</v>
      </c>
      <c r="D36" s="15">
        <f t="shared" ref="D36:N36" si="28">SUM(D34:D35)</f>
        <v>4570.5999999999995</v>
      </c>
      <c r="E36" s="15">
        <f t="shared" si="28"/>
        <v>4662.0999999999995</v>
      </c>
      <c r="F36" s="15">
        <f t="shared" si="28"/>
        <v>6305.1</v>
      </c>
      <c r="G36" s="15">
        <f t="shared" si="28"/>
        <v>6972.1</v>
      </c>
      <c r="H36" s="15">
        <f t="shared" si="28"/>
        <v>7690.7</v>
      </c>
      <c r="I36" s="15">
        <f t="shared" si="28"/>
        <v>8143</v>
      </c>
      <c r="J36" s="15">
        <f t="shared" si="28"/>
        <v>7607.8</v>
      </c>
      <c r="K36" s="15">
        <f t="shared" si="28"/>
        <v>7907.9</v>
      </c>
      <c r="L36" s="15">
        <f t="shared" si="28"/>
        <v>8204.2000000000007</v>
      </c>
      <c r="M36" s="15">
        <f t="shared" si="28"/>
        <v>8463.9</v>
      </c>
      <c r="N36" s="15">
        <f t="shared" si="28"/>
        <v>8973.1</v>
      </c>
      <c r="O36" s="15">
        <f>SUM(O34:O35)</f>
        <v>9171.9</v>
      </c>
      <c r="P36" s="15">
        <f>SUM(P34:P35)</f>
        <v>9428</v>
      </c>
      <c r="Q36" s="15">
        <f>SUM(Q34:Q35)</f>
        <v>9874</v>
      </c>
      <c r="R36" s="60">
        <f t="shared" ref="R36:S36" si="29">SUM(R34:R35)</f>
        <v>10820</v>
      </c>
      <c r="S36" s="15">
        <f t="shared" si="29"/>
        <v>0</v>
      </c>
    </row>
    <row r="37" spans="3:27" x14ac:dyDescent="0.25">
      <c r="C37" s="2" t="s">
        <v>75</v>
      </c>
      <c r="D37" s="13">
        <v>8168.7</v>
      </c>
      <c r="E37" s="13">
        <v>8621.9</v>
      </c>
      <c r="F37" s="13">
        <v>8567.7000000000007</v>
      </c>
      <c r="G37" s="13">
        <v>8699.9</v>
      </c>
      <c r="H37" s="13">
        <v>9321.2999999999993</v>
      </c>
      <c r="I37" s="13">
        <v>9421.2000000000007</v>
      </c>
      <c r="J37" s="13">
        <v>8202</v>
      </c>
      <c r="K37" s="13">
        <v>7717.4</v>
      </c>
      <c r="L37" s="13">
        <v>8274.9</v>
      </c>
      <c r="M37" s="13">
        <v>7662.2</v>
      </c>
      <c r="N37" s="13">
        <v>7893.6</v>
      </c>
      <c r="O37" s="13">
        <v>7463.2</v>
      </c>
      <c r="P37" s="13">
        <v>7359</v>
      </c>
      <c r="Q37" s="13">
        <v>7319</v>
      </c>
      <c r="R37" s="14">
        <v>7937</v>
      </c>
    </row>
    <row r="38" spans="3:27" x14ac:dyDescent="0.25">
      <c r="C38" s="2" t="s">
        <v>76</v>
      </c>
      <c r="D38" s="13">
        <v>1602.5</v>
      </c>
      <c r="E38" s="13">
        <v>1695.7</v>
      </c>
      <c r="F38" s="13">
        <v>1803.1</v>
      </c>
      <c r="G38" s="13">
        <v>1590.4</v>
      </c>
      <c r="H38" s="13">
        <v>1694.3</v>
      </c>
      <c r="I38" s="13">
        <v>1799.7</v>
      </c>
      <c r="J38" s="13">
        <v>1763</v>
      </c>
      <c r="K38" s="13">
        <v>1853.8</v>
      </c>
      <c r="L38" s="13">
        <v>1936.1</v>
      </c>
      <c r="M38" s="13">
        <v>1932.6</v>
      </c>
      <c r="N38" s="13">
        <v>2037.7</v>
      </c>
      <c r="O38" s="13">
        <v>2132.6</v>
      </c>
      <c r="P38" s="13">
        <v>2060</v>
      </c>
      <c r="Q38" s="13">
        <v>2059</v>
      </c>
      <c r="R38" s="14">
        <v>2077</v>
      </c>
    </row>
    <row r="39" spans="3:27" x14ac:dyDescent="0.25">
      <c r="C39" s="2" t="s">
        <v>77</v>
      </c>
      <c r="D39" s="13">
        <v>2006.1</v>
      </c>
      <c r="E39" s="13">
        <v>1658.2</v>
      </c>
      <c r="F39" s="13">
        <v>1770.1</v>
      </c>
      <c r="G39" s="13">
        <v>1477.2</v>
      </c>
      <c r="H39" s="13">
        <v>1341.9</v>
      </c>
      <c r="I39" s="13">
        <v>1568.6</v>
      </c>
      <c r="J39" s="13">
        <v>2413</v>
      </c>
      <c r="K39" s="13">
        <v>2362.8000000000002</v>
      </c>
      <c r="L39" s="13">
        <v>2208.9</v>
      </c>
      <c r="M39" s="13">
        <v>2167.1</v>
      </c>
      <c r="N39" s="13">
        <v>1512</v>
      </c>
      <c r="O39" s="13">
        <v>2514.1999999999998</v>
      </c>
      <c r="P39" s="13">
        <v>2414</v>
      </c>
      <c r="Q39" s="13">
        <v>2483</v>
      </c>
      <c r="R39" s="14">
        <v>1732</v>
      </c>
    </row>
    <row r="40" spans="3:27" x14ac:dyDescent="0.25">
      <c r="C40" s="2" t="s">
        <v>78</v>
      </c>
      <c r="D40" s="13">
        <v>2952.2</v>
      </c>
      <c r="E40" s="13">
        <v>3197.7</v>
      </c>
      <c r="F40" s="13">
        <v>3012.9</v>
      </c>
      <c r="G40" s="13">
        <v>3044.1</v>
      </c>
      <c r="H40" s="13">
        <v>3445.6</v>
      </c>
      <c r="I40" s="13">
        <v>3577.8</v>
      </c>
      <c r="J40" s="13">
        <v>3475</v>
      </c>
      <c r="K40" s="13">
        <v>3662.8</v>
      </c>
      <c r="L40" s="13">
        <v>3957.2</v>
      </c>
      <c r="M40" s="13">
        <v>3996.9</v>
      </c>
      <c r="N40" s="13">
        <v>4179</v>
      </c>
      <c r="O40" s="13">
        <v>3980.6</v>
      </c>
      <c r="P40" s="13">
        <v>4201</v>
      </c>
      <c r="Q40" s="13">
        <v>4025</v>
      </c>
      <c r="R40" s="14">
        <v>3433</v>
      </c>
    </row>
    <row r="41" spans="3:27" x14ac:dyDescent="0.25">
      <c r="C41" s="10" t="s">
        <v>79</v>
      </c>
      <c r="D41" s="15">
        <f t="shared" ref="D41:N41" si="30">SUM(D37:D40)</f>
        <v>14729.5</v>
      </c>
      <c r="E41" s="15">
        <f t="shared" si="30"/>
        <v>15173.5</v>
      </c>
      <c r="F41" s="15">
        <f t="shared" si="30"/>
        <v>15153.800000000001</v>
      </c>
      <c r="G41" s="15">
        <f t="shared" si="30"/>
        <v>14811.6</v>
      </c>
      <c r="H41" s="15">
        <f t="shared" si="30"/>
        <v>15803.099999999999</v>
      </c>
      <c r="I41" s="15">
        <f t="shared" si="30"/>
        <v>16367.300000000003</v>
      </c>
      <c r="J41" s="15">
        <f t="shared" si="30"/>
        <v>15853</v>
      </c>
      <c r="K41" s="15">
        <f t="shared" si="30"/>
        <v>15596.8</v>
      </c>
      <c r="L41" s="15">
        <f t="shared" si="30"/>
        <v>16377.099999999999</v>
      </c>
      <c r="M41" s="15">
        <f t="shared" si="30"/>
        <v>15758.8</v>
      </c>
      <c r="N41" s="15">
        <f t="shared" si="30"/>
        <v>15622.300000000001</v>
      </c>
      <c r="O41" s="15">
        <f>SUM(O37:O40)</f>
        <v>16090.6</v>
      </c>
      <c r="P41" s="15">
        <f>SUM(P37:P40)</f>
        <v>16034</v>
      </c>
      <c r="Q41" s="15">
        <f>SUM(Q37:Q40)</f>
        <v>15886</v>
      </c>
      <c r="R41" s="60">
        <f t="shared" ref="R41:S41" si="31">SUM(R37:R40)</f>
        <v>15179</v>
      </c>
      <c r="S41" s="15">
        <f t="shared" si="31"/>
        <v>0</v>
      </c>
    </row>
    <row r="42" spans="3:27" x14ac:dyDescent="0.25">
      <c r="C42" s="1" t="s">
        <v>80</v>
      </c>
      <c r="D42" s="11">
        <f t="shared" ref="D42:N42" si="32">D36+D41</f>
        <v>19300.099999999999</v>
      </c>
      <c r="E42" s="11">
        <f t="shared" si="32"/>
        <v>19835.599999999999</v>
      </c>
      <c r="F42" s="11">
        <f t="shared" si="32"/>
        <v>21458.9</v>
      </c>
      <c r="G42" s="11">
        <f t="shared" si="32"/>
        <v>21783.7</v>
      </c>
      <c r="H42" s="11">
        <f t="shared" si="32"/>
        <v>23493.8</v>
      </c>
      <c r="I42" s="11">
        <f t="shared" si="32"/>
        <v>24510.300000000003</v>
      </c>
      <c r="J42" s="11">
        <f t="shared" si="32"/>
        <v>23460.799999999999</v>
      </c>
      <c r="K42" s="11">
        <f t="shared" si="32"/>
        <v>23504.699999999997</v>
      </c>
      <c r="L42" s="11">
        <f t="shared" si="32"/>
        <v>24581.3</v>
      </c>
      <c r="M42" s="11">
        <f t="shared" si="32"/>
        <v>24222.699999999997</v>
      </c>
      <c r="N42" s="11">
        <f t="shared" si="32"/>
        <v>24595.4</v>
      </c>
      <c r="O42" s="11">
        <f>O36+O41</f>
        <v>25262.5</v>
      </c>
      <c r="P42" s="11">
        <f>P36+P41</f>
        <v>25462</v>
      </c>
      <c r="Q42" s="11">
        <f>Q36+Q41</f>
        <v>25760</v>
      </c>
      <c r="R42" s="12">
        <f t="shared" ref="R42:S42" si="33">R36+R41</f>
        <v>25999</v>
      </c>
      <c r="S42" s="11">
        <f t="shared" si="33"/>
        <v>0</v>
      </c>
    </row>
    <row r="43" spans="3:27" x14ac:dyDescent="0.25">
      <c r="C43" s="10"/>
      <c r="D43" s="15"/>
      <c r="E43" s="13"/>
      <c r="F43" s="13"/>
      <c r="G43" s="13"/>
      <c r="H43" s="13"/>
      <c r="I43" s="13"/>
      <c r="J43" s="13"/>
      <c r="K43" s="13"/>
      <c r="L43" s="13"/>
      <c r="M43" s="13"/>
      <c r="N43" s="13"/>
    </row>
    <row r="44" spans="3:27" x14ac:dyDescent="0.25">
      <c r="C44" s="3" t="s">
        <v>30</v>
      </c>
      <c r="D44" s="13"/>
      <c r="E44" s="13"/>
      <c r="F44" s="13"/>
      <c r="G44" s="13"/>
      <c r="H44" s="13"/>
      <c r="I44" s="13"/>
      <c r="J44" s="13"/>
      <c r="K44" s="13"/>
      <c r="L44" s="13"/>
      <c r="M44" s="13"/>
      <c r="N44" s="13"/>
    </row>
    <row r="45" spans="3:27" x14ac:dyDescent="0.25">
      <c r="C45" s="2" t="s">
        <v>81</v>
      </c>
      <c r="D45" s="13">
        <f t="shared" ref="D45:N45" si="34">D14</f>
        <v>429.89999999999975</v>
      </c>
      <c r="E45" s="13">
        <f t="shared" si="34"/>
        <v>161.00000000000014</v>
      </c>
      <c r="F45" s="13">
        <f t="shared" si="34"/>
        <v>393.40000000000032</v>
      </c>
      <c r="G45" s="13">
        <f t="shared" si="34"/>
        <v>731.49999999999977</v>
      </c>
      <c r="H45" s="13">
        <f t="shared" si="34"/>
        <v>565.00000000000011</v>
      </c>
      <c r="I45" s="13">
        <f t="shared" si="34"/>
        <v>554.39999999999986</v>
      </c>
      <c r="J45" s="13">
        <f t="shared" si="34"/>
        <v>172.2999999999999</v>
      </c>
      <c r="K45" s="13">
        <f t="shared" si="34"/>
        <v>287.39999999999986</v>
      </c>
      <c r="L45" s="13">
        <f t="shared" si="34"/>
        <v>303.60000000000014</v>
      </c>
      <c r="M45" s="13">
        <f t="shared" si="34"/>
        <v>694.09999999999968</v>
      </c>
      <c r="N45" s="13">
        <f t="shared" si="34"/>
        <v>350.30000000000041</v>
      </c>
      <c r="O45" s="13">
        <f>O14</f>
        <v>299.29999999999978</v>
      </c>
      <c r="P45" s="13">
        <f>P14</f>
        <v>92</v>
      </c>
      <c r="Q45" s="13">
        <f>Q14</f>
        <v>919</v>
      </c>
      <c r="R45" s="14">
        <f t="shared" ref="R45:S45" si="35">R14</f>
        <v>561</v>
      </c>
      <c r="S45" s="13">
        <f t="shared" si="35"/>
        <v>0</v>
      </c>
      <c r="Y45" s="13">
        <f t="shared" ref="Y45:Z45" si="36">Y14</f>
        <v>1715.8</v>
      </c>
      <c r="Z45" s="13">
        <f t="shared" si="36"/>
        <v>1579.1</v>
      </c>
      <c r="AA45" s="13">
        <f>AA14</f>
        <v>1647.3</v>
      </c>
    </row>
    <row r="46" spans="3:27" x14ac:dyDescent="0.25">
      <c r="C46" s="2" t="s">
        <v>82</v>
      </c>
      <c r="D46" s="13">
        <v>429.9</v>
      </c>
      <c r="E46" s="13">
        <v>161</v>
      </c>
      <c r="F46" s="13">
        <v>393.5</v>
      </c>
      <c r="G46" s="13">
        <v>731.6</v>
      </c>
      <c r="H46" s="13">
        <v>565.29999999999995</v>
      </c>
      <c r="I46" s="13">
        <v>554.5</v>
      </c>
      <c r="J46" s="13">
        <v>172</v>
      </c>
      <c r="K46" s="13">
        <v>287.2</v>
      </c>
      <c r="L46" s="13">
        <v>303.60000000000002</v>
      </c>
      <c r="M46" s="13">
        <v>694</v>
      </c>
      <c r="N46" s="13">
        <v>350.4</v>
      </c>
      <c r="O46" s="13">
        <v>299.2</v>
      </c>
      <c r="P46" s="2">
        <v>92</v>
      </c>
      <c r="Q46" s="2">
        <v>920</v>
      </c>
      <c r="R46" s="4">
        <v>561</v>
      </c>
      <c r="Y46" s="13">
        <f>SUM(D46:G46)</f>
        <v>1716</v>
      </c>
      <c r="Z46" s="13">
        <f>SUM(H46:K46)</f>
        <v>1579</v>
      </c>
      <c r="AA46" s="13">
        <f>SUM(L46:O46)</f>
        <v>1647.2</v>
      </c>
    </row>
    <row r="47" spans="3:27" x14ac:dyDescent="0.25">
      <c r="C47" s="2" t="s">
        <v>83</v>
      </c>
      <c r="D47" s="13">
        <v>244.8</v>
      </c>
      <c r="E47" s="13">
        <v>227.9</v>
      </c>
      <c r="F47" s="13">
        <v>792.5</v>
      </c>
      <c r="G47" s="13">
        <v>275.10000000000002</v>
      </c>
      <c r="H47" s="13">
        <v>241.5</v>
      </c>
      <c r="I47" s="13">
        <v>268.39999999999998</v>
      </c>
      <c r="J47" s="13">
        <v>302.89999999999998</v>
      </c>
      <c r="K47" s="13">
        <v>302.2</v>
      </c>
      <c r="L47" s="13">
        <v>279.39999999999998</v>
      </c>
      <c r="M47" s="13">
        <v>291.8</v>
      </c>
      <c r="N47" s="13">
        <v>334.7</v>
      </c>
      <c r="O47" s="13">
        <v>307</v>
      </c>
      <c r="P47" s="2">
        <v>325</v>
      </c>
      <c r="Q47" s="2">
        <v>270</v>
      </c>
      <c r="R47" s="4">
        <v>299</v>
      </c>
      <c r="Y47" s="13">
        <f t="shared" ref="Y47:Y66" si="37">SUM(D47:G47)</f>
        <v>1540.3000000000002</v>
      </c>
      <c r="Z47" s="13">
        <f t="shared" ref="Z47:Z55" si="38">SUM(H47:K47)</f>
        <v>1115</v>
      </c>
      <c r="AA47" s="13">
        <f t="shared" ref="AA47:AA55" si="39">SUM(L47:O47)</f>
        <v>1212.9000000000001</v>
      </c>
    </row>
    <row r="48" spans="3:27" x14ac:dyDescent="0.25">
      <c r="C48" s="2" t="s">
        <v>84</v>
      </c>
      <c r="D48" s="13">
        <v>-0.5</v>
      </c>
      <c r="E48" s="13">
        <v>54.7</v>
      </c>
      <c r="F48" s="13">
        <v>-323.7</v>
      </c>
      <c r="G48" s="13">
        <v>192.8</v>
      </c>
      <c r="H48" s="13">
        <v>-47.7</v>
      </c>
      <c r="I48" s="13">
        <v>-57.7</v>
      </c>
      <c r="J48" s="13">
        <v>160.30000000000001</v>
      </c>
      <c r="K48" s="13">
        <v>348.2</v>
      </c>
      <c r="L48" s="13">
        <v>-97.7</v>
      </c>
      <c r="M48" s="13">
        <v>73.599999999999994</v>
      </c>
      <c r="N48" s="13">
        <v>158.1</v>
      </c>
      <c r="O48" s="13">
        <v>27.4</v>
      </c>
      <c r="P48" s="2">
        <v>163</v>
      </c>
      <c r="Q48" s="2">
        <v>254</v>
      </c>
      <c r="R48" s="4">
        <v>-90</v>
      </c>
      <c r="Y48" s="13">
        <f t="shared" si="37"/>
        <v>-76.699999999999989</v>
      </c>
      <c r="Z48" s="13">
        <f t="shared" si="38"/>
        <v>403.1</v>
      </c>
      <c r="AA48" s="13">
        <f t="shared" si="39"/>
        <v>161.4</v>
      </c>
    </row>
    <row r="49" spans="3:27" x14ac:dyDescent="0.25">
      <c r="C49" s="2" t="s">
        <v>85</v>
      </c>
      <c r="D49" s="13">
        <v>0.7</v>
      </c>
      <c r="E49" s="13">
        <v>2.8</v>
      </c>
      <c r="F49" s="13">
        <v>2.6</v>
      </c>
      <c r="G49" s="13">
        <v>8.1999999999999993</v>
      </c>
      <c r="H49" s="13">
        <v>2.5</v>
      </c>
      <c r="I49" s="13">
        <v>4.3</v>
      </c>
      <c r="J49" s="13">
        <v>2.2999999999999998</v>
      </c>
      <c r="K49" s="13">
        <v>11.2</v>
      </c>
      <c r="L49" s="13">
        <v>5.4</v>
      </c>
      <c r="M49" s="13">
        <v>4</v>
      </c>
      <c r="N49" s="13">
        <v>4.8</v>
      </c>
      <c r="O49" s="13">
        <v>6.1</v>
      </c>
      <c r="P49" s="2">
        <v>7</v>
      </c>
      <c r="Q49" s="2">
        <v>6</v>
      </c>
      <c r="R49" s="4">
        <v>5</v>
      </c>
      <c r="Y49" s="13">
        <f t="shared" si="37"/>
        <v>14.299999999999999</v>
      </c>
      <c r="Z49" s="13">
        <f t="shared" si="38"/>
        <v>20.299999999999997</v>
      </c>
      <c r="AA49" s="13">
        <f t="shared" si="39"/>
        <v>20.299999999999997</v>
      </c>
    </row>
    <row r="50" spans="3:27" x14ac:dyDescent="0.25">
      <c r="C50" s="2" t="s">
        <v>86</v>
      </c>
      <c r="D50" s="13">
        <v>-0.5</v>
      </c>
      <c r="E50" s="13">
        <v>-0.4</v>
      </c>
      <c r="F50" s="13">
        <v>-0.6</v>
      </c>
      <c r="G50" s="13">
        <v>0.9</v>
      </c>
      <c r="H50" s="13">
        <v>-0.4</v>
      </c>
      <c r="I50" s="13">
        <v>-1.5</v>
      </c>
      <c r="J50" s="13">
        <v>-0.7</v>
      </c>
      <c r="K50" s="13">
        <v>-87.6</v>
      </c>
      <c r="L50" s="13">
        <v>-0.1</v>
      </c>
      <c r="M50" s="13">
        <v>-0.4</v>
      </c>
      <c r="N50" s="13">
        <v>0.6</v>
      </c>
      <c r="O50" s="13">
        <v>-2.1</v>
      </c>
      <c r="P50" s="2">
        <v>-1</v>
      </c>
      <c r="Q50" s="2">
        <v>-349</v>
      </c>
      <c r="R50" s="4">
        <v>-1</v>
      </c>
      <c r="Y50" s="13">
        <f t="shared" si="37"/>
        <v>-0.6</v>
      </c>
      <c r="Z50" s="13">
        <f t="shared" si="38"/>
        <v>-90.199999999999989</v>
      </c>
      <c r="AA50" s="13">
        <f t="shared" si="39"/>
        <v>-2</v>
      </c>
    </row>
    <row r="51" spans="3:27" x14ac:dyDescent="0.25">
      <c r="C51" s="2" t="s">
        <v>87</v>
      </c>
      <c r="D51" s="13">
        <v>236.6</v>
      </c>
      <c r="E51" s="13">
        <v>135.9</v>
      </c>
      <c r="F51" s="13">
        <v>281.5</v>
      </c>
      <c r="G51" s="13">
        <v>103.5</v>
      </c>
      <c r="H51" s="13">
        <v>212.1</v>
      </c>
      <c r="I51" s="13">
        <v>-7.6</v>
      </c>
      <c r="J51" s="13">
        <v>111.3</v>
      </c>
      <c r="K51" s="13">
        <v>142</v>
      </c>
      <c r="L51" s="13">
        <v>121.7</v>
      </c>
      <c r="M51" s="13">
        <v>109.2</v>
      </c>
      <c r="N51" s="13">
        <v>87.2</v>
      </c>
      <c r="O51" s="13">
        <v>127.3</v>
      </c>
      <c r="P51" s="2">
        <v>105</v>
      </c>
      <c r="Q51" s="2">
        <v>47</v>
      </c>
      <c r="R51" s="4">
        <v>119</v>
      </c>
      <c r="Y51" s="13">
        <f t="shared" si="37"/>
        <v>757.5</v>
      </c>
      <c r="Z51" s="13">
        <f t="shared" si="38"/>
        <v>457.8</v>
      </c>
      <c r="AA51" s="13">
        <f t="shared" si="39"/>
        <v>445.40000000000003</v>
      </c>
    </row>
    <row r="52" spans="3:27" x14ac:dyDescent="0.25">
      <c r="C52" s="2" t="s">
        <v>88</v>
      </c>
      <c r="D52" s="13">
        <f>34.9+251.9</f>
        <v>286.8</v>
      </c>
      <c r="E52" s="13">
        <f>-277.4+166.6</f>
        <v>-110.79999999999998</v>
      </c>
      <c r="F52" s="13">
        <f>-182.6-159.8</f>
        <v>-342.4</v>
      </c>
      <c r="G52" s="13">
        <f>-138.9-70.9</f>
        <v>-209.8</v>
      </c>
      <c r="H52" s="13">
        <f>617.6+175.5</f>
        <v>793.1</v>
      </c>
      <c r="I52" s="13">
        <f>29.2+53.1</f>
        <v>82.3</v>
      </c>
      <c r="J52" s="13">
        <f>-291.7</f>
        <v>-291.7</v>
      </c>
      <c r="K52" s="13">
        <f>-775.1+121.3</f>
        <v>-653.80000000000007</v>
      </c>
      <c r="L52" s="13">
        <f>801.8+176.6</f>
        <v>978.4</v>
      </c>
      <c r="M52" s="13">
        <f>191.8+288.3</f>
        <v>480.1</v>
      </c>
      <c r="N52" s="13">
        <f>-145.7+108.2</f>
        <v>-37.499999999999986</v>
      </c>
      <c r="O52" s="13">
        <f>-77.5-168.2</f>
        <v>-245.7</v>
      </c>
      <c r="P52" s="2">
        <f>-98+73</f>
        <v>-25</v>
      </c>
      <c r="Q52" s="2">
        <f>14-76</f>
        <v>-62</v>
      </c>
      <c r="R52" s="4">
        <f>307-796</f>
        <v>-489</v>
      </c>
      <c r="Y52" s="13">
        <f t="shared" si="37"/>
        <v>-376.19999999999993</v>
      </c>
      <c r="Z52" s="13">
        <f t="shared" si="38"/>
        <v>-70.100000000000023</v>
      </c>
      <c r="AA52" s="13">
        <f t="shared" si="39"/>
        <v>1175.3</v>
      </c>
    </row>
    <row r="53" spans="3:27" x14ac:dyDescent="0.25">
      <c r="C53" s="2" t="s">
        <v>90</v>
      </c>
      <c r="D53" s="13">
        <v>-15.2</v>
      </c>
      <c r="E53" s="13">
        <v>-113.1</v>
      </c>
      <c r="F53" s="13">
        <v>-80.599999999999994</v>
      </c>
      <c r="G53" s="13">
        <v>-108.4</v>
      </c>
      <c r="H53" s="13">
        <v>-67</v>
      </c>
      <c r="I53" s="13">
        <v>-209.9</v>
      </c>
      <c r="J53" s="13">
        <v>-52.1</v>
      </c>
      <c r="K53" s="13">
        <v>-232.6</v>
      </c>
      <c r="L53" s="13">
        <v>-84.4</v>
      </c>
      <c r="M53" s="21">
        <v>-244.9</v>
      </c>
      <c r="N53" s="13">
        <v>-95.1</v>
      </c>
      <c r="O53" s="13">
        <v>-206.2</v>
      </c>
      <c r="P53" s="2">
        <v>-79</v>
      </c>
      <c r="Q53" s="2">
        <v>-193</v>
      </c>
      <c r="R53" s="4">
        <v>-110</v>
      </c>
      <c r="Y53" s="13">
        <f t="shared" si="37"/>
        <v>-317.29999999999995</v>
      </c>
      <c r="Z53" s="13">
        <f t="shared" si="38"/>
        <v>-561.6</v>
      </c>
      <c r="AA53" s="13">
        <f t="shared" si="39"/>
        <v>-630.59999999999991</v>
      </c>
    </row>
    <row r="54" spans="3:27" x14ac:dyDescent="0.25">
      <c r="C54" s="2" t="s">
        <v>89</v>
      </c>
      <c r="D54" s="13">
        <v>-104.4</v>
      </c>
      <c r="E54" s="13">
        <v>-119.8</v>
      </c>
      <c r="F54" s="13">
        <v>-364.1</v>
      </c>
      <c r="G54" s="13">
        <v>-126.2</v>
      </c>
      <c r="H54" s="13">
        <v>-182.9</v>
      </c>
      <c r="I54" s="13">
        <v>-167.3</v>
      </c>
      <c r="J54" s="13">
        <v>-57.2</v>
      </c>
      <c r="K54" s="13">
        <v>-28.5</v>
      </c>
      <c r="L54" s="13">
        <v>-169.2</v>
      </c>
      <c r="M54" s="13">
        <v>-94.5</v>
      </c>
      <c r="N54" s="13">
        <v>-78.8</v>
      </c>
      <c r="O54" s="13">
        <v>-76.2</v>
      </c>
      <c r="P54" s="2">
        <v>-111</v>
      </c>
      <c r="Q54" s="2">
        <v>-120</v>
      </c>
      <c r="R54" s="4">
        <v>-27</v>
      </c>
      <c r="Y54" s="13">
        <f t="shared" si="37"/>
        <v>-714.5</v>
      </c>
      <c r="Z54" s="13">
        <f t="shared" si="38"/>
        <v>-435.90000000000003</v>
      </c>
      <c r="AA54" s="13">
        <f t="shared" si="39"/>
        <v>-418.7</v>
      </c>
    </row>
    <row r="55" spans="3:27" x14ac:dyDescent="0.25">
      <c r="C55" s="1" t="s">
        <v>31</v>
      </c>
      <c r="D55" s="11">
        <f t="shared" ref="D55:N55" si="40">SUM(D46:D54)</f>
        <v>1078.2</v>
      </c>
      <c r="E55" s="11">
        <f t="shared" si="40"/>
        <v>238.2</v>
      </c>
      <c r="F55" s="11">
        <f t="shared" si="40"/>
        <v>358.69999999999993</v>
      </c>
      <c r="G55" s="11">
        <f t="shared" si="40"/>
        <v>867.70000000000016</v>
      </c>
      <c r="H55" s="11">
        <f t="shared" si="40"/>
        <v>1516.5</v>
      </c>
      <c r="I55" s="11">
        <f t="shared" si="40"/>
        <v>465.49999999999983</v>
      </c>
      <c r="J55" s="11">
        <f t="shared" si="40"/>
        <v>347.09999999999991</v>
      </c>
      <c r="K55" s="11">
        <f t="shared" si="40"/>
        <v>88.299999999999869</v>
      </c>
      <c r="L55" s="11">
        <f t="shared" si="40"/>
        <v>1337.0999999999997</v>
      </c>
      <c r="M55" s="11">
        <f>SUM(M46:M54)</f>
        <v>1312.8999999999996</v>
      </c>
      <c r="N55" s="11">
        <f t="shared" si="40"/>
        <v>724.4</v>
      </c>
      <c r="O55" s="11">
        <f>SUM(O46:O54)</f>
        <v>236.80000000000007</v>
      </c>
      <c r="P55" s="11">
        <f>SUM(P46:P54)</f>
        <v>476</v>
      </c>
      <c r="Q55" s="11">
        <f>SUM(Q46:Q54)</f>
        <v>773</v>
      </c>
      <c r="R55" s="12">
        <f t="shared" ref="R55:S55" si="41">SUM(R46:R54)</f>
        <v>267</v>
      </c>
      <c r="S55" s="11">
        <f t="shared" si="41"/>
        <v>0</v>
      </c>
      <c r="Y55" s="11">
        <f t="shared" si="37"/>
        <v>2542.8000000000002</v>
      </c>
      <c r="Z55" s="11">
        <f t="shared" si="38"/>
        <v>2417.3999999999992</v>
      </c>
      <c r="AA55" s="11">
        <f t="shared" si="39"/>
        <v>3611.1999999999994</v>
      </c>
    </row>
    <row r="56" spans="3:27" x14ac:dyDescent="0.25">
      <c r="C56" s="10"/>
      <c r="D56" s="15"/>
      <c r="E56" s="11"/>
      <c r="F56" s="11"/>
      <c r="G56" s="11"/>
      <c r="H56" s="11"/>
      <c r="I56" s="11"/>
      <c r="J56" s="11"/>
      <c r="K56" s="11"/>
      <c r="L56" s="11"/>
      <c r="M56" s="11"/>
      <c r="N56" s="11"/>
      <c r="O56" s="11"/>
    </row>
    <row r="57" spans="3:27" x14ac:dyDescent="0.25">
      <c r="C57" s="2" t="s">
        <v>91</v>
      </c>
      <c r="D57" s="13">
        <v>12</v>
      </c>
      <c r="E57" s="13">
        <v>19</v>
      </c>
      <c r="F57" s="13">
        <v>17</v>
      </c>
      <c r="G57" s="13">
        <v>13.8</v>
      </c>
      <c r="H57" s="13">
        <v>18</v>
      </c>
      <c r="I57" s="13">
        <v>32</v>
      </c>
      <c r="J57" s="13">
        <v>9.8000000000000007</v>
      </c>
      <c r="K57" s="13">
        <v>66.2</v>
      </c>
      <c r="L57" s="13">
        <v>6.9</v>
      </c>
      <c r="M57" s="13">
        <v>41.9</v>
      </c>
      <c r="N57" s="13">
        <v>1</v>
      </c>
      <c r="O57" s="13">
        <v>14</v>
      </c>
      <c r="P57" s="2">
        <v>14</v>
      </c>
      <c r="Q57" s="2">
        <v>589</v>
      </c>
      <c r="R57" s="4">
        <v>11</v>
      </c>
      <c r="Y57" s="13">
        <f t="shared" si="37"/>
        <v>61.8</v>
      </c>
      <c r="Z57" s="13">
        <f>SUM(H57:K57)</f>
        <v>126</v>
      </c>
      <c r="AA57" s="13">
        <f>SUM(L57:O57)</f>
        <v>63.8</v>
      </c>
    </row>
    <row r="58" spans="3:27" x14ac:dyDescent="0.25">
      <c r="C58" s="2" t="s">
        <v>92</v>
      </c>
      <c r="D58" s="13">
        <v>3.4</v>
      </c>
      <c r="E58" s="13">
        <v>13.5</v>
      </c>
      <c r="F58" s="13">
        <v>37.5</v>
      </c>
      <c r="G58" s="13">
        <v>37.1</v>
      </c>
      <c r="H58" s="13">
        <v>24.1</v>
      </c>
      <c r="I58" s="13">
        <v>30.2</v>
      </c>
      <c r="J58" s="13">
        <v>64</v>
      </c>
      <c r="K58" s="13">
        <v>137.30000000000001</v>
      </c>
      <c r="L58" s="13">
        <v>49.8</v>
      </c>
      <c r="M58" s="13">
        <v>54.5</v>
      </c>
      <c r="N58" s="13">
        <v>45.5</v>
      </c>
      <c r="O58" s="13">
        <v>194.2</v>
      </c>
      <c r="P58" s="2">
        <v>42</v>
      </c>
      <c r="Q58" s="2">
        <v>37</v>
      </c>
      <c r="R58" s="4">
        <v>73</v>
      </c>
      <c r="Y58" s="13">
        <f t="shared" si="37"/>
        <v>91.5</v>
      </c>
      <c r="Z58" s="13">
        <f t="shared" ref="Z58:Z60" si="42">SUM(H58:K58)</f>
        <v>255.60000000000002</v>
      </c>
      <c r="AA58" s="13">
        <f t="shared" ref="AA58:AA59" si="43">SUM(L58:O58)</f>
        <v>344</v>
      </c>
    </row>
    <row r="59" spans="3:27" x14ac:dyDescent="0.25">
      <c r="C59" s="2" t="s">
        <v>93</v>
      </c>
      <c r="D59" s="13">
        <v>-377.6</v>
      </c>
      <c r="E59" s="13">
        <v>-429.6</v>
      </c>
      <c r="F59" s="13">
        <v>-300</v>
      </c>
      <c r="G59" s="13">
        <v>-414.7</v>
      </c>
      <c r="H59" s="13">
        <v>-467.2</v>
      </c>
      <c r="I59" s="13">
        <v>-250.7</v>
      </c>
      <c r="J59" s="13">
        <v>-247.6</v>
      </c>
      <c r="K59" s="13">
        <v>-294</v>
      </c>
      <c r="L59" s="13">
        <v>-342</v>
      </c>
      <c r="M59" s="13">
        <v>-243.2</v>
      </c>
      <c r="N59" s="13">
        <v>-596.6</v>
      </c>
      <c r="O59" s="13">
        <v>-539.79999999999995</v>
      </c>
      <c r="P59" s="2">
        <v>-420</v>
      </c>
      <c r="Q59" s="2">
        <v>-728</v>
      </c>
      <c r="R59" s="4">
        <v>-651</v>
      </c>
      <c r="Y59" s="13">
        <f t="shared" si="37"/>
        <v>-1521.9</v>
      </c>
      <c r="Z59" s="13">
        <f t="shared" si="42"/>
        <v>-1259.5</v>
      </c>
      <c r="AA59" s="13">
        <f t="shared" si="43"/>
        <v>-1721.6000000000001</v>
      </c>
    </row>
    <row r="60" spans="3:27" x14ac:dyDescent="0.25">
      <c r="C60" s="1" t="s">
        <v>33</v>
      </c>
      <c r="D60" s="11">
        <f t="shared" ref="D60:N60" si="44">SUM(D57:D59)</f>
        <v>-362.20000000000005</v>
      </c>
      <c r="E60" s="11">
        <f t="shared" si="44"/>
        <v>-397.1</v>
      </c>
      <c r="F60" s="11">
        <f t="shared" si="44"/>
        <v>-245.5</v>
      </c>
      <c r="G60" s="11">
        <f t="shared" si="44"/>
        <v>-363.79999999999995</v>
      </c>
      <c r="H60" s="11">
        <f t="shared" si="44"/>
        <v>-425.09999999999997</v>
      </c>
      <c r="I60" s="11">
        <f t="shared" si="44"/>
        <v>-188.5</v>
      </c>
      <c r="J60" s="11">
        <f t="shared" si="44"/>
        <v>-173.8</v>
      </c>
      <c r="K60" s="11">
        <f t="shared" si="44"/>
        <v>-90.5</v>
      </c>
      <c r="L60" s="11">
        <f t="shared" si="44"/>
        <v>-285.3</v>
      </c>
      <c r="M60" s="11">
        <f t="shared" si="44"/>
        <v>-146.79999999999998</v>
      </c>
      <c r="N60" s="11">
        <f t="shared" si="44"/>
        <v>-550.1</v>
      </c>
      <c r="O60" s="11">
        <f>SUM(O57:O59)</f>
        <v>-331.59999999999997</v>
      </c>
      <c r="P60" s="11">
        <f>SUM(P57:P59)</f>
        <v>-364</v>
      </c>
      <c r="Q60" s="11">
        <f>SUM(Q57:Q59)</f>
        <v>-102</v>
      </c>
      <c r="R60" s="12">
        <f t="shared" ref="R60:S60" si="45">SUM(R57:R59)</f>
        <v>-567</v>
      </c>
      <c r="S60" s="11">
        <f t="shared" si="45"/>
        <v>0</v>
      </c>
      <c r="Y60" s="11">
        <f t="shared" si="37"/>
        <v>-1368.6</v>
      </c>
      <c r="Z60" s="11">
        <f t="shared" si="42"/>
        <v>-877.89999999999986</v>
      </c>
      <c r="AA60" s="11">
        <f>SUM(L60:O60)</f>
        <v>-1313.8</v>
      </c>
    </row>
    <row r="61" spans="3:27" x14ac:dyDescent="0.25">
      <c r="D61" s="13"/>
      <c r="E61" s="13"/>
      <c r="F61" s="13"/>
      <c r="G61" s="13"/>
      <c r="H61" s="13"/>
      <c r="I61" s="13"/>
      <c r="J61" s="13"/>
      <c r="K61" s="13"/>
      <c r="L61" s="13"/>
      <c r="M61" s="13"/>
      <c r="N61" s="13"/>
      <c r="O61" s="13"/>
    </row>
    <row r="62" spans="3:27" x14ac:dyDescent="0.25">
      <c r="C62" s="2" t="s">
        <v>94</v>
      </c>
      <c r="D62" s="13">
        <v>0</v>
      </c>
      <c r="E62" s="13">
        <v>0</v>
      </c>
      <c r="F62" s="13">
        <v>1788.1</v>
      </c>
      <c r="G62" s="13">
        <v>-40</v>
      </c>
      <c r="H62" s="13">
        <v>0</v>
      </c>
      <c r="I62" s="13">
        <v>169.8</v>
      </c>
      <c r="J62" s="13">
        <v>0</v>
      </c>
      <c r="K62" s="13">
        <v>0</v>
      </c>
      <c r="L62" s="13">
        <v>0</v>
      </c>
      <c r="M62" s="13">
        <v>0</v>
      </c>
      <c r="N62" s="13">
        <v>0</v>
      </c>
      <c r="O62" s="13">
        <v>0</v>
      </c>
      <c r="P62" s="2">
        <v>399</v>
      </c>
      <c r="Q62" s="2">
        <v>0</v>
      </c>
      <c r="R62" s="4">
        <v>364</v>
      </c>
      <c r="Y62" s="13">
        <f t="shared" si="37"/>
        <v>1748.1</v>
      </c>
      <c r="Z62" s="13">
        <f>SUM(H62:K62)</f>
        <v>169.8</v>
      </c>
      <c r="AA62" s="13">
        <f>SUM(L62:O62)</f>
        <v>0</v>
      </c>
    </row>
    <row r="63" spans="3:27" x14ac:dyDescent="0.25">
      <c r="C63" s="2" t="s">
        <v>95</v>
      </c>
      <c r="D63" s="13">
        <v>17.5</v>
      </c>
      <c r="E63" s="13">
        <v>390.9</v>
      </c>
      <c r="F63" s="13">
        <v>130.30000000000001</v>
      </c>
      <c r="G63" s="13">
        <v>418.7</v>
      </c>
      <c r="H63" s="13">
        <v>0</v>
      </c>
      <c r="I63" s="13">
        <v>0</v>
      </c>
      <c r="J63" s="13">
        <v>595.6</v>
      </c>
      <c r="K63" s="13">
        <v>-0.4</v>
      </c>
      <c r="L63" s="13">
        <v>158.6</v>
      </c>
      <c r="M63" s="13">
        <v>74.2</v>
      </c>
      <c r="N63" s="13">
        <v>-26.3</v>
      </c>
      <c r="O63" s="13">
        <v>893</v>
      </c>
      <c r="P63" s="2">
        <v>0</v>
      </c>
      <c r="Q63" s="2">
        <v>328</v>
      </c>
      <c r="R63" s="4">
        <v>986</v>
      </c>
      <c r="Y63" s="13">
        <f t="shared" si="37"/>
        <v>957.40000000000009</v>
      </c>
      <c r="Z63" s="13">
        <f t="shared" ref="Z63:Z66" si="46">SUM(H63:K63)</f>
        <v>595.20000000000005</v>
      </c>
      <c r="AA63" s="13">
        <f t="shared" ref="AA63:AA65" si="47">SUM(L63:O63)</f>
        <v>1099.5</v>
      </c>
    </row>
    <row r="64" spans="3:27" x14ac:dyDescent="0.25">
      <c r="C64" s="2" t="s">
        <v>96</v>
      </c>
      <c r="D64" s="13">
        <v>-66.2</v>
      </c>
      <c r="E64" s="13">
        <v>-746.2</v>
      </c>
      <c r="F64" s="13">
        <v>-95.8</v>
      </c>
      <c r="G64" s="13">
        <v>-537</v>
      </c>
      <c r="H64" s="13">
        <v>-250.2</v>
      </c>
      <c r="I64" s="13">
        <v>-221.7</v>
      </c>
      <c r="J64" s="13">
        <v>-473.6</v>
      </c>
      <c r="K64" s="13">
        <v>-499.1</v>
      </c>
      <c r="L64" s="13">
        <v>-112.7</v>
      </c>
      <c r="M64" s="13">
        <v>-488.2</v>
      </c>
      <c r="N64" s="13">
        <v>-1008.8</v>
      </c>
      <c r="O64" s="13">
        <v>-396.4</v>
      </c>
      <c r="P64" s="2">
        <v>-49</v>
      </c>
      <c r="Q64" s="2">
        <v>-611</v>
      </c>
      <c r="R64" s="4">
        <v>-730</v>
      </c>
      <c r="Y64" s="13">
        <f t="shared" si="37"/>
        <v>-1445.2</v>
      </c>
      <c r="Z64" s="13">
        <f t="shared" si="46"/>
        <v>-1444.6</v>
      </c>
      <c r="AA64" s="13">
        <f t="shared" si="47"/>
        <v>-2006.1</v>
      </c>
    </row>
    <row r="65" spans="3:27" x14ac:dyDescent="0.25">
      <c r="C65" s="2" t="s">
        <v>97</v>
      </c>
      <c r="D65" s="13">
        <v>-157.5</v>
      </c>
      <c r="E65" s="13">
        <v>-294.8</v>
      </c>
      <c r="F65" s="13">
        <v>-465.9</v>
      </c>
      <c r="G65" s="13">
        <v>-135.5</v>
      </c>
      <c r="H65" s="13">
        <v>-209.6</v>
      </c>
      <c r="I65" s="13">
        <v>-420.8</v>
      </c>
      <c r="J65" s="13">
        <v>-355.6</v>
      </c>
      <c r="K65" s="13">
        <v>-18.8</v>
      </c>
      <c r="L65" s="13">
        <v>-106.8</v>
      </c>
      <c r="M65" s="13">
        <v>-291.5</v>
      </c>
      <c r="N65" s="13">
        <v>-59.6</v>
      </c>
      <c r="O65" s="13">
        <v>-2</v>
      </c>
      <c r="P65" s="2">
        <v>-138</v>
      </c>
      <c r="Q65" s="2">
        <v>-287</v>
      </c>
      <c r="R65" s="4">
        <v>-80</v>
      </c>
      <c r="Y65" s="13">
        <f t="shared" si="37"/>
        <v>-1053.7</v>
      </c>
      <c r="Z65" s="13">
        <f t="shared" si="46"/>
        <v>-1004.8</v>
      </c>
      <c r="AA65" s="13">
        <f t="shared" si="47"/>
        <v>-459.90000000000003</v>
      </c>
    </row>
    <row r="66" spans="3:27" x14ac:dyDescent="0.25">
      <c r="C66" s="1" t="s">
        <v>32</v>
      </c>
      <c r="D66" s="11">
        <f t="shared" ref="D66:N66" si="48">SUM(D62:D65)</f>
        <v>-206.2</v>
      </c>
      <c r="E66" s="11">
        <f t="shared" si="48"/>
        <v>-650.10000000000014</v>
      </c>
      <c r="F66" s="11">
        <f t="shared" si="48"/>
        <v>1356.6999999999998</v>
      </c>
      <c r="G66" s="11">
        <f t="shared" si="48"/>
        <v>-293.8</v>
      </c>
      <c r="H66" s="11">
        <f t="shared" si="48"/>
        <v>-459.79999999999995</v>
      </c>
      <c r="I66" s="11">
        <f t="shared" si="48"/>
        <v>-472.7</v>
      </c>
      <c r="J66" s="11">
        <f t="shared" si="48"/>
        <v>-233.60000000000002</v>
      </c>
      <c r="K66" s="11">
        <f t="shared" si="48"/>
        <v>-518.29999999999995</v>
      </c>
      <c r="L66" s="11">
        <f t="shared" si="48"/>
        <v>-60.900000000000006</v>
      </c>
      <c r="M66" s="11">
        <f t="shared" si="48"/>
        <v>-705.5</v>
      </c>
      <c r="N66" s="11">
        <f t="shared" si="48"/>
        <v>-1094.6999999999998</v>
      </c>
      <c r="O66" s="11">
        <f>SUM(O62:O65)</f>
        <v>494.6</v>
      </c>
      <c r="P66" s="11">
        <f>SUM(P62:P65)</f>
        <v>212</v>
      </c>
      <c r="Q66" s="11">
        <f>SUM(Q62:Q65)</f>
        <v>-570</v>
      </c>
      <c r="R66" s="12">
        <f t="shared" ref="R66:S66" si="49">SUM(R62:R65)</f>
        <v>540</v>
      </c>
      <c r="S66" s="11">
        <f t="shared" si="49"/>
        <v>0</v>
      </c>
      <c r="Y66" s="11">
        <f t="shared" si="37"/>
        <v>206.59999999999962</v>
      </c>
      <c r="Z66" s="11">
        <f t="shared" si="46"/>
        <v>-1684.3999999999999</v>
      </c>
      <c r="AA66" s="11">
        <f>SUM(L66:O66)</f>
        <v>-1366.5</v>
      </c>
    </row>
    <row r="67" spans="3:27" x14ac:dyDescent="0.25">
      <c r="D67" s="13"/>
      <c r="E67" s="13"/>
      <c r="F67" s="13"/>
      <c r="G67" s="13"/>
      <c r="H67" s="13"/>
      <c r="I67" s="13"/>
      <c r="J67" s="13"/>
      <c r="K67" s="13"/>
      <c r="L67" s="13"/>
      <c r="M67" s="13"/>
      <c r="N67" s="13"/>
      <c r="O67" s="13"/>
    </row>
    <row r="68" spans="3:27" x14ac:dyDescent="0.25">
      <c r="C68" s="2" t="s">
        <v>98</v>
      </c>
      <c r="D68" s="13">
        <v>-40.5</v>
      </c>
      <c r="E68" s="13">
        <v>77</v>
      </c>
      <c r="F68" s="13">
        <v>6.7</v>
      </c>
      <c r="G68" s="13">
        <v>-4</v>
      </c>
      <c r="H68" s="13">
        <v>0</v>
      </c>
      <c r="I68" s="13">
        <v>154.4</v>
      </c>
      <c r="J68" s="13">
        <v>-164.2</v>
      </c>
      <c r="K68" s="13">
        <v>-17.2</v>
      </c>
      <c r="L68" s="13">
        <v>94.1</v>
      </c>
      <c r="M68" s="13">
        <v>-203.3</v>
      </c>
      <c r="N68" s="13">
        <v>287.7</v>
      </c>
      <c r="O68" s="13">
        <v>13.1</v>
      </c>
      <c r="P68" s="2">
        <v>-82</v>
      </c>
      <c r="Q68" s="2">
        <v>-30</v>
      </c>
      <c r="R68" s="4">
        <v>84</v>
      </c>
      <c r="Y68" s="13">
        <f>SUM(D68:G68)</f>
        <v>39.200000000000003</v>
      </c>
      <c r="Z68" s="13">
        <f>SUM(H68:K68)</f>
        <v>-26.999999999999982</v>
      </c>
      <c r="AA68" s="13">
        <f>SUM(L68:O68)</f>
        <v>191.59999999999997</v>
      </c>
    </row>
    <row r="69" spans="3:27" x14ac:dyDescent="0.25">
      <c r="D69" s="13"/>
      <c r="E69" s="13"/>
      <c r="F69" s="13"/>
      <c r="G69" s="13"/>
      <c r="H69" s="13"/>
      <c r="I69" s="13"/>
      <c r="J69" s="13"/>
      <c r="K69" s="13"/>
      <c r="L69" s="13"/>
      <c r="M69" s="13"/>
      <c r="N69" s="13"/>
      <c r="O69" s="13"/>
    </row>
    <row r="70" spans="3:27" x14ac:dyDescent="0.25">
      <c r="C70" s="2" t="s">
        <v>99</v>
      </c>
      <c r="D70" s="13">
        <f t="shared" ref="D70:N70" si="50">D55+D60+D66+D68</f>
        <v>469.3</v>
      </c>
      <c r="E70" s="13">
        <f t="shared" si="50"/>
        <v>-732.00000000000023</v>
      </c>
      <c r="F70" s="13">
        <f t="shared" si="50"/>
        <v>1476.5999999999997</v>
      </c>
      <c r="G70" s="13">
        <f t="shared" si="50"/>
        <v>206.10000000000019</v>
      </c>
      <c r="H70" s="13">
        <f t="shared" si="50"/>
        <v>631.60000000000014</v>
      </c>
      <c r="I70" s="13">
        <f t="shared" si="50"/>
        <v>-41.300000000000153</v>
      </c>
      <c r="J70" s="13">
        <f t="shared" si="50"/>
        <v>-224.50000000000011</v>
      </c>
      <c r="K70" s="13">
        <f t="shared" si="50"/>
        <v>-537.70000000000016</v>
      </c>
      <c r="L70" s="13">
        <f t="shared" si="50"/>
        <v>1084.9999999999998</v>
      </c>
      <c r="M70" s="13">
        <f t="shared" si="50"/>
        <v>257.29999999999967</v>
      </c>
      <c r="N70" s="13">
        <f t="shared" si="50"/>
        <v>-632.69999999999982</v>
      </c>
      <c r="O70" s="13">
        <f>O55+O60+O66+O68</f>
        <v>412.90000000000015</v>
      </c>
      <c r="P70" s="13">
        <f>P55+P60+P66+P68</f>
        <v>242</v>
      </c>
      <c r="Q70" s="13">
        <f>Q55+Q60+Q66+Q68</f>
        <v>71</v>
      </c>
      <c r="R70" s="14">
        <f t="shared" ref="R70:S70" si="51">R55+R60+R66+R68</f>
        <v>324</v>
      </c>
      <c r="S70" s="13">
        <f t="shared" si="51"/>
        <v>0</v>
      </c>
      <c r="Y70" s="13">
        <f>Y55+Y60+Y66+Y68</f>
        <v>1420</v>
      </c>
      <c r="Z70" s="13">
        <f>Z55+Z60+Z66+Z68</f>
        <v>-171.90000000000052</v>
      </c>
      <c r="AA70" s="13">
        <f>AA55+AA60+AA66+AA68</f>
        <v>1122.4999999999995</v>
      </c>
    </row>
    <row r="71" spans="3:27" x14ac:dyDescent="0.25">
      <c r="D71" s="13"/>
      <c r="E71" s="13"/>
      <c r="F71" s="13"/>
      <c r="G71" s="13"/>
      <c r="H71" s="13"/>
      <c r="I71" s="13"/>
      <c r="J71" s="13"/>
      <c r="K71" s="13"/>
      <c r="L71" s="13"/>
      <c r="M71" s="13"/>
      <c r="N71" s="13"/>
      <c r="O71" s="13"/>
      <c r="P71" s="13"/>
      <c r="Q71" s="13"/>
      <c r="R71" s="14"/>
      <c r="S71" s="13"/>
    </row>
    <row r="72" spans="3:27" x14ac:dyDescent="0.25">
      <c r="C72" s="2" t="s">
        <v>100</v>
      </c>
      <c r="D72" s="13">
        <f t="shared" ref="D72:P72" si="52">D55+D59+D57</f>
        <v>712.6</v>
      </c>
      <c r="E72" s="13">
        <f t="shared" si="52"/>
        <v>-172.40000000000003</v>
      </c>
      <c r="F72" s="13">
        <f t="shared" si="52"/>
        <v>75.699999999999932</v>
      </c>
      <c r="G72" s="13">
        <f t="shared" si="52"/>
        <v>466.80000000000018</v>
      </c>
      <c r="H72" s="13">
        <f t="shared" si="52"/>
        <v>1067.3</v>
      </c>
      <c r="I72" s="13">
        <f t="shared" si="52"/>
        <v>246.79999999999984</v>
      </c>
      <c r="J72" s="13">
        <f t="shared" si="52"/>
        <v>109.29999999999991</v>
      </c>
      <c r="K72" s="13">
        <f t="shared" si="52"/>
        <v>-139.50000000000011</v>
      </c>
      <c r="L72" s="13">
        <f t="shared" si="52"/>
        <v>1001.9999999999997</v>
      </c>
      <c r="M72" s="13">
        <f t="shared" si="52"/>
        <v>1111.5999999999997</v>
      </c>
      <c r="N72" s="13">
        <f t="shared" si="52"/>
        <v>128.79999999999995</v>
      </c>
      <c r="O72" s="13">
        <f t="shared" si="52"/>
        <v>-288.99999999999989</v>
      </c>
      <c r="P72" s="13">
        <f t="shared" si="52"/>
        <v>70</v>
      </c>
      <c r="Q72" s="13">
        <f>Q55+Q59+Q57</f>
        <v>634</v>
      </c>
      <c r="R72" s="14">
        <f t="shared" ref="R72:S72" si="53">R55+R59+R57</f>
        <v>-373</v>
      </c>
      <c r="S72" s="13">
        <f t="shared" si="53"/>
        <v>0</v>
      </c>
      <c r="Y72" s="13">
        <f>Y55+Y59</f>
        <v>1020.9000000000001</v>
      </c>
      <c r="Z72" s="13">
        <f>Z55+Z59</f>
        <v>1157.8999999999992</v>
      </c>
      <c r="AA72" s="13">
        <f>AA55+AA59</f>
        <v>1889.5999999999992</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46E0-9A04-9145-BF90-0219D90A738F}">
  <dimension ref="A2:P49"/>
  <sheetViews>
    <sheetView showGridLines="0" tabSelected="1" zoomScale="70" zoomScaleNormal="70" workbookViewId="0">
      <selection activeCell="N35" sqref="N35"/>
    </sheetView>
  </sheetViews>
  <sheetFormatPr baseColWidth="10" defaultRowHeight="19" x14ac:dyDescent="0.25"/>
  <cols>
    <col min="1" max="1" width="10.83203125" style="2"/>
    <col min="2" max="2" width="17.1640625" style="2" customWidth="1"/>
    <col min="3" max="4" width="10.83203125" style="2"/>
    <col min="5" max="5" width="12.83203125" style="2" customWidth="1"/>
    <col min="6" max="6" width="12.1640625" style="2" bestFit="1" customWidth="1"/>
    <col min="7" max="7" width="19.5" style="2" bestFit="1" customWidth="1"/>
    <col min="8" max="9" width="10.83203125" style="2"/>
    <col min="10" max="10" width="14.5" style="2" bestFit="1" customWidth="1"/>
    <col min="11" max="11" width="20" style="2" bestFit="1" customWidth="1"/>
    <col min="12" max="12" width="24.83203125" style="2" customWidth="1"/>
    <col min="13" max="13" width="12.1640625" style="2" bestFit="1" customWidth="1"/>
    <col min="14" max="14" width="13.1640625" style="2" customWidth="1"/>
    <col min="15" max="16384" width="10.83203125" style="2"/>
  </cols>
  <sheetData>
    <row r="2" spans="1:13" ht="20" thickBot="1" x14ac:dyDescent="0.3">
      <c r="A2" s="1"/>
      <c r="B2" s="27" t="s">
        <v>119</v>
      </c>
      <c r="C2" s="27" t="s">
        <v>120</v>
      </c>
      <c r="D2" s="27" t="s">
        <v>121</v>
      </c>
      <c r="E2" s="27" t="s">
        <v>122</v>
      </c>
      <c r="F2" s="27" t="s">
        <v>123</v>
      </c>
      <c r="G2" s="27" t="s">
        <v>124</v>
      </c>
      <c r="H2" s="27" t="s">
        <v>125</v>
      </c>
      <c r="I2" s="27" t="s">
        <v>126</v>
      </c>
      <c r="J2" s="27" t="s">
        <v>127</v>
      </c>
      <c r="K2" s="27" t="s">
        <v>128</v>
      </c>
      <c r="L2" s="27" t="s">
        <v>129</v>
      </c>
      <c r="M2" s="27" t="s">
        <v>130</v>
      </c>
    </row>
    <row r="3" spans="1:13" x14ac:dyDescent="0.25">
      <c r="B3" s="2" t="s">
        <v>131</v>
      </c>
      <c r="C3" s="2" t="s">
        <v>147</v>
      </c>
      <c r="D3" s="2" t="s">
        <v>149</v>
      </c>
      <c r="E3" s="2" t="s">
        <v>155</v>
      </c>
      <c r="F3" s="25">
        <v>0.51</v>
      </c>
      <c r="G3" s="7">
        <v>32</v>
      </c>
      <c r="H3" s="28">
        <v>1</v>
      </c>
      <c r="I3" s="20">
        <v>6.4000000000000001E-2</v>
      </c>
      <c r="J3" s="13">
        <v>43</v>
      </c>
      <c r="K3" s="9">
        <f>J3/G3</f>
        <v>1.34375</v>
      </c>
      <c r="L3" s="13">
        <f>J3*H3</f>
        <v>43</v>
      </c>
      <c r="M3" s="21">
        <f>L3/Modell!$B$5</f>
        <v>1.0110060231741862</v>
      </c>
    </row>
    <row r="4" spans="1:13" x14ac:dyDescent="0.25">
      <c r="B4" s="2" t="s">
        <v>132</v>
      </c>
      <c r="C4" s="2" t="s">
        <v>147</v>
      </c>
      <c r="D4" s="2" t="s">
        <v>149</v>
      </c>
      <c r="E4" s="2" t="s">
        <v>155</v>
      </c>
      <c r="F4" s="25">
        <v>0.51</v>
      </c>
      <c r="G4" s="7">
        <v>70</v>
      </c>
      <c r="H4" s="28">
        <v>1</v>
      </c>
      <c r="I4" s="20">
        <v>6.4000000000000001E-2</v>
      </c>
      <c r="J4" s="13">
        <v>876</v>
      </c>
      <c r="K4" s="9">
        <f t="shared" ref="K4:K18" si="0">J4/G4</f>
        <v>12.514285714285714</v>
      </c>
      <c r="L4" s="13">
        <f t="shared" ref="L4:L18" si="1">J4*H4</f>
        <v>876</v>
      </c>
      <c r="M4" s="21">
        <f>L4/Modell!$B$5</f>
        <v>20.596308751176441</v>
      </c>
    </row>
    <row r="5" spans="1:13" x14ac:dyDescent="0.25">
      <c r="B5" s="2" t="s">
        <v>133</v>
      </c>
      <c r="C5" s="2" t="s">
        <v>147</v>
      </c>
      <c r="D5" s="2" t="s">
        <v>149</v>
      </c>
      <c r="E5" s="2" t="s">
        <v>155</v>
      </c>
      <c r="F5" s="25">
        <v>0.51</v>
      </c>
      <c r="G5" s="7">
        <v>7</v>
      </c>
      <c r="H5" s="28">
        <v>1</v>
      </c>
      <c r="I5" s="20">
        <v>6.4000000000000001E-2</v>
      </c>
      <c r="J5" s="13">
        <v>167</v>
      </c>
      <c r="K5" s="9">
        <f t="shared" si="0"/>
        <v>23.857142857142858</v>
      </c>
      <c r="L5" s="13">
        <f t="shared" si="1"/>
        <v>167</v>
      </c>
      <c r="M5" s="21">
        <f>L5/Modell!$B$5</f>
        <v>3.9264652527927693</v>
      </c>
    </row>
    <row r="6" spans="1:13" x14ac:dyDescent="0.25">
      <c r="B6" s="2" t="s">
        <v>134</v>
      </c>
      <c r="C6" s="2" t="s">
        <v>147</v>
      </c>
      <c r="D6" s="2" t="s">
        <v>149</v>
      </c>
      <c r="E6" s="2" t="s">
        <v>155</v>
      </c>
      <c r="F6" s="25">
        <v>0.51</v>
      </c>
      <c r="G6" s="7">
        <v>26</v>
      </c>
      <c r="H6" s="28">
        <v>1</v>
      </c>
      <c r="I6" s="20">
        <v>6.4000000000000001E-2</v>
      </c>
      <c r="J6" s="13">
        <v>162</v>
      </c>
      <c r="K6" s="9">
        <f t="shared" si="0"/>
        <v>6.2307692307692308</v>
      </c>
      <c r="L6" s="13">
        <f t="shared" si="1"/>
        <v>162</v>
      </c>
      <c r="M6" s="21">
        <f>L6/Modell!$B$5</f>
        <v>3.8089064128887942</v>
      </c>
    </row>
    <row r="7" spans="1:13" x14ac:dyDescent="0.25">
      <c r="B7" s="2" t="s">
        <v>135</v>
      </c>
      <c r="C7" s="2" t="s">
        <v>147</v>
      </c>
      <c r="D7" s="2" t="s">
        <v>149</v>
      </c>
      <c r="E7" s="2" t="s">
        <v>155</v>
      </c>
      <c r="F7" s="25">
        <v>0.51</v>
      </c>
      <c r="G7" s="7">
        <v>21</v>
      </c>
      <c r="H7" s="28">
        <v>1</v>
      </c>
      <c r="I7" s="20">
        <v>6.4000000000000001E-2</v>
      </c>
      <c r="J7" s="13">
        <v>485</v>
      </c>
      <c r="K7" s="9">
        <f t="shared" si="0"/>
        <v>23.095238095238095</v>
      </c>
      <c r="L7" s="13">
        <f t="shared" si="1"/>
        <v>485</v>
      </c>
      <c r="M7" s="21">
        <f>L7/Modell!$B$5</f>
        <v>11.403207470685587</v>
      </c>
    </row>
    <row r="8" spans="1:13" x14ac:dyDescent="0.25">
      <c r="B8" s="2" t="s">
        <v>136</v>
      </c>
      <c r="C8" s="2" t="s">
        <v>147</v>
      </c>
      <c r="D8" s="2" t="s">
        <v>149</v>
      </c>
      <c r="E8" s="2" t="s">
        <v>155</v>
      </c>
      <c r="F8" s="25">
        <v>0.51</v>
      </c>
      <c r="G8" s="7">
        <v>33</v>
      </c>
      <c r="H8" s="28">
        <v>1</v>
      </c>
      <c r="I8" s="20">
        <v>6.4000000000000001E-2</v>
      </c>
      <c r="J8" s="13">
        <v>313</v>
      </c>
      <c r="K8" s="9">
        <f t="shared" si="0"/>
        <v>9.4848484848484844</v>
      </c>
      <c r="L8" s="13">
        <f t="shared" si="1"/>
        <v>313</v>
      </c>
      <c r="M8" s="21">
        <f>L8/Modell!$B$5</f>
        <v>7.3591833779888427</v>
      </c>
    </row>
    <row r="9" spans="1:13" x14ac:dyDescent="0.25">
      <c r="B9" s="2" t="s">
        <v>137</v>
      </c>
      <c r="C9" s="2" t="s">
        <v>147</v>
      </c>
      <c r="D9" s="2" t="s">
        <v>149</v>
      </c>
      <c r="E9" s="2" t="s">
        <v>155</v>
      </c>
      <c r="F9" s="25">
        <v>0.51</v>
      </c>
      <c r="G9" s="7">
        <v>39</v>
      </c>
      <c r="H9" s="28">
        <v>1</v>
      </c>
      <c r="I9" s="20">
        <v>6.4000000000000001E-2</v>
      </c>
      <c r="J9" s="13">
        <v>709</v>
      </c>
      <c r="K9" s="9">
        <f t="shared" si="0"/>
        <v>18.179487179487179</v>
      </c>
      <c r="L9" s="13">
        <f t="shared" si="1"/>
        <v>709</v>
      </c>
      <c r="M9" s="21">
        <f>L9/Modell!$B$5</f>
        <v>16.669843498383674</v>
      </c>
    </row>
    <row r="10" spans="1:13" x14ac:dyDescent="0.25">
      <c r="B10" s="2" t="s">
        <v>138</v>
      </c>
      <c r="C10" s="2" t="s">
        <v>147</v>
      </c>
      <c r="D10" s="2" t="s">
        <v>149</v>
      </c>
      <c r="E10" s="2" t="s">
        <v>155</v>
      </c>
      <c r="F10" s="25">
        <v>0.51</v>
      </c>
      <c r="G10" s="7">
        <v>31</v>
      </c>
      <c r="H10" s="28">
        <v>1</v>
      </c>
      <c r="I10" s="20">
        <v>6.4000000000000001E-2</v>
      </c>
      <c r="J10" s="13">
        <v>762</v>
      </c>
      <c r="K10" s="9">
        <f t="shared" si="0"/>
        <v>24.580645161290324</v>
      </c>
      <c r="L10" s="13">
        <f t="shared" si="1"/>
        <v>762</v>
      </c>
      <c r="M10" s="21">
        <f>L10/Modell!$B$5</f>
        <v>17.91596720136581</v>
      </c>
    </row>
    <row r="11" spans="1:13" x14ac:dyDescent="0.25">
      <c r="B11" s="2" t="s">
        <v>139</v>
      </c>
      <c r="C11" s="2" t="s">
        <v>147</v>
      </c>
      <c r="D11" s="2" t="s">
        <v>149</v>
      </c>
      <c r="E11" s="2" t="s">
        <v>155</v>
      </c>
      <c r="F11" s="25">
        <v>1</v>
      </c>
      <c r="G11" s="7">
        <v>22</v>
      </c>
      <c r="H11" s="28">
        <v>1</v>
      </c>
      <c r="I11" s="20">
        <v>6.4000000000000001E-2</v>
      </c>
      <c r="J11" s="13">
        <v>36</v>
      </c>
      <c r="K11" s="9">
        <f t="shared" si="0"/>
        <v>1.6363636363636365</v>
      </c>
      <c r="L11" s="13">
        <f t="shared" si="1"/>
        <v>36</v>
      </c>
      <c r="M11" s="21">
        <f>L11/Modell!$B$5</f>
        <v>0.84642364730862096</v>
      </c>
    </row>
    <row r="12" spans="1:13" x14ac:dyDescent="0.25">
      <c r="B12" s="2" t="s">
        <v>140</v>
      </c>
      <c r="C12" s="2" t="s">
        <v>147</v>
      </c>
      <c r="D12" s="2" t="s">
        <v>150</v>
      </c>
      <c r="E12" s="2" t="s">
        <v>155</v>
      </c>
      <c r="F12" s="25">
        <v>0.51</v>
      </c>
      <c r="G12" s="7">
        <v>36</v>
      </c>
      <c r="H12" s="28">
        <v>1</v>
      </c>
      <c r="I12" s="20">
        <v>7.0000000000000007E-2</v>
      </c>
      <c r="J12" s="13">
        <v>293</v>
      </c>
      <c r="K12" s="9">
        <f t="shared" si="0"/>
        <v>8.1388888888888893</v>
      </c>
      <c r="L12" s="13">
        <f t="shared" si="1"/>
        <v>293</v>
      </c>
      <c r="M12" s="21">
        <f>L12/Modell!$B$5</f>
        <v>6.8889480183729424</v>
      </c>
    </row>
    <row r="13" spans="1:13" x14ac:dyDescent="0.25">
      <c r="B13" s="2" t="s">
        <v>141</v>
      </c>
      <c r="C13" s="2" t="s">
        <v>147</v>
      </c>
      <c r="D13" s="2" t="s">
        <v>151</v>
      </c>
      <c r="E13" s="2" t="s">
        <v>155</v>
      </c>
      <c r="F13" s="25">
        <v>0.51</v>
      </c>
      <c r="G13" s="7">
        <v>40</v>
      </c>
      <c r="H13" s="28">
        <v>1</v>
      </c>
      <c r="I13" s="20">
        <v>6.7000000000000004E-2</v>
      </c>
      <c r="J13" s="13">
        <v>361</v>
      </c>
      <c r="K13" s="9">
        <f t="shared" si="0"/>
        <v>9.0250000000000004</v>
      </c>
      <c r="L13" s="13">
        <f t="shared" si="1"/>
        <v>361</v>
      </c>
      <c r="M13" s="21">
        <f>L13/Modell!$B$5</f>
        <v>8.4877482410670044</v>
      </c>
    </row>
    <row r="14" spans="1:13" x14ac:dyDescent="0.25">
      <c r="B14" s="2" t="s">
        <v>142</v>
      </c>
      <c r="C14" s="2" t="s">
        <v>147</v>
      </c>
      <c r="D14" s="2" t="s">
        <v>151</v>
      </c>
      <c r="E14" s="2" t="s">
        <v>155</v>
      </c>
      <c r="F14" s="25">
        <v>0.51</v>
      </c>
      <c r="G14" s="7">
        <v>55</v>
      </c>
      <c r="H14" s="28">
        <v>1</v>
      </c>
      <c r="I14" s="20">
        <v>6.7000000000000004E-2</v>
      </c>
      <c r="J14" s="13">
        <v>730</v>
      </c>
      <c r="K14" s="9">
        <f t="shared" si="0"/>
        <v>13.272727272727273</v>
      </c>
      <c r="L14" s="13">
        <f t="shared" si="1"/>
        <v>730</v>
      </c>
      <c r="M14" s="21">
        <f>L14/Modell!$B$5</f>
        <v>17.163590625980369</v>
      </c>
    </row>
    <row r="15" spans="1:13" x14ac:dyDescent="0.25">
      <c r="B15" s="2" t="s">
        <v>143</v>
      </c>
      <c r="C15" s="2" t="s">
        <v>147</v>
      </c>
      <c r="D15" s="2" t="s">
        <v>151</v>
      </c>
      <c r="E15" s="2" t="s">
        <v>155</v>
      </c>
      <c r="F15" s="25">
        <v>0.51</v>
      </c>
      <c r="G15" s="7">
        <v>9</v>
      </c>
      <c r="H15" s="28">
        <v>1</v>
      </c>
      <c r="I15" s="20">
        <v>6.7000000000000004E-2</v>
      </c>
      <c r="J15" s="13">
        <v>155</v>
      </c>
      <c r="K15" s="9">
        <f t="shared" si="0"/>
        <v>17.222222222222221</v>
      </c>
      <c r="L15" s="13">
        <f t="shared" si="1"/>
        <v>155</v>
      </c>
      <c r="M15" s="21">
        <f>L15/Modell!$B$5</f>
        <v>3.644324037023229</v>
      </c>
    </row>
    <row r="16" spans="1:13" x14ac:dyDescent="0.25">
      <c r="B16" s="2" t="s">
        <v>144</v>
      </c>
      <c r="C16" s="2" t="s">
        <v>147</v>
      </c>
      <c r="D16" s="2" t="s">
        <v>149</v>
      </c>
      <c r="E16" s="2" t="s">
        <v>153</v>
      </c>
      <c r="F16" s="25">
        <v>1</v>
      </c>
      <c r="G16" s="7">
        <v>49</v>
      </c>
      <c r="H16" s="28">
        <v>1</v>
      </c>
      <c r="I16" s="20">
        <v>6.4000000000000001E-2</v>
      </c>
      <c r="J16" s="13">
        <v>828</v>
      </c>
      <c r="K16" s="9">
        <f t="shared" si="0"/>
        <v>16.897959183673468</v>
      </c>
      <c r="L16" s="13">
        <f t="shared" si="1"/>
        <v>828</v>
      </c>
      <c r="M16" s="21">
        <f>L16/Modell!$B$5</f>
        <v>19.46774388809828</v>
      </c>
    </row>
    <row r="17" spans="2:16" x14ac:dyDescent="0.25">
      <c r="B17" s="2" t="s">
        <v>145</v>
      </c>
      <c r="C17" s="2" t="s">
        <v>147</v>
      </c>
      <c r="D17" s="2" t="s">
        <v>149</v>
      </c>
      <c r="E17" s="2" t="s">
        <v>153</v>
      </c>
      <c r="F17" s="25">
        <v>1</v>
      </c>
      <c r="G17" s="7">
        <v>88</v>
      </c>
      <c r="H17" s="28">
        <v>0.8</v>
      </c>
      <c r="I17" s="20">
        <v>6.4000000000000001E-2</v>
      </c>
      <c r="J17" s="13">
        <v>111</v>
      </c>
      <c r="K17" s="9">
        <f t="shared" si="0"/>
        <v>1.2613636363636365</v>
      </c>
      <c r="L17" s="13">
        <f t="shared" si="1"/>
        <v>88.800000000000011</v>
      </c>
      <c r="M17" s="21">
        <f>L17/Modell!$B$5</f>
        <v>2.0878449966945984</v>
      </c>
    </row>
    <row r="18" spans="2:16" x14ac:dyDescent="0.25">
      <c r="B18" s="29" t="s">
        <v>146</v>
      </c>
      <c r="C18" s="29" t="s">
        <v>148</v>
      </c>
      <c r="D18" s="29" t="s">
        <v>152</v>
      </c>
      <c r="E18" s="29" t="s">
        <v>154</v>
      </c>
      <c r="F18" s="30">
        <v>0.5</v>
      </c>
      <c r="G18" s="31">
        <v>650</v>
      </c>
      <c r="H18" s="32">
        <v>0.6</v>
      </c>
      <c r="I18" s="33">
        <v>6.7000000000000004E-2</v>
      </c>
      <c r="J18" s="36">
        <v>4250</v>
      </c>
      <c r="K18" s="34">
        <f t="shared" si="0"/>
        <v>6.5384615384615383</v>
      </c>
      <c r="L18" s="36">
        <f t="shared" si="1"/>
        <v>2550</v>
      </c>
      <c r="M18" s="35">
        <f>L18/Modell!$B$5</f>
        <v>59.955008351027317</v>
      </c>
    </row>
    <row r="19" spans="2:16" x14ac:dyDescent="0.25">
      <c r="B19" s="1" t="s">
        <v>156</v>
      </c>
      <c r="C19" s="1"/>
      <c r="D19" s="1"/>
      <c r="E19" s="1"/>
      <c r="F19" s="1"/>
      <c r="G19" s="37">
        <f>SUM(G3:G18)</f>
        <v>1208</v>
      </c>
      <c r="H19" s="1"/>
      <c r="I19" s="38">
        <f>AVERAGE(I3:I18)</f>
        <v>6.5125000000000002E-2</v>
      </c>
      <c r="J19" s="11">
        <f>SUM(J3:J18)</f>
        <v>10281</v>
      </c>
      <c r="K19" s="1"/>
      <c r="L19" s="11">
        <f>SUM(L3:L18)</f>
        <v>8558.7999999999993</v>
      </c>
      <c r="M19" s="39">
        <f>SUM(M3:M18)</f>
        <v>201.23251979402846</v>
      </c>
    </row>
    <row r="21" spans="2:16" x14ac:dyDescent="0.25">
      <c r="B21" s="2" t="s">
        <v>157</v>
      </c>
      <c r="L21" s="13">
        <v>-2037</v>
      </c>
      <c r="M21" s="21">
        <f>L21/Modell!$B$5</f>
        <v>-47.893471376879468</v>
      </c>
    </row>
    <row r="22" spans="2:16" x14ac:dyDescent="0.25">
      <c r="B22" s="29" t="s">
        <v>158</v>
      </c>
      <c r="C22" s="29"/>
      <c r="D22" s="29"/>
      <c r="E22" s="29"/>
      <c r="F22" s="29"/>
      <c r="G22" s="29"/>
      <c r="H22" s="29"/>
      <c r="I22" s="29"/>
      <c r="J22" s="29"/>
      <c r="K22" s="29"/>
      <c r="L22" s="36">
        <v>-2122</v>
      </c>
      <c r="M22" s="35">
        <f>L22/Modell!$B$5</f>
        <v>-49.891971655247048</v>
      </c>
    </row>
    <row r="23" spans="2:16" ht="20" thickBot="1" x14ac:dyDescent="0.3">
      <c r="B23" s="40" t="s">
        <v>159</v>
      </c>
      <c r="C23" s="40"/>
      <c r="D23" s="40"/>
      <c r="E23" s="40"/>
      <c r="F23" s="40"/>
      <c r="G23" s="40"/>
      <c r="H23" s="40"/>
      <c r="I23" s="40"/>
      <c r="J23" s="40"/>
      <c r="K23" s="40"/>
      <c r="L23" s="46">
        <f>SUM(L19:L22)</f>
        <v>4399.7999999999993</v>
      </c>
      <c r="M23" s="41">
        <f>SUM(M19:M22)</f>
        <v>103.44707676190195</v>
      </c>
    </row>
    <row r="25" spans="2:16" ht="20" thickBot="1" x14ac:dyDescent="0.3">
      <c r="B25" s="27" t="s">
        <v>119</v>
      </c>
      <c r="C25" s="27"/>
      <c r="D25" s="27"/>
      <c r="E25" s="27" t="s">
        <v>123</v>
      </c>
      <c r="F25" s="27"/>
      <c r="G25" s="27" t="s">
        <v>160</v>
      </c>
      <c r="H25" s="27"/>
      <c r="I25" s="27" t="s">
        <v>48</v>
      </c>
      <c r="J25" s="27" t="s">
        <v>161</v>
      </c>
      <c r="K25" s="27"/>
      <c r="L25" s="44" t="s">
        <v>127</v>
      </c>
      <c r="M25" s="27" t="s">
        <v>130</v>
      </c>
      <c r="P25" s="1" t="s">
        <v>189</v>
      </c>
    </row>
    <row r="26" spans="2:16" x14ac:dyDescent="0.25">
      <c r="B26" s="2" t="s">
        <v>162</v>
      </c>
      <c r="E26" s="25">
        <v>1</v>
      </c>
      <c r="G26" s="2" t="s">
        <v>165</v>
      </c>
      <c r="I26" s="2">
        <v>1471</v>
      </c>
      <c r="J26" s="42" t="s">
        <v>194</v>
      </c>
      <c r="L26" s="63">
        <f>I26*4.85</f>
        <v>7134.3499999999995</v>
      </c>
      <c r="M26" s="21">
        <f>L26/Modell!$B$5</f>
        <v>167.74118189378498</v>
      </c>
      <c r="P26" s="2" t="s">
        <v>190</v>
      </c>
    </row>
    <row r="27" spans="2:16" x14ac:dyDescent="0.25">
      <c r="B27" s="29" t="s">
        <v>163</v>
      </c>
      <c r="C27" s="29"/>
      <c r="D27" s="29"/>
      <c r="E27" s="30">
        <v>0.92</v>
      </c>
      <c r="F27" s="29"/>
      <c r="G27" s="29" t="s">
        <v>166</v>
      </c>
      <c r="H27" s="29"/>
      <c r="I27" s="29">
        <v>129</v>
      </c>
      <c r="J27" s="43" t="s">
        <v>167</v>
      </c>
      <c r="K27" s="29"/>
      <c r="L27" s="64">
        <f>(129*8)*0.92</f>
        <v>949.44</v>
      </c>
      <c r="M27" s="35">
        <f>L27/Modell!B5</f>
        <v>22.323012991686031</v>
      </c>
      <c r="P27" s="2" t="s">
        <v>191</v>
      </c>
    </row>
    <row r="28" spans="2:16" x14ac:dyDescent="0.25">
      <c r="B28" s="1" t="s">
        <v>164</v>
      </c>
      <c r="C28" s="1"/>
      <c r="D28" s="1"/>
      <c r="E28" s="1"/>
      <c r="F28" s="1"/>
      <c r="G28" s="1"/>
      <c r="H28" s="1"/>
      <c r="I28" s="1"/>
      <c r="J28" s="1"/>
      <c r="K28" s="1"/>
      <c r="L28" s="1"/>
      <c r="M28" s="39">
        <f>SUM(M26:M27)</f>
        <v>190.06419488547101</v>
      </c>
      <c r="P28" s="2" t="s">
        <v>192</v>
      </c>
    </row>
    <row r="29" spans="2:16" x14ac:dyDescent="0.25">
      <c r="P29" s="2" t="s">
        <v>193</v>
      </c>
    </row>
    <row r="30" spans="2:16" x14ac:dyDescent="0.25">
      <c r="B30" s="2" t="s">
        <v>157</v>
      </c>
      <c r="L30" s="2">
        <v>576</v>
      </c>
      <c r="M30" s="21">
        <f>L30/Modell!B5</f>
        <v>13.542778356937935</v>
      </c>
    </row>
    <row r="31" spans="2:16" x14ac:dyDescent="0.25">
      <c r="B31" s="29" t="s">
        <v>158</v>
      </c>
      <c r="C31" s="29"/>
      <c r="D31" s="29"/>
      <c r="E31" s="29"/>
      <c r="F31" s="29"/>
      <c r="G31" s="29"/>
      <c r="H31" s="29"/>
      <c r="I31" s="29"/>
      <c r="J31" s="29"/>
      <c r="K31" s="29"/>
      <c r="L31" s="29">
        <v>-517</v>
      </c>
      <c r="M31" s="21">
        <f>L31/Modell!B5</f>
        <v>-12.155584046071029</v>
      </c>
    </row>
    <row r="32" spans="2:16" ht="20" thickBot="1" x14ac:dyDescent="0.3">
      <c r="B32" s="40" t="s">
        <v>168</v>
      </c>
      <c r="C32" s="40"/>
      <c r="D32" s="40"/>
      <c r="E32" s="40"/>
      <c r="F32" s="40"/>
      <c r="G32" s="40"/>
      <c r="H32" s="40"/>
      <c r="I32" s="40"/>
      <c r="J32" s="40"/>
      <c r="K32" s="40"/>
      <c r="L32" s="41">
        <f>SUM(L26:L31)</f>
        <v>8142.7899999999991</v>
      </c>
      <c r="M32" s="41">
        <f>SUM(M28:M31)</f>
        <v>191.45138919633791</v>
      </c>
    </row>
    <row r="34" spans="2:13" x14ac:dyDescent="0.25">
      <c r="B34" s="1" t="s">
        <v>169</v>
      </c>
      <c r="E34" s="25">
        <v>1</v>
      </c>
      <c r="G34" s="2" t="s">
        <v>166</v>
      </c>
      <c r="I34" s="2">
        <v>600</v>
      </c>
      <c r="J34" s="42" t="s">
        <v>170</v>
      </c>
      <c r="L34" s="13">
        <f>600*5</f>
        <v>3000</v>
      </c>
      <c r="M34" s="21">
        <f>L34/Modell!B5</f>
        <v>70.53530394238507</v>
      </c>
    </row>
    <row r="36" spans="2:13" x14ac:dyDescent="0.25">
      <c r="B36" s="2" t="s">
        <v>171</v>
      </c>
      <c r="L36" s="2">
        <v>280</v>
      </c>
      <c r="M36" s="21">
        <f>L36/Modell!B5</f>
        <v>6.5832950346226076</v>
      </c>
    </row>
    <row r="37" spans="2:13" x14ac:dyDescent="0.25">
      <c r="B37" s="29" t="s">
        <v>172</v>
      </c>
      <c r="C37" s="29"/>
      <c r="D37" s="29"/>
      <c r="E37" s="29"/>
      <c r="F37" s="29"/>
      <c r="G37" s="29"/>
      <c r="H37" s="29"/>
      <c r="I37" s="29"/>
      <c r="J37" s="29"/>
      <c r="K37" s="29"/>
      <c r="L37" s="29">
        <v>0</v>
      </c>
      <c r="M37" s="29"/>
    </row>
    <row r="38" spans="2:13" ht="20" thickBot="1" x14ac:dyDescent="0.3">
      <c r="B38" s="40" t="s">
        <v>173</v>
      </c>
      <c r="C38" s="40"/>
      <c r="D38" s="40"/>
      <c r="E38" s="40"/>
      <c r="F38" s="40"/>
      <c r="G38" s="40"/>
      <c r="H38" s="40"/>
      <c r="I38" s="40"/>
      <c r="J38" s="40"/>
      <c r="K38" s="40"/>
      <c r="L38" s="40">
        <f>SUM(L34:L37)</f>
        <v>3280</v>
      </c>
      <c r="M38" s="41">
        <f>SUM(M34:M37)</f>
        <v>77.118598977007679</v>
      </c>
    </row>
    <row r="40" spans="2:13" x14ac:dyDescent="0.25">
      <c r="B40" s="1" t="s">
        <v>174</v>
      </c>
      <c r="G40" s="2" t="s">
        <v>176</v>
      </c>
      <c r="L40" s="2">
        <v>508</v>
      </c>
      <c r="M40" s="21">
        <f>L40/Modell!B5</f>
        <v>11.943978134243872</v>
      </c>
    </row>
    <row r="42" spans="2:13" x14ac:dyDescent="0.25">
      <c r="B42" s="29" t="s">
        <v>171</v>
      </c>
      <c r="C42" s="29"/>
      <c r="D42" s="29"/>
      <c r="E42" s="29"/>
      <c r="F42" s="29"/>
      <c r="G42" s="29"/>
      <c r="H42" s="29"/>
      <c r="I42" s="29"/>
      <c r="J42" s="29"/>
      <c r="K42" s="29"/>
      <c r="L42" s="29">
        <v>452</v>
      </c>
      <c r="M42" s="21">
        <f>L42/Modell!B5</f>
        <v>10.627319127319351</v>
      </c>
    </row>
    <row r="43" spans="2:13" ht="20" thickBot="1" x14ac:dyDescent="0.3">
      <c r="B43" s="40" t="s">
        <v>175</v>
      </c>
      <c r="C43" s="40"/>
      <c r="D43" s="40"/>
      <c r="E43" s="40"/>
      <c r="F43" s="40"/>
      <c r="G43" s="40"/>
      <c r="H43" s="40"/>
      <c r="I43" s="40"/>
      <c r="J43" s="40"/>
      <c r="K43" s="40"/>
      <c r="L43" s="40">
        <f>SUM(L40:L42)</f>
        <v>960</v>
      </c>
      <c r="M43" s="41">
        <f>L43/Modell!B5</f>
        <v>22.571297261563224</v>
      </c>
    </row>
    <row r="44" spans="2:13" ht="20" thickBot="1" x14ac:dyDescent="0.3">
      <c r="B44" s="45"/>
      <c r="C44" s="45"/>
      <c r="D44" s="45"/>
      <c r="E44" s="45"/>
      <c r="F44" s="45"/>
      <c r="G44" s="45"/>
      <c r="H44" s="45"/>
      <c r="I44" s="45"/>
      <c r="J44" s="45"/>
      <c r="K44" s="45"/>
      <c r="L44" s="45"/>
      <c r="M44" s="45"/>
    </row>
    <row r="45" spans="2:13" ht="20" thickBot="1" x14ac:dyDescent="0.3">
      <c r="B45" s="27" t="s">
        <v>177</v>
      </c>
      <c r="C45" s="27"/>
      <c r="D45" s="27"/>
      <c r="E45" s="27"/>
      <c r="F45" s="27"/>
      <c r="G45" s="27"/>
      <c r="H45" s="27"/>
      <c r="I45" s="27"/>
      <c r="J45" s="27"/>
      <c r="K45" s="27"/>
      <c r="L45" s="47">
        <f>L23+L32+L38+L43</f>
        <v>16782.589999999997</v>
      </c>
      <c r="M45" s="48">
        <f>L45/Modell!B5</f>
        <v>394.58836219681069</v>
      </c>
    </row>
    <row r="47" spans="2:13" x14ac:dyDescent="0.25">
      <c r="B47" s="2" t="s">
        <v>179</v>
      </c>
      <c r="K47" s="25">
        <v>0.157</v>
      </c>
    </row>
    <row r="49" spans="2:13" ht="20" thickBot="1" x14ac:dyDescent="0.3">
      <c r="B49" s="27" t="s">
        <v>178</v>
      </c>
      <c r="C49" s="27"/>
      <c r="D49" s="27"/>
      <c r="E49" s="27"/>
      <c r="F49" s="27"/>
      <c r="G49" s="27"/>
      <c r="H49" s="27"/>
      <c r="I49" s="27"/>
      <c r="J49" s="27"/>
      <c r="K49" s="27"/>
      <c r="L49" s="27"/>
      <c r="M49" s="48">
        <f>M45*(1-K47)</f>
        <v>332.6379893319114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58E0-3BA5-6740-BE74-082DF7085DA4}">
  <dimension ref="B4:V50"/>
  <sheetViews>
    <sheetView showGridLines="0" workbookViewId="0">
      <pane xSplit="2" ySplit="4" topLeftCell="M5" activePane="bottomRight" state="frozen"/>
      <selection pane="topRight" activeCell="C1" sqref="C1"/>
      <selection pane="bottomLeft" activeCell="A5" sqref="A5"/>
      <selection pane="bottomRight" activeCell="X25" sqref="X25"/>
    </sheetView>
  </sheetViews>
  <sheetFormatPr baseColWidth="10" defaultRowHeight="19" x14ac:dyDescent="0.25"/>
  <cols>
    <col min="1" max="1" width="6.1640625" style="2" customWidth="1"/>
    <col min="2" max="2" width="26.1640625" style="2" customWidth="1"/>
    <col min="3" max="19" width="10.83203125" style="2"/>
    <col min="20" max="20" width="11.5" style="2" bestFit="1" customWidth="1"/>
    <col min="21" max="16384" width="10.83203125" style="2"/>
  </cols>
  <sheetData>
    <row r="4" spans="2:22" x14ac:dyDescent="0.25">
      <c r="B4" s="2" t="s">
        <v>37</v>
      </c>
      <c r="C4" s="7" t="s">
        <v>3</v>
      </c>
      <c r="D4" s="7" t="s">
        <v>4</v>
      </c>
      <c r="E4" s="7" t="s">
        <v>5</v>
      </c>
      <c r="F4" s="7" t="s">
        <v>6</v>
      </c>
      <c r="G4" s="53">
        <v>2022</v>
      </c>
      <c r="H4" s="7" t="s">
        <v>7</v>
      </c>
      <c r="I4" s="7" t="s">
        <v>8</v>
      </c>
      <c r="J4" s="7" t="s">
        <v>9</v>
      </c>
      <c r="K4" s="7" t="s">
        <v>10</v>
      </c>
      <c r="L4" s="53">
        <v>2023</v>
      </c>
      <c r="M4" s="7" t="s">
        <v>11</v>
      </c>
      <c r="N4" s="7" t="s">
        <v>12</v>
      </c>
      <c r="O4" s="7" t="s">
        <v>13</v>
      </c>
      <c r="P4" s="7" t="s">
        <v>14</v>
      </c>
      <c r="Q4" s="53">
        <v>2024</v>
      </c>
      <c r="R4" s="7" t="s">
        <v>42</v>
      </c>
      <c r="S4" s="7" t="s">
        <v>43</v>
      </c>
      <c r="T4" s="7" t="s">
        <v>44</v>
      </c>
      <c r="U4" s="7" t="s">
        <v>45</v>
      </c>
      <c r="V4" s="1">
        <v>2025</v>
      </c>
    </row>
    <row r="5" spans="2:22" x14ac:dyDescent="0.25">
      <c r="B5" s="1" t="s">
        <v>101</v>
      </c>
    </row>
    <row r="6" spans="2:22" x14ac:dyDescent="0.25">
      <c r="B6" s="2" t="s">
        <v>46</v>
      </c>
      <c r="C6" s="2">
        <v>1442</v>
      </c>
      <c r="D6" s="2">
        <v>693</v>
      </c>
      <c r="E6" s="2">
        <v>932</v>
      </c>
      <c r="F6" s="2">
        <v>1326</v>
      </c>
      <c r="G6" s="1">
        <f>SUM(C6:F6)</f>
        <v>4393</v>
      </c>
      <c r="H6" s="2">
        <v>1170</v>
      </c>
      <c r="I6" s="2">
        <v>430</v>
      </c>
      <c r="J6" s="2">
        <v>523</v>
      </c>
      <c r="K6" s="2">
        <v>870</v>
      </c>
      <c r="L6" s="1">
        <f>SUM(H6:K6)</f>
        <v>2993</v>
      </c>
      <c r="M6" s="2">
        <v>724</v>
      </c>
      <c r="N6" s="2">
        <v>501</v>
      </c>
      <c r="O6" s="2">
        <v>529</v>
      </c>
      <c r="P6" s="2">
        <v>905</v>
      </c>
      <c r="Q6" s="1">
        <f>SUM(M6:P6)</f>
        <v>2659</v>
      </c>
      <c r="R6" s="2">
        <v>774</v>
      </c>
      <c r="S6" s="2">
        <v>399</v>
      </c>
      <c r="T6" s="2">
        <v>477</v>
      </c>
      <c r="V6" s="1">
        <f>SUM(R6:U6)</f>
        <v>1650</v>
      </c>
    </row>
    <row r="7" spans="2:22" x14ac:dyDescent="0.25">
      <c r="B7" s="24" t="s">
        <v>105</v>
      </c>
      <c r="C7" s="24"/>
      <c r="D7" s="24"/>
      <c r="E7" s="24"/>
      <c r="F7" s="24"/>
      <c r="G7" s="54"/>
      <c r="H7" s="24">
        <f t="shared" ref="H7:V7" si="0">(H6-C6)/C6</f>
        <v>-0.18862690707350901</v>
      </c>
      <c r="I7" s="24">
        <f t="shared" si="0"/>
        <v>-0.37950937950937952</v>
      </c>
      <c r="J7" s="24">
        <f t="shared" si="0"/>
        <v>-0.43884120171673818</v>
      </c>
      <c r="K7" s="24">
        <f t="shared" si="0"/>
        <v>-0.34389140271493213</v>
      </c>
      <c r="L7" s="54">
        <f t="shared" si="0"/>
        <v>-0.31868882312770319</v>
      </c>
      <c r="M7" s="24">
        <f t="shared" si="0"/>
        <v>-0.38119658119658117</v>
      </c>
      <c r="N7" s="24">
        <f t="shared" si="0"/>
        <v>0.16511627906976745</v>
      </c>
      <c r="O7" s="24">
        <f t="shared" si="0"/>
        <v>1.1472275334608031E-2</v>
      </c>
      <c r="P7" s="24">
        <f t="shared" si="0"/>
        <v>4.0229885057471264E-2</v>
      </c>
      <c r="Q7" s="54">
        <f t="shared" si="0"/>
        <v>-0.1115937186769128</v>
      </c>
      <c r="R7" s="24">
        <f t="shared" si="0"/>
        <v>6.9060773480662987E-2</v>
      </c>
      <c r="S7" s="24">
        <f t="shared" si="0"/>
        <v>-0.20359281437125748</v>
      </c>
      <c r="T7" s="24">
        <f t="shared" si="0"/>
        <v>-9.8298676748582225E-2</v>
      </c>
      <c r="U7" s="24">
        <f t="shared" si="0"/>
        <v>-1</v>
      </c>
      <c r="V7" s="54">
        <f t="shared" si="0"/>
        <v>-0.37946596464836407</v>
      </c>
    </row>
    <row r="8" spans="2:22" x14ac:dyDescent="0.25">
      <c r="B8" s="2" t="s">
        <v>48</v>
      </c>
      <c r="C8" s="2">
        <v>1220</v>
      </c>
      <c r="D8" s="2">
        <v>502</v>
      </c>
      <c r="E8" s="2">
        <v>748</v>
      </c>
      <c r="F8" s="2">
        <v>1016</v>
      </c>
      <c r="G8" s="1">
        <f>SUM(C8:F8)</f>
        <v>3486</v>
      </c>
      <c r="H8" s="2">
        <v>763</v>
      </c>
      <c r="I8" s="2">
        <v>277</v>
      </c>
      <c r="J8" s="2">
        <v>243</v>
      </c>
      <c r="K8" s="2">
        <v>638</v>
      </c>
      <c r="L8" s="1">
        <f>SUM(H8:K8)</f>
        <v>1921</v>
      </c>
      <c r="M8" s="2">
        <v>476</v>
      </c>
      <c r="N8" s="2">
        <v>259</v>
      </c>
      <c r="O8" s="2">
        <v>263</v>
      </c>
      <c r="P8" s="2">
        <v>587</v>
      </c>
      <c r="Q8" s="1">
        <f>SUM(M8:P8)</f>
        <v>1585</v>
      </c>
      <c r="R8" s="2">
        <v>506</v>
      </c>
      <c r="S8" s="2">
        <v>127</v>
      </c>
      <c r="T8" s="2">
        <v>219</v>
      </c>
      <c r="V8" s="1">
        <f>SUM(R8:U8)</f>
        <v>852</v>
      </c>
    </row>
    <row r="9" spans="2:22" x14ac:dyDescent="0.25">
      <c r="B9" s="10" t="s">
        <v>59</v>
      </c>
      <c r="C9" s="52">
        <v>0.85</v>
      </c>
      <c r="D9" s="52">
        <v>0.73</v>
      </c>
      <c r="E9" s="52">
        <v>0.8</v>
      </c>
      <c r="F9" s="52">
        <v>0.77</v>
      </c>
      <c r="G9" s="55">
        <f>G8/G6</f>
        <v>0.79353516958798087</v>
      </c>
      <c r="H9" s="52">
        <v>0.65</v>
      </c>
      <c r="I9" s="52">
        <v>0.64</v>
      </c>
      <c r="J9" s="52">
        <v>0.46</v>
      </c>
      <c r="K9" s="52">
        <v>0.73</v>
      </c>
      <c r="L9" s="55">
        <f>L8/L6</f>
        <v>0.64183093885733378</v>
      </c>
      <c r="M9" s="52">
        <v>0.66</v>
      </c>
      <c r="N9" s="52">
        <v>0.52</v>
      </c>
      <c r="O9" s="52">
        <v>0.5</v>
      </c>
      <c r="P9" s="52">
        <v>0.65</v>
      </c>
      <c r="Q9" s="55">
        <f>Q8/Q6</f>
        <v>0.59608875517111692</v>
      </c>
      <c r="R9" s="52">
        <v>0.65</v>
      </c>
      <c r="S9" s="52">
        <v>0.32</v>
      </c>
      <c r="T9" s="52">
        <v>0.46</v>
      </c>
      <c r="U9" s="52"/>
      <c r="V9" s="55">
        <f>V8/V6</f>
        <v>0.51636363636363636</v>
      </c>
    </row>
    <row r="10" spans="2:22" x14ac:dyDescent="0.25">
      <c r="B10" s="2" t="s">
        <v>103</v>
      </c>
      <c r="C10" s="13">
        <v>1141</v>
      </c>
      <c r="D10" s="13">
        <v>421</v>
      </c>
      <c r="E10" s="13">
        <v>695</v>
      </c>
      <c r="F10" s="13">
        <v>907</v>
      </c>
      <c r="G10" s="1">
        <f>SUM(C10:F10)</f>
        <v>3164</v>
      </c>
      <c r="H10" s="13">
        <v>690</v>
      </c>
      <c r="I10" s="13">
        <v>195</v>
      </c>
      <c r="J10" s="13">
        <v>155</v>
      </c>
      <c r="K10" s="13">
        <v>552</v>
      </c>
      <c r="L10" s="1">
        <f>SUM(H10:K10)</f>
        <v>1592</v>
      </c>
      <c r="M10" s="13">
        <v>387</v>
      </c>
      <c r="N10" s="13">
        <v>168</v>
      </c>
      <c r="O10" s="13">
        <v>171</v>
      </c>
      <c r="P10" s="13">
        <v>478</v>
      </c>
      <c r="Q10" s="1">
        <f>SUM(M10:P10)</f>
        <v>1204</v>
      </c>
      <c r="R10" s="13">
        <v>414</v>
      </c>
      <c r="S10" s="13">
        <v>32</v>
      </c>
      <c r="T10" s="13">
        <v>129</v>
      </c>
      <c r="U10" s="13"/>
      <c r="V10" s="1">
        <f>SUM(R10:U10)</f>
        <v>575</v>
      </c>
    </row>
    <row r="11" spans="2:22" x14ac:dyDescent="0.25">
      <c r="B11" s="2" t="s">
        <v>104</v>
      </c>
      <c r="C11" s="13">
        <v>1186</v>
      </c>
      <c r="D11" s="13">
        <v>380</v>
      </c>
      <c r="E11" s="13">
        <v>1071</v>
      </c>
      <c r="F11" s="13">
        <v>750</v>
      </c>
      <c r="G11" s="1">
        <f>SUM(C11:F11)</f>
        <v>3387</v>
      </c>
      <c r="H11" s="13">
        <v>591</v>
      </c>
      <c r="I11" s="13">
        <v>231</v>
      </c>
      <c r="J11" s="13">
        <v>76</v>
      </c>
      <c r="K11" s="13">
        <v>284</v>
      </c>
      <c r="L11" s="1">
        <f>SUM(H11:K11)</f>
        <v>1182</v>
      </c>
      <c r="M11" s="13">
        <v>372</v>
      </c>
      <c r="N11" s="13">
        <v>132</v>
      </c>
      <c r="O11" s="13">
        <v>-33</v>
      </c>
      <c r="P11" s="13">
        <v>373</v>
      </c>
      <c r="Q11" s="1">
        <f>SUM(M11:P11)</f>
        <v>844</v>
      </c>
      <c r="R11" s="13">
        <v>343</v>
      </c>
      <c r="S11" s="13">
        <v>-79</v>
      </c>
      <c r="T11" s="13">
        <v>24</v>
      </c>
      <c r="U11" s="13"/>
      <c r="V11" s="1">
        <f>SUM(R11:U11)</f>
        <v>288</v>
      </c>
    </row>
    <row r="12" spans="2:22" x14ac:dyDescent="0.25">
      <c r="B12" s="29" t="s">
        <v>56</v>
      </c>
      <c r="C12" s="36">
        <v>952</v>
      </c>
      <c r="D12" s="36">
        <v>283</v>
      </c>
      <c r="E12" s="36">
        <v>820</v>
      </c>
      <c r="F12" s="36">
        <v>636</v>
      </c>
      <c r="G12" s="1">
        <f>SUM(C12:F12)</f>
        <v>2691</v>
      </c>
      <c r="H12" s="36">
        <v>387</v>
      </c>
      <c r="I12" s="36">
        <v>203</v>
      </c>
      <c r="J12" s="36">
        <v>-12</v>
      </c>
      <c r="K12" s="36">
        <v>193</v>
      </c>
      <c r="L12" s="1">
        <f>SUM(H12:K12)</f>
        <v>771</v>
      </c>
      <c r="M12" s="36">
        <v>262</v>
      </c>
      <c r="N12" s="36">
        <v>84</v>
      </c>
      <c r="O12" s="36">
        <v>-49</v>
      </c>
      <c r="P12" s="36">
        <v>241</v>
      </c>
      <c r="Q12" s="1">
        <f>SUM(M12:P12)</f>
        <v>538</v>
      </c>
      <c r="R12" s="36">
        <v>240</v>
      </c>
      <c r="S12" s="36">
        <v>-77</v>
      </c>
      <c r="T12" s="36">
        <v>9</v>
      </c>
      <c r="U12" s="36"/>
      <c r="V12" s="61">
        <f>SUM(R12:U12)</f>
        <v>172</v>
      </c>
    </row>
    <row r="13" spans="2:22" x14ac:dyDescent="0.25">
      <c r="B13" s="49" t="s">
        <v>93</v>
      </c>
      <c r="C13" s="50">
        <v>35</v>
      </c>
      <c r="D13" s="50">
        <v>17</v>
      </c>
      <c r="E13" s="50">
        <v>83</v>
      </c>
      <c r="F13" s="50">
        <v>73</v>
      </c>
      <c r="G13" s="57"/>
      <c r="H13" s="50">
        <v>25</v>
      </c>
      <c r="I13" s="50">
        <v>29</v>
      </c>
      <c r="J13" s="50">
        <v>140</v>
      </c>
      <c r="K13" s="50">
        <v>48</v>
      </c>
      <c r="L13" s="50"/>
      <c r="M13" s="50">
        <v>17</v>
      </c>
      <c r="N13" s="50">
        <v>120</v>
      </c>
      <c r="O13" s="50">
        <v>290</v>
      </c>
      <c r="P13" s="50">
        <v>-18</v>
      </c>
      <c r="Q13" s="50"/>
      <c r="R13" s="50">
        <v>225</v>
      </c>
      <c r="S13" s="50">
        <v>527</v>
      </c>
      <c r="T13" s="50">
        <v>425</v>
      </c>
      <c r="U13" s="50"/>
      <c r="V13" s="50"/>
    </row>
    <row r="14" spans="2:22" x14ac:dyDescent="0.25">
      <c r="B14" s="49" t="s">
        <v>180</v>
      </c>
      <c r="C14" s="50">
        <v>1034</v>
      </c>
      <c r="D14" s="50">
        <v>1268</v>
      </c>
      <c r="E14" s="50">
        <v>3267</v>
      </c>
      <c r="F14" s="50">
        <v>1763</v>
      </c>
      <c r="G14" s="57"/>
      <c r="H14" s="50">
        <v>2645</v>
      </c>
      <c r="I14" s="50">
        <v>2893</v>
      </c>
      <c r="J14" s="50">
        <v>2365</v>
      </c>
      <c r="K14" s="50">
        <v>1958</v>
      </c>
      <c r="L14" s="50"/>
      <c r="M14" s="50">
        <v>2177</v>
      </c>
      <c r="N14" s="50">
        <v>2132</v>
      </c>
      <c r="O14" s="50">
        <v>2133</v>
      </c>
      <c r="P14" s="50">
        <v>2336</v>
      </c>
      <c r="Q14" s="50"/>
      <c r="R14" s="50">
        <v>2843</v>
      </c>
      <c r="S14" s="50">
        <v>2783</v>
      </c>
      <c r="T14" s="50">
        <v>3057</v>
      </c>
      <c r="U14" s="50"/>
      <c r="V14" s="49"/>
    </row>
    <row r="15" spans="2:22" x14ac:dyDescent="0.25">
      <c r="B15" s="2" t="s">
        <v>181</v>
      </c>
      <c r="C15" s="13">
        <v>5769</v>
      </c>
      <c r="D15" s="13">
        <v>5882</v>
      </c>
      <c r="E15" s="13">
        <v>5452</v>
      </c>
      <c r="F15" s="13">
        <v>5180</v>
      </c>
      <c r="G15" s="11"/>
      <c r="H15" s="13">
        <v>5959</v>
      </c>
      <c r="I15" s="13">
        <v>6193</v>
      </c>
      <c r="J15" s="13">
        <v>5781</v>
      </c>
      <c r="K15" s="13">
        <v>5530</v>
      </c>
      <c r="L15" s="13"/>
      <c r="M15" s="13">
        <v>5844</v>
      </c>
      <c r="N15" s="13">
        <v>5588</v>
      </c>
      <c r="O15" s="13">
        <v>6100</v>
      </c>
      <c r="P15" s="13">
        <v>5960</v>
      </c>
      <c r="Q15" s="13"/>
      <c r="R15" s="13">
        <v>6309</v>
      </c>
      <c r="S15" s="13">
        <v>6402</v>
      </c>
      <c r="T15" s="13">
        <v>6315</v>
      </c>
      <c r="U15" s="13"/>
    </row>
    <row r="16" spans="2:22" x14ac:dyDescent="0.25">
      <c r="B16" s="2" t="s">
        <v>67</v>
      </c>
      <c r="C16" s="13">
        <v>1404</v>
      </c>
      <c r="D16" s="13">
        <v>1407</v>
      </c>
      <c r="E16" s="13">
        <v>986</v>
      </c>
      <c r="F16" s="13">
        <v>1183</v>
      </c>
      <c r="G16" s="11"/>
      <c r="H16" s="13">
        <v>2155</v>
      </c>
      <c r="I16" s="13">
        <v>1989</v>
      </c>
      <c r="J16" s="13">
        <v>1557</v>
      </c>
      <c r="K16" s="13">
        <v>731</v>
      </c>
      <c r="L16" s="13"/>
      <c r="M16" s="13">
        <v>1039</v>
      </c>
      <c r="N16" s="13">
        <v>721</v>
      </c>
      <c r="O16" s="13">
        <v>913</v>
      </c>
      <c r="P16" s="13">
        <v>721</v>
      </c>
      <c r="Q16" s="13"/>
      <c r="R16" s="13">
        <v>1244</v>
      </c>
      <c r="S16" s="13">
        <v>665</v>
      </c>
      <c r="T16" s="13">
        <v>1105</v>
      </c>
      <c r="U16" s="13"/>
    </row>
    <row r="17" spans="2:22" x14ac:dyDescent="0.25">
      <c r="B17" s="29" t="s">
        <v>182</v>
      </c>
      <c r="C17" s="36">
        <f t="shared" ref="C17:P17" si="1">C15-C16</f>
        <v>4365</v>
      </c>
      <c r="D17" s="36">
        <f t="shared" si="1"/>
        <v>4475</v>
      </c>
      <c r="E17" s="36">
        <f t="shared" si="1"/>
        <v>4466</v>
      </c>
      <c r="F17" s="36">
        <f t="shared" si="1"/>
        <v>3997</v>
      </c>
      <c r="G17" s="56"/>
      <c r="H17" s="36">
        <f t="shared" si="1"/>
        <v>3804</v>
      </c>
      <c r="I17" s="36">
        <f t="shared" si="1"/>
        <v>4204</v>
      </c>
      <c r="J17" s="36">
        <f t="shared" si="1"/>
        <v>4224</v>
      </c>
      <c r="K17" s="36">
        <f t="shared" si="1"/>
        <v>4799</v>
      </c>
      <c r="L17" s="36"/>
      <c r="M17" s="36">
        <f t="shared" si="1"/>
        <v>4805</v>
      </c>
      <c r="N17" s="36">
        <f t="shared" si="1"/>
        <v>4867</v>
      </c>
      <c r="O17" s="36">
        <f t="shared" si="1"/>
        <v>5187</v>
      </c>
      <c r="P17" s="36">
        <f t="shared" si="1"/>
        <v>5239</v>
      </c>
      <c r="Q17" s="36"/>
      <c r="R17" s="36">
        <f>R15-R16</f>
        <v>5065</v>
      </c>
      <c r="S17" s="36">
        <f t="shared" ref="S17:U17" si="2">S15-S16</f>
        <v>5737</v>
      </c>
      <c r="T17" s="36">
        <f t="shared" si="2"/>
        <v>5210</v>
      </c>
      <c r="U17" s="36">
        <f t="shared" si="2"/>
        <v>0</v>
      </c>
      <c r="V17" s="29"/>
    </row>
    <row r="18" spans="2:22" x14ac:dyDescent="0.25">
      <c r="B18" s="2" t="s">
        <v>183</v>
      </c>
      <c r="C18" s="13">
        <f t="shared" ref="C18:R18" si="3">C14+C17</f>
        <v>5399</v>
      </c>
      <c r="D18" s="13">
        <f t="shared" si="3"/>
        <v>5743</v>
      </c>
      <c r="E18" s="13">
        <f t="shared" si="3"/>
        <v>7733</v>
      </c>
      <c r="F18" s="13">
        <f t="shared" si="3"/>
        <v>5760</v>
      </c>
      <c r="G18" s="11"/>
      <c r="H18" s="13">
        <f t="shared" si="3"/>
        <v>6449</v>
      </c>
      <c r="I18" s="13">
        <f t="shared" si="3"/>
        <v>7097</v>
      </c>
      <c r="J18" s="13">
        <f t="shared" si="3"/>
        <v>6589</v>
      </c>
      <c r="K18" s="13">
        <f t="shared" si="3"/>
        <v>6757</v>
      </c>
      <c r="L18" s="13"/>
      <c r="M18" s="13">
        <f t="shared" si="3"/>
        <v>6982</v>
      </c>
      <c r="N18" s="13">
        <f t="shared" si="3"/>
        <v>6999</v>
      </c>
      <c r="O18" s="13">
        <f t="shared" si="3"/>
        <v>7320</v>
      </c>
      <c r="P18" s="13">
        <f t="shared" si="3"/>
        <v>7575</v>
      </c>
      <c r="Q18" s="13"/>
      <c r="R18" s="13">
        <f t="shared" si="3"/>
        <v>7908</v>
      </c>
      <c r="S18" s="13">
        <f>S14+S17</f>
        <v>8520</v>
      </c>
      <c r="T18" s="13">
        <f t="shared" ref="T18:U18" si="4">T14+T17</f>
        <v>8267</v>
      </c>
      <c r="U18" s="13">
        <f t="shared" si="4"/>
        <v>0</v>
      </c>
    </row>
    <row r="19" spans="2:22" ht="20" thickBot="1" x14ac:dyDescent="0.3">
      <c r="B19" s="26" t="s">
        <v>184</v>
      </c>
      <c r="C19" s="51">
        <v>380</v>
      </c>
      <c r="D19" s="51">
        <v>380</v>
      </c>
      <c r="E19" s="51">
        <v>0</v>
      </c>
      <c r="F19" s="51">
        <v>0</v>
      </c>
      <c r="G19" s="47"/>
      <c r="H19" s="51">
        <v>254</v>
      </c>
      <c r="I19" s="51">
        <v>339</v>
      </c>
      <c r="J19" s="51">
        <v>287</v>
      </c>
      <c r="K19" s="51">
        <v>344</v>
      </c>
      <c r="L19" s="51"/>
      <c r="M19" s="51">
        <v>388</v>
      </c>
      <c r="N19" s="51">
        <v>568</v>
      </c>
      <c r="O19" s="51">
        <v>669</v>
      </c>
      <c r="P19" s="51">
        <v>787</v>
      </c>
      <c r="Q19" s="51"/>
      <c r="R19" s="51">
        <v>1146</v>
      </c>
      <c r="S19" s="51">
        <v>1291</v>
      </c>
      <c r="T19" s="51">
        <v>1440</v>
      </c>
      <c r="U19" s="51"/>
      <c r="V19" s="26"/>
    </row>
    <row r="20" spans="2:22" x14ac:dyDescent="0.25">
      <c r="B20" s="1" t="s">
        <v>106</v>
      </c>
      <c r="G20" s="1"/>
    </row>
    <row r="21" spans="2:22" x14ac:dyDescent="0.25">
      <c r="B21" s="2" t="s">
        <v>46</v>
      </c>
      <c r="C21" s="2">
        <v>574</v>
      </c>
      <c r="D21" s="2">
        <v>846</v>
      </c>
      <c r="E21" s="2">
        <v>1378</v>
      </c>
      <c r="F21" s="2">
        <v>1293</v>
      </c>
      <c r="G21" s="1">
        <f>SUM(C21:F21)</f>
        <v>4091</v>
      </c>
      <c r="H21" s="2">
        <v>882</v>
      </c>
      <c r="I21" s="2">
        <v>1264</v>
      </c>
      <c r="J21" s="2">
        <v>1476</v>
      </c>
      <c r="K21" s="2">
        <v>1514</v>
      </c>
      <c r="L21" s="1">
        <f>SUM(H21:K21)</f>
        <v>5136</v>
      </c>
      <c r="M21" s="2">
        <v>1183</v>
      </c>
      <c r="N21" s="2">
        <v>2451</v>
      </c>
      <c r="O21" s="2">
        <v>1752</v>
      </c>
      <c r="P21" s="2">
        <v>1098</v>
      </c>
      <c r="Q21" s="1">
        <f>SUM(M21:P21)</f>
        <v>6484</v>
      </c>
      <c r="R21" s="2">
        <v>1073</v>
      </c>
      <c r="S21" s="2">
        <v>1452</v>
      </c>
      <c r="T21" s="2">
        <v>1471</v>
      </c>
      <c r="V21" s="1">
        <f>SUM(R21:U21)</f>
        <v>3996</v>
      </c>
    </row>
    <row r="22" spans="2:22" x14ac:dyDescent="0.25">
      <c r="B22" s="24" t="s">
        <v>105</v>
      </c>
      <c r="G22" s="54"/>
      <c r="H22" s="24">
        <f t="shared" ref="H22:V22" si="5">(H21-C21)/C21</f>
        <v>0.53658536585365857</v>
      </c>
      <c r="I22" s="24">
        <f t="shared" si="5"/>
        <v>0.49408983451536642</v>
      </c>
      <c r="J22" s="24">
        <f t="shared" si="5"/>
        <v>7.1117561683599423E-2</v>
      </c>
      <c r="K22" s="24">
        <f t="shared" si="5"/>
        <v>0.17092034029389017</v>
      </c>
      <c r="L22" s="54">
        <f t="shared" si="5"/>
        <v>0.25543876802737719</v>
      </c>
      <c r="M22" s="24">
        <f t="shared" si="5"/>
        <v>0.34126984126984128</v>
      </c>
      <c r="N22" s="24">
        <f t="shared" si="5"/>
        <v>0.93908227848101267</v>
      </c>
      <c r="O22" s="24">
        <f t="shared" si="5"/>
        <v>0.18699186991869918</v>
      </c>
      <c r="P22" s="24">
        <f t="shared" si="5"/>
        <v>-0.27476882430647293</v>
      </c>
      <c r="Q22" s="54">
        <f t="shared" si="5"/>
        <v>0.26246105919003115</v>
      </c>
      <c r="R22" s="24">
        <f t="shared" si="5"/>
        <v>-9.2983939137785285E-2</v>
      </c>
      <c r="S22" s="24">
        <f t="shared" si="5"/>
        <v>-0.40758873929008566</v>
      </c>
      <c r="T22" s="24">
        <f t="shared" si="5"/>
        <v>-0.16038812785388129</v>
      </c>
      <c r="U22" s="24">
        <f t="shared" si="5"/>
        <v>-1</v>
      </c>
      <c r="V22" s="54">
        <f t="shared" si="5"/>
        <v>-0.38371375694016041</v>
      </c>
    </row>
    <row r="23" spans="2:22" x14ac:dyDescent="0.25">
      <c r="B23" s="2" t="s">
        <v>48</v>
      </c>
      <c r="C23" s="2">
        <v>-9</v>
      </c>
      <c r="D23" s="2">
        <v>106</v>
      </c>
      <c r="E23" s="2">
        <v>418</v>
      </c>
      <c r="F23" s="2">
        <v>405</v>
      </c>
      <c r="G23" s="1">
        <f>SUM(C23:F23)</f>
        <v>920</v>
      </c>
      <c r="H23" s="2">
        <v>206</v>
      </c>
      <c r="I23" s="2">
        <v>320</v>
      </c>
      <c r="J23" s="2">
        <v>399</v>
      </c>
      <c r="K23" s="2">
        <v>402</v>
      </c>
      <c r="L23" s="1">
        <f>SUM(H23:K23)</f>
        <v>1327</v>
      </c>
      <c r="M23" s="2">
        <v>174</v>
      </c>
      <c r="N23" s="2">
        <v>763</v>
      </c>
      <c r="O23" s="2">
        <v>435</v>
      </c>
      <c r="P23" s="2">
        <v>180</v>
      </c>
      <c r="Q23" s="1">
        <f>SUM(M23:P23)</f>
        <v>1552</v>
      </c>
      <c r="R23" s="2">
        <v>280</v>
      </c>
      <c r="S23" s="2">
        <v>584</v>
      </c>
      <c r="T23" s="2">
        <v>577</v>
      </c>
      <c r="V23" s="1">
        <f>SUM(R23:U23)</f>
        <v>1441</v>
      </c>
    </row>
    <row r="24" spans="2:22" x14ac:dyDescent="0.25">
      <c r="B24" s="10" t="s">
        <v>59</v>
      </c>
      <c r="C24" s="52">
        <v>-0.01</v>
      </c>
      <c r="D24" s="52">
        <v>0.12</v>
      </c>
      <c r="E24" s="52">
        <v>0.3</v>
      </c>
      <c r="F24" s="52">
        <v>0.31</v>
      </c>
      <c r="G24" s="55">
        <f>G23/G21</f>
        <v>0.22488389146907847</v>
      </c>
      <c r="H24" s="52">
        <v>0.23</v>
      </c>
      <c r="I24" s="52">
        <v>0.25</v>
      </c>
      <c r="J24" s="52">
        <v>0.27</v>
      </c>
      <c r="K24" s="52">
        <v>0.27</v>
      </c>
      <c r="L24" s="55">
        <f>L23/L21</f>
        <v>0.25837227414330216</v>
      </c>
      <c r="M24" s="52">
        <v>0.15</v>
      </c>
      <c r="N24" s="52">
        <v>0.31</v>
      </c>
      <c r="O24" s="52">
        <v>0.25</v>
      </c>
      <c r="P24" s="52">
        <v>0.16</v>
      </c>
      <c r="Q24" s="55">
        <f>Q23/Q21</f>
        <v>0.23935842072794572</v>
      </c>
      <c r="R24" s="52">
        <v>0.26</v>
      </c>
      <c r="S24" s="52">
        <v>0.4</v>
      </c>
      <c r="T24" s="52">
        <v>0.39</v>
      </c>
      <c r="U24" s="24"/>
      <c r="V24" s="55">
        <f>V23/V21</f>
        <v>0.36061061061061062</v>
      </c>
    </row>
    <row r="25" spans="2:22" x14ac:dyDescent="0.25">
      <c r="B25" s="2" t="s">
        <v>103</v>
      </c>
      <c r="C25" s="2">
        <v>-102</v>
      </c>
      <c r="D25" s="2">
        <v>35</v>
      </c>
      <c r="E25" s="2">
        <v>212</v>
      </c>
      <c r="F25" s="2">
        <v>286</v>
      </c>
      <c r="G25" s="1">
        <f>SUM(C25:F25)</f>
        <v>431</v>
      </c>
      <c r="H25" s="2">
        <v>92</v>
      </c>
      <c r="I25" s="2">
        <v>199</v>
      </c>
      <c r="J25" s="2">
        <v>282</v>
      </c>
      <c r="K25" s="2">
        <v>256</v>
      </c>
      <c r="L25" s="1">
        <f>SUM(H25:K25)</f>
        <v>829</v>
      </c>
      <c r="M25" s="2">
        <v>53</v>
      </c>
      <c r="N25" s="2">
        <v>632</v>
      </c>
      <c r="O25" s="2">
        <v>315</v>
      </c>
      <c r="P25" s="2">
        <v>73</v>
      </c>
      <c r="Q25" s="1">
        <f>SUM(M25:P25)</f>
        <v>1073</v>
      </c>
      <c r="R25" s="2">
        <v>127</v>
      </c>
      <c r="S25" s="2">
        <v>451</v>
      </c>
      <c r="T25" s="2">
        <v>430</v>
      </c>
      <c r="V25" s="1">
        <f t="shared" ref="V25:V31" si="6">SUM(R25:U25)</f>
        <v>1008</v>
      </c>
    </row>
    <row r="26" spans="2:22" x14ac:dyDescent="0.25">
      <c r="B26" s="2" t="s">
        <v>104</v>
      </c>
      <c r="C26" s="2">
        <v>-118</v>
      </c>
      <c r="D26" s="2">
        <v>18</v>
      </c>
      <c r="E26" s="2">
        <v>189</v>
      </c>
      <c r="F26" s="2">
        <v>268</v>
      </c>
      <c r="G26" s="1">
        <f>SUM(C26:F26)</f>
        <v>357</v>
      </c>
      <c r="H26" s="2">
        <v>69</v>
      </c>
      <c r="I26" s="2">
        <v>171</v>
      </c>
      <c r="J26" s="2">
        <v>262</v>
      </c>
      <c r="K26" s="2">
        <v>226</v>
      </c>
      <c r="L26" s="1">
        <f>SUM(H26:K26)</f>
        <v>728</v>
      </c>
      <c r="M26" s="2">
        <v>50</v>
      </c>
      <c r="N26" s="2">
        <v>604</v>
      </c>
      <c r="O26" s="2">
        <v>288</v>
      </c>
      <c r="P26" s="2">
        <v>110</v>
      </c>
      <c r="Q26" s="1">
        <f>SUM(M26:P26)</f>
        <v>1052</v>
      </c>
      <c r="R26" s="2">
        <v>92</v>
      </c>
      <c r="S26" s="2">
        <v>757</v>
      </c>
      <c r="T26" s="2">
        <v>418</v>
      </c>
      <c r="V26" s="1">
        <f t="shared" si="6"/>
        <v>1267</v>
      </c>
    </row>
    <row r="27" spans="2:22" x14ac:dyDescent="0.25">
      <c r="B27" s="29" t="s">
        <v>56</v>
      </c>
      <c r="C27" s="29">
        <v>-124</v>
      </c>
      <c r="D27" s="29">
        <v>-17</v>
      </c>
      <c r="E27" s="29">
        <v>160</v>
      </c>
      <c r="F27" s="29">
        <v>283</v>
      </c>
      <c r="G27" s="1">
        <f>SUM(C27:F27)</f>
        <v>302</v>
      </c>
      <c r="H27" s="29">
        <v>59</v>
      </c>
      <c r="I27" s="29">
        <v>205</v>
      </c>
      <c r="J27" s="29">
        <v>240</v>
      </c>
      <c r="K27" s="29">
        <v>171</v>
      </c>
      <c r="L27" s="1">
        <f>SUM(H27:K27)</f>
        <v>675</v>
      </c>
      <c r="M27" s="29">
        <v>37</v>
      </c>
      <c r="N27" s="29">
        <v>542</v>
      </c>
      <c r="O27" s="29">
        <v>222</v>
      </c>
      <c r="P27" s="29">
        <v>118</v>
      </c>
      <c r="Q27" s="1">
        <f>SUM(M27:P27)</f>
        <v>919</v>
      </c>
      <c r="R27" s="29">
        <v>92</v>
      </c>
      <c r="S27" s="29">
        <v>721</v>
      </c>
      <c r="T27" s="29">
        <v>320</v>
      </c>
      <c r="U27" s="29"/>
      <c r="V27" s="61">
        <f t="shared" si="6"/>
        <v>1133</v>
      </c>
    </row>
    <row r="28" spans="2:22" x14ac:dyDescent="0.25">
      <c r="B28" s="49" t="s">
        <v>93</v>
      </c>
      <c r="C28" s="49">
        <v>264</v>
      </c>
      <c r="D28" s="49">
        <v>206</v>
      </c>
      <c r="E28" s="49">
        <v>124</v>
      </c>
      <c r="F28" s="49">
        <v>-22</v>
      </c>
      <c r="G28" s="58"/>
      <c r="H28" s="49">
        <v>85</v>
      </c>
      <c r="I28" s="49">
        <v>104</v>
      </c>
      <c r="J28" s="49">
        <v>148</v>
      </c>
      <c r="K28" s="49">
        <v>143</v>
      </c>
      <c r="L28" s="49"/>
      <c r="M28" s="49">
        <v>191</v>
      </c>
      <c r="N28" s="49">
        <v>52</v>
      </c>
      <c r="O28" s="49">
        <v>195</v>
      </c>
      <c r="P28" s="49">
        <v>363</v>
      </c>
      <c r="Q28" s="49"/>
      <c r="R28" s="49">
        <v>139</v>
      </c>
      <c r="S28" s="49">
        <v>149</v>
      </c>
      <c r="T28" s="49">
        <v>37</v>
      </c>
      <c r="U28" s="49"/>
      <c r="V28" s="49">
        <f t="shared" si="6"/>
        <v>325</v>
      </c>
    </row>
    <row r="29" spans="2:22" x14ac:dyDescent="0.25">
      <c r="B29" s="49" t="s">
        <v>180</v>
      </c>
      <c r="C29" s="49">
        <v>3048</v>
      </c>
      <c r="D29" s="49">
        <v>3216</v>
      </c>
      <c r="E29" s="49">
        <v>3457</v>
      </c>
      <c r="F29" s="49">
        <v>3722</v>
      </c>
      <c r="G29" s="58"/>
      <c r="H29" s="49">
        <v>4116</v>
      </c>
      <c r="I29" s="49">
        <v>4510</v>
      </c>
      <c r="J29" s="49">
        <v>4468</v>
      </c>
      <c r="K29" s="49">
        <v>4634</v>
      </c>
      <c r="L29" s="49"/>
      <c r="M29" s="49">
        <v>4851</v>
      </c>
      <c r="N29" s="49">
        <v>5259</v>
      </c>
      <c r="O29" s="49">
        <v>5659</v>
      </c>
      <c r="P29" s="49">
        <v>5807</v>
      </c>
      <c r="Q29" s="49"/>
      <c r="R29" s="49">
        <v>5709</v>
      </c>
      <c r="S29" s="49">
        <v>6249</v>
      </c>
      <c r="T29" s="49">
        <v>5717</v>
      </c>
      <c r="U29" s="49"/>
      <c r="V29" s="49">
        <f t="shared" si="6"/>
        <v>17675</v>
      </c>
    </row>
    <row r="30" spans="2:22" x14ac:dyDescent="0.25">
      <c r="B30" s="2" t="s">
        <v>181</v>
      </c>
      <c r="C30" s="2">
        <v>1697</v>
      </c>
      <c r="D30" s="2">
        <v>2184</v>
      </c>
      <c r="E30" s="2">
        <v>2316</v>
      </c>
      <c r="F30" s="2">
        <v>2410</v>
      </c>
      <c r="G30" s="1"/>
      <c r="H30" s="2">
        <v>2388</v>
      </c>
      <c r="I30" s="2">
        <v>2553</v>
      </c>
      <c r="J30" s="2">
        <v>1982</v>
      </c>
      <c r="K30" s="2">
        <v>1760</v>
      </c>
      <c r="M30" s="2">
        <v>1718</v>
      </c>
      <c r="N30" s="2">
        <v>1606</v>
      </c>
      <c r="O30" s="2">
        <v>1680</v>
      </c>
      <c r="P30" s="2">
        <v>1326</v>
      </c>
      <c r="R30" s="2">
        <v>1146</v>
      </c>
      <c r="S30" s="2">
        <v>1220</v>
      </c>
      <c r="T30" s="2">
        <v>1425</v>
      </c>
      <c r="V30" s="2">
        <f t="shared" si="6"/>
        <v>3791</v>
      </c>
    </row>
    <row r="31" spans="2:22" x14ac:dyDescent="0.25">
      <c r="B31" s="2" t="s">
        <v>67</v>
      </c>
      <c r="C31" s="2">
        <v>569</v>
      </c>
      <c r="D31" s="2">
        <v>620</v>
      </c>
      <c r="E31" s="2">
        <v>672</v>
      </c>
      <c r="F31" s="2">
        <v>888</v>
      </c>
      <c r="G31" s="1"/>
      <c r="H31" s="2">
        <v>1066</v>
      </c>
      <c r="I31" s="2">
        <v>1388</v>
      </c>
      <c r="J31" s="2">
        <v>978</v>
      </c>
      <c r="K31" s="2">
        <v>732</v>
      </c>
      <c r="M31" s="2">
        <v>1123</v>
      </c>
      <c r="N31" s="2">
        <v>2201</v>
      </c>
      <c r="O31" s="2">
        <v>2307</v>
      </c>
      <c r="P31" s="2">
        <v>1813</v>
      </c>
      <c r="R31" s="2">
        <v>1793</v>
      </c>
      <c r="S31" s="2">
        <v>2680</v>
      </c>
      <c r="T31" s="2">
        <v>1961</v>
      </c>
      <c r="V31" s="2">
        <f t="shared" si="6"/>
        <v>6434</v>
      </c>
    </row>
    <row r="32" spans="2:22" x14ac:dyDescent="0.25">
      <c r="B32" s="29" t="s">
        <v>182</v>
      </c>
      <c r="C32" s="36">
        <f t="shared" ref="C32" si="7">C30-C31</f>
        <v>1128</v>
      </c>
      <c r="D32" s="36">
        <f t="shared" ref="D32" si="8">D30-D31</f>
        <v>1564</v>
      </c>
      <c r="E32" s="36">
        <f t="shared" ref="E32" si="9">E30-E31</f>
        <v>1644</v>
      </c>
      <c r="F32" s="36">
        <f t="shared" ref="F32" si="10">F30-F31</f>
        <v>1522</v>
      </c>
      <c r="G32" s="56"/>
      <c r="H32" s="36">
        <f t="shared" ref="H32" si="11">H30-H31</f>
        <v>1322</v>
      </c>
      <c r="I32" s="36">
        <f t="shared" ref="I32" si="12">I30-I31</f>
        <v>1165</v>
      </c>
      <c r="J32" s="36">
        <f t="shared" ref="J32" si="13">J30-J31</f>
        <v>1004</v>
      </c>
      <c r="K32" s="36">
        <f t="shared" ref="K32" si="14">K30-K31</f>
        <v>1028</v>
      </c>
      <c r="L32" s="36"/>
      <c r="M32" s="36">
        <f t="shared" ref="M32" si="15">M30-M31</f>
        <v>595</v>
      </c>
      <c r="N32" s="36">
        <f t="shared" ref="N32" si="16">N30-N31</f>
        <v>-595</v>
      </c>
      <c r="O32" s="36">
        <f t="shared" ref="O32" si="17">O30-O31</f>
        <v>-627</v>
      </c>
      <c r="P32" s="36">
        <f t="shared" ref="P32" si="18">P30-P31</f>
        <v>-487</v>
      </c>
      <c r="Q32" s="36"/>
      <c r="R32" s="36">
        <f t="shared" ref="R32" si="19">R30-R31</f>
        <v>-647</v>
      </c>
      <c r="S32" s="36">
        <f t="shared" ref="S32" si="20">S30-S31</f>
        <v>-1460</v>
      </c>
      <c r="T32" s="36">
        <f t="shared" ref="T32" si="21">T30-T31</f>
        <v>-536</v>
      </c>
      <c r="U32" s="36">
        <f t="shared" ref="U32" si="22">U30-U31</f>
        <v>0</v>
      </c>
      <c r="V32" s="29"/>
    </row>
    <row r="33" spans="2:22" x14ac:dyDescent="0.25">
      <c r="B33" s="2" t="s">
        <v>183</v>
      </c>
      <c r="C33" s="13">
        <f t="shared" ref="C33:R33" si="23">C29+C32</f>
        <v>4176</v>
      </c>
      <c r="D33" s="13">
        <f t="shared" si="23"/>
        <v>4780</v>
      </c>
      <c r="E33" s="13">
        <f t="shared" si="23"/>
        <v>5101</v>
      </c>
      <c r="F33" s="13">
        <f t="shared" si="23"/>
        <v>5244</v>
      </c>
      <c r="G33" s="11"/>
      <c r="H33" s="13">
        <f t="shared" si="23"/>
        <v>5438</v>
      </c>
      <c r="I33" s="13">
        <f t="shared" si="23"/>
        <v>5675</v>
      </c>
      <c r="J33" s="13">
        <f t="shared" si="23"/>
        <v>5472</v>
      </c>
      <c r="K33" s="13">
        <f t="shared" si="23"/>
        <v>5662</v>
      </c>
      <c r="L33" s="13"/>
      <c r="M33" s="13">
        <f t="shared" si="23"/>
        <v>5446</v>
      </c>
      <c r="N33" s="13">
        <f t="shared" si="23"/>
        <v>4664</v>
      </c>
      <c r="O33" s="13">
        <f t="shared" si="23"/>
        <v>5032</v>
      </c>
      <c r="P33" s="13">
        <f t="shared" si="23"/>
        <v>5320</v>
      </c>
      <c r="Q33" s="13"/>
      <c r="R33" s="13">
        <f t="shared" si="23"/>
        <v>5062</v>
      </c>
      <c r="S33" s="13">
        <f>S29+S32</f>
        <v>4789</v>
      </c>
      <c r="T33" s="13">
        <f t="shared" ref="T33:U33" si="24">T29+T32</f>
        <v>5181</v>
      </c>
      <c r="U33" s="13">
        <f t="shared" si="24"/>
        <v>0</v>
      </c>
    </row>
    <row r="34" spans="2:22" ht="20" thickBot="1" x14ac:dyDescent="0.3">
      <c r="B34" s="26" t="s">
        <v>184</v>
      </c>
      <c r="C34" s="26">
        <v>243</v>
      </c>
      <c r="D34" s="26">
        <v>259</v>
      </c>
      <c r="E34" s="26">
        <v>265</v>
      </c>
      <c r="F34" s="26">
        <v>263</v>
      </c>
      <c r="G34" s="27"/>
      <c r="H34" s="26">
        <v>285</v>
      </c>
      <c r="I34" s="26">
        <v>300</v>
      </c>
      <c r="J34" s="26">
        <v>315</v>
      </c>
      <c r="K34" s="26">
        <v>315</v>
      </c>
      <c r="L34" s="26"/>
      <c r="M34" s="26">
        <v>292</v>
      </c>
      <c r="N34" s="26">
        <v>285</v>
      </c>
      <c r="O34" s="26">
        <v>294</v>
      </c>
      <c r="P34" s="26">
        <v>0</v>
      </c>
      <c r="Q34" s="26"/>
      <c r="R34" s="26">
        <v>0</v>
      </c>
      <c r="S34" s="26">
        <v>0</v>
      </c>
      <c r="T34" s="26">
        <v>0</v>
      </c>
      <c r="U34" s="26"/>
      <c r="V34" s="26"/>
    </row>
    <row r="35" spans="2:22" x14ac:dyDescent="0.25">
      <c r="B35" s="1" t="s">
        <v>107</v>
      </c>
      <c r="G35" s="1"/>
    </row>
    <row r="36" spans="2:22" x14ac:dyDescent="0.25">
      <c r="B36" s="2" t="s">
        <v>46</v>
      </c>
      <c r="C36" s="2">
        <v>209</v>
      </c>
      <c r="D36" s="2">
        <v>580</v>
      </c>
      <c r="E36" s="2">
        <v>632</v>
      </c>
      <c r="F36" s="2">
        <v>472</v>
      </c>
      <c r="G36" s="1">
        <f>SUM(C36:F36)</f>
        <v>1893</v>
      </c>
      <c r="H36" s="2">
        <v>682</v>
      </c>
      <c r="I36" s="2">
        <v>855</v>
      </c>
      <c r="J36" s="2">
        <v>921</v>
      </c>
      <c r="K36" s="2">
        <v>856</v>
      </c>
      <c r="L36" s="1">
        <f>SUM(H36:K36)</f>
        <v>3314</v>
      </c>
      <c r="M36" s="2">
        <v>788</v>
      </c>
      <c r="N36" s="2">
        <v>1043</v>
      </c>
      <c r="O36" s="2">
        <v>1016</v>
      </c>
      <c r="P36" s="2">
        <v>802</v>
      </c>
      <c r="Q36" s="1">
        <f>SUM(M36:P36)</f>
        <v>3649</v>
      </c>
      <c r="R36" s="2">
        <v>737</v>
      </c>
      <c r="S36" s="2">
        <v>1092</v>
      </c>
      <c r="T36" s="2">
        <v>1148</v>
      </c>
      <c r="V36" s="1">
        <f>SUM(R36:U36)</f>
        <v>2977</v>
      </c>
    </row>
    <row r="37" spans="2:22" x14ac:dyDescent="0.25">
      <c r="B37" s="24" t="s">
        <v>105</v>
      </c>
      <c r="G37" s="54"/>
      <c r="H37" s="24">
        <f t="shared" ref="H37:V37" si="25">(H36-C36)/C36</f>
        <v>2.263157894736842</v>
      </c>
      <c r="I37" s="24">
        <f t="shared" si="25"/>
        <v>0.47413793103448276</v>
      </c>
      <c r="J37" s="24">
        <f t="shared" si="25"/>
        <v>0.45727848101265822</v>
      </c>
      <c r="K37" s="24">
        <f t="shared" si="25"/>
        <v>0.81355932203389836</v>
      </c>
      <c r="L37" s="54">
        <f t="shared" si="25"/>
        <v>0.75066032752245115</v>
      </c>
      <c r="M37" s="24">
        <f t="shared" si="25"/>
        <v>0.15542521994134897</v>
      </c>
      <c r="N37" s="24">
        <f t="shared" si="25"/>
        <v>0.21988304093567251</v>
      </c>
      <c r="O37" s="24">
        <f t="shared" si="25"/>
        <v>0.10314875135722042</v>
      </c>
      <c r="P37" s="24">
        <f t="shared" si="25"/>
        <v>-6.3084112149532703E-2</v>
      </c>
      <c r="Q37" s="54">
        <f t="shared" si="25"/>
        <v>0.10108630054315026</v>
      </c>
      <c r="R37" s="24">
        <f t="shared" si="25"/>
        <v>-6.4720812182741116E-2</v>
      </c>
      <c r="S37" s="24">
        <f t="shared" si="25"/>
        <v>4.6979865771812082E-2</v>
      </c>
      <c r="T37" s="24">
        <f t="shared" si="25"/>
        <v>0.12992125984251968</v>
      </c>
      <c r="U37" s="24">
        <f t="shared" si="25"/>
        <v>-1</v>
      </c>
      <c r="V37" s="54">
        <f t="shared" si="25"/>
        <v>-0.18416004384762949</v>
      </c>
    </row>
    <row r="38" spans="2:22" x14ac:dyDescent="0.25">
      <c r="B38" s="2" t="s">
        <v>48</v>
      </c>
      <c r="C38" s="2">
        <v>-246</v>
      </c>
      <c r="D38" s="2">
        <v>-42</v>
      </c>
      <c r="E38" s="2">
        <v>-42</v>
      </c>
      <c r="F38" s="2">
        <v>-85</v>
      </c>
      <c r="G38" s="1">
        <f>SUM(C38:F38)</f>
        <v>-415</v>
      </c>
      <c r="H38" s="2">
        <v>5</v>
      </c>
      <c r="I38" s="2">
        <v>132</v>
      </c>
      <c r="J38" s="2">
        <v>213</v>
      </c>
      <c r="K38" s="2">
        <v>133</v>
      </c>
      <c r="L38" s="1">
        <f>SUM(H38:K38)</f>
        <v>483</v>
      </c>
      <c r="M38" s="2">
        <v>2</v>
      </c>
      <c r="N38" s="2">
        <v>212</v>
      </c>
      <c r="O38" s="2">
        <v>255</v>
      </c>
      <c r="P38" s="2">
        <v>33</v>
      </c>
      <c r="Q38" s="1">
        <f>SUM(M38:P38)</f>
        <v>502</v>
      </c>
      <c r="R38" s="2">
        <v>-33</v>
      </c>
      <c r="S38" s="2">
        <v>307</v>
      </c>
      <c r="T38" s="2">
        <v>352</v>
      </c>
      <c r="V38" s="1">
        <f>SUM(R38:U38)</f>
        <v>626</v>
      </c>
    </row>
    <row r="39" spans="2:22" x14ac:dyDescent="0.25">
      <c r="B39" s="10" t="s">
        <v>59</v>
      </c>
      <c r="C39" s="25">
        <v>-1.18</v>
      </c>
      <c r="D39" s="52">
        <v>-7.0000000000000007E-2</v>
      </c>
      <c r="E39" s="52">
        <v>-7.0000000000000007E-2</v>
      </c>
      <c r="F39" s="52">
        <v>-0.18</v>
      </c>
      <c r="G39" s="55">
        <f>G38/G36</f>
        <v>-0.21922873745377708</v>
      </c>
      <c r="H39" s="52">
        <v>0.01</v>
      </c>
      <c r="I39" s="52">
        <v>0.15</v>
      </c>
      <c r="J39" s="52">
        <v>0.23</v>
      </c>
      <c r="K39" s="52">
        <v>0.15</v>
      </c>
      <c r="L39" s="55">
        <f>L38/L36</f>
        <v>0.14574532287266143</v>
      </c>
      <c r="M39" s="52">
        <v>0</v>
      </c>
      <c r="N39" s="52">
        <v>0.2</v>
      </c>
      <c r="O39" s="52">
        <v>0.25</v>
      </c>
      <c r="P39" s="52">
        <v>0.04</v>
      </c>
      <c r="Q39" s="55">
        <f>Q38/Q36</f>
        <v>0.13757193751712798</v>
      </c>
      <c r="R39" s="52">
        <v>-0.04</v>
      </c>
      <c r="S39" s="52">
        <v>0.28000000000000003</v>
      </c>
      <c r="T39" s="52">
        <v>0.31</v>
      </c>
      <c r="U39" s="52"/>
      <c r="V39" s="55">
        <f>V38/V36</f>
        <v>0.21027880416526704</v>
      </c>
    </row>
    <row r="40" spans="2:22" x14ac:dyDescent="0.25">
      <c r="B40" s="2" t="s">
        <v>103</v>
      </c>
      <c r="C40" s="2">
        <v>-296</v>
      </c>
      <c r="D40" s="2">
        <v>-95</v>
      </c>
      <c r="E40" s="2">
        <v>-550</v>
      </c>
      <c r="F40" s="2">
        <v>-105</v>
      </c>
      <c r="G40" s="1">
        <f>SUM(C40:F40)</f>
        <v>-1046</v>
      </c>
      <c r="H40" s="2">
        <v>-24</v>
      </c>
      <c r="I40" s="2">
        <v>93</v>
      </c>
      <c r="J40" s="2">
        <v>174</v>
      </c>
      <c r="K40" s="2">
        <v>91</v>
      </c>
      <c r="L40" s="1">
        <f>SUM(H40:K40)</f>
        <v>334</v>
      </c>
      <c r="M40" s="2">
        <v>-40</v>
      </c>
      <c r="N40" s="2">
        <v>169</v>
      </c>
      <c r="O40" s="2">
        <v>210</v>
      </c>
      <c r="P40" s="2">
        <v>-18</v>
      </c>
      <c r="Q40" s="1">
        <f>SUM(M40:P40)</f>
        <v>321</v>
      </c>
      <c r="R40" s="2">
        <v>-89</v>
      </c>
      <c r="S40" s="2">
        <v>258</v>
      </c>
      <c r="T40" s="2">
        <v>309</v>
      </c>
      <c r="V40" s="1">
        <f t="shared" ref="V40:V46" si="26">SUM(R40:U40)</f>
        <v>478</v>
      </c>
    </row>
    <row r="41" spans="2:22" x14ac:dyDescent="0.25">
      <c r="B41" s="2" t="s">
        <v>104</v>
      </c>
      <c r="C41" s="2">
        <v>-304</v>
      </c>
      <c r="D41" s="2">
        <v>-108</v>
      </c>
      <c r="E41" s="2">
        <v>-556</v>
      </c>
      <c r="F41" s="2">
        <v>-120</v>
      </c>
      <c r="G41" s="1">
        <f>SUM(C41:F41)</f>
        <v>-1088</v>
      </c>
      <c r="H41" s="2">
        <v>-52</v>
      </c>
      <c r="I41" s="2">
        <v>64</v>
      </c>
      <c r="J41" s="2">
        <v>146</v>
      </c>
      <c r="K41" s="2">
        <v>41</v>
      </c>
      <c r="L41" s="1">
        <f>SUM(H41:K41)</f>
        <v>199</v>
      </c>
      <c r="M41" s="2">
        <v>-48</v>
      </c>
      <c r="N41" s="2">
        <v>137</v>
      </c>
      <c r="O41" s="2">
        <v>160</v>
      </c>
      <c r="P41" s="2">
        <v>-28</v>
      </c>
      <c r="Q41" s="1">
        <f>SUM(M41:P41)</f>
        <v>221</v>
      </c>
      <c r="R41" s="2">
        <v>-119</v>
      </c>
      <c r="S41" s="2">
        <v>203</v>
      </c>
      <c r="T41" s="2">
        <v>277</v>
      </c>
      <c r="V41" s="1">
        <f t="shared" si="26"/>
        <v>361</v>
      </c>
    </row>
    <row r="42" spans="2:22" x14ac:dyDescent="0.25">
      <c r="B42" s="29" t="s">
        <v>56</v>
      </c>
      <c r="C42" s="29">
        <v>-304</v>
      </c>
      <c r="D42" s="29">
        <v>-108</v>
      </c>
      <c r="E42" s="29">
        <v>-556</v>
      </c>
      <c r="F42" s="29">
        <v>-120</v>
      </c>
      <c r="G42" s="1">
        <f>SUM(C42:F42)</f>
        <v>-1088</v>
      </c>
      <c r="H42" s="29">
        <v>-53</v>
      </c>
      <c r="I42" s="29">
        <v>64</v>
      </c>
      <c r="J42" s="29">
        <v>146</v>
      </c>
      <c r="K42" s="29">
        <v>48</v>
      </c>
      <c r="L42" s="1">
        <f>SUM(H42:K42)</f>
        <v>205</v>
      </c>
      <c r="M42" s="29">
        <v>-48</v>
      </c>
      <c r="N42" s="29">
        <v>137</v>
      </c>
      <c r="O42" s="29">
        <v>160</v>
      </c>
      <c r="P42" s="29">
        <v>-20</v>
      </c>
      <c r="Q42" s="1">
        <f>SUM(M42:P42)</f>
        <v>229</v>
      </c>
      <c r="R42" s="29">
        <v>-119</v>
      </c>
      <c r="S42" s="29">
        <v>203</v>
      </c>
      <c r="T42" s="29">
        <v>277</v>
      </c>
      <c r="U42" s="29"/>
      <c r="V42" s="61">
        <f t="shared" si="26"/>
        <v>361</v>
      </c>
    </row>
    <row r="43" spans="2:22" x14ac:dyDescent="0.25">
      <c r="B43" s="49" t="s">
        <v>93</v>
      </c>
      <c r="C43" s="49">
        <v>2</v>
      </c>
      <c r="D43" s="49">
        <v>5</v>
      </c>
      <c r="E43" s="49">
        <v>42</v>
      </c>
      <c r="F43" s="49">
        <v>108</v>
      </c>
      <c r="G43" s="49"/>
      <c r="H43" s="49">
        <v>94</v>
      </c>
      <c r="I43" s="49">
        <v>19</v>
      </c>
      <c r="J43" s="49">
        <v>-11</v>
      </c>
      <c r="K43" s="49">
        <v>23</v>
      </c>
      <c r="L43" s="49"/>
      <c r="M43" s="49">
        <v>11</v>
      </c>
      <c r="N43" s="49">
        <v>3</v>
      </c>
      <c r="O43" s="49">
        <v>16</v>
      </c>
      <c r="P43" s="49">
        <v>187</v>
      </c>
      <c r="Q43" s="49"/>
      <c r="R43" s="49">
        <v>3</v>
      </c>
      <c r="S43" s="49">
        <v>1</v>
      </c>
      <c r="T43" s="49">
        <v>32</v>
      </c>
      <c r="U43" s="49"/>
      <c r="V43" s="49">
        <f t="shared" si="26"/>
        <v>36</v>
      </c>
    </row>
    <row r="44" spans="2:22" x14ac:dyDescent="0.25">
      <c r="B44" s="49" t="s">
        <v>180</v>
      </c>
      <c r="C44" s="49">
        <v>-755</v>
      </c>
      <c r="D44" s="49">
        <v>-904</v>
      </c>
      <c r="E44" s="49">
        <v>-1471</v>
      </c>
      <c r="F44" s="49">
        <v>-1574</v>
      </c>
      <c r="G44" s="49"/>
      <c r="H44" s="49">
        <v>-1782</v>
      </c>
      <c r="I44" s="49">
        <v>-1843</v>
      </c>
      <c r="J44" s="49">
        <v>-1584</v>
      </c>
      <c r="K44" s="49">
        <v>-1528</v>
      </c>
      <c r="L44" s="49"/>
      <c r="M44" s="49">
        <v>-1658</v>
      </c>
      <c r="N44" s="49">
        <v>-1489</v>
      </c>
      <c r="O44" s="49">
        <v>-1410</v>
      </c>
      <c r="P44" s="49">
        <v>-1445</v>
      </c>
      <c r="Q44" s="49"/>
      <c r="R44" s="49">
        <v>-1502</v>
      </c>
      <c r="S44" s="49">
        <v>-1306</v>
      </c>
      <c r="T44" s="49">
        <v>-1006</v>
      </c>
      <c r="U44" s="49"/>
      <c r="V44" s="49">
        <f t="shared" si="26"/>
        <v>-3814</v>
      </c>
    </row>
    <row r="45" spans="2:22" x14ac:dyDescent="0.25">
      <c r="B45" s="2" t="s">
        <v>181</v>
      </c>
      <c r="C45" s="2">
        <v>1000</v>
      </c>
      <c r="D45" s="2">
        <v>1087</v>
      </c>
      <c r="E45" s="2">
        <v>1199</v>
      </c>
      <c r="F45" s="2">
        <v>1292</v>
      </c>
      <c r="H45" s="2">
        <v>1478</v>
      </c>
      <c r="I45" s="2">
        <v>1583</v>
      </c>
      <c r="J45" s="2">
        <v>1483</v>
      </c>
      <c r="K45" s="2">
        <v>1473</v>
      </c>
      <c r="M45" s="2">
        <v>1550</v>
      </c>
      <c r="N45" s="2">
        <v>1419</v>
      </c>
      <c r="O45" s="2">
        <v>1393</v>
      </c>
      <c r="P45" s="2">
        <v>1265</v>
      </c>
      <c r="R45" s="2">
        <v>1215</v>
      </c>
      <c r="S45" s="2">
        <v>1076</v>
      </c>
      <c r="T45" s="2">
        <v>960</v>
      </c>
      <c r="V45" s="2">
        <f t="shared" si="26"/>
        <v>3251</v>
      </c>
    </row>
    <row r="46" spans="2:22" x14ac:dyDescent="0.25">
      <c r="B46" s="2" t="s">
        <v>67</v>
      </c>
      <c r="C46" s="2">
        <v>74</v>
      </c>
      <c r="D46" s="2">
        <v>111</v>
      </c>
      <c r="E46" s="2">
        <v>67</v>
      </c>
      <c r="F46" s="2">
        <v>95</v>
      </c>
      <c r="H46" s="2">
        <v>117</v>
      </c>
      <c r="I46" s="2">
        <v>259</v>
      </c>
      <c r="J46" s="2">
        <v>402</v>
      </c>
      <c r="K46" s="2">
        <v>298</v>
      </c>
      <c r="M46" s="2">
        <v>593</v>
      </c>
      <c r="N46" s="2">
        <v>628</v>
      </c>
      <c r="O46" s="2">
        <v>738</v>
      </c>
      <c r="P46" s="2">
        <v>386</v>
      </c>
      <c r="R46" s="2">
        <v>458</v>
      </c>
      <c r="S46" s="2">
        <v>665</v>
      </c>
      <c r="T46" s="2">
        <v>605</v>
      </c>
      <c r="V46" s="2">
        <f t="shared" si="26"/>
        <v>1728</v>
      </c>
    </row>
    <row r="47" spans="2:22" x14ac:dyDescent="0.25">
      <c r="B47" s="29" t="s">
        <v>182</v>
      </c>
      <c r="C47" s="36">
        <f t="shared" ref="C47" si="27">C45-C46</f>
        <v>926</v>
      </c>
      <c r="D47" s="36">
        <f t="shared" ref="D47" si="28">D45-D46</f>
        <v>976</v>
      </c>
      <c r="E47" s="36">
        <f t="shared" ref="E47" si="29">E45-E46</f>
        <v>1132</v>
      </c>
      <c r="F47" s="36">
        <f t="shared" ref="F47" si="30">F45-F46</f>
        <v>1197</v>
      </c>
      <c r="G47" s="36"/>
      <c r="H47" s="36">
        <f t="shared" ref="H47" si="31">H45-H46</f>
        <v>1361</v>
      </c>
      <c r="I47" s="36">
        <f t="shared" ref="I47" si="32">I45-I46</f>
        <v>1324</v>
      </c>
      <c r="J47" s="36">
        <f t="shared" ref="J47" si="33">J45-J46</f>
        <v>1081</v>
      </c>
      <c r="K47" s="36">
        <f t="shared" ref="K47" si="34">K45-K46</f>
        <v>1175</v>
      </c>
      <c r="L47" s="36"/>
      <c r="M47" s="36">
        <f t="shared" ref="M47" si="35">M45-M46</f>
        <v>957</v>
      </c>
      <c r="N47" s="36">
        <f t="shared" ref="N47" si="36">N45-N46</f>
        <v>791</v>
      </c>
      <c r="O47" s="36">
        <f t="shared" ref="O47" si="37">O45-O46</f>
        <v>655</v>
      </c>
      <c r="P47" s="36">
        <f t="shared" ref="P47" si="38">P45-P46</f>
        <v>879</v>
      </c>
      <c r="Q47" s="36"/>
      <c r="R47" s="36">
        <f t="shared" ref="R47" si="39">R45-R46</f>
        <v>757</v>
      </c>
      <c r="S47" s="36">
        <f t="shared" ref="S47" si="40">S45-S46</f>
        <v>411</v>
      </c>
      <c r="T47" s="36">
        <f t="shared" ref="T47" si="41">T45-T46</f>
        <v>355</v>
      </c>
      <c r="U47" s="36">
        <f t="shared" ref="U47" si="42">U45-U46</f>
        <v>0</v>
      </c>
      <c r="V47" s="29"/>
    </row>
    <row r="48" spans="2:22" x14ac:dyDescent="0.25">
      <c r="B48" s="2" t="s">
        <v>183</v>
      </c>
      <c r="C48" s="13">
        <f t="shared" ref="C48:R48" si="43">C44+C47</f>
        <v>171</v>
      </c>
      <c r="D48" s="13">
        <f t="shared" si="43"/>
        <v>72</v>
      </c>
      <c r="E48" s="13">
        <f t="shared" si="43"/>
        <v>-339</v>
      </c>
      <c r="F48" s="13">
        <f t="shared" si="43"/>
        <v>-377</v>
      </c>
      <c r="G48" s="13"/>
      <c r="H48" s="13">
        <f t="shared" si="43"/>
        <v>-421</v>
      </c>
      <c r="I48" s="13">
        <f t="shared" si="43"/>
        <v>-519</v>
      </c>
      <c r="J48" s="13">
        <f t="shared" si="43"/>
        <v>-503</v>
      </c>
      <c r="K48" s="13">
        <f t="shared" si="43"/>
        <v>-353</v>
      </c>
      <c r="L48" s="13"/>
      <c r="M48" s="13">
        <f t="shared" si="43"/>
        <v>-701</v>
      </c>
      <c r="N48" s="13">
        <f t="shared" si="43"/>
        <v>-698</v>
      </c>
      <c r="O48" s="13">
        <f t="shared" si="43"/>
        <v>-755</v>
      </c>
      <c r="P48" s="13">
        <f t="shared" si="43"/>
        <v>-566</v>
      </c>
      <c r="Q48" s="13"/>
      <c r="R48" s="13">
        <f t="shared" si="43"/>
        <v>-745</v>
      </c>
      <c r="S48" s="13">
        <f>S44+S47</f>
        <v>-895</v>
      </c>
      <c r="T48" s="13">
        <f t="shared" ref="T48:U48" si="44">T44+T47</f>
        <v>-651</v>
      </c>
      <c r="U48" s="13">
        <f t="shared" si="44"/>
        <v>0</v>
      </c>
    </row>
    <row r="49" spans="2:22" ht="20" thickBot="1" x14ac:dyDescent="0.3">
      <c r="B49" s="26" t="s">
        <v>184</v>
      </c>
      <c r="C49" s="26">
        <v>741</v>
      </c>
      <c r="D49" s="26">
        <v>814</v>
      </c>
      <c r="E49" s="26">
        <v>929</v>
      </c>
      <c r="F49" s="26">
        <v>1025</v>
      </c>
      <c r="G49" s="26"/>
      <c r="H49" s="26">
        <v>1186</v>
      </c>
      <c r="I49" s="26">
        <v>1271</v>
      </c>
      <c r="J49" s="26">
        <v>1191</v>
      </c>
      <c r="K49" s="26">
        <v>1183</v>
      </c>
      <c r="L49" s="26"/>
      <c r="M49" s="26">
        <v>1246</v>
      </c>
      <c r="N49" s="26">
        <v>1220</v>
      </c>
      <c r="O49" s="26">
        <v>1289</v>
      </c>
      <c r="P49" s="26">
        <v>1159</v>
      </c>
      <c r="Q49" s="26"/>
      <c r="R49" s="26">
        <v>1114</v>
      </c>
      <c r="S49" s="26">
        <v>974</v>
      </c>
      <c r="T49" s="26">
        <v>960</v>
      </c>
      <c r="U49" s="26"/>
      <c r="V49" s="26"/>
    </row>
    <row r="50" spans="2:22" x14ac:dyDescent="0.25">
      <c r="B50" s="10" t="s">
        <v>185</v>
      </c>
      <c r="C50" s="52">
        <v>0.51</v>
      </c>
      <c r="D50" s="52">
        <v>0.57999999999999996</v>
      </c>
      <c r="E50" s="52">
        <v>0.73</v>
      </c>
      <c r="F50" s="52">
        <v>0.64</v>
      </c>
      <c r="G50" s="52"/>
      <c r="H50" s="52">
        <v>0.66</v>
      </c>
      <c r="I50" s="52">
        <v>0.69</v>
      </c>
      <c r="J50" s="52">
        <v>0.76</v>
      </c>
      <c r="K50" s="52">
        <v>0.71</v>
      </c>
      <c r="L50" s="52"/>
      <c r="M50" s="52">
        <v>0.69</v>
      </c>
      <c r="N50" s="52">
        <v>0.77</v>
      </c>
      <c r="O50" s="52">
        <v>0.77</v>
      </c>
      <c r="P50" s="52">
        <v>0.65</v>
      </c>
      <c r="Q50" s="52"/>
      <c r="R50" s="52">
        <v>0.63</v>
      </c>
      <c r="S50" s="52">
        <v>0.79</v>
      </c>
      <c r="T50" s="52">
        <v>0.81</v>
      </c>
      <c r="U50" s="5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E745-DC06-8448-81B5-DC40131426CF}">
  <dimension ref="C4:F6"/>
  <sheetViews>
    <sheetView showGridLines="0" workbookViewId="0">
      <selection activeCell="F21" sqref="F21"/>
    </sheetView>
  </sheetViews>
  <sheetFormatPr baseColWidth="10" defaultRowHeight="16" x14ac:dyDescent="0.2"/>
  <cols>
    <col min="3" max="3" width="29.5" bestFit="1" customWidth="1"/>
    <col min="4" max="6" width="18.6640625" bestFit="1" customWidth="1"/>
  </cols>
  <sheetData>
    <row r="4" spans="3:6" ht="62" x14ac:dyDescent="0.7">
      <c r="C4" s="22"/>
      <c r="D4" s="22">
        <v>2025</v>
      </c>
      <c r="E4" s="22">
        <v>2026</v>
      </c>
      <c r="F4" s="22">
        <v>2027</v>
      </c>
    </row>
    <row r="5" spans="3:6" ht="62" x14ac:dyDescent="0.7">
      <c r="C5" s="22" t="s">
        <v>34</v>
      </c>
      <c r="D5" s="23"/>
      <c r="E5" s="23"/>
      <c r="F5" s="23"/>
    </row>
    <row r="6" spans="3:6" ht="62" x14ac:dyDescent="0.7">
      <c r="C6" s="22" t="s">
        <v>35</v>
      </c>
      <c r="D6" s="23"/>
      <c r="E6" s="23"/>
      <c r="F6"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5</vt:i4>
      </vt:variant>
    </vt:vector>
  </HeadingPairs>
  <TitlesOfParts>
    <vt:vector size="5" baseType="lpstr">
      <vt:lpstr>Info</vt:lpstr>
      <vt:lpstr>Modell</vt:lpstr>
      <vt:lpstr>SOTP</vt:lpstr>
      <vt:lpstr>Segementer</vt:lpstr>
      <vt:lpstr>Nøkkeltall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 hodt</dc:creator>
  <cp:lastModifiedBy>August Hodt</cp:lastModifiedBy>
  <dcterms:created xsi:type="dcterms:W3CDTF">2025-02-09T20:32:11Z</dcterms:created>
  <dcterms:modified xsi:type="dcterms:W3CDTF">2026-01-16T18:24:08Z</dcterms:modified>
</cp:coreProperties>
</file>