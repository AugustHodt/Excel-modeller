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29BE5105-2BD9-1149-A531-993063985B17}" xr6:coauthVersionLast="47" xr6:coauthVersionMax="47" xr10:uidLastSave="{00000000-0000-0000-0000-000000000000}"/>
  <bookViews>
    <workbookView xWindow="25300" yWindow="500" windowWidth="25900" windowHeight="26740" activeTab="3" xr2:uid="{5AE0DF26-B7DD-1242-A60E-253C73A930AF}"/>
  </bookViews>
  <sheets>
    <sheet name="Info" sheetId="1" r:id="rId1"/>
    <sheet name="Modell" sheetId="2" r:id="rId2"/>
    <sheet name="Segementer" sheetId="4" r:id="rId3"/>
    <sheet name="SOTP" sheetId="6" r:id="rId4"/>
    <sheet name="Nøkkeltall" sheetId="3" r:id="rId5"/>
    <sheet name="Nedsideberegninger" sheetId="5" r:id="rId6"/>
  </sheets>
  <definedNames>
    <definedName name="_xlchart.v1.0" hidden="1">SOTP!$A$60:$A$70</definedName>
    <definedName name="_xlchart.v1.1" hidden="1">SOTP!$B$60:$B$70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AJ7" i="2"/>
  <c r="T42" i="2"/>
  <c r="AK4" i="2"/>
  <c r="AJ4" i="2"/>
  <c r="S28" i="2" l="1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T28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Y68" i="2"/>
  <c r="Z68" i="2"/>
  <c r="AA68" i="2"/>
  <c r="AB68" i="2"/>
  <c r="Y61" i="2"/>
  <c r="Z61" i="2"/>
  <c r="AA61" i="2"/>
  <c r="AB61" i="2"/>
  <c r="Y58" i="2"/>
  <c r="Z58" i="2"/>
  <c r="AA58" i="2"/>
  <c r="AB58" i="2"/>
  <c r="Y48" i="2"/>
  <c r="Z48" i="2"/>
  <c r="AA48" i="2"/>
  <c r="Y42" i="2"/>
  <c r="Z42" i="2"/>
  <c r="AA42" i="2"/>
  <c r="Y37" i="2"/>
  <c r="Z37" i="2"/>
  <c r="AA37" i="2"/>
  <c r="S9" i="2"/>
  <c r="Y49" i="2" l="1"/>
  <c r="AA72" i="2"/>
  <c r="Z49" i="2"/>
  <c r="AB70" i="2"/>
  <c r="AB72" i="2"/>
  <c r="Y70" i="2"/>
  <c r="Y72" i="2"/>
  <c r="AA70" i="2"/>
  <c r="Z70" i="2"/>
  <c r="Z72" i="2"/>
  <c r="AA49" i="2"/>
  <c r="AK7" i="2" l="1"/>
  <c r="AL7" i="2" s="1"/>
  <c r="AM7" i="2" s="1"/>
  <c r="AN7" i="2" s="1"/>
  <c r="AO7" i="2" s="1"/>
  <c r="AP7" i="2" s="1"/>
  <c r="AQ7" i="2" s="1"/>
  <c r="AR7" i="2" s="1"/>
  <c r="AS7" i="2" s="1"/>
  <c r="AK5" i="2"/>
  <c r="AI6" i="2"/>
  <c r="AI8" i="2" s="1"/>
  <c r="E6" i="2"/>
  <c r="E8" i="2" s="1"/>
  <c r="F6" i="2"/>
  <c r="F8" i="2" s="1"/>
  <c r="G6" i="2"/>
  <c r="G8" i="2" s="1"/>
  <c r="H6" i="2"/>
  <c r="H8" i="2" s="1"/>
  <c r="I6" i="2"/>
  <c r="I8" i="2" s="1"/>
  <c r="J6" i="2"/>
  <c r="J8" i="2" s="1"/>
  <c r="K6" i="2"/>
  <c r="K8" i="2" s="1"/>
  <c r="L6" i="2"/>
  <c r="L8" i="2" s="1"/>
  <c r="M6" i="2"/>
  <c r="M8" i="2" s="1"/>
  <c r="N6" i="2"/>
  <c r="N8" i="2" s="1"/>
  <c r="O6" i="2"/>
  <c r="O8" i="2" s="1"/>
  <c r="P6" i="2"/>
  <c r="P8" i="2" s="1"/>
  <c r="Q6" i="2"/>
  <c r="Q8" i="2" s="1"/>
  <c r="R6" i="2"/>
  <c r="R8" i="2" s="1"/>
  <c r="S6" i="2"/>
  <c r="S8" i="2" s="1"/>
  <c r="T6" i="2"/>
  <c r="T8" i="2" s="1"/>
  <c r="T10" i="2" s="1"/>
  <c r="T13" i="2" s="1"/>
  <c r="T15" i="2" s="1"/>
  <c r="T17" i="2" s="1"/>
  <c r="D6" i="2"/>
  <c r="D8" i="2" s="1"/>
  <c r="B8" i="2"/>
  <c r="B7" i="2"/>
  <c r="T68" i="2"/>
  <c r="T61" i="2"/>
  <c r="T58" i="2"/>
  <c r="T48" i="2"/>
  <c r="B12" i="2"/>
  <c r="T37" i="2"/>
  <c r="AB48" i="2"/>
  <c r="AB42" i="2"/>
  <c r="AB37" i="2"/>
  <c r="AC48" i="2"/>
  <c r="AD48" i="2"/>
  <c r="AE48" i="2"/>
  <c r="AC42" i="2"/>
  <c r="AD42" i="2"/>
  <c r="AE42" i="2"/>
  <c r="AC37" i="2"/>
  <c r="AD37" i="2"/>
  <c r="AE3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T20" i="2"/>
  <c r="T19" i="2"/>
  <c r="AF48" i="2"/>
  <c r="AG48" i="2"/>
  <c r="AH48" i="2"/>
  <c r="G11" i="6"/>
  <c r="B64" i="6" s="1"/>
  <c r="F11" i="6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Z37" i="4"/>
  <c r="Y37" i="4"/>
  <c r="X37" i="4"/>
  <c r="W37" i="4"/>
  <c r="U37" i="4"/>
  <c r="T37" i="4"/>
  <c r="S37" i="4"/>
  <c r="R37" i="4"/>
  <c r="P37" i="4"/>
  <c r="O37" i="4"/>
  <c r="N37" i="4"/>
  <c r="M37" i="4"/>
  <c r="K37" i="4"/>
  <c r="J37" i="4"/>
  <c r="I37" i="4"/>
  <c r="H37" i="4"/>
  <c r="F37" i="4"/>
  <c r="E37" i="4"/>
  <c r="D37" i="4"/>
  <c r="C37" i="4"/>
  <c r="AA36" i="4"/>
  <c r="V36" i="4"/>
  <c r="Q36" i="4"/>
  <c r="L36" i="4"/>
  <c r="G36" i="4"/>
  <c r="G37" i="4" s="1"/>
  <c r="Z35" i="4"/>
  <c r="Y35" i="4"/>
  <c r="X35" i="4"/>
  <c r="W35" i="4"/>
  <c r="U35" i="4"/>
  <c r="T35" i="4"/>
  <c r="S35" i="4"/>
  <c r="R35" i="4"/>
  <c r="P35" i="4"/>
  <c r="O35" i="4"/>
  <c r="N35" i="4"/>
  <c r="M35" i="4"/>
  <c r="K35" i="4"/>
  <c r="J35" i="4"/>
  <c r="I35" i="4"/>
  <c r="H35" i="4"/>
  <c r="AA34" i="4"/>
  <c r="V34" i="4"/>
  <c r="V35" i="4" s="1"/>
  <c r="Q34" i="4"/>
  <c r="Q37" i="4" s="1"/>
  <c r="L34" i="4"/>
  <c r="L35" i="4" s="1"/>
  <c r="G34" i="4"/>
  <c r="R21" i="2" l="1"/>
  <c r="Q21" i="2"/>
  <c r="AI21" i="2"/>
  <c r="J21" i="2"/>
  <c r="I21" i="2"/>
  <c r="AJ5" i="2"/>
  <c r="M21" i="2"/>
  <c r="E21" i="2"/>
  <c r="H21" i="2"/>
  <c r="G21" i="2"/>
  <c r="N21" i="2"/>
  <c r="T21" i="2"/>
  <c r="L21" i="2"/>
  <c r="D21" i="2"/>
  <c r="P21" i="2"/>
  <c r="O21" i="2"/>
  <c r="F21" i="2"/>
  <c r="S21" i="2"/>
  <c r="K21" i="2"/>
  <c r="T52" i="2"/>
  <c r="T22" i="2"/>
  <c r="T70" i="2"/>
  <c r="T72" i="2"/>
  <c r="T49" i="2"/>
  <c r="T23" i="2"/>
  <c r="AD49" i="2"/>
  <c r="AE49" i="2"/>
  <c r="AB49" i="2"/>
  <c r="AC49" i="2"/>
  <c r="AA37" i="4"/>
  <c r="AA35" i="4"/>
  <c r="V37" i="4"/>
  <c r="L37" i="4"/>
  <c r="Q35" i="4"/>
  <c r="F15" i="6" l="1"/>
  <c r="G15" i="6" s="1"/>
  <c r="F14" i="6"/>
  <c r="G14" i="6" s="1"/>
  <c r="F10" i="6"/>
  <c r="G10" i="6" s="1"/>
  <c r="F9" i="6"/>
  <c r="G9" i="6" s="1"/>
  <c r="F8" i="6"/>
  <c r="F7" i="6"/>
  <c r="G7" i="6" s="1"/>
  <c r="AI68" i="2"/>
  <c r="AI61" i="2"/>
  <c r="AI58" i="2"/>
  <c r="AF42" i="2"/>
  <c r="AF49" i="2" s="1"/>
  <c r="AF37" i="2"/>
  <c r="AG42" i="2"/>
  <c r="AG49" i="2" s="1"/>
  <c r="AG37" i="2"/>
  <c r="AH42" i="2"/>
  <c r="AH49" i="2" s="1"/>
  <c r="AH37" i="2"/>
  <c r="AI48" i="2"/>
  <c r="AI42" i="2"/>
  <c r="AI37" i="2"/>
  <c r="S48" i="2"/>
  <c r="AA20" i="4"/>
  <c r="AA21" i="4" s="1"/>
  <c r="AA27" i="4"/>
  <c r="AA28" i="4" s="1"/>
  <c r="AA13" i="4"/>
  <c r="AA14" i="4" s="1"/>
  <c r="AA8" i="4"/>
  <c r="AA6" i="4"/>
  <c r="AA32" i="4"/>
  <c r="Z32" i="4"/>
  <c r="Y32" i="4"/>
  <c r="X32" i="4"/>
  <c r="W32" i="4"/>
  <c r="Z30" i="4"/>
  <c r="Y30" i="4"/>
  <c r="X30" i="4"/>
  <c r="W30" i="4"/>
  <c r="AA29" i="4"/>
  <c r="Z28" i="4"/>
  <c r="Y28" i="4"/>
  <c r="X28" i="4"/>
  <c r="W28" i="4"/>
  <c r="AA25" i="4"/>
  <c r="Z25" i="4"/>
  <c r="Y25" i="4"/>
  <c r="X25" i="4"/>
  <c r="W25" i="4"/>
  <c r="Z23" i="4"/>
  <c r="Y23" i="4"/>
  <c r="X23" i="4"/>
  <c r="W23" i="4"/>
  <c r="AA22" i="4"/>
  <c r="Z21" i="4"/>
  <c r="Y21" i="4"/>
  <c r="X21" i="4"/>
  <c r="W21" i="4"/>
  <c r="AA18" i="4"/>
  <c r="Z18" i="4"/>
  <c r="Y18" i="4"/>
  <c r="X18" i="4"/>
  <c r="W18" i="4"/>
  <c r="Z16" i="4"/>
  <c r="Y16" i="4"/>
  <c r="X16" i="4"/>
  <c r="W16" i="4"/>
  <c r="AA15" i="4"/>
  <c r="Z14" i="4"/>
  <c r="Y14" i="4"/>
  <c r="X14" i="4"/>
  <c r="W14" i="4"/>
  <c r="AA11" i="4"/>
  <c r="Z11" i="4"/>
  <c r="Y11" i="4"/>
  <c r="X11" i="4"/>
  <c r="W11" i="4"/>
  <c r="Z9" i="4"/>
  <c r="Y9" i="4"/>
  <c r="X9" i="4"/>
  <c r="W9" i="4"/>
  <c r="Z7" i="4"/>
  <c r="Y7" i="4"/>
  <c r="X7" i="4"/>
  <c r="W7" i="4"/>
  <c r="L11" i="4"/>
  <c r="Q11" i="4"/>
  <c r="V11" i="4"/>
  <c r="V18" i="4"/>
  <c r="Q18" i="4"/>
  <c r="L18" i="4"/>
  <c r="L25" i="4"/>
  <c r="Q25" i="4"/>
  <c r="V25" i="4"/>
  <c r="L32" i="4"/>
  <c r="V32" i="4"/>
  <c r="Q32" i="4"/>
  <c r="U11" i="4"/>
  <c r="R68" i="2"/>
  <c r="S68" i="2"/>
  <c r="R61" i="2"/>
  <c r="S61" i="2"/>
  <c r="R58" i="2"/>
  <c r="S58" i="2"/>
  <c r="R46" i="2"/>
  <c r="R48" i="2" s="1"/>
  <c r="AI49" i="2" l="1"/>
  <c r="AL4" i="2"/>
  <c r="AL5" i="2" s="1"/>
  <c r="AJ6" i="2"/>
  <c r="AI72" i="2"/>
  <c r="F12" i="6"/>
  <c r="AA30" i="4"/>
  <c r="G8" i="6"/>
  <c r="G12" i="6" s="1"/>
  <c r="G17" i="6" s="1"/>
  <c r="AI70" i="2"/>
  <c r="S72" i="2"/>
  <c r="S70" i="2"/>
  <c r="AA23" i="4"/>
  <c r="AA16" i="4"/>
  <c r="AA9" i="4"/>
  <c r="AA7" i="4"/>
  <c r="R72" i="2"/>
  <c r="R70" i="2"/>
  <c r="AJ8" i="2" l="1"/>
  <c r="AJ21" i="2"/>
  <c r="AK6" i="2"/>
  <c r="AM4" i="2"/>
  <c r="AM5" i="2" s="1"/>
  <c r="AL6" i="2"/>
  <c r="S42" i="2"/>
  <c r="R42" i="2"/>
  <c r="S37" i="2"/>
  <c r="R37" i="2"/>
  <c r="R10" i="2"/>
  <c r="R13" i="2" s="1"/>
  <c r="AK8" i="2" l="1"/>
  <c r="AK21" i="2"/>
  <c r="AL8" i="2"/>
  <c r="AL21" i="2"/>
  <c r="AN4" i="2"/>
  <c r="AN5" i="2" s="1"/>
  <c r="AM6" i="2"/>
  <c r="R15" i="2"/>
  <c r="R52" i="2"/>
  <c r="S49" i="2"/>
  <c r="R49" i="2"/>
  <c r="AM8" i="2" l="1"/>
  <c r="AM21" i="2"/>
  <c r="AO4" i="2"/>
  <c r="AO5" i="2" s="1"/>
  <c r="AN6" i="2"/>
  <c r="Z14" i="5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Y14" i="5"/>
  <c r="P8" i="5"/>
  <c r="Q8" i="5"/>
  <c r="R8" i="5"/>
  <c r="S8" i="5"/>
  <c r="T8" i="5"/>
  <c r="U8" i="5"/>
  <c r="V8" i="5"/>
  <c r="W8" i="5"/>
  <c r="X8" i="5" s="1"/>
  <c r="P5" i="5"/>
  <c r="Q5" i="5"/>
  <c r="R5" i="5" s="1"/>
  <c r="S5" i="5" s="1"/>
  <c r="T5" i="5" s="1"/>
  <c r="U5" i="5" s="1"/>
  <c r="V5" i="5" s="1"/>
  <c r="W5" i="5" s="1"/>
  <c r="X5" i="5" s="1"/>
  <c r="P6" i="5"/>
  <c r="Q6" i="5"/>
  <c r="R6" i="5"/>
  <c r="S6" i="5"/>
  <c r="T6" i="5"/>
  <c r="U6" i="5"/>
  <c r="V6" i="5"/>
  <c r="W6" i="5" s="1"/>
  <c r="X6" i="5" s="1"/>
  <c r="O8" i="5"/>
  <c r="O6" i="5"/>
  <c r="O5" i="5"/>
  <c r="P4" i="5"/>
  <c r="Q4" i="5"/>
  <c r="R4" i="5"/>
  <c r="S4" i="5"/>
  <c r="T4" i="5"/>
  <c r="U4" i="5"/>
  <c r="V4" i="5"/>
  <c r="W4" i="5"/>
  <c r="X4" i="5" s="1"/>
  <c r="O4" i="5"/>
  <c r="O7" i="5"/>
  <c r="F19" i="5"/>
  <c r="M18" i="5"/>
  <c r="L18" i="5"/>
  <c r="K18" i="5"/>
  <c r="J18" i="5"/>
  <c r="I18" i="5"/>
  <c r="H18" i="5"/>
  <c r="G18" i="5"/>
  <c r="F18" i="5"/>
  <c r="E18" i="5"/>
  <c r="N8" i="5"/>
  <c r="I8" i="5"/>
  <c r="H7" i="5"/>
  <c r="H9" i="5" s="1"/>
  <c r="D7" i="5"/>
  <c r="D9" i="5" s="1"/>
  <c r="D12" i="5" s="1"/>
  <c r="D14" i="5" s="1"/>
  <c r="D16" i="5" s="1"/>
  <c r="N6" i="5"/>
  <c r="M5" i="5"/>
  <c r="L5" i="5"/>
  <c r="K5" i="5"/>
  <c r="J5" i="5"/>
  <c r="J19" i="5" s="1"/>
  <c r="I5" i="5"/>
  <c r="I19" i="5" s="1"/>
  <c r="H5" i="5"/>
  <c r="H19" i="5" s="1"/>
  <c r="G5" i="5"/>
  <c r="G19" i="5" s="1"/>
  <c r="F5" i="5"/>
  <c r="F7" i="5" s="1"/>
  <c r="F20" i="5" s="1"/>
  <c r="E5" i="5"/>
  <c r="D5" i="5"/>
  <c r="N4" i="5"/>
  <c r="N18" i="5" s="1"/>
  <c r="AA19" i="2"/>
  <c r="AB19" i="2"/>
  <c r="AC19" i="2"/>
  <c r="Z19" i="2"/>
  <c r="Y5" i="2"/>
  <c r="Y6" i="2" s="1"/>
  <c r="Z5" i="2"/>
  <c r="Z6" i="2" s="1"/>
  <c r="AA5" i="2"/>
  <c r="AB5" i="2"/>
  <c r="AB6" i="2" s="1"/>
  <c r="U32" i="4"/>
  <c r="T32" i="4"/>
  <c r="S32" i="4"/>
  <c r="R32" i="4"/>
  <c r="P32" i="4"/>
  <c r="O32" i="4"/>
  <c r="N32" i="4"/>
  <c r="M32" i="4"/>
  <c r="K32" i="4"/>
  <c r="J32" i="4"/>
  <c r="I32" i="4"/>
  <c r="H32" i="4"/>
  <c r="U25" i="4"/>
  <c r="T25" i="4"/>
  <c r="S25" i="4"/>
  <c r="R25" i="4"/>
  <c r="P25" i="4"/>
  <c r="O25" i="4"/>
  <c r="N25" i="4"/>
  <c r="M25" i="4"/>
  <c r="K25" i="4"/>
  <c r="J25" i="4"/>
  <c r="I25" i="4"/>
  <c r="H25" i="4"/>
  <c r="S18" i="4"/>
  <c r="U18" i="4"/>
  <c r="T18" i="4"/>
  <c r="R18" i="4"/>
  <c r="P18" i="4"/>
  <c r="O18" i="4"/>
  <c r="N18" i="4"/>
  <c r="M18" i="4"/>
  <c r="K18" i="4"/>
  <c r="J18" i="4"/>
  <c r="I18" i="4"/>
  <c r="H18" i="4"/>
  <c r="I11" i="4"/>
  <c r="K11" i="4"/>
  <c r="J11" i="4"/>
  <c r="H11" i="4"/>
  <c r="P11" i="4"/>
  <c r="O11" i="4"/>
  <c r="N11" i="4"/>
  <c r="M11" i="4"/>
  <c r="T11" i="4"/>
  <c r="R11" i="4"/>
  <c r="S11" i="4"/>
  <c r="Q68" i="2"/>
  <c r="Q61" i="2"/>
  <c r="Q58" i="2"/>
  <c r="Q46" i="2"/>
  <c r="Q48" i="2" s="1"/>
  <c r="Q32" i="2"/>
  <c r="Q37" i="2" s="1"/>
  <c r="Q42" i="2"/>
  <c r="V27" i="4"/>
  <c r="V13" i="4"/>
  <c r="Y8" i="2" l="1"/>
  <c r="Y21" i="2"/>
  <c r="Z8" i="2"/>
  <c r="Z21" i="2"/>
  <c r="AB8" i="2"/>
  <c r="AB21" i="2"/>
  <c r="AB20" i="2"/>
  <c r="AN8" i="2"/>
  <c r="AN21" i="2"/>
  <c r="AA6" i="2"/>
  <c r="AP4" i="2"/>
  <c r="AP5" i="2" s="1"/>
  <c r="AO6" i="2"/>
  <c r="Z20" i="2"/>
  <c r="AB10" i="2"/>
  <c r="AB22" i="2"/>
  <c r="Y22" i="2"/>
  <c r="Y10" i="2"/>
  <c r="AA20" i="2"/>
  <c r="S7" i="5"/>
  <c r="R7" i="5"/>
  <c r="Q7" i="5"/>
  <c r="P7" i="5"/>
  <c r="X7" i="5"/>
  <c r="U7" i="5"/>
  <c r="V7" i="5"/>
  <c r="T7" i="5"/>
  <c r="W7" i="5"/>
  <c r="H12" i="5"/>
  <c r="H14" i="5" s="1"/>
  <c r="H16" i="5" s="1"/>
  <c r="H21" i="5"/>
  <c r="D20" i="5"/>
  <c r="G7" i="5"/>
  <c r="F9" i="5"/>
  <c r="H20" i="5"/>
  <c r="I7" i="5"/>
  <c r="K19" i="5"/>
  <c r="J7" i="5"/>
  <c r="D21" i="5"/>
  <c r="L19" i="5"/>
  <c r="K7" i="5"/>
  <c r="N7" i="5"/>
  <c r="E19" i="5"/>
  <c r="M19" i="5"/>
  <c r="L7" i="5"/>
  <c r="E7" i="5"/>
  <c r="M7" i="5"/>
  <c r="N5" i="5"/>
  <c r="Q70" i="2"/>
  <c r="Q72" i="2"/>
  <c r="Q49" i="2"/>
  <c r="Q22" i="2"/>
  <c r="R22" i="2"/>
  <c r="S22" i="2"/>
  <c r="P20" i="2"/>
  <c r="Q19" i="2"/>
  <c r="R19" i="2"/>
  <c r="S19" i="2"/>
  <c r="Q20" i="2"/>
  <c r="R20" i="2"/>
  <c r="S20" i="2"/>
  <c r="AA8" i="2" l="1"/>
  <c r="AA21" i="2"/>
  <c r="AO8" i="2"/>
  <c r="AO21" i="2"/>
  <c r="AQ4" i="2"/>
  <c r="AQ5" i="2" s="1"/>
  <c r="AP6" i="2"/>
  <c r="Z22" i="2"/>
  <c r="Z10" i="2"/>
  <c r="Y13" i="2"/>
  <c r="Y23" i="2"/>
  <c r="AB13" i="2"/>
  <c r="AB23" i="2"/>
  <c r="F21" i="5"/>
  <c r="F12" i="5"/>
  <c r="F14" i="5" s="1"/>
  <c r="F16" i="5" s="1"/>
  <c r="N19" i="5"/>
  <c r="E9" i="5"/>
  <c r="E20" i="5"/>
  <c r="I20" i="5"/>
  <c r="I9" i="5"/>
  <c r="O18" i="5"/>
  <c r="N20" i="5"/>
  <c r="N9" i="5"/>
  <c r="K9" i="5"/>
  <c r="K20" i="5"/>
  <c r="G20" i="5"/>
  <c r="G9" i="5"/>
  <c r="M9" i="5"/>
  <c r="M20" i="5"/>
  <c r="L9" i="5"/>
  <c r="L20" i="5"/>
  <c r="J9" i="5"/>
  <c r="J20" i="5"/>
  <c r="S10" i="2"/>
  <c r="S13" i="2" s="1"/>
  <c r="Q10" i="2"/>
  <c r="AB15" i="2" l="1"/>
  <c r="AB17" i="2" s="1"/>
  <c r="AB52" i="2"/>
  <c r="Y15" i="2"/>
  <c r="Y17" i="2" s="1"/>
  <c r="Y52" i="2"/>
  <c r="AA10" i="2"/>
  <c r="AA22" i="2"/>
  <c r="AP8" i="2"/>
  <c r="AP21" i="2"/>
  <c r="AR4" i="2"/>
  <c r="AR5" i="2" s="1"/>
  <c r="AQ6" i="2"/>
  <c r="Z13" i="2"/>
  <c r="Z23" i="2"/>
  <c r="S15" i="2"/>
  <c r="S17" i="2" s="1"/>
  <c r="S52" i="2"/>
  <c r="S23" i="2"/>
  <c r="I21" i="5"/>
  <c r="I12" i="5"/>
  <c r="I14" i="5" s="1"/>
  <c r="I16" i="5" s="1"/>
  <c r="E21" i="5"/>
  <c r="E12" i="5"/>
  <c r="E14" i="5" s="1"/>
  <c r="E16" i="5" s="1"/>
  <c r="J21" i="5"/>
  <c r="J12" i="5"/>
  <c r="J14" i="5" s="1"/>
  <c r="J16" i="5" s="1"/>
  <c r="L12" i="5"/>
  <c r="L14" i="5" s="1"/>
  <c r="L16" i="5" s="1"/>
  <c r="L21" i="5"/>
  <c r="O19" i="5"/>
  <c r="M12" i="5"/>
  <c r="M14" i="5" s="1"/>
  <c r="M16" i="5" s="1"/>
  <c r="M21" i="5"/>
  <c r="K12" i="5"/>
  <c r="K14" i="5" s="1"/>
  <c r="K16" i="5" s="1"/>
  <c r="K21" i="5"/>
  <c r="N21" i="5"/>
  <c r="N12" i="5"/>
  <c r="P18" i="5"/>
  <c r="G12" i="5"/>
  <c r="G14" i="5" s="1"/>
  <c r="G16" i="5" s="1"/>
  <c r="G21" i="5"/>
  <c r="Q13" i="2"/>
  <c r="Q23" i="2"/>
  <c r="R17" i="2"/>
  <c r="R23" i="2"/>
  <c r="AA13" i="2" l="1"/>
  <c r="AA23" i="2"/>
  <c r="Z15" i="2"/>
  <c r="Z17" i="2" s="1"/>
  <c r="Z52" i="2"/>
  <c r="AQ8" i="2"/>
  <c r="AQ21" i="2"/>
  <c r="AS4" i="2"/>
  <c r="AS5" i="2" s="1"/>
  <c r="AR6" i="2"/>
  <c r="P20" i="5"/>
  <c r="P9" i="5"/>
  <c r="Q18" i="5"/>
  <c r="N13" i="5"/>
  <c r="N14" i="5"/>
  <c r="P19" i="5"/>
  <c r="O20" i="5"/>
  <c r="O9" i="5"/>
  <c r="Q15" i="2"/>
  <c r="Q17" i="2" s="1"/>
  <c r="Q52" i="2"/>
  <c r="AA15" i="2" l="1"/>
  <c r="AA17" i="2" s="1"/>
  <c r="AA52" i="2"/>
  <c r="AS6" i="2"/>
  <c r="AR8" i="2"/>
  <c r="AR21" i="2"/>
  <c r="N16" i="5"/>
  <c r="O12" i="5"/>
  <c r="O21" i="5"/>
  <c r="P12" i="5"/>
  <c r="P21" i="5"/>
  <c r="Q20" i="5"/>
  <c r="Q9" i="5"/>
  <c r="R18" i="5"/>
  <c r="Q19" i="5"/>
  <c r="V22" i="4"/>
  <c r="V29" i="4"/>
  <c r="Q29" i="4"/>
  <c r="Q27" i="4"/>
  <c r="V28" i="4" s="1"/>
  <c r="Q22" i="4"/>
  <c r="Q20" i="4"/>
  <c r="L29" i="4"/>
  <c r="L27" i="4"/>
  <c r="L22" i="4"/>
  <c r="L20" i="4"/>
  <c r="G29" i="4"/>
  <c r="G27" i="4"/>
  <c r="G22" i="4"/>
  <c r="G20" i="4"/>
  <c r="Q13" i="4"/>
  <c r="V14" i="4" s="1"/>
  <c r="V15" i="4"/>
  <c r="Q15" i="4"/>
  <c r="L15" i="4"/>
  <c r="L13" i="4"/>
  <c r="G15" i="4"/>
  <c r="G13" i="4"/>
  <c r="V8" i="4"/>
  <c r="Q8" i="4"/>
  <c r="Q6" i="4"/>
  <c r="V7" i="4" s="1"/>
  <c r="L8" i="4"/>
  <c r="L6" i="4"/>
  <c r="G8" i="4"/>
  <c r="G6" i="4"/>
  <c r="D23" i="4"/>
  <c r="D30" i="4"/>
  <c r="C30" i="4"/>
  <c r="C23" i="4"/>
  <c r="D16" i="4"/>
  <c r="C16" i="4"/>
  <c r="K23" i="4"/>
  <c r="U30" i="4"/>
  <c r="T30" i="4"/>
  <c r="S30" i="4"/>
  <c r="R30" i="4"/>
  <c r="P30" i="4"/>
  <c r="O30" i="4"/>
  <c r="N30" i="4"/>
  <c r="M30" i="4"/>
  <c r="K30" i="4"/>
  <c r="J30" i="4"/>
  <c r="I30" i="4"/>
  <c r="H30" i="4"/>
  <c r="F30" i="4"/>
  <c r="E30" i="4"/>
  <c r="U23" i="4"/>
  <c r="T23" i="4"/>
  <c r="S23" i="4"/>
  <c r="R23" i="4"/>
  <c r="P23" i="4"/>
  <c r="O23" i="4"/>
  <c r="N23" i="4"/>
  <c r="M23" i="4"/>
  <c r="J23" i="4"/>
  <c r="I23" i="4"/>
  <c r="H23" i="4"/>
  <c r="F23" i="4"/>
  <c r="E23" i="4"/>
  <c r="U16" i="4"/>
  <c r="T16" i="4"/>
  <c r="S16" i="4"/>
  <c r="R16" i="4"/>
  <c r="P16" i="4"/>
  <c r="O16" i="4"/>
  <c r="N16" i="4"/>
  <c r="M16" i="4"/>
  <c r="K16" i="4"/>
  <c r="J16" i="4"/>
  <c r="I16" i="4"/>
  <c r="H16" i="4"/>
  <c r="F16" i="4"/>
  <c r="E16" i="4"/>
  <c r="P9" i="4"/>
  <c r="O9" i="4"/>
  <c r="N9" i="4"/>
  <c r="M9" i="4"/>
  <c r="K9" i="4"/>
  <c r="J9" i="4"/>
  <c r="I9" i="4"/>
  <c r="H9" i="4"/>
  <c r="F9" i="4"/>
  <c r="E9" i="4"/>
  <c r="D9" i="4"/>
  <c r="C9" i="4"/>
  <c r="U9" i="4"/>
  <c r="T9" i="4"/>
  <c r="S9" i="4"/>
  <c r="R9" i="4"/>
  <c r="R28" i="4"/>
  <c r="U28" i="4"/>
  <c r="T28" i="4"/>
  <c r="S28" i="4"/>
  <c r="P28" i="4"/>
  <c r="O28" i="4"/>
  <c r="N28" i="4"/>
  <c r="M28" i="4"/>
  <c r="K28" i="4"/>
  <c r="J28" i="4"/>
  <c r="I28" i="4"/>
  <c r="H28" i="4"/>
  <c r="K21" i="4"/>
  <c r="J21" i="4"/>
  <c r="I21" i="4"/>
  <c r="H21" i="4"/>
  <c r="P21" i="4"/>
  <c r="O21" i="4"/>
  <c r="N21" i="4"/>
  <c r="M21" i="4"/>
  <c r="U21" i="4"/>
  <c r="T21" i="4"/>
  <c r="S21" i="4"/>
  <c r="R21" i="4"/>
  <c r="R14" i="4"/>
  <c r="U14" i="4"/>
  <c r="T14" i="4"/>
  <c r="S14" i="4"/>
  <c r="P14" i="4"/>
  <c r="O14" i="4"/>
  <c r="N14" i="4"/>
  <c r="M14" i="4"/>
  <c r="K14" i="4"/>
  <c r="J14" i="4"/>
  <c r="I14" i="4"/>
  <c r="H14" i="4"/>
  <c r="H7" i="4"/>
  <c r="K7" i="4"/>
  <c r="J7" i="4"/>
  <c r="I7" i="4"/>
  <c r="P7" i="4"/>
  <c r="O7" i="4"/>
  <c r="N7" i="4"/>
  <c r="M7" i="4"/>
  <c r="S7" i="4"/>
  <c r="U7" i="4"/>
  <c r="T7" i="4"/>
  <c r="R7" i="4"/>
  <c r="AS8" i="2" l="1"/>
  <c r="AS21" i="2"/>
  <c r="Q21" i="5"/>
  <c r="Q12" i="5"/>
  <c r="R19" i="5"/>
  <c r="P13" i="5"/>
  <c r="P14" i="5" s="1"/>
  <c r="P16" i="5" s="1"/>
  <c r="O13" i="5"/>
  <c r="O14" i="5" s="1"/>
  <c r="S18" i="5"/>
  <c r="Q23" i="4"/>
  <c r="Q16" i="4"/>
  <c r="G9" i="4"/>
  <c r="Q14" i="4"/>
  <c r="L7" i="4"/>
  <c r="Q9" i="4"/>
  <c r="Q30" i="4"/>
  <c r="Q21" i="4"/>
  <c r="Q28" i="4"/>
  <c r="L23" i="4"/>
  <c r="G16" i="4"/>
  <c r="L9" i="4"/>
  <c r="L14" i="4"/>
  <c r="G23" i="4"/>
  <c r="Q7" i="4"/>
  <c r="L16" i="4"/>
  <c r="G30" i="4"/>
  <c r="L21" i="4"/>
  <c r="L28" i="4"/>
  <c r="V21" i="4"/>
  <c r="L30" i="4"/>
  <c r="V30" i="4"/>
  <c r="V23" i="4"/>
  <c r="V16" i="4"/>
  <c r="V9" i="4"/>
  <c r="H20" i="2"/>
  <c r="I20" i="2"/>
  <c r="J20" i="2"/>
  <c r="K20" i="2"/>
  <c r="L20" i="2"/>
  <c r="M20" i="2"/>
  <c r="N20" i="2"/>
  <c r="O20" i="2"/>
  <c r="E10" i="2"/>
  <c r="E23" i="2" s="1"/>
  <c r="F10" i="2"/>
  <c r="G10" i="2"/>
  <c r="D10" i="2"/>
  <c r="H10" i="2"/>
  <c r="I10" i="2"/>
  <c r="M10" i="2"/>
  <c r="J10" i="2"/>
  <c r="N10" i="2"/>
  <c r="K10" i="2"/>
  <c r="O10" i="2"/>
  <c r="AC57" i="2"/>
  <c r="AC54" i="2"/>
  <c r="AD68" i="2"/>
  <c r="AD57" i="2"/>
  <c r="AD54" i="2"/>
  <c r="AC5" i="2"/>
  <c r="AC6" i="2" s="1"/>
  <c r="AD9" i="2"/>
  <c r="AD5" i="2"/>
  <c r="AD6" i="2" s="1"/>
  <c r="AE68" i="2"/>
  <c r="AE57" i="2"/>
  <c r="AE54" i="2"/>
  <c r="AF57" i="2"/>
  <c r="AF54" i="2"/>
  <c r="AE5" i="2"/>
  <c r="AF5" i="2"/>
  <c r="AD19" i="2"/>
  <c r="AE19" i="2"/>
  <c r="AF19" i="2"/>
  <c r="AG19" i="2"/>
  <c r="AH19" i="2"/>
  <c r="AG68" i="2"/>
  <c r="AF68" i="2"/>
  <c r="AC68" i="2"/>
  <c r="AH68" i="2"/>
  <c r="AG61" i="2"/>
  <c r="AF61" i="2"/>
  <c r="AE61" i="2"/>
  <c r="AD61" i="2"/>
  <c r="AC61" i="2"/>
  <c r="AH61" i="2"/>
  <c r="AG57" i="2"/>
  <c r="AG55" i="2"/>
  <c r="AG54" i="2"/>
  <c r="AH54" i="2"/>
  <c r="AH57" i="2"/>
  <c r="AH55" i="2"/>
  <c r="AG5" i="2"/>
  <c r="AG6" i="2" s="1"/>
  <c r="AH5" i="2"/>
  <c r="H19" i="2"/>
  <c r="I19" i="2"/>
  <c r="J19" i="2"/>
  <c r="K19" i="2"/>
  <c r="L19" i="2"/>
  <c r="M19" i="2"/>
  <c r="N19" i="2"/>
  <c r="O19" i="2"/>
  <c r="P19" i="2"/>
  <c r="D68" i="2"/>
  <c r="E68" i="2"/>
  <c r="F68" i="2"/>
  <c r="G68" i="2"/>
  <c r="H68" i="2"/>
  <c r="I68" i="2"/>
  <c r="J68" i="2"/>
  <c r="K68" i="2"/>
  <c r="L68" i="2"/>
  <c r="M68" i="2"/>
  <c r="N68" i="2"/>
  <c r="O68" i="2"/>
  <c r="D61" i="2"/>
  <c r="E61" i="2"/>
  <c r="F61" i="2"/>
  <c r="G61" i="2"/>
  <c r="H61" i="2"/>
  <c r="I61" i="2"/>
  <c r="J61" i="2"/>
  <c r="K61" i="2"/>
  <c r="L61" i="2"/>
  <c r="M61" i="2"/>
  <c r="N61" i="2"/>
  <c r="O61" i="2"/>
  <c r="D58" i="2"/>
  <c r="E58" i="2"/>
  <c r="F58" i="2"/>
  <c r="G58" i="2"/>
  <c r="H58" i="2"/>
  <c r="I58" i="2"/>
  <c r="J58" i="2"/>
  <c r="K58" i="2"/>
  <c r="L58" i="2"/>
  <c r="M58" i="2"/>
  <c r="N58" i="2"/>
  <c r="O58" i="2"/>
  <c r="P68" i="2"/>
  <c r="P60" i="2"/>
  <c r="P61" i="2" s="1"/>
  <c r="P58" i="2"/>
  <c r="D37" i="2"/>
  <c r="E37" i="2"/>
  <c r="F37" i="2"/>
  <c r="G37" i="2"/>
  <c r="H37" i="2"/>
  <c r="I37" i="2"/>
  <c r="J37" i="2"/>
  <c r="K37" i="2"/>
  <c r="L37" i="2"/>
  <c r="M37" i="2"/>
  <c r="N37" i="2"/>
  <c r="O37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P37" i="2"/>
  <c r="L10" i="2"/>
  <c r="L23" i="2" s="1"/>
  <c r="P10" i="2"/>
  <c r="P23" i="2" s="1"/>
  <c r="B6" i="2"/>
  <c r="B9" i="2" s="1"/>
  <c r="AD8" i="2" l="1"/>
  <c r="AD21" i="2"/>
  <c r="AC8" i="2"/>
  <c r="AC21" i="2"/>
  <c r="AG8" i="2"/>
  <c r="AG21" i="2"/>
  <c r="AF58" i="2"/>
  <c r="AF70" i="2" s="1"/>
  <c r="AE6" i="2"/>
  <c r="AH6" i="2"/>
  <c r="AF6" i="2"/>
  <c r="P72" i="2"/>
  <c r="AC58" i="2"/>
  <c r="AC72" i="2" s="1"/>
  <c r="AD58" i="2"/>
  <c r="AD72" i="2" s="1"/>
  <c r="AC10" i="2"/>
  <c r="AC23" i="2" s="1"/>
  <c r="AC20" i="2"/>
  <c r="S9" i="5"/>
  <c r="S20" i="5"/>
  <c r="R9" i="5"/>
  <c r="R20" i="5"/>
  <c r="T18" i="5"/>
  <c r="Q13" i="5"/>
  <c r="Q14" i="5" s="1"/>
  <c r="O16" i="5"/>
  <c r="S19" i="5"/>
  <c r="O22" i="2"/>
  <c r="N22" i="2"/>
  <c r="P49" i="2"/>
  <c r="M22" i="2"/>
  <c r="AD10" i="2"/>
  <c r="AD13" i="2" s="1"/>
  <c r="G22" i="2"/>
  <c r="G49" i="2"/>
  <c r="F22" i="2"/>
  <c r="AE58" i="2"/>
  <c r="AE72" i="2" s="1"/>
  <c r="AG20" i="2"/>
  <c r="E22" i="2"/>
  <c r="J70" i="2"/>
  <c r="P22" i="2"/>
  <c r="H22" i="2"/>
  <c r="L22" i="2"/>
  <c r="D22" i="2"/>
  <c r="L72" i="2"/>
  <c r="D72" i="2"/>
  <c r="K22" i="2"/>
  <c r="AC22" i="2"/>
  <c r="AK10" i="2"/>
  <c r="D49" i="2"/>
  <c r="K72" i="2"/>
  <c r="J22" i="2"/>
  <c r="AD22" i="2"/>
  <c r="AH58" i="2"/>
  <c r="AH72" i="2" s="1"/>
  <c r="I22" i="2"/>
  <c r="AK19" i="2"/>
  <c r="AJ19" i="2"/>
  <c r="AI19" i="2"/>
  <c r="E49" i="2"/>
  <c r="AG58" i="2"/>
  <c r="AG72" i="2" s="1"/>
  <c r="F49" i="2"/>
  <c r="AE20" i="2"/>
  <c r="AH20" i="2"/>
  <c r="AF20" i="2"/>
  <c r="AD20" i="2"/>
  <c r="E70" i="2"/>
  <c r="E13" i="2"/>
  <c r="E15" i="2" s="1"/>
  <c r="F13" i="2"/>
  <c r="F15" i="2" s="1"/>
  <c r="F23" i="2"/>
  <c r="G23" i="2"/>
  <c r="G13" i="2"/>
  <c r="G15" i="2" s="1"/>
  <c r="P70" i="2"/>
  <c r="M49" i="2"/>
  <c r="L49" i="2"/>
  <c r="G70" i="2"/>
  <c r="P13" i="2"/>
  <c r="L13" i="2"/>
  <c r="N49" i="2"/>
  <c r="F70" i="2"/>
  <c r="H72" i="2"/>
  <c r="D23" i="2"/>
  <c r="D13" i="2"/>
  <c r="H13" i="2"/>
  <c r="H23" i="2"/>
  <c r="I70" i="2"/>
  <c r="I72" i="2"/>
  <c r="M72" i="2"/>
  <c r="I23" i="2"/>
  <c r="I13" i="2"/>
  <c r="M13" i="2"/>
  <c r="M23" i="2"/>
  <c r="J72" i="2"/>
  <c r="N70" i="2"/>
  <c r="D70" i="2"/>
  <c r="M70" i="2"/>
  <c r="J13" i="2"/>
  <c r="J23" i="2"/>
  <c r="N23" i="2"/>
  <c r="N13" i="2"/>
  <c r="K70" i="2"/>
  <c r="G72" i="2"/>
  <c r="L70" i="2"/>
  <c r="F72" i="2"/>
  <c r="H70" i="2"/>
  <c r="N72" i="2"/>
  <c r="E72" i="2"/>
  <c r="O70" i="2"/>
  <c r="O72" i="2"/>
  <c r="O49" i="2"/>
  <c r="K13" i="2"/>
  <c r="K23" i="2"/>
  <c r="O13" i="2"/>
  <c r="O23" i="2"/>
  <c r="AD70" i="2"/>
  <c r="K49" i="2"/>
  <c r="J49" i="2"/>
  <c r="I49" i="2"/>
  <c r="H49" i="2"/>
  <c r="AE8" i="2" l="1"/>
  <c r="AE21" i="2"/>
  <c r="AF72" i="2"/>
  <c r="AK13" i="2"/>
  <c r="AK14" i="2" s="1"/>
  <c r="AF8" i="2"/>
  <c r="AF22" i="2" s="1"/>
  <c r="AF21" i="2"/>
  <c r="AC13" i="2"/>
  <c r="AC52" i="2" s="1"/>
  <c r="AH8" i="2"/>
  <c r="AH21" i="2"/>
  <c r="AC70" i="2"/>
  <c r="E5" i="3"/>
  <c r="AH70" i="2"/>
  <c r="Q16" i="5"/>
  <c r="U18" i="5"/>
  <c r="T9" i="5"/>
  <c r="T20" i="5"/>
  <c r="T19" i="5"/>
  <c r="R21" i="5"/>
  <c r="R12" i="5"/>
  <c r="S21" i="5"/>
  <c r="S12" i="5"/>
  <c r="AI20" i="2"/>
  <c r="AD23" i="2"/>
  <c r="AE70" i="2"/>
  <c r="AJ20" i="2"/>
  <c r="AG10" i="2"/>
  <c r="AG22" i="2"/>
  <c r="AK20" i="2"/>
  <c r="AI10" i="2"/>
  <c r="E6" i="3"/>
  <c r="AL19" i="2"/>
  <c r="AK23" i="2"/>
  <c r="AK22" i="2"/>
  <c r="AG70" i="2"/>
  <c r="E17" i="2"/>
  <c r="E52" i="2"/>
  <c r="L15" i="2"/>
  <c r="L17" i="2" s="1"/>
  <c r="L52" i="2"/>
  <c r="F17" i="2"/>
  <c r="F52" i="2"/>
  <c r="G17" i="2"/>
  <c r="G52" i="2"/>
  <c r="P15" i="2"/>
  <c r="P17" i="2" s="1"/>
  <c r="P52" i="2"/>
  <c r="D15" i="2"/>
  <c r="D17" i="2" s="1"/>
  <c r="D52" i="2"/>
  <c r="H15" i="2"/>
  <c r="H17" i="2" s="1"/>
  <c r="H52" i="2"/>
  <c r="I15" i="2"/>
  <c r="I17" i="2" s="1"/>
  <c r="I52" i="2"/>
  <c r="M15" i="2"/>
  <c r="M17" i="2" s="1"/>
  <c r="M52" i="2"/>
  <c r="J15" i="2"/>
  <c r="J17" i="2" s="1"/>
  <c r="J52" i="2"/>
  <c r="N15" i="2"/>
  <c r="N17" i="2" s="1"/>
  <c r="N52" i="2"/>
  <c r="K15" i="2"/>
  <c r="K17" i="2" s="1"/>
  <c r="K52" i="2"/>
  <c r="O15" i="2"/>
  <c r="O17" i="2" s="1"/>
  <c r="O52" i="2"/>
  <c r="AD15" i="2"/>
  <c r="AD17" i="2" s="1"/>
  <c r="AD52" i="2"/>
  <c r="AK15" i="2" l="1"/>
  <c r="AK17" i="2" s="1"/>
  <c r="AC15" i="2"/>
  <c r="AC17" i="2" s="1"/>
  <c r="AF10" i="2"/>
  <c r="AF23" i="2" s="1"/>
  <c r="AH10" i="2"/>
  <c r="AH22" i="2"/>
  <c r="AE10" i="2"/>
  <c r="AE22" i="2"/>
  <c r="AJ10" i="2"/>
  <c r="D5" i="3"/>
  <c r="AJ22" i="2"/>
  <c r="U9" i="5"/>
  <c r="U20" i="5"/>
  <c r="T21" i="5"/>
  <c r="T12" i="5"/>
  <c r="S13" i="5"/>
  <c r="S14" i="5" s="1"/>
  <c r="S16" i="5" s="1"/>
  <c r="V18" i="5"/>
  <c r="R13" i="5"/>
  <c r="R14" i="5" s="1"/>
  <c r="U19" i="5"/>
  <c r="AL20" i="2"/>
  <c r="AI22" i="2"/>
  <c r="AG13" i="2"/>
  <c r="AG23" i="2"/>
  <c r="AM20" i="2"/>
  <c r="AM19" i="2"/>
  <c r="AI13" i="2"/>
  <c r="AI23" i="2"/>
  <c r="E7" i="3" l="1"/>
  <c r="AF13" i="2"/>
  <c r="AE13" i="2"/>
  <c r="AE23" i="2"/>
  <c r="AH23" i="2"/>
  <c r="AH13" i="2"/>
  <c r="AJ23" i="2"/>
  <c r="AF15" i="2"/>
  <c r="AF17" i="2" s="1"/>
  <c r="AF52" i="2"/>
  <c r="D6" i="3"/>
  <c r="AJ13" i="2"/>
  <c r="AJ14" i="2" s="1"/>
  <c r="AJ15" i="2" s="1"/>
  <c r="AJ17" i="2" s="1"/>
  <c r="AL22" i="2"/>
  <c r="F5" i="3"/>
  <c r="AL10" i="2"/>
  <c r="AI52" i="2"/>
  <c r="R16" i="5"/>
  <c r="V20" i="5"/>
  <c r="V9" i="5"/>
  <c r="W18" i="5"/>
  <c r="V19" i="5"/>
  <c r="T13" i="5"/>
  <c r="T14" i="5" s="1"/>
  <c r="T16" i="5" s="1"/>
  <c r="U21" i="5"/>
  <c r="U12" i="5"/>
  <c r="AG15" i="2"/>
  <c r="AG17" i="2" s="1"/>
  <c r="AG52" i="2"/>
  <c r="AN20" i="2"/>
  <c r="AI15" i="2"/>
  <c r="AM10" i="2"/>
  <c r="AM22" i="2"/>
  <c r="AN19" i="2"/>
  <c r="F6" i="3" l="1"/>
  <c r="D7" i="3"/>
  <c r="AH15" i="2"/>
  <c r="AH17" i="2" s="1"/>
  <c r="AH52" i="2"/>
  <c r="AE52" i="2"/>
  <c r="AE15" i="2"/>
  <c r="AE17" i="2" s="1"/>
  <c r="AI17" i="2"/>
  <c r="AI24" i="2"/>
  <c r="AL13" i="2"/>
  <c r="AL14" i="2" s="1"/>
  <c r="AL15" i="2" s="1"/>
  <c r="AL17" i="2" s="1"/>
  <c r="AL23" i="2"/>
  <c r="W20" i="5"/>
  <c r="W9" i="5"/>
  <c r="X19" i="5"/>
  <c r="W19" i="5"/>
  <c r="X18" i="5"/>
  <c r="U13" i="5"/>
  <c r="U14" i="5" s="1"/>
  <c r="U16" i="5" s="1"/>
  <c r="V21" i="5"/>
  <c r="V12" i="5"/>
  <c r="AO20" i="2"/>
  <c r="AO19" i="2"/>
  <c r="AN10" i="2"/>
  <c r="AN22" i="2"/>
  <c r="AM13" i="2"/>
  <c r="AM23" i="2"/>
  <c r="F7" i="3" l="1"/>
  <c r="X9" i="5"/>
  <c r="X20" i="5"/>
  <c r="V13" i="5"/>
  <c r="V14" i="5" s="1"/>
  <c r="V16" i="5" s="1"/>
  <c r="W12" i="5"/>
  <c r="W21" i="5"/>
  <c r="AM14" i="2"/>
  <c r="AM15" i="2" s="1"/>
  <c r="AM17" i="2" s="1"/>
  <c r="AP20" i="2"/>
  <c r="AN23" i="2"/>
  <c r="AN13" i="2"/>
  <c r="AP19" i="2"/>
  <c r="AO10" i="2"/>
  <c r="AO22" i="2"/>
  <c r="W13" i="5" l="1"/>
  <c r="W14" i="5" s="1"/>
  <c r="W16" i="5" s="1"/>
  <c r="X12" i="5"/>
  <c r="X21" i="5"/>
  <c r="AN14" i="2"/>
  <c r="AN15" i="2" s="1"/>
  <c r="AN17" i="2" s="1"/>
  <c r="AQ20" i="2"/>
  <c r="AO13" i="2"/>
  <c r="AO14" i="2" s="1"/>
  <c r="AO23" i="2"/>
  <c r="AP10" i="2"/>
  <c r="AP22" i="2"/>
  <c r="AQ19" i="2"/>
  <c r="X13" i="5" l="1"/>
  <c r="X14" i="5" s="1"/>
  <c r="AS20" i="2"/>
  <c r="AR20" i="2"/>
  <c r="AQ10" i="2"/>
  <c r="AQ22" i="2"/>
  <c r="AR19" i="2"/>
  <c r="AP13" i="2"/>
  <c r="AP14" i="2" s="1"/>
  <c r="AP23" i="2"/>
  <c r="AO15" i="2"/>
  <c r="AA19" i="5" l="1"/>
  <c r="AA21" i="5" s="1"/>
  <c r="X16" i="5"/>
  <c r="AO17" i="2"/>
  <c r="AP15" i="2"/>
  <c r="AP17" i="2" s="1"/>
  <c r="AR10" i="2"/>
  <c r="AR22" i="2"/>
  <c r="AS19" i="2"/>
  <c r="AQ23" i="2"/>
  <c r="AQ13" i="2"/>
  <c r="A5" i="5" l="1"/>
  <c r="AA22" i="5"/>
  <c r="A6" i="5" s="1"/>
  <c r="AQ14" i="2"/>
  <c r="AQ15" i="2" s="1"/>
  <c r="AQ17" i="2" s="1"/>
  <c r="AS10" i="2"/>
  <c r="AS22" i="2"/>
  <c r="AR13" i="2"/>
  <c r="AR23" i="2"/>
  <c r="AR14" i="2" l="1"/>
  <c r="AR15" i="2" s="1"/>
  <c r="AR17" i="2" s="1"/>
  <c r="AS23" i="2"/>
  <c r="AS13" i="2"/>
  <c r="AS14" i="2" l="1"/>
  <c r="AS15" i="2" s="1"/>
  <c r="AS17" i="2" l="1"/>
  <c r="AT15" i="2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EL15" i="2" s="1"/>
  <c r="EM15" i="2" s="1"/>
  <c r="EN15" i="2" s="1"/>
  <c r="EO15" i="2" s="1"/>
  <c r="EP15" i="2" s="1"/>
  <c r="EQ15" i="2" s="1"/>
  <c r="AV20" i="2" s="1"/>
  <c r="AV22" i="2" s="1"/>
  <c r="AV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tc={8379F752-B30F-F548-8CF8-C2A801DA3E70}</author>
    <author>tc={72689480-5082-2142-82AE-DAA2CDB739B7}</author>
    <author>tc={62A3C480-5961-204D-8FA6-08749377713C}</author>
    <author>tc={5BAEE684-C37F-D74E-9D6C-E740871C7BF6}</author>
    <author>tc={A9678535-98D9-5244-A0FF-B0F8890541A2}</author>
    <author>tc={C465992F-3CE6-CE46-8C12-F3EA1445EDD5}</author>
    <author>tc={8187BE97-19BF-DA4C-AB47-39AEC2634F3F}</author>
  </authors>
  <commentList>
    <comment ref="T8" authorId="0" shapeId="0" xr:uid="{8379F752-B30F-F548-8CF8-C2A801DA3E7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Justert for restructuring cost 18 mill. 102</t>
      </text>
    </comment>
    <comment ref="S9" authorId="1" shapeId="0" xr:uid="{72689480-5082-2142-82AE-DAA2CDB739B7}">
      <text>
        <t>[Kommentartråd]
Din versjon av Excel lar deg lese denne kommentartråden. Eventuelle endringer i den vil imidlertid bli fjernet hvis filen åpnes i en nyere versjon av Excel. Finn ut mer: https://go.microsoft.com/fwlink/?linkid=870924
Kommentar:
    -399 goodwill impair</t>
      </text>
    </comment>
    <comment ref="T22" authorId="2" shapeId="0" xr:uid="{62A3C480-5961-204D-8FA6-08749377713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7% justert</t>
      </text>
    </comment>
    <comment ref="S23" authorId="3" shapeId="0" xr:uid="{5BAEE684-C37F-D74E-9D6C-E740871C7BF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Justert for impairment 5%</t>
      </text>
    </comment>
    <comment ref="AI24" authorId="4" shapeId="0" xr:uid="{A9678535-98D9-5244-A0FF-B0F8890541A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justert 3,25%</t>
      </text>
    </comment>
    <comment ref="Q32" authorId="5" shapeId="0" xr:uid="{C465992F-3CE6-CE46-8C12-F3EA1445EDD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Assets held for sale 189</t>
      </text>
    </comment>
    <comment ref="AE68" authorId="6" shapeId="0" xr:uid="{8187BE97-19BF-DA4C-AB47-39AEC2634F3F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Hentet inn 492,5 mill
</t>
      </text>
    </comment>
  </commentList>
</comments>
</file>

<file path=xl/sharedStrings.xml><?xml version="1.0" encoding="utf-8"?>
<sst xmlns="http://schemas.openxmlformats.org/spreadsheetml/2006/main" count="255" uniqueCount="146">
  <si>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</si>
  <si>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</si>
  <si>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</si>
  <si>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</si>
  <si>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</si>
  <si>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</si>
  <si>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</si>
  <si>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</si>
  <si>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</si>
  <si>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</si>
  <si>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</si>
  <si>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</si>
  <si>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</si>
  <si>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</si>
  <si>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</si>
  <si>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</si>
  <si>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</si>
  <si>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</si>
  <si>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</si>
  <si>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</si>
  <si>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</si>
  <si>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</si>
  <si>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</si>
  <si>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</si>
  <si>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</si>
  <si>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</si>
  <si>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</si>
  <si>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</si>
  <si>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</si>
  <si>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</si>
  <si>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</si>
  <si>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</si>
  <si>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</si>
  <si>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</si>
  <si>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</si>
  <si>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</si>
  <si>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</si>
  <si>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</si>
  <si>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SEK million</t>
  </si>
  <si>
    <t>MC SEKm</t>
  </si>
  <si>
    <t>Cash SEKm</t>
  </si>
  <si>
    <t>Debt SEKm</t>
  </si>
  <si>
    <t>EV SEKm</t>
  </si>
  <si>
    <t>Revenue y/y</t>
  </si>
  <si>
    <t>EBIT margin</t>
  </si>
  <si>
    <t>Balanse SEKm</t>
  </si>
  <si>
    <t xml:space="preserve">Cash flow SEKm </t>
  </si>
  <si>
    <t>Revenues</t>
  </si>
  <si>
    <t>Operating costs</t>
  </si>
  <si>
    <t>Dep and write-downs of tangiable assets</t>
  </si>
  <si>
    <t>EBITA</t>
  </si>
  <si>
    <t>Amort and write-downs on intangible assets</t>
  </si>
  <si>
    <t>Operating income (EBIT)</t>
  </si>
  <si>
    <t>Financial income</t>
  </si>
  <si>
    <t>Financial expense</t>
  </si>
  <si>
    <t>PTP</t>
  </si>
  <si>
    <t>Tax</t>
  </si>
  <si>
    <t>Net income</t>
  </si>
  <si>
    <t>Share</t>
  </si>
  <si>
    <t>EPS</t>
  </si>
  <si>
    <t>Intangible assets</t>
  </si>
  <si>
    <t>PP&amp;E</t>
  </si>
  <si>
    <t>Financial non-current assets</t>
  </si>
  <si>
    <t>Deferred tax assets</t>
  </si>
  <si>
    <t>Current receivables</t>
  </si>
  <si>
    <t>Cash</t>
  </si>
  <si>
    <t>Total assets</t>
  </si>
  <si>
    <t>Share capital</t>
  </si>
  <si>
    <t>Other capital</t>
  </si>
  <si>
    <t>Profit brought forward</t>
  </si>
  <si>
    <t>Non-controlling interests</t>
  </si>
  <si>
    <t>Total equity</t>
  </si>
  <si>
    <t>Non-current provisions</t>
  </si>
  <si>
    <t>IB non-current debt</t>
  </si>
  <si>
    <t>IB current debt</t>
  </si>
  <si>
    <t>Other current liabilities</t>
  </si>
  <si>
    <t>Total debt</t>
  </si>
  <si>
    <t>Total E/D</t>
  </si>
  <si>
    <t>Model PTP</t>
  </si>
  <si>
    <t>Reported PTP</t>
  </si>
  <si>
    <t>Non-cash items</t>
  </si>
  <si>
    <t>Net interest received/paid</t>
  </si>
  <si>
    <t>Paid taxes</t>
  </si>
  <si>
    <t>WC</t>
  </si>
  <si>
    <t>CFFO</t>
  </si>
  <si>
    <t>Capex</t>
  </si>
  <si>
    <t>CFFI</t>
  </si>
  <si>
    <t>Amortization of loans</t>
  </si>
  <si>
    <t>Loans raised</t>
  </si>
  <si>
    <t>Dividends</t>
  </si>
  <si>
    <t>Acquisition of non-controlling interest shares</t>
  </si>
  <si>
    <t>Buybacks</t>
  </si>
  <si>
    <t>CFFF</t>
  </si>
  <si>
    <t>CIC</t>
  </si>
  <si>
    <t>FCF</t>
  </si>
  <si>
    <t>Operating costs y/y</t>
  </si>
  <si>
    <t xml:space="preserve">Financial targets: </t>
  </si>
  <si>
    <t>Sales growth: 15%</t>
  </si>
  <si>
    <t>Profitiability: EBITA margin 12%</t>
  </si>
  <si>
    <t>EBITA margin</t>
  </si>
  <si>
    <t>(Virker lite sannsynlig i nærmer fremtid mtp at de har ikke vært der enda)</t>
  </si>
  <si>
    <t>Solutions</t>
  </si>
  <si>
    <t>Revenue</t>
  </si>
  <si>
    <t>Employees</t>
  </si>
  <si>
    <t>Experience</t>
  </si>
  <si>
    <t>Growth %</t>
  </si>
  <si>
    <t>Connectivity</t>
  </si>
  <si>
    <t>Insight</t>
  </si>
  <si>
    <t>Discount</t>
  </si>
  <si>
    <t>TV</t>
  </si>
  <si>
    <t>NPV</t>
  </si>
  <si>
    <t>NPV/Share</t>
  </si>
  <si>
    <t>Opp-/nedside</t>
  </si>
  <si>
    <t>EBITA Margin %</t>
  </si>
  <si>
    <t>ROE</t>
  </si>
  <si>
    <t>FY 2017</t>
  </si>
  <si>
    <t>FY 2018</t>
  </si>
  <si>
    <t>y/y %</t>
  </si>
  <si>
    <t>FY 2015</t>
  </si>
  <si>
    <t>FY 2016</t>
  </si>
  <si>
    <t>Nedside</t>
  </si>
  <si>
    <t>Nullvekst og konstante marg</t>
  </si>
  <si>
    <t>P/B</t>
  </si>
  <si>
    <t>Q126</t>
  </si>
  <si>
    <t>Q226</t>
  </si>
  <si>
    <t>Q326</t>
  </si>
  <si>
    <t>Q426</t>
  </si>
  <si>
    <t>Other non-current liabilities</t>
  </si>
  <si>
    <t>EV/EBITA</t>
  </si>
  <si>
    <t>SEKm</t>
  </si>
  <si>
    <t>EBITA 26E</t>
  </si>
  <si>
    <t>Value</t>
  </si>
  <si>
    <t>SEK/Share</t>
  </si>
  <si>
    <t>Enterprise value</t>
  </si>
  <si>
    <t>Debt</t>
  </si>
  <si>
    <t>Equity value</t>
  </si>
  <si>
    <t xml:space="preserve">Press releases: </t>
  </si>
  <si>
    <t>Products</t>
  </si>
  <si>
    <t>Gross profit</t>
  </si>
  <si>
    <t>FTE</t>
  </si>
  <si>
    <t>y/y</t>
  </si>
  <si>
    <t>Q/Q</t>
  </si>
  <si>
    <t xml:space="preserve"> </t>
  </si>
  <si>
    <t>29.04.26: CEO Per Wallentin slutter som CEO. Han fortsetter frem til 1 august 2026. Fredrik Ekerhovd vil ta over</t>
  </si>
  <si>
    <t>Dep and write-downs of tangible assets</t>
  </si>
  <si>
    <t>EBITA 2026E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</si>
</sst>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1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10" fontId="1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66" fontId="1" fillId="0" borderId="0" xfId="0" applyNumberFormat="1" applyFont="1"/>
    <xf numFmtId="2" fontId="2" fillId="0" borderId="1" xfId="0" applyNumberFormat="1" applyFont="1" applyBorder="1"/>
    <xf numFmtId="166" fontId="1" fillId="0" borderId="1" xfId="0" applyNumberFormat="1" applyFont="1" applyBorder="1"/>
    <xf numFmtId="166" fontId="2" fillId="0" borderId="1" xfId="0" applyNumberFormat="1" applyFont="1" applyBorder="1"/>
    <xf numFmtId="9" fontId="2" fillId="0" borderId="0" xfId="0" applyNumberFormat="1" applyFont="1"/>
    <xf numFmtId="0" fontId="5" fillId="0" borderId="2" xfId="0" applyFont="1" applyBorder="1"/>
    <xf numFmtId="165" fontId="6" fillId="0" borderId="2" xfId="0" applyNumberFormat="1" applyFont="1" applyBorder="1"/>
    <xf numFmtId="0" fontId="8" fillId="0" borderId="0" xfId="0" applyFont="1"/>
    <xf numFmtId="0" fontId="9" fillId="0" borderId="0" xfId="0" applyFont="1"/>
    <xf numFmtId="10" fontId="4" fillId="0" borderId="0" xfId="0" applyNumberFormat="1" applyFont="1"/>
    <xf numFmtId="0" fontId="2" fillId="0" borderId="4" xfId="0" applyFont="1" applyBorder="1"/>
    <xf numFmtId="8" fontId="2" fillId="0" borderId="4" xfId="0" applyNumberFormat="1" applyFont="1" applyBorder="1"/>
    <xf numFmtId="164" fontId="2" fillId="0" borderId="0" xfId="0" applyNumberFormat="1" applyFont="1"/>
    <xf numFmtId="0" fontId="4" fillId="0" borderId="3" xfId="0" applyFont="1" applyBorder="1"/>
    <xf numFmtId="166" fontId="4" fillId="0" borderId="3" xfId="0" applyNumberFormat="1" applyFont="1" applyBorder="1"/>
    <xf numFmtId="0" fontId="2" fillId="0" borderId="5" xfId="0" applyFont="1" applyBorder="1"/>
    <xf numFmtId="10" fontId="2" fillId="0" borderId="4" xfId="0" applyNumberFormat="1" applyFont="1" applyBorder="1"/>
    <xf numFmtId="10" fontId="2" fillId="0" borderId="5" xfId="0" applyNumberFormat="1" applyFont="1" applyBorder="1"/>
    <xf numFmtId="0" fontId="1" fillId="0" borderId="4" xfId="0" applyFont="1" applyBorder="1"/>
    <xf numFmtId="10" fontId="1" fillId="0" borderId="4" xfId="0" applyNumberFormat="1" applyFont="1" applyBorder="1"/>
    <xf numFmtId="2" fontId="1" fillId="0" borderId="0" xfId="0" applyNumberFormat="1" applyFont="1"/>
    <xf numFmtId="0" fontId="10" fillId="0" borderId="0" xfId="0" applyFont="1"/>
    <xf numFmtId="0" fontId="11" fillId="0" borderId="2" xfId="0" applyFont="1" applyBorder="1"/>
    <xf numFmtId="0" fontId="10" fillId="0" borderId="2" xfId="0" applyFont="1" applyBorder="1"/>
    <xf numFmtId="3" fontId="10" fillId="0" borderId="2" xfId="0" applyNumberFormat="1" applyFont="1" applyBorder="1"/>
    <xf numFmtId="1" fontId="10" fillId="0" borderId="2" xfId="0" applyNumberFormat="1" applyFont="1" applyBorder="1"/>
    <xf numFmtId="3" fontId="11" fillId="0" borderId="2" xfId="0" applyNumberFormat="1" applyFont="1" applyBorder="1"/>
    <xf numFmtId="1" fontId="11" fillId="0" borderId="2" xfId="0" applyNumberFormat="1" applyFont="1" applyBorder="1"/>
    <xf numFmtId="0" fontId="10" fillId="2" borderId="2" xfId="0" applyFont="1" applyFill="1" applyBorder="1"/>
    <xf numFmtId="0" fontId="1" fillId="0" borderId="7" xfId="0" applyFont="1" applyBorder="1"/>
    <xf numFmtId="0" fontId="2" fillId="0" borderId="7" xfId="0" applyFont="1" applyBorder="1"/>
    <xf numFmtId="3" fontId="1" fillId="0" borderId="7" xfId="0" applyNumberFormat="1" applyFont="1" applyBorder="1"/>
    <xf numFmtId="10" fontId="3" fillId="0" borderId="7" xfId="0" applyNumberFormat="1" applyFont="1" applyBorder="1"/>
    <xf numFmtId="166" fontId="4" fillId="0" borderId="6" xfId="0" applyNumberFormat="1" applyFont="1" applyBorder="1"/>
    <xf numFmtId="0" fontId="1" fillId="0" borderId="7" xfId="0" applyFont="1" applyBorder="1" applyAlignment="1">
      <alignment horizontal="right"/>
    </xf>
    <xf numFmtId="166" fontId="3" fillId="0" borderId="6" xfId="0" applyNumberFormat="1" applyFont="1" applyBorder="1"/>
    <xf numFmtId="0" fontId="4" fillId="0" borderId="1" xfId="0" applyFont="1" applyBorder="1"/>
    <xf numFmtId="10" fontId="2" fillId="0" borderId="1" xfId="0" applyNumberFormat="1" applyFont="1" applyBorder="1"/>
    <xf numFmtId="10" fontId="4" fillId="0" borderId="1" xfId="0" applyNumberFormat="1" applyFont="1" applyBorder="1"/>
    <xf numFmtId="3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</a:t>
          </a:r>
        </a:p>
      </cx:txPr>
    </cx:title>
    <cx:plotArea>
      <cx:plotAreaRegion>
        <cx:series layoutId="waterfall" uniqueId="{97988B27-0F24-B843-AFFE-1FE2ECA2DF2A}">
          <cx:dataPt idx="5"/>
          <cx:dataPt idx="8">
            <cx:spPr>
              <a:solidFill>
                <a:srgbClr val="FF0000"/>
              </a:solidFill>
            </cx:spPr>
          </cx:dataPt>
          <cx:dataPt idx="10"/>
          <cx:dataLabels pos="outEnd">
            <cx:visibility seriesName="0" categoryName="0" value="1"/>
          </cx:dataLabels>
          <cx:dataId val="0"/>
          <cx:layoutPr>
            <cx:subtotals>
              <cx:idx val="5"/>
              <cx:idx val="10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nb-NO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SEK/Aksje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50"/>
              </a:pPr>
              <a:r>
                <a:rPr lang="nb-NO" sz="105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SEK/Aksje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622300</xdr:colOff>
      <xdr:row>0</xdr:row>
      <xdr:rowOff>0</xdr:rowOff>
    </xdr:from>
    <xdr:to>
      <xdr:col>13</xdr:col>
      <xdr:colOff>152400</xdr:colOff>
      <xdr:row>19</xdr:row>
      <xdr:rowOff>25400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05B43134-521C-752E-4F55-CBD59E499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6300" y="0"/>
          <a:ext cx="3657600" cy="4610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635000</xdr:colOff>
      <xdr:row>16</xdr:row>
      <xdr:rowOff>177800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84DA9B6B-8912-EFA2-FDC8-9238DE583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239000" cy="4038600"/>
        </a:xfrm>
        <a:prstGeom prst="rect">
          <a:avLst/>
        </a:prstGeom>
      </xdr:spPr>
    </xdr:pic>
    <xdr:clientData/>
  </xdr:twoCellAnchor>
  <xdr:twoCellAnchor editAs="oneCell">
    <xdr:from>
      <xdr:col>13</xdr:col>
      <xdr:colOff>177800</xdr:colOff>
      <xdr:row>0</xdr:row>
      <xdr:rowOff>0</xdr:rowOff>
    </xdr:from>
    <xdr:to>
      <xdr:col>17</xdr:col>
      <xdr:colOff>444500</xdr:colOff>
      <xdr:row>23</xdr:row>
      <xdr:rowOff>200538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5980F36C-CAB9-E32B-52AE-6A7CE8DFE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9300" y="0"/>
          <a:ext cx="3568700" cy="5750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17</xdr:row>
      <xdr:rowOff>165100</xdr:rowOff>
    </xdr:from>
    <xdr:to>
      <xdr:col>10</xdr:col>
      <xdr:colOff>736600</xdr:colOff>
      <xdr:row>35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BEA5A3F0-26EF-7CED-80B9-380D66AADD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7350" y="4699000"/>
              <a:ext cx="8832850" cy="469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8FD81992-E52B-914A-9877-EC2BC2B5A478}" userId="a530012ce760c12d" providerId="Windows Live"/>
  <person displayName="(Student) Hodt, August" id="{07B82CBD-3E39-CC42-AB20-618ECFB5A34E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8" dT="2026-05-19T17:32:50.15" personId="{07B82CBD-3E39-CC42-AB20-618ECFB5A34E}" id="{8379F752-B30F-F548-8CF8-C2A801DA3E70}">
    <text>Justert for restructuring cost 18 mill. 102</text>
  </threadedComment>
  <threadedComment ref="S9" dT="2026-03-31T19:59:32.21" personId="{8FD81992-E52B-914A-9877-EC2BC2B5A478}" id="{72689480-5082-2142-82AE-DAA2CDB739B7}">
    <text>-399 goodwill impair</text>
  </threadedComment>
  <threadedComment ref="T22" dT="2026-05-19T17:38:20.48" personId="{07B82CBD-3E39-CC42-AB20-618ECFB5A34E}" id="{62A3C480-5961-204D-8FA6-08749377713C}">
    <text>7% justert</text>
  </threadedComment>
  <threadedComment ref="S23" dT="2026-03-31T20:02:29.41" personId="{8FD81992-E52B-914A-9877-EC2BC2B5A478}" id="{5BAEE684-C37F-D74E-9D6C-E740871C7BF6}">
    <text>Justert for impairment 5%</text>
  </threadedComment>
  <threadedComment ref="AI24" dT="2026-05-18T17:15:57.75" personId="{07B82CBD-3E39-CC42-AB20-618ECFB5A34E}" id="{A9678535-98D9-5244-A0FF-B0F8890541A2}">
    <text>justert 3,25%</text>
  </threadedComment>
  <threadedComment ref="Q32" dT="2025-07-18T05:53:08.09" personId="{8FD81992-E52B-914A-9877-EC2BC2B5A478}" id="{C465992F-3CE6-CE46-8C12-F3EA1445EDD5}">
    <text>Assets held for sale 189</text>
  </threadedComment>
  <threadedComment ref="AE68" dT="2025-07-09T08:27:08.82" personId="{8FD81992-E52B-914A-9877-EC2BC2B5A478}" id="{8187BE97-19BF-DA4C-AB47-39AEC2634F3F}">
    <text xml:space="preserve">Hentet inn 492,5 mill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E42FDB-F2D3-2C40-BB6C-56FAF06A8631}">
  <we:reference id="wa200009404" version="1.0.0.8" store="nb-NO" storeType="OMEX"/>
  <we:alternateReferences>
    <we:reference id="wa200009404" version="1.0.0.8" store="" storeType="OMEX"/>
  </we:alternateReferences>
  <we:properties>
    <we:property name="claude.fileId" value="&quot;786cd81e-6ef1-4318-b734-4aea8b104ce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8:D35"/>
  <sheetViews>
    <sheetView showGridLines="0" workbookViewId="0">
      <selection activeCell="A36" sqref="A36"/>
    </sheetView>
  </sheetViews>
  <sheetFormatPr baseColWidth="10" defaultRowHeight="19" x14ac:dyDescent="0.25"/>
  <cols>
    <col min="1" max="16384" width="10.83203125" style="2"/>
  </cols>
  <sheetData>
    <row r="8" spans="1:1" x14ac:dyDescent="0.25">
      <c r="A8" s="1"/>
    </row>
    <row r="18" spans="1:4" x14ac:dyDescent="0.25">
      <c r="A18" s="2" t="s">
        <v>123</v>
      </c>
    </row>
    <row r="28" spans="1:4" x14ac:dyDescent="0.25">
      <c r="A28" s="1" t="s">
        <v>96</v>
      </c>
    </row>
    <row r="29" spans="1:4" x14ac:dyDescent="0.25">
      <c r="A29" s="2" t="s">
        <v>97</v>
      </c>
    </row>
    <row r="30" spans="1:4" x14ac:dyDescent="0.25">
      <c r="A30" s="2" t="s">
        <v>98</v>
      </c>
      <c r="D30" s="2" t="s">
        <v>100</v>
      </c>
    </row>
    <row r="31" spans="1:4" x14ac:dyDescent="0.25">
      <c r="A31" s="1"/>
    </row>
    <row r="34" spans="1:1" x14ac:dyDescent="0.25">
      <c r="A34" s="1" t="s">
        <v>136</v>
      </c>
    </row>
    <row r="35" spans="1:1" x14ac:dyDescent="0.25">
      <c r="A35" s="2" t="s">
        <v>143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Q76"/>
  <sheetViews>
    <sheetView showGridLines="0" workbookViewId="0">
      <pane xSplit="3" ySplit="3" topLeftCell="AG4" activePane="bottomRight" state="frozen"/>
      <selection pane="topRight" activeCell="D1" sqref="D1"/>
      <selection pane="bottomLeft" activeCell="A4" sqref="A4"/>
      <selection pane="bottomRight" activeCell="AH19" sqref="AH19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42.16406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0.83203125" style="2" customWidth="1"/>
    <col min="9" max="9" width="11" style="2" bestFit="1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17" width="10.83203125" style="2"/>
    <col min="18" max="18" width="11.6640625" style="2" bestFit="1" customWidth="1"/>
    <col min="19" max="21" width="10.83203125" style="2"/>
    <col min="22" max="22" width="11.1640625" style="2" bestFit="1" customWidth="1"/>
    <col min="23" max="35" width="10.83203125" style="2"/>
    <col min="36" max="36" width="10.83203125" style="4"/>
    <col min="37" max="46" width="10.83203125" style="2"/>
    <col min="47" max="47" width="14.83203125" style="2" bestFit="1" customWidth="1"/>
    <col min="48" max="48" width="13.33203125" style="2" bestFit="1" customWidth="1"/>
    <col min="49" max="16384" width="10.83203125" style="2"/>
  </cols>
  <sheetData>
    <row r="1" spans="1:147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E1" s="1"/>
    </row>
    <row r="3" spans="1:147" x14ac:dyDescent="0.25">
      <c r="A3" s="1" t="s">
        <v>0</v>
      </c>
      <c r="C3" s="2" t="s">
        <v>38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37</v>
      </c>
      <c r="Q3" s="7" t="s">
        <v>31</v>
      </c>
      <c r="R3" s="7" t="s">
        <v>35</v>
      </c>
      <c r="S3" s="7" t="s">
        <v>36</v>
      </c>
      <c r="T3" s="7" t="s">
        <v>123</v>
      </c>
      <c r="U3" s="7" t="s">
        <v>124</v>
      </c>
      <c r="V3" s="7" t="s">
        <v>125</v>
      </c>
      <c r="W3" s="7" t="s">
        <v>126</v>
      </c>
      <c r="Y3" s="7" t="s">
        <v>118</v>
      </c>
      <c r="Z3" s="7" t="s">
        <v>119</v>
      </c>
      <c r="AA3" s="7" t="s">
        <v>115</v>
      </c>
      <c r="AB3" s="7" t="s">
        <v>116</v>
      </c>
      <c r="AC3" s="7" t="s">
        <v>32</v>
      </c>
      <c r="AD3" s="7" t="s">
        <v>33</v>
      </c>
      <c r="AE3" s="7" t="s">
        <v>34</v>
      </c>
      <c r="AF3" s="7" t="s">
        <v>15</v>
      </c>
      <c r="AG3" s="7" t="s">
        <v>16</v>
      </c>
      <c r="AH3" s="7" t="s">
        <v>17</v>
      </c>
      <c r="AI3" s="7" t="s">
        <v>18</v>
      </c>
      <c r="AJ3" s="17" t="s">
        <v>19</v>
      </c>
      <c r="AK3" s="7" t="s">
        <v>20</v>
      </c>
      <c r="AL3" s="7" t="s">
        <v>21</v>
      </c>
      <c r="AM3" s="7" t="s">
        <v>22</v>
      </c>
      <c r="AN3" s="7" t="s">
        <v>23</v>
      </c>
      <c r="AO3" s="7" t="s">
        <v>24</v>
      </c>
      <c r="AP3" s="7" t="s">
        <v>25</v>
      </c>
      <c r="AQ3" s="7" t="s">
        <v>26</v>
      </c>
      <c r="AR3" s="7" t="s">
        <v>27</v>
      </c>
      <c r="AS3" s="7" t="s">
        <v>28</v>
      </c>
    </row>
    <row r="4" spans="1:147" x14ac:dyDescent="0.25">
      <c r="A4" s="2" t="s">
        <v>1</v>
      </c>
      <c r="B4" s="4">
        <v>88.1</v>
      </c>
      <c r="C4" s="1" t="s">
        <v>47</v>
      </c>
      <c r="D4" s="12">
        <v>1970.5</v>
      </c>
      <c r="E4" s="12">
        <v>1644.7</v>
      </c>
      <c r="F4" s="12">
        <v>1520.9</v>
      </c>
      <c r="G4" s="12">
        <v>1972.9</v>
      </c>
      <c r="H4" s="12">
        <v>1766.3</v>
      </c>
      <c r="I4" s="12">
        <v>1758.8</v>
      </c>
      <c r="J4" s="12">
        <v>1560.5</v>
      </c>
      <c r="K4" s="12">
        <v>1824</v>
      </c>
      <c r="L4" s="12">
        <v>1766.3</v>
      </c>
      <c r="M4" s="12">
        <v>1681.3</v>
      </c>
      <c r="N4" s="12">
        <v>1326</v>
      </c>
      <c r="O4" s="12">
        <v>1641.9</v>
      </c>
      <c r="P4" s="12">
        <v>1593.6</v>
      </c>
      <c r="Q4" s="12">
        <v>1490.5</v>
      </c>
      <c r="R4" s="12">
        <v>1238.8</v>
      </c>
      <c r="S4" s="12">
        <v>1492</v>
      </c>
      <c r="T4" s="12">
        <v>1450</v>
      </c>
      <c r="X4" s="14"/>
      <c r="Y4" s="12">
        <v>2230</v>
      </c>
      <c r="Z4" s="12">
        <v>2426.2179999999998</v>
      </c>
      <c r="AA4" s="12">
        <v>2733.5010000000002</v>
      </c>
      <c r="AB4" s="12">
        <v>3083.3040000000001</v>
      </c>
      <c r="AC4" s="12">
        <v>3335</v>
      </c>
      <c r="AD4" s="12">
        <v>3379</v>
      </c>
      <c r="AE4" s="12">
        <v>4811.8389999999999</v>
      </c>
      <c r="AF4" s="12">
        <v>6833.7460000000001</v>
      </c>
      <c r="AG4" s="12">
        <v>7113.82</v>
      </c>
      <c r="AH4" s="12">
        <v>6415.7439999999997</v>
      </c>
      <c r="AI4" s="12">
        <v>5815</v>
      </c>
      <c r="AJ4" s="13">
        <f>AI4*0.93</f>
        <v>5407.9500000000007</v>
      </c>
      <c r="AK4" s="12">
        <f>AJ4*1.05</f>
        <v>5678.3475000000008</v>
      </c>
      <c r="AL4" s="12">
        <f>AK4*1.05</f>
        <v>5962.2648750000008</v>
      </c>
      <c r="AM4" s="12">
        <f>AL4*1.05</f>
        <v>6260.3781187500008</v>
      </c>
      <c r="AN4" s="12">
        <f t="shared" ref="AN4:AS4" si="0">AM4*1.05</f>
        <v>6573.3970246875015</v>
      </c>
      <c r="AO4" s="12">
        <f t="shared" si="0"/>
        <v>6902.066875921877</v>
      </c>
      <c r="AP4" s="12">
        <f t="shared" si="0"/>
        <v>7247.1702197179711</v>
      </c>
      <c r="AQ4" s="12">
        <f t="shared" si="0"/>
        <v>7609.5287307038698</v>
      </c>
      <c r="AR4" s="12">
        <f t="shared" si="0"/>
        <v>7990.0051672390637</v>
      </c>
      <c r="AS4" s="12">
        <f t="shared" si="0"/>
        <v>8389.5054256010171</v>
      </c>
    </row>
    <row r="5" spans="1:147" x14ac:dyDescent="0.25">
      <c r="A5" s="2" t="s">
        <v>2</v>
      </c>
      <c r="B5" s="5">
        <v>27.306999999999999</v>
      </c>
      <c r="C5" s="2" t="s">
        <v>48</v>
      </c>
      <c r="D5" s="14">
        <v>-1727.5</v>
      </c>
      <c r="E5" s="14">
        <v>-1473.6</v>
      </c>
      <c r="F5" s="14">
        <v>-1393.9</v>
      </c>
      <c r="G5" s="14">
        <v>-1752.6</v>
      </c>
      <c r="H5" s="14">
        <v>-1586.2</v>
      </c>
      <c r="I5" s="14">
        <v>-1637.1</v>
      </c>
      <c r="J5" s="14">
        <v>-1441.8</v>
      </c>
      <c r="K5" s="14">
        <v>-1633</v>
      </c>
      <c r="L5" s="14">
        <v>-1586.2</v>
      </c>
      <c r="M5" s="14">
        <v>-1571.6</v>
      </c>
      <c r="N5" s="14">
        <v>-1224.8</v>
      </c>
      <c r="O5" s="14">
        <v>-1492.5</v>
      </c>
      <c r="P5" s="14">
        <v>-1446</v>
      </c>
      <c r="Q5" s="14">
        <v>-1396.7</v>
      </c>
      <c r="R5" s="14">
        <v>-1119</v>
      </c>
      <c r="S5" s="14">
        <v>-1334.1</v>
      </c>
      <c r="T5" s="14">
        <v>-1324.2</v>
      </c>
      <c r="X5" s="14"/>
      <c r="Y5" s="14">
        <f>-304-212.543-1537.9</f>
        <v>-2054.4430000000002</v>
      </c>
      <c r="Z5" s="14">
        <f>-387.311-203.347-1612.596</f>
        <v>-2203.2539999999999</v>
      </c>
      <c r="AA5" s="14">
        <f>-457.262-216.441-1767.168</f>
        <v>-2440.8710000000001</v>
      </c>
      <c r="AB5" s="14">
        <f>-512.288-226.87-2017.075</f>
        <v>-2756.2330000000002</v>
      </c>
      <c r="AC5" s="14">
        <f>-556.803-171.737-2215.079</f>
        <v>-2943.6190000000001</v>
      </c>
      <c r="AD5" s="14">
        <f>-637.286-168.285-2166.451</f>
        <v>-2972.0219999999999</v>
      </c>
      <c r="AE5" s="14">
        <f>-987.377-299.714-2963.271</f>
        <v>-4250.3620000000001</v>
      </c>
      <c r="AF5" s="14">
        <f>-1699.746-425.25-3963.482</f>
        <v>-6088.4780000000001</v>
      </c>
      <c r="AG5" s="14">
        <f>-1588.977-410.948-4439.502</f>
        <v>-6439.4270000000006</v>
      </c>
      <c r="AH5" s="14">
        <f>-1241.735-4285.279-348</f>
        <v>-5875.0140000000001</v>
      </c>
      <c r="AI5" s="14">
        <v>-5296</v>
      </c>
      <c r="AJ5" s="15">
        <f>AJ4*-0.913</f>
        <v>-4937.4583500000008</v>
      </c>
      <c r="AK5" s="14">
        <f>AK4*-0.9</f>
        <v>-5110.5127500000008</v>
      </c>
      <c r="AL5" s="14">
        <f t="shared" ref="AL5:AS5" si="1">AL4*-0.9</f>
        <v>-5366.0383875000007</v>
      </c>
      <c r="AM5" s="14">
        <f t="shared" si="1"/>
        <v>-5634.3403068750013</v>
      </c>
      <c r="AN5" s="14">
        <f t="shared" si="1"/>
        <v>-5916.0573222187513</v>
      </c>
      <c r="AO5" s="14">
        <f t="shared" si="1"/>
        <v>-6211.8601883296897</v>
      </c>
      <c r="AP5" s="14">
        <f t="shared" si="1"/>
        <v>-6522.4531977461738</v>
      </c>
      <c r="AQ5" s="14">
        <f t="shared" si="1"/>
        <v>-6848.5758576334829</v>
      </c>
      <c r="AR5" s="14">
        <f t="shared" si="1"/>
        <v>-7191.0046505151577</v>
      </c>
      <c r="AS5" s="14">
        <f t="shared" si="1"/>
        <v>-7550.5548830409152</v>
      </c>
    </row>
    <row r="6" spans="1:147" x14ac:dyDescent="0.25">
      <c r="A6" s="2" t="s">
        <v>39</v>
      </c>
      <c r="B6" s="5">
        <f>B4*B5</f>
        <v>2405.7466999999997</v>
      </c>
      <c r="C6" s="2" t="s">
        <v>138</v>
      </c>
      <c r="D6" s="14">
        <f>SUM(D4:D5)</f>
        <v>243</v>
      </c>
      <c r="E6" s="14">
        <f t="shared" ref="E6:T6" si="2">SUM(E4:E5)</f>
        <v>171.10000000000014</v>
      </c>
      <c r="F6" s="14">
        <f t="shared" si="2"/>
        <v>127</v>
      </c>
      <c r="G6" s="14">
        <f t="shared" si="2"/>
        <v>220.30000000000018</v>
      </c>
      <c r="H6" s="14">
        <f t="shared" si="2"/>
        <v>180.09999999999991</v>
      </c>
      <c r="I6" s="14">
        <f t="shared" si="2"/>
        <v>121.70000000000005</v>
      </c>
      <c r="J6" s="14">
        <f t="shared" si="2"/>
        <v>118.70000000000005</v>
      </c>
      <c r="K6" s="14">
        <f t="shared" si="2"/>
        <v>191</v>
      </c>
      <c r="L6" s="14">
        <f t="shared" si="2"/>
        <v>180.09999999999991</v>
      </c>
      <c r="M6" s="14">
        <f t="shared" si="2"/>
        <v>109.70000000000005</v>
      </c>
      <c r="N6" s="14">
        <f t="shared" si="2"/>
        <v>101.20000000000005</v>
      </c>
      <c r="O6" s="14">
        <f t="shared" si="2"/>
        <v>149.40000000000009</v>
      </c>
      <c r="P6" s="14">
        <f t="shared" si="2"/>
        <v>147.59999999999991</v>
      </c>
      <c r="Q6" s="14">
        <f t="shared" si="2"/>
        <v>93.799999999999955</v>
      </c>
      <c r="R6" s="14">
        <f t="shared" si="2"/>
        <v>119.79999999999995</v>
      </c>
      <c r="S6" s="14">
        <f t="shared" si="2"/>
        <v>157.90000000000009</v>
      </c>
      <c r="T6" s="14">
        <f t="shared" si="2"/>
        <v>125.79999999999995</v>
      </c>
      <c r="X6" s="14"/>
      <c r="Y6" s="14">
        <f>SUM(Y4:Y5)</f>
        <v>175.55699999999979</v>
      </c>
      <c r="Z6" s="14">
        <f t="shared" ref="Z6:AS6" si="3">SUM(Z4:Z5)</f>
        <v>222.96399999999994</v>
      </c>
      <c r="AA6" s="14">
        <f t="shared" si="3"/>
        <v>292.63000000000011</v>
      </c>
      <c r="AB6" s="14">
        <f t="shared" si="3"/>
        <v>327.07099999999991</v>
      </c>
      <c r="AC6" s="14">
        <f t="shared" si="3"/>
        <v>391.38099999999986</v>
      </c>
      <c r="AD6" s="14">
        <f t="shared" si="3"/>
        <v>406.97800000000007</v>
      </c>
      <c r="AE6" s="14">
        <f t="shared" si="3"/>
        <v>561.47699999999986</v>
      </c>
      <c r="AF6" s="14">
        <f t="shared" si="3"/>
        <v>745.26800000000003</v>
      </c>
      <c r="AG6" s="14">
        <f t="shared" si="3"/>
        <v>674.39299999999912</v>
      </c>
      <c r="AH6" s="14">
        <f t="shared" si="3"/>
        <v>540.72999999999956</v>
      </c>
      <c r="AI6" s="14">
        <f t="shared" si="3"/>
        <v>519</v>
      </c>
      <c r="AJ6" s="15">
        <f t="shared" si="3"/>
        <v>470.49164999999994</v>
      </c>
      <c r="AK6" s="14">
        <f t="shared" si="3"/>
        <v>567.83474999999999</v>
      </c>
      <c r="AL6" s="14">
        <f t="shared" si="3"/>
        <v>596.22648750000008</v>
      </c>
      <c r="AM6" s="14">
        <f t="shared" si="3"/>
        <v>626.03781187499953</v>
      </c>
      <c r="AN6" s="14">
        <f t="shared" si="3"/>
        <v>657.33970246875015</v>
      </c>
      <c r="AO6" s="14">
        <f t="shared" si="3"/>
        <v>690.20668759218734</v>
      </c>
      <c r="AP6" s="14">
        <f t="shared" si="3"/>
        <v>724.71702197179729</v>
      </c>
      <c r="AQ6" s="14">
        <f t="shared" si="3"/>
        <v>760.95287307038689</v>
      </c>
      <c r="AR6" s="14">
        <f t="shared" si="3"/>
        <v>799.000516723906</v>
      </c>
      <c r="AS6" s="14">
        <f t="shared" si="3"/>
        <v>838.95054256010189</v>
      </c>
    </row>
    <row r="7" spans="1:147" x14ac:dyDescent="0.25">
      <c r="A7" s="2" t="s">
        <v>40</v>
      </c>
      <c r="B7" s="5">
        <f>T36</f>
        <v>409.8</v>
      </c>
      <c r="C7" s="2" t="s">
        <v>144</v>
      </c>
      <c r="D7" s="14">
        <v>-45.8</v>
      </c>
      <c r="E7" s="14">
        <v>-34.700000000000003</v>
      </c>
      <c r="F7" s="14">
        <v>-37</v>
      </c>
      <c r="G7" s="14">
        <v>-42.3</v>
      </c>
      <c r="H7" s="14">
        <v>-43.9</v>
      </c>
      <c r="I7" s="14">
        <v>-45.1</v>
      </c>
      <c r="J7" s="14">
        <v>-43.9</v>
      </c>
      <c r="K7" s="14">
        <v>-43.3</v>
      </c>
      <c r="L7" s="14">
        <v>-43.9</v>
      </c>
      <c r="M7" s="14">
        <v>-43.8</v>
      </c>
      <c r="N7" s="14">
        <v>-43.5</v>
      </c>
      <c r="O7" s="14">
        <v>-42.8</v>
      </c>
      <c r="P7" s="14">
        <v>-43.1</v>
      </c>
      <c r="Q7" s="14">
        <v>-42.6</v>
      </c>
      <c r="R7" s="14">
        <v>-42.4</v>
      </c>
      <c r="S7" s="14">
        <v>-42.2</v>
      </c>
      <c r="T7" s="14">
        <v>-41.9</v>
      </c>
      <c r="X7" s="14"/>
      <c r="Y7" s="14">
        <v>-28.6</v>
      </c>
      <c r="Z7" s="14">
        <v>-10.58</v>
      </c>
      <c r="AA7" s="14">
        <v>-5.7</v>
      </c>
      <c r="AB7" s="14">
        <v>-6</v>
      </c>
      <c r="AC7" s="14">
        <v>-73.304000000000002</v>
      </c>
      <c r="AD7" s="14">
        <v>-73.665999999999997</v>
      </c>
      <c r="AE7" s="14">
        <v>-123.572</v>
      </c>
      <c r="AF7" s="14">
        <v>-148.79300000000001</v>
      </c>
      <c r="AG7" s="14">
        <v>-178</v>
      </c>
      <c r="AH7" s="14">
        <v>-174</v>
      </c>
      <c r="AI7" s="14">
        <v>-170</v>
      </c>
      <c r="AJ7" s="15">
        <f>AI7*0.87</f>
        <v>-147.9</v>
      </c>
      <c r="AK7" s="14">
        <f>AJ7*1.05</f>
        <v>-155.29500000000002</v>
      </c>
      <c r="AL7" s="14">
        <f>AK7*1.02</f>
        <v>-158.40090000000001</v>
      </c>
      <c r="AM7" s="14">
        <f t="shared" ref="AM7:AS7" si="4">AL7*1.02</f>
        <v>-161.568918</v>
      </c>
      <c r="AN7" s="14">
        <f t="shared" si="4"/>
        <v>-164.80029636</v>
      </c>
      <c r="AO7" s="14">
        <f t="shared" si="4"/>
        <v>-168.09630228720002</v>
      </c>
      <c r="AP7" s="14">
        <f t="shared" si="4"/>
        <v>-171.45822833294403</v>
      </c>
      <c r="AQ7" s="14">
        <f t="shared" si="4"/>
        <v>-174.88739289960293</v>
      </c>
      <c r="AR7" s="14">
        <f t="shared" si="4"/>
        <v>-178.385140757595</v>
      </c>
      <c r="AS7" s="14">
        <f t="shared" si="4"/>
        <v>-181.9528435727469</v>
      </c>
    </row>
    <row r="8" spans="1:147" x14ac:dyDescent="0.25">
      <c r="A8" s="2" t="s">
        <v>41</v>
      </c>
      <c r="B8" s="5">
        <f>T44+T45</f>
        <v>748.40000000000009</v>
      </c>
      <c r="C8" s="1" t="s">
        <v>50</v>
      </c>
      <c r="D8" s="12">
        <f>SUM(D6:D7)</f>
        <v>197.2</v>
      </c>
      <c r="E8" s="12">
        <f t="shared" ref="E8:T8" si="5">SUM(E6:E7)</f>
        <v>136.40000000000015</v>
      </c>
      <c r="F8" s="12">
        <f t="shared" si="5"/>
        <v>90</v>
      </c>
      <c r="G8" s="12">
        <f t="shared" si="5"/>
        <v>178.00000000000017</v>
      </c>
      <c r="H8" s="12">
        <f t="shared" si="5"/>
        <v>136.1999999999999</v>
      </c>
      <c r="I8" s="12">
        <f t="shared" si="5"/>
        <v>76.600000000000051</v>
      </c>
      <c r="J8" s="12">
        <f t="shared" si="5"/>
        <v>74.80000000000004</v>
      </c>
      <c r="K8" s="12">
        <f t="shared" si="5"/>
        <v>147.69999999999999</v>
      </c>
      <c r="L8" s="12">
        <f t="shared" si="5"/>
        <v>136.1999999999999</v>
      </c>
      <c r="M8" s="12">
        <f t="shared" si="5"/>
        <v>65.900000000000048</v>
      </c>
      <c r="N8" s="12">
        <f t="shared" si="5"/>
        <v>57.700000000000045</v>
      </c>
      <c r="O8" s="12">
        <f t="shared" si="5"/>
        <v>106.60000000000009</v>
      </c>
      <c r="P8" s="12">
        <f t="shared" si="5"/>
        <v>104.49999999999991</v>
      </c>
      <c r="Q8" s="12">
        <f t="shared" si="5"/>
        <v>51.199999999999953</v>
      </c>
      <c r="R8" s="12">
        <f t="shared" si="5"/>
        <v>77.399999999999949</v>
      </c>
      <c r="S8" s="12">
        <f t="shared" si="5"/>
        <v>115.70000000000009</v>
      </c>
      <c r="T8" s="12">
        <f t="shared" si="5"/>
        <v>83.899999999999949</v>
      </c>
      <c r="X8" s="14"/>
      <c r="Y8" s="12">
        <f>SUM(Y6:Y7)</f>
        <v>146.95699999999979</v>
      </c>
      <c r="Z8" s="12">
        <f t="shared" ref="Z8:AS8" si="6">SUM(Z6:Z7)</f>
        <v>212.38399999999993</v>
      </c>
      <c r="AA8" s="12">
        <f t="shared" si="6"/>
        <v>286.93000000000012</v>
      </c>
      <c r="AB8" s="12">
        <f t="shared" si="6"/>
        <v>321.07099999999991</v>
      </c>
      <c r="AC8" s="12">
        <f t="shared" si="6"/>
        <v>318.07699999999988</v>
      </c>
      <c r="AD8" s="12">
        <f t="shared" si="6"/>
        <v>333.31200000000007</v>
      </c>
      <c r="AE8" s="12">
        <f t="shared" si="6"/>
        <v>437.90499999999986</v>
      </c>
      <c r="AF8" s="12">
        <f t="shared" si="6"/>
        <v>596.47500000000002</v>
      </c>
      <c r="AG8" s="12">
        <f t="shared" si="6"/>
        <v>496.39299999999912</v>
      </c>
      <c r="AH8" s="12">
        <f t="shared" si="6"/>
        <v>366.72999999999956</v>
      </c>
      <c r="AI8" s="12">
        <f t="shared" si="6"/>
        <v>349</v>
      </c>
      <c r="AJ8" s="13">
        <f t="shared" si="6"/>
        <v>322.59164999999996</v>
      </c>
      <c r="AK8" s="12">
        <f t="shared" si="6"/>
        <v>412.53974999999997</v>
      </c>
      <c r="AL8" s="12">
        <f t="shared" si="6"/>
        <v>437.8255875000001</v>
      </c>
      <c r="AM8" s="12">
        <f t="shared" si="6"/>
        <v>464.46889387499954</v>
      </c>
      <c r="AN8" s="12">
        <f t="shared" si="6"/>
        <v>492.53940610875014</v>
      </c>
      <c r="AO8" s="12">
        <f t="shared" si="6"/>
        <v>522.11038530498729</v>
      </c>
      <c r="AP8" s="12">
        <f t="shared" si="6"/>
        <v>553.25879363885326</v>
      </c>
      <c r="AQ8" s="12">
        <f t="shared" si="6"/>
        <v>586.06548017078399</v>
      </c>
      <c r="AR8" s="12">
        <f t="shared" si="6"/>
        <v>620.61537596631103</v>
      </c>
      <c r="AS8" s="12">
        <f t="shared" si="6"/>
        <v>656.99769898735497</v>
      </c>
    </row>
    <row r="9" spans="1:147" x14ac:dyDescent="0.25">
      <c r="A9" s="3" t="s">
        <v>42</v>
      </c>
      <c r="B9" s="6">
        <f>B6-B7+B8</f>
        <v>2744.3467000000001</v>
      </c>
      <c r="C9" s="2" t="s">
        <v>51</v>
      </c>
      <c r="D9" s="14">
        <v>-42.7</v>
      </c>
      <c r="E9" s="14">
        <v>-31.8</v>
      </c>
      <c r="F9" s="14">
        <v>-39.9</v>
      </c>
      <c r="G9" s="14">
        <v>-46.4</v>
      </c>
      <c r="H9" s="14">
        <v>-41.4</v>
      </c>
      <c r="I9" s="14">
        <v>-43.1</v>
      </c>
      <c r="J9" s="14">
        <v>-58.9</v>
      </c>
      <c r="K9" s="14">
        <v>-41.8</v>
      </c>
      <c r="L9" s="14">
        <v>-41.4</v>
      </c>
      <c r="M9" s="14">
        <v>-41.9</v>
      </c>
      <c r="N9" s="14">
        <v>-41.6</v>
      </c>
      <c r="O9" s="14">
        <v>-41.8</v>
      </c>
      <c r="P9" s="14">
        <v>-40.5</v>
      </c>
      <c r="Q9" s="14">
        <v>-40.1</v>
      </c>
      <c r="R9" s="14">
        <v>-41.4</v>
      </c>
      <c r="S9" s="14">
        <f>-41.1-399</f>
        <v>-440.1</v>
      </c>
      <c r="T9" s="14">
        <v>-40</v>
      </c>
      <c r="X9" s="14"/>
      <c r="Y9" s="14">
        <v>-11.56</v>
      </c>
      <c r="Z9" s="14">
        <v>-11.8</v>
      </c>
      <c r="AA9" s="14">
        <v>-11.7</v>
      </c>
      <c r="AB9" s="14">
        <v>-11.9</v>
      </c>
      <c r="AC9" s="14">
        <v>-5</v>
      </c>
      <c r="AD9" s="14">
        <f>-12.301+1.6</f>
        <v>-10.701000000000001</v>
      </c>
      <c r="AE9" s="14">
        <v>-75.247</v>
      </c>
      <c r="AF9" s="14">
        <v>-149.33099999999999</v>
      </c>
      <c r="AG9" s="14">
        <v>-186.53700000000001</v>
      </c>
      <c r="AH9" s="14">
        <v>-166</v>
      </c>
      <c r="AI9" s="14">
        <v>-562</v>
      </c>
      <c r="AJ9" s="15">
        <v>-160</v>
      </c>
      <c r="AK9" s="14">
        <v>-160</v>
      </c>
      <c r="AL9" s="14">
        <v>-160</v>
      </c>
      <c r="AM9" s="14">
        <v>-160</v>
      </c>
      <c r="AN9" s="14">
        <v>-160</v>
      </c>
      <c r="AO9" s="14">
        <v>-160</v>
      </c>
      <c r="AP9" s="14">
        <v>-160</v>
      </c>
      <c r="AQ9" s="14">
        <v>-160</v>
      </c>
      <c r="AR9" s="14">
        <v>-160</v>
      </c>
      <c r="AS9" s="14">
        <v>-160</v>
      </c>
    </row>
    <row r="10" spans="1:147" x14ac:dyDescent="0.25">
      <c r="C10" s="1" t="s">
        <v>52</v>
      </c>
      <c r="D10" s="12">
        <f t="shared" ref="D10:L10" si="7">SUM(D8:D9)</f>
        <v>154.5</v>
      </c>
      <c r="E10" s="12">
        <f t="shared" si="7"/>
        <v>104.60000000000015</v>
      </c>
      <c r="F10" s="12">
        <f t="shared" si="7"/>
        <v>50.1</v>
      </c>
      <c r="G10" s="12">
        <f t="shared" si="7"/>
        <v>131.60000000000016</v>
      </c>
      <c r="H10" s="12">
        <f t="shared" si="7"/>
        <v>94.799999999999898</v>
      </c>
      <c r="I10" s="12">
        <f t="shared" si="7"/>
        <v>33.50000000000005</v>
      </c>
      <c r="J10" s="12">
        <f t="shared" si="7"/>
        <v>15.900000000000041</v>
      </c>
      <c r="K10" s="12">
        <f t="shared" si="7"/>
        <v>105.89999999999999</v>
      </c>
      <c r="L10" s="12">
        <f t="shared" si="7"/>
        <v>94.799999999999898</v>
      </c>
      <c r="M10" s="12">
        <f>SUM(M8:M9)</f>
        <v>24.00000000000005</v>
      </c>
      <c r="N10" s="12">
        <f>SUM(N8:N9)</f>
        <v>16.100000000000044</v>
      </c>
      <c r="O10" s="12">
        <f>SUM(O8:O9)</f>
        <v>64.800000000000097</v>
      </c>
      <c r="P10" s="12">
        <f>SUM(P8:P9)</f>
        <v>63.999999999999915</v>
      </c>
      <c r="Q10" s="12">
        <f t="shared" ref="Q10:S10" si="8">SUM(Q8:Q9)</f>
        <v>11.099999999999952</v>
      </c>
      <c r="R10" s="12">
        <f t="shared" ref="R10" si="9">SUM(R8:R9)</f>
        <v>35.99999999999995</v>
      </c>
      <c r="S10" s="12">
        <f t="shared" si="8"/>
        <v>-324.39999999999992</v>
      </c>
      <c r="T10" s="12">
        <f t="shared" ref="T10" si="10">SUM(T8:T9)</f>
        <v>43.899999999999949</v>
      </c>
      <c r="X10" s="14"/>
      <c r="Y10" s="12">
        <f t="shared" ref="Y10:AH10" si="11">SUM(Y8:Y9)</f>
        <v>135.39699999999979</v>
      </c>
      <c r="Z10" s="12">
        <f t="shared" si="11"/>
        <v>200.58399999999992</v>
      </c>
      <c r="AA10" s="12">
        <f t="shared" si="11"/>
        <v>275.23000000000013</v>
      </c>
      <c r="AB10" s="12">
        <f t="shared" si="11"/>
        <v>309.17099999999994</v>
      </c>
      <c r="AC10" s="12">
        <f t="shared" si="11"/>
        <v>313.07699999999988</v>
      </c>
      <c r="AD10" s="12">
        <f t="shared" si="11"/>
        <v>322.61100000000005</v>
      </c>
      <c r="AE10" s="12">
        <f t="shared" si="11"/>
        <v>362.65799999999984</v>
      </c>
      <c r="AF10" s="12">
        <f t="shared" si="11"/>
        <v>447.14400000000001</v>
      </c>
      <c r="AG10" s="12">
        <f t="shared" si="11"/>
        <v>309.85599999999909</v>
      </c>
      <c r="AH10" s="12">
        <f t="shared" si="11"/>
        <v>200.72999999999956</v>
      </c>
      <c r="AI10" s="12">
        <f t="shared" ref="AI10:AS10" si="12">SUM(AI8:AI9)</f>
        <v>-213</v>
      </c>
      <c r="AJ10" s="13">
        <f t="shared" si="12"/>
        <v>162.59164999999996</v>
      </c>
      <c r="AK10" s="12">
        <f t="shared" si="12"/>
        <v>252.53974999999997</v>
      </c>
      <c r="AL10" s="12">
        <f t="shared" si="12"/>
        <v>277.8255875000001</v>
      </c>
      <c r="AM10" s="12">
        <f t="shared" si="12"/>
        <v>304.46889387499954</v>
      </c>
      <c r="AN10" s="12">
        <f t="shared" si="12"/>
        <v>332.53940610875014</v>
      </c>
      <c r="AO10" s="12">
        <f t="shared" si="12"/>
        <v>362.11038530498729</v>
      </c>
      <c r="AP10" s="12">
        <f t="shared" si="12"/>
        <v>393.25879363885326</v>
      </c>
      <c r="AQ10" s="12">
        <f t="shared" si="12"/>
        <v>426.06548017078399</v>
      </c>
      <c r="AR10" s="12">
        <f t="shared" si="12"/>
        <v>460.61537596631103</v>
      </c>
      <c r="AS10" s="12">
        <f t="shared" si="12"/>
        <v>496.99769898735497</v>
      </c>
    </row>
    <row r="11" spans="1:147" x14ac:dyDescent="0.25">
      <c r="C11" s="2" t="s">
        <v>53</v>
      </c>
      <c r="D11" s="14">
        <v>4.2</v>
      </c>
      <c r="E11" s="14">
        <v>66.5</v>
      </c>
      <c r="F11" s="14">
        <v>16.3</v>
      </c>
      <c r="G11" s="14">
        <v>11.6</v>
      </c>
      <c r="H11" s="14">
        <v>3.6</v>
      </c>
      <c r="I11" s="14">
        <v>23.2</v>
      </c>
      <c r="J11" s="14">
        <v>34.299999999999997</v>
      </c>
      <c r="K11" s="14">
        <v>14.4</v>
      </c>
      <c r="L11" s="14">
        <v>3.6</v>
      </c>
      <c r="M11" s="14">
        <v>3</v>
      </c>
      <c r="N11" s="14">
        <v>2.8</v>
      </c>
      <c r="O11" s="14">
        <v>3.8</v>
      </c>
      <c r="P11" s="14">
        <v>2.5</v>
      </c>
      <c r="Q11" s="14">
        <v>2.2000000000000002</v>
      </c>
      <c r="R11" s="14">
        <v>1.4</v>
      </c>
      <c r="S11" s="14">
        <v>6.2</v>
      </c>
      <c r="T11" s="14">
        <v>3.3</v>
      </c>
      <c r="X11" s="14"/>
      <c r="Y11" s="14">
        <v>1.1000000000000001</v>
      </c>
      <c r="Z11" s="14">
        <v>2.5</v>
      </c>
      <c r="AA11" s="14">
        <v>0.61199999999999999</v>
      </c>
      <c r="AB11" s="14">
        <v>0.97899999999999998</v>
      </c>
      <c r="AC11" s="14">
        <v>15.518000000000001</v>
      </c>
      <c r="AD11" s="14">
        <v>15.548</v>
      </c>
      <c r="AE11" s="14">
        <v>20.606999999999999</v>
      </c>
      <c r="AF11" s="14">
        <v>94.962999999999994</v>
      </c>
      <c r="AG11" s="14">
        <v>76</v>
      </c>
      <c r="AH11" s="14">
        <v>12.56</v>
      </c>
      <c r="AI11" s="14">
        <v>12</v>
      </c>
      <c r="AJ11" s="15">
        <v>12</v>
      </c>
      <c r="AK11" s="14">
        <v>12</v>
      </c>
      <c r="AL11" s="14">
        <v>12</v>
      </c>
      <c r="AM11" s="14">
        <v>12</v>
      </c>
      <c r="AN11" s="14">
        <v>12</v>
      </c>
      <c r="AO11" s="14">
        <v>12</v>
      </c>
      <c r="AP11" s="14">
        <v>12</v>
      </c>
      <c r="AQ11" s="14">
        <v>12</v>
      </c>
      <c r="AR11" s="14">
        <v>12</v>
      </c>
      <c r="AS11" s="14">
        <v>12</v>
      </c>
    </row>
    <row r="12" spans="1:147" x14ac:dyDescent="0.25">
      <c r="A12" s="2" t="s">
        <v>122</v>
      </c>
      <c r="B12" s="22">
        <f>B4/(T42/B5)</f>
        <v>0.64811732535898059</v>
      </c>
      <c r="C12" s="2" t="s">
        <v>54</v>
      </c>
      <c r="D12" s="14">
        <v>-25.4</v>
      </c>
      <c r="E12" s="14">
        <v>-17.899999999999999</v>
      </c>
      <c r="F12" s="14">
        <v>-29.2</v>
      </c>
      <c r="G12" s="14">
        <v>-6.5</v>
      </c>
      <c r="H12" s="14">
        <v>-16.3</v>
      </c>
      <c r="I12" s="14">
        <v>-23.6</v>
      </c>
      <c r="J12" s="14">
        <v>-11.5</v>
      </c>
      <c r="K12" s="14">
        <v>-21.3</v>
      </c>
      <c r="L12" s="14">
        <v>-16.3</v>
      </c>
      <c r="M12" s="14">
        <v>-15.1</v>
      </c>
      <c r="N12" s="14">
        <v>-14</v>
      </c>
      <c r="O12" s="14">
        <v>-14.5</v>
      </c>
      <c r="P12" s="14">
        <v>-14.9</v>
      </c>
      <c r="Q12" s="14">
        <v>-9.6</v>
      </c>
      <c r="R12" s="14">
        <v>-10.4</v>
      </c>
      <c r="S12" s="14">
        <v>-11.2</v>
      </c>
      <c r="T12" s="14">
        <v>-8</v>
      </c>
      <c r="X12" s="14"/>
      <c r="Y12" s="14">
        <v>-20.177</v>
      </c>
      <c r="Z12" s="14">
        <v>-11.8</v>
      </c>
      <c r="AA12" s="14">
        <v>-9.8000000000000007</v>
      </c>
      <c r="AB12" s="14">
        <v>-6.2</v>
      </c>
      <c r="AC12" s="14">
        <v>-15.4</v>
      </c>
      <c r="AD12" s="14">
        <v>-6.3689999999999998</v>
      </c>
      <c r="AE12" s="14">
        <v>-13.77</v>
      </c>
      <c r="AF12" s="14">
        <v>-58.430999999999997</v>
      </c>
      <c r="AG12" s="14">
        <v>-81.724999999999994</v>
      </c>
      <c r="AH12" s="14">
        <v>-59.271999999999998</v>
      </c>
      <c r="AI12" s="14">
        <v>-46</v>
      </c>
      <c r="AJ12" s="15">
        <v>-45</v>
      </c>
      <c r="AK12" s="14">
        <v>-45</v>
      </c>
      <c r="AL12" s="14">
        <v>-45</v>
      </c>
      <c r="AM12" s="14">
        <v>-45</v>
      </c>
      <c r="AN12" s="14">
        <v>-45</v>
      </c>
      <c r="AO12" s="14">
        <v>-45</v>
      </c>
      <c r="AP12" s="14">
        <v>-45</v>
      </c>
      <c r="AQ12" s="14">
        <v>-45</v>
      </c>
      <c r="AR12" s="14">
        <v>-45</v>
      </c>
      <c r="AS12" s="14">
        <v>-45</v>
      </c>
    </row>
    <row r="13" spans="1:147" x14ac:dyDescent="0.25">
      <c r="C13" s="2" t="s">
        <v>55</v>
      </c>
      <c r="D13" s="14">
        <f t="shared" ref="D13:L13" si="13">SUM(D10:D12)</f>
        <v>133.29999999999998</v>
      </c>
      <c r="E13" s="14">
        <f t="shared" si="13"/>
        <v>153.20000000000013</v>
      </c>
      <c r="F13" s="14">
        <f t="shared" si="13"/>
        <v>37.200000000000003</v>
      </c>
      <c r="G13" s="14">
        <f t="shared" si="13"/>
        <v>136.70000000000016</v>
      </c>
      <c r="H13" s="14">
        <f t="shared" si="13"/>
        <v>82.099999999999895</v>
      </c>
      <c r="I13" s="14">
        <f t="shared" si="13"/>
        <v>33.100000000000044</v>
      </c>
      <c r="J13" s="14">
        <f t="shared" si="13"/>
        <v>38.700000000000038</v>
      </c>
      <c r="K13" s="14">
        <f t="shared" si="13"/>
        <v>99</v>
      </c>
      <c r="L13" s="14">
        <f t="shared" si="13"/>
        <v>82.099999999999895</v>
      </c>
      <c r="M13" s="14">
        <f>SUM(M10:M12)</f>
        <v>11.90000000000005</v>
      </c>
      <c r="N13" s="14">
        <f>SUM(N10:N12)</f>
        <v>4.9000000000000448</v>
      </c>
      <c r="O13" s="14">
        <f>SUM(O10:O12)</f>
        <v>54.100000000000094</v>
      </c>
      <c r="P13" s="14">
        <f>SUM(P10:P12)</f>
        <v>51.599999999999916</v>
      </c>
      <c r="Q13" s="14">
        <f t="shared" ref="Q13:S13" si="14">SUM(Q10:Q12)</f>
        <v>3.6999999999999513</v>
      </c>
      <c r="R13" s="14">
        <f t="shared" ref="R13" si="15">SUM(R10:R12)</f>
        <v>26.99999999999995</v>
      </c>
      <c r="S13" s="14">
        <f t="shared" si="14"/>
        <v>-329.39999999999992</v>
      </c>
      <c r="T13" s="14">
        <f t="shared" ref="T13" si="16">SUM(T10:T12)</f>
        <v>39.199999999999946</v>
      </c>
      <c r="X13" s="14"/>
      <c r="Y13" s="14">
        <f t="shared" ref="Y13:AH13" si="17">SUM(Y10:Y12)</f>
        <v>116.31999999999979</v>
      </c>
      <c r="Z13" s="14">
        <f t="shared" si="17"/>
        <v>191.28399999999991</v>
      </c>
      <c r="AA13" s="14">
        <f t="shared" si="17"/>
        <v>266.04200000000014</v>
      </c>
      <c r="AB13" s="14">
        <f t="shared" si="17"/>
        <v>303.94999999999993</v>
      </c>
      <c r="AC13" s="14">
        <f t="shared" si="17"/>
        <v>313.19499999999994</v>
      </c>
      <c r="AD13" s="14">
        <f t="shared" si="17"/>
        <v>331.79000000000008</v>
      </c>
      <c r="AE13" s="14">
        <f t="shared" si="17"/>
        <v>369.49499999999989</v>
      </c>
      <c r="AF13" s="14">
        <f t="shared" si="17"/>
        <v>483.67599999999999</v>
      </c>
      <c r="AG13" s="14">
        <f t="shared" si="17"/>
        <v>304.13099999999906</v>
      </c>
      <c r="AH13" s="14">
        <f t="shared" si="17"/>
        <v>154.01799999999957</v>
      </c>
      <c r="AI13" s="14">
        <f t="shared" ref="AI13:AS13" si="18">SUM(AI10:AI12)</f>
        <v>-247</v>
      </c>
      <c r="AJ13" s="15">
        <f t="shared" si="18"/>
        <v>129.59164999999996</v>
      </c>
      <c r="AK13" s="14">
        <f t="shared" si="18"/>
        <v>219.53974999999997</v>
      </c>
      <c r="AL13" s="14">
        <f t="shared" si="18"/>
        <v>244.8255875000001</v>
      </c>
      <c r="AM13" s="14">
        <f t="shared" si="18"/>
        <v>271.46889387499954</v>
      </c>
      <c r="AN13" s="14">
        <f t="shared" si="18"/>
        <v>299.53940610875014</v>
      </c>
      <c r="AO13" s="14">
        <f t="shared" si="18"/>
        <v>329.11038530498729</v>
      </c>
      <c r="AP13" s="14">
        <f t="shared" si="18"/>
        <v>360.25879363885326</v>
      </c>
      <c r="AQ13" s="14">
        <f t="shared" si="18"/>
        <v>393.06548017078399</v>
      </c>
      <c r="AR13" s="14">
        <f t="shared" si="18"/>
        <v>427.61537596631103</v>
      </c>
      <c r="AS13" s="14">
        <f t="shared" si="18"/>
        <v>463.99769898735497</v>
      </c>
    </row>
    <row r="14" spans="1:147" x14ac:dyDescent="0.25">
      <c r="C14" s="2" t="s">
        <v>56</v>
      </c>
      <c r="D14" s="14">
        <v>-29.2</v>
      </c>
      <c r="E14" s="14">
        <v>-22.9</v>
      </c>
      <c r="F14" s="14">
        <v>-16</v>
      </c>
      <c r="G14" s="14">
        <v>-17.7</v>
      </c>
      <c r="H14" s="14">
        <v>-18.2</v>
      </c>
      <c r="I14" s="14">
        <v>-13.2</v>
      </c>
      <c r="J14" s="14">
        <v>-12.4</v>
      </c>
      <c r="K14" s="14">
        <v>-7.5</v>
      </c>
      <c r="L14" s="14">
        <v>-18.2</v>
      </c>
      <c r="M14" s="14">
        <v>-6.4</v>
      </c>
      <c r="N14" s="14">
        <v>-1.7</v>
      </c>
      <c r="O14" s="14">
        <v>-16.3</v>
      </c>
      <c r="P14" s="14">
        <v>-12.1</v>
      </c>
      <c r="Q14" s="14">
        <v>-3</v>
      </c>
      <c r="R14" s="14">
        <v>-6.8</v>
      </c>
      <c r="S14" s="14">
        <v>-13.2</v>
      </c>
      <c r="T14" s="14">
        <v>-8.4</v>
      </c>
      <c r="X14" s="14"/>
      <c r="Y14" s="14">
        <v>-24</v>
      </c>
      <c r="Z14" s="14">
        <v>-47.2</v>
      </c>
      <c r="AA14" s="14">
        <v>-64.3</v>
      </c>
      <c r="AB14" s="14">
        <v>-71.7</v>
      </c>
      <c r="AC14" s="14">
        <v>-71.451999999999998</v>
      </c>
      <c r="AD14" s="14">
        <v>-74</v>
      </c>
      <c r="AE14" s="14">
        <v>-75.317999999999998</v>
      </c>
      <c r="AF14" s="14">
        <v>-91.489000000000004</v>
      </c>
      <c r="AG14" s="14">
        <v>-62.292999999999999</v>
      </c>
      <c r="AH14" s="14">
        <v>-42.667999999999999</v>
      </c>
      <c r="AI14" s="14">
        <v>-35</v>
      </c>
      <c r="AJ14" s="15">
        <f t="shared" ref="AJ14:AS14" si="19">AJ13*-0.205</f>
        <v>-26.566288249999989</v>
      </c>
      <c r="AK14" s="14">
        <f t="shared" si="19"/>
        <v>-45.005648749999992</v>
      </c>
      <c r="AL14" s="14">
        <f t="shared" si="19"/>
        <v>-50.18924543750002</v>
      </c>
      <c r="AM14" s="14">
        <f t="shared" si="19"/>
        <v>-55.651123244374901</v>
      </c>
      <c r="AN14" s="14">
        <f t="shared" si="19"/>
        <v>-61.405578252293779</v>
      </c>
      <c r="AO14" s="14">
        <f t="shared" si="19"/>
        <v>-67.467628987522389</v>
      </c>
      <c r="AP14" s="14">
        <f t="shared" si="19"/>
        <v>-73.853052695964919</v>
      </c>
      <c r="AQ14" s="14">
        <f t="shared" si="19"/>
        <v>-80.578423435010706</v>
      </c>
      <c r="AR14" s="14">
        <f t="shared" si="19"/>
        <v>-87.66115207309376</v>
      </c>
      <c r="AS14" s="14">
        <f t="shared" si="19"/>
        <v>-95.119528292407765</v>
      </c>
    </row>
    <row r="15" spans="1:147" x14ac:dyDescent="0.25">
      <c r="C15" s="1" t="s">
        <v>57</v>
      </c>
      <c r="D15" s="12">
        <f t="shared" ref="D15:L15" si="20">SUM(D13:D14)</f>
        <v>104.09999999999998</v>
      </c>
      <c r="E15" s="12">
        <f t="shared" si="20"/>
        <v>130.30000000000013</v>
      </c>
      <c r="F15" s="12">
        <f t="shared" si="20"/>
        <v>21.200000000000003</v>
      </c>
      <c r="G15" s="12">
        <f t="shared" si="20"/>
        <v>119.00000000000016</v>
      </c>
      <c r="H15" s="12">
        <f t="shared" si="20"/>
        <v>63.899999999999892</v>
      </c>
      <c r="I15" s="12">
        <f t="shared" si="20"/>
        <v>19.900000000000045</v>
      </c>
      <c r="J15" s="12">
        <f t="shared" si="20"/>
        <v>26.30000000000004</v>
      </c>
      <c r="K15" s="12">
        <f t="shared" si="20"/>
        <v>91.5</v>
      </c>
      <c r="L15" s="12">
        <f t="shared" si="20"/>
        <v>63.899999999999892</v>
      </c>
      <c r="M15" s="12">
        <f>SUM(M13:M14)</f>
        <v>5.5000000000000497</v>
      </c>
      <c r="N15" s="12">
        <f>SUM(N13:N14)</f>
        <v>3.2000000000000446</v>
      </c>
      <c r="O15" s="12">
        <f>SUM(O13:O14)</f>
        <v>37.800000000000097</v>
      </c>
      <c r="P15" s="12">
        <f>SUM(P13:P14)</f>
        <v>39.499999999999915</v>
      </c>
      <c r="Q15" s="12">
        <f t="shared" ref="Q15:AB15" si="21">SUM(Q13:Q14)</f>
        <v>0.69999999999995133</v>
      </c>
      <c r="R15" s="12">
        <f t="shared" ref="R15" si="22">SUM(R13:R14)</f>
        <v>20.19999999999995</v>
      </c>
      <c r="S15" s="12">
        <f t="shared" si="21"/>
        <v>-342.59999999999991</v>
      </c>
      <c r="T15" s="12">
        <f t="shared" ref="T15" si="23">SUM(T13:T14)</f>
        <v>30.799999999999947</v>
      </c>
      <c r="U15" s="12"/>
      <c r="W15" s="12"/>
      <c r="X15" s="14"/>
      <c r="Y15" s="12">
        <f t="shared" si="21"/>
        <v>92.319999999999794</v>
      </c>
      <c r="Z15" s="12">
        <f t="shared" si="21"/>
        <v>144.08399999999989</v>
      </c>
      <c r="AA15" s="12">
        <f t="shared" si="21"/>
        <v>201.74200000000013</v>
      </c>
      <c r="AB15" s="12">
        <f t="shared" si="21"/>
        <v>232.24999999999994</v>
      </c>
      <c r="AC15" s="12">
        <f t="shared" ref="AC15:AH15" si="24">SUM(AC13:AC14)</f>
        <v>241.74299999999994</v>
      </c>
      <c r="AD15" s="12">
        <f t="shared" si="24"/>
        <v>257.79000000000008</v>
      </c>
      <c r="AE15" s="12">
        <f t="shared" si="24"/>
        <v>294.17699999999991</v>
      </c>
      <c r="AF15" s="12">
        <f t="shared" si="24"/>
        <v>392.18700000000001</v>
      </c>
      <c r="AG15" s="12">
        <f t="shared" si="24"/>
        <v>241.83799999999906</v>
      </c>
      <c r="AH15" s="12">
        <f t="shared" si="24"/>
        <v>111.34999999999957</v>
      </c>
      <c r="AI15" s="12">
        <f t="shared" ref="AI15:AS15" si="25">SUM(AI13:AI14)</f>
        <v>-282</v>
      </c>
      <c r="AJ15" s="13">
        <f t="shared" si="25"/>
        <v>103.02536174999997</v>
      </c>
      <c r="AK15" s="12">
        <f t="shared" si="25"/>
        <v>174.53410124999999</v>
      </c>
      <c r="AL15" s="12">
        <f t="shared" si="25"/>
        <v>194.63634206250009</v>
      </c>
      <c r="AM15" s="12">
        <f t="shared" si="25"/>
        <v>215.81777063062464</v>
      </c>
      <c r="AN15" s="12">
        <f t="shared" si="25"/>
        <v>238.13382785645638</v>
      </c>
      <c r="AO15" s="12">
        <f t="shared" si="25"/>
        <v>261.64275631746489</v>
      </c>
      <c r="AP15" s="12">
        <f t="shared" si="25"/>
        <v>286.40574094288831</v>
      </c>
      <c r="AQ15" s="12">
        <f t="shared" si="25"/>
        <v>312.48705673577331</v>
      </c>
      <c r="AR15" s="12">
        <f t="shared" si="25"/>
        <v>339.95422389321726</v>
      </c>
      <c r="AS15" s="12">
        <f t="shared" si="25"/>
        <v>368.87817069494719</v>
      </c>
      <c r="AT15" s="12">
        <f>AS15*(1+$AV$19)</f>
        <v>365.18938898799769</v>
      </c>
      <c r="AU15" s="12">
        <f t="shared" ref="AU15:DF15" si="26">AT15*(1+$AV$19)</f>
        <v>361.53749509811769</v>
      </c>
      <c r="AV15" s="12">
        <f t="shared" si="26"/>
        <v>357.92212014713652</v>
      </c>
      <c r="AW15" s="12">
        <f t="shared" si="26"/>
        <v>354.34289894566518</v>
      </c>
      <c r="AX15" s="12">
        <f t="shared" si="26"/>
        <v>350.79946995620855</v>
      </c>
      <c r="AY15" s="12">
        <f t="shared" si="26"/>
        <v>347.29147525664649</v>
      </c>
      <c r="AZ15" s="12">
        <f t="shared" si="26"/>
        <v>343.81856050408004</v>
      </c>
      <c r="BA15" s="12">
        <f t="shared" si="26"/>
        <v>340.38037489903923</v>
      </c>
      <c r="BB15" s="12">
        <f t="shared" si="26"/>
        <v>336.97657115004881</v>
      </c>
      <c r="BC15" s="12">
        <f t="shared" si="26"/>
        <v>333.60680543854835</v>
      </c>
      <c r="BD15" s="12">
        <f t="shared" si="26"/>
        <v>330.27073738416289</v>
      </c>
      <c r="BE15" s="12">
        <f t="shared" si="26"/>
        <v>326.96803001032123</v>
      </c>
      <c r="BF15" s="12">
        <f t="shared" si="26"/>
        <v>323.698349710218</v>
      </c>
      <c r="BG15" s="12">
        <f t="shared" si="26"/>
        <v>320.46136621311581</v>
      </c>
      <c r="BH15" s="12">
        <f t="shared" si="26"/>
        <v>317.25675255098463</v>
      </c>
      <c r="BI15" s="12">
        <f t="shared" si="26"/>
        <v>314.08418502547477</v>
      </c>
      <c r="BJ15" s="12">
        <f t="shared" si="26"/>
        <v>310.94334317522004</v>
      </c>
      <c r="BK15" s="12">
        <f t="shared" si="26"/>
        <v>307.83390974346781</v>
      </c>
      <c r="BL15" s="12">
        <f t="shared" si="26"/>
        <v>304.75557064603311</v>
      </c>
      <c r="BM15" s="12">
        <f t="shared" si="26"/>
        <v>301.70801493957276</v>
      </c>
      <c r="BN15" s="12">
        <f t="shared" si="26"/>
        <v>298.69093479017704</v>
      </c>
      <c r="BO15" s="12">
        <f t="shared" si="26"/>
        <v>295.70402544227528</v>
      </c>
      <c r="BP15" s="12">
        <f t="shared" si="26"/>
        <v>292.74698518785254</v>
      </c>
      <c r="BQ15" s="12">
        <f t="shared" si="26"/>
        <v>289.81951533597402</v>
      </c>
      <c r="BR15" s="12">
        <f t="shared" si="26"/>
        <v>286.92132018261429</v>
      </c>
      <c r="BS15" s="12">
        <f t="shared" si="26"/>
        <v>284.05210698078815</v>
      </c>
      <c r="BT15" s="12">
        <f t="shared" si="26"/>
        <v>281.21158591098026</v>
      </c>
      <c r="BU15" s="12">
        <f t="shared" si="26"/>
        <v>278.39947005187048</v>
      </c>
      <c r="BV15" s="12">
        <f t="shared" si="26"/>
        <v>275.61547535135179</v>
      </c>
      <c r="BW15" s="12">
        <f t="shared" si="26"/>
        <v>272.85932059783829</v>
      </c>
      <c r="BX15" s="12">
        <f t="shared" si="26"/>
        <v>270.13072739185992</v>
      </c>
      <c r="BY15" s="12">
        <f t="shared" si="26"/>
        <v>267.42942011794133</v>
      </c>
      <c r="BZ15" s="12">
        <f t="shared" si="26"/>
        <v>264.75512591676193</v>
      </c>
      <c r="CA15" s="12">
        <f t="shared" si="26"/>
        <v>262.10757465759428</v>
      </c>
      <c r="CB15" s="12">
        <f t="shared" si="26"/>
        <v>259.48649891101832</v>
      </c>
      <c r="CC15" s="12">
        <f t="shared" si="26"/>
        <v>256.89163392190812</v>
      </c>
      <c r="CD15" s="12">
        <f t="shared" si="26"/>
        <v>254.32271758268905</v>
      </c>
      <c r="CE15" s="12">
        <f t="shared" si="26"/>
        <v>251.77949040686215</v>
      </c>
      <c r="CF15" s="12">
        <f t="shared" si="26"/>
        <v>249.26169550279351</v>
      </c>
      <c r="CG15" s="12">
        <f t="shared" si="26"/>
        <v>246.76907854776559</v>
      </c>
      <c r="CH15" s="12">
        <f t="shared" si="26"/>
        <v>244.30138776228793</v>
      </c>
      <c r="CI15" s="12">
        <f t="shared" si="26"/>
        <v>241.85837388466504</v>
      </c>
      <c r="CJ15" s="12">
        <f t="shared" si="26"/>
        <v>239.43979014581839</v>
      </c>
      <c r="CK15" s="12">
        <f t="shared" si="26"/>
        <v>237.04539224436022</v>
      </c>
      <c r="CL15" s="12">
        <f t="shared" si="26"/>
        <v>234.67493832191661</v>
      </c>
      <c r="CM15" s="12">
        <f t="shared" si="26"/>
        <v>232.32818893869745</v>
      </c>
      <c r="CN15" s="12">
        <f t="shared" si="26"/>
        <v>230.00490704931048</v>
      </c>
      <c r="CO15" s="12">
        <f t="shared" si="26"/>
        <v>227.70485797881736</v>
      </c>
      <c r="CP15" s="12">
        <f t="shared" si="26"/>
        <v>225.42780939902917</v>
      </c>
      <c r="CQ15" s="12">
        <f t="shared" si="26"/>
        <v>223.17353130503889</v>
      </c>
      <c r="CR15" s="12">
        <f t="shared" si="26"/>
        <v>220.9417959919885</v>
      </c>
      <c r="CS15" s="12">
        <f t="shared" si="26"/>
        <v>218.73237803206862</v>
      </c>
      <c r="CT15" s="12">
        <f t="shared" si="26"/>
        <v>216.54505425174793</v>
      </c>
      <c r="CU15" s="12">
        <f t="shared" si="26"/>
        <v>214.37960370923045</v>
      </c>
      <c r="CV15" s="12">
        <f t="shared" si="26"/>
        <v>212.23580767213815</v>
      </c>
      <c r="CW15" s="12">
        <f t="shared" si="26"/>
        <v>210.11344959541677</v>
      </c>
      <c r="CX15" s="12">
        <f t="shared" si="26"/>
        <v>208.0123150994626</v>
      </c>
      <c r="CY15" s="12">
        <f t="shared" si="26"/>
        <v>205.93219194846796</v>
      </c>
      <c r="CZ15" s="12">
        <f t="shared" si="26"/>
        <v>203.87287002898327</v>
      </c>
      <c r="DA15" s="12">
        <f t="shared" si="26"/>
        <v>201.83414132869345</v>
      </c>
      <c r="DB15" s="12">
        <f t="shared" si="26"/>
        <v>199.8157999154065</v>
      </c>
      <c r="DC15" s="12">
        <f t="shared" si="26"/>
        <v>197.81764191625243</v>
      </c>
      <c r="DD15" s="12">
        <f t="shared" si="26"/>
        <v>195.83946549708989</v>
      </c>
      <c r="DE15" s="12">
        <f t="shared" si="26"/>
        <v>193.88107084211899</v>
      </c>
      <c r="DF15" s="12">
        <f t="shared" si="26"/>
        <v>191.9422601336978</v>
      </c>
      <c r="DG15" s="12">
        <f t="shared" ref="DG15:EQ15" si="27">DF15*(1+$AV$19)</f>
        <v>190.02283753236082</v>
      </c>
      <c r="DH15" s="12">
        <f t="shared" si="27"/>
        <v>188.1226091570372</v>
      </c>
      <c r="DI15" s="12">
        <f t="shared" si="27"/>
        <v>186.24138306546683</v>
      </c>
      <c r="DJ15" s="12">
        <f t="shared" si="27"/>
        <v>184.37896923481216</v>
      </c>
      <c r="DK15" s="12">
        <f t="shared" si="27"/>
        <v>182.53517954246405</v>
      </c>
      <c r="DL15" s="12">
        <f t="shared" si="27"/>
        <v>180.70982774703941</v>
      </c>
      <c r="DM15" s="12">
        <f t="shared" si="27"/>
        <v>178.90272946956901</v>
      </c>
      <c r="DN15" s="12">
        <f t="shared" si="27"/>
        <v>177.11370217487331</v>
      </c>
      <c r="DO15" s="12">
        <f t="shared" si="27"/>
        <v>175.34256515312458</v>
      </c>
      <c r="DP15" s="12">
        <f t="shared" si="27"/>
        <v>173.58913950159334</v>
      </c>
      <c r="DQ15" s="12">
        <f t="shared" si="27"/>
        <v>171.85324810657741</v>
      </c>
      <c r="DR15" s="12">
        <f t="shared" si="27"/>
        <v>170.13471562551163</v>
      </c>
      <c r="DS15" s="12">
        <f t="shared" si="27"/>
        <v>168.43336846925652</v>
      </c>
      <c r="DT15" s="12">
        <f t="shared" si="27"/>
        <v>166.74903478456395</v>
      </c>
      <c r="DU15" s="12">
        <f t="shared" si="27"/>
        <v>165.0815444367183</v>
      </c>
      <c r="DV15" s="12">
        <f t="shared" si="27"/>
        <v>163.43072899235111</v>
      </c>
      <c r="DW15" s="12">
        <f t="shared" si="27"/>
        <v>161.79642170242758</v>
      </c>
      <c r="DX15" s="12">
        <f t="shared" si="27"/>
        <v>160.1784574854033</v>
      </c>
      <c r="DY15" s="12">
        <f t="shared" si="27"/>
        <v>158.57667291054926</v>
      </c>
      <c r="DZ15" s="12">
        <f t="shared" si="27"/>
        <v>156.99090618144376</v>
      </c>
      <c r="EA15" s="12">
        <f t="shared" si="27"/>
        <v>155.42099711962933</v>
      </c>
      <c r="EB15" s="12">
        <f t="shared" si="27"/>
        <v>153.86678714843305</v>
      </c>
      <c r="EC15" s="12">
        <f t="shared" si="27"/>
        <v>152.32811927694871</v>
      </c>
      <c r="ED15" s="12">
        <f t="shared" si="27"/>
        <v>150.80483808417921</v>
      </c>
      <c r="EE15" s="12">
        <f t="shared" si="27"/>
        <v>149.29678970333742</v>
      </c>
      <c r="EF15" s="12">
        <f t="shared" si="27"/>
        <v>147.80382180630406</v>
      </c>
      <c r="EG15" s="12">
        <f t="shared" si="27"/>
        <v>146.32578358824102</v>
      </c>
      <c r="EH15" s="12">
        <f t="shared" si="27"/>
        <v>144.86252575235861</v>
      </c>
      <c r="EI15" s="12">
        <f t="shared" si="27"/>
        <v>143.41390049483502</v>
      </c>
      <c r="EJ15" s="12">
        <f t="shared" si="27"/>
        <v>141.97976148988667</v>
      </c>
      <c r="EK15" s="12">
        <f t="shared" si="27"/>
        <v>140.5599638749878</v>
      </c>
      <c r="EL15" s="12">
        <f t="shared" si="27"/>
        <v>139.15436423623791</v>
      </c>
      <c r="EM15" s="12">
        <f t="shared" si="27"/>
        <v>137.76282059387552</v>
      </c>
      <c r="EN15" s="12">
        <f t="shared" si="27"/>
        <v>136.38519238793677</v>
      </c>
      <c r="EO15" s="12">
        <f t="shared" si="27"/>
        <v>135.0213404640574</v>
      </c>
      <c r="EP15" s="12">
        <f t="shared" si="27"/>
        <v>133.67112705941682</v>
      </c>
      <c r="EQ15" s="12">
        <f t="shared" si="27"/>
        <v>132.33441578882264</v>
      </c>
    </row>
    <row r="16" spans="1:147" x14ac:dyDescent="0.25">
      <c r="C16" s="2" t="s">
        <v>58</v>
      </c>
      <c r="D16" s="9">
        <v>27.349</v>
      </c>
      <c r="E16" s="9">
        <v>27.349</v>
      </c>
      <c r="F16" s="9">
        <v>27.349</v>
      </c>
      <c r="G16" s="9">
        <v>27.349</v>
      </c>
      <c r="H16" s="9">
        <v>27.349</v>
      </c>
      <c r="I16" s="9">
        <v>27.349</v>
      </c>
      <c r="J16" s="9">
        <v>27.349</v>
      </c>
      <c r="K16" s="9">
        <v>27.349</v>
      </c>
      <c r="L16" s="9">
        <v>27.349</v>
      </c>
      <c r="M16" s="9">
        <v>27.306999999999999</v>
      </c>
      <c r="N16" s="9">
        <v>27.306999999999999</v>
      </c>
      <c r="O16" s="9">
        <v>27.306999999999999</v>
      </c>
      <c r="P16" s="9">
        <v>27.306999999999999</v>
      </c>
      <c r="Q16" s="9">
        <v>27.306999999999999</v>
      </c>
      <c r="R16" s="9">
        <v>27.306999999999999</v>
      </c>
      <c r="S16" s="9">
        <v>27.306999999999999</v>
      </c>
      <c r="T16" s="9">
        <v>27.306999999999999</v>
      </c>
      <c r="X16" s="14"/>
      <c r="Y16" s="2">
        <v>18.388999999999999</v>
      </c>
      <c r="Z16" s="2">
        <v>18.914000000000001</v>
      </c>
      <c r="AA16" s="2">
        <v>19.138999999999999</v>
      </c>
      <c r="AB16" s="9">
        <v>19.253</v>
      </c>
      <c r="AC16" s="9">
        <v>19.254000000000001</v>
      </c>
      <c r="AD16" s="9">
        <v>19.28</v>
      </c>
      <c r="AE16" s="9">
        <v>23.725999999999999</v>
      </c>
      <c r="AF16" s="9">
        <v>27.408999999999999</v>
      </c>
      <c r="AG16" s="9">
        <v>27.306999999999999</v>
      </c>
      <c r="AH16" s="9">
        <v>27.306999999999999</v>
      </c>
      <c r="AI16" s="9">
        <v>27.306999999999999</v>
      </c>
      <c r="AJ16" s="8">
        <v>27.306999999999999</v>
      </c>
      <c r="AK16" s="9">
        <v>27.306999999999999</v>
      </c>
      <c r="AL16" s="9">
        <v>27.306999999999999</v>
      </c>
      <c r="AM16" s="9">
        <v>27.306999999999999</v>
      </c>
      <c r="AN16" s="9">
        <v>27.306999999999999</v>
      </c>
      <c r="AO16" s="9">
        <v>27.306999999999999</v>
      </c>
      <c r="AP16" s="9">
        <v>27.306999999999999</v>
      </c>
      <c r="AQ16" s="9">
        <v>27.306999999999999</v>
      </c>
      <c r="AR16" s="9">
        <v>27.306999999999999</v>
      </c>
      <c r="AS16" s="9">
        <v>27.306999999999999</v>
      </c>
    </row>
    <row r="17" spans="2:48" x14ac:dyDescent="0.25">
      <c r="C17" s="2" t="s">
        <v>59</v>
      </c>
      <c r="D17" s="19">
        <f t="shared" ref="D17:O17" si="28">D15/D16</f>
        <v>3.8063548941460374</v>
      </c>
      <c r="E17" s="19">
        <f t="shared" si="28"/>
        <v>4.7643423891184362</v>
      </c>
      <c r="F17" s="19">
        <f t="shared" si="28"/>
        <v>0.77516545394712799</v>
      </c>
      <c r="G17" s="19">
        <f t="shared" si="28"/>
        <v>4.3511645764013362</v>
      </c>
      <c r="H17" s="19">
        <f t="shared" si="28"/>
        <v>2.3364656843028957</v>
      </c>
      <c r="I17" s="19">
        <f t="shared" si="28"/>
        <v>0.72763172328056036</v>
      </c>
      <c r="J17" s="19">
        <f t="shared" si="28"/>
        <v>0.96164393579290064</v>
      </c>
      <c r="K17" s="19">
        <f t="shared" si="28"/>
        <v>3.345643350762368</v>
      </c>
      <c r="L17" s="19">
        <f t="shared" si="28"/>
        <v>2.3364656843028957</v>
      </c>
      <c r="M17" s="19">
        <f t="shared" si="28"/>
        <v>0.20141355696341781</v>
      </c>
      <c r="N17" s="19">
        <f t="shared" si="28"/>
        <v>0.11718606950598912</v>
      </c>
      <c r="O17" s="19">
        <f t="shared" si="28"/>
        <v>1.3842604460394807</v>
      </c>
      <c r="P17" s="19">
        <f>P15/P16</f>
        <v>1.4465155454645298</v>
      </c>
      <c r="Q17" s="19">
        <f t="shared" ref="Q17:S17" si="29">Q15/Q16</f>
        <v>2.5634452704432979E-2</v>
      </c>
      <c r="R17" s="19">
        <f t="shared" si="29"/>
        <v>0.73973706375654413</v>
      </c>
      <c r="S17" s="19">
        <f t="shared" si="29"/>
        <v>-12.546233566484782</v>
      </c>
      <c r="T17" s="19">
        <f t="shared" ref="T17" si="30">T15/T16</f>
        <v>1.1279159189951276</v>
      </c>
      <c r="X17" s="14"/>
      <c r="Y17" s="19">
        <f t="shared" ref="Y17:AF17" si="31">Y15/Y16</f>
        <v>5.0203926260264176</v>
      </c>
      <c r="Z17" s="19">
        <f t="shared" si="31"/>
        <v>7.6178492122237431</v>
      </c>
      <c r="AA17" s="19">
        <f t="shared" si="31"/>
        <v>10.540885103714935</v>
      </c>
      <c r="AB17" s="19">
        <f t="shared" si="31"/>
        <v>12.063055108294808</v>
      </c>
      <c r="AC17" s="19">
        <f t="shared" si="31"/>
        <v>12.555468993455902</v>
      </c>
      <c r="AD17" s="19">
        <f t="shared" si="31"/>
        <v>13.370850622406643</v>
      </c>
      <c r="AE17" s="19">
        <f t="shared" si="31"/>
        <v>12.398929444491271</v>
      </c>
      <c r="AF17" s="19">
        <f t="shared" si="31"/>
        <v>14.308694224524793</v>
      </c>
      <c r="AG17" s="19">
        <f>AG15/AG16</f>
        <v>8.8562639616215275</v>
      </c>
      <c r="AH17" s="19">
        <f>AH15/AH16</f>
        <v>4.0777090123411419</v>
      </c>
      <c r="AI17" s="19">
        <f t="shared" ref="AI17:AS17" si="32">AI15/AI16</f>
        <v>-10.327022375215147</v>
      </c>
      <c r="AJ17" s="22">
        <f t="shared" si="32"/>
        <v>3.7728553759109378</v>
      </c>
      <c r="AK17" s="19">
        <f t="shared" si="32"/>
        <v>6.3915516625773607</v>
      </c>
      <c r="AL17" s="19">
        <f t="shared" si="32"/>
        <v>7.1277087216647779</v>
      </c>
      <c r="AM17" s="19">
        <f t="shared" si="32"/>
        <v>7.9033863342961386</v>
      </c>
      <c r="AN17" s="19">
        <f t="shared" si="32"/>
        <v>8.7206147821604851</v>
      </c>
      <c r="AO17" s="19">
        <f t="shared" si="32"/>
        <v>9.581526946111433</v>
      </c>
      <c r="AP17" s="19">
        <f t="shared" si="32"/>
        <v>10.488363457827235</v>
      </c>
      <c r="AQ17" s="19">
        <f t="shared" si="32"/>
        <v>11.443478109487433</v>
      </c>
      <c r="AR17" s="19">
        <f t="shared" si="32"/>
        <v>12.449343534376434</v>
      </c>
      <c r="AS17" s="19">
        <f t="shared" si="32"/>
        <v>13.508557171968624</v>
      </c>
    </row>
    <row r="18" spans="2:48" x14ac:dyDescent="0.25">
      <c r="E18" s="9"/>
      <c r="F18" s="9"/>
      <c r="G18" s="9"/>
      <c r="H18" s="9"/>
      <c r="I18" s="9"/>
      <c r="J18" s="9"/>
      <c r="K18" s="9"/>
      <c r="AI18" s="9"/>
      <c r="AJ18" s="8"/>
      <c r="AK18" s="9"/>
      <c r="AL18" s="9"/>
      <c r="AM18" s="9"/>
      <c r="AN18" s="9"/>
      <c r="AO18" s="9"/>
      <c r="AP18" s="9"/>
      <c r="AQ18" s="9"/>
      <c r="AR18" s="9"/>
      <c r="AS18" s="9"/>
      <c r="AU18" s="2" t="s">
        <v>108</v>
      </c>
      <c r="AV18" s="25">
        <v>0.08</v>
      </c>
    </row>
    <row r="19" spans="2:48" x14ac:dyDescent="0.25">
      <c r="C19" s="1" t="s">
        <v>43</v>
      </c>
      <c r="D19" s="10"/>
      <c r="E19" s="10"/>
      <c r="F19" s="10"/>
      <c r="G19" s="10"/>
      <c r="H19" s="21">
        <f t="shared" ref="H19:T20" si="33">(H4-D4)/D4</f>
        <v>-0.10362852068003048</v>
      </c>
      <c r="I19" s="21">
        <f t="shared" si="33"/>
        <v>6.9374353985529214E-2</v>
      </c>
      <c r="J19" s="21">
        <f t="shared" si="33"/>
        <v>2.6037214807022098E-2</v>
      </c>
      <c r="K19" s="21">
        <f t="shared" si="33"/>
        <v>-7.5472654468042008E-2</v>
      </c>
      <c r="L19" s="21">
        <f t="shared" si="33"/>
        <v>0</v>
      </c>
      <c r="M19" s="21">
        <f t="shared" si="33"/>
        <v>-4.4064134637252672E-2</v>
      </c>
      <c r="N19" s="21">
        <f t="shared" si="33"/>
        <v>-0.15027234860621597</v>
      </c>
      <c r="O19" s="21">
        <f t="shared" si="33"/>
        <v>-9.983552631578943E-2</v>
      </c>
      <c r="P19" s="21">
        <f t="shared" si="33"/>
        <v>-9.7775009907716717E-2</v>
      </c>
      <c r="Q19" s="21">
        <f t="shared" si="33"/>
        <v>-0.11348361387021945</v>
      </c>
      <c r="R19" s="21">
        <f t="shared" si="33"/>
        <v>-6.5761689291101086E-2</v>
      </c>
      <c r="S19" s="21">
        <f t="shared" si="33"/>
        <v>-9.1296668493818192E-2</v>
      </c>
      <c r="T19" s="21">
        <f t="shared" si="33"/>
        <v>-9.0110441767068228E-2</v>
      </c>
      <c r="Y19" s="21"/>
      <c r="Z19" s="21">
        <f t="shared" ref="Z19:AS19" si="34">(Z4-Y4)/Y4</f>
        <v>8.7990134529147918E-2</v>
      </c>
      <c r="AA19" s="21">
        <f t="shared" si="34"/>
        <v>0.12665102641230111</v>
      </c>
      <c r="AB19" s="21">
        <f t="shared" si="34"/>
        <v>0.12796885752008133</v>
      </c>
      <c r="AC19" s="21">
        <f t="shared" si="34"/>
        <v>8.1631911741430585E-2</v>
      </c>
      <c r="AD19" s="21">
        <f t="shared" si="34"/>
        <v>1.3193403298350824E-2</v>
      </c>
      <c r="AE19" s="21">
        <f t="shared" si="34"/>
        <v>0.4240423202130808</v>
      </c>
      <c r="AF19" s="21">
        <f t="shared" si="34"/>
        <v>0.42019423343133472</v>
      </c>
      <c r="AG19" s="21">
        <f t="shared" si="34"/>
        <v>4.098396399280857E-2</v>
      </c>
      <c r="AH19" s="21">
        <f t="shared" si="34"/>
        <v>-9.8129556272157581E-2</v>
      </c>
      <c r="AI19" s="21">
        <f t="shared" si="34"/>
        <v>-9.3635905672046715E-2</v>
      </c>
      <c r="AJ19" s="23">
        <f t="shared" si="34"/>
        <v>-6.9999999999999882E-2</v>
      </c>
      <c r="AK19" s="21">
        <f t="shared" si="34"/>
        <v>0.05</v>
      </c>
      <c r="AL19" s="21">
        <f t="shared" si="34"/>
        <v>4.9999999999999989E-2</v>
      </c>
      <c r="AM19" s="21">
        <f t="shared" si="34"/>
        <v>0.05</v>
      </c>
      <c r="AN19" s="21">
        <f t="shared" si="34"/>
        <v>5.00000000000001E-2</v>
      </c>
      <c r="AO19" s="21">
        <f t="shared" si="34"/>
        <v>5.0000000000000072E-2</v>
      </c>
      <c r="AP19" s="21">
        <f t="shared" si="34"/>
        <v>5.0000000000000037E-2</v>
      </c>
      <c r="AQ19" s="21">
        <f t="shared" si="34"/>
        <v>5.000000000000001E-2</v>
      </c>
      <c r="AR19" s="21">
        <f t="shared" si="34"/>
        <v>5.0000000000000051E-2</v>
      </c>
      <c r="AS19" s="21">
        <f t="shared" si="34"/>
        <v>5.0000000000000037E-2</v>
      </c>
      <c r="AU19" s="2" t="s">
        <v>109</v>
      </c>
      <c r="AV19" s="25">
        <v>-0.01</v>
      </c>
    </row>
    <row r="20" spans="2:48" x14ac:dyDescent="0.25">
      <c r="C20" s="1" t="s">
        <v>95</v>
      </c>
      <c r="D20" s="10"/>
      <c r="E20" s="10"/>
      <c r="F20" s="10"/>
      <c r="G20" s="10"/>
      <c r="H20" s="21">
        <f t="shared" si="33"/>
        <v>-8.1794500723588973E-2</v>
      </c>
      <c r="I20" s="21">
        <f t="shared" si="33"/>
        <v>0.1109527687296417</v>
      </c>
      <c r="J20" s="21">
        <f t="shared" si="33"/>
        <v>3.4364014635196109E-2</v>
      </c>
      <c r="K20" s="21">
        <f t="shared" si="33"/>
        <v>-6.8241469816272923E-2</v>
      </c>
      <c r="L20" s="21">
        <f t="shared" si="33"/>
        <v>0</v>
      </c>
      <c r="M20" s="21">
        <f t="shared" si="33"/>
        <v>-4.0009773379756891E-2</v>
      </c>
      <c r="N20" s="21">
        <f t="shared" si="33"/>
        <v>-0.15050631155500069</v>
      </c>
      <c r="O20" s="21">
        <f t="shared" si="33"/>
        <v>-8.6037966932026949E-2</v>
      </c>
      <c r="P20" s="21">
        <f t="shared" si="33"/>
        <v>-8.8387340814525303E-2</v>
      </c>
      <c r="Q20" s="21">
        <f t="shared" si="33"/>
        <v>-0.1112878595062356</v>
      </c>
      <c r="R20" s="21">
        <f t="shared" si="33"/>
        <v>-8.6381450032658361E-2</v>
      </c>
      <c r="S20" s="21">
        <f t="shared" si="33"/>
        <v>-0.10613065326633173</v>
      </c>
      <c r="T20" s="21">
        <f t="shared" si="33"/>
        <v>-8.423236514522818E-2</v>
      </c>
      <c r="Y20" s="21"/>
      <c r="Z20" s="21">
        <f t="shared" ref="Z20:AS20" si="35">(Z5-Y5)/Y5</f>
        <v>7.2433744815504575E-2</v>
      </c>
      <c r="AA20" s="21">
        <f t="shared" si="35"/>
        <v>0.10784820996580521</v>
      </c>
      <c r="AB20" s="21">
        <f t="shared" si="35"/>
        <v>0.12920060093302763</v>
      </c>
      <c r="AC20" s="21">
        <f t="shared" si="35"/>
        <v>6.7986269665880922E-2</v>
      </c>
      <c r="AD20" s="21">
        <f t="shared" si="35"/>
        <v>9.6490068857415963E-3</v>
      </c>
      <c r="AE20" s="21">
        <f t="shared" si="35"/>
        <v>0.43012467606229032</v>
      </c>
      <c r="AF20" s="21">
        <f t="shared" si="35"/>
        <v>0.4324610468473038</v>
      </c>
      <c r="AG20" s="21">
        <f t="shared" si="35"/>
        <v>5.7641499238397599E-2</v>
      </c>
      <c r="AH20" s="21">
        <f t="shared" si="35"/>
        <v>-8.7649568820331439E-2</v>
      </c>
      <c r="AI20" s="21">
        <f t="shared" si="35"/>
        <v>-9.8555339612807755E-2</v>
      </c>
      <c r="AJ20" s="23">
        <f t="shared" si="35"/>
        <v>-6.7700462613292905E-2</v>
      </c>
      <c r="AK20" s="21">
        <f t="shared" si="35"/>
        <v>3.5049288061336246E-2</v>
      </c>
      <c r="AL20" s="21">
        <f t="shared" si="35"/>
        <v>4.9999999999999975E-2</v>
      </c>
      <c r="AM20" s="21">
        <f t="shared" si="35"/>
        <v>5.00000000000001E-2</v>
      </c>
      <c r="AN20" s="21">
        <f t="shared" si="35"/>
        <v>0.05</v>
      </c>
      <c r="AO20" s="21">
        <f t="shared" si="35"/>
        <v>5.0000000000000128E-2</v>
      </c>
      <c r="AP20" s="21">
        <f t="shared" si="35"/>
        <v>4.9999999999999947E-2</v>
      </c>
      <c r="AQ20" s="21">
        <f t="shared" si="35"/>
        <v>5.0000000000000058E-2</v>
      </c>
      <c r="AR20" s="21">
        <f t="shared" si="35"/>
        <v>5.0000000000000093E-2</v>
      </c>
      <c r="AS20" s="21">
        <f t="shared" si="35"/>
        <v>4.9999999999999954E-2</v>
      </c>
      <c r="AU20" s="31" t="s">
        <v>110</v>
      </c>
      <c r="AV20" s="32">
        <f>NPV(AV18,AI15:EQ15)</f>
        <v>2925.1885322254584</v>
      </c>
    </row>
    <row r="21" spans="2:48" x14ac:dyDescent="0.25">
      <c r="C21" s="2" t="s">
        <v>138</v>
      </c>
      <c r="D21" s="10">
        <f t="shared" ref="D21:S21" si="36">D6/D4</f>
        <v>0.12331895458005582</v>
      </c>
      <c r="E21" s="10">
        <f t="shared" si="36"/>
        <v>0.10403113029731874</v>
      </c>
      <c r="F21" s="10">
        <f t="shared" si="36"/>
        <v>8.3503188901308437E-2</v>
      </c>
      <c r="G21" s="10">
        <f t="shared" si="36"/>
        <v>0.11166303411222067</v>
      </c>
      <c r="H21" s="10">
        <f t="shared" si="36"/>
        <v>0.10196455868199056</v>
      </c>
      <c r="I21" s="10">
        <f t="shared" si="36"/>
        <v>6.9194905617466482E-2</v>
      </c>
      <c r="J21" s="10">
        <f t="shared" si="36"/>
        <v>7.6065363665491853E-2</v>
      </c>
      <c r="K21" s="10">
        <f t="shared" si="36"/>
        <v>0.10471491228070176</v>
      </c>
      <c r="L21" s="10">
        <f t="shared" si="36"/>
        <v>0.10196455868199056</v>
      </c>
      <c r="M21" s="10">
        <f t="shared" si="36"/>
        <v>6.5247130196871492E-2</v>
      </c>
      <c r="N21" s="10">
        <f t="shared" si="36"/>
        <v>7.6319758672699883E-2</v>
      </c>
      <c r="O21" s="10">
        <f t="shared" si="36"/>
        <v>9.099214324867537E-2</v>
      </c>
      <c r="P21" s="10">
        <f t="shared" si="36"/>
        <v>9.2620481927710788E-2</v>
      </c>
      <c r="Q21" s="10">
        <f t="shared" si="36"/>
        <v>6.2931902046293162E-2</v>
      </c>
      <c r="R21" s="10">
        <f t="shared" si="36"/>
        <v>9.6706490151759736E-2</v>
      </c>
      <c r="S21" s="10">
        <f t="shared" si="36"/>
        <v>0.10583109919571052</v>
      </c>
      <c r="T21" s="10">
        <f>T6/T4</f>
        <v>8.6758620689655147E-2</v>
      </c>
      <c r="Y21" s="10">
        <f>Y6/Y4</f>
        <v>7.872511210762323E-2</v>
      </c>
      <c r="Z21" s="10">
        <f t="shared" ref="Z21:AS21" si="37">Z6/Z4</f>
        <v>9.1897760217754532E-2</v>
      </c>
      <c r="AA21" s="10">
        <f t="shared" si="37"/>
        <v>0.10705318929826625</v>
      </c>
      <c r="AB21" s="10">
        <f t="shared" si="37"/>
        <v>0.10607809025642619</v>
      </c>
      <c r="AC21" s="10">
        <f t="shared" si="37"/>
        <v>0.11735562218890551</v>
      </c>
      <c r="AD21" s="10">
        <f t="shared" si="37"/>
        <v>0.12044332642793727</v>
      </c>
      <c r="AE21" s="10">
        <f t="shared" si="37"/>
        <v>0.11668657243103933</v>
      </c>
      <c r="AF21" s="10">
        <f t="shared" si="37"/>
        <v>0.10905702377583247</v>
      </c>
      <c r="AG21" s="10">
        <f t="shared" si="37"/>
        <v>9.4800402596635719E-2</v>
      </c>
      <c r="AH21" s="10">
        <f t="shared" si="37"/>
        <v>8.4281729445563849E-2</v>
      </c>
      <c r="AI21" s="10">
        <f t="shared" si="37"/>
        <v>8.9251934651762677E-2</v>
      </c>
      <c r="AJ21" s="24">
        <f t="shared" si="37"/>
        <v>8.699999999999998E-2</v>
      </c>
      <c r="AK21" s="10">
        <f t="shared" si="37"/>
        <v>9.9999999999999978E-2</v>
      </c>
      <c r="AL21" s="10">
        <f t="shared" si="37"/>
        <v>0.1</v>
      </c>
      <c r="AM21" s="10">
        <f t="shared" si="37"/>
        <v>9.9999999999999908E-2</v>
      </c>
      <c r="AN21" s="10">
        <f t="shared" si="37"/>
        <v>0.1</v>
      </c>
      <c r="AO21" s="10">
        <f t="shared" si="37"/>
        <v>9.999999999999995E-2</v>
      </c>
      <c r="AP21" s="10">
        <f t="shared" si="37"/>
        <v>0.10000000000000002</v>
      </c>
      <c r="AQ21" s="10">
        <f t="shared" si="37"/>
        <v>9.9999999999999992E-2</v>
      </c>
      <c r="AR21" s="10">
        <f t="shared" si="37"/>
        <v>9.999999999999995E-2</v>
      </c>
      <c r="AS21" s="10">
        <f t="shared" si="37"/>
        <v>0.10000000000000002</v>
      </c>
      <c r="AU21" s="2" t="s">
        <v>2</v>
      </c>
      <c r="AV21" s="33">
        <v>27.306999999999999</v>
      </c>
    </row>
    <row r="22" spans="2:48" x14ac:dyDescent="0.25">
      <c r="C22" s="2" t="s">
        <v>99</v>
      </c>
      <c r="D22" s="10">
        <f t="shared" ref="D22:T22" si="38">D8/D4</f>
        <v>0.10007612281146916</v>
      </c>
      <c r="E22" s="10">
        <f t="shared" si="38"/>
        <v>8.2933057700492585E-2</v>
      </c>
      <c r="F22" s="10">
        <f t="shared" si="38"/>
        <v>5.9175488197777626E-2</v>
      </c>
      <c r="G22" s="10">
        <f t="shared" si="38"/>
        <v>9.0222515079324939E-2</v>
      </c>
      <c r="H22" s="10">
        <f t="shared" si="38"/>
        <v>7.7110343656230484E-2</v>
      </c>
      <c r="I22" s="10">
        <f t="shared" si="38"/>
        <v>4.3552422105981384E-2</v>
      </c>
      <c r="J22" s="10">
        <f t="shared" si="38"/>
        <v>4.7933354694008355E-2</v>
      </c>
      <c r="K22" s="10">
        <f t="shared" si="38"/>
        <v>8.0975877192982451E-2</v>
      </c>
      <c r="L22" s="10">
        <f t="shared" si="38"/>
        <v>7.7110343656230484E-2</v>
      </c>
      <c r="M22" s="10">
        <f t="shared" si="38"/>
        <v>3.9195860346160738E-2</v>
      </c>
      <c r="N22" s="10">
        <f t="shared" si="38"/>
        <v>4.3514328808446488E-2</v>
      </c>
      <c r="O22" s="10">
        <f t="shared" si="38"/>
        <v>6.4924782264449782E-2</v>
      </c>
      <c r="P22" s="10">
        <f t="shared" si="38"/>
        <v>6.5574799196787104E-2</v>
      </c>
      <c r="Q22" s="10">
        <f t="shared" si="38"/>
        <v>3.4350888963435057E-2</v>
      </c>
      <c r="R22" s="10">
        <f t="shared" si="38"/>
        <v>6.2479819179851431E-2</v>
      </c>
      <c r="S22" s="10">
        <f t="shared" si="38"/>
        <v>7.7546916890080489E-2</v>
      </c>
      <c r="T22" s="10">
        <f t="shared" si="38"/>
        <v>5.7862068965517204E-2</v>
      </c>
      <c r="V22" s="12"/>
      <c r="Y22" s="10">
        <f t="shared" ref="Y22:AS22" si="39">Y8/Y4</f>
        <v>6.5899999999999903E-2</v>
      </c>
      <c r="Z22" s="10">
        <f t="shared" si="39"/>
        <v>8.7537063858235301E-2</v>
      </c>
      <c r="AA22" s="10">
        <f t="shared" si="39"/>
        <v>0.10496795135615465</v>
      </c>
      <c r="AB22" s="10">
        <f t="shared" si="39"/>
        <v>0.10413212579752107</v>
      </c>
      <c r="AC22" s="10">
        <f t="shared" si="39"/>
        <v>9.5375412293853046E-2</v>
      </c>
      <c r="AD22" s="10">
        <f t="shared" si="39"/>
        <v>9.86422018348624E-2</v>
      </c>
      <c r="AE22" s="10">
        <f t="shared" si="39"/>
        <v>9.1005746451616493E-2</v>
      </c>
      <c r="AF22" s="10">
        <f t="shared" si="39"/>
        <v>8.7283753303093209E-2</v>
      </c>
      <c r="AG22" s="10">
        <f t="shared" si="39"/>
        <v>6.9778684307446506E-2</v>
      </c>
      <c r="AH22" s="10">
        <f t="shared" si="39"/>
        <v>5.716094657143421E-2</v>
      </c>
      <c r="AI22" s="10">
        <f t="shared" si="39"/>
        <v>6.0017196904557181E-2</v>
      </c>
      <c r="AJ22" s="24">
        <f t="shared" si="39"/>
        <v>5.9651374365517415E-2</v>
      </c>
      <c r="AK22" s="10">
        <f t="shared" si="39"/>
        <v>7.2651374365517413E-2</v>
      </c>
      <c r="AL22" s="10">
        <f t="shared" si="39"/>
        <v>7.3432763669359802E-2</v>
      </c>
      <c r="AM22" s="10">
        <f t="shared" si="39"/>
        <v>7.4191827564520862E-2</v>
      </c>
      <c r="AN22" s="10">
        <f t="shared" si="39"/>
        <v>7.4929203919820345E-2</v>
      </c>
      <c r="AO22" s="10">
        <f t="shared" si="39"/>
        <v>7.5645512379254001E-2</v>
      </c>
      <c r="AP22" s="10">
        <f t="shared" si="39"/>
        <v>7.6341354882703966E-2</v>
      </c>
      <c r="AQ22" s="10">
        <f t="shared" si="39"/>
        <v>7.7017316171769531E-2</v>
      </c>
      <c r="AR22" s="10">
        <f t="shared" si="39"/>
        <v>7.7673964281147506E-2</v>
      </c>
      <c r="AS22" s="10">
        <f t="shared" si="39"/>
        <v>7.831185101597192E-2</v>
      </c>
      <c r="AU22" s="2" t="s">
        <v>111</v>
      </c>
      <c r="AV22" s="19">
        <f>AV20/AV21</f>
        <v>107.12229582984065</v>
      </c>
    </row>
    <row r="23" spans="2:48" x14ac:dyDescent="0.25">
      <c r="C23" s="2" t="s">
        <v>44</v>
      </c>
      <c r="D23" s="10">
        <f t="shared" ref="D23:T23" si="40">D10/D4</f>
        <v>7.8406495813245367E-2</v>
      </c>
      <c r="E23" s="10">
        <f t="shared" si="40"/>
        <v>6.3598224600231137E-2</v>
      </c>
      <c r="F23" s="10">
        <f t="shared" si="40"/>
        <v>3.294102176342955E-2</v>
      </c>
      <c r="G23" s="10">
        <f t="shared" si="40"/>
        <v>6.6703836991231266E-2</v>
      </c>
      <c r="H23" s="10">
        <f t="shared" si="40"/>
        <v>5.3671516729887278E-2</v>
      </c>
      <c r="I23" s="10">
        <f t="shared" si="40"/>
        <v>1.904707755287699E-2</v>
      </c>
      <c r="J23" s="10">
        <f t="shared" si="40"/>
        <v>1.0189041973726396E-2</v>
      </c>
      <c r="K23" s="10">
        <f t="shared" si="40"/>
        <v>5.8059210526315783E-2</v>
      </c>
      <c r="L23" s="10">
        <f t="shared" si="40"/>
        <v>5.3671516729887278E-2</v>
      </c>
      <c r="M23" s="10">
        <f t="shared" si="40"/>
        <v>1.4274668411348392E-2</v>
      </c>
      <c r="N23" s="10">
        <f t="shared" si="40"/>
        <v>1.2141779788838646E-2</v>
      </c>
      <c r="O23" s="10">
        <f t="shared" si="40"/>
        <v>3.9466471770509833E-2</v>
      </c>
      <c r="P23" s="10">
        <f t="shared" si="40"/>
        <v>4.0160642570281076E-2</v>
      </c>
      <c r="Q23" s="10">
        <f t="shared" si="40"/>
        <v>7.4471653807446844E-3</v>
      </c>
      <c r="R23" s="10">
        <f t="shared" si="40"/>
        <v>2.9060381013884366E-2</v>
      </c>
      <c r="S23" s="10">
        <f t="shared" si="40"/>
        <v>-0.21742627345844498</v>
      </c>
      <c r="T23" s="10">
        <f t="shared" si="40"/>
        <v>3.0275862068965483E-2</v>
      </c>
      <c r="Y23" s="10">
        <f t="shared" ref="Y23:AS23" si="41">Y10/Y4</f>
        <v>6.0716143497757752E-2</v>
      </c>
      <c r="Z23" s="10">
        <f t="shared" si="41"/>
        <v>8.2673527275784753E-2</v>
      </c>
      <c r="AA23" s="10">
        <f t="shared" si="41"/>
        <v>0.10068772610655716</v>
      </c>
      <c r="AB23" s="10">
        <f t="shared" si="41"/>
        <v>0.10027262962069258</v>
      </c>
      <c r="AC23" s="10">
        <f t="shared" si="41"/>
        <v>9.3876161919040441E-2</v>
      </c>
      <c r="AD23" s="10">
        <f t="shared" si="41"/>
        <v>9.5475288546907386E-2</v>
      </c>
      <c r="AE23" s="10">
        <f t="shared" si="41"/>
        <v>7.5367858317786585E-2</v>
      </c>
      <c r="AF23" s="10">
        <f t="shared" si="41"/>
        <v>6.5431755877376777E-2</v>
      </c>
      <c r="AG23" s="10">
        <f t="shared" si="41"/>
        <v>4.3556907540533651E-2</v>
      </c>
      <c r="AH23" s="10">
        <f t="shared" si="41"/>
        <v>3.1287096243241559E-2</v>
      </c>
      <c r="AI23" s="10">
        <f t="shared" si="41"/>
        <v>-3.662940670679278E-2</v>
      </c>
      <c r="AJ23" s="24">
        <f t="shared" si="41"/>
        <v>3.0065302009079215E-2</v>
      </c>
      <c r="AK23" s="10">
        <f t="shared" si="41"/>
        <v>4.4474162597481035E-2</v>
      </c>
      <c r="AL23" s="10">
        <f t="shared" si="41"/>
        <v>4.6597323890277528E-2</v>
      </c>
      <c r="AM23" s="10">
        <f t="shared" si="41"/>
        <v>4.863426587015679E-2</v>
      </c>
      <c r="AN23" s="10">
        <f t="shared" si="41"/>
        <v>5.0588668972806949E-2</v>
      </c>
      <c r="AO23" s="10">
        <f t="shared" si="41"/>
        <v>5.2464050524955522E-2</v>
      </c>
      <c r="AP23" s="10">
        <f t="shared" si="41"/>
        <v>5.4263772164324466E-2</v>
      </c>
      <c r="AQ23" s="10">
        <f t="shared" si="41"/>
        <v>5.5991046916170011E-2</v>
      </c>
      <c r="AR23" s="10">
        <f t="shared" si="41"/>
        <v>5.7648945942481301E-2</v>
      </c>
      <c r="AS23" s="10">
        <f t="shared" si="41"/>
        <v>5.9240404979146961E-2</v>
      </c>
      <c r="AU23" s="1" t="s">
        <v>112</v>
      </c>
      <c r="AV23" s="18">
        <f>(AV22-B4)/B4</f>
        <v>0.21591709227968967</v>
      </c>
    </row>
    <row r="24" spans="2:48" x14ac:dyDescent="0.25">
      <c r="C24" s="2" t="s">
        <v>114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W24" s="20"/>
      <c r="X24" s="20"/>
      <c r="Y24" s="20">
        <v>0.11899999999999999</v>
      </c>
      <c r="Z24" s="20">
        <v>0.18099999999999999</v>
      </c>
      <c r="AA24" s="20">
        <v>0.22500000000000001</v>
      </c>
      <c r="AB24" s="20">
        <v>0.22500000000000001</v>
      </c>
      <c r="AC24" s="20">
        <v>0.20599999999999999</v>
      </c>
      <c r="AD24" s="20">
        <v>0.185</v>
      </c>
      <c r="AE24" s="20">
        <v>0.108</v>
      </c>
      <c r="AF24" s="20">
        <v>9.7000000000000003E-2</v>
      </c>
      <c r="AG24" s="20">
        <v>5.8000000000000003E-2</v>
      </c>
      <c r="AH24" s="20">
        <v>2.7E-2</v>
      </c>
      <c r="AI24" s="20">
        <f>AI15/S42</f>
        <v>-7.7715923496665382E-2</v>
      </c>
      <c r="AJ24" s="58"/>
      <c r="AK24" s="20"/>
      <c r="AL24" s="20"/>
      <c r="AM24" s="20"/>
      <c r="AN24" s="20"/>
      <c r="AO24" s="20"/>
      <c r="AP24" s="20"/>
      <c r="AQ24" s="20"/>
      <c r="AR24" s="20"/>
      <c r="AS24" s="20"/>
    </row>
    <row r="25" spans="2:48" x14ac:dyDescent="0.25"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58"/>
      <c r="AK25" s="20"/>
      <c r="AL25" s="20"/>
      <c r="AM25" s="20"/>
      <c r="AN25" s="20"/>
      <c r="AO25" s="20"/>
      <c r="AP25" s="20"/>
      <c r="AQ25" s="20"/>
      <c r="AR25" s="20"/>
      <c r="AS25" s="20"/>
    </row>
    <row r="26" spans="2:48" s="14" customFormat="1" x14ac:dyDescent="0.25">
      <c r="B26" s="15"/>
      <c r="C26" s="14" t="s">
        <v>139</v>
      </c>
      <c r="D26" s="14">
        <v>3645</v>
      </c>
      <c r="E26" s="14">
        <v>3933</v>
      </c>
      <c r="F26" s="14">
        <v>4315</v>
      </c>
      <c r="G26" s="14">
        <v>4410</v>
      </c>
      <c r="H26" s="14">
        <v>4377</v>
      </c>
      <c r="I26" s="14">
        <v>4347</v>
      </c>
      <c r="J26" s="14">
        <v>4383</v>
      </c>
      <c r="K26" s="14">
        <v>4265</v>
      </c>
      <c r="L26" s="14">
        <v>4109</v>
      </c>
      <c r="M26" s="14">
        <v>3997</v>
      </c>
      <c r="N26" s="14">
        <v>3941</v>
      </c>
      <c r="O26" s="14">
        <v>3860</v>
      </c>
      <c r="P26" s="14">
        <v>3772</v>
      </c>
      <c r="Q26" s="14">
        <v>3732</v>
      </c>
      <c r="R26" s="14">
        <v>3774</v>
      </c>
      <c r="S26" s="14">
        <v>3714</v>
      </c>
      <c r="T26" s="14">
        <v>3652</v>
      </c>
      <c r="AJ26" s="15"/>
    </row>
    <row r="27" spans="2:48" s="11" customFormat="1" x14ac:dyDescent="0.25">
      <c r="B27" s="57"/>
      <c r="C27" s="11" t="s">
        <v>140</v>
      </c>
      <c r="D27" s="30"/>
      <c r="E27" s="30"/>
      <c r="F27" s="30"/>
      <c r="G27" s="30"/>
      <c r="H27" s="30">
        <f t="shared" ref="H27:S27" si="42">(H26-D26)/D26</f>
        <v>0.2008230452674897</v>
      </c>
      <c r="I27" s="30">
        <f t="shared" si="42"/>
        <v>0.10526315789473684</v>
      </c>
      <c r="J27" s="30">
        <f t="shared" si="42"/>
        <v>1.5758980301274622E-2</v>
      </c>
      <c r="K27" s="30">
        <f t="shared" si="42"/>
        <v>-3.2879818594104306E-2</v>
      </c>
      <c r="L27" s="30">
        <f t="shared" si="42"/>
        <v>-6.1229152387480008E-2</v>
      </c>
      <c r="M27" s="30">
        <f t="shared" si="42"/>
        <v>-8.0515297906602251E-2</v>
      </c>
      <c r="N27" s="30">
        <f t="shared" si="42"/>
        <v>-0.10084417065936573</v>
      </c>
      <c r="O27" s="30">
        <f t="shared" si="42"/>
        <v>-9.495896834701055E-2</v>
      </c>
      <c r="P27" s="30">
        <f t="shared" si="42"/>
        <v>-8.2015088829398883E-2</v>
      </c>
      <c r="Q27" s="30">
        <f t="shared" si="42"/>
        <v>-6.6299724793595194E-2</v>
      </c>
      <c r="R27" s="30">
        <f t="shared" si="42"/>
        <v>-4.2375031717838109E-2</v>
      </c>
      <c r="S27" s="30">
        <f t="shared" si="42"/>
        <v>-3.7823834196891191E-2</v>
      </c>
      <c r="T27" s="30">
        <f>(T26-P26)/P26</f>
        <v>-3.1813361611876985E-2</v>
      </c>
      <c r="U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59"/>
      <c r="AK27" s="30"/>
      <c r="AL27" s="30"/>
      <c r="AM27" s="30"/>
      <c r="AN27" s="30"/>
      <c r="AO27" s="30"/>
      <c r="AP27" s="30"/>
      <c r="AQ27" s="30"/>
      <c r="AR27" s="30"/>
      <c r="AS27" s="30"/>
    </row>
    <row r="28" spans="2:48" s="11" customFormat="1" x14ac:dyDescent="0.25">
      <c r="B28" s="57"/>
      <c r="C28" s="11" t="s">
        <v>141</v>
      </c>
      <c r="D28" s="30"/>
      <c r="E28" s="30">
        <f t="shared" ref="E28:S28" si="43">(E26-D26)/D26</f>
        <v>7.9012345679012344E-2</v>
      </c>
      <c r="F28" s="30">
        <f t="shared" si="43"/>
        <v>9.7126875158911774E-2</v>
      </c>
      <c r="G28" s="30">
        <f t="shared" si="43"/>
        <v>2.20162224797219E-2</v>
      </c>
      <c r="H28" s="30">
        <f t="shared" si="43"/>
        <v>-7.4829931972789114E-3</v>
      </c>
      <c r="I28" s="30">
        <f t="shared" si="43"/>
        <v>-6.8540095956134339E-3</v>
      </c>
      <c r="J28" s="30">
        <f t="shared" si="43"/>
        <v>8.2815734989648039E-3</v>
      </c>
      <c r="K28" s="30">
        <f t="shared" si="43"/>
        <v>-2.6922199406798995E-2</v>
      </c>
      <c r="L28" s="30">
        <f t="shared" si="43"/>
        <v>-3.6576787807737397E-2</v>
      </c>
      <c r="M28" s="30">
        <f t="shared" si="43"/>
        <v>-2.7257240204429302E-2</v>
      </c>
      <c r="N28" s="30">
        <f t="shared" si="43"/>
        <v>-1.4010507880910683E-2</v>
      </c>
      <c r="O28" s="30">
        <f t="shared" si="43"/>
        <v>-2.0553159096675971E-2</v>
      </c>
      <c r="P28" s="30">
        <f t="shared" si="43"/>
        <v>-2.2797927461139896E-2</v>
      </c>
      <c r="Q28" s="30">
        <f t="shared" si="43"/>
        <v>-1.0604453870625663E-2</v>
      </c>
      <c r="R28" s="30">
        <f t="shared" si="43"/>
        <v>1.1254019292604502E-2</v>
      </c>
      <c r="S28" s="30">
        <f t="shared" si="43"/>
        <v>-1.5898251192368838E-2</v>
      </c>
      <c r="T28" s="30">
        <f>(T26-S26)/S26</f>
        <v>-1.6693591814754979E-2</v>
      </c>
      <c r="U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59"/>
      <c r="AK28" s="30"/>
      <c r="AL28" s="30"/>
      <c r="AM28" s="30"/>
      <c r="AN28" s="30"/>
      <c r="AO28" s="30"/>
      <c r="AP28" s="30"/>
      <c r="AQ28" s="30"/>
      <c r="AR28" s="30"/>
      <c r="AS28" s="30"/>
    </row>
    <row r="29" spans="2:48" x14ac:dyDescent="0.25"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s">
        <v>142</v>
      </c>
      <c r="U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58"/>
      <c r="AK29" s="20"/>
      <c r="AL29" s="20"/>
      <c r="AM29" s="20"/>
      <c r="AN29" s="20"/>
      <c r="AO29" s="20"/>
      <c r="AP29" s="20"/>
      <c r="AQ29" s="20"/>
      <c r="AR29" s="20"/>
      <c r="AS29" s="20"/>
    </row>
    <row r="30" spans="2:48" x14ac:dyDescent="0.25">
      <c r="C30" s="1" t="s">
        <v>45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AC30" s="18"/>
      <c r="AD30" s="18"/>
      <c r="AE30" s="18"/>
      <c r="AF30" s="18"/>
      <c r="AG30" s="18"/>
      <c r="AH30" s="18"/>
    </row>
    <row r="31" spans="2:48" x14ac:dyDescent="0.25">
      <c r="C31" s="2" t="s">
        <v>60</v>
      </c>
      <c r="D31" s="14">
        <v>4585.1000000000004</v>
      </c>
      <c r="E31" s="14">
        <v>4066.5</v>
      </c>
      <c r="F31" s="14">
        <v>4379.2</v>
      </c>
      <c r="G31" s="14">
        <v>4629.7</v>
      </c>
      <c r="H31" s="14">
        <v>4443.1000000000004</v>
      </c>
      <c r="I31" s="14">
        <v>4626.3</v>
      </c>
      <c r="J31" s="14">
        <v>4528.6000000000004</v>
      </c>
      <c r="K31" s="14">
        <v>4438</v>
      </c>
      <c r="L31" s="14">
        <v>4443.1000000000004</v>
      </c>
      <c r="M31" s="14">
        <v>4390.3999999999996</v>
      </c>
      <c r="N31" s="14">
        <v>4330.2</v>
      </c>
      <c r="O31" s="14">
        <v>4313.1000000000004</v>
      </c>
      <c r="P31" s="14">
        <v>4201.1000000000004</v>
      </c>
      <c r="Q31" s="14">
        <v>4070</v>
      </c>
      <c r="R31" s="14">
        <v>4172.3999999999996</v>
      </c>
      <c r="S31" s="14">
        <v>3705.1</v>
      </c>
      <c r="T31" s="14">
        <v>3702.7</v>
      </c>
      <c r="U31" s="14"/>
      <c r="V31" s="14"/>
      <c r="W31" s="14"/>
      <c r="X31" s="14"/>
      <c r="Y31" s="14">
        <v>898.59199999999998</v>
      </c>
      <c r="Z31" s="14">
        <v>915.72400000000005</v>
      </c>
      <c r="AA31" s="14">
        <v>921.44299999999998</v>
      </c>
      <c r="AB31" s="14">
        <v>962.98699999999997</v>
      </c>
      <c r="AC31" s="14">
        <v>983.38300000000004</v>
      </c>
      <c r="AD31" s="14">
        <v>1380.683</v>
      </c>
      <c r="AE31" s="14">
        <v>3839.52</v>
      </c>
      <c r="AF31" s="14">
        <v>4629.7</v>
      </c>
      <c r="AG31" s="14">
        <v>4438</v>
      </c>
      <c r="AH31" s="14">
        <v>4313.1000000000004</v>
      </c>
      <c r="AI31" s="14">
        <v>3705.1</v>
      </c>
    </row>
    <row r="32" spans="2:48" x14ac:dyDescent="0.25">
      <c r="C32" s="2" t="s">
        <v>61</v>
      </c>
      <c r="D32" s="14">
        <v>717.1</v>
      </c>
      <c r="E32" s="14">
        <v>500</v>
      </c>
      <c r="F32" s="14">
        <v>504.8</v>
      </c>
      <c r="G32" s="14">
        <v>723.9</v>
      </c>
      <c r="H32" s="14">
        <v>605.20000000000005</v>
      </c>
      <c r="I32" s="14">
        <v>680.5</v>
      </c>
      <c r="J32" s="14">
        <v>652.6</v>
      </c>
      <c r="K32" s="14">
        <v>619.1</v>
      </c>
      <c r="L32" s="14">
        <v>601.79999999999995</v>
      </c>
      <c r="M32" s="14">
        <v>594</v>
      </c>
      <c r="N32" s="14">
        <v>578.1</v>
      </c>
      <c r="O32" s="14">
        <v>546.6</v>
      </c>
      <c r="P32" s="14">
        <v>515.4</v>
      </c>
      <c r="Q32" s="14">
        <f>488.2+189</f>
        <v>677.2</v>
      </c>
      <c r="R32" s="14">
        <v>458.5</v>
      </c>
      <c r="S32" s="14">
        <v>461.5</v>
      </c>
      <c r="T32" s="14">
        <v>451.2</v>
      </c>
      <c r="U32" s="14"/>
      <c r="V32" s="14"/>
      <c r="W32" s="14"/>
      <c r="X32" s="14"/>
      <c r="Y32" s="14">
        <v>43.32</v>
      </c>
      <c r="Z32" s="14">
        <v>42.307000000000002</v>
      </c>
      <c r="AA32" s="14">
        <v>41.433</v>
      </c>
      <c r="AB32" s="14">
        <v>42.523000000000003</v>
      </c>
      <c r="AC32" s="14">
        <v>234.29400000000001</v>
      </c>
      <c r="AD32" s="14">
        <v>232.31800000000001</v>
      </c>
      <c r="AE32" s="14">
        <v>290.70999999999998</v>
      </c>
      <c r="AF32" s="14">
        <v>723.9</v>
      </c>
      <c r="AG32" s="14">
        <v>619.1</v>
      </c>
      <c r="AH32" s="14">
        <v>546.6</v>
      </c>
      <c r="AI32" s="14">
        <v>461.5</v>
      </c>
    </row>
    <row r="33" spans="3:35" x14ac:dyDescent="0.25">
      <c r="C33" s="2" t="s">
        <v>62</v>
      </c>
      <c r="D33" s="14">
        <v>10.3</v>
      </c>
      <c r="E33" s="14">
        <v>6.7</v>
      </c>
      <c r="F33" s="14">
        <v>10.8</v>
      </c>
      <c r="G33" s="14">
        <v>11.4</v>
      </c>
      <c r="H33" s="14">
        <v>3.8</v>
      </c>
      <c r="I33" s="14">
        <v>10.4</v>
      </c>
      <c r="J33" s="14">
        <v>9.3000000000000007</v>
      </c>
      <c r="K33" s="14">
        <v>7.2</v>
      </c>
      <c r="L33" s="14">
        <v>7.2</v>
      </c>
      <c r="M33" s="14">
        <v>3.8</v>
      </c>
      <c r="N33" s="14">
        <v>3.7</v>
      </c>
      <c r="O33" s="14">
        <v>7</v>
      </c>
      <c r="P33" s="14">
        <v>6.9</v>
      </c>
      <c r="Q33" s="14">
        <v>6.9</v>
      </c>
      <c r="R33" s="14">
        <v>6.9</v>
      </c>
      <c r="S33" s="14">
        <v>6.5</v>
      </c>
      <c r="T33" s="14">
        <v>6.3</v>
      </c>
      <c r="U33" s="14"/>
      <c r="V33" s="14"/>
      <c r="W33" s="14"/>
      <c r="X33" s="14"/>
      <c r="Y33" s="14">
        <v>1.84</v>
      </c>
      <c r="Z33" s="14">
        <v>5.5510000000000002</v>
      </c>
      <c r="AA33" s="14">
        <v>5.7110000000000003</v>
      </c>
      <c r="AB33" s="14">
        <v>5.9660000000000002</v>
      </c>
      <c r="AC33" s="14">
        <v>9.0009999999999994</v>
      </c>
      <c r="AD33" s="14">
        <v>15.127000000000001</v>
      </c>
      <c r="AE33" s="14">
        <v>17.027999999999999</v>
      </c>
      <c r="AF33" s="14">
        <v>11.4</v>
      </c>
      <c r="AG33" s="14">
        <v>7.2</v>
      </c>
      <c r="AH33" s="14">
        <v>7</v>
      </c>
      <c r="AI33" s="14">
        <v>6.5</v>
      </c>
    </row>
    <row r="34" spans="3:35" x14ac:dyDescent="0.25">
      <c r="C34" s="2" t="s">
        <v>63</v>
      </c>
      <c r="D34" s="14">
        <v>108.1</v>
      </c>
      <c r="E34" s="14">
        <v>96.8</v>
      </c>
      <c r="F34" s="14">
        <v>105</v>
      </c>
      <c r="G34" s="14">
        <v>106.5</v>
      </c>
      <c r="H34" s="14">
        <v>101.7</v>
      </c>
      <c r="I34" s="14">
        <v>112.9</v>
      </c>
      <c r="J34" s="14">
        <v>100.6</v>
      </c>
      <c r="K34" s="14">
        <v>99.8</v>
      </c>
      <c r="L34" s="14">
        <v>101.7</v>
      </c>
      <c r="M34" s="14">
        <v>110.2</v>
      </c>
      <c r="N34" s="14">
        <v>111.8</v>
      </c>
      <c r="O34" s="14">
        <v>111.2</v>
      </c>
      <c r="P34" s="14">
        <v>111</v>
      </c>
      <c r="Q34" s="14">
        <v>108.7</v>
      </c>
      <c r="R34" s="14">
        <v>106.2</v>
      </c>
      <c r="S34" s="14">
        <v>102.3</v>
      </c>
      <c r="T34" s="14">
        <v>98.9</v>
      </c>
      <c r="U34" s="12"/>
      <c r="V34" s="12"/>
      <c r="X34" s="12"/>
      <c r="Y34" s="12">
        <v>7.5819999999999999</v>
      </c>
      <c r="Z34" s="14">
        <v>5.7329999999999997</v>
      </c>
      <c r="AA34" s="12">
        <v>4.6980000000000004</v>
      </c>
      <c r="AB34" s="12">
        <v>2.5550000000000002</v>
      </c>
      <c r="AC34" s="14">
        <v>2.6339999999999999</v>
      </c>
      <c r="AD34" s="14">
        <v>17.911000000000001</v>
      </c>
      <c r="AE34" s="14">
        <v>96.763000000000005</v>
      </c>
      <c r="AF34" s="14">
        <v>106.5</v>
      </c>
      <c r="AG34" s="14">
        <v>99.8</v>
      </c>
      <c r="AH34" s="14">
        <v>111.2</v>
      </c>
      <c r="AI34" s="14">
        <v>102.3</v>
      </c>
    </row>
    <row r="35" spans="3:35" x14ac:dyDescent="0.25">
      <c r="C35" s="2" t="s">
        <v>64</v>
      </c>
      <c r="D35" s="14">
        <v>1682.6</v>
      </c>
      <c r="E35" s="14">
        <v>1470.5</v>
      </c>
      <c r="F35" s="14">
        <v>1586.2</v>
      </c>
      <c r="G35" s="14">
        <v>1636.5</v>
      </c>
      <c r="H35" s="14">
        <v>1847.1</v>
      </c>
      <c r="I35" s="14">
        <v>1693.6</v>
      </c>
      <c r="J35" s="14">
        <v>1853.4</v>
      </c>
      <c r="K35" s="14">
        <v>1734.4</v>
      </c>
      <c r="L35" s="14">
        <v>1847.1</v>
      </c>
      <c r="M35" s="14">
        <v>1836.4</v>
      </c>
      <c r="N35" s="14">
        <v>1488</v>
      </c>
      <c r="O35" s="14">
        <v>1433.6</v>
      </c>
      <c r="P35" s="14">
        <v>1521</v>
      </c>
      <c r="Q35" s="14">
        <v>1397.9</v>
      </c>
      <c r="R35" s="14">
        <v>1472.4</v>
      </c>
      <c r="S35" s="14">
        <v>1367.8</v>
      </c>
      <c r="T35" s="14">
        <v>1440.5</v>
      </c>
      <c r="U35" s="14"/>
      <c r="V35" s="14"/>
      <c r="X35" s="14"/>
      <c r="Y35" s="14">
        <v>517.255</v>
      </c>
      <c r="Z35" s="14">
        <v>597.51900000000001</v>
      </c>
      <c r="AA35" s="14">
        <v>715.56500000000005</v>
      </c>
      <c r="AB35" s="14">
        <v>713.96699999999998</v>
      </c>
      <c r="AC35" s="14">
        <v>718.51</v>
      </c>
      <c r="AD35" s="14">
        <v>738.96299999999997</v>
      </c>
      <c r="AE35" s="14">
        <v>1239.9939999999999</v>
      </c>
      <c r="AF35" s="14">
        <v>1636.5</v>
      </c>
      <c r="AG35" s="14">
        <v>1734.4</v>
      </c>
      <c r="AH35" s="14">
        <v>1433.6</v>
      </c>
      <c r="AI35" s="14">
        <v>1367.8</v>
      </c>
    </row>
    <row r="36" spans="3:35" x14ac:dyDescent="0.25">
      <c r="C36" s="2" t="s">
        <v>65</v>
      </c>
      <c r="D36" s="14">
        <v>444.6</v>
      </c>
      <c r="E36" s="14">
        <v>715.9</v>
      </c>
      <c r="F36" s="14">
        <v>638.5</v>
      </c>
      <c r="G36" s="14">
        <v>497.6</v>
      </c>
      <c r="H36" s="14">
        <v>193.4</v>
      </c>
      <c r="I36" s="14">
        <v>365.1</v>
      </c>
      <c r="J36" s="14">
        <v>101.9</v>
      </c>
      <c r="K36" s="14">
        <v>127.6</v>
      </c>
      <c r="L36" s="14">
        <v>193.4</v>
      </c>
      <c r="M36" s="14">
        <v>139.1</v>
      </c>
      <c r="N36" s="14">
        <v>358.4</v>
      </c>
      <c r="O36" s="14">
        <v>397.8</v>
      </c>
      <c r="P36" s="14">
        <v>362.7</v>
      </c>
      <c r="Q36" s="14">
        <v>240.9</v>
      </c>
      <c r="R36" s="14">
        <v>211.5</v>
      </c>
      <c r="S36" s="14">
        <v>325.7</v>
      </c>
      <c r="T36" s="14">
        <v>409.8</v>
      </c>
      <c r="U36" s="14"/>
      <c r="V36" s="14"/>
      <c r="X36" s="14"/>
      <c r="Y36" s="14">
        <v>6.6689999999999996</v>
      </c>
      <c r="Z36" s="14">
        <v>44.81</v>
      </c>
      <c r="AA36" s="14">
        <v>105.167</v>
      </c>
      <c r="AB36" s="14">
        <v>194.60900000000001</v>
      </c>
      <c r="AC36" s="14">
        <v>278.37200000000001</v>
      </c>
      <c r="AD36" s="14">
        <v>675.55499999999995</v>
      </c>
      <c r="AE36" s="14">
        <v>851.38099999999997</v>
      </c>
      <c r="AF36" s="14">
        <v>497.6</v>
      </c>
      <c r="AG36" s="14">
        <v>127.6</v>
      </c>
      <c r="AH36" s="14">
        <v>397.8</v>
      </c>
      <c r="AI36" s="14">
        <v>325.7</v>
      </c>
    </row>
    <row r="37" spans="3:35" x14ac:dyDescent="0.25">
      <c r="C37" s="1" t="s">
        <v>66</v>
      </c>
      <c r="D37" s="12">
        <f t="shared" ref="D37:O37" si="44">SUM(D31:D36)</f>
        <v>7547.8000000000011</v>
      </c>
      <c r="E37" s="12">
        <f t="shared" si="44"/>
        <v>6856.4</v>
      </c>
      <c r="F37" s="12">
        <f t="shared" si="44"/>
        <v>7224.5</v>
      </c>
      <c r="G37" s="12">
        <f t="shared" si="44"/>
        <v>7605.5999999999995</v>
      </c>
      <c r="H37" s="12">
        <f t="shared" si="44"/>
        <v>7194.2999999999993</v>
      </c>
      <c r="I37" s="12">
        <f t="shared" si="44"/>
        <v>7488.7999999999993</v>
      </c>
      <c r="J37" s="12">
        <f t="shared" si="44"/>
        <v>7246.4000000000015</v>
      </c>
      <c r="K37" s="12">
        <f t="shared" si="44"/>
        <v>7026.1</v>
      </c>
      <c r="L37" s="12">
        <f t="shared" si="44"/>
        <v>7194.2999999999993</v>
      </c>
      <c r="M37" s="12">
        <f t="shared" si="44"/>
        <v>7073.9</v>
      </c>
      <c r="N37" s="12">
        <f t="shared" si="44"/>
        <v>6870.2</v>
      </c>
      <c r="O37" s="12">
        <f t="shared" si="44"/>
        <v>6809.3</v>
      </c>
      <c r="P37" s="12">
        <f>SUM(P31:P36)</f>
        <v>6718.0999999999995</v>
      </c>
      <c r="Q37" s="12">
        <f>SUM(Q31:Q36)</f>
        <v>6501.5999999999985</v>
      </c>
      <c r="R37" s="12">
        <f t="shared" ref="R37:T37" si="45">SUM(R31:R36)</f>
        <v>6427.9</v>
      </c>
      <c r="S37" s="12">
        <f t="shared" si="45"/>
        <v>5968.9000000000005</v>
      </c>
      <c r="T37" s="12">
        <f t="shared" si="45"/>
        <v>6109.4</v>
      </c>
      <c r="U37" s="14"/>
      <c r="V37" s="14"/>
      <c r="X37" s="14"/>
      <c r="Y37" s="12">
        <f t="shared" ref="Y37:AA37" si="46">SUM(Y31:Y36)</f>
        <v>1475.258</v>
      </c>
      <c r="Z37" s="12">
        <f t="shared" si="46"/>
        <v>1611.644</v>
      </c>
      <c r="AA37" s="12">
        <f t="shared" si="46"/>
        <v>1794.0169999999998</v>
      </c>
      <c r="AB37" s="12">
        <f t="shared" ref="AB37:AE37" si="47">SUM(AB31:AB36)</f>
        <v>1922.607</v>
      </c>
      <c r="AC37" s="12">
        <f t="shared" si="47"/>
        <v>2226.194</v>
      </c>
      <c r="AD37" s="12">
        <f t="shared" si="47"/>
        <v>3060.5569999999998</v>
      </c>
      <c r="AE37" s="12">
        <f t="shared" si="47"/>
        <v>6335.3959999999997</v>
      </c>
      <c r="AF37" s="12">
        <f t="shared" ref="AF37" si="48">SUM(AF31:AF36)</f>
        <v>7605.5999999999995</v>
      </c>
      <c r="AG37" s="12">
        <f t="shared" ref="AG37" si="49">SUM(AG31:AG36)</f>
        <v>7026.1</v>
      </c>
      <c r="AH37" s="12">
        <f t="shared" ref="AH37" si="50">SUM(AH31:AH36)</f>
        <v>6809.3</v>
      </c>
      <c r="AI37" s="12">
        <f t="shared" ref="AI37" si="51">SUM(AI31:AI36)</f>
        <v>5968.9000000000005</v>
      </c>
    </row>
    <row r="38" spans="3:35" x14ac:dyDescent="0.25">
      <c r="C38" s="2" t="s">
        <v>67</v>
      </c>
      <c r="D38" s="14">
        <v>27.4</v>
      </c>
      <c r="E38" s="14">
        <v>27.4</v>
      </c>
      <c r="F38" s="14">
        <v>27.4</v>
      </c>
      <c r="G38" s="14">
        <v>27.4</v>
      </c>
      <c r="H38" s="14">
        <v>27.4</v>
      </c>
      <c r="I38" s="14">
        <v>27.4</v>
      </c>
      <c r="J38" s="14">
        <v>27.4</v>
      </c>
      <c r="K38" s="14">
        <v>27.4</v>
      </c>
      <c r="L38" s="14">
        <v>27.4</v>
      </c>
      <c r="M38" s="14">
        <v>27.4</v>
      </c>
      <c r="N38" s="14">
        <v>27.4</v>
      </c>
      <c r="O38" s="14">
        <v>27.4</v>
      </c>
      <c r="P38" s="14">
        <v>27.4</v>
      </c>
      <c r="Q38" s="14">
        <v>27.4</v>
      </c>
      <c r="R38" s="14">
        <v>27.4</v>
      </c>
      <c r="S38" s="14">
        <v>27.4</v>
      </c>
      <c r="T38" s="14">
        <v>27.4</v>
      </c>
      <c r="U38" s="14"/>
      <c r="V38" s="14"/>
      <c r="X38" s="14"/>
      <c r="Y38" s="14">
        <v>18.388999999999999</v>
      </c>
      <c r="Z38" s="14">
        <v>18.914000000000001</v>
      </c>
      <c r="AA38" s="14">
        <v>19.138999999999999</v>
      </c>
      <c r="AB38" s="14">
        <v>19.254000000000001</v>
      </c>
      <c r="AC38" s="14">
        <v>19.254000000000001</v>
      </c>
      <c r="AD38" s="14">
        <v>19.652000000000001</v>
      </c>
      <c r="AE38" s="14">
        <v>27.408999999999999</v>
      </c>
      <c r="AF38" s="14">
        <v>27.4</v>
      </c>
      <c r="AG38" s="14">
        <v>27.4</v>
      </c>
      <c r="AH38" s="14">
        <v>27.4</v>
      </c>
      <c r="AI38" s="14">
        <v>27.4</v>
      </c>
    </row>
    <row r="39" spans="3:35" x14ac:dyDescent="0.25">
      <c r="C39" s="2" t="s">
        <v>68</v>
      </c>
      <c r="D39" s="14">
        <v>2945.1</v>
      </c>
      <c r="E39" s="14">
        <v>2888.6</v>
      </c>
      <c r="F39" s="14">
        <v>2920.5</v>
      </c>
      <c r="G39" s="14">
        <v>2971.4</v>
      </c>
      <c r="H39" s="14">
        <v>2981.1</v>
      </c>
      <c r="I39" s="14">
        <v>3046.2</v>
      </c>
      <c r="J39" s="14">
        <v>2998.1</v>
      </c>
      <c r="K39" s="14">
        <v>2918.3</v>
      </c>
      <c r="L39" s="14">
        <v>2981.1</v>
      </c>
      <c r="M39" s="14">
        <v>2963.4</v>
      </c>
      <c r="N39" s="14">
        <v>2922.9</v>
      </c>
      <c r="O39" s="14">
        <v>2962.1</v>
      </c>
      <c r="P39" s="14">
        <v>2870.9</v>
      </c>
      <c r="Q39" s="14">
        <v>2900.3</v>
      </c>
      <c r="R39" s="14">
        <v>2885.8</v>
      </c>
      <c r="S39" s="14">
        <v>2820.8</v>
      </c>
      <c r="T39" s="14">
        <v>2883</v>
      </c>
      <c r="U39" s="14"/>
      <c r="V39" s="14"/>
      <c r="X39" s="14"/>
      <c r="Y39" s="14">
        <v>440.90800000000002</v>
      </c>
      <c r="Z39" s="14">
        <v>512.197</v>
      </c>
      <c r="AA39" s="14">
        <v>530.351</v>
      </c>
      <c r="AB39" s="14">
        <v>558.83900000000006</v>
      </c>
      <c r="AC39" s="14">
        <v>574.45399999999995</v>
      </c>
      <c r="AD39" s="14">
        <v>632.16099999999994</v>
      </c>
      <c r="AE39" s="14">
        <v>2831.8870000000002</v>
      </c>
      <c r="AF39" s="14">
        <v>2971.4</v>
      </c>
      <c r="AG39" s="14">
        <v>2918.3</v>
      </c>
      <c r="AH39" s="14">
        <v>2962.1</v>
      </c>
      <c r="AI39" s="14">
        <v>2820.8</v>
      </c>
    </row>
    <row r="40" spans="3:35" x14ac:dyDescent="0.25">
      <c r="C40" s="2" t="s">
        <v>69</v>
      </c>
      <c r="D40" s="14">
        <v>1286.5999999999999</v>
      </c>
      <c r="E40" s="14">
        <v>1167.5999999999999</v>
      </c>
      <c r="F40" s="14">
        <v>1181.5</v>
      </c>
      <c r="G40" s="14">
        <v>1187.7</v>
      </c>
      <c r="H40" s="14">
        <v>1264.5</v>
      </c>
      <c r="I40" s="14">
        <v>1200.5999999999999</v>
      </c>
      <c r="J40" s="14">
        <v>1124.0999999999999</v>
      </c>
      <c r="K40" s="14">
        <v>1205.3</v>
      </c>
      <c r="L40" s="14">
        <v>1264.5</v>
      </c>
      <c r="M40" s="14">
        <v>1130</v>
      </c>
      <c r="N40" s="14">
        <v>1122.8</v>
      </c>
      <c r="O40" s="14">
        <v>1149</v>
      </c>
      <c r="P40" s="14">
        <v>1186.0999999999999</v>
      </c>
      <c r="Q40" s="14">
        <v>1099.2</v>
      </c>
      <c r="R40" s="14">
        <v>1108.2</v>
      </c>
      <c r="S40" s="14">
        <v>783.3</v>
      </c>
      <c r="T40" s="14">
        <v>804</v>
      </c>
      <c r="U40" s="14"/>
      <c r="V40" s="14"/>
      <c r="X40" s="14"/>
      <c r="Y40" s="14">
        <v>279.56</v>
      </c>
      <c r="Z40" s="14">
        <v>303.88400000000001</v>
      </c>
      <c r="AA40" s="14">
        <v>389.18200000000002</v>
      </c>
      <c r="AB40" s="14">
        <v>513.28800000000001</v>
      </c>
      <c r="AC40" s="14">
        <v>631.35799999999995</v>
      </c>
      <c r="AD40" s="14">
        <v>878.99</v>
      </c>
      <c r="AE40" s="14">
        <v>1025.3430000000001</v>
      </c>
      <c r="AF40" s="14">
        <v>1187.7</v>
      </c>
      <c r="AG40" s="14">
        <v>1205.3</v>
      </c>
      <c r="AH40" s="14">
        <v>1149</v>
      </c>
      <c r="AI40" s="14">
        <v>783.3</v>
      </c>
    </row>
    <row r="41" spans="3:35" x14ac:dyDescent="0.25">
      <c r="C41" s="2" t="s">
        <v>70</v>
      </c>
      <c r="D41" s="14">
        <v>24.6</v>
      </c>
      <c r="E41" s="14">
        <v>0.2</v>
      </c>
      <c r="F41" s="14">
        <v>7.5</v>
      </c>
      <c r="G41" s="14">
        <v>21.2</v>
      </c>
      <c r="H41" s="14">
        <v>17.8</v>
      </c>
      <c r="I41" s="14">
        <v>14.8</v>
      </c>
      <c r="J41" s="14">
        <v>14.5</v>
      </c>
      <c r="K41" s="14">
        <v>14.7</v>
      </c>
      <c r="L41" s="14">
        <v>17.8</v>
      </c>
      <c r="M41" s="14">
        <v>10.3</v>
      </c>
      <c r="N41" s="14">
        <v>5.9</v>
      </c>
      <c r="O41" s="14">
        <v>-0.9</v>
      </c>
      <c r="P41" s="14">
        <v>0.4</v>
      </c>
      <c r="Q41" s="14">
        <v>-4.5</v>
      </c>
      <c r="R41" s="14">
        <v>-3.8</v>
      </c>
      <c r="S41" s="14">
        <v>-2.9</v>
      </c>
      <c r="T41" s="14">
        <v>-2.5</v>
      </c>
      <c r="U41" s="14"/>
      <c r="V41" s="14"/>
      <c r="X41" s="14"/>
      <c r="Y41" s="14">
        <v>13.327999999999999</v>
      </c>
      <c r="Z41" s="14">
        <v>9.2799999999999994</v>
      </c>
      <c r="AA41" s="14">
        <v>12.53</v>
      </c>
      <c r="AB41" s="14">
        <v>14.907999999999999</v>
      </c>
      <c r="AC41" s="14">
        <v>16.032</v>
      </c>
      <c r="AD41" s="14">
        <v>14.211</v>
      </c>
      <c r="AE41" s="14">
        <v>7.7320000000000002</v>
      </c>
      <c r="AF41" s="14">
        <v>21.2</v>
      </c>
      <c r="AG41" s="14">
        <v>14.7</v>
      </c>
      <c r="AH41" s="14">
        <v>-0.9</v>
      </c>
      <c r="AI41" s="14">
        <v>-2.9</v>
      </c>
    </row>
    <row r="42" spans="3:35" x14ac:dyDescent="0.25">
      <c r="C42" s="11" t="s">
        <v>71</v>
      </c>
      <c r="D42" s="16">
        <f t="shared" ref="D42:O42" si="52">SUM(D38:D41)</f>
        <v>4283.7000000000007</v>
      </c>
      <c r="E42" s="16">
        <f t="shared" si="52"/>
        <v>4083.7999999999997</v>
      </c>
      <c r="F42" s="16">
        <f t="shared" si="52"/>
        <v>4136.8999999999996</v>
      </c>
      <c r="G42" s="16">
        <f t="shared" si="52"/>
        <v>4207.7</v>
      </c>
      <c r="H42" s="16">
        <f t="shared" si="52"/>
        <v>4290.8</v>
      </c>
      <c r="I42" s="16">
        <f t="shared" si="52"/>
        <v>4289</v>
      </c>
      <c r="J42" s="16">
        <f t="shared" si="52"/>
        <v>4164.1000000000004</v>
      </c>
      <c r="K42" s="16">
        <f t="shared" si="52"/>
        <v>4165.7</v>
      </c>
      <c r="L42" s="16">
        <f t="shared" si="52"/>
        <v>4290.8</v>
      </c>
      <c r="M42" s="16">
        <f t="shared" si="52"/>
        <v>4131.1000000000004</v>
      </c>
      <c r="N42" s="16">
        <f t="shared" si="52"/>
        <v>4079.0000000000005</v>
      </c>
      <c r="O42" s="16">
        <f t="shared" si="52"/>
        <v>4137.6000000000004</v>
      </c>
      <c r="P42" s="16">
        <f>SUM(P38:P41)</f>
        <v>4084.8</v>
      </c>
      <c r="Q42" s="16">
        <f>SUM(Q38:Q41)</f>
        <v>4022.4000000000005</v>
      </c>
      <c r="R42" s="16">
        <f t="shared" ref="R42:T42" si="53">SUM(R38:R41)</f>
        <v>4017.6000000000004</v>
      </c>
      <c r="S42" s="16">
        <f t="shared" si="53"/>
        <v>3628.6</v>
      </c>
      <c r="T42" s="16">
        <f t="shared" si="53"/>
        <v>3711.9</v>
      </c>
      <c r="U42" s="14"/>
      <c r="V42" s="14"/>
      <c r="X42" s="14"/>
      <c r="Y42" s="16">
        <f t="shared" ref="Y42:AA42" si="54">SUM(Y38:Y41)</f>
        <v>752.18499999999995</v>
      </c>
      <c r="Z42" s="16">
        <f t="shared" si="54"/>
        <v>844.27499999999998</v>
      </c>
      <c r="AA42" s="16">
        <f t="shared" si="54"/>
        <v>951.202</v>
      </c>
      <c r="AB42" s="16">
        <f t="shared" ref="AB42:AE42" si="55">SUM(AB38:AB41)</f>
        <v>1106.289</v>
      </c>
      <c r="AC42" s="16">
        <f t="shared" si="55"/>
        <v>1241.0979999999997</v>
      </c>
      <c r="AD42" s="16">
        <f t="shared" si="55"/>
        <v>1545.0139999999999</v>
      </c>
      <c r="AE42" s="16">
        <f t="shared" si="55"/>
        <v>3892.3710000000001</v>
      </c>
      <c r="AF42" s="16">
        <f t="shared" ref="AF42" si="56">SUM(AF38:AF41)</f>
        <v>4207.7</v>
      </c>
      <c r="AG42" s="16">
        <f t="shared" ref="AG42" si="57">SUM(AG38:AG41)</f>
        <v>4165.7</v>
      </c>
      <c r="AH42" s="16">
        <f t="shared" ref="AH42" si="58">SUM(AH38:AH41)</f>
        <v>4137.6000000000004</v>
      </c>
      <c r="AI42" s="16">
        <f t="shared" ref="AI42" si="59">SUM(AI38:AI41)</f>
        <v>3628.6</v>
      </c>
    </row>
    <row r="43" spans="3:35" x14ac:dyDescent="0.25">
      <c r="C43" s="2" t="s">
        <v>72</v>
      </c>
      <c r="D43" s="14">
        <v>269.2</v>
      </c>
      <c r="E43" s="14">
        <v>239.5</v>
      </c>
      <c r="F43" s="14">
        <v>261.3</v>
      </c>
      <c r="G43" s="14">
        <v>276.5</v>
      </c>
      <c r="H43" s="14">
        <v>235.9</v>
      </c>
      <c r="I43" s="14">
        <v>265</v>
      </c>
      <c r="J43" s="14">
        <v>254.7</v>
      </c>
      <c r="K43" s="14">
        <v>238.8</v>
      </c>
      <c r="L43" s="14">
        <v>235.9</v>
      </c>
      <c r="M43" s="14">
        <v>226.9</v>
      </c>
      <c r="N43" s="14">
        <v>218.9</v>
      </c>
      <c r="O43" s="14">
        <v>203.8</v>
      </c>
      <c r="P43" s="14">
        <v>193.3</v>
      </c>
      <c r="Q43" s="14">
        <v>184.3</v>
      </c>
      <c r="R43" s="14">
        <v>193.7</v>
      </c>
      <c r="S43" s="14">
        <v>137.19999999999999</v>
      </c>
      <c r="T43" s="14">
        <v>7.4</v>
      </c>
      <c r="U43" s="14"/>
      <c r="V43" s="14"/>
      <c r="X43" s="14"/>
      <c r="Y43" s="14">
        <v>36.162999999999997</v>
      </c>
      <c r="Z43" s="14">
        <v>34.792999999999999</v>
      </c>
      <c r="AA43" s="14">
        <v>38.999000000000002</v>
      </c>
      <c r="AB43" s="14">
        <v>0</v>
      </c>
      <c r="AC43" s="14">
        <v>2.472</v>
      </c>
      <c r="AD43" s="14">
        <v>2.7730000000000001</v>
      </c>
      <c r="AE43" s="14">
        <v>4.1349999999999998</v>
      </c>
      <c r="AF43" s="14">
        <v>276.5</v>
      </c>
      <c r="AG43" s="14">
        <v>238.8</v>
      </c>
      <c r="AH43" s="14">
        <v>203.8</v>
      </c>
      <c r="AI43" s="14">
        <v>137.19999999999999</v>
      </c>
    </row>
    <row r="44" spans="3:35" x14ac:dyDescent="0.25">
      <c r="C44" s="2" t="s">
        <v>73</v>
      </c>
      <c r="D44" s="14">
        <v>1184.7</v>
      </c>
      <c r="E44" s="14">
        <v>1080.5999999999999</v>
      </c>
      <c r="F44" s="14">
        <v>1259.7</v>
      </c>
      <c r="G44" s="14">
        <v>1303.3</v>
      </c>
      <c r="H44" s="14">
        <v>916.8</v>
      </c>
      <c r="I44" s="14">
        <v>1168.4000000000001</v>
      </c>
      <c r="J44" s="14">
        <v>1049.5999999999999</v>
      </c>
      <c r="K44" s="14">
        <v>936.1</v>
      </c>
      <c r="L44" s="14">
        <v>916.8</v>
      </c>
      <c r="M44" s="14">
        <v>902.8</v>
      </c>
      <c r="N44" s="14">
        <v>993.4</v>
      </c>
      <c r="O44" s="14">
        <v>863.1</v>
      </c>
      <c r="P44" s="14">
        <v>835.2</v>
      </c>
      <c r="Q44" s="14">
        <v>737.1</v>
      </c>
      <c r="R44" s="14">
        <v>663.8</v>
      </c>
      <c r="S44" s="14">
        <v>607.9</v>
      </c>
      <c r="T44" s="14">
        <v>598.1</v>
      </c>
      <c r="U44" s="14"/>
      <c r="V44" s="14"/>
      <c r="X44" s="14"/>
      <c r="Y44" s="14">
        <v>81.638999999999996</v>
      </c>
      <c r="Z44" s="14">
        <v>10.138</v>
      </c>
      <c r="AA44" s="14">
        <v>55.017000000000003</v>
      </c>
      <c r="AB44" s="14">
        <v>79.513000000000005</v>
      </c>
      <c r="AC44" s="14">
        <v>164.40700000000001</v>
      </c>
      <c r="AD44" s="14">
        <v>326.66000000000003</v>
      </c>
      <c r="AE44" s="14">
        <v>286.30599999999998</v>
      </c>
      <c r="AF44" s="14">
        <v>1303.3</v>
      </c>
      <c r="AG44" s="14">
        <v>936.1</v>
      </c>
      <c r="AH44" s="14">
        <v>863.1</v>
      </c>
      <c r="AI44" s="14">
        <v>607.9</v>
      </c>
    </row>
    <row r="45" spans="3:35" x14ac:dyDescent="0.25">
      <c r="C45" s="2" t="s">
        <v>74</v>
      </c>
      <c r="D45" s="14">
        <v>297.39999999999998</v>
      </c>
      <c r="E45" s="14">
        <v>110.5</v>
      </c>
      <c r="F45" s="14">
        <v>206.9</v>
      </c>
      <c r="G45" s="14">
        <v>291.39999999999998</v>
      </c>
      <c r="H45" s="14">
        <v>160.69999999999999</v>
      </c>
      <c r="I45" s="14">
        <v>213.2</v>
      </c>
      <c r="J45" s="14">
        <v>183.8</v>
      </c>
      <c r="K45" s="14">
        <v>159.6</v>
      </c>
      <c r="L45" s="14">
        <v>160.69999999999999</v>
      </c>
      <c r="M45" s="14">
        <v>153.69999999999999</v>
      </c>
      <c r="N45" s="14">
        <v>156.80000000000001</v>
      </c>
      <c r="O45" s="14">
        <v>158.9</v>
      </c>
      <c r="P45" s="14">
        <v>153</v>
      </c>
      <c r="Q45" s="14">
        <v>150.69999999999999</v>
      </c>
      <c r="R45" s="14">
        <v>155.9</v>
      </c>
      <c r="S45" s="14">
        <v>150.6</v>
      </c>
      <c r="T45" s="14">
        <v>150.30000000000001</v>
      </c>
      <c r="U45" s="14"/>
      <c r="V45" s="14"/>
      <c r="X45" s="14"/>
      <c r="Y45" s="14">
        <v>138.9</v>
      </c>
      <c r="Z45" s="14">
        <v>62.656999999999996</v>
      </c>
      <c r="AA45" s="14">
        <v>95.228999999999999</v>
      </c>
      <c r="AB45" s="14">
        <v>26.776</v>
      </c>
      <c r="AC45" s="14">
        <v>105.79900000000001</v>
      </c>
      <c r="AD45" s="14">
        <v>277.613</v>
      </c>
      <c r="AE45" s="14">
        <v>606.63300000000004</v>
      </c>
      <c r="AF45" s="14">
        <v>291.39999999999998</v>
      </c>
      <c r="AG45" s="14">
        <v>159.6</v>
      </c>
      <c r="AH45" s="14">
        <v>158.9</v>
      </c>
      <c r="AI45" s="14">
        <v>150.6</v>
      </c>
    </row>
    <row r="46" spans="3:35" x14ac:dyDescent="0.25">
      <c r="C46" s="2" t="s">
        <v>75</v>
      </c>
      <c r="D46" s="14">
        <v>1512.8</v>
      </c>
      <c r="E46" s="14">
        <v>1342</v>
      </c>
      <c r="F46" s="14">
        <v>1359.5</v>
      </c>
      <c r="G46" s="14">
        <v>1526.7</v>
      </c>
      <c r="H46" s="14">
        <v>1590.1</v>
      </c>
      <c r="I46" s="14">
        <v>1553.2</v>
      </c>
      <c r="J46" s="14">
        <v>1594.2</v>
      </c>
      <c r="K46" s="14">
        <v>1525.9</v>
      </c>
      <c r="L46" s="14">
        <v>1590.1</v>
      </c>
      <c r="M46" s="14">
        <v>1659.4</v>
      </c>
      <c r="N46" s="14">
        <v>1422.1</v>
      </c>
      <c r="O46" s="14">
        <v>1445.8</v>
      </c>
      <c r="P46" s="14">
        <v>1451.9</v>
      </c>
      <c r="Q46" s="14">
        <f>1359.4+47.7</f>
        <v>1407.1000000000001</v>
      </c>
      <c r="R46" s="14">
        <f>97.1+1299.8</f>
        <v>1396.8999999999999</v>
      </c>
      <c r="S46" s="14">
        <v>1366.7</v>
      </c>
      <c r="T46" s="14">
        <v>1440.8</v>
      </c>
      <c r="U46" s="14"/>
      <c r="V46" s="14"/>
      <c r="X46" s="14"/>
      <c r="Y46" s="14">
        <v>452.87299999999999</v>
      </c>
      <c r="Z46" s="14">
        <v>568.78099999999995</v>
      </c>
      <c r="AA46" s="14">
        <v>652.41800000000001</v>
      </c>
      <c r="AB46" s="14">
        <v>484.23899999999998</v>
      </c>
      <c r="AC46" s="14">
        <v>457.96699999999998</v>
      </c>
      <c r="AD46" s="14">
        <v>592.95899999999995</v>
      </c>
      <c r="AE46" s="14">
        <v>1026.597</v>
      </c>
      <c r="AF46" s="14">
        <v>1526.7</v>
      </c>
      <c r="AG46" s="14">
        <v>1525.9</v>
      </c>
      <c r="AH46" s="14">
        <v>1445.8</v>
      </c>
      <c r="AI46" s="14">
        <v>1366.7</v>
      </c>
    </row>
    <row r="47" spans="3:35" x14ac:dyDescent="0.25">
      <c r="C47" s="2" t="s">
        <v>127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78.099999999999994</v>
      </c>
      <c r="T47" s="14">
        <v>200.9</v>
      </c>
      <c r="U47" s="14"/>
      <c r="V47" s="14"/>
      <c r="Y47" s="14">
        <v>0</v>
      </c>
      <c r="Z47" s="14">
        <v>0</v>
      </c>
      <c r="AA47" s="14">
        <v>1.1519999999999999</v>
      </c>
      <c r="AB47" s="14">
        <v>225.79</v>
      </c>
      <c r="AC47" s="14">
        <v>254.45099999999999</v>
      </c>
      <c r="AD47" s="14">
        <v>315.53800000000001</v>
      </c>
      <c r="AE47" s="14">
        <v>519.35400000000004</v>
      </c>
      <c r="AF47" s="14">
        <v>0</v>
      </c>
      <c r="AG47" s="14">
        <v>0</v>
      </c>
      <c r="AH47" s="14">
        <v>0</v>
      </c>
      <c r="AI47" s="14">
        <v>78.099999999999994</v>
      </c>
    </row>
    <row r="48" spans="3:35" x14ac:dyDescent="0.25">
      <c r="C48" s="11" t="s">
        <v>76</v>
      </c>
      <c r="D48" s="16">
        <f t="shared" ref="D48:T48" si="60">SUM(D43:D47)</f>
        <v>3264.1000000000004</v>
      </c>
      <c r="E48" s="16">
        <f t="shared" si="60"/>
        <v>2772.6</v>
      </c>
      <c r="F48" s="16">
        <f t="shared" si="60"/>
        <v>3087.4</v>
      </c>
      <c r="G48" s="16">
        <f t="shared" si="60"/>
        <v>3397.8999999999996</v>
      </c>
      <c r="H48" s="16">
        <f t="shared" si="60"/>
        <v>2903.5</v>
      </c>
      <c r="I48" s="16">
        <f t="shared" si="60"/>
        <v>3199.8</v>
      </c>
      <c r="J48" s="16">
        <f t="shared" si="60"/>
        <v>3082.3</v>
      </c>
      <c r="K48" s="16">
        <f t="shared" si="60"/>
        <v>2860.4</v>
      </c>
      <c r="L48" s="16">
        <f t="shared" si="60"/>
        <v>2903.5</v>
      </c>
      <c r="M48" s="16">
        <f t="shared" si="60"/>
        <v>2942.8</v>
      </c>
      <c r="N48" s="16">
        <f t="shared" si="60"/>
        <v>2791.2</v>
      </c>
      <c r="O48" s="16">
        <f t="shared" si="60"/>
        <v>2671.6000000000004</v>
      </c>
      <c r="P48" s="16">
        <f t="shared" si="60"/>
        <v>2633.4</v>
      </c>
      <c r="Q48" s="16">
        <f t="shared" si="60"/>
        <v>2479.2000000000003</v>
      </c>
      <c r="R48" s="16">
        <f t="shared" si="60"/>
        <v>2410.2999999999997</v>
      </c>
      <c r="S48" s="16">
        <f t="shared" si="60"/>
        <v>2340.5</v>
      </c>
      <c r="T48" s="16">
        <f t="shared" si="60"/>
        <v>2397.5</v>
      </c>
      <c r="U48" s="14"/>
      <c r="V48" s="14"/>
      <c r="W48" s="12"/>
      <c r="Y48" s="16">
        <f t="shared" ref="Y48:AA48" si="61">SUM(Y43:Y47)</f>
        <v>709.57500000000005</v>
      </c>
      <c r="Z48" s="16">
        <f t="shared" si="61"/>
        <v>676.36899999999991</v>
      </c>
      <c r="AA48" s="16">
        <f t="shared" si="61"/>
        <v>842.81500000000005</v>
      </c>
      <c r="AB48" s="16">
        <f t="shared" ref="AB48:AE48" si="62">SUM(AB43:AB47)</f>
        <v>816.31799999999998</v>
      </c>
      <c r="AC48" s="16">
        <f t="shared" si="62"/>
        <v>985.096</v>
      </c>
      <c r="AD48" s="16">
        <f t="shared" si="62"/>
        <v>1515.5430000000001</v>
      </c>
      <c r="AE48" s="16">
        <f t="shared" si="62"/>
        <v>2443.0250000000001</v>
      </c>
      <c r="AF48" s="16">
        <f>SUM(AF43:AF47)</f>
        <v>3397.8999999999996</v>
      </c>
      <c r="AG48" s="16">
        <f>SUM(AG43:AG47)</f>
        <v>2860.4</v>
      </c>
      <c r="AH48" s="16">
        <f>SUM(AH43:AH47)</f>
        <v>2671.6000000000004</v>
      </c>
      <c r="AI48" s="16">
        <f>SUM(AI43:AI47)</f>
        <v>2340.5</v>
      </c>
    </row>
    <row r="49" spans="3:38" x14ac:dyDescent="0.25">
      <c r="C49" s="1" t="s">
        <v>77</v>
      </c>
      <c r="D49" s="12">
        <f t="shared" ref="D49:S49" si="63">D42+D48</f>
        <v>7547.8000000000011</v>
      </c>
      <c r="E49" s="12">
        <f t="shared" si="63"/>
        <v>6856.4</v>
      </c>
      <c r="F49" s="12">
        <f t="shared" si="63"/>
        <v>7224.2999999999993</v>
      </c>
      <c r="G49" s="12">
        <f t="shared" si="63"/>
        <v>7605.5999999999995</v>
      </c>
      <c r="H49" s="12">
        <f t="shared" si="63"/>
        <v>7194.3</v>
      </c>
      <c r="I49" s="12">
        <f t="shared" si="63"/>
        <v>7488.8</v>
      </c>
      <c r="J49" s="12">
        <f t="shared" si="63"/>
        <v>7246.4000000000005</v>
      </c>
      <c r="K49" s="12">
        <f t="shared" si="63"/>
        <v>7026.1</v>
      </c>
      <c r="L49" s="12">
        <f t="shared" si="63"/>
        <v>7194.3</v>
      </c>
      <c r="M49" s="12">
        <f t="shared" si="63"/>
        <v>7073.9000000000005</v>
      </c>
      <c r="N49" s="12">
        <f t="shared" si="63"/>
        <v>6870.2000000000007</v>
      </c>
      <c r="O49" s="12">
        <f t="shared" si="63"/>
        <v>6809.2000000000007</v>
      </c>
      <c r="P49" s="12">
        <f t="shared" si="63"/>
        <v>6718.2000000000007</v>
      </c>
      <c r="Q49" s="12">
        <f t="shared" si="63"/>
        <v>6501.6</v>
      </c>
      <c r="R49" s="12">
        <f t="shared" si="63"/>
        <v>6427.9</v>
      </c>
      <c r="S49" s="12">
        <f t="shared" si="63"/>
        <v>5969.1</v>
      </c>
      <c r="T49" s="12">
        <f t="shared" ref="T49" si="64">T42+T48</f>
        <v>6109.4</v>
      </c>
      <c r="U49" s="14"/>
      <c r="V49" s="14"/>
      <c r="W49" s="14"/>
      <c r="Y49" s="12">
        <f t="shared" ref="Y49:AA49" si="65">Y42+Y48</f>
        <v>1461.76</v>
      </c>
      <c r="Z49" s="12">
        <f t="shared" si="65"/>
        <v>1520.6439999999998</v>
      </c>
      <c r="AA49" s="12">
        <f t="shared" si="65"/>
        <v>1794.0170000000001</v>
      </c>
      <c r="AB49" s="12">
        <f t="shared" ref="AB49:AE49" si="66">AB42+AB48</f>
        <v>1922.607</v>
      </c>
      <c r="AC49" s="12">
        <f t="shared" si="66"/>
        <v>2226.1939999999995</v>
      </c>
      <c r="AD49" s="12">
        <f t="shared" si="66"/>
        <v>3060.5569999999998</v>
      </c>
      <c r="AE49" s="12">
        <f t="shared" si="66"/>
        <v>6335.3960000000006</v>
      </c>
      <c r="AF49" s="12">
        <f>AF42+AF48</f>
        <v>7605.5999999999995</v>
      </c>
      <c r="AG49" s="12">
        <f>AG42+AG48</f>
        <v>7026.1</v>
      </c>
      <c r="AH49" s="12">
        <f>AH42+AH48</f>
        <v>6809.2000000000007</v>
      </c>
      <c r="AI49" s="12">
        <f>AI42+AI48</f>
        <v>5969.1</v>
      </c>
    </row>
    <row r="50" spans="3:38" x14ac:dyDescent="0.25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T50" s="14"/>
      <c r="U50" s="14"/>
      <c r="V50" s="14"/>
      <c r="W50" s="14"/>
    </row>
    <row r="51" spans="3:38" x14ac:dyDescent="0.25">
      <c r="C51" s="1" t="s">
        <v>46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T51" s="14"/>
      <c r="U51" s="14"/>
      <c r="V51" s="14"/>
      <c r="W51" s="14"/>
      <c r="AI51" s="14"/>
    </row>
    <row r="52" spans="3:38" x14ac:dyDescent="0.25">
      <c r="C52" s="2" t="s">
        <v>78</v>
      </c>
      <c r="D52" s="14">
        <f t="shared" ref="D52:T52" si="67">D13</f>
        <v>133.29999999999998</v>
      </c>
      <c r="E52" s="14">
        <f t="shared" si="67"/>
        <v>153.20000000000013</v>
      </c>
      <c r="F52" s="14">
        <f t="shared" si="67"/>
        <v>37.200000000000003</v>
      </c>
      <c r="G52" s="14">
        <f t="shared" si="67"/>
        <v>136.70000000000016</v>
      </c>
      <c r="H52" s="14">
        <f t="shared" si="67"/>
        <v>82.099999999999895</v>
      </c>
      <c r="I52" s="14">
        <f t="shared" si="67"/>
        <v>33.100000000000044</v>
      </c>
      <c r="J52" s="14">
        <f t="shared" si="67"/>
        <v>38.700000000000038</v>
      </c>
      <c r="K52" s="14">
        <f t="shared" si="67"/>
        <v>99</v>
      </c>
      <c r="L52" s="14">
        <f t="shared" si="67"/>
        <v>82.099999999999895</v>
      </c>
      <c r="M52" s="14">
        <f t="shared" si="67"/>
        <v>11.90000000000005</v>
      </c>
      <c r="N52" s="14">
        <f t="shared" si="67"/>
        <v>4.9000000000000448</v>
      </c>
      <c r="O52" s="14">
        <f t="shared" si="67"/>
        <v>54.100000000000094</v>
      </c>
      <c r="P52" s="14">
        <f t="shared" si="67"/>
        <v>51.599999999999916</v>
      </c>
      <c r="Q52" s="14">
        <f t="shared" si="67"/>
        <v>3.6999999999999513</v>
      </c>
      <c r="R52" s="14">
        <f t="shared" si="67"/>
        <v>26.99999999999995</v>
      </c>
      <c r="S52" s="14">
        <f t="shared" si="67"/>
        <v>-329.39999999999992</v>
      </c>
      <c r="T52" s="14">
        <f t="shared" si="67"/>
        <v>39.199999999999946</v>
      </c>
      <c r="U52" s="14"/>
      <c r="V52" s="14"/>
      <c r="W52" s="14"/>
      <c r="Y52" s="14">
        <f t="shared" ref="Y52:AI52" si="68">Y13</f>
        <v>116.31999999999979</v>
      </c>
      <c r="Z52" s="14">
        <f t="shared" si="68"/>
        <v>191.28399999999991</v>
      </c>
      <c r="AA52" s="14">
        <f t="shared" si="68"/>
        <v>266.04200000000014</v>
      </c>
      <c r="AB52" s="14">
        <f t="shared" si="68"/>
        <v>303.94999999999993</v>
      </c>
      <c r="AC52" s="14">
        <f t="shared" si="68"/>
        <v>313.19499999999994</v>
      </c>
      <c r="AD52" s="14">
        <f t="shared" si="68"/>
        <v>331.79000000000008</v>
      </c>
      <c r="AE52" s="14">
        <f t="shared" si="68"/>
        <v>369.49499999999989</v>
      </c>
      <c r="AF52" s="14">
        <f t="shared" si="68"/>
        <v>483.67599999999999</v>
      </c>
      <c r="AG52" s="14">
        <f t="shared" si="68"/>
        <v>304.13099999999906</v>
      </c>
      <c r="AH52" s="14">
        <f t="shared" si="68"/>
        <v>154.01799999999957</v>
      </c>
      <c r="AI52" s="14">
        <f t="shared" si="68"/>
        <v>-247</v>
      </c>
      <c r="AL52" s="14"/>
    </row>
    <row r="53" spans="3:38" x14ac:dyDescent="0.25">
      <c r="C53" s="2" t="s">
        <v>79</v>
      </c>
      <c r="D53" s="14">
        <v>133</v>
      </c>
      <c r="E53" s="14">
        <v>153</v>
      </c>
      <c r="F53" s="14">
        <v>37</v>
      </c>
      <c r="G53" s="14">
        <v>137</v>
      </c>
      <c r="H53" s="14">
        <v>82</v>
      </c>
      <c r="I53" s="14">
        <v>33</v>
      </c>
      <c r="J53" s="14">
        <v>39</v>
      </c>
      <c r="K53" s="14">
        <v>99</v>
      </c>
      <c r="L53" s="14">
        <v>82</v>
      </c>
      <c r="M53" s="14">
        <v>12</v>
      </c>
      <c r="N53" s="14">
        <v>5</v>
      </c>
      <c r="O53" s="14">
        <v>54</v>
      </c>
      <c r="P53" s="14">
        <v>52</v>
      </c>
      <c r="Q53" s="14">
        <v>4</v>
      </c>
      <c r="R53" s="14">
        <v>27</v>
      </c>
      <c r="S53" s="14">
        <v>-329.5</v>
      </c>
      <c r="T53" s="14">
        <v>39.1</v>
      </c>
      <c r="U53" s="14"/>
      <c r="V53" s="14"/>
      <c r="W53" s="14"/>
      <c r="Y53" s="14">
        <v>92</v>
      </c>
      <c r="Z53" s="14">
        <v>191.8</v>
      </c>
      <c r="AA53" s="14">
        <v>266.7</v>
      </c>
      <c r="AB53" s="14">
        <v>303.7</v>
      </c>
      <c r="AC53" s="14">
        <v>313</v>
      </c>
      <c r="AD53" s="14">
        <v>332</v>
      </c>
      <c r="AE53" s="14">
        <v>370</v>
      </c>
      <c r="AF53" s="14">
        <v>484</v>
      </c>
      <c r="AG53" s="14">
        <v>304</v>
      </c>
      <c r="AH53" s="14">
        <v>153</v>
      </c>
      <c r="AI53" s="2">
        <v>-247</v>
      </c>
      <c r="AL53" s="14"/>
    </row>
    <row r="54" spans="3:38" x14ac:dyDescent="0.25">
      <c r="C54" s="2" t="s">
        <v>80</v>
      </c>
      <c r="D54" s="14">
        <v>63.5</v>
      </c>
      <c r="E54" s="14">
        <v>-28.7</v>
      </c>
      <c r="F54" s="14">
        <v>60.5</v>
      </c>
      <c r="G54" s="14">
        <v>116.6</v>
      </c>
      <c r="H54" s="14">
        <v>64.099999999999994</v>
      </c>
      <c r="I54" s="14">
        <v>42.4</v>
      </c>
      <c r="J54" s="14">
        <v>88.9</v>
      </c>
      <c r="K54" s="14">
        <v>80</v>
      </c>
      <c r="L54" s="14">
        <v>74.5</v>
      </c>
      <c r="M54" s="14">
        <v>100.1</v>
      </c>
      <c r="N54" s="14">
        <v>94.6</v>
      </c>
      <c r="O54" s="14">
        <v>85</v>
      </c>
      <c r="P54" s="14">
        <v>136.69999999999999</v>
      </c>
      <c r="Q54" s="14">
        <v>76.2</v>
      </c>
      <c r="R54" s="14">
        <v>55.9</v>
      </c>
      <c r="S54" s="14">
        <v>498.8</v>
      </c>
      <c r="T54" s="14">
        <v>83.7</v>
      </c>
      <c r="U54" s="14"/>
      <c r="V54" s="14"/>
      <c r="W54" s="14"/>
      <c r="Y54" s="14">
        <v>5.8</v>
      </c>
      <c r="Z54" s="14">
        <v>30</v>
      </c>
      <c r="AA54" s="14">
        <v>11.1</v>
      </c>
      <c r="AB54" s="14">
        <v>15.1</v>
      </c>
      <c r="AC54" s="14">
        <f>79.389+2.5-2.7-4.8+8.6</f>
        <v>82.98899999999999</v>
      </c>
      <c r="AD54" s="14">
        <f>85.967+0.301-1.6-6.4-28.942</f>
        <v>49.326000000000001</v>
      </c>
      <c r="AE54" s="14">
        <f>198.819-0.903-1.9-0.635-10.141+21.67</f>
        <v>206.91000000000003</v>
      </c>
      <c r="AF54" s="14">
        <f>298-64+1-7.1+17.262</f>
        <v>245.16200000000001</v>
      </c>
      <c r="AG54" s="14">
        <f>364.597-1.33+0.504+1.4+5.6-43.1-2</f>
        <v>325.67099999999999</v>
      </c>
      <c r="AH54" s="14">
        <f>340.721+29.377+1.5+46.708-31.9+0.499</f>
        <v>386.90500000000009</v>
      </c>
      <c r="AI54" s="2">
        <v>768</v>
      </c>
      <c r="AL54" s="14"/>
    </row>
    <row r="55" spans="3:38" x14ac:dyDescent="0.25">
      <c r="C55" s="2" t="s">
        <v>81</v>
      </c>
      <c r="D55" s="14">
        <v>0</v>
      </c>
      <c r="E55" s="14">
        <v>0</v>
      </c>
      <c r="F55" s="14">
        <v>0</v>
      </c>
      <c r="G55" s="14">
        <v>0</v>
      </c>
      <c r="I55" s="14">
        <v>0</v>
      </c>
      <c r="J55" s="2">
        <v>0</v>
      </c>
      <c r="K55" s="2">
        <v>0</v>
      </c>
      <c r="L55" s="14">
        <v>-10.4</v>
      </c>
      <c r="M55" s="2">
        <v>0</v>
      </c>
      <c r="N55" s="2">
        <v>0</v>
      </c>
      <c r="O55" s="14">
        <v>0</v>
      </c>
      <c r="P55" s="14">
        <v>-8.9</v>
      </c>
      <c r="Q55" s="14">
        <v>-9.1</v>
      </c>
      <c r="R55" s="14">
        <v>-7.8</v>
      </c>
      <c r="S55" s="14">
        <v>-7.4</v>
      </c>
      <c r="T55" s="14">
        <v>-5.9</v>
      </c>
      <c r="U55" s="14"/>
      <c r="V55" s="14"/>
      <c r="W55" s="14"/>
      <c r="Y55" s="14">
        <v>0</v>
      </c>
      <c r="Z55" s="14">
        <v>0</v>
      </c>
      <c r="AA55" s="14">
        <v>0</v>
      </c>
      <c r="AB55" s="14">
        <v>0</v>
      </c>
      <c r="AC55" s="2">
        <v>0</v>
      </c>
      <c r="AD55" s="14">
        <v>0</v>
      </c>
      <c r="AE55" s="14">
        <v>0</v>
      </c>
      <c r="AF55" s="14">
        <v>0</v>
      </c>
      <c r="AG55" s="14">
        <f>12.326-63.289</f>
        <v>-50.963000000000001</v>
      </c>
      <c r="AH55" s="14">
        <f>12-55</f>
        <v>-43</v>
      </c>
      <c r="AI55" s="2">
        <v>-33</v>
      </c>
      <c r="AL55" s="14"/>
    </row>
    <row r="56" spans="3:38" x14ac:dyDescent="0.25">
      <c r="C56" s="2" t="s">
        <v>82</v>
      </c>
      <c r="D56" s="14">
        <v>-50.7</v>
      </c>
      <c r="E56" s="14">
        <v>-25</v>
      </c>
      <c r="F56" s="14">
        <v>-23.7</v>
      </c>
      <c r="G56" s="14">
        <v>-3.2</v>
      </c>
      <c r="H56" s="14">
        <v>-68.7</v>
      </c>
      <c r="I56" s="14">
        <v>-16.3</v>
      </c>
      <c r="J56" s="14">
        <v>-3.7</v>
      </c>
      <c r="K56" s="14">
        <v>5.6</v>
      </c>
      <c r="L56" s="14">
        <v>-68.7</v>
      </c>
      <c r="M56" s="14">
        <v>-37.200000000000003</v>
      </c>
      <c r="N56" s="14">
        <v>-28.8</v>
      </c>
      <c r="O56" s="14">
        <v>2</v>
      </c>
      <c r="P56" s="14">
        <v>-87.4</v>
      </c>
      <c r="Q56" s="14">
        <v>-20.8</v>
      </c>
      <c r="R56" s="14">
        <v>-23.5</v>
      </c>
      <c r="S56" s="14">
        <v>23.8</v>
      </c>
      <c r="T56" s="14">
        <v>-67</v>
      </c>
      <c r="U56" s="14"/>
      <c r="V56" s="14"/>
      <c r="W56" s="14"/>
      <c r="Y56" s="14">
        <v>0</v>
      </c>
      <c r="Z56" s="14">
        <v>-30.2</v>
      </c>
      <c r="AA56" s="14">
        <v>-43.8</v>
      </c>
      <c r="AB56" s="14">
        <v>-67.900000000000006</v>
      </c>
      <c r="AC56" s="14">
        <v>-82.947999999999993</v>
      </c>
      <c r="AD56" s="14">
        <v>-68.123000000000005</v>
      </c>
      <c r="AE56" s="14">
        <v>-64.36</v>
      </c>
      <c r="AF56" s="14">
        <v>-195.102</v>
      </c>
      <c r="AG56" s="14">
        <v>-65.099999999999994</v>
      </c>
      <c r="AH56" s="14">
        <v>-132.71100000000001</v>
      </c>
      <c r="AI56" s="2">
        <v>-108</v>
      </c>
      <c r="AL56" s="14"/>
    </row>
    <row r="57" spans="3:38" x14ac:dyDescent="0.25">
      <c r="C57" s="2" t="s">
        <v>83</v>
      </c>
      <c r="D57" s="14">
        <v>-39.6</v>
      </c>
      <c r="E57" s="14">
        <v>31.2</v>
      </c>
      <c r="F57" s="14">
        <v>-54</v>
      </c>
      <c r="G57" s="14">
        <v>69.3</v>
      </c>
      <c r="H57" s="14">
        <v>24</v>
      </c>
      <c r="I57" s="14">
        <v>62.7</v>
      </c>
      <c r="J57" s="14">
        <v>-223.8</v>
      </c>
      <c r="K57" s="14">
        <v>86.7</v>
      </c>
      <c r="L57" s="14">
        <v>24</v>
      </c>
      <c r="M57" s="14">
        <v>21.6</v>
      </c>
      <c r="N57" s="14">
        <v>99.8</v>
      </c>
      <c r="O57" s="14">
        <v>116.2</v>
      </c>
      <c r="P57" s="14">
        <v>-55.9</v>
      </c>
      <c r="Q57" s="14">
        <v>-5.4</v>
      </c>
      <c r="R57" s="14">
        <v>-92.4</v>
      </c>
      <c r="S57" s="14">
        <v>105</v>
      </c>
      <c r="T57" s="14">
        <v>50.3</v>
      </c>
      <c r="U57" s="14"/>
      <c r="V57" s="14"/>
      <c r="W57" s="14"/>
      <c r="Y57" s="14">
        <v>-29.2</v>
      </c>
      <c r="Z57" s="14">
        <v>0.4</v>
      </c>
      <c r="AA57" s="14">
        <v>-37.1</v>
      </c>
      <c r="AB57" s="14">
        <v>23.2</v>
      </c>
      <c r="AC57" s="14">
        <f>2.1-10.2</f>
        <v>-8.1</v>
      </c>
      <c r="AD57" s="14">
        <f>70.563+57.698</f>
        <v>128.261</v>
      </c>
      <c r="AE57" s="14">
        <f>-27.928-21.908</f>
        <v>-49.835999999999999</v>
      </c>
      <c r="AF57" s="14">
        <f>-173.258+114.949</f>
        <v>-58.309000000000012</v>
      </c>
      <c r="AG57" s="14">
        <f>-124+10.777</f>
        <v>-113.223</v>
      </c>
      <c r="AH57" s="14">
        <f>340-78.488</f>
        <v>261.512</v>
      </c>
      <c r="AI57" s="2">
        <v>-49</v>
      </c>
      <c r="AL57" s="14"/>
    </row>
    <row r="58" spans="3:38" x14ac:dyDescent="0.25">
      <c r="C58" s="1" t="s">
        <v>84</v>
      </c>
      <c r="D58" s="12">
        <f t="shared" ref="D58:O58" si="69">SUM(D53:D57)</f>
        <v>106.20000000000002</v>
      </c>
      <c r="E58" s="12">
        <f t="shared" si="69"/>
        <v>130.5</v>
      </c>
      <c r="F58" s="12">
        <f t="shared" si="69"/>
        <v>19.799999999999997</v>
      </c>
      <c r="G58" s="12">
        <f t="shared" si="69"/>
        <v>319.7</v>
      </c>
      <c r="H58" s="12">
        <f t="shared" si="69"/>
        <v>101.39999999999999</v>
      </c>
      <c r="I58" s="12">
        <f t="shared" si="69"/>
        <v>121.80000000000001</v>
      </c>
      <c r="J58" s="12">
        <f t="shared" si="69"/>
        <v>-99.600000000000009</v>
      </c>
      <c r="K58" s="12">
        <f t="shared" si="69"/>
        <v>271.3</v>
      </c>
      <c r="L58" s="12">
        <f t="shared" si="69"/>
        <v>101.39999999999999</v>
      </c>
      <c r="M58" s="12">
        <f t="shared" si="69"/>
        <v>96.5</v>
      </c>
      <c r="N58" s="12">
        <f>SUM(N53:N57)</f>
        <v>170.6</v>
      </c>
      <c r="O58" s="12">
        <f t="shared" si="69"/>
        <v>257.2</v>
      </c>
      <c r="P58" s="12">
        <f>SUM(P53:P57)</f>
        <v>36.499999999999979</v>
      </c>
      <c r="Q58" s="12">
        <f>SUM(Q53:Q57)</f>
        <v>44.900000000000013</v>
      </c>
      <c r="R58" s="12">
        <f t="shared" ref="R58:T58" si="70">SUM(R53:R57)</f>
        <v>-40.799999999999997</v>
      </c>
      <c r="S58" s="12">
        <f t="shared" si="70"/>
        <v>290.70000000000005</v>
      </c>
      <c r="T58" s="12">
        <f t="shared" si="70"/>
        <v>100.2</v>
      </c>
      <c r="U58" s="14"/>
      <c r="V58" s="14"/>
      <c r="W58" s="14"/>
      <c r="Y58" s="12">
        <f t="shared" ref="Y58:AB58" si="71">SUM(Y53:Y57)</f>
        <v>68.599999999999994</v>
      </c>
      <c r="Z58" s="12">
        <f t="shared" si="71"/>
        <v>192.00000000000003</v>
      </c>
      <c r="AA58" s="12">
        <f t="shared" si="71"/>
        <v>196.9</v>
      </c>
      <c r="AB58" s="12">
        <f t="shared" si="71"/>
        <v>274.10000000000002</v>
      </c>
      <c r="AC58" s="12">
        <f t="shared" ref="AC58:AG58" si="72">SUM(AC53:AC57)</f>
        <v>304.94099999999997</v>
      </c>
      <c r="AD58" s="12">
        <f t="shared" si="72"/>
        <v>441.46400000000006</v>
      </c>
      <c r="AE58" s="12">
        <f t="shared" si="72"/>
        <v>462.71400000000006</v>
      </c>
      <c r="AF58" s="12">
        <f t="shared" si="72"/>
        <v>475.75100000000003</v>
      </c>
      <c r="AG58" s="12">
        <f t="shared" si="72"/>
        <v>400.38500000000005</v>
      </c>
      <c r="AH58" s="12">
        <f>SUM(AH53:AH57)</f>
        <v>625.70600000000013</v>
      </c>
      <c r="AI58" s="12">
        <f>SUM(AI53:AI57)</f>
        <v>331</v>
      </c>
      <c r="AL58" s="14"/>
    </row>
    <row r="59" spans="3:38" x14ac:dyDescent="0.25">
      <c r="D59" s="14"/>
      <c r="E59" s="14"/>
      <c r="F59" s="14"/>
      <c r="G59" s="14"/>
      <c r="H59" s="14"/>
      <c r="I59" s="14"/>
      <c r="J59" s="14"/>
      <c r="K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L59" s="14"/>
    </row>
    <row r="60" spans="3:38" x14ac:dyDescent="0.25">
      <c r="C60" s="2" t="s">
        <v>85</v>
      </c>
      <c r="D60" s="14">
        <v>-21.8</v>
      </c>
      <c r="E60" s="14">
        <v>-99.3</v>
      </c>
      <c r="F60" s="14">
        <v>-313.60000000000002</v>
      </c>
      <c r="G60" s="14">
        <v>-233.8</v>
      </c>
      <c r="H60" s="14">
        <v>-4.2</v>
      </c>
      <c r="I60" s="14">
        <v>-159.19999999999999</v>
      </c>
      <c r="J60" s="14">
        <v>-9.3000000000000007</v>
      </c>
      <c r="K60" s="14">
        <v>-17.2</v>
      </c>
      <c r="L60" s="14">
        <v>-4.2</v>
      </c>
      <c r="M60" s="14">
        <v>-24.9</v>
      </c>
      <c r="N60" s="14">
        <v>-7</v>
      </c>
      <c r="O60" s="14">
        <v>-4.0999999999999996</v>
      </c>
      <c r="P60" s="14">
        <f>-2.8</f>
        <v>-2.8</v>
      </c>
      <c r="Q60" s="14">
        <v>-3.7</v>
      </c>
      <c r="R60" s="14">
        <v>63.9</v>
      </c>
      <c r="S60" s="14">
        <v>-8.8000000000000007</v>
      </c>
      <c r="T60" s="14">
        <v>-8.4</v>
      </c>
      <c r="U60" s="14"/>
      <c r="V60" s="14"/>
      <c r="W60" s="14"/>
      <c r="Y60" s="14">
        <v>5.7</v>
      </c>
      <c r="Z60" s="14">
        <v>-30.6</v>
      </c>
      <c r="AA60" s="14">
        <v>-36.1</v>
      </c>
      <c r="AB60" s="14">
        <v>-68</v>
      </c>
      <c r="AC60" s="14">
        <v>-25.933</v>
      </c>
      <c r="AD60" s="14">
        <v>-97.393000000000001</v>
      </c>
      <c r="AE60" s="14">
        <v>-411.93900000000002</v>
      </c>
      <c r="AF60" s="14">
        <v>-750.92399999999998</v>
      </c>
      <c r="AG60" s="14">
        <v>-207.53299999999999</v>
      </c>
      <c r="AH60" s="14">
        <v>-40.158000000000001</v>
      </c>
      <c r="AI60" s="2">
        <v>49</v>
      </c>
      <c r="AL60" s="14"/>
    </row>
    <row r="61" spans="3:38" x14ac:dyDescent="0.25">
      <c r="C61" s="1" t="s">
        <v>86</v>
      </c>
      <c r="D61" s="12">
        <f t="shared" ref="D61:O61" si="73">D60</f>
        <v>-21.8</v>
      </c>
      <c r="E61" s="12">
        <f t="shared" si="73"/>
        <v>-99.3</v>
      </c>
      <c r="F61" s="12">
        <f t="shared" si="73"/>
        <v>-313.60000000000002</v>
      </c>
      <c r="G61" s="12">
        <f t="shared" si="73"/>
        <v>-233.8</v>
      </c>
      <c r="H61" s="12">
        <f t="shared" si="73"/>
        <v>-4.2</v>
      </c>
      <c r="I61" s="12">
        <f t="shared" si="73"/>
        <v>-159.19999999999999</v>
      </c>
      <c r="J61" s="12">
        <f t="shared" si="73"/>
        <v>-9.3000000000000007</v>
      </c>
      <c r="K61" s="12">
        <f t="shared" si="73"/>
        <v>-17.2</v>
      </c>
      <c r="L61" s="12">
        <f t="shared" si="73"/>
        <v>-4.2</v>
      </c>
      <c r="M61" s="12">
        <f t="shared" si="73"/>
        <v>-24.9</v>
      </c>
      <c r="N61" s="12">
        <f t="shared" si="73"/>
        <v>-7</v>
      </c>
      <c r="O61" s="12">
        <f t="shared" si="73"/>
        <v>-4.0999999999999996</v>
      </c>
      <c r="P61" s="12">
        <f>P60</f>
        <v>-2.8</v>
      </c>
      <c r="Q61" s="12">
        <f>Q60</f>
        <v>-3.7</v>
      </c>
      <c r="R61" s="12">
        <f t="shared" ref="R61:T61" si="74">R60</f>
        <v>63.9</v>
      </c>
      <c r="S61" s="12">
        <f t="shared" si="74"/>
        <v>-8.8000000000000007</v>
      </c>
      <c r="T61" s="12">
        <f t="shared" si="74"/>
        <v>-8.4</v>
      </c>
      <c r="U61" s="14"/>
      <c r="V61" s="14"/>
      <c r="W61" s="14"/>
      <c r="Y61" s="12">
        <f t="shared" ref="Y61:AB61" si="75">Y60</f>
        <v>5.7</v>
      </c>
      <c r="Z61" s="12">
        <f t="shared" si="75"/>
        <v>-30.6</v>
      </c>
      <c r="AA61" s="12">
        <f t="shared" si="75"/>
        <v>-36.1</v>
      </c>
      <c r="AB61" s="12">
        <f t="shared" si="75"/>
        <v>-68</v>
      </c>
      <c r="AC61" s="12">
        <f t="shared" ref="AC61:AG61" si="76">AC60</f>
        <v>-25.933</v>
      </c>
      <c r="AD61" s="12">
        <f t="shared" si="76"/>
        <v>-97.393000000000001</v>
      </c>
      <c r="AE61" s="12">
        <f t="shared" si="76"/>
        <v>-411.93900000000002</v>
      </c>
      <c r="AF61" s="12">
        <f t="shared" si="76"/>
        <v>-750.92399999999998</v>
      </c>
      <c r="AG61" s="12">
        <f t="shared" si="76"/>
        <v>-207.53299999999999</v>
      </c>
      <c r="AH61" s="12">
        <f>AH60</f>
        <v>-40.158000000000001</v>
      </c>
      <c r="AI61" s="12">
        <f>AI60</f>
        <v>49</v>
      </c>
      <c r="AL61" s="14"/>
    </row>
    <row r="62" spans="3:38" x14ac:dyDescent="0.25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  <c r="R62" s="14"/>
      <c r="S62" s="14"/>
      <c r="T62" s="14"/>
      <c r="U62" s="14"/>
      <c r="V62" s="14"/>
      <c r="W62" s="14"/>
      <c r="Y62" s="14"/>
      <c r="Z62" s="14"/>
      <c r="AA62" s="14"/>
      <c r="AB62" s="14"/>
      <c r="AC62" s="12"/>
      <c r="AD62" s="12"/>
      <c r="AE62" s="12"/>
      <c r="AF62" s="12"/>
      <c r="AG62" s="12"/>
      <c r="AH62" s="12"/>
      <c r="AL62" s="14"/>
    </row>
    <row r="63" spans="3:38" x14ac:dyDescent="0.25">
      <c r="C63" s="2" t="s">
        <v>87</v>
      </c>
      <c r="D63" s="14">
        <v>-138.69999999999999</v>
      </c>
      <c r="E63" s="14">
        <v>-29.9</v>
      </c>
      <c r="F63" s="14">
        <v>-31.6</v>
      </c>
      <c r="G63" s="14">
        <v>-136.6</v>
      </c>
      <c r="H63" s="14">
        <v>-36.9</v>
      </c>
      <c r="I63" s="14">
        <v>-38</v>
      </c>
      <c r="J63" s="14">
        <v>-136.5</v>
      </c>
      <c r="K63" s="14">
        <v>-135.9</v>
      </c>
      <c r="L63" s="14">
        <v>-36.9</v>
      </c>
      <c r="M63" s="14">
        <v>-36.799999999999997</v>
      </c>
      <c r="N63" s="14">
        <v>-36.299999999999997</v>
      </c>
      <c r="O63" s="14">
        <v>-135.4</v>
      </c>
      <c r="P63" s="14">
        <v>-31.7</v>
      </c>
      <c r="Q63" s="14">
        <v>-140</v>
      </c>
      <c r="R63" s="14">
        <v>-35.6</v>
      </c>
      <c r="S63" s="14">
        <v>-102.6</v>
      </c>
      <c r="T63" s="14">
        <v>-35.9</v>
      </c>
      <c r="U63" s="14"/>
      <c r="V63" s="14"/>
      <c r="W63" s="14"/>
      <c r="Y63" s="14">
        <v>-88.3</v>
      </c>
      <c r="Z63" s="14">
        <v>-98</v>
      </c>
      <c r="AA63" s="14">
        <v>-16.600000000000001</v>
      </c>
      <c r="AB63" s="14">
        <v>-14.7</v>
      </c>
      <c r="AC63" s="14">
        <v>-72.436000000000007</v>
      </c>
      <c r="AD63" s="14">
        <v>-90.551000000000002</v>
      </c>
      <c r="AE63" s="14">
        <v>-813.89499999999998</v>
      </c>
      <c r="AF63" s="14">
        <v>-228.82599999999999</v>
      </c>
      <c r="AG63" s="14">
        <v>-449</v>
      </c>
      <c r="AH63" s="14">
        <v>-245.41499999999999</v>
      </c>
      <c r="AI63" s="2">
        <v>-310</v>
      </c>
      <c r="AL63" s="14"/>
    </row>
    <row r="64" spans="3:38" x14ac:dyDescent="0.25">
      <c r="C64" s="2" t="s">
        <v>88</v>
      </c>
      <c r="D64" s="14">
        <v>0</v>
      </c>
      <c r="E64" s="14">
        <v>94.6</v>
      </c>
      <c r="F64" s="14">
        <v>250.1</v>
      </c>
      <c r="G64" s="14">
        <v>0</v>
      </c>
      <c r="H64" s="14">
        <v>0</v>
      </c>
      <c r="I64" s="14">
        <v>100</v>
      </c>
      <c r="J64" s="14">
        <v>0</v>
      </c>
      <c r="K64" s="14">
        <v>0</v>
      </c>
      <c r="L64" s="14">
        <v>0</v>
      </c>
      <c r="M64" s="14">
        <v>0</v>
      </c>
      <c r="N64" s="14">
        <v>100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/>
      <c r="V64" s="14"/>
      <c r="W64" s="14"/>
      <c r="Y64" s="14">
        <v>0.2</v>
      </c>
      <c r="Z64" s="14">
        <v>35</v>
      </c>
      <c r="AA64" s="14">
        <v>0</v>
      </c>
      <c r="AB64" s="14">
        <v>0</v>
      </c>
      <c r="AC64" s="14">
        <v>0</v>
      </c>
      <c r="AD64" s="14">
        <v>155.32499999999999</v>
      </c>
      <c r="AE64" s="14">
        <v>600</v>
      </c>
      <c r="AF64" s="14">
        <v>344.67500000000001</v>
      </c>
      <c r="AG64" s="14">
        <v>100</v>
      </c>
      <c r="AH64" s="14">
        <v>100</v>
      </c>
      <c r="AI64" s="2">
        <v>0</v>
      </c>
      <c r="AL64" s="14"/>
    </row>
    <row r="65" spans="3:38" x14ac:dyDescent="0.25">
      <c r="C65" s="2" t="s">
        <v>89</v>
      </c>
      <c r="D65" s="14">
        <v>0</v>
      </c>
      <c r="E65" s="14">
        <v>-107.1</v>
      </c>
      <c r="F65" s="14">
        <v>-1</v>
      </c>
      <c r="G65" s="14">
        <v>-96</v>
      </c>
      <c r="H65" s="14">
        <v>0</v>
      </c>
      <c r="I65" s="14">
        <v>-115</v>
      </c>
      <c r="J65" s="14">
        <v>0</v>
      </c>
      <c r="K65" s="14">
        <v>-102.8</v>
      </c>
      <c r="L65" s="14">
        <v>0</v>
      </c>
      <c r="M65" s="14">
        <v>-82.5</v>
      </c>
      <c r="N65" s="14">
        <v>0</v>
      </c>
      <c r="O65" s="14">
        <v>-71.099999999999994</v>
      </c>
      <c r="P65" s="14">
        <v>0</v>
      </c>
      <c r="Q65" s="14">
        <v>-37.5</v>
      </c>
      <c r="R65" s="14">
        <v>0</v>
      </c>
      <c r="S65" s="14">
        <v>-31.4</v>
      </c>
      <c r="T65" s="14">
        <v>0</v>
      </c>
      <c r="U65" s="14"/>
      <c r="V65" s="14"/>
      <c r="W65" s="14"/>
      <c r="Y65" s="14">
        <v>-69.599999999999994</v>
      </c>
      <c r="Z65" s="14">
        <v>-72.099999999999994</v>
      </c>
      <c r="AA65" s="14">
        <v>-82.8</v>
      </c>
      <c r="AB65" s="14">
        <v>-99.1</v>
      </c>
      <c r="AC65" s="14">
        <v>-122.93899999999999</v>
      </c>
      <c r="AD65" s="14">
        <v>-8.3879999999999999</v>
      </c>
      <c r="AE65" s="14">
        <v>-151.99799999999999</v>
      </c>
      <c r="AF65" s="14">
        <v>-204.08699999999999</v>
      </c>
      <c r="AG65" s="14">
        <v>-217.75299999999999</v>
      </c>
      <c r="AH65" s="14">
        <v>-153.66200000000001</v>
      </c>
      <c r="AI65" s="2">
        <v>-69</v>
      </c>
      <c r="AL65" s="14"/>
    </row>
    <row r="66" spans="3:38" x14ac:dyDescent="0.25">
      <c r="C66" s="2" t="s">
        <v>90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-8.1999999999999993</v>
      </c>
      <c r="O66" s="14">
        <v>-14.6</v>
      </c>
      <c r="P66" s="14">
        <v>-7.5</v>
      </c>
      <c r="Q66" s="14">
        <v>0</v>
      </c>
      <c r="R66" s="14">
        <v>0</v>
      </c>
      <c r="S66" s="14">
        <v>0</v>
      </c>
      <c r="T66" s="14">
        <v>-3.1</v>
      </c>
      <c r="U66" s="14"/>
      <c r="V66" s="14"/>
      <c r="W66" s="14"/>
      <c r="X66" s="14"/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-22.856999999999999</v>
      </c>
      <c r="AI66" s="2">
        <v>-8</v>
      </c>
      <c r="AL66" s="14"/>
    </row>
    <row r="67" spans="3:38" x14ac:dyDescent="0.25">
      <c r="C67" s="2" t="s">
        <v>91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-8.8000000000000007</v>
      </c>
      <c r="L67" s="14">
        <v>0</v>
      </c>
      <c r="M67" s="14">
        <v>0</v>
      </c>
      <c r="N67" s="14">
        <v>0</v>
      </c>
      <c r="O67" s="14">
        <v>-6.1</v>
      </c>
      <c r="P67" s="14">
        <v>0</v>
      </c>
      <c r="Q67" s="14">
        <v>0</v>
      </c>
      <c r="R67" s="14">
        <v>0</v>
      </c>
      <c r="S67" s="14">
        <v>0</v>
      </c>
      <c r="T67" s="14">
        <v>-8.6999999999999993</v>
      </c>
      <c r="U67" s="14"/>
      <c r="V67" s="14"/>
      <c r="W67" s="14"/>
      <c r="X67" s="14"/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-8.8000000000000007</v>
      </c>
      <c r="AH67" s="14">
        <v>-6</v>
      </c>
      <c r="AI67" s="2">
        <v>0</v>
      </c>
      <c r="AL67" s="14"/>
    </row>
    <row r="68" spans="3:38" x14ac:dyDescent="0.25">
      <c r="C68" s="1" t="s">
        <v>92</v>
      </c>
      <c r="D68" s="12">
        <f t="shared" ref="D68:O68" si="77">SUM(D63:D67)</f>
        <v>-138.69999999999999</v>
      </c>
      <c r="E68" s="12">
        <f t="shared" si="77"/>
        <v>-42.400000000000006</v>
      </c>
      <c r="F68" s="12">
        <f t="shared" si="77"/>
        <v>217.5</v>
      </c>
      <c r="G68" s="12">
        <f t="shared" si="77"/>
        <v>-232.6</v>
      </c>
      <c r="H68" s="12">
        <f t="shared" si="77"/>
        <v>-36.9</v>
      </c>
      <c r="I68" s="12">
        <f t="shared" si="77"/>
        <v>-53</v>
      </c>
      <c r="J68" s="12">
        <f t="shared" si="77"/>
        <v>-136.5</v>
      </c>
      <c r="K68" s="12">
        <f t="shared" si="77"/>
        <v>-247.5</v>
      </c>
      <c r="L68" s="12">
        <f t="shared" si="77"/>
        <v>-36.9</v>
      </c>
      <c r="M68" s="12">
        <f t="shared" si="77"/>
        <v>-119.3</v>
      </c>
      <c r="N68" s="12">
        <f t="shared" si="77"/>
        <v>55.5</v>
      </c>
      <c r="O68" s="12">
        <f t="shared" si="77"/>
        <v>-227.2</v>
      </c>
      <c r="P68" s="12">
        <f>SUM(P63:P67)</f>
        <v>-39.200000000000003</v>
      </c>
      <c r="Q68" s="12">
        <f>SUM(Q63:Q67)</f>
        <v>-177.5</v>
      </c>
      <c r="R68" s="12">
        <f t="shared" ref="R68:T68" si="78">SUM(R63:R67)</f>
        <v>-35.6</v>
      </c>
      <c r="S68" s="12">
        <f t="shared" si="78"/>
        <v>-134</v>
      </c>
      <c r="T68" s="12">
        <f t="shared" si="78"/>
        <v>-47.7</v>
      </c>
      <c r="U68" s="14"/>
      <c r="V68" s="14"/>
      <c r="W68" s="14"/>
      <c r="X68" s="14"/>
      <c r="Y68" s="12">
        <f t="shared" ref="Y68:AB68" si="79">SUM(Y63:Y67)</f>
        <v>-157.69999999999999</v>
      </c>
      <c r="Z68" s="12">
        <f t="shared" si="79"/>
        <v>-135.1</v>
      </c>
      <c r="AA68" s="12">
        <f t="shared" si="79"/>
        <v>-99.4</v>
      </c>
      <c r="AB68" s="12">
        <f t="shared" si="79"/>
        <v>-113.8</v>
      </c>
      <c r="AC68" s="12">
        <f t="shared" ref="AC68:AG68" si="80">SUM(AC63:AC67)</f>
        <v>-195.375</v>
      </c>
      <c r="AD68" s="12">
        <f t="shared" si="80"/>
        <v>56.385999999999989</v>
      </c>
      <c r="AE68" s="12">
        <f>SUM(AE63:AE67)+492.5</f>
        <v>126.60700000000003</v>
      </c>
      <c r="AF68" s="12">
        <f t="shared" si="80"/>
        <v>-88.237999999999971</v>
      </c>
      <c r="AG68" s="12">
        <f t="shared" si="80"/>
        <v>-575.55299999999988</v>
      </c>
      <c r="AH68" s="12">
        <f>SUM(AH63:AH67)</f>
        <v>-327.93399999999997</v>
      </c>
      <c r="AI68" s="12">
        <f>SUM(AI63:AI67)</f>
        <v>-387</v>
      </c>
      <c r="AL68" s="14"/>
    </row>
    <row r="69" spans="3:38" x14ac:dyDescent="0.25"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L69" s="14"/>
    </row>
    <row r="70" spans="3:38" x14ac:dyDescent="0.25">
      <c r="C70" s="2" t="s">
        <v>93</v>
      </c>
      <c r="D70" s="14">
        <f t="shared" ref="D70:O70" si="81">D58+D61+D68</f>
        <v>-54.299999999999969</v>
      </c>
      <c r="E70" s="14">
        <f t="shared" si="81"/>
        <v>-11.200000000000003</v>
      </c>
      <c r="F70" s="14">
        <f t="shared" si="81"/>
        <v>-76.300000000000011</v>
      </c>
      <c r="G70" s="14">
        <f t="shared" si="81"/>
        <v>-146.70000000000002</v>
      </c>
      <c r="H70" s="14">
        <f t="shared" si="81"/>
        <v>60.29999999999999</v>
      </c>
      <c r="I70" s="14">
        <f t="shared" si="81"/>
        <v>-90.399999999999977</v>
      </c>
      <c r="J70" s="14">
        <f t="shared" si="81"/>
        <v>-245.4</v>
      </c>
      <c r="K70" s="14">
        <f t="shared" si="81"/>
        <v>6.6000000000000227</v>
      </c>
      <c r="L70" s="14">
        <f t="shared" si="81"/>
        <v>60.29999999999999</v>
      </c>
      <c r="M70" s="14">
        <f t="shared" si="81"/>
        <v>-47.7</v>
      </c>
      <c r="N70" s="14">
        <f t="shared" si="81"/>
        <v>219.1</v>
      </c>
      <c r="O70" s="14">
        <f t="shared" si="81"/>
        <v>25.900000000000006</v>
      </c>
      <c r="P70" s="14">
        <f>P58+P61+P68</f>
        <v>-5.5000000000000213</v>
      </c>
      <c r="Q70" s="14">
        <f>Q58+Q61+Q68</f>
        <v>-136.29999999999998</v>
      </c>
      <c r="R70" s="14">
        <f t="shared" ref="R70:S70" si="82">R58+R61+R68</f>
        <v>-12.5</v>
      </c>
      <c r="S70" s="14">
        <f t="shared" si="82"/>
        <v>147.90000000000003</v>
      </c>
      <c r="T70" s="14">
        <f t="shared" ref="T70" si="83">T58+T61+T68</f>
        <v>44.099999999999994</v>
      </c>
      <c r="U70" s="14"/>
      <c r="V70" s="12"/>
      <c r="W70" s="12"/>
      <c r="X70" s="12"/>
      <c r="Y70" s="14">
        <f t="shared" ref="Y70:AB70" si="84">Y58+Y61+Y68</f>
        <v>-83.399999999999991</v>
      </c>
      <c r="Z70" s="14">
        <f t="shared" si="84"/>
        <v>26.30000000000004</v>
      </c>
      <c r="AA70" s="14">
        <f t="shared" si="84"/>
        <v>61.400000000000006</v>
      </c>
      <c r="AB70" s="14">
        <f t="shared" si="84"/>
        <v>92.300000000000026</v>
      </c>
      <c r="AC70" s="14">
        <f t="shared" ref="AC70:AH70" si="85">AC58+AC61+AC68</f>
        <v>83.632999999999981</v>
      </c>
      <c r="AD70" s="14">
        <f t="shared" si="85"/>
        <v>400.45699999999999</v>
      </c>
      <c r="AE70" s="14">
        <f t="shared" si="85"/>
        <v>177.38200000000006</v>
      </c>
      <c r="AF70" s="14">
        <f t="shared" si="85"/>
        <v>-363.41099999999994</v>
      </c>
      <c r="AG70" s="14">
        <f t="shared" si="85"/>
        <v>-382.70099999999979</v>
      </c>
      <c r="AH70" s="14">
        <f t="shared" si="85"/>
        <v>257.61400000000015</v>
      </c>
      <c r="AI70" s="14">
        <f t="shared" ref="AI70" si="86">AI58+AI61+AI68</f>
        <v>-7</v>
      </c>
      <c r="AL70" s="14"/>
    </row>
    <row r="71" spans="3:38" x14ac:dyDescent="0.25"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2"/>
      <c r="W71" s="12"/>
      <c r="X71" s="12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L71" s="14"/>
    </row>
    <row r="72" spans="3:38" x14ac:dyDescent="0.25">
      <c r="C72" s="2" t="s">
        <v>94</v>
      </c>
      <c r="D72" s="14">
        <f t="shared" ref="D72:O72" si="87">D58+D61</f>
        <v>84.40000000000002</v>
      </c>
      <c r="E72" s="14">
        <f t="shared" si="87"/>
        <v>31.200000000000003</v>
      </c>
      <c r="F72" s="14">
        <f t="shared" si="87"/>
        <v>-293.8</v>
      </c>
      <c r="G72" s="14">
        <f t="shared" si="87"/>
        <v>85.899999999999977</v>
      </c>
      <c r="H72" s="14">
        <f t="shared" si="87"/>
        <v>97.199999999999989</v>
      </c>
      <c r="I72" s="14">
        <f t="shared" si="87"/>
        <v>-37.399999999999977</v>
      </c>
      <c r="J72" s="14">
        <f t="shared" si="87"/>
        <v>-108.9</v>
      </c>
      <c r="K72" s="14">
        <f t="shared" si="87"/>
        <v>254.10000000000002</v>
      </c>
      <c r="L72" s="14">
        <f t="shared" si="87"/>
        <v>97.199999999999989</v>
      </c>
      <c r="M72" s="14">
        <f t="shared" si="87"/>
        <v>71.599999999999994</v>
      </c>
      <c r="N72" s="14">
        <f t="shared" si="87"/>
        <v>163.6</v>
      </c>
      <c r="O72" s="14">
        <f t="shared" si="87"/>
        <v>253.1</v>
      </c>
      <c r="P72" s="14">
        <f>P58+P61</f>
        <v>33.699999999999982</v>
      </c>
      <c r="Q72" s="14">
        <f>Q58+Q61</f>
        <v>41.20000000000001</v>
      </c>
      <c r="R72" s="14">
        <f t="shared" ref="R72:S72" si="88">R58+R61</f>
        <v>23.1</v>
      </c>
      <c r="S72" s="14">
        <f t="shared" si="88"/>
        <v>281.90000000000003</v>
      </c>
      <c r="T72" s="14">
        <f t="shared" ref="T72" si="89">T58+T61</f>
        <v>91.8</v>
      </c>
      <c r="U72" s="14"/>
      <c r="V72" s="12"/>
      <c r="W72" s="12"/>
      <c r="X72" s="12"/>
      <c r="Y72" s="14">
        <f t="shared" ref="Y72:AB72" si="90">Y58+Y61</f>
        <v>74.3</v>
      </c>
      <c r="Z72" s="14">
        <f t="shared" si="90"/>
        <v>161.40000000000003</v>
      </c>
      <c r="AA72" s="14">
        <f t="shared" si="90"/>
        <v>160.80000000000001</v>
      </c>
      <c r="AB72" s="14">
        <f t="shared" si="90"/>
        <v>206.10000000000002</v>
      </c>
      <c r="AC72" s="14">
        <f t="shared" ref="AC72:AH72" si="91">AC58+AC61</f>
        <v>279.00799999999998</v>
      </c>
      <c r="AD72" s="14">
        <f t="shared" si="91"/>
        <v>344.07100000000003</v>
      </c>
      <c r="AE72" s="14">
        <f t="shared" si="91"/>
        <v>50.775000000000034</v>
      </c>
      <c r="AF72" s="14">
        <f t="shared" si="91"/>
        <v>-275.17299999999994</v>
      </c>
      <c r="AG72" s="14">
        <f t="shared" si="91"/>
        <v>192.85200000000006</v>
      </c>
      <c r="AH72" s="14">
        <f t="shared" si="91"/>
        <v>585.54800000000012</v>
      </c>
      <c r="AI72" s="14">
        <f t="shared" ref="AI72" si="92">AI58+AI61</f>
        <v>380</v>
      </c>
      <c r="AL72" s="14"/>
    </row>
    <row r="73" spans="3:38" x14ac:dyDescent="0.25">
      <c r="C73" s="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3:38" x14ac:dyDescent="0.25"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3:38" x14ac:dyDescent="0.25"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3:38" x14ac:dyDescent="0.25"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4:AA39"/>
  <sheetViews>
    <sheetView showGridLines="0" workbookViewId="0">
      <pane xSplit="2" ySplit="4" topLeftCell="N5" activePane="bottomRight" state="frozen"/>
      <selection pane="topRight" activeCell="C1" sqref="C1"/>
      <selection pane="bottomLeft" activeCell="A5" sqref="A5"/>
      <selection pane="bottomRight" activeCell="V47" sqref="V47"/>
    </sheetView>
  </sheetViews>
  <sheetFormatPr baseColWidth="10" defaultRowHeight="19" x14ac:dyDescent="0.25"/>
  <cols>
    <col min="1" max="1" width="6.33203125" style="2" customWidth="1"/>
    <col min="2" max="2" width="16.5" style="2" bestFit="1" customWidth="1"/>
    <col min="3" max="16384" width="10.83203125" style="2"/>
  </cols>
  <sheetData>
    <row r="4" spans="2:27" x14ac:dyDescent="0.25">
      <c r="B4" s="2" t="s">
        <v>38</v>
      </c>
      <c r="C4" s="7" t="s">
        <v>3</v>
      </c>
      <c r="D4" s="7" t="s">
        <v>4</v>
      </c>
      <c r="E4" s="7" t="s">
        <v>5</v>
      </c>
      <c r="F4" s="7" t="s">
        <v>6</v>
      </c>
      <c r="G4" s="55">
        <v>2022</v>
      </c>
      <c r="H4" s="7" t="s">
        <v>7</v>
      </c>
      <c r="I4" s="7" t="s">
        <v>8</v>
      </c>
      <c r="J4" s="7" t="s">
        <v>9</v>
      </c>
      <c r="K4" s="7" t="s">
        <v>10</v>
      </c>
      <c r="L4" s="55">
        <v>2023</v>
      </c>
      <c r="M4" s="7" t="s">
        <v>11</v>
      </c>
      <c r="N4" s="7" t="s">
        <v>12</v>
      </c>
      <c r="O4" s="7" t="s">
        <v>13</v>
      </c>
      <c r="P4" s="7" t="s">
        <v>14</v>
      </c>
      <c r="Q4" s="55">
        <v>2024</v>
      </c>
      <c r="R4" s="7" t="s">
        <v>37</v>
      </c>
      <c r="S4" s="7" t="s">
        <v>31</v>
      </c>
      <c r="T4" s="7" t="s">
        <v>35</v>
      </c>
      <c r="U4" s="7" t="s">
        <v>36</v>
      </c>
      <c r="V4" s="50">
        <v>2025</v>
      </c>
      <c r="W4" s="7" t="s">
        <v>123</v>
      </c>
      <c r="X4" s="7" t="s">
        <v>124</v>
      </c>
      <c r="Y4" s="7" t="s">
        <v>125</v>
      </c>
      <c r="Z4" s="7" t="s">
        <v>126</v>
      </c>
      <c r="AA4" s="50">
        <v>2026</v>
      </c>
    </row>
    <row r="5" spans="2:27" x14ac:dyDescent="0.25">
      <c r="B5" s="1" t="s">
        <v>101</v>
      </c>
      <c r="G5" s="50"/>
      <c r="L5" s="50"/>
      <c r="Q5" s="50"/>
      <c r="V5" s="50"/>
      <c r="AA5" s="51"/>
    </row>
    <row r="6" spans="2:27" x14ac:dyDescent="0.25">
      <c r="B6" s="2" t="s">
        <v>102</v>
      </c>
      <c r="C6" s="14">
        <v>976</v>
      </c>
      <c r="D6" s="14">
        <v>832.7</v>
      </c>
      <c r="E6" s="14">
        <v>894.8</v>
      </c>
      <c r="F6" s="14">
        <v>1120.9000000000001</v>
      </c>
      <c r="G6" s="52">
        <f>SUM(C6:F6)</f>
        <v>3824.4</v>
      </c>
      <c r="H6" s="14">
        <v>1091.5</v>
      </c>
      <c r="I6" s="14">
        <v>936.3</v>
      </c>
      <c r="J6" s="14">
        <v>861.5</v>
      </c>
      <c r="K6" s="14">
        <v>1003.2</v>
      </c>
      <c r="L6" s="52">
        <f>SUM(H6:K6)</f>
        <v>3892.5</v>
      </c>
      <c r="M6" s="14">
        <v>988.9</v>
      </c>
      <c r="N6" s="14">
        <v>933.2</v>
      </c>
      <c r="O6" s="14">
        <v>749.9</v>
      </c>
      <c r="P6" s="14">
        <v>915.2</v>
      </c>
      <c r="Q6" s="52">
        <f>SUM(M6:P6)</f>
        <v>3587.2</v>
      </c>
      <c r="R6" s="14">
        <v>880.2</v>
      </c>
      <c r="S6" s="14">
        <v>802.9</v>
      </c>
      <c r="T6" s="14">
        <v>647.70000000000005</v>
      </c>
      <c r="U6" s="14">
        <v>770.5</v>
      </c>
      <c r="V6" s="52">
        <v>3366</v>
      </c>
      <c r="W6" s="14">
        <v>716.7</v>
      </c>
      <c r="X6" s="14"/>
      <c r="Y6" s="14"/>
      <c r="Z6" s="14"/>
      <c r="AA6" s="52">
        <f>SUM(W6:Z6)</f>
        <v>716.7</v>
      </c>
    </row>
    <row r="7" spans="2:27" x14ac:dyDescent="0.25">
      <c r="B7" s="30" t="s">
        <v>105</v>
      </c>
      <c r="C7" s="30"/>
      <c r="D7" s="30"/>
      <c r="E7" s="30"/>
      <c r="F7" s="30"/>
      <c r="G7" s="53"/>
      <c r="H7" s="30">
        <f t="shared" ref="H7:V7" si="0">(H6-C6)/C6</f>
        <v>0.11834016393442623</v>
      </c>
      <c r="I7" s="30">
        <f t="shared" si="0"/>
        <v>0.12441455506184688</v>
      </c>
      <c r="J7" s="30">
        <f t="shared" si="0"/>
        <v>-3.7215020116227043E-2</v>
      </c>
      <c r="K7" s="30">
        <f t="shared" si="0"/>
        <v>-0.10500490677134448</v>
      </c>
      <c r="L7" s="53">
        <f t="shared" si="0"/>
        <v>1.7806714778788806E-2</v>
      </c>
      <c r="M7" s="30">
        <f t="shared" si="0"/>
        <v>-9.3999083829592323E-2</v>
      </c>
      <c r="N7" s="30">
        <f t="shared" si="0"/>
        <v>-3.3109046245860399E-3</v>
      </c>
      <c r="O7" s="30">
        <f t="shared" si="0"/>
        <v>-0.12954149738827628</v>
      </c>
      <c r="P7" s="30">
        <f t="shared" si="0"/>
        <v>-8.771929824561403E-2</v>
      </c>
      <c r="Q7" s="53">
        <f t="shared" si="0"/>
        <v>-7.8432883750802873E-2</v>
      </c>
      <c r="R7" s="30">
        <f t="shared" si="0"/>
        <v>-0.10992011325715435</v>
      </c>
      <c r="S7" s="30">
        <f t="shared" si="0"/>
        <v>-0.13962708958422637</v>
      </c>
      <c r="T7" s="30">
        <f t="shared" si="0"/>
        <v>-0.13628483797839702</v>
      </c>
      <c r="U7" s="30">
        <f t="shared" si="0"/>
        <v>-0.15810751748251753</v>
      </c>
      <c r="V7" s="53">
        <f t="shared" si="0"/>
        <v>-6.1663693131132867E-2</v>
      </c>
      <c r="W7" s="30">
        <f t="shared" ref="W7" si="1">(W6-R6)/R6</f>
        <v>-0.18575323790047715</v>
      </c>
      <c r="X7" s="30">
        <f t="shared" ref="X7" si="2">(X6-S6)/S6</f>
        <v>-1</v>
      </c>
      <c r="Y7" s="30">
        <f t="shared" ref="Y7" si="3">(Y6-T6)/T6</f>
        <v>-1</v>
      </c>
      <c r="Z7" s="30">
        <f t="shared" ref="Z7" si="4">(Z6-U6)/U6</f>
        <v>-1</v>
      </c>
      <c r="AA7" s="53">
        <f t="shared" ref="AA7" si="5">(AA6-V6)/V6</f>
        <v>-0.78707664884135475</v>
      </c>
    </row>
    <row r="8" spans="2:27" x14ac:dyDescent="0.25">
      <c r="B8" s="2" t="s">
        <v>50</v>
      </c>
      <c r="C8" s="14">
        <v>126.2</v>
      </c>
      <c r="D8" s="14">
        <v>89.6</v>
      </c>
      <c r="E8" s="14">
        <v>72.2</v>
      </c>
      <c r="F8" s="14">
        <v>110.5</v>
      </c>
      <c r="G8" s="52">
        <f>SUM(C8:F8)</f>
        <v>398.5</v>
      </c>
      <c r="H8" s="14">
        <v>114.9</v>
      </c>
      <c r="I8" s="14">
        <v>46.5</v>
      </c>
      <c r="J8" s="14">
        <v>63.2</v>
      </c>
      <c r="K8" s="14">
        <v>91.9</v>
      </c>
      <c r="L8" s="52">
        <f>SUM(H8:K8)</f>
        <v>316.5</v>
      </c>
      <c r="M8" s="14">
        <v>82.7</v>
      </c>
      <c r="N8" s="14">
        <v>68</v>
      </c>
      <c r="O8" s="14">
        <v>60.7</v>
      </c>
      <c r="P8" s="14">
        <v>84.8</v>
      </c>
      <c r="Q8" s="52">
        <f>SUM(M8:P8)</f>
        <v>296.2</v>
      </c>
      <c r="R8" s="14">
        <v>80.3</v>
      </c>
      <c r="S8" s="14">
        <v>54.3</v>
      </c>
      <c r="T8" s="14">
        <v>64.2</v>
      </c>
      <c r="U8" s="14">
        <v>77.400000000000006</v>
      </c>
      <c r="V8" s="52">
        <f>SUM(R8:U8)</f>
        <v>276.20000000000005</v>
      </c>
      <c r="W8" s="14">
        <v>66.8</v>
      </c>
      <c r="X8" s="14"/>
      <c r="Y8" s="14"/>
      <c r="Z8" s="14"/>
      <c r="AA8" s="52">
        <f>SUM(W8:Z8)</f>
        <v>66.8</v>
      </c>
    </row>
    <row r="9" spans="2:27" x14ac:dyDescent="0.25">
      <c r="B9" s="11" t="s">
        <v>113</v>
      </c>
      <c r="C9" s="30">
        <f t="shared" ref="C9:P9" si="6">C8/C6</f>
        <v>0.12930327868852459</v>
      </c>
      <c r="D9" s="30">
        <f t="shared" si="6"/>
        <v>0.10760177735078659</v>
      </c>
      <c r="E9" s="30">
        <f t="shared" si="6"/>
        <v>8.0688421993741627E-2</v>
      </c>
      <c r="F9" s="30">
        <f t="shared" si="6"/>
        <v>9.8581497011330177E-2</v>
      </c>
      <c r="G9" s="53">
        <f t="shared" si="6"/>
        <v>0.10419935153226649</v>
      </c>
      <c r="H9" s="30">
        <f t="shared" si="6"/>
        <v>0.10526797984425104</v>
      </c>
      <c r="I9" s="30">
        <f t="shared" si="6"/>
        <v>4.9663569368792057E-2</v>
      </c>
      <c r="J9" s="30">
        <f t="shared" si="6"/>
        <v>7.3360417875798029E-2</v>
      </c>
      <c r="K9" s="30">
        <f t="shared" si="6"/>
        <v>9.160685805422647E-2</v>
      </c>
      <c r="L9" s="53">
        <f t="shared" si="6"/>
        <v>8.1310211946050093E-2</v>
      </c>
      <c r="M9" s="30">
        <f t="shared" si="6"/>
        <v>8.3628273839619779E-2</v>
      </c>
      <c r="N9" s="30">
        <f t="shared" si="6"/>
        <v>7.2867552507501071E-2</v>
      </c>
      <c r="O9" s="30">
        <f t="shared" si="6"/>
        <v>8.0944125883451137E-2</v>
      </c>
      <c r="P9" s="30">
        <f t="shared" si="6"/>
        <v>9.2657342657342656E-2</v>
      </c>
      <c r="Q9" s="53">
        <f>Q8/Q6</f>
        <v>8.2571364852809997E-2</v>
      </c>
      <c r="R9" s="30">
        <f>R8/R6</f>
        <v>9.1229266075891838E-2</v>
      </c>
      <c r="S9" s="30">
        <f t="shared" ref="S9:V9" si="7">S8/S6</f>
        <v>6.7629841823390213E-2</v>
      </c>
      <c r="T9" s="30">
        <f t="shared" si="7"/>
        <v>9.9119962945808243E-2</v>
      </c>
      <c r="U9" s="30">
        <f t="shared" si="7"/>
        <v>0.10045425048669696</v>
      </c>
      <c r="V9" s="53">
        <f t="shared" si="7"/>
        <v>8.2055852644087948E-2</v>
      </c>
      <c r="W9" s="30">
        <f>W8/W6</f>
        <v>9.3204967210827397E-2</v>
      </c>
      <c r="X9" s="30" t="e">
        <f t="shared" ref="X9:AA9" si="8">X8/X6</f>
        <v>#DIV/0!</v>
      </c>
      <c r="Y9" s="30" t="e">
        <f t="shared" si="8"/>
        <v>#DIV/0!</v>
      </c>
      <c r="Z9" s="30" t="e">
        <f t="shared" si="8"/>
        <v>#DIV/0!</v>
      </c>
      <c r="AA9" s="53">
        <f t="shared" si="8"/>
        <v>9.3204967210827397E-2</v>
      </c>
    </row>
    <row r="10" spans="2:27" x14ac:dyDescent="0.25">
      <c r="B10" s="2" t="s">
        <v>103</v>
      </c>
      <c r="C10" s="14">
        <v>1717</v>
      </c>
      <c r="D10" s="14">
        <v>1720</v>
      </c>
      <c r="E10" s="14">
        <v>1921</v>
      </c>
      <c r="F10" s="14">
        <v>1931</v>
      </c>
      <c r="G10" s="52">
        <v>1931</v>
      </c>
      <c r="H10" s="14">
        <v>1910</v>
      </c>
      <c r="I10" s="14">
        <v>1961</v>
      </c>
      <c r="J10" s="14">
        <v>1953</v>
      </c>
      <c r="K10" s="14">
        <v>1923</v>
      </c>
      <c r="L10" s="52">
        <v>1923</v>
      </c>
      <c r="M10" s="14">
        <v>1856</v>
      </c>
      <c r="N10" s="14">
        <v>1812</v>
      </c>
      <c r="O10" s="14">
        <v>1762</v>
      </c>
      <c r="P10" s="14">
        <v>1715</v>
      </c>
      <c r="Q10" s="52">
        <v>1715</v>
      </c>
      <c r="R10" s="14">
        <v>1671</v>
      </c>
      <c r="S10" s="14">
        <v>1646</v>
      </c>
      <c r="T10" s="14">
        <v>1656</v>
      </c>
      <c r="U10" s="14">
        <v>1636</v>
      </c>
      <c r="V10" s="52">
        <v>1636</v>
      </c>
      <c r="W10" s="14">
        <v>1508</v>
      </c>
      <c r="X10" s="14"/>
      <c r="Y10" s="14"/>
      <c r="Z10" s="14"/>
      <c r="AA10" s="52"/>
    </row>
    <row r="11" spans="2:27" ht="20" thickBot="1" x14ac:dyDescent="0.3">
      <c r="B11" s="34" t="s">
        <v>117</v>
      </c>
      <c r="C11" s="35"/>
      <c r="D11" s="35"/>
      <c r="E11" s="35"/>
      <c r="F11" s="35"/>
      <c r="G11" s="56"/>
      <c r="H11" s="35">
        <f t="shared" ref="H11:AA11" si="9">(H10-C10)/C10</f>
        <v>0.11240535818287711</v>
      </c>
      <c r="I11" s="35">
        <f t="shared" si="9"/>
        <v>0.14011627906976745</v>
      </c>
      <c r="J11" s="35">
        <f t="shared" si="9"/>
        <v>1.665799062988027E-2</v>
      </c>
      <c r="K11" s="35">
        <f t="shared" si="9"/>
        <v>-4.142931123770067E-3</v>
      </c>
      <c r="L11" s="54">
        <f t="shared" si="9"/>
        <v>-4.142931123770067E-3</v>
      </c>
      <c r="M11" s="35">
        <f t="shared" si="9"/>
        <v>-2.8272251308900525E-2</v>
      </c>
      <c r="N11" s="35">
        <f t="shared" si="9"/>
        <v>-7.5981642019377862E-2</v>
      </c>
      <c r="O11" s="35">
        <f t="shared" si="9"/>
        <v>-9.7798259088581668E-2</v>
      </c>
      <c r="P11" s="35">
        <f t="shared" si="9"/>
        <v>-0.10816432657306292</v>
      </c>
      <c r="Q11" s="54">
        <f t="shared" si="9"/>
        <v>-0.10816432657306292</v>
      </c>
      <c r="R11" s="35">
        <f t="shared" si="9"/>
        <v>-9.9676724137931036E-2</v>
      </c>
      <c r="S11" s="35">
        <f t="shared" si="9"/>
        <v>-9.1611479028697568E-2</v>
      </c>
      <c r="T11" s="35">
        <f t="shared" si="9"/>
        <v>-6.0158910329171394E-2</v>
      </c>
      <c r="U11" s="35">
        <f t="shared" si="9"/>
        <v>-4.6064139941690965E-2</v>
      </c>
      <c r="V11" s="54">
        <f t="shared" si="9"/>
        <v>-4.6064139941690965E-2</v>
      </c>
      <c r="W11" s="35">
        <f t="shared" si="9"/>
        <v>-9.7546379413524842E-2</v>
      </c>
      <c r="X11" s="35">
        <f t="shared" si="9"/>
        <v>-1</v>
      </c>
      <c r="Y11" s="35">
        <f t="shared" si="9"/>
        <v>-1</v>
      </c>
      <c r="Z11" s="35">
        <f t="shared" si="9"/>
        <v>-1</v>
      </c>
      <c r="AA11" s="54">
        <f t="shared" si="9"/>
        <v>-1</v>
      </c>
    </row>
    <row r="12" spans="2:27" x14ac:dyDescent="0.25">
      <c r="B12" s="1" t="s">
        <v>104</v>
      </c>
      <c r="G12" s="50"/>
      <c r="L12" s="50"/>
      <c r="Q12" s="50"/>
      <c r="V12" s="50"/>
      <c r="AA12" s="50"/>
    </row>
    <row r="13" spans="2:27" x14ac:dyDescent="0.25">
      <c r="B13" s="2" t="s">
        <v>102</v>
      </c>
      <c r="C13" s="14">
        <v>413.2</v>
      </c>
      <c r="D13" s="14">
        <v>401.5</v>
      </c>
      <c r="E13" s="14">
        <v>338.7</v>
      </c>
      <c r="F13" s="14">
        <v>431.9</v>
      </c>
      <c r="G13" s="52">
        <f>SUM(C13:F13)</f>
        <v>1585.3000000000002</v>
      </c>
      <c r="H13" s="14">
        <v>447</v>
      </c>
      <c r="I13" s="14">
        <v>366.4</v>
      </c>
      <c r="J13" s="14">
        <v>306.3</v>
      </c>
      <c r="K13" s="14">
        <v>354.8</v>
      </c>
      <c r="L13" s="52">
        <f>SUM(H13:K13)</f>
        <v>1474.5</v>
      </c>
      <c r="M13" s="14">
        <v>335.2</v>
      </c>
      <c r="N13" s="14">
        <v>320.3</v>
      </c>
      <c r="O13" s="14">
        <v>235.4</v>
      </c>
      <c r="P13" s="14">
        <v>290</v>
      </c>
      <c r="Q13" s="52">
        <f>SUM(M13:P13)</f>
        <v>1180.9000000000001</v>
      </c>
      <c r="R13" s="14">
        <v>286.10000000000002</v>
      </c>
      <c r="S13" s="14">
        <v>267.39999999999998</v>
      </c>
      <c r="T13" s="14">
        <v>225.1</v>
      </c>
      <c r="U13" s="14">
        <v>274.3</v>
      </c>
      <c r="V13" s="52">
        <f>SUM(R13:U13)</f>
        <v>1052.9000000000001</v>
      </c>
      <c r="W13" s="14">
        <v>276.10000000000002</v>
      </c>
      <c r="X13" s="14"/>
      <c r="Y13" s="14"/>
      <c r="Z13" s="14"/>
      <c r="AA13" s="52">
        <f>SUM(W13:Z13)</f>
        <v>276.10000000000002</v>
      </c>
    </row>
    <row r="14" spans="2:27" x14ac:dyDescent="0.25">
      <c r="B14" s="30" t="s">
        <v>105</v>
      </c>
      <c r="C14" s="30"/>
      <c r="D14" s="30"/>
      <c r="E14" s="30"/>
      <c r="F14" s="30"/>
      <c r="G14" s="53"/>
      <c r="H14" s="30">
        <f t="shared" ref="H14:V14" si="10">(H13-C13)/C13</f>
        <v>8.1800580832526656E-2</v>
      </c>
      <c r="I14" s="30">
        <f t="shared" si="10"/>
        <v>-8.7422166874221732E-2</v>
      </c>
      <c r="J14" s="30">
        <f t="shared" si="10"/>
        <v>-9.5659875996456978E-2</v>
      </c>
      <c r="K14" s="30">
        <f t="shared" si="10"/>
        <v>-0.17851354480203743</v>
      </c>
      <c r="L14" s="53">
        <f t="shared" si="10"/>
        <v>-6.989213398095008E-2</v>
      </c>
      <c r="M14" s="30">
        <f t="shared" si="10"/>
        <v>-0.25011185682326625</v>
      </c>
      <c r="N14" s="30">
        <f t="shared" si="10"/>
        <v>-0.12581877729257634</v>
      </c>
      <c r="O14" s="30">
        <f t="shared" si="10"/>
        <v>-0.23147241266731963</v>
      </c>
      <c r="P14" s="30">
        <f t="shared" si="10"/>
        <v>-0.18263810597519731</v>
      </c>
      <c r="Q14" s="53">
        <f t="shared" si="10"/>
        <v>-0.19911834520176325</v>
      </c>
      <c r="R14" s="30">
        <f t="shared" si="10"/>
        <v>-0.14647971360381851</v>
      </c>
      <c r="S14" s="30">
        <f t="shared" si="10"/>
        <v>-0.16515766468935383</v>
      </c>
      <c r="T14" s="30">
        <f t="shared" si="10"/>
        <v>-4.3755310110450342E-2</v>
      </c>
      <c r="U14" s="30">
        <f t="shared" si="10"/>
        <v>-5.4137931034482722E-2</v>
      </c>
      <c r="V14" s="53">
        <f t="shared" si="10"/>
        <v>-0.10839190447963416</v>
      </c>
      <c r="W14" s="30">
        <f t="shared" ref="W14" si="11">(W13-R13)/R13</f>
        <v>-3.4952813701502966E-2</v>
      </c>
      <c r="X14" s="30">
        <f t="shared" ref="X14" si="12">(X13-S13)/S13</f>
        <v>-1</v>
      </c>
      <c r="Y14" s="30">
        <f t="shared" ref="Y14" si="13">(Y13-T13)/T13</f>
        <v>-1</v>
      </c>
      <c r="Z14" s="30">
        <f t="shared" ref="Z14" si="14">(Z13-U13)/U13</f>
        <v>-1</v>
      </c>
      <c r="AA14" s="53">
        <f t="shared" ref="AA14" si="15">(AA13-V13)/V13</f>
        <v>-0.73777186817361573</v>
      </c>
    </row>
    <row r="15" spans="2:27" x14ac:dyDescent="0.25">
      <c r="B15" s="2" t="s">
        <v>50</v>
      </c>
      <c r="C15" s="14">
        <v>59.3</v>
      </c>
      <c r="D15" s="14">
        <v>38.799999999999997</v>
      </c>
      <c r="E15" s="14">
        <v>21.4</v>
      </c>
      <c r="F15" s="14">
        <v>48.4</v>
      </c>
      <c r="G15" s="52">
        <f>SUM(C15:F15)</f>
        <v>167.9</v>
      </c>
      <c r="H15" s="14">
        <v>59.1</v>
      </c>
      <c r="I15" s="14">
        <v>20.100000000000001</v>
      </c>
      <c r="J15" s="14">
        <v>7.4</v>
      </c>
      <c r="K15" s="14">
        <v>29</v>
      </c>
      <c r="L15" s="52">
        <f>SUM(H15:K15)</f>
        <v>115.60000000000001</v>
      </c>
      <c r="M15" s="14">
        <v>28</v>
      </c>
      <c r="N15" s="14">
        <v>19.3</v>
      </c>
      <c r="O15" s="14">
        <v>-1.3</v>
      </c>
      <c r="P15" s="14">
        <v>8</v>
      </c>
      <c r="Q15" s="52">
        <f>SUM(M15:P15)</f>
        <v>54</v>
      </c>
      <c r="R15" s="14">
        <v>17.7</v>
      </c>
      <c r="S15" s="14">
        <v>6.3</v>
      </c>
      <c r="T15" s="14">
        <v>6.8</v>
      </c>
      <c r="U15" s="14">
        <v>17</v>
      </c>
      <c r="V15" s="52">
        <f>SUM(R15:U15)</f>
        <v>47.8</v>
      </c>
      <c r="W15" s="14">
        <v>17.3</v>
      </c>
      <c r="X15" s="14"/>
      <c r="Y15" s="14"/>
      <c r="Z15" s="14"/>
      <c r="AA15" s="52">
        <f>SUM(W15:Z15)</f>
        <v>17.3</v>
      </c>
    </row>
    <row r="16" spans="2:27" x14ac:dyDescent="0.25">
      <c r="B16" s="11" t="s">
        <v>113</v>
      </c>
      <c r="C16" s="30">
        <f t="shared" ref="C16" si="16">C15/C13</f>
        <v>0.14351403678606001</v>
      </c>
      <c r="D16" s="30">
        <f t="shared" ref="D16" si="17">D15/D13</f>
        <v>9.6637608966376076E-2</v>
      </c>
      <c r="E16" s="30">
        <f t="shared" ref="E16" si="18">E15/E13</f>
        <v>6.3182757602598172E-2</v>
      </c>
      <c r="F16" s="30">
        <f t="shared" ref="F16:G16" si="19">F15/F13</f>
        <v>0.11206297754109748</v>
      </c>
      <c r="G16" s="53">
        <f t="shared" si="19"/>
        <v>0.10591055320759477</v>
      </c>
      <c r="H16" s="30">
        <f t="shared" ref="H16" si="20">H15/H13</f>
        <v>0.13221476510067115</v>
      </c>
      <c r="I16" s="30">
        <f t="shared" ref="I16" si="21">I15/I13</f>
        <v>5.4858078602620097E-2</v>
      </c>
      <c r="J16" s="30">
        <f t="shared" ref="J16" si="22">J15/J13</f>
        <v>2.4159320927195561E-2</v>
      </c>
      <c r="K16" s="30">
        <f t="shared" ref="K16:L16" si="23">K15/K13</f>
        <v>8.1736189402480272E-2</v>
      </c>
      <c r="L16" s="53">
        <f t="shared" si="23"/>
        <v>7.8399457443201093E-2</v>
      </c>
      <c r="M16" s="30">
        <f t="shared" ref="M16" si="24">M15/M13</f>
        <v>8.3532219570405727E-2</v>
      </c>
      <c r="N16" s="30">
        <f t="shared" ref="N16" si="25">N15/N13</f>
        <v>6.0256009990633783E-2</v>
      </c>
      <c r="O16" s="30">
        <f t="shared" ref="O16" si="26">O15/O13</f>
        <v>-5.5225148683092605E-3</v>
      </c>
      <c r="P16" s="30">
        <f t="shared" ref="P16:Q16" si="27">P15/P13</f>
        <v>2.7586206896551724E-2</v>
      </c>
      <c r="Q16" s="53">
        <f t="shared" si="27"/>
        <v>4.5727834702345663E-2</v>
      </c>
      <c r="R16" s="30">
        <f t="shared" ref="R16" si="28">R15/R13</f>
        <v>6.186648025166025E-2</v>
      </c>
      <c r="S16" s="30">
        <f t="shared" ref="S16" si="29">S15/S13</f>
        <v>2.356020942408377E-2</v>
      </c>
      <c r="T16" s="30">
        <f>T15/T13</f>
        <v>3.0208796090626388E-2</v>
      </c>
      <c r="U16" s="30">
        <f t="shared" ref="U16:X16" si="30">U15/U13</f>
        <v>6.1975938753189935E-2</v>
      </c>
      <c r="V16" s="53">
        <f t="shared" si="30"/>
        <v>4.5398423402032477E-2</v>
      </c>
      <c r="W16" s="30">
        <f t="shared" si="30"/>
        <v>6.2658457080767838E-2</v>
      </c>
      <c r="X16" s="30" t="e">
        <f t="shared" si="30"/>
        <v>#DIV/0!</v>
      </c>
      <c r="Y16" s="30" t="e">
        <f>Y15/Y13</f>
        <v>#DIV/0!</v>
      </c>
      <c r="Z16" s="30" t="e">
        <f t="shared" ref="Z16:AA16" si="31">Z15/Z13</f>
        <v>#DIV/0!</v>
      </c>
      <c r="AA16" s="53">
        <f t="shared" si="31"/>
        <v>6.2658457080767838E-2</v>
      </c>
    </row>
    <row r="17" spans="2:27" x14ac:dyDescent="0.25">
      <c r="B17" s="2" t="s">
        <v>103</v>
      </c>
      <c r="C17" s="14">
        <v>959</v>
      </c>
      <c r="D17" s="14">
        <v>960</v>
      </c>
      <c r="E17" s="14">
        <v>1002</v>
      </c>
      <c r="F17" s="14">
        <v>1000</v>
      </c>
      <c r="G17" s="52">
        <v>1000</v>
      </c>
      <c r="H17" s="14">
        <v>987</v>
      </c>
      <c r="I17" s="14">
        <v>975</v>
      </c>
      <c r="J17" s="14">
        <v>979</v>
      </c>
      <c r="K17" s="14">
        <v>937</v>
      </c>
      <c r="L17" s="52">
        <v>937</v>
      </c>
      <c r="M17" s="14">
        <v>889</v>
      </c>
      <c r="N17" s="14">
        <v>846</v>
      </c>
      <c r="O17" s="14">
        <v>817</v>
      </c>
      <c r="P17" s="14">
        <v>805</v>
      </c>
      <c r="Q17" s="52">
        <v>805</v>
      </c>
      <c r="R17" s="14">
        <v>775</v>
      </c>
      <c r="S17" s="14">
        <v>770</v>
      </c>
      <c r="T17" s="14">
        <v>775</v>
      </c>
      <c r="U17" s="14">
        <v>763</v>
      </c>
      <c r="V17" s="52">
        <v>763</v>
      </c>
      <c r="W17" s="14">
        <v>726</v>
      </c>
      <c r="X17" s="14"/>
      <c r="Y17" s="14"/>
      <c r="Z17" s="14"/>
      <c r="AA17" s="52"/>
    </row>
    <row r="18" spans="2:27" ht="20" thickBot="1" x14ac:dyDescent="0.3">
      <c r="B18" s="34" t="s">
        <v>117</v>
      </c>
      <c r="C18" s="35"/>
      <c r="D18" s="35"/>
      <c r="E18" s="35"/>
      <c r="F18" s="35"/>
      <c r="G18" s="56"/>
      <c r="H18" s="35">
        <f t="shared" ref="H18:AA18" si="32">(H17-C17)/C17</f>
        <v>2.9197080291970802E-2</v>
      </c>
      <c r="I18" s="35">
        <f t="shared" si="32"/>
        <v>1.5625E-2</v>
      </c>
      <c r="J18" s="35">
        <f t="shared" si="32"/>
        <v>-2.2954091816367265E-2</v>
      </c>
      <c r="K18" s="35">
        <f t="shared" si="32"/>
        <v>-6.3E-2</v>
      </c>
      <c r="L18" s="54">
        <f t="shared" si="32"/>
        <v>-6.3E-2</v>
      </c>
      <c r="M18" s="35">
        <f t="shared" si="32"/>
        <v>-9.9290780141843976E-2</v>
      </c>
      <c r="N18" s="35">
        <f t="shared" si="32"/>
        <v>-0.13230769230769232</v>
      </c>
      <c r="O18" s="35">
        <f t="shared" si="32"/>
        <v>-0.16547497446373852</v>
      </c>
      <c r="P18" s="35">
        <f t="shared" si="32"/>
        <v>-0.14087513340448238</v>
      </c>
      <c r="Q18" s="54">
        <f t="shared" si="32"/>
        <v>-0.14087513340448238</v>
      </c>
      <c r="R18" s="35">
        <f t="shared" si="32"/>
        <v>-0.12823397075365578</v>
      </c>
      <c r="S18" s="35">
        <f t="shared" si="32"/>
        <v>-8.9834515366430265E-2</v>
      </c>
      <c r="T18" s="35">
        <f t="shared" si="32"/>
        <v>-5.1407588739290085E-2</v>
      </c>
      <c r="U18" s="35">
        <f t="shared" si="32"/>
        <v>-5.2173913043478258E-2</v>
      </c>
      <c r="V18" s="54">
        <f t="shared" si="32"/>
        <v>-5.2173913043478258E-2</v>
      </c>
      <c r="W18" s="35">
        <f t="shared" si="32"/>
        <v>-6.3225806451612909E-2</v>
      </c>
      <c r="X18" s="35">
        <f t="shared" si="32"/>
        <v>-1</v>
      </c>
      <c r="Y18" s="35">
        <f t="shared" si="32"/>
        <v>-1</v>
      </c>
      <c r="Z18" s="35">
        <f t="shared" si="32"/>
        <v>-1</v>
      </c>
      <c r="AA18" s="54">
        <f t="shared" si="32"/>
        <v>-1</v>
      </c>
    </row>
    <row r="19" spans="2:27" x14ac:dyDescent="0.25">
      <c r="B19" s="1" t="s">
        <v>106</v>
      </c>
      <c r="G19" s="50"/>
      <c r="L19" s="50"/>
      <c r="Q19" s="50"/>
      <c r="V19" s="50"/>
      <c r="AA19" s="50"/>
    </row>
    <row r="20" spans="2:27" x14ac:dyDescent="0.25">
      <c r="B20" s="2" t="s">
        <v>102</v>
      </c>
      <c r="C20" s="14">
        <v>246</v>
      </c>
      <c r="D20" s="14">
        <v>259.39999999999998</v>
      </c>
      <c r="E20" s="14">
        <v>247.5</v>
      </c>
      <c r="F20" s="14">
        <v>287.5</v>
      </c>
      <c r="G20" s="52">
        <f>SUM(C20:F20)</f>
        <v>1040.4000000000001</v>
      </c>
      <c r="H20" s="14">
        <v>304.10000000000002</v>
      </c>
      <c r="I20" s="14">
        <v>236.2</v>
      </c>
      <c r="J20" s="14">
        <v>225.8</v>
      </c>
      <c r="K20" s="14">
        <v>244</v>
      </c>
      <c r="L20" s="52">
        <f>SUM(H20:K20)</f>
        <v>1010.0999999999999</v>
      </c>
      <c r="M20" s="14">
        <v>219.4</v>
      </c>
      <c r="N20" s="14">
        <v>206.7</v>
      </c>
      <c r="O20" s="14">
        <v>189.3</v>
      </c>
      <c r="P20" s="14">
        <v>211.6</v>
      </c>
      <c r="Q20" s="52">
        <f>SUM(M20:P20)</f>
        <v>827.00000000000011</v>
      </c>
      <c r="R20" s="14">
        <v>208.4</v>
      </c>
      <c r="S20" s="14">
        <v>200.9</v>
      </c>
      <c r="T20" s="14">
        <v>190.8</v>
      </c>
      <c r="U20" s="14">
        <v>224.6</v>
      </c>
      <c r="V20" s="52">
        <v>819</v>
      </c>
      <c r="W20" s="14">
        <v>145.30000000000001</v>
      </c>
      <c r="X20" s="14"/>
      <c r="Y20" s="14"/>
      <c r="Z20" s="14"/>
      <c r="AA20" s="52">
        <f>SUM(W20:Z20)</f>
        <v>145.30000000000001</v>
      </c>
    </row>
    <row r="21" spans="2:27" x14ac:dyDescent="0.25">
      <c r="B21" s="30" t="s">
        <v>105</v>
      </c>
      <c r="C21" s="30"/>
      <c r="D21" s="30"/>
      <c r="E21" s="30"/>
      <c r="F21" s="30"/>
      <c r="G21" s="53"/>
      <c r="H21" s="30">
        <f t="shared" ref="H21:V21" si="33">(H20-C20)/C20</f>
        <v>0.23617886178861797</v>
      </c>
      <c r="I21" s="30">
        <f t="shared" si="33"/>
        <v>-8.9437162683114843E-2</v>
      </c>
      <c r="J21" s="30">
        <f t="shared" si="33"/>
        <v>-8.7676767676767631E-2</v>
      </c>
      <c r="K21" s="30">
        <f t="shared" si="33"/>
        <v>-0.15130434782608695</v>
      </c>
      <c r="L21" s="53">
        <f t="shared" si="33"/>
        <v>-2.9123414071511131E-2</v>
      </c>
      <c r="M21" s="30">
        <f t="shared" si="33"/>
        <v>-0.27852680039460709</v>
      </c>
      <c r="N21" s="30">
        <f t="shared" si="33"/>
        <v>-0.12489415749364946</v>
      </c>
      <c r="O21" s="30">
        <f t="shared" si="33"/>
        <v>-0.1616474756421612</v>
      </c>
      <c r="P21" s="30">
        <f t="shared" si="33"/>
        <v>-0.13278688524590165</v>
      </c>
      <c r="Q21" s="53">
        <f t="shared" si="33"/>
        <v>-0.1812691812691811</v>
      </c>
      <c r="R21" s="30">
        <f t="shared" si="33"/>
        <v>-5.013673655423883E-2</v>
      </c>
      <c r="S21" s="30">
        <f t="shared" si="33"/>
        <v>-2.8059990324141186E-2</v>
      </c>
      <c r="T21" s="30">
        <f t="shared" si="33"/>
        <v>7.9239302694136295E-3</v>
      </c>
      <c r="U21" s="30">
        <f t="shared" si="33"/>
        <v>6.1436672967863898E-2</v>
      </c>
      <c r="V21" s="53">
        <f t="shared" si="33"/>
        <v>-9.6735187424427001E-3</v>
      </c>
      <c r="W21" s="30">
        <f t="shared" ref="W21" si="34">(W20-R20)/R20</f>
        <v>-0.30278310940499037</v>
      </c>
      <c r="X21" s="30">
        <f t="shared" ref="X21" si="35">(X20-S20)/S20</f>
        <v>-1</v>
      </c>
      <c r="Y21" s="30">
        <f t="shared" ref="Y21" si="36">(Y20-T20)/T20</f>
        <v>-1</v>
      </c>
      <c r="Z21" s="30">
        <f t="shared" ref="Z21" si="37">(Z20-U20)/U20</f>
        <v>-1</v>
      </c>
      <c r="AA21" s="53">
        <f t="shared" ref="AA21" si="38">(AA20-V20)/V20</f>
        <v>-0.82258852258852266</v>
      </c>
    </row>
    <row r="22" spans="2:27" x14ac:dyDescent="0.25">
      <c r="B22" s="2" t="s">
        <v>50</v>
      </c>
      <c r="C22" s="14">
        <v>29.4</v>
      </c>
      <c r="D22" s="14">
        <v>25.4</v>
      </c>
      <c r="E22" s="14">
        <v>29</v>
      </c>
      <c r="F22" s="14">
        <v>34.700000000000003</v>
      </c>
      <c r="G22" s="52">
        <f>SUM(C22:F22)</f>
        <v>118.5</v>
      </c>
      <c r="H22" s="14">
        <v>34.799999999999997</v>
      </c>
      <c r="I22" s="14">
        <v>19.3</v>
      </c>
      <c r="J22" s="14">
        <v>26.2</v>
      </c>
      <c r="K22" s="14">
        <v>31</v>
      </c>
      <c r="L22" s="52">
        <f>SUM(H22:K22)</f>
        <v>111.3</v>
      </c>
      <c r="M22" s="14">
        <v>28.5</v>
      </c>
      <c r="N22" s="14">
        <v>16.600000000000001</v>
      </c>
      <c r="O22" s="14">
        <v>21.3</v>
      </c>
      <c r="P22" s="14">
        <v>22.6</v>
      </c>
      <c r="Q22" s="52">
        <f>SUM(M22:P22)</f>
        <v>89</v>
      </c>
      <c r="R22" s="14">
        <v>17.3</v>
      </c>
      <c r="S22" s="14">
        <v>13.4</v>
      </c>
      <c r="T22" s="14">
        <v>20.7</v>
      </c>
      <c r="U22" s="14">
        <v>25.4</v>
      </c>
      <c r="V22" s="52">
        <f>SUM(R22:U22)</f>
        <v>76.800000000000011</v>
      </c>
      <c r="W22" s="14">
        <v>7.8</v>
      </c>
      <c r="X22" s="14"/>
      <c r="Y22" s="14"/>
      <c r="Z22" s="14"/>
      <c r="AA22" s="52">
        <f>SUM(W22:Z22)</f>
        <v>7.8</v>
      </c>
    </row>
    <row r="23" spans="2:27" x14ac:dyDescent="0.25">
      <c r="B23" s="11" t="s">
        <v>113</v>
      </c>
      <c r="C23" s="30">
        <f t="shared" ref="C23:D23" si="39">C22/C20</f>
        <v>0.11951219512195121</v>
      </c>
      <c r="D23" s="30">
        <f t="shared" si="39"/>
        <v>9.7918272937548193E-2</v>
      </c>
      <c r="E23" s="30">
        <f t="shared" ref="E23" si="40">E22/E20</f>
        <v>0.11717171717171718</v>
      </c>
      <c r="F23" s="30">
        <f t="shared" ref="F23:G23" si="41">F22/F20</f>
        <v>0.12069565217391305</v>
      </c>
      <c r="G23" s="53">
        <f t="shared" si="41"/>
        <v>0.11389850057670126</v>
      </c>
      <c r="H23" s="30">
        <f t="shared" ref="H23" si="42">H22/H20</f>
        <v>0.11443604077606048</v>
      </c>
      <c r="I23" s="30">
        <f t="shared" ref="I23" si="43">I22/I20</f>
        <v>8.17104149026249E-2</v>
      </c>
      <c r="J23" s="30">
        <f t="shared" ref="J23" si="44">J22/J20</f>
        <v>0.11603188662533215</v>
      </c>
      <c r="K23" s="30">
        <f t="shared" ref="K23:L23" si="45">K22/K20</f>
        <v>0.12704918032786885</v>
      </c>
      <c r="L23" s="53">
        <f t="shared" si="45"/>
        <v>0.11018711018711019</v>
      </c>
      <c r="M23" s="30">
        <f t="shared" ref="M23" si="46">M22/M20</f>
        <v>0.12989972652689152</v>
      </c>
      <c r="N23" s="30">
        <f t="shared" ref="N23" si="47">N22/N20</f>
        <v>8.0309627479438817E-2</v>
      </c>
      <c r="O23" s="30">
        <f t="shared" ref="O23" si="48">O22/O20</f>
        <v>0.11251980982567353</v>
      </c>
      <c r="P23" s="30">
        <f t="shared" ref="P23:Q23" si="49">P22/P20</f>
        <v>0.10680529300567108</v>
      </c>
      <c r="Q23" s="53">
        <f t="shared" si="49"/>
        <v>0.1076178960096735</v>
      </c>
      <c r="R23" s="30">
        <f t="shared" ref="R23" si="50">R22/R20</f>
        <v>8.3013435700575816E-2</v>
      </c>
      <c r="S23" s="30">
        <f t="shared" ref="S23" si="51">S22/S20</f>
        <v>6.6699850671976105E-2</v>
      </c>
      <c r="T23" s="30">
        <f>T22/T20</f>
        <v>0.10849056603773584</v>
      </c>
      <c r="U23" s="30">
        <f t="shared" ref="U23:X23" si="52">U22/U20</f>
        <v>0.11308993766696349</v>
      </c>
      <c r="V23" s="53">
        <f t="shared" si="52"/>
        <v>9.3772893772893787E-2</v>
      </c>
      <c r="W23" s="30">
        <f t="shared" si="52"/>
        <v>5.3682037164487259E-2</v>
      </c>
      <c r="X23" s="30" t="e">
        <f t="shared" si="52"/>
        <v>#DIV/0!</v>
      </c>
      <c r="Y23" s="30" t="e">
        <f>Y22/Y20</f>
        <v>#DIV/0!</v>
      </c>
      <c r="Z23" s="30" t="e">
        <f t="shared" ref="Z23:AA23" si="53">Z22/Z20</f>
        <v>#DIV/0!</v>
      </c>
      <c r="AA23" s="53">
        <f t="shared" si="53"/>
        <v>5.3682037164487259E-2</v>
      </c>
    </row>
    <row r="24" spans="2:27" x14ac:dyDescent="0.25">
      <c r="B24" s="2" t="s">
        <v>103</v>
      </c>
      <c r="C24" s="14">
        <v>676</v>
      </c>
      <c r="D24" s="14">
        <v>740</v>
      </c>
      <c r="E24" s="14">
        <v>757</v>
      </c>
      <c r="F24" s="14">
        <v>773</v>
      </c>
      <c r="G24" s="52">
        <v>773</v>
      </c>
      <c r="H24" s="14">
        <v>774</v>
      </c>
      <c r="I24" s="14">
        <v>764</v>
      </c>
      <c r="J24" s="14">
        <v>763</v>
      </c>
      <c r="K24" s="14">
        <v>739</v>
      </c>
      <c r="L24" s="52">
        <v>739</v>
      </c>
      <c r="M24" s="14">
        <v>717</v>
      </c>
      <c r="N24" s="14">
        <v>710</v>
      </c>
      <c r="O24" s="14">
        <v>709</v>
      </c>
      <c r="P24" s="14">
        <v>697</v>
      </c>
      <c r="Q24" s="52">
        <v>697</v>
      </c>
      <c r="R24" s="14">
        <v>698</v>
      </c>
      <c r="S24" s="14">
        <v>687</v>
      </c>
      <c r="T24" s="14">
        <v>696</v>
      </c>
      <c r="U24" s="14">
        <v>691</v>
      </c>
      <c r="V24" s="52">
        <v>691</v>
      </c>
      <c r="W24" s="14">
        <v>549</v>
      </c>
      <c r="X24" s="14"/>
      <c r="Y24" s="14"/>
      <c r="Z24" s="14"/>
      <c r="AA24" s="52">
        <v>691</v>
      </c>
    </row>
    <row r="25" spans="2:27" ht="20" thickBot="1" x14ac:dyDescent="0.3">
      <c r="B25" s="34" t="s">
        <v>117</v>
      </c>
      <c r="C25" s="35"/>
      <c r="D25" s="35"/>
      <c r="E25" s="35"/>
      <c r="F25" s="35"/>
      <c r="G25" s="56"/>
      <c r="H25" s="35">
        <f t="shared" ref="H25:AA25" si="54">(H24-C24)/C24</f>
        <v>0.14497041420118342</v>
      </c>
      <c r="I25" s="35">
        <f t="shared" si="54"/>
        <v>3.2432432432432434E-2</v>
      </c>
      <c r="J25" s="35">
        <f t="shared" si="54"/>
        <v>7.9260237780713338E-3</v>
      </c>
      <c r="K25" s="35">
        <f t="shared" si="54"/>
        <v>-4.3984476067270378E-2</v>
      </c>
      <c r="L25" s="54">
        <f t="shared" si="54"/>
        <v>-4.3984476067270378E-2</v>
      </c>
      <c r="M25" s="35">
        <f t="shared" si="54"/>
        <v>-7.3643410852713184E-2</v>
      </c>
      <c r="N25" s="35">
        <f t="shared" si="54"/>
        <v>-7.0680628272251314E-2</v>
      </c>
      <c r="O25" s="35">
        <f t="shared" si="54"/>
        <v>-7.0773263433813891E-2</v>
      </c>
      <c r="P25" s="35">
        <f t="shared" si="54"/>
        <v>-5.6833558863328824E-2</v>
      </c>
      <c r="Q25" s="54">
        <f t="shared" si="54"/>
        <v>-5.6833558863328824E-2</v>
      </c>
      <c r="R25" s="35">
        <f t="shared" si="54"/>
        <v>-2.6499302649930265E-2</v>
      </c>
      <c r="S25" s="35">
        <f t="shared" si="54"/>
        <v>-3.2394366197183097E-2</v>
      </c>
      <c r="T25" s="35">
        <f t="shared" si="54"/>
        <v>-1.8335684062059238E-2</v>
      </c>
      <c r="U25" s="35">
        <f t="shared" si="54"/>
        <v>-8.60832137733142E-3</v>
      </c>
      <c r="V25" s="54">
        <f t="shared" si="54"/>
        <v>-8.60832137733142E-3</v>
      </c>
      <c r="W25" s="35">
        <f t="shared" si="54"/>
        <v>-0.21346704871060171</v>
      </c>
      <c r="X25" s="35">
        <f t="shared" si="54"/>
        <v>-1</v>
      </c>
      <c r="Y25" s="35">
        <f t="shared" si="54"/>
        <v>-1</v>
      </c>
      <c r="Z25" s="35">
        <f t="shared" si="54"/>
        <v>-1</v>
      </c>
      <c r="AA25" s="54">
        <f t="shared" si="54"/>
        <v>0</v>
      </c>
    </row>
    <row r="26" spans="2:27" x14ac:dyDescent="0.25">
      <c r="B26" s="1" t="s">
        <v>107</v>
      </c>
      <c r="G26" s="50"/>
      <c r="L26" s="50"/>
      <c r="Q26" s="50"/>
      <c r="V26" s="50"/>
      <c r="AA26" s="50"/>
    </row>
    <row r="27" spans="2:27" x14ac:dyDescent="0.25">
      <c r="B27" s="28" t="s">
        <v>102</v>
      </c>
      <c r="C27" s="14">
        <v>169.9</v>
      </c>
      <c r="D27" s="14">
        <v>170.7</v>
      </c>
      <c r="E27" s="14">
        <v>136</v>
      </c>
      <c r="F27" s="14">
        <v>254.3</v>
      </c>
      <c r="G27" s="52">
        <f>SUM(C27:F27)</f>
        <v>730.90000000000009</v>
      </c>
      <c r="H27" s="14">
        <v>246.9</v>
      </c>
      <c r="I27" s="14">
        <v>226.1</v>
      </c>
      <c r="J27" s="14">
        <v>162.19999999999999</v>
      </c>
      <c r="K27" s="14">
        <v>237.1</v>
      </c>
      <c r="L27" s="52">
        <f>SUM(H27:K27)</f>
        <v>872.30000000000007</v>
      </c>
      <c r="M27" s="14">
        <v>234.8</v>
      </c>
      <c r="N27" s="14">
        <v>232.6</v>
      </c>
      <c r="O27" s="14">
        <v>159.1</v>
      </c>
      <c r="P27" s="14">
        <v>233.4</v>
      </c>
      <c r="Q27" s="52">
        <f>SUM(M27:P27)</f>
        <v>859.9</v>
      </c>
      <c r="R27" s="14">
        <v>227.9</v>
      </c>
      <c r="S27" s="14">
        <v>229.1</v>
      </c>
      <c r="T27" s="14">
        <v>166.6</v>
      </c>
      <c r="U27" s="14">
        <v>233.6</v>
      </c>
      <c r="V27" s="52">
        <f>SUM(R27:U27)</f>
        <v>857.2</v>
      </c>
      <c r="W27" s="14">
        <v>226</v>
      </c>
      <c r="X27" s="14"/>
      <c r="Y27" s="14"/>
      <c r="Z27" s="14"/>
      <c r="AA27" s="52">
        <f>SUM(W27:Z27)</f>
        <v>226</v>
      </c>
    </row>
    <row r="28" spans="2:27" x14ac:dyDescent="0.25">
      <c r="B28" s="29" t="s">
        <v>105</v>
      </c>
      <c r="C28" s="30"/>
      <c r="D28" s="30"/>
      <c r="E28" s="30"/>
      <c r="F28" s="30"/>
      <c r="G28" s="53"/>
      <c r="H28" s="30">
        <f t="shared" ref="H28:V28" si="55">(H27-C27)/C27</f>
        <v>0.45320776927604473</v>
      </c>
      <c r="I28" s="30">
        <f t="shared" si="55"/>
        <v>0.32454598711189225</v>
      </c>
      <c r="J28" s="30">
        <f t="shared" si="55"/>
        <v>0.19264705882352934</v>
      </c>
      <c r="K28" s="30">
        <f t="shared" si="55"/>
        <v>-6.7636649626425543E-2</v>
      </c>
      <c r="L28" s="53">
        <f t="shared" si="55"/>
        <v>0.19346011766315496</v>
      </c>
      <c r="M28" s="30">
        <f t="shared" si="55"/>
        <v>-4.9007695423248253E-2</v>
      </c>
      <c r="N28" s="30">
        <f t="shared" si="55"/>
        <v>2.8748341441839895E-2</v>
      </c>
      <c r="O28" s="30">
        <f t="shared" si="55"/>
        <v>-1.9112207151664579E-2</v>
      </c>
      <c r="P28" s="30">
        <f t="shared" si="55"/>
        <v>-1.5605229860818172E-2</v>
      </c>
      <c r="Q28" s="53">
        <f t="shared" si="55"/>
        <v>-1.4215292903817596E-2</v>
      </c>
      <c r="R28" s="30">
        <f t="shared" si="55"/>
        <v>-2.9386712095400364E-2</v>
      </c>
      <c r="S28" s="30">
        <f t="shared" si="55"/>
        <v>-1.5047291487532245E-2</v>
      </c>
      <c r="T28" s="30">
        <f t="shared" si="55"/>
        <v>4.7140163419233189E-2</v>
      </c>
      <c r="U28" s="30">
        <f t="shared" si="55"/>
        <v>8.5689802913448425E-4</v>
      </c>
      <c r="V28" s="53">
        <f t="shared" si="55"/>
        <v>-3.1398999883706616E-3</v>
      </c>
      <c r="W28" s="30">
        <f t="shared" ref="W28" si="56">(W27-R27)/R27</f>
        <v>-8.3369899078543468E-3</v>
      </c>
      <c r="X28" s="30">
        <f t="shared" ref="X28" si="57">(X27-S27)/S27</f>
        <v>-1</v>
      </c>
      <c r="Y28" s="30">
        <f t="shared" ref="Y28" si="58">(Y27-T27)/T27</f>
        <v>-1</v>
      </c>
      <c r="Z28" s="30">
        <f t="shared" ref="Z28" si="59">(Z27-U27)/U27</f>
        <v>-1</v>
      </c>
      <c r="AA28" s="53">
        <f t="shared" ref="AA28" si="60">(AA27-V27)/V27</f>
        <v>-0.73635090993933738</v>
      </c>
    </row>
    <row r="29" spans="2:27" x14ac:dyDescent="0.25">
      <c r="B29" s="28" t="s">
        <v>50</v>
      </c>
      <c r="C29" s="14">
        <v>20.2</v>
      </c>
      <c r="D29" s="14">
        <v>24</v>
      </c>
      <c r="E29" s="14">
        <v>-8.3000000000000007</v>
      </c>
      <c r="F29" s="14">
        <v>32.700000000000003</v>
      </c>
      <c r="G29" s="52">
        <f>SUM(C29:F29)</f>
        <v>68.600000000000009</v>
      </c>
      <c r="H29" s="14">
        <v>26.5</v>
      </c>
      <c r="I29" s="14">
        <v>19</v>
      </c>
      <c r="J29" s="14">
        <v>-10.199999999999999</v>
      </c>
      <c r="K29" s="14">
        <v>22.2</v>
      </c>
      <c r="L29" s="52">
        <f>SUM(H29:K29)</f>
        <v>57.5</v>
      </c>
      <c r="M29" s="14">
        <v>19.8</v>
      </c>
      <c r="N29" s="14">
        <v>15.1</v>
      </c>
      <c r="O29" s="14">
        <v>-10.3</v>
      </c>
      <c r="P29" s="14">
        <v>12.4</v>
      </c>
      <c r="Q29" s="52">
        <f>SUM(M29:P29)</f>
        <v>37</v>
      </c>
      <c r="R29" s="14">
        <v>13.4</v>
      </c>
      <c r="S29" s="14">
        <v>8.6</v>
      </c>
      <c r="T29" s="14">
        <v>-10.8</v>
      </c>
      <c r="U29" s="14">
        <v>21.1</v>
      </c>
      <c r="V29" s="52">
        <f>SUM(R29:U29)</f>
        <v>32.299999999999997</v>
      </c>
      <c r="W29" s="14">
        <v>3.9</v>
      </c>
      <c r="X29" s="14"/>
      <c r="Y29" s="14"/>
      <c r="Z29" s="14"/>
      <c r="AA29" s="52">
        <f>SUM(W29:Z29)</f>
        <v>3.9</v>
      </c>
    </row>
    <row r="30" spans="2:27" x14ac:dyDescent="0.25">
      <c r="B30" s="29" t="s">
        <v>113</v>
      </c>
      <c r="C30" s="30">
        <f t="shared" ref="C30:D30" si="61">C29/C27</f>
        <v>0.1188934667451442</v>
      </c>
      <c r="D30" s="30">
        <f t="shared" si="61"/>
        <v>0.14059753954305801</v>
      </c>
      <c r="E30" s="30">
        <f t="shared" ref="E30" si="62">E29/E27</f>
        <v>-6.1029411764705888E-2</v>
      </c>
      <c r="F30" s="30">
        <f t="shared" ref="F30:G30" si="63">F29/F27</f>
        <v>0.12858828155721588</v>
      </c>
      <c r="G30" s="53">
        <f t="shared" si="63"/>
        <v>9.385688876727323E-2</v>
      </c>
      <c r="H30" s="30">
        <f t="shared" ref="H30" si="64">H29/H27</f>
        <v>0.10733090319967598</v>
      </c>
      <c r="I30" s="30">
        <f t="shared" ref="I30" si="65">I29/I27</f>
        <v>8.4033613445378158E-2</v>
      </c>
      <c r="J30" s="30">
        <f t="shared" ref="J30" si="66">J29/J27</f>
        <v>-6.2885326757090007E-2</v>
      </c>
      <c r="K30" s="30">
        <f t="shared" ref="K30:L30" si="67">K29/K27</f>
        <v>9.3631379164909323E-2</v>
      </c>
      <c r="L30" s="53">
        <f t="shared" si="67"/>
        <v>6.5917688868508531E-2</v>
      </c>
      <c r="M30" s="30">
        <f t="shared" ref="M30" si="68">M29/M27</f>
        <v>8.4327086882453148E-2</v>
      </c>
      <c r="N30" s="30">
        <f t="shared" ref="N30" si="69">N29/N27</f>
        <v>6.4918314703353394E-2</v>
      </c>
      <c r="O30" s="30">
        <f t="shared" ref="O30" si="70">O29/O27</f>
        <v>-6.4739157762413582E-2</v>
      </c>
      <c r="P30" s="30">
        <f t="shared" ref="P30:Q30" si="71">P29/P27</f>
        <v>5.3127677806341048E-2</v>
      </c>
      <c r="Q30" s="53">
        <f t="shared" si="71"/>
        <v>4.3028259099895341E-2</v>
      </c>
      <c r="R30" s="30">
        <f t="shared" ref="R30" si="72">R29/R27</f>
        <v>5.8797718297498906E-2</v>
      </c>
      <c r="S30" s="30">
        <f t="shared" ref="S30" si="73">S29/S27</f>
        <v>3.7538192928852028E-2</v>
      </c>
      <c r="T30" s="30">
        <f>T29/T27</f>
        <v>-6.4825930372148871E-2</v>
      </c>
      <c r="U30" s="30">
        <f t="shared" ref="U30:X30" si="74">U29/U27</f>
        <v>9.0325342465753439E-2</v>
      </c>
      <c r="V30" s="53">
        <f t="shared" si="74"/>
        <v>3.7680821278581425E-2</v>
      </c>
      <c r="W30" s="30">
        <f t="shared" si="74"/>
        <v>1.7256637168141593E-2</v>
      </c>
      <c r="X30" s="30" t="e">
        <f t="shared" si="74"/>
        <v>#DIV/0!</v>
      </c>
      <c r="Y30" s="30" t="e">
        <f>Y29/Y27</f>
        <v>#DIV/0!</v>
      </c>
      <c r="Z30" s="30" t="e">
        <f t="shared" ref="Z30:AA30" si="75">Z29/Z27</f>
        <v>#DIV/0!</v>
      </c>
      <c r="AA30" s="53">
        <f t="shared" si="75"/>
        <v>1.7256637168141593E-2</v>
      </c>
    </row>
    <row r="31" spans="2:27" x14ac:dyDescent="0.25">
      <c r="B31" s="28" t="s">
        <v>103</v>
      </c>
      <c r="C31" s="14">
        <v>376</v>
      </c>
      <c r="D31" s="14">
        <v>370</v>
      </c>
      <c r="E31" s="14">
        <v>482</v>
      </c>
      <c r="F31" s="14">
        <v>553</v>
      </c>
      <c r="G31" s="52">
        <v>553</v>
      </c>
      <c r="H31" s="14">
        <v>544</v>
      </c>
      <c r="I31" s="14">
        <v>542</v>
      </c>
      <c r="J31" s="14">
        <v>594</v>
      </c>
      <c r="K31" s="14">
        <v>578</v>
      </c>
      <c r="L31" s="52">
        <v>578</v>
      </c>
      <c r="M31" s="14">
        <v>565</v>
      </c>
      <c r="N31" s="14">
        <v>548</v>
      </c>
      <c r="O31" s="14">
        <v>565</v>
      </c>
      <c r="P31" s="14">
        <v>554</v>
      </c>
      <c r="Q31" s="52">
        <v>554</v>
      </c>
      <c r="R31" s="14">
        <v>538</v>
      </c>
      <c r="S31" s="14">
        <v>539</v>
      </c>
      <c r="T31" s="14">
        <v>556</v>
      </c>
      <c r="U31" s="14">
        <v>537</v>
      </c>
      <c r="V31" s="52">
        <v>537</v>
      </c>
      <c r="W31" s="14">
        <v>538</v>
      </c>
      <c r="X31" s="14"/>
      <c r="Y31" s="14"/>
      <c r="Z31" s="14"/>
      <c r="AA31" s="52"/>
    </row>
    <row r="32" spans="2:27" ht="20" thickBot="1" x14ac:dyDescent="0.3">
      <c r="B32" s="34" t="s">
        <v>117</v>
      </c>
      <c r="C32" s="35"/>
      <c r="D32" s="35"/>
      <c r="E32" s="35"/>
      <c r="F32" s="35"/>
      <c r="G32" s="56"/>
      <c r="H32" s="35">
        <f t="shared" ref="H32:AA32" si="76">(H31-C31)/C31</f>
        <v>0.44680851063829785</v>
      </c>
      <c r="I32" s="35">
        <f t="shared" si="76"/>
        <v>0.46486486486486489</v>
      </c>
      <c r="J32" s="35">
        <f t="shared" si="76"/>
        <v>0.23236514522821577</v>
      </c>
      <c r="K32" s="35">
        <f t="shared" si="76"/>
        <v>4.5207956600361664E-2</v>
      </c>
      <c r="L32" s="54">
        <f t="shared" si="76"/>
        <v>4.5207956600361664E-2</v>
      </c>
      <c r="M32" s="35">
        <f t="shared" si="76"/>
        <v>3.860294117647059E-2</v>
      </c>
      <c r="N32" s="35">
        <f t="shared" si="76"/>
        <v>1.107011070110701E-2</v>
      </c>
      <c r="O32" s="35">
        <f t="shared" si="76"/>
        <v>-4.8821548821548821E-2</v>
      </c>
      <c r="P32" s="35">
        <f t="shared" si="76"/>
        <v>-4.1522491349480967E-2</v>
      </c>
      <c r="Q32" s="54">
        <f t="shared" si="76"/>
        <v>-4.1522491349480967E-2</v>
      </c>
      <c r="R32" s="35">
        <f t="shared" si="76"/>
        <v>-4.7787610619469026E-2</v>
      </c>
      <c r="S32" s="35">
        <f t="shared" si="76"/>
        <v>-1.6423357664233577E-2</v>
      </c>
      <c r="T32" s="35">
        <f t="shared" si="76"/>
        <v>-1.5929203539823009E-2</v>
      </c>
      <c r="U32" s="35">
        <f t="shared" si="76"/>
        <v>-3.0685920577617327E-2</v>
      </c>
      <c r="V32" s="54">
        <f t="shared" si="76"/>
        <v>-3.0685920577617327E-2</v>
      </c>
      <c r="W32" s="35">
        <f t="shared" si="76"/>
        <v>0</v>
      </c>
      <c r="X32" s="35">
        <f t="shared" si="76"/>
        <v>-1</v>
      </c>
      <c r="Y32" s="35">
        <f t="shared" si="76"/>
        <v>-1</v>
      </c>
      <c r="Z32" s="35">
        <f t="shared" si="76"/>
        <v>-1</v>
      </c>
      <c r="AA32" s="54">
        <f t="shared" si="76"/>
        <v>-1</v>
      </c>
    </row>
    <row r="33" spans="2:27" x14ac:dyDescent="0.25">
      <c r="B33" s="1" t="s">
        <v>137</v>
      </c>
      <c r="G33" s="50"/>
      <c r="L33" s="50"/>
      <c r="Q33" s="50"/>
      <c r="V33" s="50"/>
      <c r="AA33" s="50"/>
    </row>
    <row r="34" spans="2:27" x14ac:dyDescent="0.25">
      <c r="B34" s="28" t="s">
        <v>102</v>
      </c>
      <c r="C34" s="14"/>
      <c r="D34" s="14"/>
      <c r="E34" s="14"/>
      <c r="F34" s="14"/>
      <c r="G34" s="52">
        <f>SUM(C34:F34)</f>
        <v>0</v>
      </c>
      <c r="H34" s="14"/>
      <c r="I34" s="14"/>
      <c r="J34" s="14"/>
      <c r="K34" s="14"/>
      <c r="L34" s="52">
        <f>SUM(H34:K34)</f>
        <v>0</v>
      </c>
      <c r="M34" s="14"/>
      <c r="N34" s="14"/>
      <c r="O34" s="14"/>
      <c r="P34" s="14"/>
      <c r="Q34" s="52">
        <f>SUM(M34:P34)</f>
        <v>0</v>
      </c>
      <c r="R34" s="14">
        <v>77.7</v>
      </c>
      <c r="S34" s="14"/>
      <c r="T34" s="14"/>
      <c r="U34" s="14"/>
      <c r="V34" s="52">
        <f>SUM(R34:U34)</f>
        <v>77.7</v>
      </c>
      <c r="W34" s="14">
        <v>95.3</v>
      </c>
      <c r="X34" s="14"/>
      <c r="Y34" s="14"/>
      <c r="Z34" s="14"/>
      <c r="AA34" s="52">
        <f>SUM(W34:Z34)</f>
        <v>95.3</v>
      </c>
    </row>
    <row r="35" spans="2:27" x14ac:dyDescent="0.25">
      <c r="B35" s="29" t="s">
        <v>105</v>
      </c>
      <c r="C35" s="30"/>
      <c r="D35" s="30"/>
      <c r="E35" s="30"/>
      <c r="F35" s="30"/>
      <c r="G35" s="53"/>
      <c r="H35" s="30" t="e">
        <f t="shared" ref="H35" si="77">(H34-C34)/C34</f>
        <v>#DIV/0!</v>
      </c>
      <c r="I35" s="30" t="e">
        <f t="shared" ref="I35" si="78">(I34-D34)/D34</f>
        <v>#DIV/0!</v>
      </c>
      <c r="J35" s="30" t="e">
        <f t="shared" ref="J35" si="79">(J34-E34)/E34</f>
        <v>#DIV/0!</v>
      </c>
      <c r="K35" s="30" t="e">
        <f t="shared" ref="K35" si="80">(K34-F34)/F34</f>
        <v>#DIV/0!</v>
      </c>
      <c r="L35" s="53" t="e">
        <f t="shared" ref="L35" si="81">(L34-G34)/G34</f>
        <v>#DIV/0!</v>
      </c>
      <c r="M35" s="30" t="e">
        <f t="shared" ref="M35" si="82">(M34-H34)/H34</f>
        <v>#DIV/0!</v>
      </c>
      <c r="N35" s="30" t="e">
        <f t="shared" ref="N35" si="83">(N34-I34)/I34</f>
        <v>#DIV/0!</v>
      </c>
      <c r="O35" s="30" t="e">
        <f t="shared" ref="O35" si="84">(O34-J34)/J34</f>
        <v>#DIV/0!</v>
      </c>
      <c r="P35" s="30" t="e">
        <f t="shared" ref="P35" si="85">(P34-K34)/K34</f>
        <v>#DIV/0!</v>
      </c>
      <c r="Q35" s="53" t="e">
        <f t="shared" ref="Q35" si="86">(Q34-L34)/L34</f>
        <v>#DIV/0!</v>
      </c>
      <c r="R35" s="30" t="e">
        <f t="shared" ref="R35" si="87">(R34-M34)/M34</f>
        <v>#DIV/0!</v>
      </c>
      <c r="S35" s="30" t="e">
        <f t="shared" ref="S35" si="88">(S34-N34)/N34</f>
        <v>#DIV/0!</v>
      </c>
      <c r="T35" s="30" t="e">
        <f t="shared" ref="T35" si="89">(T34-O34)/O34</f>
        <v>#DIV/0!</v>
      </c>
      <c r="U35" s="30" t="e">
        <f t="shared" ref="U35" si="90">(U34-P34)/P34</f>
        <v>#DIV/0!</v>
      </c>
      <c r="V35" s="53" t="e">
        <f t="shared" ref="V35" si="91">(V34-Q34)/Q34</f>
        <v>#DIV/0!</v>
      </c>
      <c r="W35" s="30">
        <f t="shared" ref="W35" si="92">(W34-R34)/R34</f>
        <v>0.22651222651222644</v>
      </c>
      <c r="X35" s="30" t="e">
        <f t="shared" ref="X35" si="93">(X34-S34)/S34</f>
        <v>#DIV/0!</v>
      </c>
      <c r="Y35" s="30" t="e">
        <f t="shared" ref="Y35" si="94">(Y34-T34)/T34</f>
        <v>#DIV/0!</v>
      </c>
      <c r="Z35" s="30" t="e">
        <f t="shared" ref="Z35" si="95">(Z34-U34)/U34</f>
        <v>#DIV/0!</v>
      </c>
      <c r="AA35" s="53">
        <f t="shared" ref="AA35" si="96">(AA34-V34)/V34</f>
        <v>0.22651222651222644</v>
      </c>
    </row>
    <row r="36" spans="2:27" x14ac:dyDescent="0.25">
      <c r="B36" s="28" t="s">
        <v>50</v>
      </c>
      <c r="C36" s="14"/>
      <c r="D36" s="14"/>
      <c r="E36" s="14"/>
      <c r="F36" s="14"/>
      <c r="G36" s="52">
        <f>SUM(C36:F36)</f>
        <v>0</v>
      </c>
      <c r="H36" s="14"/>
      <c r="I36" s="14"/>
      <c r="J36" s="14"/>
      <c r="K36" s="14"/>
      <c r="L36" s="52">
        <f>SUM(H36:K36)</f>
        <v>0</v>
      </c>
      <c r="M36" s="14"/>
      <c r="N36" s="14"/>
      <c r="O36" s="14"/>
      <c r="P36" s="14"/>
      <c r="Q36" s="52">
        <f>SUM(M36:P36)</f>
        <v>0</v>
      </c>
      <c r="R36" s="14">
        <v>10.199999999999999</v>
      </c>
      <c r="S36" s="14"/>
      <c r="T36" s="14"/>
      <c r="U36" s="14"/>
      <c r="V36" s="52">
        <f>SUM(R36:U36)</f>
        <v>10.199999999999999</v>
      </c>
      <c r="W36" s="14">
        <v>12.2</v>
      </c>
      <c r="X36" s="14"/>
      <c r="Y36" s="14"/>
      <c r="Z36" s="14"/>
      <c r="AA36" s="52">
        <f>SUM(W36:Z36)</f>
        <v>12.2</v>
      </c>
    </row>
    <row r="37" spans="2:27" x14ac:dyDescent="0.25">
      <c r="B37" s="29" t="s">
        <v>113</v>
      </c>
      <c r="C37" s="30" t="e">
        <f t="shared" ref="C37:S37" si="97">C36/C34</f>
        <v>#DIV/0!</v>
      </c>
      <c r="D37" s="30" t="e">
        <f t="shared" si="97"/>
        <v>#DIV/0!</v>
      </c>
      <c r="E37" s="30" t="e">
        <f t="shared" si="97"/>
        <v>#DIV/0!</v>
      </c>
      <c r="F37" s="30" t="e">
        <f t="shared" si="97"/>
        <v>#DIV/0!</v>
      </c>
      <c r="G37" s="53" t="e">
        <f t="shared" si="97"/>
        <v>#DIV/0!</v>
      </c>
      <c r="H37" s="30" t="e">
        <f t="shared" si="97"/>
        <v>#DIV/0!</v>
      </c>
      <c r="I37" s="30" t="e">
        <f t="shared" si="97"/>
        <v>#DIV/0!</v>
      </c>
      <c r="J37" s="30" t="e">
        <f t="shared" si="97"/>
        <v>#DIV/0!</v>
      </c>
      <c r="K37" s="30" t="e">
        <f t="shared" si="97"/>
        <v>#DIV/0!</v>
      </c>
      <c r="L37" s="53" t="e">
        <f t="shared" si="97"/>
        <v>#DIV/0!</v>
      </c>
      <c r="M37" s="30" t="e">
        <f t="shared" si="97"/>
        <v>#DIV/0!</v>
      </c>
      <c r="N37" s="30" t="e">
        <f t="shared" si="97"/>
        <v>#DIV/0!</v>
      </c>
      <c r="O37" s="30" t="e">
        <f t="shared" si="97"/>
        <v>#DIV/0!</v>
      </c>
      <c r="P37" s="30" t="e">
        <f t="shared" si="97"/>
        <v>#DIV/0!</v>
      </c>
      <c r="Q37" s="53" t="e">
        <f t="shared" si="97"/>
        <v>#DIV/0!</v>
      </c>
      <c r="R37" s="30">
        <f t="shared" si="97"/>
        <v>0.13127413127413126</v>
      </c>
      <c r="S37" s="30" t="e">
        <f t="shared" si="97"/>
        <v>#DIV/0!</v>
      </c>
      <c r="T37" s="30" t="e">
        <f>T36/T34</f>
        <v>#DIV/0!</v>
      </c>
      <c r="U37" s="30" t="e">
        <f t="shared" ref="U37:X37" si="98">U36/U34</f>
        <v>#DIV/0!</v>
      </c>
      <c r="V37" s="53">
        <f t="shared" si="98"/>
        <v>0.13127413127413126</v>
      </c>
      <c r="W37" s="30">
        <f t="shared" si="98"/>
        <v>0.12801678908709338</v>
      </c>
      <c r="X37" s="30" t="e">
        <f t="shared" si="98"/>
        <v>#DIV/0!</v>
      </c>
      <c r="Y37" s="30" t="e">
        <f>Y36/Y34</f>
        <v>#DIV/0!</v>
      </c>
      <c r="Z37" s="30" t="e">
        <f t="shared" ref="Z37:AA37" si="99">Z36/Z34</f>
        <v>#DIV/0!</v>
      </c>
      <c r="AA37" s="53">
        <f t="shared" si="99"/>
        <v>0.12801678908709338</v>
      </c>
    </row>
    <row r="38" spans="2:27" x14ac:dyDescent="0.25">
      <c r="B38" s="28" t="s">
        <v>103</v>
      </c>
      <c r="C38" s="14"/>
      <c r="D38" s="14"/>
      <c r="E38" s="14"/>
      <c r="F38" s="14"/>
      <c r="G38" s="52"/>
      <c r="H38" s="14"/>
      <c r="I38" s="14"/>
      <c r="J38" s="14"/>
      <c r="K38" s="14"/>
      <c r="L38" s="52"/>
      <c r="M38" s="14"/>
      <c r="N38" s="14"/>
      <c r="O38" s="14"/>
      <c r="P38" s="14"/>
      <c r="Q38" s="52"/>
      <c r="R38" s="14">
        <v>179</v>
      </c>
      <c r="S38" s="14"/>
      <c r="T38" s="14"/>
      <c r="U38" s="14"/>
      <c r="V38" s="52"/>
      <c r="W38" s="14">
        <v>232</v>
      </c>
      <c r="X38" s="14"/>
      <c r="Y38" s="14"/>
      <c r="Z38" s="14"/>
      <c r="AA38" s="52"/>
    </row>
    <row r="39" spans="2:27" ht="20" thickBot="1" x14ac:dyDescent="0.3">
      <c r="B39" s="34" t="s">
        <v>117</v>
      </c>
      <c r="C39" s="35"/>
      <c r="D39" s="35"/>
      <c r="E39" s="35"/>
      <c r="F39" s="35"/>
      <c r="G39" s="56"/>
      <c r="H39" s="35" t="e">
        <f t="shared" ref="H39" si="100">(H38-C38)/C38</f>
        <v>#DIV/0!</v>
      </c>
      <c r="I39" s="35" t="e">
        <f t="shared" ref="I39" si="101">(I38-D38)/D38</f>
        <v>#DIV/0!</v>
      </c>
      <c r="J39" s="35" t="e">
        <f t="shared" ref="J39" si="102">(J38-E38)/E38</f>
        <v>#DIV/0!</v>
      </c>
      <c r="K39" s="35" t="e">
        <f t="shared" ref="K39" si="103">(K38-F38)/F38</f>
        <v>#DIV/0!</v>
      </c>
      <c r="L39" s="54" t="e">
        <f t="shared" ref="L39" si="104">(L38-G38)/G38</f>
        <v>#DIV/0!</v>
      </c>
      <c r="M39" s="35" t="e">
        <f t="shared" ref="M39" si="105">(M38-H38)/H38</f>
        <v>#DIV/0!</v>
      </c>
      <c r="N39" s="35" t="e">
        <f t="shared" ref="N39" si="106">(N38-I38)/I38</f>
        <v>#DIV/0!</v>
      </c>
      <c r="O39" s="35" t="e">
        <f t="shared" ref="O39" si="107">(O38-J38)/J38</f>
        <v>#DIV/0!</v>
      </c>
      <c r="P39" s="35" t="e">
        <f t="shared" ref="P39" si="108">(P38-K38)/K38</f>
        <v>#DIV/0!</v>
      </c>
      <c r="Q39" s="54" t="e">
        <f t="shared" ref="Q39" si="109">(Q38-L38)/L38</f>
        <v>#DIV/0!</v>
      </c>
      <c r="R39" s="35" t="e">
        <f t="shared" ref="R39" si="110">(R38-M38)/M38</f>
        <v>#DIV/0!</v>
      </c>
      <c r="S39" s="35" t="e">
        <f t="shared" ref="S39" si="111">(S38-N38)/N38</f>
        <v>#DIV/0!</v>
      </c>
      <c r="T39" s="35" t="e">
        <f t="shared" ref="T39" si="112">(T38-O38)/O38</f>
        <v>#DIV/0!</v>
      </c>
      <c r="U39" s="35" t="e">
        <f t="shared" ref="U39" si="113">(U38-P38)/P38</f>
        <v>#DIV/0!</v>
      </c>
      <c r="V39" s="54" t="e">
        <f t="shared" ref="V39" si="114">(V38-Q38)/Q38</f>
        <v>#DIV/0!</v>
      </c>
      <c r="W39" s="35">
        <f t="shared" ref="W39" si="115">(W38-R38)/R38</f>
        <v>0.29608938547486036</v>
      </c>
      <c r="X39" s="35" t="e">
        <f t="shared" ref="X39" si="116">(X38-S38)/S38</f>
        <v>#DIV/0!</v>
      </c>
      <c r="Y39" s="35" t="e">
        <f t="shared" ref="Y39" si="117">(Y38-T38)/T38</f>
        <v>#DIV/0!</v>
      </c>
      <c r="Z39" s="35" t="e">
        <f t="shared" ref="Z39" si="118">(Z38-U38)/U38</f>
        <v>#DIV/0!</v>
      </c>
      <c r="AA39" s="54" t="e">
        <f t="shared" ref="AA39" si="119">(AA38-V38)/V38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E28E-4F05-824D-A112-CCAE8D5CB963}">
  <dimension ref="A3:G70"/>
  <sheetViews>
    <sheetView showGridLines="0" tabSelected="1" topLeftCell="B1" workbookViewId="0">
      <selection activeCell="D5" sqref="D5"/>
    </sheetView>
  </sheetViews>
  <sheetFormatPr baseColWidth="10" defaultRowHeight="21" x14ac:dyDescent="0.25"/>
  <cols>
    <col min="1" max="2" width="10.83203125" style="42"/>
    <col min="3" max="3" width="20.83203125" style="42" customWidth="1"/>
    <col min="4" max="4" width="14.1640625" style="42" customWidth="1"/>
    <col min="5" max="5" width="14.5" style="42" customWidth="1"/>
    <col min="6" max="6" width="10.83203125" style="42"/>
    <col min="7" max="7" width="13.5" style="42" customWidth="1"/>
    <col min="8" max="16384" width="10.83203125" style="42"/>
  </cols>
  <sheetData>
    <row r="3" spans="2:7" x14ac:dyDescent="0.25">
      <c r="B3" s="42" t="s">
        <v>145</v>
      </c>
    </row>
    <row r="4" spans="2:7" x14ac:dyDescent="0.25">
      <c r="B4" s="60">
        <f>Modell!AJ8</f>
        <v>322.59164999999996</v>
      </c>
    </row>
    <row r="6" spans="2:7" x14ac:dyDescent="0.25">
      <c r="C6" s="43" t="s">
        <v>129</v>
      </c>
      <c r="D6" s="43" t="s">
        <v>130</v>
      </c>
      <c r="E6" s="43" t="s">
        <v>128</v>
      </c>
      <c r="F6" s="43" t="s">
        <v>131</v>
      </c>
      <c r="G6" s="43" t="s">
        <v>132</v>
      </c>
    </row>
    <row r="7" spans="2:7" x14ac:dyDescent="0.25">
      <c r="C7" s="44" t="s">
        <v>101</v>
      </c>
      <c r="D7" s="44">
        <v>280</v>
      </c>
      <c r="E7" s="44">
        <v>9</v>
      </c>
      <c r="F7" s="45">
        <f>D7*E7</f>
        <v>2520</v>
      </c>
      <c r="G7" s="46">
        <f>F7/Modell!$B$5</f>
        <v>92.284029735965149</v>
      </c>
    </row>
    <row r="8" spans="2:7" x14ac:dyDescent="0.25">
      <c r="C8" s="44" t="s">
        <v>104</v>
      </c>
      <c r="D8" s="44">
        <v>60</v>
      </c>
      <c r="E8" s="44">
        <v>5</v>
      </c>
      <c r="F8" s="45">
        <f t="shared" ref="F8:F11" si="0">D8*E8</f>
        <v>300</v>
      </c>
      <c r="G8" s="46">
        <f>F8/Modell!$B$5</f>
        <v>10.986194016186326</v>
      </c>
    </row>
    <row r="9" spans="2:7" x14ac:dyDescent="0.25">
      <c r="C9" s="44" t="s">
        <v>106</v>
      </c>
      <c r="D9" s="44">
        <v>30</v>
      </c>
      <c r="E9" s="44">
        <v>5</v>
      </c>
      <c r="F9" s="45">
        <f t="shared" si="0"/>
        <v>150</v>
      </c>
      <c r="G9" s="46">
        <f>F9/Modell!$B$5</f>
        <v>5.4930970080931631</v>
      </c>
    </row>
    <row r="10" spans="2:7" x14ac:dyDescent="0.25">
      <c r="C10" s="44" t="s">
        <v>107</v>
      </c>
      <c r="D10" s="44">
        <v>25</v>
      </c>
      <c r="E10" s="44">
        <v>5</v>
      </c>
      <c r="F10" s="45">
        <f t="shared" si="0"/>
        <v>125</v>
      </c>
      <c r="G10" s="46">
        <f>F10/Modell!$B$5</f>
        <v>4.5775808400776361</v>
      </c>
    </row>
    <row r="11" spans="2:7" x14ac:dyDescent="0.25">
      <c r="C11" s="44" t="s">
        <v>137</v>
      </c>
      <c r="D11" s="44">
        <v>45</v>
      </c>
      <c r="E11" s="44">
        <v>10</v>
      </c>
      <c r="F11" s="45">
        <f t="shared" si="0"/>
        <v>450</v>
      </c>
      <c r="G11" s="46">
        <f>F11/Modell!$B$5</f>
        <v>16.47929102427949</v>
      </c>
    </row>
    <row r="12" spans="2:7" x14ac:dyDescent="0.25">
      <c r="C12" s="43" t="s">
        <v>133</v>
      </c>
      <c r="D12" s="43"/>
      <c r="E12" s="43"/>
      <c r="F12" s="47">
        <f>SUM(F7:F11)</f>
        <v>3545</v>
      </c>
      <c r="G12" s="48">
        <f>SUM(G7:G10)</f>
        <v>113.34090160032227</v>
      </c>
    </row>
    <row r="13" spans="2:7" x14ac:dyDescent="0.25">
      <c r="C13" s="49"/>
      <c r="D13" s="49"/>
      <c r="E13" s="49"/>
      <c r="F13" s="49"/>
      <c r="G13" s="49"/>
    </row>
    <row r="14" spans="2:7" x14ac:dyDescent="0.25">
      <c r="C14" s="44" t="s">
        <v>65</v>
      </c>
      <c r="D14" s="44"/>
      <c r="E14" s="44"/>
      <c r="F14" s="45">
        <f>Modell!B7</f>
        <v>409.8</v>
      </c>
      <c r="G14" s="46">
        <f>F14/Modell!$B$5</f>
        <v>15.007141026110522</v>
      </c>
    </row>
    <row r="15" spans="2:7" x14ac:dyDescent="0.25">
      <c r="C15" s="44" t="s">
        <v>134</v>
      </c>
      <c r="D15" s="44"/>
      <c r="E15" s="44"/>
      <c r="F15" s="45">
        <f>Modell!B8</f>
        <v>748.40000000000009</v>
      </c>
      <c r="G15" s="46">
        <f>-F15/Modell!$B$5</f>
        <v>-27.406892005712827</v>
      </c>
    </row>
    <row r="16" spans="2:7" x14ac:dyDescent="0.25">
      <c r="C16" s="49"/>
      <c r="D16" s="49"/>
      <c r="E16" s="49"/>
      <c r="F16" s="49"/>
      <c r="G16" s="49"/>
    </row>
    <row r="17" spans="3:7" x14ac:dyDescent="0.25">
      <c r="C17" s="43" t="s">
        <v>135</v>
      </c>
      <c r="D17" s="43"/>
      <c r="E17" s="43"/>
      <c r="F17" s="43"/>
      <c r="G17" s="48">
        <f>SUM(G12:G15)</f>
        <v>100.94115062071998</v>
      </c>
    </row>
    <row r="60" spans="1:2" x14ac:dyDescent="0.25">
      <c r="A60" s="44" t="s">
        <v>101</v>
      </c>
      <c r="B60" s="46">
        <v>92.284029735965149</v>
      </c>
    </row>
    <row r="61" spans="1:2" x14ac:dyDescent="0.25">
      <c r="A61" s="44" t="s">
        <v>104</v>
      </c>
      <c r="B61" s="46">
        <v>8.2396455121397452</v>
      </c>
    </row>
    <row r="62" spans="1:2" x14ac:dyDescent="0.25">
      <c r="A62" s="44" t="s">
        <v>106</v>
      </c>
      <c r="B62" s="46">
        <v>25.634452704434761</v>
      </c>
    </row>
    <row r="63" spans="1:2" x14ac:dyDescent="0.25">
      <c r="A63" s="44" t="s">
        <v>107</v>
      </c>
      <c r="B63" s="46">
        <v>6.4086131761086902</v>
      </c>
    </row>
    <row r="64" spans="1:2" x14ac:dyDescent="0.25">
      <c r="A64" s="44" t="s">
        <v>137</v>
      </c>
      <c r="B64" s="46">
        <f>G11</f>
        <v>16.47929102427949</v>
      </c>
    </row>
    <row r="65" spans="1:2" x14ac:dyDescent="0.25">
      <c r="A65" s="43" t="s">
        <v>133</v>
      </c>
      <c r="B65" s="48">
        <v>132.56674112864835</v>
      </c>
    </row>
    <row r="66" spans="1:2" x14ac:dyDescent="0.25">
      <c r="A66" s="49"/>
      <c r="B66" s="49"/>
    </row>
    <row r="67" spans="1:2" x14ac:dyDescent="0.25">
      <c r="A67" s="44" t="s">
        <v>65</v>
      </c>
      <c r="B67" s="46">
        <v>11.927344636906287</v>
      </c>
    </row>
    <row r="68" spans="1:2" x14ac:dyDescent="0.25">
      <c r="A68" s="44" t="s">
        <v>134</v>
      </c>
      <c r="B68" s="46">
        <v>-27.776760537591095</v>
      </c>
    </row>
    <row r="69" spans="1:2" x14ac:dyDescent="0.25">
      <c r="A69" s="49"/>
      <c r="B69" s="49"/>
    </row>
    <row r="70" spans="1:2" x14ac:dyDescent="0.25">
      <c r="A70" s="43" t="s">
        <v>135</v>
      </c>
      <c r="B70" s="48">
        <v>116.71732522796356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7"/>
  <sheetViews>
    <sheetView showGridLines="0" workbookViewId="0">
      <selection activeCell="F13" sqref="F13:F14"/>
    </sheetView>
  </sheetViews>
  <sheetFormatPr baseColWidth="10" defaultRowHeight="16" x14ac:dyDescent="0.2"/>
  <cols>
    <col min="3" max="3" width="33.83203125" customWidth="1"/>
    <col min="4" max="4" width="28.5" bestFit="1" customWidth="1"/>
    <col min="5" max="6" width="28.33203125" bestFit="1" customWidth="1"/>
    <col min="7" max="7" width="18.6640625" bestFit="1" customWidth="1"/>
  </cols>
  <sheetData>
    <row r="4" spans="3:6" ht="62" x14ac:dyDescent="0.7">
      <c r="C4" s="26"/>
      <c r="D4" s="26">
        <v>2026</v>
      </c>
      <c r="E4" s="26">
        <v>2027</v>
      </c>
      <c r="F4" s="26">
        <v>2028</v>
      </c>
    </row>
    <row r="5" spans="3:6" ht="62" x14ac:dyDescent="0.7">
      <c r="C5" s="26" t="s">
        <v>128</v>
      </c>
      <c r="D5" s="27">
        <f>Modell!$B$9/Modell!AJ8</f>
        <v>8.5071845473991665</v>
      </c>
      <c r="E5" s="27">
        <f>Modell!$B$9/Modell!AK8</f>
        <v>6.6523206551611089</v>
      </c>
      <c r="F5" s="27">
        <f>Modell!$B$9/Modell!AL8</f>
        <v>6.268127716496239</v>
      </c>
    </row>
    <row r="6" spans="3:6" ht="62" x14ac:dyDescent="0.7">
      <c r="C6" s="26" t="s">
        <v>29</v>
      </c>
      <c r="D6" s="27">
        <f>Modell!$B$9/Modell!AJ10</f>
        <v>16.878767759598976</v>
      </c>
      <c r="E6" s="27">
        <f>Modell!$B$9/Modell!AK10</f>
        <v>10.866989058158172</v>
      </c>
      <c r="F6" s="27">
        <f>Modell!$B$9/Modell!AL10</f>
        <v>9.877947976983938</v>
      </c>
    </row>
    <row r="7" spans="3:6" ht="62" x14ac:dyDescent="0.7">
      <c r="C7" s="26" t="s">
        <v>30</v>
      </c>
      <c r="D7" s="27">
        <f>Modell!$B$4/Modell!AJ17</f>
        <v>23.351014343805499</v>
      </c>
      <c r="E7" s="27">
        <f>Modell!$B$4/Modell!AK17</f>
        <v>13.783820369602413</v>
      </c>
      <c r="F7" s="27">
        <f>Modell!$B$4/Modell!AL17</f>
        <v>12.360213280351752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A9D2-A120-D243-98E4-365EB27547A6}">
  <dimension ref="A3:DV22"/>
  <sheetViews>
    <sheetView showGridLines="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V28" sqref="V28"/>
    </sheetView>
  </sheetViews>
  <sheetFormatPr baseColWidth="10" defaultRowHeight="19" x14ac:dyDescent="0.25"/>
  <cols>
    <col min="1" max="1" width="10.83203125" style="2"/>
    <col min="2" max="2" width="16.6640625" style="4" customWidth="1"/>
    <col min="3" max="3" width="42" style="2" customWidth="1"/>
    <col min="4" max="26" width="10.83203125" style="2"/>
    <col min="27" max="27" width="12.1640625" style="2" bestFit="1" customWidth="1"/>
    <col min="28" max="16384" width="10.83203125" style="2"/>
  </cols>
  <sheetData>
    <row r="3" spans="1:126" x14ac:dyDescent="0.25">
      <c r="A3" s="1" t="s">
        <v>120</v>
      </c>
      <c r="D3" s="7" t="s">
        <v>118</v>
      </c>
      <c r="E3" s="7" t="s">
        <v>119</v>
      </c>
      <c r="F3" s="7" t="s">
        <v>115</v>
      </c>
      <c r="G3" s="7" t="s">
        <v>116</v>
      </c>
      <c r="H3" s="7" t="s">
        <v>32</v>
      </c>
      <c r="I3" s="7" t="s">
        <v>33</v>
      </c>
      <c r="J3" s="7" t="s">
        <v>34</v>
      </c>
      <c r="K3" s="7" t="s">
        <v>15</v>
      </c>
      <c r="L3" s="7" t="s">
        <v>16</v>
      </c>
      <c r="M3" s="7" t="s">
        <v>17</v>
      </c>
      <c r="N3" s="1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</row>
    <row r="4" spans="1:126" x14ac:dyDescent="0.25">
      <c r="A4" s="2" t="s">
        <v>121</v>
      </c>
      <c r="C4" s="1" t="s">
        <v>102</v>
      </c>
      <c r="D4" s="12">
        <v>2230</v>
      </c>
      <c r="E4" s="12">
        <v>2426.2179999999998</v>
      </c>
      <c r="F4" s="12">
        <v>2733.5010000000002</v>
      </c>
      <c r="G4" s="12">
        <v>3083.3040000000001</v>
      </c>
      <c r="H4" s="12">
        <v>3335</v>
      </c>
      <c r="I4" s="12">
        <v>3379</v>
      </c>
      <c r="J4" s="12">
        <v>4811.8389999999999</v>
      </c>
      <c r="K4" s="12">
        <v>6833.7460000000001</v>
      </c>
      <c r="L4" s="12">
        <v>7113.82</v>
      </c>
      <c r="M4" s="12">
        <v>6415.7439999999997</v>
      </c>
      <c r="N4" s="13">
        <f>M4*0.9</f>
        <v>5774.1696000000002</v>
      </c>
      <c r="O4" s="12">
        <f>N4*1</f>
        <v>5774.1696000000002</v>
      </c>
      <c r="P4" s="12">
        <f t="shared" ref="P4:X4" si="0">O4*1</f>
        <v>5774.1696000000002</v>
      </c>
      <c r="Q4" s="12">
        <f t="shared" si="0"/>
        <v>5774.1696000000002</v>
      </c>
      <c r="R4" s="12">
        <f t="shared" si="0"/>
        <v>5774.1696000000002</v>
      </c>
      <c r="S4" s="12">
        <f t="shared" si="0"/>
        <v>5774.1696000000002</v>
      </c>
      <c r="T4" s="12">
        <f t="shared" si="0"/>
        <v>5774.1696000000002</v>
      </c>
      <c r="U4" s="12">
        <f t="shared" si="0"/>
        <v>5774.1696000000002</v>
      </c>
      <c r="V4" s="12">
        <f t="shared" si="0"/>
        <v>5774.1696000000002</v>
      </c>
      <c r="W4" s="12">
        <f t="shared" si="0"/>
        <v>5774.1696000000002</v>
      </c>
      <c r="X4" s="12">
        <f t="shared" si="0"/>
        <v>5774.1696000000002</v>
      </c>
    </row>
    <row r="5" spans="1:126" x14ac:dyDescent="0.25">
      <c r="A5" s="41">
        <f>AA21</f>
        <v>76.333160685570803</v>
      </c>
      <c r="C5" s="2" t="s">
        <v>48</v>
      </c>
      <c r="D5" s="14">
        <f>-304-212.543-1537.9</f>
        <v>-2054.4430000000002</v>
      </c>
      <c r="E5" s="14">
        <f>-387.311-203.347-1612.596</f>
        <v>-2203.2539999999999</v>
      </c>
      <c r="F5" s="14">
        <f>-457.262-216.441-1767.168</f>
        <v>-2440.8710000000001</v>
      </c>
      <c r="G5" s="14">
        <f>-512.288-226.87-2017.075</f>
        <v>-2756.2330000000002</v>
      </c>
      <c r="H5" s="14">
        <f>-556.803-171.737-2215.079</f>
        <v>-2943.6190000000001</v>
      </c>
      <c r="I5" s="14">
        <f>-637.286-168.285-2166.451</f>
        <v>-2972.0219999999999</v>
      </c>
      <c r="J5" s="14">
        <f>-987.377-299.714-2963.271</f>
        <v>-4250.3620000000001</v>
      </c>
      <c r="K5" s="14">
        <f>-1699.746-425.25-3963.482</f>
        <v>-6088.4780000000001</v>
      </c>
      <c r="L5" s="14">
        <f>-1588.977-410.948-4439.502</f>
        <v>-6439.4270000000006</v>
      </c>
      <c r="M5" s="14">
        <f>-1241.735-4285.279-348</f>
        <v>-5875.0140000000001</v>
      </c>
      <c r="N5" s="15">
        <f>M5*0.89</f>
        <v>-5228.7624599999999</v>
      </c>
      <c r="O5" s="14">
        <f>N5*1</f>
        <v>-5228.7624599999999</v>
      </c>
      <c r="P5" s="14">
        <f t="shared" ref="P5:X5" si="1">O5*1</f>
        <v>-5228.7624599999999</v>
      </c>
      <c r="Q5" s="14">
        <f t="shared" si="1"/>
        <v>-5228.7624599999999</v>
      </c>
      <c r="R5" s="14">
        <f t="shared" si="1"/>
        <v>-5228.7624599999999</v>
      </c>
      <c r="S5" s="14">
        <f t="shared" si="1"/>
        <v>-5228.7624599999999</v>
      </c>
      <c r="T5" s="14">
        <f t="shared" si="1"/>
        <v>-5228.7624599999999</v>
      </c>
      <c r="U5" s="14">
        <f t="shared" si="1"/>
        <v>-5228.7624599999999</v>
      </c>
      <c r="V5" s="14">
        <f t="shared" si="1"/>
        <v>-5228.7624599999999</v>
      </c>
      <c r="W5" s="14">
        <f t="shared" si="1"/>
        <v>-5228.7624599999999</v>
      </c>
      <c r="X5" s="14">
        <f t="shared" si="1"/>
        <v>-5228.7624599999999</v>
      </c>
    </row>
    <row r="6" spans="1:126" x14ac:dyDescent="0.25">
      <c r="A6" s="18">
        <f>AA22</f>
        <v>-0.13356230776877631</v>
      </c>
      <c r="C6" s="2" t="s">
        <v>49</v>
      </c>
      <c r="D6" s="14">
        <v>-28.6</v>
      </c>
      <c r="E6" s="14">
        <v>-10.58</v>
      </c>
      <c r="F6" s="14">
        <v>-5.7</v>
      </c>
      <c r="G6" s="14">
        <v>-6</v>
      </c>
      <c r="H6" s="14">
        <v>-73.304000000000002</v>
      </c>
      <c r="I6" s="14">
        <v>-73.665999999999997</v>
      </c>
      <c r="J6" s="14">
        <v>-123.572</v>
      </c>
      <c r="K6" s="14">
        <v>-148.79300000000001</v>
      </c>
      <c r="L6" s="14">
        <v>-178</v>
      </c>
      <c r="M6" s="14">
        <v>-174</v>
      </c>
      <c r="N6" s="15">
        <f>M6*0.9</f>
        <v>-156.6</v>
      </c>
      <c r="O6" s="14">
        <f>N6*1</f>
        <v>-156.6</v>
      </c>
      <c r="P6" s="14">
        <f t="shared" ref="P6:X6" si="2">O6*1</f>
        <v>-156.6</v>
      </c>
      <c r="Q6" s="14">
        <f t="shared" si="2"/>
        <v>-156.6</v>
      </c>
      <c r="R6" s="14">
        <f t="shared" si="2"/>
        <v>-156.6</v>
      </c>
      <c r="S6" s="14">
        <f t="shared" si="2"/>
        <v>-156.6</v>
      </c>
      <c r="T6" s="14">
        <f t="shared" si="2"/>
        <v>-156.6</v>
      </c>
      <c r="U6" s="14">
        <f t="shared" si="2"/>
        <v>-156.6</v>
      </c>
      <c r="V6" s="14">
        <f t="shared" si="2"/>
        <v>-156.6</v>
      </c>
      <c r="W6" s="14">
        <f t="shared" si="2"/>
        <v>-156.6</v>
      </c>
      <c r="X6" s="14">
        <f t="shared" si="2"/>
        <v>-156.6</v>
      </c>
    </row>
    <row r="7" spans="1:126" x14ac:dyDescent="0.25">
      <c r="C7" s="1" t="s">
        <v>50</v>
      </c>
      <c r="D7" s="12">
        <f t="shared" ref="D7:X7" si="3">SUM(D4:D6)</f>
        <v>146.95699999999979</v>
      </c>
      <c r="E7" s="12">
        <f t="shared" si="3"/>
        <v>212.38399999999993</v>
      </c>
      <c r="F7" s="12">
        <f t="shared" si="3"/>
        <v>286.93000000000012</v>
      </c>
      <c r="G7" s="12">
        <f t="shared" si="3"/>
        <v>321.07099999999991</v>
      </c>
      <c r="H7" s="12">
        <f t="shared" si="3"/>
        <v>318.07699999999988</v>
      </c>
      <c r="I7" s="12">
        <f t="shared" si="3"/>
        <v>333.31200000000007</v>
      </c>
      <c r="J7" s="12">
        <f t="shared" si="3"/>
        <v>437.90499999999986</v>
      </c>
      <c r="K7" s="12">
        <f t="shared" si="3"/>
        <v>596.47500000000002</v>
      </c>
      <c r="L7" s="12">
        <f t="shared" si="3"/>
        <v>496.39299999999912</v>
      </c>
      <c r="M7" s="12">
        <f t="shared" si="3"/>
        <v>366.72999999999956</v>
      </c>
      <c r="N7" s="13">
        <f t="shared" si="3"/>
        <v>388.80714000000023</v>
      </c>
      <c r="O7" s="12">
        <f t="shared" si="3"/>
        <v>388.80714000000023</v>
      </c>
      <c r="P7" s="12">
        <f t="shared" si="3"/>
        <v>388.80714000000023</v>
      </c>
      <c r="Q7" s="12">
        <f t="shared" si="3"/>
        <v>388.80714000000023</v>
      </c>
      <c r="R7" s="12">
        <f t="shared" si="3"/>
        <v>388.80714000000023</v>
      </c>
      <c r="S7" s="12">
        <f t="shared" si="3"/>
        <v>388.80714000000023</v>
      </c>
      <c r="T7" s="12">
        <f t="shared" si="3"/>
        <v>388.80714000000023</v>
      </c>
      <c r="U7" s="12">
        <f t="shared" si="3"/>
        <v>388.80714000000023</v>
      </c>
      <c r="V7" s="12">
        <f t="shared" si="3"/>
        <v>388.80714000000023</v>
      </c>
      <c r="W7" s="12">
        <f t="shared" si="3"/>
        <v>388.80714000000023</v>
      </c>
      <c r="X7" s="12">
        <f t="shared" si="3"/>
        <v>388.80714000000023</v>
      </c>
    </row>
    <row r="8" spans="1:126" x14ac:dyDescent="0.25">
      <c r="C8" s="2" t="s">
        <v>51</v>
      </c>
      <c r="D8" s="14">
        <v>-11.56</v>
      </c>
      <c r="E8" s="14">
        <v>-11.8</v>
      </c>
      <c r="F8" s="14">
        <v>-11.7</v>
      </c>
      <c r="G8" s="14">
        <v>-11.9</v>
      </c>
      <c r="H8" s="14">
        <v>-5</v>
      </c>
      <c r="I8" s="14">
        <f>-12.301+1.6</f>
        <v>-10.701000000000001</v>
      </c>
      <c r="J8" s="14">
        <v>-75.247</v>
      </c>
      <c r="K8" s="14">
        <v>-149.33099999999999</v>
      </c>
      <c r="L8" s="14">
        <v>-186.53700000000001</v>
      </c>
      <c r="M8" s="14">
        <v>-166</v>
      </c>
      <c r="N8" s="15">
        <f>M8*1.01</f>
        <v>-167.66</v>
      </c>
      <c r="O8" s="14">
        <f>N8*1</f>
        <v>-167.66</v>
      </c>
      <c r="P8" s="14">
        <f t="shared" ref="P8:X8" si="4">O8*1</f>
        <v>-167.66</v>
      </c>
      <c r="Q8" s="14">
        <f t="shared" si="4"/>
        <v>-167.66</v>
      </c>
      <c r="R8" s="14">
        <f t="shared" si="4"/>
        <v>-167.66</v>
      </c>
      <c r="S8" s="14">
        <f t="shared" si="4"/>
        <v>-167.66</v>
      </c>
      <c r="T8" s="14">
        <f t="shared" si="4"/>
        <v>-167.66</v>
      </c>
      <c r="U8" s="14">
        <f t="shared" si="4"/>
        <v>-167.66</v>
      </c>
      <c r="V8" s="14">
        <f t="shared" si="4"/>
        <v>-167.66</v>
      </c>
      <c r="W8" s="14">
        <f t="shared" si="4"/>
        <v>-167.66</v>
      </c>
      <c r="X8" s="14">
        <f t="shared" si="4"/>
        <v>-167.66</v>
      </c>
    </row>
    <row r="9" spans="1:126" x14ac:dyDescent="0.25">
      <c r="C9" s="1" t="s">
        <v>52</v>
      </c>
      <c r="D9" s="12">
        <f t="shared" ref="D9:X9" si="5">SUM(D7:D8)</f>
        <v>135.39699999999979</v>
      </c>
      <c r="E9" s="12">
        <f t="shared" si="5"/>
        <v>200.58399999999992</v>
      </c>
      <c r="F9" s="12">
        <f t="shared" si="5"/>
        <v>275.23000000000013</v>
      </c>
      <c r="G9" s="12">
        <f t="shared" si="5"/>
        <v>309.17099999999994</v>
      </c>
      <c r="H9" s="12">
        <f t="shared" si="5"/>
        <v>313.07699999999988</v>
      </c>
      <c r="I9" s="12">
        <f t="shared" si="5"/>
        <v>322.61100000000005</v>
      </c>
      <c r="J9" s="12">
        <f t="shared" si="5"/>
        <v>362.65799999999984</v>
      </c>
      <c r="K9" s="12">
        <f t="shared" si="5"/>
        <v>447.14400000000001</v>
      </c>
      <c r="L9" s="12">
        <f t="shared" si="5"/>
        <v>309.85599999999909</v>
      </c>
      <c r="M9" s="12">
        <f t="shared" si="5"/>
        <v>200.72999999999956</v>
      </c>
      <c r="N9" s="13">
        <f t="shared" si="5"/>
        <v>221.14714000000023</v>
      </c>
      <c r="O9" s="12">
        <f t="shared" si="5"/>
        <v>221.14714000000023</v>
      </c>
      <c r="P9" s="12">
        <f t="shared" si="5"/>
        <v>221.14714000000023</v>
      </c>
      <c r="Q9" s="12">
        <f t="shared" si="5"/>
        <v>221.14714000000023</v>
      </c>
      <c r="R9" s="12">
        <f t="shared" si="5"/>
        <v>221.14714000000023</v>
      </c>
      <c r="S9" s="12">
        <f t="shared" si="5"/>
        <v>221.14714000000023</v>
      </c>
      <c r="T9" s="12">
        <f t="shared" si="5"/>
        <v>221.14714000000023</v>
      </c>
      <c r="U9" s="12">
        <f t="shared" si="5"/>
        <v>221.14714000000023</v>
      </c>
      <c r="V9" s="12">
        <f t="shared" si="5"/>
        <v>221.14714000000023</v>
      </c>
      <c r="W9" s="12">
        <f t="shared" si="5"/>
        <v>221.14714000000023</v>
      </c>
      <c r="X9" s="12">
        <f t="shared" si="5"/>
        <v>221.14714000000023</v>
      </c>
    </row>
    <row r="10" spans="1:126" x14ac:dyDescent="0.25">
      <c r="C10" s="2" t="s">
        <v>53</v>
      </c>
      <c r="D10" s="14">
        <v>1.1000000000000001</v>
      </c>
      <c r="E10" s="14">
        <v>2.5</v>
      </c>
      <c r="F10" s="14">
        <v>0.61199999999999999</v>
      </c>
      <c r="G10" s="14">
        <v>0.97899999999999998</v>
      </c>
      <c r="H10" s="14">
        <v>15.518000000000001</v>
      </c>
      <c r="I10" s="14">
        <v>15.548</v>
      </c>
      <c r="J10" s="14">
        <v>20.606999999999999</v>
      </c>
      <c r="K10" s="14">
        <v>94.962999999999994</v>
      </c>
      <c r="L10" s="14">
        <v>76</v>
      </c>
      <c r="M10" s="14">
        <v>12.56</v>
      </c>
      <c r="N10" s="15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</row>
    <row r="11" spans="1:126" x14ac:dyDescent="0.25">
      <c r="C11" s="2" t="s">
        <v>54</v>
      </c>
      <c r="D11" s="14">
        <v>-20.177</v>
      </c>
      <c r="E11" s="14">
        <v>-11.8</v>
      </c>
      <c r="F11" s="14">
        <v>-9.8000000000000007</v>
      </c>
      <c r="G11" s="14">
        <v>-6.2</v>
      </c>
      <c r="H11" s="14">
        <v>-15.4</v>
      </c>
      <c r="I11" s="14">
        <v>-6.3689999999999998</v>
      </c>
      <c r="J11" s="14">
        <v>-13.77</v>
      </c>
      <c r="K11" s="14">
        <v>-58.430999999999997</v>
      </c>
      <c r="L11" s="14">
        <v>-81.724999999999994</v>
      </c>
      <c r="M11" s="14">
        <v>-59.271999999999998</v>
      </c>
      <c r="N11" s="15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</row>
    <row r="12" spans="1:126" x14ac:dyDescent="0.25">
      <c r="C12" s="2" t="s">
        <v>55</v>
      </c>
      <c r="D12" s="14">
        <f t="shared" ref="D12:X12" si="6">SUM(D9:D11)</f>
        <v>116.31999999999979</v>
      </c>
      <c r="E12" s="14">
        <f t="shared" si="6"/>
        <v>191.28399999999991</v>
      </c>
      <c r="F12" s="14">
        <f t="shared" si="6"/>
        <v>266.04200000000014</v>
      </c>
      <c r="G12" s="14">
        <f t="shared" si="6"/>
        <v>303.94999999999993</v>
      </c>
      <c r="H12" s="14">
        <f t="shared" si="6"/>
        <v>313.19499999999994</v>
      </c>
      <c r="I12" s="14">
        <f t="shared" si="6"/>
        <v>331.79000000000008</v>
      </c>
      <c r="J12" s="14">
        <f t="shared" si="6"/>
        <v>369.49499999999989</v>
      </c>
      <c r="K12" s="14">
        <f t="shared" si="6"/>
        <v>483.67599999999999</v>
      </c>
      <c r="L12" s="14">
        <f t="shared" si="6"/>
        <v>304.13099999999906</v>
      </c>
      <c r="M12" s="14">
        <f t="shared" si="6"/>
        <v>154.01799999999957</v>
      </c>
      <c r="N12" s="15">
        <f t="shared" si="6"/>
        <v>221.14714000000023</v>
      </c>
      <c r="O12" s="14">
        <f t="shared" si="6"/>
        <v>221.14714000000023</v>
      </c>
      <c r="P12" s="14">
        <f t="shared" si="6"/>
        <v>221.14714000000023</v>
      </c>
      <c r="Q12" s="14">
        <f t="shared" si="6"/>
        <v>221.14714000000023</v>
      </c>
      <c r="R12" s="14">
        <f t="shared" si="6"/>
        <v>221.14714000000023</v>
      </c>
      <c r="S12" s="14">
        <f t="shared" si="6"/>
        <v>221.14714000000023</v>
      </c>
      <c r="T12" s="14">
        <f t="shared" si="6"/>
        <v>221.14714000000023</v>
      </c>
      <c r="U12" s="14">
        <f t="shared" si="6"/>
        <v>221.14714000000023</v>
      </c>
      <c r="V12" s="14">
        <f t="shared" si="6"/>
        <v>221.14714000000023</v>
      </c>
      <c r="W12" s="14">
        <f t="shared" si="6"/>
        <v>221.14714000000023</v>
      </c>
      <c r="X12" s="14">
        <f t="shared" si="6"/>
        <v>221.14714000000023</v>
      </c>
    </row>
    <row r="13" spans="1:126" x14ac:dyDescent="0.25">
      <c r="C13" s="2" t="s">
        <v>56</v>
      </c>
      <c r="D13" s="14">
        <v>-24</v>
      </c>
      <c r="E13" s="14">
        <v>-47.2</v>
      </c>
      <c r="F13" s="14">
        <v>-64.3</v>
      </c>
      <c r="G13" s="14">
        <v>-71.7</v>
      </c>
      <c r="H13" s="14">
        <v>-71.451999999999998</v>
      </c>
      <c r="I13" s="14">
        <v>-74</v>
      </c>
      <c r="J13" s="14">
        <v>-75.317999999999998</v>
      </c>
      <c r="K13" s="14">
        <v>-91.489000000000004</v>
      </c>
      <c r="L13" s="14">
        <v>-62.292999999999999</v>
      </c>
      <c r="M13" s="14">
        <v>-42.667999999999999</v>
      </c>
      <c r="N13" s="15">
        <f>N12*-0.205</f>
        <v>-45.335163700000045</v>
      </c>
      <c r="O13" s="14">
        <f t="shared" ref="O13:X13" si="7">O12*-0.205</f>
        <v>-45.335163700000045</v>
      </c>
      <c r="P13" s="14">
        <f t="shared" si="7"/>
        <v>-45.335163700000045</v>
      </c>
      <c r="Q13" s="14">
        <f t="shared" si="7"/>
        <v>-45.335163700000045</v>
      </c>
      <c r="R13" s="14">
        <f t="shared" si="7"/>
        <v>-45.335163700000045</v>
      </c>
      <c r="S13" s="14">
        <f t="shared" si="7"/>
        <v>-45.335163700000045</v>
      </c>
      <c r="T13" s="14">
        <f t="shared" si="7"/>
        <v>-45.335163700000045</v>
      </c>
      <c r="U13" s="14">
        <f t="shared" si="7"/>
        <v>-45.335163700000045</v>
      </c>
      <c r="V13" s="14">
        <f t="shared" si="7"/>
        <v>-45.335163700000045</v>
      </c>
      <c r="W13" s="14">
        <f t="shared" si="7"/>
        <v>-45.335163700000045</v>
      </c>
      <c r="X13" s="14">
        <f t="shared" si="7"/>
        <v>-45.335163700000045</v>
      </c>
    </row>
    <row r="14" spans="1:126" x14ac:dyDescent="0.25">
      <c r="C14" s="1" t="s">
        <v>57</v>
      </c>
      <c r="D14" s="12">
        <f t="shared" ref="D14:X14" si="8">SUM(D12:D13)</f>
        <v>92.319999999999794</v>
      </c>
      <c r="E14" s="12">
        <f t="shared" si="8"/>
        <v>144.08399999999989</v>
      </c>
      <c r="F14" s="12">
        <f t="shared" si="8"/>
        <v>201.74200000000013</v>
      </c>
      <c r="G14" s="12">
        <f t="shared" si="8"/>
        <v>232.24999999999994</v>
      </c>
      <c r="H14" s="12">
        <f t="shared" si="8"/>
        <v>241.74299999999994</v>
      </c>
      <c r="I14" s="12">
        <f t="shared" si="8"/>
        <v>257.79000000000008</v>
      </c>
      <c r="J14" s="12">
        <f t="shared" si="8"/>
        <v>294.17699999999991</v>
      </c>
      <c r="K14" s="12">
        <f t="shared" si="8"/>
        <v>392.18700000000001</v>
      </c>
      <c r="L14" s="12">
        <f t="shared" si="8"/>
        <v>241.83799999999906</v>
      </c>
      <c r="M14" s="12">
        <f t="shared" si="8"/>
        <v>111.34999999999957</v>
      </c>
      <c r="N14" s="13">
        <f t="shared" si="8"/>
        <v>175.8119763000002</v>
      </c>
      <c r="O14" s="12">
        <f t="shared" si="8"/>
        <v>175.8119763000002</v>
      </c>
      <c r="P14" s="12">
        <f t="shared" si="8"/>
        <v>175.8119763000002</v>
      </c>
      <c r="Q14" s="12">
        <f t="shared" si="8"/>
        <v>175.8119763000002</v>
      </c>
      <c r="R14" s="12">
        <f t="shared" si="8"/>
        <v>175.8119763000002</v>
      </c>
      <c r="S14" s="12">
        <f t="shared" si="8"/>
        <v>175.8119763000002</v>
      </c>
      <c r="T14" s="12">
        <f t="shared" si="8"/>
        <v>175.8119763000002</v>
      </c>
      <c r="U14" s="12">
        <f t="shared" si="8"/>
        <v>175.8119763000002</v>
      </c>
      <c r="V14" s="12">
        <f t="shared" si="8"/>
        <v>175.8119763000002</v>
      </c>
      <c r="W14" s="12">
        <f t="shared" si="8"/>
        <v>175.8119763000002</v>
      </c>
      <c r="X14" s="12">
        <f t="shared" si="8"/>
        <v>175.8119763000002</v>
      </c>
      <c r="Y14" s="12">
        <f>X14*(1+$AA$18)</f>
        <v>174.0538565370002</v>
      </c>
      <c r="Z14" s="12">
        <f t="shared" ref="Z14:CK14" si="9">Y14*(1+$AA$18)</f>
        <v>172.3133179716302</v>
      </c>
      <c r="AA14" s="12">
        <f t="shared" si="9"/>
        <v>170.59018479191388</v>
      </c>
      <c r="AB14" s="12">
        <f t="shared" si="9"/>
        <v>168.88428294399475</v>
      </c>
      <c r="AC14" s="12">
        <f t="shared" si="9"/>
        <v>167.1954401145548</v>
      </c>
      <c r="AD14" s="12">
        <f t="shared" si="9"/>
        <v>165.52348571340926</v>
      </c>
      <c r="AE14" s="12">
        <f t="shared" si="9"/>
        <v>163.86825085627515</v>
      </c>
      <c r="AF14" s="12">
        <f t="shared" si="9"/>
        <v>162.22956834771239</v>
      </c>
      <c r="AG14" s="12">
        <f t="shared" si="9"/>
        <v>160.60727266423527</v>
      </c>
      <c r="AH14" s="12">
        <f t="shared" si="9"/>
        <v>159.0011999375929</v>
      </c>
      <c r="AI14" s="12">
        <f t="shared" si="9"/>
        <v>157.41118793821698</v>
      </c>
      <c r="AJ14" s="12">
        <f t="shared" si="9"/>
        <v>155.83707605883481</v>
      </c>
      <c r="AK14" s="12">
        <f t="shared" si="9"/>
        <v>154.27870529824645</v>
      </c>
      <c r="AL14" s="12">
        <f t="shared" si="9"/>
        <v>152.73591824526397</v>
      </c>
      <c r="AM14" s="12">
        <f t="shared" si="9"/>
        <v>151.20855906281133</v>
      </c>
      <c r="AN14" s="12">
        <f t="shared" si="9"/>
        <v>149.69647347218321</v>
      </c>
      <c r="AO14" s="12">
        <f t="shared" si="9"/>
        <v>148.19950873746137</v>
      </c>
      <c r="AP14" s="12">
        <f t="shared" si="9"/>
        <v>146.71751365008674</v>
      </c>
      <c r="AQ14" s="12">
        <f t="shared" si="9"/>
        <v>145.25033851358589</v>
      </c>
      <c r="AR14" s="12">
        <f t="shared" si="9"/>
        <v>143.79783512845003</v>
      </c>
      <c r="AS14" s="12">
        <f t="shared" si="9"/>
        <v>142.35985677716553</v>
      </c>
      <c r="AT14" s="12">
        <f t="shared" si="9"/>
        <v>140.93625820939388</v>
      </c>
      <c r="AU14" s="12">
        <f t="shared" si="9"/>
        <v>139.52689562729995</v>
      </c>
      <c r="AV14" s="12">
        <f t="shared" si="9"/>
        <v>138.13162667102694</v>
      </c>
      <c r="AW14" s="12">
        <f t="shared" si="9"/>
        <v>136.75031040431668</v>
      </c>
      <c r="AX14" s="12">
        <f t="shared" si="9"/>
        <v>135.3828073002735</v>
      </c>
      <c r="AY14" s="12">
        <f t="shared" si="9"/>
        <v>134.02897922727075</v>
      </c>
      <c r="AZ14" s="12">
        <f t="shared" si="9"/>
        <v>132.68868943499805</v>
      </c>
      <c r="BA14" s="12">
        <f t="shared" si="9"/>
        <v>131.36180254064809</v>
      </c>
      <c r="BB14" s="12">
        <f t="shared" si="9"/>
        <v>130.04818451524162</v>
      </c>
      <c r="BC14" s="12">
        <f t="shared" si="9"/>
        <v>128.74770267008921</v>
      </c>
      <c r="BD14" s="12">
        <f t="shared" si="9"/>
        <v>127.46022564338831</v>
      </c>
      <c r="BE14" s="12">
        <f t="shared" si="9"/>
        <v>126.18562338695443</v>
      </c>
      <c r="BF14" s="12">
        <f t="shared" si="9"/>
        <v>124.92376715308488</v>
      </c>
      <c r="BG14" s="12">
        <f t="shared" si="9"/>
        <v>123.67452948155403</v>
      </c>
      <c r="BH14" s="12">
        <f t="shared" si="9"/>
        <v>122.4377841867385</v>
      </c>
      <c r="BI14" s="12">
        <f t="shared" si="9"/>
        <v>121.21340634487112</v>
      </c>
      <c r="BJ14" s="12">
        <f t="shared" si="9"/>
        <v>120.0012722814224</v>
      </c>
      <c r="BK14" s="12">
        <f t="shared" si="9"/>
        <v>118.80125955860818</v>
      </c>
      <c r="BL14" s="12">
        <f t="shared" si="9"/>
        <v>117.61324696302209</v>
      </c>
      <c r="BM14" s="12">
        <f t="shared" si="9"/>
        <v>116.43711449339187</v>
      </c>
      <c r="BN14" s="12">
        <f t="shared" si="9"/>
        <v>115.27274334845795</v>
      </c>
      <c r="BO14" s="12">
        <f t="shared" si="9"/>
        <v>114.12001591497337</v>
      </c>
      <c r="BP14" s="12">
        <f t="shared" si="9"/>
        <v>112.97881575582363</v>
      </c>
      <c r="BQ14" s="12">
        <f t="shared" si="9"/>
        <v>111.84902759826539</v>
      </c>
      <c r="BR14" s="12">
        <f t="shared" si="9"/>
        <v>110.73053732228274</v>
      </c>
      <c r="BS14" s="12">
        <f t="shared" si="9"/>
        <v>109.62323194905991</v>
      </c>
      <c r="BT14" s="12">
        <f t="shared" si="9"/>
        <v>108.52699962956932</v>
      </c>
      <c r="BU14" s="12">
        <f t="shared" si="9"/>
        <v>107.44172963327362</v>
      </c>
      <c r="BV14" s="12">
        <f t="shared" si="9"/>
        <v>106.36731233694088</v>
      </c>
      <c r="BW14" s="12">
        <f t="shared" si="9"/>
        <v>105.30363921357147</v>
      </c>
      <c r="BX14" s="12">
        <f t="shared" si="9"/>
        <v>104.25060282143576</v>
      </c>
      <c r="BY14" s="12">
        <f t="shared" si="9"/>
        <v>103.2080967932214</v>
      </c>
      <c r="BZ14" s="12">
        <f t="shared" si="9"/>
        <v>102.17601582528918</v>
      </c>
      <c r="CA14" s="12">
        <f t="shared" si="9"/>
        <v>101.1542556670363</v>
      </c>
      <c r="CB14" s="12">
        <f t="shared" si="9"/>
        <v>100.14271311036593</v>
      </c>
      <c r="CC14" s="12">
        <f t="shared" si="9"/>
        <v>99.141285979262278</v>
      </c>
      <c r="CD14" s="12">
        <f t="shared" si="9"/>
        <v>98.14987311946966</v>
      </c>
      <c r="CE14" s="12">
        <f t="shared" si="9"/>
        <v>97.16837438827497</v>
      </c>
      <c r="CF14" s="12">
        <f t="shared" si="9"/>
        <v>96.19669064439222</v>
      </c>
      <c r="CG14" s="12">
        <f t="shared" si="9"/>
        <v>95.2347237379483</v>
      </c>
      <c r="CH14" s="12">
        <f t="shared" si="9"/>
        <v>94.282376500568816</v>
      </c>
      <c r="CI14" s="12">
        <f t="shared" si="9"/>
        <v>93.339552735563132</v>
      </c>
      <c r="CJ14" s="12">
        <f t="shared" si="9"/>
        <v>92.406157208207503</v>
      </c>
      <c r="CK14" s="12">
        <f t="shared" si="9"/>
        <v>91.482095636125422</v>
      </c>
      <c r="CL14" s="12">
        <f t="shared" ref="CL14:DV14" si="10">CK14*(1+$AA$18)</f>
        <v>90.567274679764168</v>
      </c>
      <c r="CM14" s="12">
        <f t="shared" si="10"/>
        <v>89.661601932966519</v>
      </c>
      <c r="CN14" s="12">
        <f t="shared" si="10"/>
        <v>88.764985913636849</v>
      </c>
      <c r="CO14" s="12">
        <f t="shared" si="10"/>
        <v>87.877336054500475</v>
      </c>
      <c r="CP14" s="12">
        <f t="shared" si="10"/>
        <v>86.998562693955463</v>
      </c>
      <c r="CQ14" s="12">
        <f t="shared" si="10"/>
        <v>86.128577067015911</v>
      </c>
      <c r="CR14" s="12">
        <f t="shared" si="10"/>
        <v>85.267291296345746</v>
      </c>
      <c r="CS14" s="12">
        <f t="shared" si="10"/>
        <v>84.41461838338229</v>
      </c>
      <c r="CT14" s="12">
        <f t="shared" si="10"/>
        <v>83.570472199548462</v>
      </c>
      <c r="CU14" s="12">
        <f t="shared" si="10"/>
        <v>82.734767477552978</v>
      </c>
      <c r="CV14" s="12">
        <f t="shared" si="10"/>
        <v>81.907419802777454</v>
      </c>
      <c r="CW14" s="12">
        <f t="shared" si="10"/>
        <v>81.088345604749676</v>
      </c>
      <c r="CX14" s="12">
        <f t="shared" si="10"/>
        <v>80.277462148702185</v>
      </c>
      <c r="CY14" s="12">
        <f t="shared" si="10"/>
        <v>79.474687527215167</v>
      </c>
      <c r="CZ14" s="12">
        <f t="shared" si="10"/>
        <v>78.679940651943014</v>
      </c>
      <c r="DA14" s="12">
        <f t="shared" si="10"/>
        <v>77.893141245423578</v>
      </c>
      <c r="DB14" s="12">
        <f t="shared" si="10"/>
        <v>77.114209832969337</v>
      </c>
      <c r="DC14" s="12">
        <f t="shared" si="10"/>
        <v>76.343067734639646</v>
      </c>
      <c r="DD14" s="12">
        <f t="shared" si="10"/>
        <v>75.579637057293255</v>
      </c>
      <c r="DE14" s="12">
        <f t="shared" si="10"/>
        <v>74.823840686720317</v>
      </c>
      <c r="DF14" s="12">
        <f t="shared" si="10"/>
        <v>74.075602279853115</v>
      </c>
      <c r="DG14" s="12">
        <f t="shared" si="10"/>
        <v>73.334846257054579</v>
      </c>
      <c r="DH14" s="12">
        <f t="shared" si="10"/>
        <v>72.601497794484033</v>
      </c>
      <c r="DI14" s="12">
        <f t="shared" si="10"/>
        <v>71.87548281653919</v>
      </c>
      <c r="DJ14" s="12">
        <f t="shared" si="10"/>
        <v>71.156727988373802</v>
      </c>
      <c r="DK14" s="12">
        <f t="shared" si="10"/>
        <v>70.445160708490064</v>
      </c>
      <c r="DL14" s="12">
        <f t="shared" si="10"/>
        <v>69.740709101405159</v>
      </c>
      <c r="DM14" s="12">
        <f t="shared" si="10"/>
        <v>69.043302010391102</v>
      </c>
      <c r="DN14" s="12">
        <f t="shared" si="10"/>
        <v>68.352868990287192</v>
      </c>
      <c r="DO14" s="12">
        <f t="shared" si="10"/>
        <v>67.66934030038432</v>
      </c>
      <c r="DP14" s="12">
        <f t="shared" si="10"/>
        <v>66.992646897380482</v>
      </c>
      <c r="DQ14" s="12">
        <f t="shared" si="10"/>
        <v>66.322720428406683</v>
      </c>
      <c r="DR14" s="12">
        <f t="shared" si="10"/>
        <v>65.659493224122613</v>
      </c>
      <c r="DS14" s="12">
        <f t="shared" si="10"/>
        <v>65.00289829188138</v>
      </c>
      <c r="DT14" s="12">
        <f t="shared" si="10"/>
        <v>64.352869308962568</v>
      </c>
      <c r="DU14" s="12">
        <f t="shared" si="10"/>
        <v>63.709340615872939</v>
      </c>
      <c r="DV14" s="12">
        <f t="shared" si="10"/>
        <v>63.072247209714206</v>
      </c>
    </row>
    <row r="15" spans="1:126" x14ac:dyDescent="0.25">
      <c r="C15" s="2" t="s">
        <v>58</v>
      </c>
      <c r="D15" s="2">
        <v>18.388999999999999</v>
      </c>
      <c r="E15" s="2">
        <v>18.914000000000001</v>
      </c>
      <c r="F15" s="2">
        <v>19.138999999999999</v>
      </c>
      <c r="G15" s="9">
        <v>19.253</v>
      </c>
      <c r="H15" s="9">
        <v>19.254000000000001</v>
      </c>
      <c r="I15" s="9">
        <v>19.28</v>
      </c>
      <c r="J15" s="9">
        <v>23.725999999999999</v>
      </c>
      <c r="K15" s="9">
        <v>27.408999999999999</v>
      </c>
      <c r="L15" s="9">
        <v>27.306999999999999</v>
      </c>
      <c r="M15" s="9">
        <v>27.306999999999999</v>
      </c>
      <c r="N15" s="8">
        <v>27.306999999999999</v>
      </c>
      <c r="O15" s="9">
        <v>27.306999999999999</v>
      </c>
      <c r="P15" s="9">
        <v>27.306999999999999</v>
      </c>
      <c r="Q15" s="9">
        <v>27.306999999999999</v>
      </c>
      <c r="R15" s="9">
        <v>27.306999999999999</v>
      </c>
      <c r="S15" s="9">
        <v>27.306999999999999</v>
      </c>
      <c r="T15" s="9">
        <v>27.306999999999999</v>
      </c>
      <c r="U15" s="9">
        <v>27.306999999999999</v>
      </c>
      <c r="V15" s="9">
        <v>27.306999999999999</v>
      </c>
      <c r="W15" s="9">
        <v>27.306999999999999</v>
      </c>
      <c r="X15" s="9">
        <v>27.306999999999999</v>
      </c>
    </row>
    <row r="16" spans="1:126" x14ac:dyDescent="0.25">
      <c r="C16" s="2" t="s">
        <v>59</v>
      </c>
      <c r="D16" s="19">
        <f t="shared" ref="D16:K16" si="11">D14/D15</f>
        <v>5.0203926260264176</v>
      </c>
      <c r="E16" s="19">
        <f t="shared" si="11"/>
        <v>7.6178492122237431</v>
      </c>
      <c r="F16" s="19">
        <f t="shared" si="11"/>
        <v>10.540885103714935</v>
      </c>
      <c r="G16" s="19">
        <f t="shared" si="11"/>
        <v>12.063055108294808</v>
      </c>
      <c r="H16" s="19">
        <f t="shared" si="11"/>
        <v>12.555468993455902</v>
      </c>
      <c r="I16" s="19">
        <f t="shared" si="11"/>
        <v>13.370850622406643</v>
      </c>
      <c r="J16" s="19">
        <f t="shared" si="11"/>
        <v>12.398929444491271</v>
      </c>
      <c r="K16" s="19">
        <f t="shared" si="11"/>
        <v>14.308694224524793</v>
      </c>
      <c r="L16" s="19">
        <f>L14/L15</f>
        <v>8.8562639616215275</v>
      </c>
      <c r="M16" s="19">
        <f>M14/M15</f>
        <v>4.0777090123411419</v>
      </c>
      <c r="N16" s="22">
        <f t="shared" ref="N16:X16" si="12">N14/N15</f>
        <v>6.4383482733365147</v>
      </c>
      <c r="O16" s="19">
        <f t="shared" si="12"/>
        <v>6.4383482733365147</v>
      </c>
      <c r="P16" s="19">
        <f t="shared" si="12"/>
        <v>6.4383482733365147</v>
      </c>
      <c r="Q16" s="19">
        <f t="shared" si="12"/>
        <v>6.4383482733365147</v>
      </c>
      <c r="R16" s="19">
        <f t="shared" si="12"/>
        <v>6.4383482733365147</v>
      </c>
      <c r="S16" s="19">
        <f t="shared" si="12"/>
        <v>6.4383482733365147</v>
      </c>
      <c r="T16" s="19">
        <f t="shared" si="12"/>
        <v>6.4383482733365147</v>
      </c>
      <c r="U16" s="19">
        <f t="shared" si="12"/>
        <v>6.4383482733365147</v>
      </c>
      <c r="V16" s="19">
        <f t="shared" si="12"/>
        <v>6.4383482733365147</v>
      </c>
      <c r="W16" s="19">
        <f t="shared" si="12"/>
        <v>6.4383482733365147</v>
      </c>
      <c r="X16" s="19">
        <f t="shared" si="12"/>
        <v>6.4383482733365147</v>
      </c>
    </row>
    <row r="17" spans="2:27" x14ac:dyDescent="0.25"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Z17" s="2" t="s">
        <v>108</v>
      </c>
      <c r="AA17" s="25">
        <v>0.08</v>
      </c>
    </row>
    <row r="18" spans="2:27" x14ac:dyDescent="0.25">
      <c r="C18" s="1" t="s">
        <v>43</v>
      </c>
      <c r="D18" s="21"/>
      <c r="E18" s="21">
        <f t="shared" ref="E18:L19" si="13">(E4-D4)/D4</f>
        <v>8.7990134529147918E-2</v>
      </c>
      <c r="F18" s="21">
        <f t="shared" si="13"/>
        <v>0.12665102641230111</v>
      </c>
      <c r="G18" s="21">
        <f t="shared" si="13"/>
        <v>0.12796885752008133</v>
      </c>
      <c r="H18" s="21">
        <f t="shared" si="13"/>
        <v>8.1631911741430585E-2</v>
      </c>
      <c r="I18" s="21">
        <f t="shared" si="13"/>
        <v>1.3193403298350824E-2</v>
      </c>
      <c r="J18" s="21">
        <f t="shared" si="13"/>
        <v>0.4240423202130808</v>
      </c>
      <c r="K18" s="21">
        <f t="shared" si="13"/>
        <v>0.42019423343133472</v>
      </c>
      <c r="L18" s="21">
        <f t="shared" si="13"/>
        <v>4.098396399280857E-2</v>
      </c>
      <c r="M18" s="21">
        <f>(M4-L4)/L4</f>
        <v>-9.8129556272157581E-2</v>
      </c>
      <c r="N18" s="23">
        <f t="shared" ref="N18:X19" si="14">(N4-M4)/M4</f>
        <v>-9.9999999999999922E-2</v>
      </c>
      <c r="O18" s="21">
        <f t="shared" si="14"/>
        <v>0</v>
      </c>
      <c r="P18" s="21">
        <f t="shared" si="14"/>
        <v>0</v>
      </c>
      <c r="Q18" s="21">
        <f t="shared" si="14"/>
        <v>0</v>
      </c>
      <c r="R18" s="21">
        <f t="shared" si="14"/>
        <v>0</v>
      </c>
      <c r="S18" s="21">
        <f t="shared" si="14"/>
        <v>0</v>
      </c>
      <c r="T18" s="21">
        <f t="shared" si="14"/>
        <v>0</v>
      </c>
      <c r="U18" s="21">
        <f t="shared" si="14"/>
        <v>0</v>
      </c>
      <c r="V18" s="21">
        <f t="shared" si="14"/>
        <v>0</v>
      </c>
      <c r="W18" s="21">
        <f t="shared" si="14"/>
        <v>0</v>
      </c>
      <c r="X18" s="21">
        <f t="shared" si="14"/>
        <v>0</v>
      </c>
      <c r="Z18" s="2" t="s">
        <v>109</v>
      </c>
      <c r="AA18" s="25">
        <v>-0.01</v>
      </c>
    </row>
    <row r="19" spans="2:27" x14ac:dyDescent="0.25">
      <c r="C19" s="1" t="s">
        <v>95</v>
      </c>
      <c r="D19" s="21"/>
      <c r="E19" s="21">
        <f t="shared" si="13"/>
        <v>7.2433744815504575E-2</v>
      </c>
      <c r="F19" s="21">
        <f t="shared" si="13"/>
        <v>0.10784820996580521</v>
      </c>
      <c r="G19" s="21">
        <f t="shared" si="13"/>
        <v>0.12920060093302763</v>
      </c>
      <c r="H19" s="21">
        <f t="shared" si="13"/>
        <v>6.7986269665880922E-2</v>
      </c>
      <c r="I19" s="21">
        <f t="shared" si="13"/>
        <v>9.6490068857415963E-3</v>
      </c>
      <c r="J19" s="21">
        <f t="shared" si="13"/>
        <v>0.43012467606229032</v>
      </c>
      <c r="K19" s="21">
        <f t="shared" si="13"/>
        <v>0.4324610468473038</v>
      </c>
      <c r="L19" s="21">
        <f t="shared" si="13"/>
        <v>5.7641499238397599E-2</v>
      </c>
      <c r="M19" s="21">
        <f>(M5-L5)/L5</f>
        <v>-8.7649568820331439E-2</v>
      </c>
      <c r="N19" s="23">
        <f t="shared" si="14"/>
        <v>-0.11000000000000003</v>
      </c>
      <c r="O19" s="21">
        <f t="shared" si="14"/>
        <v>0</v>
      </c>
      <c r="P19" s="21">
        <f t="shared" si="14"/>
        <v>0</v>
      </c>
      <c r="Q19" s="21">
        <f t="shared" si="14"/>
        <v>0</v>
      </c>
      <c r="R19" s="21">
        <f t="shared" si="14"/>
        <v>0</v>
      </c>
      <c r="S19" s="21">
        <f t="shared" si="14"/>
        <v>0</v>
      </c>
      <c r="T19" s="21">
        <f t="shared" si="14"/>
        <v>0</v>
      </c>
      <c r="U19" s="21">
        <f t="shared" si="14"/>
        <v>0</v>
      </c>
      <c r="V19" s="21">
        <f t="shared" si="14"/>
        <v>0</v>
      </c>
      <c r="W19" s="21">
        <f t="shared" si="14"/>
        <v>0</v>
      </c>
      <c r="X19" s="21">
        <f t="shared" si="14"/>
        <v>0</v>
      </c>
      <c r="Z19" s="31" t="s">
        <v>110</v>
      </c>
      <c r="AA19" s="32">
        <f>NPV(AA17,N14:DV14)</f>
        <v>2084.4296188408816</v>
      </c>
    </row>
    <row r="20" spans="2:27" x14ac:dyDescent="0.25">
      <c r="C20" s="2" t="s">
        <v>99</v>
      </c>
      <c r="D20" s="10">
        <f t="shared" ref="D20:X20" si="15">D7/D4</f>
        <v>6.5899999999999903E-2</v>
      </c>
      <c r="E20" s="10">
        <f t="shared" si="15"/>
        <v>8.7537063858235301E-2</v>
      </c>
      <c r="F20" s="10">
        <f t="shared" si="15"/>
        <v>0.10496795135615465</v>
      </c>
      <c r="G20" s="10">
        <f t="shared" si="15"/>
        <v>0.10413212579752107</v>
      </c>
      <c r="H20" s="10">
        <f t="shared" si="15"/>
        <v>9.5375412293853046E-2</v>
      </c>
      <c r="I20" s="10">
        <f t="shared" si="15"/>
        <v>9.86422018348624E-2</v>
      </c>
      <c r="J20" s="10">
        <f t="shared" si="15"/>
        <v>9.1005746451616493E-2</v>
      </c>
      <c r="K20" s="10">
        <f t="shared" si="15"/>
        <v>8.7283753303093209E-2</v>
      </c>
      <c r="L20" s="10">
        <f t="shared" si="15"/>
        <v>6.9778684307446506E-2</v>
      </c>
      <c r="M20" s="10">
        <f t="shared" si="15"/>
        <v>5.716094657143421E-2</v>
      </c>
      <c r="N20" s="24">
        <f t="shared" si="15"/>
        <v>6.7335594022039161E-2</v>
      </c>
      <c r="O20" s="10">
        <f t="shared" si="15"/>
        <v>6.7335594022039161E-2</v>
      </c>
      <c r="P20" s="10">
        <f t="shared" si="15"/>
        <v>6.7335594022039161E-2</v>
      </c>
      <c r="Q20" s="10">
        <f t="shared" si="15"/>
        <v>6.7335594022039161E-2</v>
      </c>
      <c r="R20" s="10">
        <f t="shared" si="15"/>
        <v>6.7335594022039161E-2</v>
      </c>
      <c r="S20" s="10">
        <f t="shared" si="15"/>
        <v>6.7335594022039161E-2</v>
      </c>
      <c r="T20" s="10">
        <f t="shared" si="15"/>
        <v>6.7335594022039161E-2</v>
      </c>
      <c r="U20" s="10">
        <f t="shared" si="15"/>
        <v>6.7335594022039161E-2</v>
      </c>
      <c r="V20" s="10">
        <f t="shared" si="15"/>
        <v>6.7335594022039161E-2</v>
      </c>
      <c r="W20" s="10">
        <f t="shared" si="15"/>
        <v>6.7335594022039161E-2</v>
      </c>
      <c r="X20" s="10">
        <f t="shared" si="15"/>
        <v>6.7335594022039161E-2</v>
      </c>
      <c r="Z20" s="2" t="s">
        <v>2</v>
      </c>
      <c r="AA20" s="33">
        <v>27.306999999999999</v>
      </c>
    </row>
    <row r="21" spans="2:27" x14ac:dyDescent="0.25">
      <c r="C21" s="2" t="s">
        <v>44</v>
      </c>
      <c r="D21" s="10">
        <f t="shared" ref="D21:X21" si="16">D9/D4</f>
        <v>6.0716143497757752E-2</v>
      </c>
      <c r="E21" s="10">
        <f t="shared" si="16"/>
        <v>8.2673527275784753E-2</v>
      </c>
      <c r="F21" s="10">
        <f t="shared" si="16"/>
        <v>0.10068772610655716</v>
      </c>
      <c r="G21" s="10">
        <f t="shared" si="16"/>
        <v>0.10027262962069258</v>
      </c>
      <c r="H21" s="10">
        <f t="shared" si="16"/>
        <v>9.3876161919040441E-2</v>
      </c>
      <c r="I21" s="10">
        <f t="shared" si="16"/>
        <v>9.5475288546907386E-2</v>
      </c>
      <c r="J21" s="10">
        <f t="shared" si="16"/>
        <v>7.5367858317786585E-2</v>
      </c>
      <c r="K21" s="10">
        <f t="shared" si="16"/>
        <v>6.5431755877376777E-2</v>
      </c>
      <c r="L21" s="10">
        <f t="shared" si="16"/>
        <v>4.3556907540533651E-2</v>
      </c>
      <c r="M21" s="10">
        <f t="shared" si="16"/>
        <v>3.1287096243241559E-2</v>
      </c>
      <c r="N21" s="24">
        <f t="shared" si="16"/>
        <v>3.8299384209289633E-2</v>
      </c>
      <c r="O21" s="10">
        <f t="shared" si="16"/>
        <v>3.8299384209289633E-2</v>
      </c>
      <c r="P21" s="10">
        <f t="shared" si="16"/>
        <v>3.8299384209289633E-2</v>
      </c>
      <c r="Q21" s="10">
        <f t="shared" si="16"/>
        <v>3.8299384209289633E-2</v>
      </c>
      <c r="R21" s="10">
        <f t="shared" si="16"/>
        <v>3.8299384209289633E-2</v>
      </c>
      <c r="S21" s="10">
        <f t="shared" si="16"/>
        <v>3.8299384209289633E-2</v>
      </c>
      <c r="T21" s="10">
        <f t="shared" si="16"/>
        <v>3.8299384209289633E-2</v>
      </c>
      <c r="U21" s="10">
        <f t="shared" si="16"/>
        <v>3.8299384209289633E-2</v>
      </c>
      <c r="V21" s="10">
        <f t="shared" si="16"/>
        <v>3.8299384209289633E-2</v>
      </c>
      <c r="W21" s="10">
        <f t="shared" si="16"/>
        <v>3.8299384209289633E-2</v>
      </c>
      <c r="X21" s="10">
        <f t="shared" si="16"/>
        <v>3.8299384209289633E-2</v>
      </c>
      <c r="Z21" s="2" t="s">
        <v>111</v>
      </c>
      <c r="AA21" s="19">
        <f>AA19/AA20</f>
        <v>76.333160685570803</v>
      </c>
    </row>
    <row r="22" spans="2:27" s="31" customFormat="1" x14ac:dyDescent="0.25">
      <c r="B22" s="36"/>
      <c r="C22" s="31" t="s">
        <v>114</v>
      </c>
      <c r="D22" s="37">
        <v>0.11899999999999999</v>
      </c>
      <c r="E22" s="37">
        <v>0.18099999999999999</v>
      </c>
      <c r="F22" s="37">
        <v>0.22500000000000001</v>
      </c>
      <c r="G22" s="37">
        <v>0.22500000000000001</v>
      </c>
      <c r="H22" s="37">
        <v>0.20599999999999999</v>
      </c>
      <c r="I22" s="37">
        <v>0.185</v>
      </c>
      <c r="J22" s="37">
        <v>0.108</v>
      </c>
      <c r="K22" s="37">
        <v>9.7000000000000003E-2</v>
      </c>
      <c r="L22" s="37">
        <v>5.8000000000000003E-2</v>
      </c>
      <c r="M22" s="37">
        <v>2.7E-2</v>
      </c>
      <c r="N22" s="38"/>
      <c r="O22" s="37"/>
      <c r="P22" s="37"/>
      <c r="Q22" s="37"/>
      <c r="R22" s="37"/>
      <c r="S22" s="37"/>
      <c r="T22" s="37"/>
      <c r="U22" s="37"/>
      <c r="V22" s="37"/>
      <c r="W22" s="37"/>
      <c r="X22" s="37"/>
      <c r="Z22" s="39" t="s">
        <v>112</v>
      </c>
      <c r="AA22" s="40">
        <f>(AA21-Modell!B4)/Modell!B4</f>
        <v>-0.13356230776877631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2026-05-28T16:53:33Z</dcterms:modified>
</cp:coreProperties>
</file>