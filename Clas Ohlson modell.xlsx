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F5864C4-ED39-304A-8B8D-16DC15D09212}" xr6:coauthVersionLast="47" xr6:coauthVersionMax="47" xr10:uidLastSave="{00000000-0000-0000-0000-000000000000}"/>
  <bookViews>
    <workbookView xWindow="23960" yWindow="500" windowWidth="24680" windowHeight="26500" activeTab="4" xr2:uid="{5AE0DF26-B7DD-1242-A60E-253C73A930AF}"/>
  </bookViews>
  <sheets>
    <sheet name="Info" sheetId="1" r:id="rId1"/>
    <sheet name="Modell" sheetId="2" r:id="rId2"/>
    <sheet name="Segementer" sheetId="4" r:id="rId3"/>
    <sheet name="Nøkkeltall" sheetId="3" r:id="rId4"/>
    <sheet name="Nedsideberegn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5" i="5"/>
  <c r="W24" i="5"/>
  <c r="W21" i="5"/>
  <c r="V16" i="5"/>
  <c r="W16" i="5" s="1"/>
  <c r="U16" i="5"/>
  <c r="AM16" i="2"/>
  <c r="N7" i="5"/>
  <c r="O7" i="5"/>
  <c r="P7" i="5"/>
  <c r="Q7" i="5" s="1"/>
  <c r="R7" i="5" s="1"/>
  <c r="S7" i="5" s="1"/>
  <c r="T7" i="5" s="1"/>
  <c r="N8" i="5"/>
  <c r="O8" i="5" s="1"/>
  <c r="P8" i="5" s="1"/>
  <c r="Q8" i="5" s="1"/>
  <c r="R8" i="5" s="1"/>
  <c r="S8" i="5" s="1"/>
  <c r="T8" i="5" s="1"/>
  <c r="N9" i="5"/>
  <c r="O9" i="5" s="1"/>
  <c r="P9" i="5" s="1"/>
  <c r="Q9" i="5" s="1"/>
  <c r="R9" i="5" s="1"/>
  <c r="S9" i="5" s="1"/>
  <c r="T9" i="5" s="1"/>
  <c r="N10" i="5"/>
  <c r="O10" i="5"/>
  <c r="P10" i="5" s="1"/>
  <c r="Q10" i="5" s="1"/>
  <c r="R10" i="5" s="1"/>
  <c r="S10" i="5" s="1"/>
  <c r="T10" i="5" s="1"/>
  <c r="M8" i="5"/>
  <c r="M9" i="5"/>
  <c r="M10" i="5"/>
  <c r="M7" i="5"/>
  <c r="L4" i="5"/>
  <c r="M4" i="5"/>
  <c r="N4" i="5" s="1"/>
  <c r="O4" i="5" s="1"/>
  <c r="P4" i="5" s="1"/>
  <c r="Q4" i="5" s="1"/>
  <c r="R4" i="5" s="1"/>
  <c r="S4" i="5" s="1"/>
  <c r="T4" i="5" s="1"/>
  <c r="K4" i="5"/>
  <c r="H23" i="5"/>
  <c r="H22" i="5"/>
  <c r="H20" i="5"/>
  <c r="G20" i="5"/>
  <c r="F20" i="5"/>
  <c r="E20" i="5"/>
  <c r="H14" i="5"/>
  <c r="H16" i="5" s="1"/>
  <c r="H18" i="5" s="1"/>
  <c r="H11" i="5"/>
  <c r="D11" i="5"/>
  <c r="D23" i="5" s="1"/>
  <c r="J10" i="5"/>
  <c r="K10" i="5" s="1"/>
  <c r="L10" i="5" s="1"/>
  <c r="J9" i="5"/>
  <c r="K9" i="5" s="1"/>
  <c r="L9" i="5" s="1"/>
  <c r="J8" i="5"/>
  <c r="K8" i="5" s="1"/>
  <c r="L8" i="5" s="1"/>
  <c r="J7" i="5"/>
  <c r="K7" i="5" s="1"/>
  <c r="L7" i="5" s="1"/>
  <c r="H6" i="5"/>
  <c r="G6" i="5"/>
  <c r="G11" i="5" s="1"/>
  <c r="F6" i="5"/>
  <c r="F11" i="5" s="1"/>
  <c r="E6" i="5"/>
  <c r="E22" i="5" s="1"/>
  <c r="D6" i="5"/>
  <c r="D22" i="5" s="1"/>
  <c r="J4" i="5"/>
  <c r="Q74" i="2"/>
  <c r="B8" i="2"/>
  <c r="B7" i="2"/>
  <c r="S12" i="4"/>
  <c r="V14" i="4"/>
  <c r="V15" i="4" s="1"/>
  <c r="V11" i="4"/>
  <c r="V12" i="4" s="1"/>
  <c r="V8" i="4"/>
  <c r="V9" i="4" s="1"/>
  <c r="P74" i="2"/>
  <c r="S83" i="2"/>
  <c r="R83" i="2"/>
  <c r="Q83" i="2"/>
  <c r="P83" i="2"/>
  <c r="S77" i="2"/>
  <c r="R77" i="2"/>
  <c r="Q77" i="2"/>
  <c r="P77" i="2"/>
  <c r="S72" i="2"/>
  <c r="S89" i="2" s="1"/>
  <c r="R72" i="2"/>
  <c r="R89" i="2" s="1"/>
  <c r="Q72" i="2"/>
  <c r="P72" i="2"/>
  <c r="P89" i="2" s="1"/>
  <c r="S61" i="2"/>
  <c r="R61" i="2"/>
  <c r="Q61" i="2"/>
  <c r="P61" i="2"/>
  <c r="S50" i="2"/>
  <c r="R50" i="2"/>
  <c r="Q50" i="2"/>
  <c r="P50" i="2"/>
  <c r="S45" i="2"/>
  <c r="R45" i="2"/>
  <c r="Q45" i="2"/>
  <c r="P45" i="2"/>
  <c r="P20" i="2"/>
  <c r="Q20" i="2"/>
  <c r="R20" i="2"/>
  <c r="S20" i="2"/>
  <c r="P6" i="2"/>
  <c r="P22" i="2" s="1"/>
  <c r="Q6" i="2"/>
  <c r="Q11" i="2" s="1"/>
  <c r="R6" i="2"/>
  <c r="R11" i="2" s="1"/>
  <c r="S6" i="2"/>
  <c r="S22" i="2" s="1"/>
  <c r="Q14" i="4"/>
  <c r="Q11" i="4"/>
  <c r="Q8" i="4"/>
  <c r="L8" i="4"/>
  <c r="L11" i="4"/>
  <c r="L14" i="4"/>
  <c r="G14" i="4"/>
  <c r="G11" i="4"/>
  <c r="G8" i="4"/>
  <c r="L9" i="4"/>
  <c r="L12" i="4"/>
  <c r="L15" i="4"/>
  <c r="Q15" i="4"/>
  <c r="Q12" i="4"/>
  <c r="Q9" i="4"/>
  <c r="U15" i="4"/>
  <c r="T15" i="4"/>
  <c r="S15" i="4"/>
  <c r="R15" i="4"/>
  <c r="P15" i="4"/>
  <c r="O15" i="4"/>
  <c r="N15" i="4"/>
  <c r="M15" i="4"/>
  <c r="K15" i="4"/>
  <c r="J15" i="4"/>
  <c r="I15" i="4"/>
  <c r="H15" i="4"/>
  <c r="U12" i="4"/>
  <c r="T12" i="4"/>
  <c r="R12" i="4"/>
  <c r="P12" i="4"/>
  <c r="O12" i="4"/>
  <c r="N12" i="4"/>
  <c r="M12" i="4"/>
  <c r="K12" i="4"/>
  <c r="J12" i="4"/>
  <c r="I12" i="4"/>
  <c r="H12" i="4"/>
  <c r="H9" i="4"/>
  <c r="I9" i="4"/>
  <c r="J9" i="4"/>
  <c r="K9" i="4"/>
  <c r="M9" i="4"/>
  <c r="N9" i="4"/>
  <c r="O9" i="4"/>
  <c r="R9" i="4"/>
  <c r="S9" i="4"/>
  <c r="T9" i="4"/>
  <c r="U9" i="4"/>
  <c r="P9" i="4"/>
  <c r="AA15" i="2"/>
  <c r="AA13" i="2"/>
  <c r="AA12" i="2"/>
  <c r="AA8" i="2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A9" i="2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A10" i="2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A7" i="2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A5" i="2"/>
  <c r="AA4" i="2"/>
  <c r="AB4" i="2" s="1"/>
  <c r="O74" i="2"/>
  <c r="O83" i="2"/>
  <c r="O77" i="2"/>
  <c r="O72" i="2"/>
  <c r="O87" i="2" s="1"/>
  <c r="O61" i="2"/>
  <c r="O50" i="2"/>
  <c r="O45" i="2"/>
  <c r="O20" i="2"/>
  <c r="O6" i="2"/>
  <c r="O11" i="2" s="1"/>
  <c r="O65" i="2" s="1"/>
  <c r="X16" i="5" l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F23" i="5"/>
  <c r="F14" i="5"/>
  <c r="F16" i="5" s="1"/>
  <c r="F18" i="5" s="1"/>
  <c r="J20" i="5"/>
  <c r="J6" i="5"/>
  <c r="J5" i="5"/>
  <c r="G23" i="5"/>
  <c r="G14" i="5"/>
  <c r="G16" i="5" s="1"/>
  <c r="G18" i="5" s="1"/>
  <c r="I6" i="5"/>
  <c r="F22" i="5"/>
  <c r="G22" i="5"/>
  <c r="I20" i="5"/>
  <c r="E11" i="5"/>
  <c r="D14" i="5"/>
  <c r="D16" i="5" s="1"/>
  <c r="D18" i="5" s="1"/>
  <c r="Q87" i="2"/>
  <c r="R14" i="2"/>
  <c r="R16" i="2" s="1"/>
  <c r="R18" i="2" s="1"/>
  <c r="R23" i="2"/>
  <c r="R65" i="2"/>
  <c r="Q23" i="2"/>
  <c r="Q14" i="2"/>
  <c r="Q16" i="2" s="1"/>
  <c r="Q18" i="2" s="1"/>
  <c r="Q65" i="2"/>
  <c r="R87" i="2"/>
  <c r="S87" i="2"/>
  <c r="Q89" i="2"/>
  <c r="Q62" i="2"/>
  <c r="S11" i="2"/>
  <c r="R22" i="2"/>
  <c r="R62" i="2"/>
  <c r="Q22" i="2"/>
  <c r="S62" i="2"/>
  <c r="O62" i="2"/>
  <c r="P87" i="2"/>
  <c r="P62" i="2"/>
  <c r="P11" i="2"/>
  <c r="AB5" i="2"/>
  <c r="AC4" i="2"/>
  <c r="AA6" i="2"/>
  <c r="AA20" i="2"/>
  <c r="O89" i="2"/>
  <c r="O22" i="2"/>
  <c r="O14" i="2"/>
  <c r="O16" i="2" s="1"/>
  <c r="O18" i="2" s="1"/>
  <c r="O23" i="2"/>
  <c r="AB6" i="2"/>
  <c r="AB11" i="2" s="1"/>
  <c r="AB14" i="2" s="1"/>
  <c r="W23" i="5" l="1"/>
  <c r="E23" i="5"/>
  <c r="E14" i="5"/>
  <c r="E16" i="5" s="1"/>
  <c r="E18" i="5" s="1"/>
  <c r="K20" i="5"/>
  <c r="K5" i="5"/>
  <c r="K6" i="5" s="1"/>
  <c r="J22" i="5"/>
  <c r="J11" i="5"/>
  <c r="I22" i="5"/>
  <c r="I11" i="5"/>
  <c r="P23" i="2"/>
  <c r="P65" i="2"/>
  <c r="S65" i="2"/>
  <c r="S23" i="2"/>
  <c r="S14" i="2"/>
  <c r="S16" i="2" s="1"/>
  <c r="S18" i="2" s="1"/>
  <c r="P14" i="2"/>
  <c r="P16" i="2" s="1"/>
  <c r="P18" i="2" s="1"/>
  <c r="AB15" i="2"/>
  <c r="AB16" i="2" s="1"/>
  <c r="AB18" i="2" s="1"/>
  <c r="D6" i="3" s="1"/>
  <c r="AC5" i="2"/>
  <c r="AC6" i="2" s="1"/>
  <c r="AC11" i="2" s="1"/>
  <c r="AC14" i="2" s="1"/>
  <c r="AD4" i="2"/>
  <c r="J23" i="5" l="1"/>
  <c r="J14" i="5"/>
  <c r="I23" i="5"/>
  <c r="I14" i="5"/>
  <c r="I16" i="5" s="1"/>
  <c r="I18" i="5" s="1"/>
  <c r="K22" i="5"/>
  <c r="K11" i="5"/>
  <c r="L20" i="5"/>
  <c r="L6" i="5"/>
  <c r="L5" i="5"/>
  <c r="AC15" i="2"/>
  <c r="AC16" i="2" s="1"/>
  <c r="AC18" i="2" s="1"/>
  <c r="E6" i="3" s="1"/>
  <c r="AD5" i="2"/>
  <c r="AE4" i="2"/>
  <c r="AD6" i="2"/>
  <c r="AD11" i="2" s="1"/>
  <c r="AD14" i="2" s="1"/>
  <c r="L22" i="5" l="1"/>
  <c r="L11" i="5"/>
  <c r="M20" i="5"/>
  <c r="M5" i="5"/>
  <c r="M6" i="5"/>
  <c r="K23" i="5"/>
  <c r="K14" i="5"/>
  <c r="J15" i="5"/>
  <c r="J16" i="5" s="1"/>
  <c r="J18" i="5" s="1"/>
  <c r="AD15" i="2"/>
  <c r="AD16" i="2" s="1"/>
  <c r="AF4" i="2"/>
  <c r="AE5" i="2"/>
  <c r="AE6" i="2" s="1"/>
  <c r="AE11" i="2" s="1"/>
  <c r="AE14" i="2" s="1"/>
  <c r="AE15" i="2" s="1"/>
  <c r="AE16" i="2" s="1"/>
  <c r="AE18" i="2" s="1"/>
  <c r="K15" i="5" l="1"/>
  <c r="K16" i="5" s="1"/>
  <c r="K18" i="5" s="1"/>
  <c r="N20" i="5"/>
  <c r="N5" i="5"/>
  <c r="N6" i="5" s="1"/>
  <c r="M22" i="5"/>
  <c r="M11" i="5"/>
  <c r="L23" i="5"/>
  <c r="L14" i="5"/>
  <c r="AD18" i="2"/>
  <c r="F6" i="3" s="1"/>
  <c r="AG4" i="2"/>
  <c r="AG20" i="2" s="1"/>
  <c r="AF5" i="2"/>
  <c r="AF6" i="2" s="1"/>
  <c r="AF11" i="2" s="1"/>
  <c r="AF14" i="2" s="1"/>
  <c r="AB20" i="2"/>
  <c r="AC20" i="2"/>
  <c r="AD20" i="2"/>
  <c r="AE20" i="2"/>
  <c r="AF20" i="2"/>
  <c r="AB22" i="2"/>
  <c r="AC22" i="2"/>
  <c r="AD22" i="2"/>
  <c r="AE22" i="2"/>
  <c r="AB23" i="2"/>
  <c r="AC23" i="2"/>
  <c r="AD23" i="2"/>
  <c r="AE23" i="2"/>
  <c r="W20" i="2"/>
  <c r="X20" i="2"/>
  <c r="Y20" i="2"/>
  <c r="Z20" i="2"/>
  <c r="W81" i="2"/>
  <c r="W83" i="2" s="1"/>
  <c r="V74" i="2"/>
  <c r="V71" i="2"/>
  <c r="V67" i="2"/>
  <c r="V72" i="2" s="1"/>
  <c r="V89" i="2" s="1"/>
  <c r="W74" i="2"/>
  <c r="W77" i="2" s="1"/>
  <c r="W71" i="2"/>
  <c r="W67" i="2"/>
  <c r="V6" i="2"/>
  <c r="V11" i="2" s="1"/>
  <c r="V23" i="2" s="1"/>
  <c r="W6" i="2"/>
  <c r="W11" i="2" s="1"/>
  <c r="W23" i="2" s="1"/>
  <c r="X74" i="2"/>
  <c r="X67" i="2"/>
  <c r="X71" i="2"/>
  <c r="Y74" i="2"/>
  <c r="Y77" i="2" s="1"/>
  <c r="Y71" i="2"/>
  <c r="Y67" i="2"/>
  <c r="Y72" i="2" s="1"/>
  <c r="X6" i="2"/>
  <c r="X11" i="2" s="1"/>
  <c r="X23" i="2" s="1"/>
  <c r="Y6" i="2"/>
  <c r="Y11" i="2" s="1"/>
  <c r="Y23" i="2" s="1"/>
  <c r="AA67" i="2"/>
  <c r="AA71" i="2"/>
  <c r="V83" i="2"/>
  <c r="X83" i="2"/>
  <c r="Y83" i="2"/>
  <c r="Z83" i="2"/>
  <c r="AA83" i="2"/>
  <c r="Z74" i="2"/>
  <c r="Z77" i="2" s="1"/>
  <c r="Z67" i="2"/>
  <c r="Z72" i="2" s="1"/>
  <c r="V77" i="2"/>
  <c r="X77" i="2"/>
  <c r="Z71" i="2"/>
  <c r="AA74" i="2"/>
  <c r="AA77" i="2" s="1"/>
  <c r="Z6" i="2"/>
  <c r="Z11" i="2" s="1"/>
  <c r="Z14" i="2" s="1"/>
  <c r="Z16" i="2" s="1"/>
  <c r="Z18" i="2" s="1"/>
  <c r="AA11" i="2"/>
  <c r="AA14" i="2" s="1"/>
  <c r="AA16" i="2" s="1"/>
  <c r="L15" i="5" l="1"/>
  <c r="L16" i="5" s="1"/>
  <c r="L18" i="5" s="1"/>
  <c r="M23" i="5"/>
  <c r="M14" i="5"/>
  <c r="O5" i="5"/>
  <c r="O6" i="5" s="1"/>
  <c r="O20" i="5"/>
  <c r="N11" i="5"/>
  <c r="N22" i="5"/>
  <c r="AA72" i="2"/>
  <c r="AA87" i="2" s="1"/>
  <c r="X72" i="2"/>
  <c r="X89" i="2" s="1"/>
  <c r="W72" i="2"/>
  <c r="W89" i="2" s="1"/>
  <c r="AA89" i="2"/>
  <c r="W87" i="2"/>
  <c r="AF23" i="2"/>
  <c r="AA23" i="2"/>
  <c r="AA18" i="2"/>
  <c r="AA65" i="2"/>
  <c r="Z87" i="2"/>
  <c r="Z89" i="2"/>
  <c r="Z23" i="2"/>
  <c r="W22" i="2"/>
  <c r="V22" i="2"/>
  <c r="AF22" i="2"/>
  <c r="Z22" i="2"/>
  <c r="AH4" i="2"/>
  <c r="AG5" i="2"/>
  <c r="AG6" i="2" s="1"/>
  <c r="AA22" i="2"/>
  <c r="Y22" i="2"/>
  <c r="Z65" i="2"/>
  <c r="AF15" i="2"/>
  <c r="AF16" i="2"/>
  <c r="X87" i="2"/>
  <c r="X22" i="2"/>
  <c r="V87" i="2"/>
  <c r="V14" i="2"/>
  <c r="V16" i="2" s="1"/>
  <c r="V18" i="2" s="1"/>
  <c r="V65" i="2"/>
  <c r="W65" i="2"/>
  <c r="W14" i="2"/>
  <c r="W16" i="2" s="1"/>
  <c r="W18" i="2" s="1"/>
  <c r="Y87" i="2"/>
  <c r="Y89" i="2"/>
  <c r="X14" i="2"/>
  <c r="X16" i="2" s="1"/>
  <c r="X18" i="2" s="1"/>
  <c r="X65" i="2"/>
  <c r="Y14" i="2"/>
  <c r="Y16" i="2" s="1"/>
  <c r="Y18" i="2" s="1"/>
  <c r="Y65" i="2"/>
  <c r="D74" i="2"/>
  <c r="D77" i="2" s="1"/>
  <c r="D6" i="2"/>
  <c r="D11" i="2" s="1"/>
  <c r="E74" i="2"/>
  <c r="E77" i="2" s="1"/>
  <c r="E6" i="2"/>
  <c r="E22" i="2" s="1"/>
  <c r="F74" i="2"/>
  <c r="F77" i="2" s="1"/>
  <c r="F6" i="2"/>
  <c r="F11" i="2" s="1"/>
  <c r="G74" i="2"/>
  <c r="G77" i="2" s="1"/>
  <c r="K74" i="2"/>
  <c r="K77" i="2" s="1"/>
  <c r="G6" i="2"/>
  <c r="G11" i="2" s="1"/>
  <c r="K6" i="2"/>
  <c r="K11" i="2" s="1"/>
  <c r="L74" i="2"/>
  <c r="L77" i="2" s="1"/>
  <c r="H6" i="2"/>
  <c r="H11" i="2" s="1"/>
  <c r="H20" i="2"/>
  <c r="H45" i="2"/>
  <c r="L6" i="2"/>
  <c r="L11" i="2" s="1"/>
  <c r="L14" i="2" s="1"/>
  <c r="L16" i="2" s="1"/>
  <c r="M74" i="2"/>
  <c r="M77" i="2" s="1"/>
  <c r="M61" i="2"/>
  <c r="I6" i="2"/>
  <c r="I22" i="2" s="1"/>
  <c r="M6" i="2"/>
  <c r="M11" i="2" s="1"/>
  <c r="D83" i="2"/>
  <c r="E83" i="2"/>
  <c r="F83" i="2"/>
  <c r="G83" i="2"/>
  <c r="H83" i="2"/>
  <c r="I83" i="2"/>
  <c r="J83" i="2"/>
  <c r="K83" i="2"/>
  <c r="L83" i="2"/>
  <c r="M83" i="2"/>
  <c r="H77" i="2"/>
  <c r="I77" i="2"/>
  <c r="J74" i="2"/>
  <c r="J77" i="2" s="1"/>
  <c r="N83" i="2"/>
  <c r="N74" i="2"/>
  <c r="N77" i="2" s="1"/>
  <c r="D72" i="2"/>
  <c r="E72" i="2"/>
  <c r="F72" i="2"/>
  <c r="G72" i="2"/>
  <c r="H72" i="2"/>
  <c r="H89" i="2" s="1"/>
  <c r="I72" i="2"/>
  <c r="I89" i="2" s="1"/>
  <c r="J72" i="2"/>
  <c r="K72" i="2"/>
  <c r="K89" i="2" s="1"/>
  <c r="L72" i="2"/>
  <c r="M72" i="2"/>
  <c r="N72" i="2"/>
  <c r="D61" i="2"/>
  <c r="E61" i="2"/>
  <c r="F61" i="2"/>
  <c r="G61" i="2"/>
  <c r="H61" i="2"/>
  <c r="I61" i="2"/>
  <c r="J61" i="2"/>
  <c r="K61" i="2"/>
  <c r="L61" i="2"/>
  <c r="D50" i="2"/>
  <c r="D62" i="2" s="1"/>
  <c r="E50" i="2"/>
  <c r="F50" i="2"/>
  <c r="G50" i="2"/>
  <c r="H50" i="2"/>
  <c r="I50" i="2"/>
  <c r="J50" i="2"/>
  <c r="K50" i="2"/>
  <c r="L50" i="2"/>
  <c r="M50" i="2"/>
  <c r="D45" i="2"/>
  <c r="E45" i="2"/>
  <c r="F45" i="2"/>
  <c r="G45" i="2"/>
  <c r="I45" i="2"/>
  <c r="J45" i="2"/>
  <c r="K45" i="2"/>
  <c r="L45" i="2"/>
  <c r="M45" i="2"/>
  <c r="N61" i="2"/>
  <c r="N50" i="2"/>
  <c r="N45" i="2"/>
  <c r="I20" i="2"/>
  <c r="J20" i="2"/>
  <c r="K20" i="2"/>
  <c r="L20" i="2"/>
  <c r="M20" i="2"/>
  <c r="N20" i="2"/>
  <c r="J6" i="2"/>
  <c r="J11" i="2" s="1"/>
  <c r="N6" i="2"/>
  <c r="N11" i="2" s="1"/>
  <c r="N65" i="2" s="1"/>
  <c r="P20" i="5" l="1"/>
  <c r="P5" i="5"/>
  <c r="P6" i="5" s="1"/>
  <c r="O11" i="5"/>
  <c r="O22" i="5"/>
  <c r="M15" i="5"/>
  <c r="M16" i="5" s="1"/>
  <c r="M18" i="5" s="1"/>
  <c r="N23" i="5"/>
  <c r="N14" i="5"/>
  <c r="I62" i="2"/>
  <c r="D22" i="2"/>
  <c r="K22" i="2"/>
  <c r="H22" i="2"/>
  <c r="E89" i="2"/>
  <c r="AG11" i="2"/>
  <c r="AG22" i="2"/>
  <c r="G89" i="2"/>
  <c r="AI4" i="2"/>
  <c r="AH5" i="2"/>
  <c r="AH6" i="2" s="1"/>
  <c r="AH20" i="2"/>
  <c r="F89" i="2"/>
  <c r="G22" i="2"/>
  <c r="F22" i="2"/>
  <c r="AF18" i="2"/>
  <c r="H62" i="2"/>
  <c r="D23" i="2"/>
  <c r="D65" i="2"/>
  <c r="D14" i="2"/>
  <c r="D16" i="2" s="1"/>
  <c r="D18" i="2" s="1"/>
  <c r="E11" i="2"/>
  <c r="F23" i="2"/>
  <c r="F65" i="2"/>
  <c r="F14" i="2"/>
  <c r="F16" i="2" s="1"/>
  <c r="F18" i="2" s="1"/>
  <c r="G23" i="2"/>
  <c r="G14" i="2"/>
  <c r="G16" i="2" s="1"/>
  <c r="G18" i="2" s="1"/>
  <c r="G65" i="2"/>
  <c r="K23" i="2"/>
  <c r="K65" i="2"/>
  <c r="K14" i="2"/>
  <c r="K16" i="2" s="1"/>
  <c r="K18" i="2" s="1"/>
  <c r="G62" i="2"/>
  <c r="H65" i="2"/>
  <c r="H14" i="2"/>
  <c r="H16" i="2" s="1"/>
  <c r="H18" i="2" s="1"/>
  <c r="H23" i="2"/>
  <c r="L22" i="2"/>
  <c r="L65" i="2"/>
  <c r="L23" i="2"/>
  <c r="L18" i="2"/>
  <c r="N23" i="2"/>
  <c r="J87" i="2"/>
  <c r="N89" i="2"/>
  <c r="J22" i="2"/>
  <c r="H87" i="2"/>
  <c r="K87" i="2"/>
  <c r="I11" i="2"/>
  <c r="I23" i="2" s="1"/>
  <c r="M14" i="2"/>
  <c r="M16" i="2" s="1"/>
  <c r="M18" i="2" s="1"/>
  <c r="M23" i="2"/>
  <c r="M65" i="2"/>
  <c r="M22" i="2"/>
  <c r="N62" i="2"/>
  <c r="E62" i="2"/>
  <c r="M87" i="2"/>
  <c r="L87" i="2"/>
  <c r="I87" i="2"/>
  <c r="G87" i="2"/>
  <c r="F87" i="2"/>
  <c r="M62" i="2"/>
  <c r="E87" i="2"/>
  <c r="L62" i="2"/>
  <c r="D87" i="2"/>
  <c r="M89" i="2"/>
  <c r="F62" i="2"/>
  <c r="J89" i="2"/>
  <c r="N87" i="2"/>
  <c r="J23" i="2"/>
  <c r="J65" i="2"/>
  <c r="L89" i="2"/>
  <c r="D89" i="2"/>
  <c r="K62" i="2"/>
  <c r="N22" i="2"/>
  <c r="J62" i="2"/>
  <c r="N14" i="2"/>
  <c r="N16" i="2" s="1"/>
  <c r="N18" i="2" s="1"/>
  <c r="J14" i="2"/>
  <c r="J16" i="2" s="1"/>
  <c r="J18" i="2" s="1"/>
  <c r="B6" i="2"/>
  <c r="B9" i="2" s="1"/>
  <c r="O23" i="5" l="1"/>
  <c r="O14" i="5"/>
  <c r="N15" i="5"/>
  <c r="N16" i="5" s="1"/>
  <c r="N18" i="5" s="1"/>
  <c r="Q5" i="5"/>
  <c r="Q20" i="5"/>
  <c r="Q6" i="5"/>
  <c r="P22" i="5"/>
  <c r="P11" i="5"/>
  <c r="E5" i="3"/>
  <c r="F5" i="3"/>
  <c r="D5" i="3"/>
  <c r="AH11" i="2"/>
  <c r="AH22" i="2"/>
  <c r="AJ4" i="2"/>
  <c r="AI5" i="2"/>
  <c r="AI6" i="2" s="1"/>
  <c r="AI20" i="2"/>
  <c r="AG14" i="2"/>
  <c r="AG23" i="2"/>
  <c r="E14" i="2"/>
  <c r="E16" i="2" s="1"/>
  <c r="E18" i="2" s="1"/>
  <c r="E23" i="2"/>
  <c r="E65" i="2"/>
  <c r="I65" i="2"/>
  <c r="I14" i="2"/>
  <c r="I16" i="2" s="1"/>
  <c r="I18" i="2" s="1"/>
  <c r="R20" i="5" l="1"/>
  <c r="R5" i="5"/>
  <c r="R6" i="5" s="1"/>
  <c r="Q22" i="5"/>
  <c r="Q11" i="5"/>
  <c r="P23" i="5"/>
  <c r="P14" i="5"/>
  <c r="O15" i="5"/>
  <c r="O16" i="5" s="1"/>
  <c r="O18" i="5" s="1"/>
  <c r="AJ5" i="2"/>
  <c r="AJ6" i="2" s="1"/>
  <c r="AK4" i="2"/>
  <c r="AJ20" i="2"/>
  <c r="AH14" i="2"/>
  <c r="AH15" i="2" s="1"/>
  <c r="AH16" i="2" s="1"/>
  <c r="AH18" i="2" s="1"/>
  <c r="AH23" i="2"/>
  <c r="AI11" i="2"/>
  <c r="AI22" i="2"/>
  <c r="AG15" i="2"/>
  <c r="AG16" i="2" s="1"/>
  <c r="P15" i="5" l="1"/>
  <c r="P16" i="5"/>
  <c r="P18" i="5" s="1"/>
  <c r="Q23" i="5"/>
  <c r="Q14" i="5"/>
  <c r="R22" i="5"/>
  <c r="R11" i="5"/>
  <c r="S20" i="5"/>
  <c r="S6" i="5"/>
  <c r="S5" i="5"/>
  <c r="AG18" i="2"/>
  <c r="AI14" i="2"/>
  <c r="AI15" i="2" s="1"/>
  <c r="AI16" i="2" s="1"/>
  <c r="AI18" i="2" s="1"/>
  <c r="AI23" i="2"/>
  <c r="AK5" i="2"/>
  <c r="AK6" i="2"/>
  <c r="AL4" i="2"/>
  <c r="AK20" i="2"/>
  <c r="AJ11" i="2"/>
  <c r="AJ22" i="2"/>
  <c r="S22" i="5" l="1"/>
  <c r="S11" i="5"/>
  <c r="R23" i="5"/>
  <c r="R14" i="5"/>
  <c r="Q15" i="5"/>
  <c r="Q16" i="5" s="1"/>
  <c r="Q18" i="5" s="1"/>
  <c r="T20" i="5"/>
  <c r="T5" i="5"/>
  <c r="T6" i="5" s="1"/>
  <c r="AK11" i="2"/>
  <c r="AK22" i="2"/>
  <c r="AL5" i="2"/>
  <c r="AL6" i="2" s="1"/>
  <c r="AL20" i="2"/>
  <c r="AJ14" i="2"/>
  <c r="AJ15" i="2" s="1"/>
  <c r="AJ16" i="2" s="1"/>
  <c r="AJ18" i="2" s="1"/>
  <c r="AJ23" i="2"/>
  <c r="T22" i="5" l="1"/>
  <c r="T11" i="5"/>
  <c r="R15" i="5"/>
  <c r="R16" i="5" s="1"/>
  <c r="R18" i="5" s="1"/>
  <c r="S23" i="5"/>
  <c r="S14" i="5"/>
  <c r="AL11" i="2"/>
  <c r="AL22" i="2"/>
  <c r="AK14" i="2"/>
  <c r="AK15" i="2" s="1"/>
  <c r="AK16" i="2" s="1"/>
  <c r="AK23" i="2"/>
  <c r="S15" i="5" l="1"/>
  <c r="S16" i="5" s="1"/>
  <c r="S18" i="5" s="1"/>
  <c r="T23" i="5"/>
  <c r="T14" i="5"/>
  <c r="AK18" i="2"/>
  <c r="AL14" i="2"/>
  <c r="AL15" i="2" s="1"/>
  <c r="AL16" i="2" s="1"/>
  <c r="AL23" i="2"/>
  <c r="T15" i="5" l="1"/>
  <c r="T16" i="5" s="1"/>
  <c r="T18" i="5" s="1"/>
  <c r="AL18" i="2"/>
  <c r="AN16" i="2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AO21" i="2" s="1"/>
  <c r="AO23" i="2" s="1"/>
  <c r="AO24" i="2" s="1"/>
</calcChain>
</file>

<file path=xl/sharedStrings.xml><?xml version="1.0" encoding="utf-8"?>
<sst xmlns="http://schemas.openxmlformats.org/spreadsheetml/2006/main" count="244" uniqueCount="167">
  <si>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</si>
  <si>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</si>
  <si>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</si>
  <si>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</si>
  <si>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</si>
  <si>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</si>
  <si>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</si>
  <si>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</si>
  <si>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</si>
  <si>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</si>
  <si>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</si>
  <si>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</si>
  <si>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</si>
  <si>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</si>
  <si>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</si>
  <si>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 y/y</t>
  </si>
  <si>
    <t>EBIT margin</t>
  </si>
  <si>
    <t>CFFO</t>
  </si>
  <si>
    <t>CFFF</t>
  </si>
  <si>
    <t>CFFI</t>
  </si>
  <si>
    <t>EV/EBIT</t>
  </si>
  <si>
    <t>P/E</t>
  </si>
  <si>
    <t>SEK million</t>
  </si>
  <si>
    <t>MC SEKm</t>
  </si>
  <si>
    <t>Cash SEKm</t>
  </si>
  <si>
    <t>Debt SEKm</t>
  </si>
  <si>
    <t>EV SEKm</t>
  </si>
  <si>
    <t>Balanse SEKm</t>
  </si>
  <si>
    <t>Q1:</t>
  </si>
  <si>
    <t>1. mai - 31. juli</t>
  </si>
  <si>
    <t>Q2</t>
  </si>
  <si>
    <t>1. august - 31. oktober</t>
  </si>
  <si>
    <t>Q3</t>
  </si>
  <si>
    <t>1. november - 31. januar</t>
  </si>
  <si>
    <t>Q4</t>
  </si>
  <si>
    <t>1. februar - 30. april</t>
  </si>
  <si>
    <t>Clas har et avvikende regnskapsår som går fra 1.mai til 30. april</t>
  </si>
  <si>
    <t>Q125</t>
  </si>
  <si>
    <t>Q225</t>
  </si>
  <si>
    <t>Q325</t>
  </si>
  <si>
    <t>Q425</t>
  </si>
  <si>
    <t>1.nov - 31.jan</t>
  </si>
  <si>
    <t>1.feb - 30.apr</t>
  </si>
  <si>
    <t>Cash flow SEKm</t>
  </si>
  <si>
    <t>Revenue</t>
  </si>
  <si>
    <t>COGS</t>
  </si>
  <si>
    <t>Gross profit</t>
  </si>
  <si>
    <t>Selling expenses</t>
  </si>
  <si>
    <t>Admin cost</t>
  </si>
  <si>
    <t>Other operating income</t>
  </si>
  <si>
    <t>Other opex</t>
  </si>
  <si>
    <t>Operating profit</t>
  </si>
  <si>
    <t>Financial income</t>
  </si>
  <si>
    <t>Financial expense</t>
  </si>
  <si>
    <t>PTP</t>
  </si>
  <si>
    <t>Tax</t>
  </si>
  <si>
    <t>Net income</t>
  </si>
  <si>
    <t>Shares</t>
  </si>
  <si>
    <t>EPS</t>
  </si>
  <si>
    <t>Gross margin</t>
  </si>
  <si>
    <t>Goodwill</t>
  </si>
  <si>
    <t>Trademarks</t>
  </si>
  <si>
    <t>Customer relationships</t>
  </si>
  <si>
    <t>IT and software costs</t>
  </si>
  <si>
    <t>Land and buildings</t>
  </si>
  <si>
    <t>Equipment, tools, fixtures and fittings</t>
  </si>
  <si>
    <t>Right-of-use assets</t>
  </si>
  <si>
    <t>Securities held as fixed assets</t>
  </si>
  <si>
    <t>Deferred tax assets</t>
  </si>
  <si>
    <t>Inventories</t>
  </si>
  <si>
    <t>Accounts receivable</t>
  </si>
  <si>
    <t>Tax assets</t>
  </si>
  <si>
    <t>other receivables</t>
  </si>
  <si>
    <t>Prepaid expenses and accrued income</t>
  </si>
  <si>
    <t>Cash</t>
  </si>
  <si>
    <t>Total assets</t>
  </si>
  <si>
    <t>Share capital</t>
  </si>
  <si>
    <t>other contributed capital</t>
  </si>
  <si>
    <t>Other reserves</t>
  </si>
  <si>
    <t>Profit brought forward</t>
  </si>
  <si>
    <t>Total equity</t>
  </si>
  <si>
    <t>Long term lease liabilites IB</t>
  </si>
  <si>
    <t>Deferred tax liabilities</t>
  </si>
  <si>
    <t>Other non-current liabilties</t>
  </si>
  <si>
    <t>Current lease liabilities IB</t>
  </si>
  <si>
    <t>Accounts payable</t>
  </si>
  <si>
    <t>Tax liability</t>
  </si>
  <si>
    <t>Other current liabilities</t>
  </si>
  <si>
    <t>Accrued expenses and prepaid income</t>
  </si>
  <si>
    <t>Contract liabilities</t>
  </si>
  <si>
    <t>Total Debt</t>
  </si>
  <si>
    <t>other non-current receivables</t>
  </si>
  <si>
    <t>Total E/D</t>
  </si>
  <si>
    <t>Model Operating profit</t>
  </si>
  <si>
    <t>Reported Operating profit</t>
  </si>
  <si>
    <t>Adjustment for non-cash items</t>
  </si>
  <si>
    <t>Interest received</t>
  </si>
  <si>
    <t>Interest paid</t>
  </si>
  <si>
    <t>tax paid</t>
  </si>
  <si>
    <t>WC</t>
  </si>
  <si>
    <t>Capex</t>
  </si>
  <si>
    <t>Acquisition of subsidiaries</t>
  </si>
  <si>
    <t>Change in current investments</t>
  </si>
  <si>
    <t>Change in current liabilities IB</t>
  </si>
  <si>
    <t>Repayment of lease liabilities</t>
  </si>
  <si>
    <t>Change in long-term debt</t>
  </si>
  <si>
    <t xml:space="preserve">Dividend </t>
  </si>
  <si>
    <t>FX</t>
  </si>
  <si>
    <t>CIC</t>
  </si>
  <si>
    <t>FCF</t>
  </si>
  <si>
    <t>Number of stores</t>
  </si>
  <si>
    <t xml:space="preserve"> </t>
  </si>
  <si>
    <t>Number if club clas members (m)</t>
  </si>
  <si>
    <t>Clas Ohslon rapporterer salgstall hver måned</t>
  </si>
  <si>
    <t>1.aug - 31.okt</t>
  </si>
  <si>
    <t>Borrowings</t>
  </si>
  <si>
    <t>1.mai - 31.juli</t>
  </si>
  <si>
    <t>d</t>
  </si>
  <si>
    <t>Discount</t>
  </si>
  <si>
    <t>TV</t>
  </si>
  <si>
    <t>NPV</t>
  </si>
  <si>
    <t>NPV/Share</t>
  </si>
  <si>
    <t>Opp/nedside</t>
  </si>
  <si>
    <t>FY 24/25</t>
  </si>
  <si>
    <t>FY 23/24</t>
  </si>
  <si>
    <t>FY 22/23</t>
  </si>
  <si>
    <t>FY 21/22</t>
  </si>
  <si>
    <t>FY 20/21</t>
  </si>
  <si>
    <t>FY 19/20</t>
  </si>
  <si>
    <t>FY 25/26</t>
  </si>
  <si>
    <t>FY 26/27</t>
  </si>
  <si>
    <t>FY 27/28</t>
  </si>
  <si>
    <t>FY 28/29</t>
  </si>
  <si>
    <t>FY 29/30</t>
  </si>
  <si>
    <t>FY 30/31</t>
  </si>
  <si>
    <t>FY 31/32</t>
  </si>
  <si>
    <t>FY 32/33</t>
  </si>
  <si>
    <t>FY 33/34</t>
  </si>
  <si>
    <t>FY 34/35</t>
  </si>
  <si>
    <t>FY 35/36</t>
  </si>
  <si>
    <t>25/26</t>
  </si>
  <si>
    <t>26/27</t>
  </si>
  <si>
    <t>27/28</t>
  </si>
  <si>
    <t>ROE</t>
  </si>
  <si>
    <t>Sweden</t>
  </si>
  <si>
    <t>Revenues</t>
  </si>
  <si>
    <t>Growth %</t>
  </si>
  <si>
    <t>Norway</t>
  </si>
  <si>
    <t>Finland</t>
  </si>
  <si>
    <t>Organic growth</t>
  </si>
  <si>
    <t>Q125/26</t>
  </si>
  <si>
    <t>Q225/26</t>
  </si>
  <si>
    <t>Q325/26</t>
  </si>
  <si>
    <t>Q425/26</t>
  </si>
  <si>
    <t>Q424/25</t>
  </si>
  <si>
    <t>Q324/25</t>
  </si>
  <si>
    <t>Q224/25</t>
  </si>
  <si>
    <t>Q124/25</t>
  </si>
  <si>
    <t>Q423/24</t>
  </si>
  <si>
    <t>Q323/24</t>
  </si>
  <si>
    <t>Q223/24</t>
  </si>
  <si>
    <t>Q123/24</t>
  </si>
  <si>
    <t>Q422/23</t>
  </si>
  <si>
    <t>Q322/23</t>
  </si>
  <si>
    <t>Q222/23</t>
  </si>
  <si>
    <t>Q122/23</t>
  </si>
  <si>
    <t>Nullvekst konstante marginer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</si>
</sst>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kr&quot;\ #,##0.00_);[Red]\(&quot;kr&quot;\ #,##0.00\)"/>
    <numFmt numFmtId="164" formatCode="#,##0.0"/>
    <numFmt numFmtId="165" formatCode="0.0"/>
    <numFmt numFmtId="166" formatCode="0.0\ %"/>
    <numFmt numFmtId="167" formatCode="#,##0.0000"/>
  </numFmts>
  <fonts count="11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0" fontId="5" fillId="0" borderId="2" xfId="0" applyFont="1" applyBorder="1"/>
    <xf numFmtId="165" fontId="2" fillId="0" borderId="0" xfId="0" applyNumberFormat="1" applyFont="1"/>
    <xf numFmtId="0" fontId="7" fillId="0" borderId="0" xfId="0" applyFont="1"/>
    <xf numFmtId="10" fontId="2" fillId="0" borderId="1" xfId="0" applyNumberFormat="1" applyFont="1" applyBorder="1"/>
    <xf numFmtId="10" fontId="2" fillId="0" borderId="0" xfId="0" applyNumberFormat="1" applyFont="1"/>
    <xf numFmtId="166" fontId="1" fillId="0" borderId="0" xfId="0" applyNumberFormat="1" applyFont="1"/>
    <xf numFmtId="166" fontId="1" fillId="0" borderId="1" xfId="0" applyNumberFormat="1" applyFont="1" applyBorder="1"/>
    <xf numFmtId="166" fontId="2" fillId="0" borderId="1" xfId="0" applyNumberFormat="1" applyFont="1" applyBorder="1"/>
    <xf numFmtId="3" fontId="4" fillId="0" borderId="0" xfId="0" applyNumberFormat="1" applyFont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8" fontId="2" fillId="0" borderId="0" xfId="0" applyNumberFormat="1" applyFont="1"/>
    <xf numFmtId="10" fontId="1" fillId="0" borderId="0" xfId="0" applyNumberFormat="1" applyFont="1"/>
    <xf numFmtId="165" fontId="6" fillId="0" borderId="2" xfId="0" applyNumberFormat="1" applyFont="1" applyBorder="1"/>
    <xf numFmtId="3" fontId="4" fillId="0" borderId="1" xfId="0" applyNumberFormat="1" applyFont="1" applyBorder="1"/>
    <xf numFmtId="10" fontId="9" fillId="0" borderId="3" xfId="0" applyNumberFormat="1" applyFont="1" applyBorder="1"/>
    <xf numFmtId="0" fontId="1" fillId="0" borderId="0" xfId="0" applyFont="1" applyAlignment="1">
      <alignment horizontal="right"/>
    </xf>
    <xf numFmtId="10" fontId="10" fillId="0" borderId="3" xfId="0" applyNumberFormat="1" applyFon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10" fontId="9" fillId="0" borderId="4" xfId="0" applyNumberFormat="1" applyFont="1" applyBorder="1"/>
    <xf numFmtId="167" fontId="2" fillId="0" borderId="0" xfId="0" applyNumberFormat="1" applyFont="1"/>
    <xf numFmtId="0" fontId="0" fillId="0" borderId="1" xfId="0" applyBorder="1"/>
    <xf numFmtId="1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0</xdr:row>
      <xdr:rowOff>228600</xdr:rowOff>
    </xdr:from>
    <xdr:to>
      <xdr:col>12</xdr:col>
      <xdr:colOff>279400</xdr:colOff>
      <xdr:row>15</xdr:row>
      <xdr:rowOff>97072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DDE298A9-A9D8-198A-BB6E-650094FF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7100" y="228600"/>
          <a:ext cx="4178300" cy="3487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B15"/>
  <sheetViews>
    <sheetView showGridLines="0" workbookViewId="0">
      <selection activeCell="G26" sqref="G26"/>
    </sheetView>
  </sheetViews>
  <sheetFormatPr baseColWidth="10" defaultRowHeight="19" x14ac:dyDescent="0.25"/>
  <cols>
    <col min="1" max="16384" width="10.83203125" style="2"/>
  </cols>
  <sheetData>
    <row r="5" spans="1:2" x14ac:dyDescent="0.25">
      <c r="A5" s="2" t="s">
        <v>36</v>
      </c>
    </row>
    <row r="7" spans="1:2" x14ac:dyDescent="0.25">
      <c r="A7" s="1" t="s">
        <v>28</v>
      </c>
      <c r="B7" s="2" t="s">
        <v>29</v>
      </c>
    </row>
    <row r="8" spans="1:2" x14ac:dyDescent="0.25">
      <c r="A8" s="1" t="s">
        <v>30</v>
      </c>
      <c r="B8" s="2" t="s">
        <v>31</v>
      </c>
    </row>
    <row r="9" spans="1:2" x14ac:dyDescent="0.25">
      <c r="A9" s="1" t="s">
        <v>32</v>
      </c>
      <c r="B9" s="2" t="s">
        <v>33</v>
      </c>
    </row>
    <row r="10" spans="1:2" x14ac:dyDescent="0.25">
      <c r="A10" s="1" t="s">
        <v>34</v>
      </c>
      <c r="B10" s="2" t="s">
        <v>35</v>
      </c>
    </row>
    <row r="15" spans="1:2" x14ac:dyDescent="0.25">
      <c r="A15" s="2" t="s">
        <v>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C92"/>
  <sheetViews>
    <sheetView showGridLines="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AO31" sqref="AO31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5.6640625" style="2" customWidth="1"/>
    <col min="4" max="4" width="13.6640625" style="2" customWidth="1"/>
    <col min="5" max="5" width="13.5" style="2" customWidth="1"/>
    <col min="6" max="6" width="16.1640625" style="2" customWidth="1"/>
    <col min="7" max="7" width="14.33203125" style="2" customWidth="1"/>
    <col min="8" max="8" width="15.1640625" style="2" customWidth="1"/>
    <col min="9" max="9" width="15.83203125" style="2" customWidth="1"/>
    <col min="10" max="10" width="14.6640625" style="2" customWidth="1"/>
    <col min="11" max="11" width="14.5" style="2" customWidth="1"/>
    <col min="12" max="12" width="14.6640625" style="2" customWidth="1"/>
    <col min="13" max="13" width="14.83203125" style="2" customWidth="1"/>
    <col min="14" max="14" width="14" style="2" customWidth="1"/>
    <col min="15" max="16" width="13.83203125" style="2" bestFit="1" customWidth="1"/>
    <col min="17" max="17" width="14.1640625" style="4" bestFit="1" customWidth="1"/>
    <col min="18" max="19" width="13.83203125" style="2" bestFit="1" customWidth="1"/>
    <col min="20" max="27" width="10.83203125" style="2"/>
    <col min="28" max="28" width="10.83203125" style="4"/>
    <col min="29" max="39" width="10.83203125" style="2"/>
    <col min="40" max="40" width="14" style="2" customWidth="1"/>
    <col min="41" max="41" width="13.33203125" style="2" bestFit="1" customWidth="1"/>
    <col min="42" max="16384" width="10.83203125" style="2"/>
  </cols>
  <sheetData>
    <row r="1" spans="1:133" x14ac:dyDescent="0.25">
      <c r="D1" s="7"/>
      <c r="E1" s="7"/>
      <c r="F1" s="7"/>
      <c r="G1" s="7" t="s">
        <v>42</v>
      </c>
      <c r="H1" s="7" t="s">
        <v>116</v>
      </c>
      <c r="I1" s="7" t="s">
        <v>114</v>
      </c>
      <c r="J1" s="7" t="s">
        <v>41</v>
      </c>
      <c r="K1" s="7" t="s">
        <v>42</v>
      </c>
      <c r="L1" s="7" t="s">
        <v>116</v>
      </c>
      <c r="M1" s="7" t="s">
        <v>114</v>
      </c>
      <c r="N1" s="7" t="s">
        <v>41</v>
      </c>
      <c r="O1" s="7" t="s">
        <v>42</v>
      </c>
      <c r="P1" s="7" t="s">
        <v>116</v>
      </c>
      <c r="Q1" s="8" t="s">
        <v>114</v>
      </c>
      <c r="R1" s="7" t="s">
        <v>41</v>
      </c>
      <c r="S1" s="7" t="s">
        <v>42</v>
      </c>
      <c r="X1" s="1"/>
    </row>
    <row r="3" spans="1:133" x14ac:dyDescent="0.25">
      <c r="A3" s="1" t="s">
        <v>0</v>
      </c>
      <c r="C3" s="2" t="s">
        <v>22</v>
      </c>
      <c r="D3" s="7" t="s">
        <v>165</v>
      </c>
      <c r="E3" s="7" t="s">
        <v>164</v>
      </c>
      <c r="F3" s="7" t="s">
        <v>163</v>
      </c>
      <c r="G3" s="7" t="s">
        <v>162</v>
      </c>
      <c r="H3" s="7" t="s">
        <v>161</v>
      </c>
      <c r="I3" s="7" t="s">
        <v>160</v>
      </c>
      <c r="J3" s="7" t="s">
        <v>159</v>
      </c>
      <c r="K3" s="7" t="s">
        <v>158</v>
      </c>
      <c r="L3" s="7" t="s">
        <v>157</v>
      </c>
      <c r="M3" s="7" t="s">
        <v>156</v>
      </c>
      <c r="N3" s="7" t="s">
        <v>155</v>
      </c>
      <c r="O3" s="7" t="s">
        <v>154</v>
      </c>
      <c r="P3" s="7" t="s">
        <v>150</v>
      </c>
      <c r="Q3" s="8" t="s">
        <v>151</v>
      </c>
      <c r="R3" s="7" t="s">
        <v>152</v>
      </c>
      <c r="S3" s="7" t="s">
        <v>153</v>
      </c>
      <c r="T3" s="7"/>
      <c r="U3" s="7"/>
      <c r="V3" s="7" t="s">
        <v>128</v>
      </c>
      <c r="W3" s="7" t="s">
        <v>127</v>
      </c>
      <c r="X3" s="7" t="s">
        <v>126</v>
      </c>
      <c r="Y3" s="7" t="s">
        <v>125</v>
      </c>
      <c r="Z3" s="7" t="s">
        <v>124</v>
      </c>
      <c r="AA3" s="7" t="s">
        <v>123</v>
      </c>
      <c r="AB3" s="8" t="s">
        <v>129</v>
      </c>
      <c r="AC3" s="7" t="s">
        <v>130</v>
      </c>
      <c r="AD3" s="7" t="s">
        <v>131</v>
      </c>
      <c r="AE3" s="7" t="s">
        <v>132</v>
      </c>
      <c r="AF3" s="7" t="s">
        <v>133</v>
      </c>
      <c r="AG3" s="7" t="s">
        <v>134</v>
      </c>
      <c r="AH3" s="7" t="s">
        <v>135</v>
      </c>
      <c r="AI3" s="7" t="s">
        <v>136</v>
      </c>
      <c r="AJ3" s="7" t="s">
        <v>137</v>
      </c>
      <c r="AK3" s="7" t="s">
        <v>138</v>
      </c>
      <c r="AL3" s="7" t="s">
        <v>139</v>
      </c>
    </row>
    <row r="4" spans="1:133" x14ac:dyDescent="0.25">
      <c r="A4" s="2" t="s">
        <v>1</v>
      </c>
      <c r="B4" s="4">
        <v>298.8</v>
      </c>
      <c r="C4" s="1" t="s">
        <v>44</v>
      </c>
      <c r="D4" s="12">
        <v>2043.6</v>
      </c>
      <c r="E4" s="12">
        <v>2250.1999999999998</v>
      </c>
      <c r="F4" s="12">
        <v>2954.2</v>
      </c>
      <c r="G4" s="12">
        <v>1776.3</v>
      </c>
      <c r="H4" s="12">
        <v>2193.1</v>
      </c>
      <c r="I4" s="12">
        <v>2460.1</v>
      </c>
      <c r="J4" s="12">
        <v>3411.9</v>
      </c>
      <c r="K4" s="12">
        <v>2166.6999999999998</v>
      </c>
      <c r="L4" s="12">
        <v>2623</v>
      </c>
      <c r="M4" s="12">
        <v>2800.9</v>
      </c>
      <c r="N4" s="12">
        <v>3859.5</v>
      </c>
      <c r="O4" s="12">
        <v>2343</v>
      </c>
      <c r="P4" s="12">
        <v>2814.5</v>
      </c>
      <c r="Q4" s="13">
        <v>3009.1</v>
      </c>
      <c r="R4" s="12"/>
      <c r="S4" s="12"/>
      <c r="V4" s="12">
        <v>8758.2999999999993</v>
      </c>
      <c r="W4" s="12">
        <v>8284.4</v>
      </c>
      <c r="X4" s="12">
        <v>8783.7000000000007</v>
      </c>
      <c r="Y4" s="12">
        <v>9024.2999999999993</v>
      </c>
      <c r="Z4" s="12">
        <v>10232</v>
      </c>
      <c r="AA4" s="12">
        <f>SUM(L4:O4)</f>
        <v>11626.4</v>
      </c>
      <c r="AB4" s="13">
        <f>AA4*1.07</f>
        <v>12440.248</v>
      </c>
      <c r="AC4" s="12">
        <f>AB4*1.05</f>
        <v>13062.260400000001</v>
      </c>
      <c r="AD4" s="12">
        <f>AC4*1.05</f>
        <v>13715.373420000002</v>
      </c>
      <c r="AE4" s="12">
        <f t="shared" ref="AE4:AL4" si="0">AD4*1.05</f>
        <v>14401.142091000002</v>
      </c>
      <c r="AF4" s="12">
        <f t="shared" si="0"/>
        <v>15121.199195550002</v>
      </c>
      <c r="AG4" s="12">
        <f t="shared" si="0"/>
        <v>15877.259155327502</v>
      </c>
      <c r="AH4" s="12">
        <f t="shared" si="0"/>
        <v>16671.122113093876</v>
      </c>
      <c r="AI4" s="12">
        <f t="shared" si="0"/>
        <v>17504.67821874857</v>
      </c>
      <c r="AJ4" s="12">
        <f t="shared" si="0"/>
        <v>18379.912129685999</v>
      </c>
      <c r="AK4" s="12">
        <f t="shared" si="0"/>
        <v>19298.907736170298</v>
      </c>
      <c r="AL4" s="12">
        <f t="shared" si="0"/>
        <v>20263.853122978813</v>
      </c>
    </row>
    <row r="5" spans="1:133" x14ac:dyDescent="0.25">
      <c r="A5" s="2" t="s">
        <v>2</v>
      </c>
      <c r="B5" s="4">
        <v>65.599999999999994</v>
      </c>
      <c r="C5" s="2" t="s">
        <v>45</v>
      </c>
      <c r="D5" s="14">
        <v>-1325.3</v>
      </c>
      <c r="E5" s="14">
        <v>-1401.9</v>
      </c>
      <c r="F5" s="14">
        <v>-1825.8</v>
      </c>
      <c r="G5" s="14">
        <v>-1087.5999999999999</v>
      </c>
      <c r="H5" s="14">
        <v>-1356.3</v>
      </c>
      <c r="I5" s="14">
        <v>-1444.7</v>
      </c>
      <c r="J5" s="14">
        <v>-2102.3000000000002</v>
      </c>
      <c r="K5" s="14">
        <v>-1312.5</v>
      </c>
      <c r="L5" s="14">
        <v>-1639</v>
      </c>
      <c r="M5" s="14">
        <v>-1685.6</v>
      </c>
      <c r="N5" s="14">
        <v>-2343.1999999999998</v>
      </c>
      <c r="O5" s="14">
        <v>-1417</v>
      </c>
      <c r="P5" s="14">
        <v>-1528</v>
      </c>
      <c r="Q5" s="15">
        <v>-1543.7</v>
      </c>
      <c r="R5" s="14"/>
      <c r="S5" s="14"/>
      <c r="V5" s="14">
        <v>-5268.1</v>
      </c>
      <c r="W5" s="14">
        <v>-4928.6000000000004</v>
      </c>
      <c r="X5" s="14">
        <v>-5178.8999999999996</v>
      </c>
      <c r="Y5" s="14">
        <v>-5640.6</v>
      </c>
      <c r="Z5" s="14">
        <v>-6215.9</v>
      </c>
      <c r="AA5" s="14">
        <f>SUM(L5:O5)</f>
        <v>-7084.7999999999993</v>
      </c>
      <c r="AB5" s="15">
        <f>AB4*-0.6</f>
        <v>-7464.148799999999</v>
      </c>
      <c r="AC5" s="14">
        <f t="shared" ref="AC5:AL5" si="1">AC4*-0.6</f>
        <v>-7837.3562400000001</v>
      </c>
      <c r="AD5" s="14">
        <f t="shared" si="1"/>
        <v>-8229.2240520000014</v>
      </c>
      <c r="AE5" s="14">
        <f t="shared" si="1"/>
        <v>-8640.6852546000009</v>
      </c>
      <c r="AF5" s="14">
        <f t="shared" si="1"/>
        <v>-9072.7195173300006</v>
      </c>
      <c r="AG5" s="14">
        <f t="shared" si="1"/>
        <v>-9526.3554931965009</v>
      </c>
      <c r="AH5" s="14">
        <f t="shared" si="1"/>
        <v>-10002.673267856326</v>
      </c>
      <c r="AI5" s="14">
        <f t="shared" si="1"/>
        <v>-10502.806931249141</v>
      </c>
      <c r="AJ5" s="14">
        <f t="shared" si="1"/>
        <v>-11027.9472778116</v>
      </c>
      <c r="AK5" s="14">
        <f t="shared" si="1"/>
        <v>-11579.344641702179</v>
      </c>
      <c r="AL5" s="14">
        <f t="shared" si="1"/>
        <v>-12158.311873787288</v>
      </c>
    </row>
    <row r="6" spans="1:133" x14ac:dyDescent="0.25">
      <c r="A6" s="2" t="s">
        <v>23</v>
      </c>
      <c r="B6" s="5">
        <f>B4*B5</f>
        <v>19601.28</v>
      </c>
      <c r="C6" s="2" t="s">
        <v>46</v>
      </c>
      <c r="D6" s="14">
        <f t="shared" ref="D6:N6" si="2">SUM(D4:D5)</f>
        <v>718.3</v>
      </c>
      <c r="E6" s="14">
        <f t="shared" si="2"/>
        <v>848.29999999999973</v>
      </c>
      <c r="F6" s="14">
        <f t="shared" si="2"/>
        <v>1128.3999999999999</v>
      </c>
      <c r="G6" s="14">
        <f t="shared" si="2"/>
        <v>688.7</v>
      </c>
      <c r="H6" s="14">
        <f t="shared" si="2"/>
        <v>836.8</v>
      </c>
      <c r="I6" s="14">
        <f t="shared" si="2"/>
        <v>1015.3999999999999</v>
      </c>
      <c r="J6" s="14">
        <f t="shared" si="2"/>
        <v>1309.5999999999999</v>
      </c>
      <c r="K6" s="14">
        <f t="shared" si="2"/>
        <v>854.19999999999982</v>
      </c>
      <c r="L6" s="14">
        <f t="shared" si="2"/>
        <v>984</v>
      </c>
      <c r="M6" s="14">
        <f t="shared" si="2"/>
        <v>1115.3000000000002</v>
      </c>
      <c r="N6" s="14">
        <f t="shared" si="2"/>
        <v>1516.3000000000002</v>
      </c>
      <c r="O6" s="14">
        <f t="shared" ref="O6:S6" si="3">SUM(O4:O5)</f>
        <v>926</v>
      </c>
      <c r="P6" s="14">
        <f t="shared" si="3"/>
        <v>1286.5</v>
      </c>
      <c r="Q6" s="15">
        <f t="shared" si="3"/>
        <v>1465.3999999999999</v>
      </c>
      <c r="R6" s="14">
        <f t="shared" si="3"/>
        <v>0</v>
      </c>
      <c r="S6" s="14">
        <f t="shared" si="3"/>
        <v>0</v>
      </c>
      <c r="V6" s="14">
        <f t="shared" ref="V6:AA6" si="4">SUM(V4:V5)</f>
        <v>3490.1999999999989</v>
      </c>
      <c r="W6" s="14">
        <f t="shared" si="4"/>
        <v>3355.7999999999993</v>
      </c>
      <c r="X6" s="14">
        <f t="shared" si="4"/>
        <v>3604.8000000000011</v>
      </c>
      <c r="Y6" s="14">
        <f t="shared" si="4"/>
        <v>3383.6999999999989</v>
      </c>
      <c r="Z6" s="14">
        <f t="shared" si="4"/>
        <v>4016.1000000000004</v>
      </c>
      <c r="AA6" s="14">
        <f t="shared" si="4"/>
        <v>4541.6000000000004</v>
      </c>
      <c r="AB6" s="15">
        <f t="shared" ref="AB6:AL6" si="5">SUM(AB4:AB5)</f>
        <v>4976.0992000000006</v>
      </c>
      <c r="AC6" s="14">
        <f t="shared" si="5"/>
        <v>5224.904160000001</v>
      </c>
      <c r="AD6" s="14">
        <f t="shared" si="5"/>
        <v>5486.1493680000003</v>
      </c>
      <c r="AE6" s="14">
        <f t="shared" si="5"/>
        <v>5760.4568364000006</v>
      </c>
      <c r="AF6" s="14">
        <f t="shared" si="5"/>
        <v>6048.479678220001</v>
      </c>
      <c r="AG6" s="14">
        <f t="shared" si="5"/>
        <v>6350.9036621310006</v>
      </c>
      <c r="AH6" s="14">
        <f t="shared" si="5"/>
        <v>6668.4488452375499</v>
      </c>
      <c r="AI6" s="14">
        <f t="shared" si="5"/>
        <v>7001.8712874994289</v>
      </c>
      <c r="AJ6" s="14">
        <f t="shared" si="5"/>
        <v>7351.9648518743998</v>
      </c>
      <c r="AK6" s="14">
        <f t="shared" si="5"/>
        <v>7719.5630944681197</v>
      </c>
      <c r="AL6" s="14">
        <f t="shared" si="5"/>
        <v>8105.5412491915249</v>
      </c>
    </row>
    <row r="7" spans="1:133" x14ac:dyDescent="0.25">
      <c r="A7" s="2" t="s">
        <v>24</v>
      </c>
      <c r="B7" s="5">
        <f>Q44</f>
        <v>990.9</v>
      </c>
      <c r="C7" s="2" t="s">
        <v>47</v>
      </c>
      <c r="D7" s="14">
        <v>-648.79999999999995</v>
      </c>
      <c r="E7" s="14">
        <v>-681</v>
      </c>
      <c r="F7" s="14">
        <v>-760.4</v>
      </c>
      <c r="G7" s="14">
        <v>-637.29999999999995</v>
      </c>
      <c r="H7" s="14">
        <v>-652.1</v>
      </c>
      <c r="I7" s="14">
        <v>-691.3</v>
      </c>
      <c r="J7" s="14">
        <v>-836.6</v>
      </c>
      <c r="K7" s="14">
        <v>-736.1</v>
      </c>
      <c r="L7" s="14">
        <v>-730.4</v>
      </c>
      <c r="M7" s="14">
        <v>-757.6</v>
      </c>
      <c r="N7" s="14">
        <v>-904.3</v>
      </c>
      <c r="O7" s="14">
        <v>-768.9</v>
      </c>
      <c r="P7" s="14">
        <v>-566.5</v>
      </c>
      <c r="Q7" s="15">
        <v>-589.5</v>
      </c>
      <c r="R7" s="14"/>
      <c r="S7" s="14"/>
      <c r="V7" s="14">
        <v>-2720</v>
      </c>
      <c r="W7" s="14">
        <v>-2547.5</v>
      </c>
      <c r="X7" s="14">
        <v>-2703.9</v>
      </c>
      <c r="Y7" s="14">
        <v>-2727.6</v>
      </c>
      <c r="Z7" s="14">
        <v>-2916.1</v>
      </c>
      <c r="AA7" s="14">
        <f>SUM(L7:O7)</f>
        <v>-3161.2000000000003</v>
      </c>
      <c r="AB7" s="15">
        <f>AA7*1.08</f>
        <v>-3414.0960000000005</v>
      </c>
      <c r="AC7" s="14">
        <f>AB7</f>
        <v>-3414.0960000000005</v>
      </c>
      <c r="AD7" s="14">
        <f>AC7</f>
        <v>-3414.0960000000005</v>
      </c>
      <c r="AE7" s="14">
        <f>AD7*1.03</f>
        <v>-3516.5188800000005</v>
      </c>
      <c r="AF7" s="14">
        <f t="shared" ref="AF7:AL7" si="6">AE7*1.03</f>
        <v>-3622.0144464000005</v>
      </c>
      <c r="AG7" s="14">
        <f t="shared" si="6"/>
        <v>-3730.6748797920004</v>
      </c>
      <c r="AH7" s="14">
        <f t="shared" si="6"/>
        <v>-3842.5951261857604</v>
      </c>
      <c r="AI7" s="14">
        <f t="shared" si="6"/>
        <v>-3957.8729799713333</v>
      </c>
      <c r="AJ7" s="14">
        <f t="shared" si="6"/>
        <v>-4076.6091693704734</v>
      </c>
      <c r="AK7" s="14">
        <f t="shared" si="6"/>
        <v>-4198.9074444515882</v>
      </c>
      <c r="AL7" s="14">
        <f t="shared" si="6"/>
        <v>-4324.8746677851359</v>
      </c>
    </row>
    <row r="8" spans="1:133" x14ac:dyDescent="0.25">
      <c r="A8" s="2" t="s">
        <v>25</v>
      </c>
      <c r="B8" s="5">
        <f>Q51+Q54</f>
        <v>1830.7</v>
      </c>
      <c r="C8" s="2" t="s">
        <v>48</v>
      </c>
      <c r="D8" s="14">
        <v>-44.4</v>
      </c>
      <c r="E8" s="14">
        <v>-50.2</v>
      </c>
      <c r="F8" s="14">
        <v>-50.6</v>
      </c>
      <c r="G8" s="14">
        <v>-39.6</v>
      </c>
      <c r="H8" s="14">
        <v>-46</v>
      </c>
      <c r="I8" s="14">
        <v>-50.5</v>
      </c>
      <c r="J8" s="14">
        <v>-50.2</v>
      </c>
      <c r="K8" s="14">
        <v>-41.5</v>
      </c>
      <c r="L8" s="14">
        <v>-51.1</v>
      </c>
      <c r="M8" s="14">
        <v>-49.2</v>
      </c>
      <c r="N8" s="14">
        <v>-56.7</v>
      </c>
      <c r="O8" s="14">
        <v>-47.7</v>
      </c>
      <c r="P8" s="14">
        <v>-261</v>
      </c>
      <c r="Q8" s="15">
        <v>-284.8</v>
      </c>
      <c r="R8" s="14"/>
      <c r="S8" s="14"/>
      <c r="V8" s="14">
        <v>-220.8</v>
      </c>
      <c r="W8" s="14">
        <v>-195.2</v>
      </c>
      <c r="X8" s="14">
        <v>-199.9</v>
      </c>
      <c r="Y8" s="14">
        <v>-184.8</v>
      </c>
      <c r="Z8" s="14">
        <v>-188.2</v>
      </c>
      <c r="AA8" s="14">
        <f t="shared" ref="AA8:AA10" si="7">SUM(L8:O8)</f>
        <v>-204.7</v>
      </c>
      <c r="AB8" s="15">
        <f>AA8*1.05</f>
        <v>-214.935</v>
      </c>
      <c r="AC8" s="14">
        <f t="shared" ref="AC8:AD10" si="8">AB8</f>
        <v>-214.935</v>
      </c>
      <c r="AD8" s="14">
        <f t="shared" si="8"/>
        <v>-214.935</v>
      </c>
      <c r="AE8" s="14">
        <f t="shared" ref="AE8:AL10" si="9">AD8*1.05</f>
        <v>-225.68175000000002</v>
      </c>
      <c r="AF8" s="14">
        <f t="shared" si="9"/>
        <v>-236.96583750000002</v>
      </c>
      <c r="AG8" s="14">
        <f t="shared" si="9"/>
        <v>-248.81412937500002</v>
      </c>
      <c r="AH8" s="14">
        <f t="shared" si="9"/>
        <v>-261.25483584375002</v>
      </c>
      <c r="AI8" s="14">
        <f t="shared" si="9"/>
        <v>-274.31757763593754</v>
      </c>
      <c r="AJ8" s="14">
        <f t="shared" si="9"/>
        <v>-288.03345651773441</v>
      </c>
      <c r="AK8" s="14">
        <f t="shared" si="9"/>
        <v>-302.43512934362116</v>
      </c>
      <c r="AL8" s="14">
        <f t="shared" si="9"/>
        <v>-317.55688581080221</v>
      </c>
    </row>
    <row r="9" spans="1:133" x14ac:dyDescent="0.25">
      <c r="A9" s="3" t="s">
        <v>26</v>
      </c>
      <c r="B9" s="6">
        <f>B6-B7+B8</f>
        <v>20441.079999999998</v>
      </c>
      <c r="C9" s="2" t="s">
        <v>49</v>
      </c>
      <c r="D9" s="14">
        <v>-41.2</v>
      </c>
      <c r="E9" s="14">
        <v>-4.7</v>
      </c>
      <c r="F9" s="14">
        <v>-102.1</v>
      </c>
      <c r="G9" s="14">
        <v>4.9000000000000004</v>
      </c>
      <c r="H9" s="14">
        <v>4.3</v>
      </c>
      <c r="I9" s="14">
        <v>4.3</v>
      </c>
      <c r="J9" s="14">
        <v>4.5999999999999996</v>
      </c>
      <c r="K9" s="14">
        <v>5.2</v>
      </c>
      <c r="L9" s="14">
        <v>0.1</v>
      </c>
      <c r="M9" s="14">
        <v>0</v>
      </c>
      <c r="N9" s="14">
        <v>0</v>
      </c>
      <c r="O9" s="14">
        <v>0.1</v>
      </c>
      <c r="P9" s="14">
        <v>-181</v>
      </c>
      <c r="Q9" s="15">
        <v>-180.5</v>
      </c>
      <c r="R9" s="14"/>
      <c r="S9" s="14"/>
      <c r="V9" s="14">
        <v>25.8</v>
      </c>
      <c r="W9" s="14">
        <v>7.1</v>
      </c>
      <c r="X9" s="14">
        <v>33.799999999999997</v>
      </c>
      <c r="Y9" s="14">
        <v>18.399999999999999</v>
      </c>
      <c r="Z9" s="14">
        <v>18.3</v>
      </c>
      <c r="AA9" s="14">
        <f t="shared" si="7"/>
        <v>0.2</v>
      </c>
      <c r="AB9" s="15">
        <f t="shared" ref="AB9:AB10" si="10">AA9*1.1</f>
        <v>0.22000000000000003</v>
      </c>
      <c r="AC9" s="14">
        <f t="shared" si="8"/>
        <v>0.22000000000000003</v>
      </c>
      <c r="AD9" s="14">
        <f t="shared" si="8"/>
        <v>0.22000000000000003</v>
      </c>
      <c r="AE9" s="14">
        <f t="shared" si="9"/>
        <v>0.23100000000000004</v>
      </c>
      <c r="AF9" s="14">
        <f t="shared" si="9"/>
        <v>0.24255000000000004</v>
      </c>
      <c r="AG9" s="14">
        <f t="shared" si="9"/>
        <v>0.25467750000000006</v>
      </c>
      <c r="AH9" s="14">
        <f t="shared" si="9"/>
        <v>0.26741137500000006</v>
      </c>
      <c r="AI9" s="14">
        <f t="shared" si="9"/>
        <v>0.2807819437500001</v>
      </c>
      <c r="AJ9" s="14">
        <f t="shared" si="9"/>
        <v>0.29482104093750011</v>
      </c>
      <c r="AK9" s="14">
        <f t="shared" si="9"/>
        <v>0.30956209298437515</v>
      </c>
      <c r="AL9" s="14">
        <f t="shared" si="9"/>
        <v>0.32504019763359393</v>
      </c>
    </row>
    <row r="10" spans="1:133" x14ac:dyDescent="0.25">
      <c r="C10" s="2" t="s">
        <v>50</v>
      </c>
      <c r="D10" s="14">
        <v>0</v>
      </c>
      <c r="E10" s="14">
        <v>0</v>
      </c>
      <c r="F10" s="14">
        <v>0</v>
      </c>
      <c r="G10" s="14">
        <v>-23.1</v>
      </c>
      <c r="H10" s="14">
        <v>-158.6</v>
      </c>
      <c r="I10" s="14">
        <v>-32.799999999999997</v>
      </c>
      <c r="J10" s="14">
        <v>-5.5</v>
      </c>
      <c r="K10" s="14">
        <v>-16.3</v>
      </c>
      <c r="L10" s="14">
        <v>0</v>
      </c>
      <c r="M10" s="14">
        <v>-1.2</v>
      </c>
      <c r="N10" s="14">
        <v>-2.8</v>
      </c>
      <c r="O10" s="14">
        <v>-0.6</v>
      </c>
      <c r="P10" s="14">
        <v>-0.1</v>
      </c>
      <c r="Q10" s="15">
        <v>0</v>
      </c>
      <c r="R10" s="14"/>
      <c r="S10" s="14"/>
      <c r="V10" s="14">
        <v>-25.9</v>
      </c>
      <c r="W10" s="14">
        <v>-12.1</v>
      </c>
      <c r="X10" s="14">
        <v>-15.3</v>
      </c>
      <c r="Y10" s="14">
        <v>-184.7</v>
      </c>
      <c r="Z10" s="14">
        <v>-213.3</v>
      </c>
      <c r="AA10" s="14">
        <f t="shared" si="7"/>
        <v>-4.5999999999999996</v>
      </c>
      <c r="AB10" s="15">
        <f t="shared" si="10"/>
        <v>-5.0599999999999996</v>
      </c>
      <c r="AC10" s="14">
        <f t="shared" si="8"/>
        <v>-5.0599999999999996</v>
      </c>
      <c r="AD10" s="14">
        <f t="shared" si="8"/>
        <v>-5.0599999999999996</v>
      </c>
      <c r="AE10" s="14">
        <f t="shared" si="9"/>
        <v>-5.3129999999999997</v>
      </c>
      <c r="AF10" s="14">
        <f t="shared" si="9"/>
        <v>-5.5786499999999997</v>
      </c>
      <c r="AG10" s="14">
        <f t="shared" si="9"/>
        <v>-5.8575824999999995</v>
      </c>
      <c r="AH10" s="14">
        <f t="shared" si="9"/>
        <v>-6.1504616249999993</v>
      </c>
      <c r="AI10" s="14">
        <f t="shared" si="9"/>
        <v>-6.4579847062499995</v>
      </c>
      <c r="AJ10" s="14">
        <f t="shared" si="9"/>
        <v>-6.7808839415625002</v>
      </c>
      <c r="AK10" s="14">
        <f t="shared" si="9"/>
        <v>-7.1199281386406259</v>
      </c>
      <c r="AL10" s="14">
        <f t="shared" si="9"/>
        <v>-7.4759245455726573</v>
      </c>
    </row>
    <row r="11" spans="1:133" x14ac:dyDescent="0.25">
      <c r="C11" s="1" t="s">
        <v>51</v>
      </c>
      <c r="D11" s="12">
        <f t="shared" ref="D11:N11" si="11">SUM(D6:D10)</f>
        <v>-16.100000000000001</v>
      </c>
      <c r="E11" s="12">
        <f t="shared" si="11"/>
        <v>112.39999999999972</v>
      </c>
      <c r="F11" s="12">
        <f t="shared" si="11"/>
        <v>215.29999999999987</v>
      </c>
      <c r="G11" s="12">
        <f t="shared" si="11"/>
        <v>-6.3999999999999133</v>
      </c>
      <c r="H11" s="12">
        <f t="shared" si="11"/>
        <v>-15.600000000000051</v>
      </c>
      <c r="I11" s="12">
        <f t="shared" si="11"/>
        <v>245.09999999999991</v>
      </c>
      <c r="J11" s="12">
        <f t="shared" si="11"/>
        <v>421.89999999999992</v>
      </c>
      <c r="K11" s="12">
        <f t="shared" si="11"/>
        <v>65.499999999999801</v>
      </c>
      <c r="L11" s="12">
        <f t="shared" si="11"/>
        <v>202.60000000000002</v>
      </c>
      <c r="M11" s="12">
        <f t="shared" si="11"/>
        <v>307.30000000000018</v>
      </c>
      <c r="N11" s="12">
        <f t="shared" si="11"/>
        <v>552.50000000000023</v>
      </c>
      <c r="O11" s="12">
        <f t="shared" ref="O11:S11" si="12">SUM(O6:O10)</f>
        <v>108.90000000000002</v>
      </c>
      <c r="P11" s="12">
        <f t="shared" si="12"/>
        <v>277.89999999999998</v>
      </c>
      <c r="Q11" s="13">
        <f t="shared" si="12"/>
        <v>410.59999999999991</v>
      </c>
      <c r="R11" s="12">
        <f t="shared" si="12"/>
        <v>0</v>
      </c>
      <c r="S11" s="12">
        <f t="shared" si="12"/>
        <v>0</v>
      </c>
      <c r="V11" s="12">
        <f t="shared" ref="V11:AA11" si="13">SUM(V6:V10)</f>
        <v>549.29999999999893</v>
      </c>
      <c r="W11" s="12">
        <f t="shared" si="13"/>
        <v>608.09999999999923</v>
      </c>
      <c r="X11" s="12">
        <f t="shared" si="13"/>
        <v>719.50000000000102</v>
      </c>
      <c r="Y11" s="12">
        <f t="shared" si="13"/>
        <v>304.99999999999898</v>
      </c>
      <c r="Z11" s="12">
        <f t="shared" si="13"/>
        <v>716.80000000000041</v>
      </c>
      <c r="AA11" s="12">
        <f t="shared" si="13"/>
        <v>1171.3000000000002</v>
      </c>
      <c r="AB11" s="13">
        <f t="shared" ref="AB11:AL11" si="14">SUM(AB6:AB10)</f>
        <v>1342.2282000000002</v>
      </c>
      <c r="AC11" s="12">
        <f t="shared" si="14"/>
        <v>1591.0331600000006</v>
      </c>
      <c r="AD11" s="12">
        <f t="shared" si="14"/>
        <v>1852.278368</v>
      </c>
      <c r="AE11" s="12">
        <f t="shared" si="14"/>
        <v>2013.1742064</v>
      </c>
      <c r="AF11" s="12">
        <f t="shared" si="14"/>
        <v>2184.1632943200007</v>
      </c>
      <c r="AG11" s="12">
        <f t="shared" si="14"/>
        <v>2365.8117479640005</v>
      </c>
      <c r="AH11" s="12">
        <f t="shared" si="14"/>
        <v>2558.7158329580393</v>
      </c>
      <c r="AI11" s="12">
        <f t="shared" si="14"/>
        <v>2763.5035271296579</v>
      </c>
      <c r="AJ11" s="12">
        <f t="shared" si="14"/>
        <v>2980.836163085567</v>
      </c>
      <c r="AK11" s="12">
        <f t="shared" si="14"/>
        <v>3211.4101546272541</v>
      </c>
      <c r="AL11" s="12">
        <f t="shared" si="14"/>
        <v>3455.9588112476476</v>
      </c>
    </row>
    <row r="12" spans="1:133" x14ac:dyDescent="0.25">
      <c r="C12" s="2" t="s">
        <v>52</v>
      </c>
      <c r="D12" s="14">
        <v>1</v>
      </c>
      <c r="E12" s="14">
        <v>0.7</v>
      </c>
      <c r="F12" s="14">
        <v>1.2</v>
      </c>
      <c r="G12" s="14">
        <v>0.5</v>
      </c>
      <c r="H12" s="14">
        <v>0.5</v>
      </c>
      <c r="I12" s="14">
        <v>1.2</v>
      </c>
      <c r="J12" s="14">
        <v>2.7</v>
      </c>
      <c r="K12" s="14">
        <v>1.6</v>
      </c>
      <c r="L12" s="14">
        <v>2.2000000000000002</v>
      </c>
      <c r="M12" s="14">
        <v>2.1</v>
      </c>
      <c r="N12" s="14">
        <v>6.1</v>
      </c>
      <c r="O12" s="14">
        <v>5.9</v>
      </c>
      <c r="P12" s="14">
        <v>6.3</v>
      </c>
      <c r="Q12" s="15">
        <v>6</v>
      </c>
      <c r="R12" s="14"/>
      <c r="S12" s="14"/>
      <c r="V12" s="14">
        <v>0.1</v>
      </c>
      <c r="W12" s="14">
        <v>0.3</v>
      </c>
      <c r="X12" s="14">
        <v>2</v>
      </c>
      <c r="Y12" s="14">
        <v>3.4</v>
      </c>
      <c r="Z12" s="14">
        <v>6</v>
      </c>
      <c r="AA12" s="14">
        <f>SUM(L12:O12)</f>
        <v>16.3</v>
      </c>
      <c r="AB12" s="15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</row>
    <row r="13" spans="1:133" x14ac:dyDescent="0.25">
      <c r="C13" s="2" t="s">
        <v>53</v>
      </c>
      <c r="D13" s="14">
        <v>-15.5</v>
      </c>
      <c r="E13" s="14">
        <v>-17.5</v>
      </c>
      <c r="F13" s="14">
        <v>-16.5</v>
      </c>
      <c r="G13" s="14">
        <v>-16.399999999999999</v>
      </c>
      <c r="H13" s="14">
        <v>-16.600000000000001</v>
      </c>
      <c r="I13" s="14">
        <v>-19.600000000000001</v>
      </c>
      <c r="J13" s="14">
        <v>-17.399999999999999</v>
      </c>
      <c r="K13" s="14">
        <v>-16.399999999999999</v>
      </c>
      <c r="L13" s="14">
        <v>-17.8</v>
      </c>
      <c r="M13" s="14">
        <v>-17.2</v>
      </c>
      <c r="N13" s="14">
        <v>-17.2</v>
      </c>
      <c r="O13" s="14">
        <v>-17.399999999999999</v>
      </c>
      <c r="P13" s="14">
        <v>-18.600000000000001</v>
      </c>
      <c r="Q13" s="15">
        <v>-19.8</v>
      </c>
      <c r="R13" s="14"/>
      <c r="S13" s="14"/>
      <c r="V13" s="14">
        <v>-67.599999999999994</v>
      </c>
      <c r="W13" s="14">
        <v>-63.6</v>
      </c>
      <c r="X13" s="14">
        <v>-65.099999999999994</v>
      </c>
      <c r="Y13" s="14">
        <v>-65.900000000000006</v>
      </c>
      <c r="Z13" s="14">
        <v>-69.900000000000006</v>
      </c>
      <c r="AA13" s="14">
        <f>SUM(L13:O13)</f>
        <v>-69.599999999999994</v>
      </c>
      <c r="AB13" s="15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</row>
    <row r="14" spans="1:133" x14ac:dyDescent="0.25">
      <c r="C14" s="2" t="s">
        <v>54</v>
      </c>
      <c r="D14" s="14">
        <f t="shared" ref="D14:N14" si="15">SUM(D11:D13)</f>
        <v>-30.6</v>
      </c>
      <c r="E14" s="14">
        <f t="shared" si="15"/>
        <v>95.599999999999724</v>
      </c>
      <c r="F14" s="14">
        <f t="shared" si="15"/>
        <v>199.99999999999986</v>
      </c>
      <c r="G14" s="14">
        <f t="shared" si="15"/>
        <v>-22.299999999999912</v>
      </c>
      <c r="H14" s="14">
        <f t="shared" si="15"/>
        <v>-31.700000000000053</v>
      </c>
      <c r="I14" s="14">
        <f t="shared" si="15"/>
        <v>226.6999999999999</v>
      </c>
      <c r="J14" s="14">
        <f t="shared" si="15"/>
        <v>407.19999999999993</v>
      </c>
      <c r="K14" s="14">
        <f t="shared" si="15"/>
        <v>50.699999999999797</v>
      </c>
      <c r="L14" s="14">
        <f t="shared" si="15"/>
        <v>187</v>
      </c>
      <c r="M14" s="14">
        <f t="shared" si="15"/>
        <v>292.20000000000022</v>
      </c>
      <c r="N14" s="14">
        <f t="shared" si="15"/>
        <v>541.4000000000002</v>
      </c>
      <c r="O14" s="14">
        <f t="shared" ref="O14:S14" si="16">SUM(O11:O13)</f>
        <v>97.400000000000034</v>
      </c>
      <c r="P14" s="14">
        <f t="shared" si="16"/>
        <v>265.59999999999997</v>
      </c>
      <c r="Q14" s="15">
        <f t="shared" si="16"/>
        <v>396.7999999999999</v>
      </c>
      <c r="R14" s="14">
        <f t="shared" si="16"/>
        <v>0</v>
      </c>
      <c r="S14" s="14">
        <f t="shared" si="16"/>
        <v>0</v>
      </c>
      <c r="V14" s="14">
        <f t="shared" ref="V14:Z14" si="17">SUM(V11:V13)</f>
        <v>481.79999999999893</v>
      </c>
      <c r="W14" s="14">
        <f t="shared" si="17"/>
        <v>544.79999999999916</v>
      </c>
      <c r="X14" s="14">
        <f t="shared" si="17"/>
        <v>656.400000000001</v>
      </c>
      <c r="Y14" s="14">
        <f t="shared" si="17"/>
        <v>242.49999999999895</v>
      </c>
      <c r="Z14" s="14">
        <f t="shared" si="17"/>
        <v>652.90000000000043</v>
      </c>
      <c r="AA14" s="14">
        <f>SUM(AA11:AA13)</f>
        <v>1118.0000000000002</v>
      </c>
      <c r="AB14" s="15">
        <f t="shared" ref="AB14:AL14" si="18">SUM(AB11:AB13)</f>
        <v>1342.2282000000002</v>
      </c>
      <c r="AC14" s="14">
        <f t="shared" si="18"/>
        <v>1591.0331600000006</v>
      </c>
      <c r="AD14" s="14">
        <f t="shared" si="18"/>
        <v>1852.278368</v>
      </c>
      <c r="AE14" s="14">
        <f t="shared" si="18"/>
        <v>2013.1742064</v>
      </c>
      <c r="AF14" s="14">
        <f t="shared" si="18"/>
        <v>2184.1632943200007</v>
      </c>
      <c r="AG14" s="14">
        <f t="shared" si="18"/>
        <v>2365.8117479640005</v>
      </c>
      <c r="AH14" s="14">
        <f t="shared" si="18"/>
        <v>2558.7158329580393</v>
      </c>
      <c r="AI14" s="14">
        <f t="shared" si="18"/>
        <v>2763.5035271296579</v>
      </c>
      <c r="AJ14" s="14">
        <f t="shared" si="18"/>
        <v>2980.836163085567</v>
      </c>
      <c r="AK14" s="14">
        <f t="shared" si="18"/>
        <v>3211.4101546272541</v>
      </c>
      <c r="AL14" s="14">
        <f t="shared" si="18"/>
        <v>3455.9588112476476</v>
      </c>
    </row>
    <row r="15" spans="1:133" x14ac:dyDescent="0.25">
      <c r="C15" s="2" t="s">
        <v>55</v>
      </c>
      <c r="D15" s="14">
        <v>6.5</v>
      </c>
      <c r="E15" s="14">
        <v>-26.1</v>
      </c>
      <c r="F15" s="14">
        <v>-41.5</v>
      </c>
      <c r="G15" s="14">
        <v>-0.7</v>
      </c>
      <c r="H15" s="14">
        <v>5.2</v>
      </c>
      <c r="I15" s="14">
        <v>-53.4</v>
      </c>
      <c r="J15" s="14">
        <v>-86.2</v>
      </c>
      <c r="K15" s="14">
        <v>-16.399999999999999</v>
      </c>
      <c r="L15" s="14">
        <v>-41.3</v>
      </c>
      <c r="M15" s="14">
        <v>-62.1</v>
      </c>
      <c r="N15" s="14">
        <v>-115.1</v>
      </c>
      <c r="O15" s="14">
        <v>-17.2</v>
      </c>
      <c r="P15" s="14">
        <v>-57.6</v>
      </c>
      <c r="Q15" s="15">
        <v>-88.1</v>
      </c>
      <c r="R15" s="14"/>
      <c r="S15" s="14"/>
      <c r="V15" s="14">
        <v>-105.8</v>
      </c>
      <c r="W15" s="14">
        <v>-123.6</v>
      </c>
      <c r="X15" s="14">
        <v>-133.9</v>
      </c>
      <c r="Y15" s="14">
        <v>-61.8</v>
      </c>
      <c r="Z15" s="14">
        <v>-144.19999999999999</v>
      </c>
      <c r="AA15" s="14">
        <f>SUM(L15:O15)</f>
        <v>-235.7</v>
      </c>
      <c r="AB15" s="15">
        <f>AB14*-0.22</f>
        <v>-295.29020400000007</v>
      </c>
      <c r="AC15" s="14">
        <f t="shared" ref="AC15:AK15" si="19">AC14*-0.22</f>
        <v>-350.02729520000014</v>
      </c>
      <c r="AD15" s="14">
        <f t="shared" si="19"/>
        <v>-407.50124096000002</v>
      </c>
      <c r="AE15" s="14">
        <f t="shared" si="19"/>
        <v>-442.89832540800001</v>
      </c>
      <c r="AF15" s="14">
        <f t="shared" si="19"/>
        <v>-480.51592475040013</v>
      </c>
      <c r="AG15" s="14">
        <f t="shared" si="19"/>
        <v>-520.47858455208006</v>
      </c>
      <c r="AH15" s="14">
        <f t="shared" si="19"/>
        <v>-562.91748325076867</v>
      </c>
      <c r="AI15" s="14">
        <f t="shared" si="19"/>
        <v>-607.97077596852478</v>
      </c>
      <c r="AJ15" s="14">
        <f t="shared" si="19"/>
        <v>-655.78395587882471</v>
      </c>
      <c r="AK15" s="14">
        <f t="shared" si="19"/>
        <v>-706.51023401799591</v>
      </c>
      <c r="AL15" s="14">
        <f>AL14*-0.22</f>
        <v>-760.31093847448244</v>
      </c>
    </row>
    <row r="16" spans="1:133" x14ac:dyDescent="0.25">
      <c r="C16" s="1" t="s">
        <v>56</v>
      </c>
      <c r="D16" s="12">
        <f t="shared" ref="D16:N16" si="20">SUM(D14:D15)</f>
        <v>-24.1</v>
      </c>
      <c r="E16" s="12">
        <f t="shared" si="20"/>
        <v>69.499999999999716</v>
      </c>
      <c r="F16" s="12">
        <f t="shared" si="20"/>
        <v>158.49999999999986</v>
      </c>
      <c r="G16" s="12">
        <f t="shared" si="20"/>
        <v>-22.999999999999911</v>
      </c>
      <c r="H16" s="12">
        <f t="shared" si="20"/>
        <v>-26.500000000000053</v>
      </c>
      <c r="I16" s="12">
        <f t="shared" si="20"/>
        <v>173.2999999999999</v>
      </c>
      <c r="J16" s="12">
        <f t="shared" si="20"/>
        <v>320.99999999999994</v>
      </c>
      <c r="K16" s="12">
        <f t="shared" si="20"/>
        <v>34.299999999999798</v>
      </c>
      <c r="L16" s="12">
        <f t="shared" si="20"/>
        <v>145.69999999999999</v>
      </c>
      <c r="M16" s="12">
        <f t="shared" si="20"/>
        <v>230.10000000000022</v>
      </c>
      <c r="N16" s="12">
        <f t="shared" si="20"/>
        <v>426.30000000000018</v>
      </c>
      <c r="O16" s="12">
        <f t="shared" ref="O16:S16" si="21">SUM(O14:O15)</f>
        <v>80.200000000000031</v>
      </c>
      <c r="P16" s="12">
        <f t="shared" si="21"/>
        <v>207.99999999999997</v>
      </c>
      <c r="Q16" s="13">
        <f t="shared" si="21"/>
        <v>308.69999999999993</v>
      </c>
      <c r="R16" s="12">
        <f t="shared" si="21"/>
        <v>0</v>
      </c>
      <c r="S16" s="12">
        <f t="shared" si="21"/>
        <v>0</v>
      </c>
      <c r="V16" s="12">
        <f t="shared" ref="V16:Z16" si="22">SUM(V14:V15)</f>
        <v>375.99999999999892</v>
      </c>
      <c r="W16" s="12">
        <f t="shared" si="22"/>
        <v>421.19999999999914</v>
      </c>
      <c r="X16" s="12">
        <f t="shared" si="22"/>
        <v>522.50000000000102</v>
      </c>
      <c r="Y16" s="12">
        <f t="shared" si="22"/>
        <v>180.69999999999897</v>
      </c>
      <c r="Z16" s="12">
        <f t="shared" si="22"/>
        <v>508.70000000000044</v>
      </c>
      <c r="AA16" s="12">
        <f>SUM(AA14:AA15)</f>
        <v>882.30000000000018</v>
      </c>
      <c r="AB16" s="13">
        <f t="shared" ref="AB16:AL16" si="23">SUM(AB14:AB15)</f>
        <v>1046.9379960000001</v>
      </c>
      <c r="AC16" s="12">
        <f t="shared" si="23"/>
        <v>1241.0058648000004</v>
      </c>
      <c r="AD16" s="12">
        <f t="shared" si="23"/>
        <v>1444.7771270399999</v>
      </c>
      <c r="AE16" s="12">
        <f t="shared" si="23"/>
        <v>1570.2758809920001</v>
      </c>
      <c r="AF16" s="12">
        <f t="shared" si="23"/>
        <v>1703.6473695696004</v>
      </c>
      <c r="AG16" s="12">
        <f t="shared" si="23"/>
        <v>1845.3331634119204</v>
      </c>
      <c r="AH16" s="12">
        <f t="shared" si="23"/>
        <v>1995.7983497072705</v>
      </c>
      <c r="AI16" s="12">
        <f t="shared" si="23"/>
        <v>2155.5327511611331</v>
      </c>
      <c r="AJ16" s="12">
        <f t="shared" si="23"/>
        <v>2325.0522072067424</v>
      </c>
      <c r="AK16" s="12">
        <f t="shared" si="23"/>
        <v>2504.8999206092581</v>
      </c>
      <c r="AL16" s="12">
        <f t="shared" si="23"/>
        <v>2695.6478727731651</v>
      </c>
      <c r="AM16" s="12">
        <f>AL16*(1+$AO$20)</f>
        <v>2668.6913940454333</v>
      </c>
      <c r="AN16" s="12">
        <f t="shared" ref="AN16:CY16" si="24">AM16*(1+$AO$20)</f>
        <v>2642.0044801049789</v>
      </c>
      <c r="AO16" s="12">
        <f t="shared" si="24"/>
        <v>2615.5844353039292</v>
      </c>
      <c r="AP16" s="12">
        <f t="shared" si="24"/>
        <v>2589.4285909508899</v>
      </c>
      <c r="AQ16" s="12">
        <f t="shared" si="24"/>
        <v>2563.5343050413808</v>
      </c>
      <c r="AR16" s="12">
        <f t="shared" si="24"/>
        <v>2537.8989619909671</v>
      </c>
      <c r="AS16" s="12">
        <f t="shared" si="24"/>
        <v>2512.5199723710575</v>
      </c>
      <c r="AT16" s="12">
        <f t="shared" si="24"/>
        <v>2487.3947726473471</v>
      </c>
      <c r="AU16" s="12">
        <f t="shared" si="24"/>
        <v>2462.5208249208736</v>
      </c>
      <c r="AV16" s="12">
        <f t="shared" si="24"/>
        <v>2437.8956166716648</v>
      </c>
      <c r="AW16" s="12">
        <f t="shared" si="24"/>
        <v>2413.516660504948</v>
      </c>
      <c r="AX16" s="12">
        <f t="shared" si="24"/>
        <v>2389.3814938998985</v>
      </c>
      <c r="AY16" s="12">
        <f t="shared" si="24"/>
        <v>2365.4876789608993</v>
      </c>
      <c r="AZ16" s="12">
        <f t="shared" si="24"/>
        <v>2341.8328021712905</v>
      </c>
      <c r="BA16" s="12">
        <f t="shared" si="24"/>
        <v>2318.4144741495775</v>
      </c>
      <c r="BB16" s="12">
        <f t="shared" si="24"/>
        <v>2295.2303294080816</v>
      </c>
      <c r="BC16" s="12">
        <f t="shared" si="24"/>
        <v>2272.2780261140006</v>
      </c>
      <c r="BD16" s="12">
        <f t="shared" si="24"/>
        <v>2249.5552458528605</v>
      </c>
      <c r="BE16" s="12">
        <f t="shared" si="24"/>
        <v>2227.059693394332</v>
      </c>
      <c r="BF16" s="12">
        <f t="shared" si="24"/>
        <v>2204.7890964603889</v>
      </c>
      <c r="BG16" s="12">
        <f t="shared" si="24"/>
        <v>2182.7412054957849</v>
      </c>
      <c r="BH16" s="12">
        <f t="shared" si="24"/>
        <v>2160.9137934408272</v>
      </c>
      <c r="BI16" s="12">
        <f t="shared" si="24"/>
        <v>2139.3046555064188</v>
      </c>
      <c r="BJ16" s="12">
        <f t="shared" si="24"/>
        <v>2117.9116089513545</v>
      </c>
      <c r="BK16" s="12">
        <f t="shared" si="24"/>
        <v>2096.7324928618409</v>
      </c>
      <c r="BL16" s="12">
        <f t="shared" si="24"/>
        <v>2075.7651679332225</v>
      </c>
      <c r="BM16" s="12">
        <f t="shared" si="24"/>
        <v>2055.0075162538901</v>
      </c>
      <c r="BN16" s="12">
        <f t="shared" si="24"/>
        <v>2034.4574410913513</v>
      </c>
      <c r="BO16" s="12">
        <f t="shared" si="24"/>
        <v>2014.1128666804377</v>
      </c>
      <c r="BP16" s="12">
        <f t="shared" si="24"/>
        <v>1993.9717380136333</v>
      </c>
      <c r="BQ16" s="12">
        <f t="shared" si="24"/>
        <v>1974.032020633497</v>
      </c>
      <c r="BR16" s="12">
        <f t="shared" si="24"/>
        <v>1954.2917004271621</v>
      </c>
      <c r="BS16" s="12">
        <f t="shared" si="24"/>
        <v>1934.7487834228905</v>
      </c>
      <c r="BT16" s="12">
        <f t="shared" si="24"/>
        <v>1915.4012955886615</v>
      </c>
      <c r="BU16" s="12">
        <f t="shared" si="24"/>
        <v>1896.2472826327748</v>
      </c>
      <c r="BV16" s="12">
        <f t="shared" si="24"/>
        <v>1877.2848098064471</v>
      </c>
      <c r="BW16" s="12">
        <f t="shared" si="24"/>
        <v>1858.5119617083826</v>
      </c>
      <c r="BX16" s="12">
        <f t="shared" si="24"/>
        <v>1839.9268420912988</v>
      </c>
      <c r="BY16" s="12">
        <f t="shared" si="24"/>
        <v>1821.5275736703859</v>
      </c>
      <c r="BZ16" s="12">
        <f t="shared" si="24"/>
        <v>1803.312297933682</v>
      </c>
      <c r="CA16" s="12">
        <f t="shared" si="24"/>
        <v>1785.2791749543451</v>
      </c>
      <c r="CB16" s="12">
        <f t="shared" si="24"/>
        <v>1767.4263832048016</v>
      </c>
      <c r="CC16" s="12">
        <f t="shared" si="24"/>
        <v>1749.7521193727537</v>
      </c>
      <c r="CD16" s="12">
        <f t="shared" si="24"/>
        <v>1732.2545981790261</v>
      </c>
      <c r="CE16" s="12">
        <f t="shared" si="24"/>
        <v>1714.9320521972359</v>
      </c>
      <c r="CF16" s="12">
        <f t="shared" si="24"/>
        <v>1697.7827316752634</v>
      </c>
      <c r="CG16" s="12">
        <f t="shared" si="24"/>
        <v>1680.8049043585108</v>
      </c>
      <c r="CH16" s="12">
        <f t="shared" si="24"/>
        <v>1663.9968553149258</v>
      </c>
      <c r="CI16" s="12">
        <f t="shared" si="24"/>
        <v>1647.3568867617767</v>
      </c>
      <c r="CJ16" s="12">
        <f t="shared" si="24"/>
        <v>1630.8833178941588</v>
      </c>
      <c r="CK16" s="12">
        <f t="shared" si="24"/>
        <v>1614.5744847152173</v>
      </c>
      <c r="CL16" s="12">
        <f t="shared" si="24"/>
        <v>1598.4287398680651</v>
      </c>
      <c r="CM16" s="12">
        <f t="shared" si="24"/>
        <v>1582.4444524693845</v>
      </c>
      <c r="CN16" s="12">
        <f t="shared" si="24"/>
        <v>1566.6200079446905</v>
      </c>
      <c r="CO16" s="12">
        <f t="shared" si="24"/>
        <v>1550.9538078652436</v>
      </c>
      <c r="CP16" s="12">
        <f t="shared" si="24"/>
        <v>1535.4442697865911</v>
      </c>
      <c r="CQ16" s="12">
        <f t="shared" si="24"/>
        <v>1520.0898270887251</v>
      </c>
      <c r="CR16" s="12">
        <f t="shared" si="24"/>
        <v>1504.8889288178377</v>
      </c>
      <c r="CS16" s="12">
        <f t="shared" si="24"/>
        <v>1489.8400395296594</v>
      </c>
      <c r="CT16" s="12">
        <f t="shared" si="24"/>
        <v>1474.9416391343627</v>
      </c>
      <c r="CU16" s="12">
        <f t="shared" si="24"/>
        <v>1460.1922227430191</v>
      </c>
      <c r="CV16" s="12">
        <f t="shared" si="24"/>
        <v>1445.590300515589</v>
      </c>
      <c r="CW16" s="12">
        <f t="shared" si="24"/>
        <v>1431.134397510433</v>
      </c>
      <c r="CX16" s="12">
        <f t="shared" si="24"/>
        <v>1416.8230535353287</v>
      </c>
      <c r="CY16" s="12">
        <f t="shared" si="24"/>
        <v>1402.6548229999753</v>
      </c>
      <c r="CZ16" s="12">
        <f t="shared" ref="CZ16:EC16" si="25">CY16*(1+$AO$20)</f>
        <v>1388.6282747699756</v>
      </c>
      <c r="DA16" s="12">
        <f t="shared" si="25"/>
        <v>1374.7419920222758</v>
      </c>
      <c r="DB16" s="12">
        <f t="shared" si="25"/>
        <v>1360.9945721020531</v>
      </c>
      <c r="DC16" s="12">
        <f t="shared" si="25"/>
        <v>1347.3846263810326</v>
      </c>
      <c r="DD16" s="12">
        <f t="shared" si="25"/>
        <v>1333.9107801172222</v>
      </c>
      <c r="DE16" s="12">
        <f t="shared" si="25"/>
        <v>1320.5716723160499</v>
      </c>
      <c r="DF16" s="12">
        <f t="shared" si="25"/>
        <v>1307.3659555928893</v>
      </c>
      <c r="DG16" s="12">
        <f t="shared" si="25"/>
        <v>1294.2922960369604</v>
      </c>
      <c r="DH16" s="12">
        <f t="shared" si="25"/>
        <v>1281.3493730765908</v>
      </c>
      <c r="DI16" s="12">
        <f t="shared" si="25"/>
        <v>1268.5358793458249</v>
      </c>
      <c r="DJ16" s="12">
        <f t="shared" si="25"/>
        <v>1255.8505205523666</v>
      </c>
      <c r="DK16" s="12">
        <f t="shared" si="25"/>
        <v>1243.2920153468428</v>
      </c>
      <c r="DL16" s="12">
        <f t="shared" si="25"/>
        <v>1230.8590951933745</v>
      </c>
      <c r="DM16" s="12">
        <f t="shared" si="25"/>
        <v>1218.5505042414406</v>
      </c>
      <c r="DN16" s="12">
        <f t="shared" si="25"/>
        <v>1206.3649991990262</v>
      </c>
      <c r="DO16" s="12">
        <f t="shared" si="25"/>
        <v>1194.3013492070359</v>
      </c>
      <c r="DP16" s="12">
        <f t="shared" si="25"/>
        <v>1182.3583357149655</v>
      </c>
      <c r="DQ16" s="12">
        <f t="shared" si="25"/>
        <v>1170.5347523578159</v>
      </c>
      <c r="DR16" s="12">
        <f t="shared" si="25"/>
        <v>1158.8294048342377</v>
      </c>
      <c r="DS16" s="12">
        <f t="shared" si="25"/>
        <v>1147.2411107858954</v>
      </c>
      <c r="DT16" s="12">
        <f t="shared" si="25"/>
        <v>1135.7686996780365</v>
      </c>
      <c r="DU16" s="12">
        <f t="shared" si="25"/>
        <v>1124.4110126812561</v>
      </c>
      <c r="DV16" s="12">
        <f t="shared" si="25"/>
        <v>1113.1669025544436</v>
      </c>
      <c r="DW16" s="12">
        <f t="shared" si="25"/>
        <v>1102.0352335288992</v>
      </c>
      <c r="DX16" s="12">
        <f t="shared" si="25"/>
        <v>1091.0148811936101</v>
      </c>
      <c r="DY16" s="12">
        <f t="shared" si="25"/>
        <v>1080.104732381674</v>
      </c>
      <c r="DZ16" s="12">
        <f t="shared" si="25"/>
        <v>1069.3036850578574</v>
      </c>
      <c r="EA16" s="12">
        <f t="shared" si="25"/>
        <v>1058.6106482072787</v>
      </c>
      <c r="EB16" s="12">
        <f t="shared" si="25"/>
        <v>1048.0245417252058</v>
      </c>
      <c r="EC16" s="12">
        <f t="shared" si="25"/>
        <v>1037.5442963079538</v>
      </c>
    </row>
    <row r="17" spans="3:41" x14ac:dyDescent="0.25">
      <c r="C17" s="2" t="s">
        <v>57</v>
      </c>
      <c r="D17" s="18">
        <v>65.599999999999994</v>
      </c>
      <c r="E17" s="18">
        <v>65.599999999999994</v>
      </c>
      <c r="F17" s="18">
        <v>65.599999999999994</v>
      </c>
      <c r="G17" s="18">
        <v>65.599999999999994</v>
      </c>
      <c r="H17" s="2">
        <v>65.599999999999994</v>
      </c>
      <c r="I17" s="2">
        <v>65.599999999999994</v>
      </c>
      <c r="J17" s="2">
        <v>65.599999999999994</v>
      </c>
      <c r="K17" s="2">
        <v>65.599999999999994</v>
      </c>
      <c r="L17" s="2">
        <v>65.599999999999994</v>
      </c>
      <c r="M17" s="2">
        <v>65.599999999999994</v>
      </c>
      <c r="N17" s="2">
        <v>65.599999999999994</v>
      </c>
      <c r="O17" s="2">
        <v>65.599999999999994</v>
      </c>
      <c r="P17" s="2">
        <v>65.599999999999994</v>
      </c>
      <c r="Q17" s="4">
        <v>65.599999999999994</v>
      </c>
      <c r="R17" s="2">
        <v>65.599999999999994</v>
      </c>
      <c r="S17" s="2">
        <v>65.599999999999994</v>
      </c>
      <c r="V17" s="2">
        <v>65.599999999999994</v>
      </c>
      <c r="W17" s="2">
        <v>65.599999999999994</v>
      </c>
      <c r="X17" s="2">
        <v>65.599999999999994</v>
      </c>
      <c r="Y17" s="2">
        <v>65.599999999999994</v>
      </c>
      <c r="Z17" s="2">
        <v>65.599999999999994</v>
      </c>
      <c r="AA17" s="2">
        <v>65.599999999999994</v>
      </c>
      <c r="AB17" s="4">
        <v>65.599999999999994</v>
      </c>
      <c r="AC17" s="2">
        <v>65.599999999999994</v>
      </c>
      <c r="AD17" s="2">
        <v>65.599999999999994</v>
      </c>
      <c r="AE17" s="2">
        <v>65.599999999999994</v>
      </c>
      <c r="AF17" s="2">
        <v>65.599999999999994</v>
      </c>
      <c r="AG17" s="2">
        <v>65.599999999999994</v>
      </c>
      <c r="AH17" s="2">
        <v>65.599999999999994</v>
      </c>
      <c r="AI17" s="2">
        <v>65.599999999999994</v>
      </c>
      <c r="AJ17" s="2">
        <v>65.599999999999994</v>
      </c>
      <c r="AK17" s="2">
        <v>65.599999999999994</v>
      </c>
      <c r="AL17" s="2">
        <v>65.599999999999994</v>
      </c>
    </row>
    <row r="18" spans="3:41" x14ac:dyDescent="0.25">
      <c r="C18" s="2" t="s">
        <v>58</v>
      </c>
      <c r="D18" s="17">
        <f t="shared" ref="D18:M18" si="26">D16/D17</f>
        <v>-0.36737804878048785</v>
      </c>
      <c r="E18" s="17">
        <f t="shared" si="26"/>
        <v>1.0594512195121908</v>
      </c>
      <c r="F18" s="17">
        <f t="shared" si="26"/>
        <v>2.4161585365853639</v>
      </c>
      <c r="G18" s="17">
        <f t="shared" si="26"/>
        <v>-0.35060975609755968</v>
      </c>
      <c r="H18" s="17">
        <f t="shared" si="26"/>
        <v>-0.4039634146341472</v>
      </c>
      <c r="I18" s="17">
        <f t="shared" si="26"/>
        <v>2.6417682926829253</v>
      </c>
      <c r="J18" s="17">
        <f t="shared" si="26"/>
        <v>4.8932926829268286</v>
      </c>
      <c r="K18" s="17">
        <f t="shared" si="26"/>
        <v>0.52286585365853355</v>
      </c>
      <c r="L18" s="17">
        <f t="shared" si="26"/>
        <v>2.2210365853658538</v>
      </c>
      <c r="M18" s="17">
        <f t="shared" si="26"/>
        <v>3.5076219512195159</v>
      </c>
      <c r="N18" s="17">
        <f>N16/N17</f>
        <v>6.4984756097561007</v>
      </c>
      <c r="O18" s="17">
        <f>O16/O17</f>
        <v>1.2225609756097566</v>
      </c>
      <c r="P18" s="17">
        <f t="shared" ref="P18:S18" si="27">P16/P17</f>
        <v>3.1707317073170729</v>
      </c>
      <c r="Q18" s="9">
        <f t="shared" si="27"/>
        <v>4.7057926829268286</v>
      </c>
      <c r="R18" s="17">
        <f t="shared" si="27"/>
        <v>0</v>
      </c>
      <c r="S18" s="17">
        <f t="shared" si="27"/>
        <v>0</v>
      </c>
      <c r="V18" s="17">
        <f t="shared" ref="V18:Z18" si="28">V16/V17</f>
        <v>5.7317073170731545</v>
      </c>
      <c r="W18" s="17">
        <f t="shared" si="28"/>
        <v>6.4207317073170609</v>
      </c>
      <c r="X18" s="17">
        <f t="shared" si="28"/>
        <v>7.9649390243902598</v>
      </c>
      <c r="Y18" s="17">
        <f t="shared" si="28"/>
        <v>2.7545731707316916</v>
      </c>
      <c r="Z18" s="17">
        <f t="shared" si="28"/>
        <v>7.7545731707317147</v>
      </c>
      <c r="AA18" s="17">
        <f>AA16/AA17</f>
        <v>13.449695121951223</v>
      </c>
      <c r="AB18" s="9">
        <f t="shared" ref="AB18:AL18" si="29">AB16/AB17</f>
        <v>15.95942067073171</v>
      </c>
      <c r="AC18" s="17">
        <f t="shared" si="29"/>
        <v>18.917772329268299</v>
      </c>
      <c r="AD18" s="17">
        <f t="shared" si="29"/>
        <v>22.024041570731708</v>
      </c>
      <c r="AE18" s="17">
        <f t="shared" si="29"/>
        <v>23.937132332195127</v>
      </c>
      <c r="AF18" s="17">
        <f t="shared" si="29"/>
        <v>25.970234292219519</v>
      </c>
      <c r="AG18" s="17">
        <f t="shared" si="29"/>
        <v>28.130078710547568</v>
      </c>
      <c r="AH18" s="17">
        <f t="shared" si="29"/>
        <v>30.423755330903518</v>
      </c>
      <c r="AI18" s="17">
        <f t="shared" si="29"/>
        <v>32.85873096282215</v>
      </c>
      <c r="AJ18" s="17">
        <f t="shared" si="29"/>
        <v>35.442869012297905</v>
      </c>
      <c r="AK18" s="17">
        <f t="shared" si="29"/>
        <v>38.184450009287474</v>
      </c>
      <c r="AL18" s="17">
        <f t="shared" si="29"/>
        <v>41.092193182517761</v>
      </c>
    </row>
    <row r="19" spans="3:41" x14ac:dyDescent="0.25">
      <c r="AN19" s="2" t="s">
        <v>118</v>
      </c>
      <c r="AO19" s="26">
        <v>0.08</v>
      </c>
    </row>
    <row r="20" spans="3:41" x14ac:dyDescent="0.25">
      <c r="C20" s="1" t="s">
        <v>15</v>
      </c>
      <c r="D20" s="10"/>
      <c r="E20" s="10"/>
      <c r="F20" s="10"/>
      <c r="G20" s="10"/>
      <c r="H20" s="21">
        <f t="shared" ref="H20:N20" si="30">(H4-D4)/D4</f>
        <v>7.3155216284987279E-2</v>
      </c>
      <c r="I20" s="21">
        <f t="shared" si="30"/>
        <v>9.3280597280241809E-2</v>
      </c>
      <c r="J20" s="21">
        <f t="shared" si="30"/>
        <v>0.15493196127547232</v>
      </c>
      <c r="K20" s="21">
        <f t="shared" si="30"/>
        <v>0.21978269436469058</v>
      </c>
      <c r="L20" s="21">
        <f t="shared" si="30"/>
        <v>0.19602389311932886</v>
      </c>
      <c r="M20" s="21">
        <f t="shared" si="30"/>
        <v>0.13853095402625917</v>
      </c>
      <c r="N20" s="21">
        <f t="shared" si="30"/>
        <v>0.13118790116943635</v>
      </c>
      <c r="O20" s="21">
        <f>(O4-K4)/K4</f>
        <v>8.1367978954170028E-2</v>
      </c>
      <c r="P20" s="21">
        <f t="shared" ref="P20:S20" si="31">(P4-L4)/L4</f>
        <v>7.3008006099885628E-2</v>
      </c>
      <c r="Q20" s="22">
        <f t="shared" si="31"/>
        <v>7.4333250026777042E-2</v>
      </c>
      <c r="R20" s="21">
        <f t="shared" si="31"/>
        <v>-1</v>
      </c>
      <c r="S20" s="21">
        <f t="shared" si="31"/>
        <v>-1</v>
      </c>
      <c r="W20" s="21">
        <f t="shared" ref="W20:Z20" si="32">(W4-V4)/V4</f>
        <v>-5.4108674057750897E-2</v>
      </c>
      <c r="X20" s="21">
        <f t="shared" si="32"/>
        <v>6.0269904881464088E-2</v>
      </c>
      <c r="Y20" s="21">
        <f t="shared" si="32"/>
        <v>2.7391645889545239E-2</v>
      </c>
      <c r="Z20" s="21">
        <f t="shared" si="32"/>
        <v>0.13382755449176123</v>
      </c>
      <c r="AA20" s="21">
        <f>(AA4-Z4)/Z4</f>
        <v>0.13627834245504297</v>
      </c>
      <c r="AB20" s="22">
        <f t="shared" ref="AB20:AL20" si="33">(AB4-AA4)/AA4</f>
        <v>6.9999999999999993E-2</v>
      </c>
      <c r="AC20" s="21">
        <f t="shared" si="33"/>
        <v>5.0000000000000114E-2</v>
      </c>
      <c r="AD20" s="21">
        <f t="shared" si="33"/>
        <v>5.0000000000000051E-2</v>
      </c>
      <c r="AE20" s="21">
        <f t="shared" si="33"/>
        <v>4.9999999999999982E-2</v>
      </c>
      <c r="AF20" s="21">
        <f t="shared" si="33"/>
        <v>0.05</v>
      </c>
      <c r="AG20" s="21">
        <f t="shared" si="33"/>
        <v>4.9999999999999989E-2</v>
      </c>
      <c r="AH20" s="21">
        <f t="shared" si="33"/>
        <v>4.999999999999994E-2</v>
      </c>
      <c r="AI20" s="21">
        <f t="shared" si="33"/>
        <v>5.000000000000001E-2</v>
      </c>
      <c r="AJ20" s="21">
        <f t="shared" si="33"/>
        <v>5.0000000000000072E-2</v>
      </c>
      <c r="AK20" s="21">
        <f t="shared" si="33"/>
        <v>4.9999999999999947E-2</v>
      </c>
      <c r="AL20" s="21">
        <f t="shared" si="33"/>
        <v>4.9999999999999989E-2</v>
      </c>
      <c r="AN20" s="2" t="s">
        <v>119</v>
      </c>
      <c r="AO20" s="26">
        <v>-0.01</v>
      </c>
    </row>
    <row r="21" spans="3:41" x14ac:dyDescent="0.25">
      <c r="C21" s="1" t="s">
        <v>149</v>
      </c>
      <c r="D21" s="10"/>
      <c r="E21" s="10"/>
      <c r="F21" s="10"/>
      <c r="G21" s="10"/>
      <c r="H21" s="21"/>
      <c r="I21" s="21"/>
      <c r="J21" s="21"/>
      <c r="K21" s="21"/>
      <c r="L21" s="21"/>
      <c r="M21" s="21"/>
      <c r="N21" s="21"/>
      <c r="O21" s="21"/>
      <c r="P21" s="21">
        <v>0.1</v>
      </c>
      <c r="Q21" s="22">
        <v>0.09</v>
      </c>
      <c r="R21" s="21"/>
      <c r="S21" s="21"/>
      <c r="W21" s="21"/>
      <c r="X21" s="21"/>
      <c r="Y21" s="21"/>
      <c r="Z21" s="21"/>
      <c r="AA21" s="21"/>
      <c r="AB21" s="22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N21" s="25" t="s">
        <v>120</v>
      </c>
      <c r="AO21" s="27">
        <f>NPV(AO19,AB16:EC16)</f>
        <v>25179.397785715966</v>
      </c>
    </row>
    <row r="22" spans="3:41" x14ac:dyDescent="0.25">
      <c r="C22" s="2" t="s">
        <v>59</v>
      </c>
      <c r="D22" s="20">
        <f t="shared" ref="D22:S22" si="34">D6/D4</f>
        <v>0.35148757095321981</v>
      </c>
      <c r="E22" s="20">
        <f t="shared" si="34"/>
        <v>0.3769887121144786</v>
      </c>
      <c r="F22" s="20">
        <f t="shared" si="34"/>
        <v>0.38196466048337957</v>
      </c>
      <c r="G22" s="20">
        <f t="shared" si="34"/>
        <v>0.38771603895738338</v>
      </c>
      <c r="H22" s="20">
        <f t="shared" si="34"/>
        <v>0.3815603483653276</v>
      </c>
      <c r="I22" s="20">
        <f t="shared" si="34"/>
        <v>0.41274744929067919</v>
      </c>
      <c r="J22" s="20">
        <f t="shared" si="34"/>
        <v>0.38383305489609892</v>
      </c>
      <c r="K22" s="20">
        <f t="shared" si="34"/>
        <v>0.39424008861402127</v>
      </c>
      <c r="L22" s="20">
        <f t="shared" si="34"/>
        <v>0.37514296606938619</v>
      </c>
      <c r="M22" s="20">
        <f t="shared" si="34"/>
        <v>0.39819343782355676</v>
      </c>
      <c r="N22" s="20">
        <f t="shared" si="34"/>
        <v>0.39287472470527274</v>
      </c>
      <c r="O22" s="20">
        <f t="shared" si="34"/>
        <v>0.39521980367050791</v>
      </c>
      <c r="P22" s="20">
        <f t="shared" si="34"/>
        <v>0.45709717534197902</v>
      </c>
      <c r="Q22" s="19">
        <f t="shared" si="34"/>
        <v>0.48698946528862447</v>
      </c>
      <c r="R22" s="20" t="e">
        <f t="shared" si="34"/>
        <v>#DIV/0!</v>
      </c>
      <c r="S22" s="20" t="e">
        <f t="shared" si="34"/>
        <v>#DIV/0!</v>
      </c>
      <c r="V22" s="20">
        <f t="shared" ref="V22:AL22" si="35">V6/V4</f>
        <v>0.39850199239578449</v>
      </c>
      <c r="W22" s="20">
        <f t="shared" si="35"/>
        <v>0.40507459803968898</v>
      </c>
      <c r="X22" s="20">
        <f t="shared" si="35"/>
        <v>0.41039652993613179</v>
      </c>
      <c r="Y22" s="20">
        <f t="shared" si="35"/>
        <v>0.37495429008344128</v>
      </c>
      <c r="Z22" s="20">
        <f t="shared" si="35"/>
        <v>0.39250390930414392</v>
      </c>
      <c r="AA22" s="20">
        <f t="shared" si="35"/>
        <v>0.39062822541801423</v>
      </c>
      <c r="AB22" s="19">
        <f t="shared" si="35"/>
        <v>0.40000000000000008</v>
      </c>
      <c r="AC22" s="20">
        <f t="shared" si="35"/>
        <v>0.4</v>
      </c>
      <c r="AD22" s="20">
        <f t="shared" si="35"/>
        <v>0.39999999999999997</v>
      </c>
      <c r="AE22" s="20">
        <f t="shared" si="35"/>
        <v>0.4</v>
      </c>
      <c r="AF22" s="20">
        <f t="shared" si="35"/>
        <v>0.4</v>
      </c>
      <c r="AG22" s="20">
        <f t="shared" si="35"/>
        <v>0.4</v>
      </c>
      <c r="AH22" s="20">
        <f t="shared" si="35"/>
        <v>0.39999999999999997</v>
      </c>
      <c r="AI22" s="20">
        <f t="shared" si="35"/>
        <v>0.40000000000000008</v>
      </c>
      <c r="AJ22" s="20">
        <f t="shared" si="35"/>
        <v>0.4</v>
      </c>
      <c r="AK22" s="20">
        <f t="shared" si="35"/>
        <v>0.4</v>
      </c>
      <c r="AL22" s="20">
        <f t="shared" si="35"/>
        <v>0.39999999999999997</v>
      </c>
      <c r="AN22" s="2" t="s">
        <v>2</v>
      </c>
      <c r="AO22" s="2">
        <v>65.599999999999994</v>
      </c>
    </row>
    <row r="23" spans="3:41" x14ac:dyDescent="0.25">
      <c r="C23" s="2" t="s">
        <v>16</v>
      </c>
      <c r="D23" s="10">
        <f t="shared" ref="D23:S23" si="36">(D11/D4)</f>
        <v>-7.8782540614601698E-3</v>
      </c>
      <c r="E23" s="10">
        <f t="shared" si="36"/>
        <v>4.9951115456403752E-2</v>
      </c>
      <c r="F23" s="10">
        <f t="shared" si="36"/>
        <v>7.2879290501658617E-2</v>
      </c>
      <c r="G23" s="10">
        <f t="shared" si="36"/>
        <v>-3.6029949895850441E-3</v>
      </c>
      <c r="H23" s="10">
        <f t="shared" si="36"/>
        <v>-7.1132187314760162E-3</v>
      </c>
      <c r="I23" s="10">
        <f t="shared" si="36"/>
        <v>9.9630096337547228E-2</v>
      </c>
      <c r="J23" s="10">
        <f t="shared" si="36"/>
        <v>0.12365544124974352</v>
      </c>
      <c r="K23" s="10">
        <f t="shared" si="36"/>
        <v>3.0230304149166845E-2</v>
      </c>
      <c r="L23" s="10">
        <f t="shared" si="36"/>
        <v>7.7239801753717127E-2</v>
      </c>
      <c r="M23" s="10">
        <f t="shared" si="36"/>
        <v>0.10971473454960912</v>
      </c>
      <c r="N23" s="10">
        <f t="shared" si="36"/>
        <v>0.14315325819406666</v>
      </c>
      <c r="O23" s="10">
        <f t="shared" si="36"/>
        <v>4.6478873239436627E-2</v>
      </c>
      <c r="P23" s="10">
        <f t="shared" si="36"/>
        <v>9.8738674720198968E-2</v>
      </c>
      <c r="Q23" s="23">
        <f t="shared" si="36"/>
        <v>0.13645275996145023</v>
      </c>
      <c r="R23" s="10" t="e">
        <f t="shared" si="36"/>
        <v>#DIV/0!</v>
      </c>
      <c r="S23" s="10" t="e">
        <f t="shared" si="36"/>
        <v>#DIV/0!</v>
      </c>
      <c r="V23" s="10">
        <f t="shared" ref="V23:AL23" si="37">V11/V4</f>
        <v>6.2717650685635229E-2</v>
      </c>
      <c r="W23" s="10">
        <f t="shared" si="37"/>
        <v>7.340302254840414E-2</v>
      </c>
      <c r="X23" s="10">
        <f t="shared" si="37"/>
        <v>8.1913089017156895E-2</v>
      </c>
      <c r="Y23" s="10">
        <f t="shared" si="37"/>
        <v>3.3797635273649922E-2</v>
      </c>
      <c r="Z23" s="10">
        <f t="shared" si="37"/>
        <v>7.005473025801412E-2</v>
      </c>
      <c r="AA23" s="10">
        <f t="shared" si="37"/>
        <v>0.10074485653340674</v>
      </c>
      <c r="AB23" s="23">
        <f t="shared" si="37"/>
        <v>0.10789400661465916</v>
      </c>
      <c r="AC23" s="10">
        <f t="shared" si="37"/>
        <v>0.12180381582348493</v>
      </c>
      <c r="AD23" s="10">
        <f t="shared" si="37"/>
        <v>0.13505125316522368</v>
      </c>
      <c r="AE23" s="10">
        <f t="shared" si="37"/>
        <v>0.13979267711400015</v>
      </c>
      <c r="AF23" s="10">
        <f t="shared" si="37"/>
        <v>0.14444378822565709</v>
      </c>
      <c r="AG23" s="10">
        <f t="shared" si="37"/>
        <v>0.14900630674471099</v>
      </c>
      <c r="AH23" s="10">
        <f t="shared" si="37"/>
        <v>0.15348192014911619</v>
      </c>
      <c r="AI23" s="10">
        <f t="shared" si="37"/>
        <v>0.15787228377439</v>
      </c>
      <c r="AJ23" s="10">
        <f t="shared" si="37"/>
        <v>0.16217902142584897</v>
      </c>
      <c r="AK23" s="10">
        <f t="shared" si="37"/>
        <v>0.1664037259791849</v>
      </c>
      <c r="AL23" s="10">
        <f t="shared" si="37"/>
        <v>0.17054795996960015</v>
      </c>
      <c r="AN23" s="2" t="s">
        <v>121</v>
      </c>
      <c r="AO23" s="28">
        <f>AO21/AO22</f>
        <v>383.83228331884101</v>
      </c>
    </row>
    <row r="24" spans="3:41" x14ac:dyDescent="0.25">
      <c r="C24" s="2" t="s">
        <v>143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9"/>
      <c r="R24" s="20"/>
      <c r="S24" s="20"/>
      <c r="T24" s="20"/>
      <c r="U24" s="20"/>
      <c r="V24" s="20">
        <v>0.214</v>
      </c>
      <c r="W24" s="20">
        <v>0.21</v>
      </c>
      <c r="X24" s="20">
        <v>0.23300000000000001</v>
      </c>
      <c r="Y24" s="20">
        <v>0.106</v>
      </c>
      <c r="Z24" s="20">
        <v>0.315</v>
      </c>
      <c r="AA24" s="20">
        <v>0.41</v>
      </c>
      <c r="AB24" s="19"/>
      <c r="AN24" s="1" t="s">
        <v>122</v>
      </c>
      <c r="AO24" s="29">
        <f>(AO23-B4)/B4</f>
        <v>0.28457926144190426</v>
      </c>
    </row>
    <row r="25" spans="3:41" x14ac:dyDescent="0.25">
      <c r="C25" s="2" t="s">
        <v>110</v>
      </c>
      <c r="H25" s="2">
        <v>221</v>
      </c>
      <c r="I25" s="2">
        <v>221</v>
      </c>
      <c r="J25" s="2">
        <v>224</v>
      </c>
      <c r="L25" s="2">
        <v>233</v>
      </c>
      <c r="M25" s="2">
        <v>237</v>
      </c>
      <c r="N25" s="2">
        <v>238</v>
      </c>
      <c r="O25" s="2">
        <v>241</v>
      </c>
      <c r="P25" s="2">
        <v>241</v>
      </c>
      <c r="Q25" s="4">
        <v>244</v>
      </c>
    </row>
    <row r="26" spans="3:41" x14ac:dyDescent="0.25">
      <c r="C26" s="2" t="s">
        <v>112</v>
      </c>
      <c r="G26" s="2">
        <v>5</v>
      </c>
      <c r="H26" s="2">
        <v>5.0999999999999996</v>
      </c>
      <c r="I26" s="2">
        <v>5.2</v>
      </c>
      <c r="J26" s="2">
        <v>5.4</v>
      </c>
      <c r="K26" s="2">
        <v>5.4</v>
      </c>
      <c r="L26" s="2">
        <v>5.5</v>
      </c>
      <c r="M26" s="2">
        <v>5.6</v>
      </c>
      <c r="N26" s="2">
        <v>5.8</v>
      </c>
      <c r="O26" s="2">
        <v>5.9</v>
      </c>
      <c r="P26" s="2">
        <v>5.9</v>
      </c>
      <c r="Q26" s="9">
        <v>6</v>
      </c>
    </row>
    <row r="27" spans="3:41" x14ac:dyDescent="0.25">
      <c r="C27" s="2" t="s">
        <v>111</v>
      </c>
      <c r="R27" s="1"/>
      <c r="S27" s="1"/>
      <c r="T27" s="1"/>
      <c r="U27" s="1"/>
      <c r="V27" s="1"/>
      <c r="W27" s="1"/>
      <c r="X27" s="1"/>
    </row>
    <row r="28" spans="3:41" x14ac:dyDescent="0.25">
      <c r="C28" s="3" t="s">
        <v>27</v>
      </c>
    </row>
    <row r="29" spans="3:41" x14ac:dyDescent="0.25">
      <c r="C29" s="2" t="s">
        <v>60</v>
      </c>
      <c r="D29" s="14"/>
      <c r="E29" s="14"/>
      <c r="F29" s="14"/>
      <c r="G29" s="14">
        <v>0</v>
      </c>
      <c r="H29" s="14">
        <v>0</v>
      </c>
      <c r="I29" s="14">
        <v>0</v>
      </c>
      <c r="J29" s="14">
        <v>400.4</v>
      </c>
      <c r="K29" s="14">
        <v>400.4</v>
      </c>
      <c r="L29" s="14">
        <v>400.4</v>
      </c>
      <c r="M29" s="14">
        <v>405.4</v>
      </c>
      <c r="N29" s="14">
        <v>405.4</v>
      </c>
      <c r="O29" s="14">
        <v>405.4</v>
      </c>
      <c r="P29" s="14">
        <v>405.4</v>
      </c>
      <c r="Q29" s="15">
        <v>405</v>
      </c>
      <c r="R29" s="41"/>
      <c r="S29" s="14"/>
    </row>
    <row r="30" spans="3:41" x14ac:dyDescent="0.25">
      <c r="C30" s="2" t="s">
        <v>61</v>
      </c>
      <c r="D30" s="14"/>
      <c r="E30" s="14"/>
      <c r="F30" s="14"/>
      <c r="G30" s="14">
        <v>0</v>
      </c>
      <c r="H30" s="14">
        <v>0</v>
      </c>
      <c r="I30" s="14">
        <v>0</v>
      </c>
      <c r="J30" s="14">
        <v>34.4</v>
      </c>
      <c r="K30" s="14">
        <v>32.6</v>
      </c>
      <c r="L30" s="14">
        <v>30.8</v>
      </c>
      <c r="M30" s="14">
        <v>28.9</v>
      </c>
      <c r="N30" s="14">
        <v>27.1</v>
      </c>
      <c r="O30" s="14">
        <v>25.4</v>
      </c>
      <c r="P30" s="14">
        <v>23.5</v>
      </c>
      <c r="Q30" s="15">
        <v>21.7</v>
      </c>
      <c r="R30" s="14"/>
      <c r="S30" s="14"/>
    </row>
    <row r="31" spans="3:41" x14ac:dyDescent="0.25">
      <c r="C31" s="2" t="s">
        <v>62</v>
      </c>
      <c r="D31" s="14"/>
      <c r="E31" s="14"/>
      <c r="F31" s="14"/>
      <c r="G31" s="14">
        <v>0</v>
      </c>
      <c r="H31" s="14">
        <v>0</v>
      </c>
      <c r="I31" s="14">
        <v>0</v>
      </c>
      <c r="J31" s="14">
        <v>24.2</v>
      </c>
      <c r="K31" s="14">
        <v>22.6</v>
      </c>
      <c r="L31" s="14">
        <v>21</v>
      </c>
      <c r="M31" s="14">
        <v>19.3</v>
      </c>
      <c r="N31" s="14">
        <v>17.7</v>
      </c>
      <c r="O31" s="14">
        <v>16.100000000000001</v>
      </c>
      <c r="P31" s="14">
        <v>14.4</v>
      </c>
      <c r="Q31" s="15">
        <v>12.8</v>
      </c>
      <c r="R31" s="14"/>
      <c r="S31" s="14"/>
    </row>
    <row r="32" spans="3:41" x14ac:dyDescent="0.25">
      <c r="C32" s="2" t="s">
        <v>63</v>
      </c>
      <c r="D32" s="14"/>
      <c r="E32" s="14"/>
      <c r="F32" s="14"/>
      <c r="G32" s="14">
        <v>307.5</v>
      </c>
      <c r="H32" s="14">
        <v>138</v>
      </c>
      <c r="I32" s="14">
        <v>120.9</v>
      </c>
      <c r="J32" s="14">
        <v>110</v>
      </c>
      <c r="K32" s="14">
        <v>89.7</v>
      </c>
      <c r="L32" s="14">
        <v>82</v>
      </c>
      <c r="M32" s="14">
        <v>75.099999999999994</v>
      </c>
      <c r="N32" s="14">
        <v>71.599999999999994</v>
      </c>
      <c r="O32" s="14">
        <v>75.599999999999994</v>
      </c>
      <c r="P32" s="14">
        <v>79.8</v>
      </c>
      <c r="Q32" s="15">
        <v>90.4</v>
      </c>
      <c r="R32" s="14"/>
      <c r="S32" s="14"/>
    </row>
    <row r="33" spans="3:19" x14ac:dyDescent="0.25">
      <c r="C33" s="2" t="s">
        <v>64</v>
      </c>
      <c r="D33" s="14"/>
      <c r="E33" s="14"/>
      <c r="F33" s="14"/>
      <c r="G33" s="14">
        <v>248.3</v>
      </c>
      <c r="H33" s="14">
        <v>241.5</v>
      </c>
      <c r="I33" s="14">
        <v>234.8</v>
      </c>
      <c r="J33" s="14">
        <v>230.1</v>
      </c>
      <c r="K33" s="14">
        <v>223</v>
      </c>
      <c r="L33" s="14">
        <v>216.4</v>
      </c>
      <c r="M33" s="14">
        <v>209.9</v>
      </c>
      <c r="N33" s="14">
        <v>203.8</v>
      </c>
      <c r="O33" s="14">
        <v>197.7</v>
      </c>
      <c r="P33" s="14">
        <v>191.6</v>
      </c>
      <c r="Q33" s="15">
        <v>185.5</v>
      </c>
      <c r="R33" s="14"/>
      <c r="S33" s="14"/>
    </row>
    <row r="34" spans="3:19" x14ac:dyDescent="0.25">
      <c r="C34" s="2" t="s">
        <v>65</v>
      </c>
      <c r="D34" s="14"/>
      <c r="E34" s="14"/>
      <c r="F34" s="14"/>
      <c r="G34" s="14">
        <v>413.7</v>
      </c>
      <c r="H34" s="14">
        <v>409.5</v>
      </c>
      <c r="I34" s="14">
        <v>401.2</v>
      </c>
      <c r="J34" s="14">
        <v>394.6</v>
      </c>
      <c r="K34" s="14">
        <v>417.7</v>
      </c>
      <c r="L34" s="14">
        <v>417.3</v>
      </c>
      <c r="M34" s="14">
        <v>423.2</v>
      </c>
      <c r="N34" s="14">
        <v>412.9</v>
      </c>
      <c r="O34" s="14">
        <v>414.5</v>
      </c>
      <c r="P34" s="14">
        <v>412.9</v>
      </c>
      <c r="Q34" s="15">
        <v>414.8</v>
      </c>
      <c r="R34" s="14"/>
      <c r="S34" s="14"/>
    </row>
    <row r="35" spans="3:19" x14ac:dyDescent="0.25">
      <c r="C35" s="2" t="s">
        <v>66</v>
      </c>
      <c r="D35" s="14"/>
      <c r="E35" s="14"/>
      <c r="F35" s="14"/>
      <c r="G35" s="14">
        <v>1553.6</v>
      </c>
      <c r="H35" s="14">
        <v>1644.7</v>
      </c>
      <c r="I35" s="14">
        <v>1763.3</v>
      </c>
      <c r="J35" s="14">
        <v>1771.4</v>
      </c>
      <c r="K35" s="14">
        <v>1784.1</v>
      </c>
      <c r="L35" s="14">
        <v>1685.5</v>
      </c>
      <c r="M35" s="14">
        <v>1605.1</v>
      </c>
      <c r="N35" s="14">
        <v>1764.1</v>
      </c>
      <c r="O35" s="14">
        <v>1670.5</v>
      </c>
      <c r="P35" s="14">
        <v>1707.2</v>
      </c>
      <c r="Q35" s="15">
        <v>1656.3</v>
      </c>
      <c r="R35" s="14"/>
      <c r="S35" s="14"/>
    </row>
    <row r="36" spans="3:19" x14ac:dyDescent="0.25">
      <c r="C36" s="2" t="s">
        <v>67</v>
      </c>
      <c r="D36" s="14"/>
      <c r="E36" s="14"/>
      <c r="F36" s="14"/>
      <c r="G36" s="14">
        <v>9.5</v>
      </c>
      <c r="H36" s="14">
        <v>9.5</v>
      </c>
      <c r="I36" s="14">
        <v>6.3</v>
      </c>
      <c r="J36" s="14">
        <v>6.3</v>
      </c>
      <c r="K36" s="14">
        <v>6.3</v>
      </c>
      <c r="L36" s="14">
        <v>2.2999999999999998</v>
      </c>
      <c r="M36" s="14">
        <v>0</v>
      </c>
      <c r="N36" s="14">
        <v>0</v>
      </c>
      <c r="O36" s="14">
        <v>0</v>
      </c>
      <c r="P36" s="14">
        <v>0</v>
      </c>
      <c r="Q36" s="15">
        <v>0</v>
      </c>
      <c r="R36" s="14"/>
      <c r="S36" s="14"/>
    </row>
    <row r="37" spans="3:19" x14ac:dyDescent="0.25">
      <c r="C37" s="2" t="s">
        <v>68</v>
      </c>
      <c r="D37" s="14"/>
      <c r="E37" s="14"/>
      <c r="F37" s="14"/>
      <c r="G37" s="14">
        <v>71.3</v>
      </c>
      <c r="H37" s="14">
        <v>74.5</v>
      </c>
      <c r="I37" s="14">
        <v>80</v>
      </c>
      <c r="J37" s="14">
        <v>74.7</v>
      </c>
      <c r="K37" s="14">
        <v>73.099999999999994</v>
      </c>
      <c r="L37" s="14">
        <v>72.099999999999994</v>
      </c>
      <c r="M37" s="14">
        <v>75.3</v>
      </c>
      <c r="N37" s="14">
        <v>70.5</v>
      </c>
      <c r="O37" s="14">
        <v>75</v>
      </c>
      <c r="P37" s="14">
        <v>73.599999999999994</v>
      </c>
      <c r="Q37" s="15">
        <v>75.8</v>
      </c>
      <c r="R37" s="14"/>
      <c r="S37" s="14"/>
    </row>
    <row r="38" spans="3:19" x14ac:dyDescent="0.25">
      <c r="C38" s="2" t="s">
        <v>91</v>
      </c>
      <c r="D38" s="14"/>
      <c r="E38" s="14"/>
      <c r="F38" s="14"/>
      <c r="G38" s="14">
        <v>15.6</v>
      </c>
      <c r="H38" s="14">
        <v>12.3</v>
      </c>
      <c r="I38" s="14">
        <v>8.8000000000000007</v>
      </c>
      <c r="J38" s="14">
        <v>5.4</v>
      </c>
      <c r="K38" s="14">
        <v>1.9</v>
      </c>
      <c r="L38" s="14">
        <v>0.8</v>
      </c>
      <c r="M38" s="14">
        <v>0.8</v>
      </c>
      <c r="N38" s="14">
        <v>0.8</v>
      </c>
      <c r="O38" s="14">
        <v>0.7</v>
      </c>
      <c r="P38" s="14">
        <v>118.6</v>
      </c>
      <c r="Q38" s="15">
        <v>113</v>
      </c>
      <c r="R38" s="14"/>
      <c r="S38" s="14"/>
    </row>
    <row r="39" spans="3:19" x14ac:dyDescent="0.25">
      <c r="C39" s="2" t="s">
        <v>69</v>
      </c>
      <c r="D39" s="14"/>
      <c r="E39" s="14"/>
      <c r="F39" s="14"/>
      <c r="G39" s="14">
        <v>2177.1</v>
      </c>
      <c r="H39" s="14">
        <v>2221.3000000000002</v>
      </c>
      <c r="I39" s="14">
        <v>2614</v>
      </c>
      <c r="J39" s="14">
        <v>2303.1</v>
      </c>
      <c r="K39" s="14">
        <v>2448.3000000000002</v>
      </c>
      <c r="L39" s="14">
        <v>2606</v>
      </c>
      <c r="M39" s="14">
        <v>2868.9</v>
      </c>
      <c r="N39" s="14">
        <v>2323.6999999999998</v>
      </c>
      <c r="O39" s="14">
        <v>2414.5</v>
      </c>
      <c r="P39" s="14">
        <v>2508.4</v>
      </c>
      <c r="Q39" s="15">
        <v>2865.9</v>
      </c>
      <c r="R39" s="14"/>
      <c r="S39" s="14"/>
    </row>
    <row r="40" spans="3:19" x14ac:dyDescent="0.25">
      <c r="C40" s="2" t="s">
        <v>70</v>
      </c>
      <c r="D40" s="14"/>
      <c r="E40" s="14"/>
      <c r="F40" s="14"/>
      <c r="G40" s="14">
        <v>51.1</v>
      </c>
      <c r="H40" s="14">
        <v>41.5</v>
      </c>
      <c r="I40" s="14">
        <v>69.3</v>
      </c>
      <c r="J40" s="14">
        <v>103</v>
      </c>
      <c r="K40" s="14">
        <v>69.2</v>
      </c>
      <c r="L40" s="14">
        <v>40.299999999999997</v>
      </c>
      <c r="M40" s="14">
        <v>85.2</v>
      </c>
      <c r="N40" s="14">
        <v>115.6</v>
      </c>
      <c r="O40" s="14">
        <v>67.7</v>
      </c>
      <c r="P40" s="14">
        <v>46.5</v>
      </c>
      <c r="Q40" s="15">
        <v>67.7</v>
      </c>
      <c r="R40" s="14"/>
      <c r="S40" s="14"/>
    </row>
    <row r="41" spans="3:19" x14ac:dyDescent="0.25">
      <c r="C41" s="2" t="s">
        <v>71</v>
      </c>
      <c r="D41" s="14"/>
      <c r="E41" s="14"/>
      <c r="F41" s="14"/>
      <c r="G41" s="14">
        <v>28.7</v>
      </c>
      <c r="H41" s="14">
        <v>31.2</v>
      </c>
      <c r="I41" s="14">
        <v>36.299999999999997</v>
      </c>
      <c r="J41" s="14">
        <v>5.6</v>
      </c>
      <c r="K41" s="14">
        <v>11.2</v>
      </c>
      <c r="L41" s="14">
        <v>10.7</v>
      </c>
      <c r="M41" s="14">
        <v>10.4</v>
      </c>
      <c r="N41" s="14">
        <v>10.6</v>
      </c>
      <c r="O41" s="12">
        <v>5.0999999999999996</v>
      </c>
      <c r="P41" s="14">
        <v>5</v>
      </c>
      <c r="Q41" s="15">
        <v>5</v>
      </c>
      <c r="R41" s="14"/>
      <c r="S41" s="14"/>
    </row>
    <row r="42" spans="3:19" x14ac:dyDescent="0.25">
      <c r="C42" s="2" t="s">
        <v>72</v>
      </c>
      <c r="D42" s="14"/>
      <c r="E42" s="14"/>
      <c r="F42" s="14"/>
      <c r="G42" s="14">
        <v>16.5</v>
      </c>
      <c r="H42" s="14">
        <v>14.6</v>
      </c>
      <c r="I42" s="14">
        <v>21.3</v>
      </c>
      <c r="J42" s="14">
        <v>18.3</v>
      </c>
      <c r="K42" s="14">
        <v>23.1</v>
      </c>
      <c r="L42" s="14">
        <v>19.2</v>
      </c>
      <c r="M42" s="14">
        <v>20.7</v>
      </c>
      <c r="N42" s="14">
        <v>11.2</v>
      </c>
      <c r="O42" s="14">
        <v>7.6</v>
      </c>
      <c r="P42" s="14">
        <v>26.3</v>
      </c>
      <c r="Q42" s="15">
        <v>24.3</v>
      </c>
      <c r="R42" s="14"/>
      <c r="S42" s="14"/>
    </row>
    <row r="43" spans="3:19" x14ac:dyDescent="0.25">
      <c r="C43" s="2" t="s">
        <v>73</v>
      </c>
      <c r="D43" s="14"/>
      <c r="E43" s="14"/>
      <c r="F43" s="14"/>
      <c r="G43" s="14">
        <v>73.8</v>
      </c>
      <c r="H43" s="14">
        <v>80.900000000000006</v>
      </c>
      <c r="I43" s="14">
        <v>90.3</v>
      </c>
      <c r="J43" s="14">
        <v>66.7</v>
      </c>
      <c r="K43" s="14">
        <v>76.7</v>
      </c>
      <c r="L43" s="14">
        <v>126.5</v>
      </c>
      <c r="M43" s="14">
        <v>120</v>
      </c>
      <c r="N43" s="14">
        <v>106.8</v>
      </c>
      <c r="O43" s="14">
        <v>102.3</v>
      </c>
      <c r="P43" s="14">
        <v>129.19999999999999</v>
      </c>
      <c r="Q43" s="15">
        <v>142.4</v>
      </c>
      <c r="R43" s="14"/>
      <c r="S43" s="14"/>
    </row>
    <row r="44" spans="3:19" x14ac:dyDescent="0.25">
      <c r="C44" s="2" t="s">
        <v>74</v>
      </c>
      <c r="D44" s="14"/>
      <c r="E44" s="14"/>
      <c r="F44" s="14"/>
      <c r="G44" s="14">
        <v>143.1</v>
      </c>
      <c r="H44" s="14">
        <v>108.9</v>
      </c>
      <c r="I44" s="14">
        <v>117.7</v>
      </c>
      <c r="J44" s="14">
        <v>475.3</v>
      </c>
      <c r="K44" s="14">
        <v>170.7</v>
      </c>
      <c r="L44" s="14">
        <v>417.4</v>
      </c>
      <c r="M44" s="14">
        <v>211.3</v>
      </c>
      <c r="N44" s="14">
        <v>1252</v>
      </c>
      <c r="O44" s="14">
        <v>1010.7</v>
      </c>
      <c r="P44" s="14">
        <v>1317.5</v>
      </c>
      <c r="Q44" s="15">
        <v>990.9</v>
      </c>
      <c r="R44" s="14"/>
      <c r="S44" s="14"/>
    </row>
    <row r="45" spans="3:19" x14ac:dyDescent="0.25">
      <c r="C45" s="1" t="s">
        <v>75</v>
      </c>
      <c r="D45" s="12">
        <f t="shared" ref="D45:M45" si="38">SUM(D29:D44)</f>
        <v>0</v>
      </c>
      <c r="E45" s="12">
        <f t="shared" si="38"/>
        <v>0</v>
      </c>
      <c r="F45" s="12">
        <f t="shared" si="38"/>
        <v>0</v>
      </c>
      <c r="G45" s="12">
        <f t="shared" si="38"/>
        <v>5109.8000000000011</v>
      </c>
      <c r="H45" s="12">
        <f t="shared" si="38"/>
        <v>5028.3999999999996</v>
      </c>
      <c r="I45" s="12">
        <f t="shared" si="38"/>
        <v>5564.2000000000007</v>
      </c>
      <c r="J45" s="12">
        <f t="shared" si="38"/>
        <v>6023.5000000000009</v>
      </c>
      <c r="K45" s="12">
        <f t="shared" si="38"/>
        <v>5850.6</v>
      </c>
      <c r="L45" s="12">
        <f t="shared" si="38"/>
        <v>6148.7</v>
      </c>
      <c r="M45" s="12">
        <f t="shared" si="38"/>
        <v>6159.4999999999991</v>
      </c>
      <c r="N45" s="12">
        <f>SUM(N29:N44)</f>
        <v>6793.8000000000011</v>
      </c>
      <c r="O45" s="12">
        <f>SUM(O29:O44)</f>
        <v>6488.8</v>
      </c>
      <c r="P45" s="12">
        <f t="shared" ref="P45:S45" si="39">SUM(P29:P44)</f>
        <v>7059.9</v>
      </c>
      <c r="Q45" s="13">
        <f t="shared" si="39"/>
        <v>7071.5</v>
      </c>
      <c r="R45" s="12">
        <f t="shared" si="39"/>
        <v>0</v>
      </c>
      <c r="S45" s="12">
        <f t="shared" si="39"/>
        <v>0</v>
      </c>
    </row>
    <row r="46" spans="3:19" x14ac:dyDescent="0.25">
      <c r="C46" s="2" t="s">
        <v>76</v>
      </c>
      <c r="D46" s="14"/>
      <c r="E46" s="14"/>
      <c r="F46" s="14"/>
      <c r="G46" s="14">
        <v>82</v>
      </c>
      <c r="H46" s="14">
        <v>82</v>
      </c>
      <c r="I46" s="14">
        <v>82</v>
      </c>
      <c r="J46" s="14">
        <v>82</v>
      </c>
      <c r="K46" s="14">
        <v>82</v>
      </c>
      <c r="L46" s="14">
        <v>82</v>
      </c>
      <c r="M46" s="14">
        <v>82</v>
      </c>
      <c r="N46" s="14">
        <v>82</v>
      </c>
      <c r="O46" s="24">
        <v>82</v>
      </c>
      <c r="P46" s="14">
        <v>82</v>
      </c>
      <c r="Q46" s="15">
        <v>82</v>
      </c>
      <c r="R46" s="14"/>
      <c r="S46" s="14"/>
    </row>
    <row r="47" spans="3:19" x14ac:dyDescent="0.25">
      <c r="C47" s="2" t="s">
        <v>77</v>
      </c>
      <c r="D47" s="14"/>
      <c r="E47" s="14"/>
      <c r="F47" s="14"/>
      <c r="G47" s="14">
        <v>90.4</v>
      </c>
      <c r="H47" s="14">
        <v>90.4</v>
      </c>
      <c r="I47" s="14">
        <v>90.4</v>
      </c>
      <c r="J47" s="14">
        <v>90.4</v>
      </c>
      <c r="K47" s="14">
        <v>90.4</v>
      </c>
      <c r="L47" s="14">
        <v>90.4</v>
      </c>
      <c r="M47" s="14">
        <v>90.4</v>
      </c>
      <c r="N47" s="14">
        <v>90.4</v>
      </c>
      <c r="O47" s="14">
        <v>90.4</v>
      </c>
      <c r="P47" s="14">
        <v>90.4</v>
      </c>
      <c r="Q47" s="15">
        <v>90.4</v>
      </c>
      <c r="R47" s="14"/>
      <c r="S47" s="14"/>
    </row>
    <row r="48" spans="3:19" x14ac:dyDescent="0.25">
      <c r="C48" s="2" t="s">
        <v>78</v>
      </c>
      <c r="D48" s="14"/>
      <c r="E48" s="14"/>
      <c r="F48" s="14"/>
      <c r="G48" s="14">
        <v>-40.799999999999997</v>
      </c>
      <c r="H48" s="14">
        <v>-63.4</v>
      </c>
      <c r="I48" s="14">
        <v>-38.799999999999997</v>
      </c>
      <c r="J48" s="14">
        <v>-72.5</v>
      </c>
      <c r="K48" s="14">
        <v>-45.4</v>
      </c>
      <c r="L48" s="14">
        <v>-53.9</v>
      </c>
      <c r="M48" s="14">
        <v>-55.8</v>
      </c>
      <c r="N48" s="14">
        <v>-57.5</v>
      </c>
      <c r="O48" s="14">
        <v>-118</v>
      </c>
      <c r="P48" s="14">
        <v>-107.3</v>
      </c>
      <c r="Q48" s="15">
        <v>-102.9</v>
      </c>
      <c r="R48" s="14"/>
      <c r="S48" s="14"/>
    </row>
    <row r="49" spans="3:19" x14ac:dyDescent="0.25">
      <c r="C49" s="2" t="s">
        <v>79</v>
      </c>
      <c r="D49" s="14"/>
      <c r="E49" s="14"/>
      <c r="F49" s="14"/>
      <c r="G49" s="14">
        <v>1305.7</v>
      </c>
      <c r="H49" s="14">
        <v>1279.4000000000001</v>
      </c>
      <c r="I49" s="14">
        <v>1356</v>
      </c>
      <c r="J49" s="14">
        <v>1679.1</v>
      </c>
      <c r="K49" s="14">
        <v>1722</v>
      </c>
      <c r="L49" s="14">
        <v>1868.2</v>
      </c>
      <c r="M49" s="14">
        <v>1831</v>
      </c>
      <c r="N49" s="14">
        <v>2263.1999999999998</v>
      </c>
      <c r="O49" s="14">
        <v>2345.8000000000002</v>
      </c>
      <c r="P49" s="14">
        <v>2558.5</v>
      </c>
      <c r="Q49" s="15">
        <v>2427</v>
      </c>
      <c r="R49" s="14"/>
      <c r="S49" s="14"/>
    </row>
    <row r="50" spans="3:19" x14ac:dyDescent="0.25">
      <c r="C50" s="11" t="s">
        <v>80</v>
      </c>
      <c r="D50" s="24">
        <f t="shared" ref="D50:M50" si="40">SUM(D46:D49)</f>
        <v>0</v>
      </c>
      <c r="E50" s="24">
        <f t="shared" si="40"/>
        <v>0</v>
      </c>
      <c r="F50" s="24">
        <f t="shared" si="40"/>
        <v>0</v>
      </c>
      <c r="G50" s="24">
        <f t="shared" si="40"/>
        <v>1437.3000000000002</v>
      </c>
      <c r="H50" s="24">
        <f t="shared" si="40"/>
        <v>1388.4</v>
      </c>
      <c r="I50" s="24">
        <f t="shared" si="40"/>
        <v>1489.6</v>
      </c>
      <c r="J50" s="24">
        <f t="shared" si="40"/>
        <v>1779</v>
      </c>
      <c r="K50" s="24">
        <f t="shared" si="40"/>
        <v>1849</v>
      </c>
      <c r="L50" s="24">
        <f t="shared" si="40"/>
        <v>1986.7</v>
      </c>
      <c r="M50" s="24">
        <f t="shared" si="40"/>
        <v>1947.6</v>
      </c>
      <c r="N50" s="24">
        <f>SUM(N46:N49)</f>
        <v>2378.1</v>
      </c>
      <c r="O50" s="24">
        <f>SUM(O46:O49)</f>
        <v>2400.2000000000003</v>
      </c>
      <c r="P50" s="24">
        <f t="shared" ref="P50:S50" si="41">SUM(P46:P49)</f>
        <v>2623.6</v>
      </c>
      <c r="Q50" s="31">
        <f t="shared" si="41"/>
        <v>2496.5</v>
      </c>
      <c r="R50" s="24">
        <f t="shared" si="41"/>
        <v>0</v>
      </c>
      <c r="S50" s="24">
        <f t="shared" si="41"/>
        <v>0</v>
      </c>
    </row>
    <row r="51" spans="3:19" x14ac:dyDescent="0.25">
      <c r="C51" s="2" t="s">
        <v>81</v>
      </c>
      <c r="D51" s="14"/>
      <c r="E51" s="14"/>
      <c r="F51" s="14"/>
      <c r="G51" s="14">
        <v>1111.2</v>
      </c>
      <c r="H51" s="14">
        <v>1182.5</v>
      </c>
      <c r="I51" s="14">
        <v>1280.7</v>
      </c>
      <c r="J51" s="14">
        <v>1278.5</v>
      </c>
      <c r="K51" s="14">
        <v>1269.7</v>
      </c>
      <c r="L51" s="14">
        <v>1199.5</v>
      </c>
      <c r="M51" s="14">
        <v>1136.3</v>
      </c>
      <c r="N51" s="14">
        <v>1270</v>
      </c>
      <c r="O51" s="14">
        <v>1193.9000000000001</v>
      </c>
      <c r="P51" s="14">
        <v>1350.9</v>
      </c>
      <c r="Q51" s="15">
        <v>1307.5</v>
      </c>
      <c r="R51" s="14"/>
      <c r="S51" s="14"/>
    </row>
    <row r="52" spans="3:19" x14ac:dyDescent="0.25">
      <c r="C52" s="2" t="s">
        <v>82</v>
      </c>
      <c r="D52" s="14"/>
      <c r="E52" s="14"/>
      <c r="F52" s="14"/>
      <c r="G52" s="14">
        <v>175.9</v>
      </c>
      <c r="H52" s="14">
        <v>164</v>
      </c>
      <c r="I52" s="14">
        <v>172.3</v>
      </c>
      <c r="J52" s="14">
        <v>180.3</v>
      </c>
      <c r="K52" s="14">
        <v>161.19999999999999</v>
      </c>
      <c r="L52" s="14">
        <v>160.4</v>
      </c>
      <c r="M52" s="14">
        <v>159.6</v>
      </c>
      <c r="N52" s="14">
        <v>158.9</v>
      </c>
      <c r="O52" s="14">
        <v>196.6</v>
      </c>
      <c r="P52" s="14">
        <v>195.9</v>
      </c>
      <c r="Q52" s="15">
        <v>195.2</v>
      </c>
      <c r="R52" s="14"/>
      <c r="S52" s="14"/>
    </row>
    <row r="53" spans="3:19" x14ac:dyDescent="0.25">
      <c r="C53" s="2" t="s">
        <v>83</v>
      </c>
      <c r="D53" s="14"/>
      <c r="E53" s="14"/>
      <c r="F53" s="14"/>
      <c r="G53" s="14">
        <v>0</v>
      </c>
      <c r="H53" s="14">
        <v>0</v>
      </c>
      <c r="I53" s="14">
        <v>0</v>
      </c>
      <c r="J53" s="14">
        <v>40.200000000000003</v>
      </c>
      <c r="K53" s="14">
        <v>40.200000000000003</v>
      </c>
      <c r="L53" s="14">
        <v>40.200000000000003</v>
      </c>
      <c r="M53" s="14">
        <v>40.6</v>
      </c>
      <c r="N53" s="14">
        <v>40.5</v>
      </c>
      <c r="O53" s="14">
        <v>40.6</v>
      </c>
      <c r="P53" s="14">
        <v>40.5</v>
      </c>
      <c r="Q53" s="15">
        <v>0</v>
      </c>
      <c r="R53" s="14"/>
      <c r="S53" s="14"/>
    </row>
    <row r="54" spans="3:19" x14ac:dyDescent="0.25">
      <c r="C54" s="2" t="s">
        <v>84</v>
      </c>
      <c r="D54" s="14"/>
      <c r="E54" s="14"/>
      <c r="F54" s="14"/>
      <c r="G54" s="14">
        <v>521.20000000000005</v>
      </c>
      <c r="H54" s="14">
        <v>542.5</v>
      </c>
      <c r="I54" s="14">
        <v>552.70000000000005</v>
      </c>
      <c r="J54" s="14">
        <v>558.4</v>
      </c>
      <c r="K54" s="14">
        <v>567.9</v>
      </c>
      <c r="L54" s="14">
        <v>542.1</v>
      </c>
      <c r="M54" s="14">
        <v>516.5</v>
      </c>
      <c r="N54" s="14">
        <v>539.6</v>
      </c>
      <c r="O54" s="14">
        <v>507.4</v>
      </c>
      <c r="P54" s="14">
        <v>532.79999999999995</v>
      </c>
      <c r="Q54" s="15">
        <v>523.20000000000005</v>
      </c>
      <c r="R54" s="14"/>
      <c r="S54" s="14"/>
    </row>
    <row r="55" spans="3:19" x14ac:dyDescent="0.25">
      <c r="C55" s="2" t="s">
        <v>85</v>
      </c>
      <c r="D55" s="14"/>
      <c r="E55" s="14"/>
      <c r="F55" s="14"/>
      <c r="G55" s="14">
        <v>752.7</v>
      </c>
      <c r="H55" s="14">
        <v>757</v>
      </c>
      <c r="I55" s="14">
        <v>1047</v>
      </c>
      <c r="J55" s="14">
        <v>883.6</v>
      </c>
      <c r="K55" s="14">
        <v>937.7</v>
      </c>
      <c r="L55" s="14">
        <v>1137.9000000000001</v>
      </c>
      <c r="M55" s="14">
        <v>1183.9000000000001</v>
      </c>
      <c r="N55" s="14">
        <v>943.6</v>
      </c>
      <c r="O55" s="14">
        <v>978.9</v>
      </c>
      <c r="P55" s="14">
        <v>1121.2</v>
      </c>
      <c r="Q55" s="15">
        <v>1144.4000000000001</v>
      </c>
      <c r="R55" s="14"/>
      <c r="S55" s="14"/>
    </row>
    <row r="56" spans="3:19" x14ac:dyDescent="0.25">
      <c r="C56" s="2" t="s">
        <v>86</v>
      </c>
      <c r="D56" s="14"/>
      <c r="E56" s="14"/>
      <c r="F56" s="14"/>
      <c r="G56" s="14">
        <v>41.2</v>
      </c>
      <c r="H56" s="14">
        <v>44.2</v>
      </c>
      <c r="I56" s="14">
        <v>63</v>
      </c>
      <c r="J56" s="14">
        <v>94.3</v>
      </c>
      <c r="K56" s="14">
        <v>51.5</v>
      </c>
      <c r="L56" s="14">
        <v>59.6</v>
      </c>
      <c r="M56" s="14">
        <v>92.8</v>
      </c>
      <c r="N56" s="14">
        <v>144.4</v>
      </c>
      <c r="O56" s="14">
        <v>71.5</v>
      </c>
      <c r="P56" s="14">
        <v>57.4</v>
      </c>
      <c r="Q56" s="15">
        <v>99.5</v>
      </c>
      <c r="R56" s="14"/>
      <c r="S56" s="14"/>
    </row>
    <row r="57" spans="3:19" x14ac:dyDescent="0.25">
      <c r="C57" s="2" t="s">
        <v>87</v>
      </c>
      <c r="D57" s="14"/>
      <c r="E57" s="14"/>
      <c r="F57" s="14"/>
      <c r="G57" s="14">
        <v>212.7</v>
      </c>
      <c r="H57" s="2">
        <v>324.60000000000002</v>
      </c>
      <c r="I57" s="14">
        <v>247.2</v>
      </c>
      <c r="J57" s="14">
        <v>490.2</v>
      </c>
      <c r="K57" s="14">
        <v>234.9</v>
      </c>
      <c r="L57" s="14">
        <v>353.9</v>
      </c>
      <c r="M57" s="14">
        <v>411.2</v>
      </c>
      <c r="N57" s="14">
        <v>532.70000000000005</v>
      </c>
      <c r="O57" s="14">
        <v>266.89999999999998</v>
      </c>
      <c r="P57" s="14">
        <v>417.3</v>
      </c>
      <c r="Q57" s="15">
        <v>589.6</v>
      </c>
      <c r="R57" s="14"/>
      <c r="S57" s="14"/>
    </row>
    <row r="58" spans="3:19" x14ac:dyDescent="0.25">
      <c r="C58" s="2" t="s">
        <v>115</v>
      </c>
      <c r="D58" s="14"/>
      <c r="E58" s="14"/>
      <c r="F58" s="14"/>
      <c r="G58" s="14">
        <v>244.4</v>
      </c>
      <c r="H58" s="14">
        <v>23.5</v>
      </c>
      <c r="I58" s="14">
        <v>100.2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2">
        <v>0</v>
      </c>
      <c r="Q58" s="4">
        <v>0</v>
      </c>
      <c r="R58" s="14"/>
      <c r="S58" s="14"/>
    </row>
    <row r="59" spans="3:19" x14ac:dyDescent="0.25">
      <c r="C59" s="2" t="s">
        <v>88</v>
      </c>
      <c r="D59" s="14"/>
      <c r="E59" s="14"/>
      <c r="F59" s="14"/>
      <c r="G59" s="14">
        <v>517.70000000000005</v>
      </c>
      <c r="H59" s="14">
        <v>518.4</v>
      </c>
      <c r="I59" s="14">
        <v>540</v>
      </c>
      <c r="J59" s="14">
        <v>638.4</v>
      </c>
      <c r="K59" s="14">
        <v>663.3</v>
      </c>
      <c r="L59" s="14">
        <v>594.6</v>
      </c>
      <c r="M59" s="14">
        <v>595</v>
      </c>
      <c r="N59" s="14">
        <v>695.9</v>
      </c>
      <c r="O59" s="14">
        <v>748.4</v>
      </c>
      <c r="P59" s="14">
        <v>637.5</v>
      </c>
      <c r="Q59" s="15">
        <v>637.5</v>
      </c>
      <c r="R59" s="14"/>
      <c r="S59" s="14"/>
    </row>
    <row r="60" spans="3:19" x14ac:dyDescent="0.25">
      <c r="C60" s="2" t="s">
        <v>89</v>
      </c>
      <c r="D60" s="14"/>
      <c r="E60" s="14"/>
      <c r="F60" s="14"/>
      <c r="G60" s="14">
        <v>95.3</v>
      </c>
      <c r="H60" s="14">
        <v>83.1</v>
      </c>
      <c r="I60" s="14">
        <v>71.7</v>
      </c>
      <c r="J60" s="14">
        <v>80.8</v>
      </c>
      <c r="K60" s="14">
        <v>73.900000000000006</v>
      </c>
      <c r="L60" s="14">
        <v>73.900000000000006</v>
      </c>
      <c r="M60" s="14">
        <v>72.900000000000006</v>
      </c>
      <c r="N60" s="14">
        <v>90</v>
      </c>
      <c r="O60" s="14">
        <v>84.5</v>
      </c>
      <c r="P60" s="14">
        <v>82.6</v>
      </c>
      <c r="Q60" s="15">
        <v>78.5</v>
      </c>
      <c r="R60" s="14"/>
      <c r="S60" s="14"/>
    </row>
    <row r="61" spans="3:19" x14ac:dyDescent="0.25">
      <c r="C61" s="11" t="s">
        <v>90</v>
      </c>
      <c r="D61" s="24">
        <f t="shared" ref="D61:N61" si="42">SUM(D51:D60)</f>
        <v>0</v>
      </c>
      <c r="E61" s="24">
        <f t="shared" si="42"/>
        <v>0</v>
      </c>
      <c r="F61" s="24">
        <f t="shared" si="42"/>
        <v>0</v>
      </c>
      <c r="G61" s="24">
        <f t="shared" si="42"/>
        <v>3672.3</v>
      </c>
      <c r="H61" s="24">
        <f t="shared" si="42"/>
        <v>3639.7999999999997</v>
      </c>
      <c r="I61" s="24">
        <f t="shared" si="42"/>
        <v>4074.7999999999993</v>
      </c>
      <c r="J61" s="24">
        <f t="shared" si="42"/>
        <v>4244.7</v>
      </c>
      <c r="K61" s="24">
        <f t="shared" si="42"/>
        <v>4000.2999999999997</v>
      </c>
      <c r="L61" s="24">
        <f t="shared" si="42"/>
        <v>4162.1000000000004</v>
      </c>
      <c r="M61" s="24">
        <f t="shared" si="42"/>
        <v>4208.7999999999993</v>
      </c>
      <c r="N61" s="24">
        <f t="shared" si="42"/>
        <v>4415.5999999999995</v>
      </c>
      <c r="O61" s="24">
        <f>SUM(O51:O60)</f>
        <v>4088.7000000000003</v>
      </c>
      <c r="P61" s="24">
        <f>SUM(P51:P60)</f>
        <v>4436.1000000000004</v>
      </c>
      <c r="Q61" s="31">
        <f>SUM(Q51:Q60)</f>
        <v>4575.3999999999996</v>
      </c>
      <c r="R61" s="24">
        <f t="shared" ref="R61:S61" si="43">SUM(R51:R60)</f>
        <v>0</v>
      </c>
      <c r="S61" s="24">
        <f t="shared" si="43"/>
        <v>0</v>
      </c>
    </row>
    <row r="62" spans="3:19" x14ac:dyDescent="0.25">
      <c r="C62" s="1" t="s">
        <v>92</v>
      </c>
      <c r="D62" s="12">
        <f t="shared" ref="D62:N62" si="44">D50+D61</f>
        <v>0</v>
      </c>
      <c r="E62" s="12">
        <f t="shared" si="44"/>
        <v>0</v>
      </c>
      <c r="F62" s="12">
        <f t="shared" si="44"/>
        <v>0</v>
      </c>
      <c r="G62" s="12">
        <f t="shared" si="44"/>
        <v>5109.6000000000004</v>
      </c>
      <c r="H62" s="12">
        <f t="shared" si="44"/>
        <v>5028.2</v>
      </c>
      <c r="I62" s="12">
        <f t="shared" si="44"/>
        <v>5564.4</v>
      </c>
      <c r="J62" s="12">
        <f t="shared" si="44"/>
        <v>6023.7</v>
      </c>
      <c r="K62" s="12">
        <f t="shared" si="44"/>
        <v>5849.2999999999993</v>
      </c>
      <c r="L62" s="12">
        <f t="shared" si="44"/>
        <v>6148.8</v>
      </c>
      <c r="M62" s="12">
        <f t="shared" si="44"/>
        <v>6156.4</v>
      </c>
      <c r="N62" s="12">
        <f t="shared" si="44"/>
        <v>6793.6999999999989</v>
      </c>
      <c r="O62" s="12">
        <f t="shared" ref="O62:S62" si="45">O50+O61</f>
        <v>6488.9000000000005</v>
      </c>
      <c r="P62" s="12">
        <f t="shared" si="45"/>
        <v>7059.7000000000007</v>
      </c>
      <c r="Q62" s="13">
        <f t="shared" si="45"/>
        <v>7071.9</v>
      </c>
      <c r="R62" s="12">
        <f t="shared" si="45"/>
        <v>0</v>
      </c>
      <c r="S62" s="12">
        <f t="shared" si="45"/>
        <v>0</v>
      </c>
    </row>
    <row r="63" spans="3:19" x14ac:dyDescent="0.25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3:19" x14ac:dyDescent="0.25">
      <c r="C64" s="3" t="s">
        <v>43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3:29" x14ac:dyDescent="0.25">
      <c r="C65" s="2" t="s">
        <v>93</v>
      </c>
      <c r="D65" s="14">
        <f t="shared" ref="D65:S65" si="46">D11</f>
        <v>-16.100000000000001</v>
      </c>
      <c r="E65" s="14">
        <f t="shared" si="46"/>
        <v>112.39999999999972</v>
      </c>
      <c r="F65" s="14">
        <f t="shared" si="46"/>
        <v>215.29999999999987</v>
      </c>
      <c r="G65" s="14">
        <f t="shared" si="46"/>
        <v>-6.3999999999999133</v>
      </c>
      <c r="H65" s="14">
        <f t="shared" si="46"/>
        <v>-15.600000000000051</v>
      </c>
      <c r="I65" s="14">
        <f t="shared" si="46"/>
        <v>245.09999999999991</v>
      </c>
      <c r="J65" s="14">
        <f t="shared" si="46"/>
        <v>421.89999999999992</v>
      </c>
      <c r="K65" s="14">
        <f t="shared" si="46"/>
        <v>65.499999999999801</v>
      </c>
      <c r="L65" s="14">
        <f t="shared" si="46"/>
        <v>202.60000000000002</v>
      </c>
      <c r="M65" s="14">
        <f t="shared" si="46"/>
        <v>307.30000000000018</v>
      </c>
      <c r="N65" s="14">
        <f t="shared" si="46"/>
        <v>552.50000000000023</v>
      </c>
      <c r="O65" s="14">
        <f t="shared" si="46"/>
        <v>108.90000000000002</v>
      </c>
      <c r="P65" s="14">
        <f t="shared" si="46"/>
        <v>277.89999999999998</v>
      </c>
      <c r="Q65" s="15">
        <f t="shared" si="46"/>
        <v>410.59999999999991</v>
      </c>
      <c r="R65" s="14">
        <f t="shared" si="46"/>
        <v>0</v>
      </c>
      <c r="S65" s="14">
        <f t="shared" si="46"/>
        <v>0</v>
      </c>
      <c r="V65" s="14">
        <f t="shared" ref="V65:AA65" si="47">V11</f>
        <v>549.29999999999893</v>
      </c>
      <c r="W65" s="14">
        <f t="shared" si="47"/>
        <v>608.09999999999923</v>
      </c>
      <c r="X65" s="14">
        <f t="shared" si="47"/>
        <v>719.50000000000102</v>
      </c>
      <c r="Y65" s="14">
        <f t="shared" si="47"/>
        <v>304.99999999999898</v>
      </c>
      <c r="Z65" s="14">
        <f t="shared" si="47"/>
        <v>716.80000000000041</v>
      </c>
      <c r="AA65" s="14">
        <f t="shared" si="47"/>
        <v>1171.3000000000002</v>
      </c>
    </row>
    <row r="66" spans="3:29" x14ac:dyDescent="0.25">
      <c r="C66" s="2" t="s">
        <v>94</v>
      </c>
      <c r="D66" s="14">
        <v>-16</v>
      </c>
      <c r="E66" s="14">
        <v>113</v>
      </c>
      <c r="F66" s="14">
        <v>215</v>
      </c>
      <c r="G66" s="14">
        <v>-6.5</v>
      </c>
      <c r="H66" s="14">
        <v>-16</v>
      </c>
      <c r="I66" s="14">
        <v>245.2</v>
      </c>
      <c r="J66" s="14">
        <v>422</v>
      </c>
      <c r="K66" s="14">
        <v>65</v>
      </c>
      <c r="L66" s="14">
        <v>202.9</v>
      </c>
      <c r="M66" s="14">
        <v>307</v>
      </c>
      <c r="N66" s="14">
        <v>553</v>
      </c>
      <c r="O66" s="14">
        <v>109</v>
      </c>
      <c r="P66" s="14">
        <v>278</v>
      </c>
      <c r="Q66" s="15">
        <v>410</v>
      </c>
      <c r="R66" s="14"/>
      <c r="S66" s="14"/>
      <c r="V66" s="14">
        <v>94</v>
      </c>
      <c r="W66" s="14">
        <v>549</v>
      </c>
      <c r="X66" s="14">
        <v>608</v>
      </c>
      <c r="Y66" s="14">
        <v>720</v>
      </c>
      <c r="Z66" s="14">
        <v>305</v>
      </c>
      <c r="AA66" s="14">
        <v>716.8</v>
      </c>
    </row>
    <row r="67" spans="3:29" x14ac:dyDescent="0.25">
      <c r="C67" s="2" t="s">
        <v>95</v>
      </c>
      <c r="D67" s="14">
        <v>221.8</v>
      </c>
      <c r="E67" s="14">
        <v>173.1</v>
      </c>
      <c r="F67" s="14">
        <v>324</v>
      </c>
      <c r="G67" s="14">
        <v>187.6</v>
      </c>
      <c r="H67" s="14">
        <v>325.10000000000002</v>
      </c>
      <c r="I67" s="14">
        <v>176.4</v>
      </c>
      <c r="J67" s="14">
        <v>185.3</v>
      </c>
      <c r="K67" s="14">
        <v>194.2</v>
      </c>
      <c r="L67" s="14">
        <v>190.1</v>
      </c>
      <c r="M67" s="14">
        <v>191.6</v>
      </c>
      <c r="N67" s="14">
        <v>221.2</v>
      </c>
      <c r="O67" s="14">
        <v>175.7</v>
      </c>
      <c r="P67" s="14">
        <v>183.6</v>
      </c>
      <c r="Q67" s="15">
        <v>184.8</v>
      </c>
      <c r="R67" s="14"/>
      <c r="S67" s="14"/>
      <c r="V67" s="14">
        <f>236.9+56.5+38.7</f>
        <v>332.09999999999997</v>
      </c>
      <c r="W67" s="14">
        <f>687.2+31.4-28.7</f>
        <v>689.9</v>
      </c>
      <c r="X67" s="14">
        <f>714+5.7-1.6</f>
        <v>718.1</v>
      </c>
      <c r="Y67" s="14">
        <f>753.1+6.2+1</f>
        <v>760.30000000000007</v>
      </c>
      <c r="Z67" s="14">
        <f>772.9+100.4+33</f>
        <v>906.3</v>
      </c>
      <c r="AA67" s="14">
        <f>730.3+11.7+139</f>
        <v>881</v>
      </c>
    </row>
    <row r="68" spans="3:29" x14ac:dyDescent="0.25">
      <c r="C68" s="2" t="s">
        <v>96</v>
      </c>
      <c r="D68" s="14">
        <v>1</v>
      </c>
      <c r="E68" s="14">
        <v>0.7</v>
      </c>
      <c r="F68" s="14">
        <v>1.2</v>
      </c>
      <c r="G68" s="14">
        <v>0.5</v>
      </c>
      <c r="H68" s="14">
        <v>0.5</v>
      </c>
      <c r="I68" s="14">
        <v>1.2</v>
      </c>
      <c r="J68" s="14">
        <v>2.7</v>
      </c>
      <c r="K68" s="14">
        <v>1.6</v>
      </c>
      <c r="L68" s="14">
        <v>2.2000000000000002</v>
      </c>
      <c r="M68" s="14">
        <v>2.1</v>
      </c>
      <c r="N68" s="14">
        <v>6.1</v>
      </c>
      <c r="O68" s="14">
        <v>5.9</v>
      </c>
      <c r="P68" s="14">
        <v>6.3</v>
      </c>
      <c r="Q68" s="15">
        <v>6.1</v>
      </c>
      <c r="R68" s="14"/>
      <c r="S68" s="14"/>
      <c r="V68" s="14">
        <v>1.1000000000000001</v>
      </c>
      <c r="W68" s="14">
        <v>0.1</v>
      </c>
      <c r="X68" s="14">
        <v>0.2</v>
      </c>
      <c r="Y68" s="14">
        <v>2</v>
      </c>
      <c r="Z68" s="14">
        <v>3.4</v>
      </c>
      <c r="AA68" s="14">
        <v>6</v>
      </c>
    </row>
    <row r="69" spans="3:29" x14ac:dyDescent="0.25">
      <c r="C69" s="2" t="s">
        <v>97</v>
      </c>
      <c r="D69" s="14">
        <v>-15.5</v>
      </c>
      <c r="E69" s="14">
        <v>-17.5</v>
      </c>
      <c r="F69" s="14">
        <v>-16.5</v>
      </c>
      <c r="G69" s="14">
        <v>-16.399999999999999</v>
      </c>
      <c r="H69" s="14">
        <v>-16.600000000000001</v>
      </c>
      <c r="I69" s="14">
        <v>-19.600000000000001</v>
      </c>
      <c r="J69" s="14">
        <v>-17.399999999999999</v>
      </c>
      <c r="K69" s="14">
        <v>-16.399999999999999</v>
      </c>
      <c r="L69" s="14">
        <v>-17.8</v>
      </c>
      <c r="M69" s="14">
        <v>-17.2</v>
      </c>
      <c r="N69" s="14">
        <v>-17.2</v>
      </c>
      <c r="O69" s="14">
        <v>-17.399999999999999</v>
      </c>
      <c r="P69" s="12">
        <v>-18.600000000000001</v>
      </c>
      <c r="Q69" s="15">
        <v>-19.8</v>
      </c>
      <c r="R69" s="14"/>
      <c r="S69" s="14"/>
      <c r="V69" s="14">
        <v>-3.3</v>
      </c>
      <c r="W69" s="14">
        <v>-67.7</v>
      </c>
      <c r="X69" s="14">
        <v>-63.5</v>
      </c>
      <c r="Y69" s="14">
        <v>-65.099999999999994</v>
      </c>
      <c r="Z69" s="14">
        <v>-65.900000000000006</v>
      </c>
      <c r="AA69" s="14">
        <v>-69.900000000000006</v>
      </c>
    </row>
    <row r="70" spans="3:29" x14ac:dyDescent="0.25">
      <c r="C70" s="2" t="s">
        <v>98</v>
      </c>
      <c r="D70" s="14">
        <v>-69.8</v>
      </c>
      <c r="E70" s="14">
        <v>-25.5</v>
      </c>
      <c r="F70" s="14">
        <v>-8.4</v>
      </c>
      <c r="G70" s="14">
        <v>-44.5</v>
      </c>
      <c r="H70" s="14">
        <v>-43.8</v>
      </c>
      <c r="I70" s="14">
        <v>-28.4</v>
      </c>
      <c r="J70" s="14">
        <v>-32.9</v>
      </c>
      <c r="K70" s="14">
        <v>-77.400000000000006</v>
      </c>
      <c r="L70" s="14">
        <v>-31.2</v>
      </c>
      <c r="M70" s="14">
        <v>-34.700000000000003</v>
      </c>
      <c r="N70" s="14">
        <v>-60.3</v>
      </c>
      <c r="O70" s="14">
        <v>-54.1</v>
      </c>
      <c r="P70" s="14">
        <v>-71</v>
      </c>
      <c r="Q70" s="15">
        <v>-32.799999999999997</v>
      </c>
      <c r="R70" s="14"/>
      <c r="S70" s="14"/>
      <c r="V70" s="14">
        <v>-104.5</v>
      </c>
      <c r="W70" s="14">
        <v>-68.900000000000006</v>
      </c>
      <c r="X70" s="14">
        <v>-90.8</v>
      </c>
      <c r="Y70" s="14">
        <v>-121.2</v>
      </c>
      <c r="Z70" s="14">
        <v>-148.1</v>
      </c>
      <c r="AA70" s="14">
        <v>-182.5</v>
      </c>
    </row>
    <row r="71" spans="3:29" x14ac:dyDescent="0.25">
      <c r="C71" s="2" t="s">
        <v>99</v>
      </c>
      <c r="D71" s="14">
        <v>-156</v>
      </c>
      <c r="E71" s="14">
        <v>-409.9</v>
      </c>
      <c r="F71" s="14">
        <v>632.6</v>
      </c>
      <c r="G71" s="14">
        <v>-126.7</v>
      </c>
      <c r="H71" s="14">
        <v>78.599999999999994</v>
      </c>
      <c r="I71" s="14">
        <v>-183.3</v>
      </c>
      <c r="J71" s="14">
        <v>517.79999999999995</v>
      </c>
      <c r="K71" s="14">
        <v>-275.8</v>
      </c>
      <c r="L71" s="14">
        <v>67.099999999999994</v>
      </c>
      <c r="M71" s="14">
        <v>-332.3</v>
      </c>
      <c r="N71" s="14">
        <v>645.6</v>
      </c>
      <c r="O71" s="14">
        <v>-266.7</v>
      </c>
      <c r="P71" s="14">
        <v>89.9</v>
      </c>
      <c r="Q71" s="15">
        <v>-464.8</v>
      </c>
      <c r="R71" s="14"/>
      <c r="S71" s="14"/>
      <c r="V71" s="14">
        <f>-5.1+57.7+153.7-244.6+30.7</f>
        <v>-7.6000000000000121</v>
      </c>
      <c r="W71" s="14">
        <f>-12.7+110.9-6.5-83.4+172.9</f>
        <v>181.2</v>
      </c>
      <c r="X71" s="14">
        <f>-7.4+0.4+77.4+180.4-135.3</f>
        <v>115.5</v>
      </c>
      <c r="Y71" s="14">
        <f>0.7-351.5-70.5+37.3+74.8</f>
        <v>-309.2</v>
      </c>
      <c r="Z71" s="14">
        <f>5.4-9+13.5-17.5-52.3</f>
        <v>-59.9</v>
      </c>
      <c r="AA71" s="14">
        <f>2.4-166.9+77.9+129+95</f>
        <v>137.4</v>
      </c>
    </row>
    <row r="72" spans="3:29" x14ac:dyDescent="0.25">
      <c r="C72" s="1" t="s">
        <v>17</v>
      </c>
      <c r="D72" s="12">
        <f t="shared" ref="D72:M72" si="48">SUM(D66:D71)</f>
        <v>-34.499999999999986</v>
      </c>
      <c r="E72" s="12">
        <f t="shared" si="48"/>
        <v>-166.09999999999997</v>
      </c>
      <c r="F72" s="12">
        <f t="shared" si="48"/>
        <v>1147.9000000000001</v>
      </c>
      <c r="G72" s="12">
        <f t="shared" si="48"/>
        <v>-6.0000000000000142</v>
      </c>
      <c r="H72" s="12">
        <f t="shared" si="48"/>
        <v>327.79999999999995</v>
      </c>
      <c r="I72" s="12">
        <f t="shared" si="48"/>
        <v>191.5</v>
      </c>
      <c r="J72" s="12">
        <f t="shared" si="48"/>
        <v>1077.5</v>
      </c>
      <c r="K72" s="12">
        <f t="shared" si="48"/>
        <v>-108.80000000000001</v>
      </c>
      <c r="L72" s="12">
        <f t="shared" si="48"/>
        <v>413.29999999999995</v>
      </c>
      <c r="M72" s="12">
        <f t="shared" si="48"/>
        <v>116.50000000000006</v>
      </c>
      <c r="N72" s="12">
        <f>SUM(N66:N71)</f>
        <v>1348.4</v>
      </c>
      <c r="O72" s="12">
        <f>SUM(O66:O71)</f>
        <v>-47.599999999999994</v>
      </c>
      <c r="P72" s="12">
        <f t="shared" ref="P72:S72" si="49">SUM(P66:P71)</f>
        <v>468.20000000000005</v>
      </c>
      <c r="Q72" s="13">
        <f t="shared" si="49"/>
        <v>83.500000000000057</v>
      </c>
      <c r="R72" s="12">
        <f t="shared" si="49"/>
        <v>0</v>
      </c>
      <c r="S72" s="12">
        <f t="shared" si="49"/>
        <v>0</v>
      </c>
      <c r="V72" s="12">
        <f t="shared" ref="V72:Y72" si="50">SUM(V66:V71)</f>
        <v>311.79999999999995</v>
      </c>
      <c r="W72" s="12">
        <f t="shared" si="50"/>
        <v>1283.5999999999999</v>
      </c>
      <c r="X72" s="12">
        <f t="shared" si="50"/>
        <v>1287.5</v>
      </c>
      <c r="Y72" s="12">
        <f t="shared" si="50"/>
        <v>986.80000000000018</v>
      </c>
      <c r="Z72" s="12">
        <f>SUM(Z66:Z71)</f>
        <v>940.8</v>
      </c>
      <c r="AA72" s="12">
        <f>SUM(AA66:AA71)</f>
        <v>1488.8</v>
      </c>
    </row>
    <row r="73" spans="3:29" x14ac:dyDescent="0.25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5"/>
      <c r="R73" s="14"/>
      <c r="S73" s="14"/>
      <c r="V73" s="14"/>
      <c r="W73" s="14"/>
      <c r="X73" s="14"/>
      <c r="Y73" s="14"/>
      <c r="Z73" s="14"/>
      <c r="AA73" s="14"/>
    </row>
    <row r="74" spans="3:29" x14ac:dyDescent="0.25">
      <c r="C74" s="2" t="s">
        <v>100</v>
      </c>
      <c r="D74" s="14">
        <f>-16.9-15.5</f>
        <v>-32.4</v>
      </c>
      <c r="E74" s="14">
        <f>-13.9-31.8</f>
        <v>-45.7</v>
      </c>
      <c r="F74" s="14">
        <f>-4.8-18</f>
        <v>-22.8</v>
      </c>
      <c r="G74" s="14">
        <f>-0.2-22.2</f>
        <v>-22.4</v>
      </c>
      <c r="H74" s="14">
        <v>-14.1</v>
      </c>
      <c r="I74" s="14">
        <v>-25.6</v>
      </c>
      <c r="J74" s="14">
        <f>-0.5-22.2</f>
        <v>-22.7</v>
      </c>
      <c r="K74" s="14">
        <f>-2.1-54.6</f>
        <v>-56.7</v>
      </c>
      <c r="L74" s="14">
        <f>-3.5-29.6</f>
        <v>-33.1</v>
      </c>
      <c r="M74" s="14">
        <f>-5.1-36</f>
        <v>-41.1</v>
      </c>
      <c r="N74" s="14">
        <f>-8.5-17.6</f>
        <v>-26.1</v>
      </c>
      <c r="O74" s="14">
        <f>-13.9-37.9</f>
        <v>-51.8</v>
      </c>
      <c r="P74" s="14">
        <f>-9.1-22.4</f>
        <v>-31.5</v>
      </c>
      <c r="Q74" s="15">
        <f>-13.9-35.2</f>
        <v>-49.1</v>
      </c>
      <c r="R74" s="14"/>
      <c r="S74" s="14"/>
      <c r="V74" s="14">
        <f>-104.9-105.8</f>
        <v>-210.7</v>
      </c>
      <c r="W74" s="14">
        <f>-143.5-60.8</f>
        <v>-204.3</v>
      </c>
      <c r="X74" s="14">
        <f>-82.6-145.7</f>
        <v>-228.29999999999998</v>
      </c>
      <c r="Y74" s="14">
        <f>-53-99.4</f>
        <v>-152.4</v>
      </c>
      <c r="Z74" s="14">
        <f>-35.9-87.5</f>
        <v>-123.4</v>
      </c>
      <c r="AA74" s="14">
        <f>-2.6-116.4</f>
        <v>-119</v>
      </c>
    </row>
    <row r="75" spans="3:29" x14ac:dyDescent="0.25">
      <c r="C75" s="2" t="s">
        <v>101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-436.2</v>
      </c>
      <c r="K75" s="14">
        <v>0</v>
      </c>
      <c r="L75" s="14">
        <v>0</v>
      </c>
      <c r="M75" s="14">
        <v>-4.5999999999999996</v>
      </c>
      <c r="N75" s="14">
        <v>0</v>
      </c>
      <c r="O75" s="14">
        <v>0</v>
      </c>
      <c r="P75" s="14">
        <v>0</v>
      </c>
      <c r="Q75" s="15">
        <v>0</v>
      </c>
      <c r="R75" s="14"/>
      <c r="S75" s="14"/>
      <c r="V75" s="14">
        <v>-0.8</v>
      </c>
      <c r="W75" s="14">
        <v>-27</v>
      </c>
      <c r="X75" s="14">
        <v>0</v>
      </c>
      <c r="Y75" s="14">
        <v>-6.2</v>
      </c>
      <c r="Z75" s="14">
        <v>0</v>
      </c>
      <c r="AA75" s="14">
        <v>-436.2</v>
      </c>
      <c r="AC75" s="2" t="s">
        <v>117</v>
      </c>
    </row>
    <row r="76" spans="3:29" x14ac:dyDescent="0.25">
      <c r="C76" s="2" t="s">
        <v>102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0.1</v>
      </c>
      <c r="K76" s="14">
        <v>1.3</v>
      </c>
      <c r="L76" s="14">
        <v>0.1</v>
      </c>
      <c r="M76" s="14">
        <v>0</v>
      </c>
      <c r="N76" s="14">
        <v>0</v>
      </c>
      <c r="O76" s="14">
        <v>0</v>
      </c>
      <c r="P76" s="14">
        <v>0</v>
      </c>
      <c r="Q76" s="15">
        <v>0</v>
      </c>
      <c r="R76" s="14"/>
      <c r="S76" s="14"/>
      <c r="V76" s="14">
        <v>0.1</v>
      </c>
      <c r="W76" s="14">
        <v>0.3</v>
      </c>
      <c r="X76" s="14">
        <v>0.4</v>
      </c>
      <c r="Y76" s="14">
        <v>0.9</v>
      </c>
      <c r="Z76" s="14">
        <v>0</v>
      </c>
      <c r="AA76" s="14">
        <v>1.4</v>
      </c>
    </row>
    <row r="77" spans="3:29" x14ac:dyDescent="0.25">
      <c r="C77" s="1" t="s">
        <v>19</v>
      </c>
      <c r="D77" s="12">
        <f t="shared" ref="D77:M77" si="51">SUM(D74:D76)</f>
        <v>-32.4</v>
      </c>
      <c r="E77" s="12">
        <f t="shared" si="51"/>
        <v>-45.7</v>
      </c>
      <c r="F77" s="12">
        <f t="shared" si="51"/>
        <v>-22.8</v>
      </c>
      <c r="G77" s="12">
        <f t="shared" si="51"/>
        <v>-22.4</v>
      </c>
      <c r="H77" s="12">
        <f t="shared" si="51"/>
        <v>-14.1</v>
      </c>
      <c r="I77" s="12">
        <f t="shared" si="51"/>
        <v>-25.6</v>
      </c>
      <c r="J77" s="12">
        <f t="shared" si="51"/>
        <v>-458.79999999999995</v>
      </c>
      <c r="K77" s="12">
        <f t="shared" si="51"/>
        <v>-55.400000000000006</v>
      </c>
      <c r="L77" s="12">
        <f t="shared" si="51"/>
        <v>-33</v>
      </c>
      <c r="M77" s="12">
        <f t="shared" si="51"/>
        <v>-45.7</v>
      </c>
      <c r="N77" s="12">
        <f>SUM(N74:N76)</f>
        <v>-26.1</v>
      </c>
      <c r="O77" s="12">
        <f>SUM(O74:O76)</f>
        <v>-51.8</v>
      </c>
      <c r="P77" s="12">
        <f t="shared" ref="P77:S77" si="52">SUM(P74:P76)</f>
        <v>-31.5</v>
      </c>
      <c r="Q77" s="13">
        <f t="shared" si="52"/>
        <v>-49.1</v>
      </c>
      <c r="R77" s="12">
        <f t="shared" si="52"/>
        <v>0</v>
      </c>
      <c r="S77" s="12">
        <f t="shared" si="52"/>
        <v>0</v>
      </c>
      <c r="V77" s="12">
        <f t="shared" ref="V77:Y77" si="53">SUM(V74:V76)</f>
        <v>-211.4</v>
      </c>
      <c r="W77" s="12">
        <f t="shared" si="53"/>
        <v>-231</v>
      </c>
      <c r="X77" s="12">
        <f t="shared" si="53"/>
        <v>-227.89999999999998</v>
      </c>
      <c r="Y77" s="12">
        <f t="shared" si="53"/>
        <v>-157.69999999999999</v>
      </c>
      <c r="Z77" s="12">
        <f>SUM(Z74:Z76)</f>
        <v>-123.4</v>
      </c>
      <c r="AA77" s="12">
        <f>SUM(AA74:AA76)</f>
        <v>-553.80000000000007</v>
      </c>
    </row>
    <row r="78" spans="3:29" x14ac:dyDescent="0.25"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5"/>
      <c r="R78" s="14"/>
      <c r="S78" s="14"/>
      <c r="V78" s="14"/>
      <c r="W78" s="14"/>
      <c r="X78" s="14"/>
      <c r="Y78" s="14"/>
      <c r="Z78" s="14"/>
      <c r="AA78" s="14"/>
    </row>
    <row r="79" spans="3:29" x14ac:dyDescent="0.25">
      <c r="C79" s="2" t="s">
        <v>103</v>
      </c>
      <c r="D79" s="14">
        <v>-129.6</v>
      </c>
      <c r="E79" s="14">
        <v>601.9</v>
      </c>
      <c r="F79" s="14">
        <v>-590.1</v>
      </c>
      <c r="G79" s="14">
        <v>232.6</v>
      </c>
      <c r="H79" s="14">
        <v>-220.9</v>
      </c>
      <c r="I79" s="14">
        <v>76.7</v>
      </c>
      <c r="J79" s="14">
        <v>-100.2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/>
      <c r="Q79" s="15"/>
      <c r="R79" s="14"/>
      <c r="S79" s="14"/>
      <c r="V79" s="14">
        <v>283</v>
      </c>
      <c r="W79" s="14">
        <v>-215.9</v>
      </c>
      <c r="X79" s="14">
        <v>-67.2</v>
      </c>
      <c r="Y79" s="14">
        <v>0</v>
      </c>
      <c r="Z79" s="14">
        <v>244.4</v>
      </c>
      <c r="AA79" s="14">
        <v>-244.4</v>
      </c>
    </row>
    <row r="80" spans="3:29" x14ac:dyDescent="0.25">
      <c r="C80" s="2" t="s">
        <v>104</v>
      </c>
      <c r="D80" s="14">
        <v>0</v>
      </c>
      <c r="E80" s="14">
        <v>-146.69999999999999</v>
      </c>
      <c r="F80" s="14">
        <v>-134.5</v>
      </c>
      <c r="G80" s="14">
        <v>-138.69999999999999</v>
      </c>
      <c r="H80" s="14">
        <v>-130.1</v>
      </c>
      <c r="I80" s="14">
        <v>-138.69999999999999</v>
      </c>
      <c r="J80" s="14">
        <v>-129.4</v>
      </c>
      <c r="K80" s="14">
        <v>-142</v>
      </c>
      <c r="L80" s="14">
        <v>-132.69999999999999</v>
      </c>
      <c r="M80" s="14">
        <v>-142.5</v>
      </c>
      <c r="N80" s="14">
        <v>-146.6</v>
      </c>
      <c r="O80" s="14">
        <v>-137.5</v>
      </c>
      <c r="P80" s="14">
        <v>-130.6</v>
      </c>
      <c r="Q80" s="15">
        <v>0</v>
      </c>
      <c r="R80" s="14"/>
      <c r="S80" s="14"/>
      <c r="V80" s="14">
        <v>0</v>
      </c>
      <c r="W80" s="14">
        <v>-466.8</v>
      </c>
      <c r="X80" s="14">
        <v>-538.29999999999995</v>
      </c>
      <c r="Y80" s="14">
        <v>-514.1</v>
      </c>
      <c r="Z80" s="14">
        <v>-549.5</v>
      </c>
      <c r="AA80" s="14">
        <v>-540.1</v>
      </c>
    </row>
    <row r="81" spans="3:27" x14ac:dyDescent="0.25">
      <c r="C81" s="2" t="s">
        <v>105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-29.7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5">
        <v>-137.1</v>
      </c>
      <c r="R81" s="14"/>
      <c r="S81" s="14"/>
      <c r="V81" s="14">
        <v>0</v>
      </c>
      <c r="W81" s="14">
        <f>-4.5+11-1.6</f>
        <v>4.9000000000000004</v>
      </c>
      <c r="X81" s="14">
        <v>-0.2</v>
      </c>
      <c r="Y81" s="14">
        <v>0.9</v>
      </c>
      <c r="Z81" s="14">
        <v>0</v>
      </c>
      <c r="AA81" s="14">
        <v>-29.7</v>
      </c>
    </row>
    <row r="82" spans="3:27" x14ac:dyDescent="0.25">
      <c r="C82" s="2" t="s">
        <v>106</v>
      </c>
      <c r="D82" s="14">
        <v>0</v>
      </c>
      <c r="E82" s="14">
        <v>-411.8</v>
      </c>
      <c r="F82" s="14">
        <v>-411.8</v>
      </c>
      <c r="G82" s="14">
        <v>0</v>
      </c>
      <c r="H82" s="14">
        <v>0</v>
      </c>
      <c r="I82" s="14">
        <v>-95</v>
      </c>
      <c r="J82" s="14">
        <v>0</v>
      </c>
      <c r="K82" s="14">
        <v>0</v>
      </c>
      <c r="L82" s="14">
        <v>0</v>
      </c>
      <c r="M82" s="14">
        <v>-134.9</v>
      </c>
      <c r="N82" s="14">
        <v>-134.5</v>
      </c>
      <c r="O82" s="14">
        <v>0</v>
      </c>
      <c r="P82" s="14">
        <v>0</v>
      </c>
      <c r="Q82" s="15">
        <v>-222</v>
      </c>
      <c r="R82" s="14"/>
      <c r="S82" s="14"/>
      <c r="V82" s="14">
        <v>-395.1</v>
      </c>
      <c r="W82" s="14">
        <v>-395.5</v>
      </c>
      <c r="X82" s="14">
        <v>0</v>
      </c>
      <c r="Y82" s="14">
        <v>-395.9</v>
      </c>
      <c r="Z82" s="14">
        <v>-823.6</v>
      </c>
      <c r="AA82" s="14">
        <v>-95</v>
      </c>
    </row>
    <row r="83" spans="3:27" x14ac:dyDescent="0.25">
      <c r="C83" s="1" t="s">
        <v>18</v>
      </c>
      <c r="D83" s="12">
        <f t="shared" ref="D83:M83" si="54">SUM(D79:D82)</f>
        <v>-129.6</v>
      </c>
      <c r="E83" s="12">
        <f t="shared" si="54"/>
        <v>43.399999999999977</v>
      </c>
      <c r="F83" s="12">
        <f t="shared" si="54"/>
        <v>-1136.4000000000001</v>
      </c>
      <c r="G83" s="12">
        <f t="shared" si="54"/>
        <v>93.9</v>
      </c>
      <c r="H83" s="12">
        <f t="shared" si="54"/>
        <v>-351</v>
      </c>
      <c r="I83" s="12">
        <f t="shared" si="54"/>
        <v>-157</v>
      </c>
      <c r="J83" s="12">
        <f t="shared" si="54"/>
        <v>-259.3</v>
      </c>
      <c r="K83" s="12">
        <f t="shared" si="54"/>
        <v>-142</v>
      </c>
      <c r="L83" s="12">
        <f t="shared" si="54"/>
        <v>-132.69999999999999</v>
      </c>
      <c r="M83" s="12">
        <f t="shared" si="54"/>
        <v>-277.39999999999998</v>
      </c>
      <c r="N83" s="12">
        <f>SUM(N79:N82)</f>
        <v>-281.10000000000002</v>
      </c>
      <c r="O83" s="12">
        <f>SUM(O79:O82)</f>
        <v>-137.5</v>
      </c>
      <c r="P83" s="12">
        <f t="shared" ref="P83:S83" si="55">SUM(P79:P82)</f>
        <v>-130.6</v>
      </c>
      <c r="Q83" s="13">
        <f t="shared" si="55"/>
        <v>-359.1</v>
      </c>
      <c r="R83" s="12">
        <f t="shared" si="55"/>
        <v>0</v>
      </c>
      <c r="S83" s="12">
        <f t="shared" si="55"/>
        <v>0</v>
      </c>
      <c r="V83" s="12">
        <f t="shared" ref="V83:Y83" si="56">SUM(V79:V82)</f>
        <v>-112.10000000000002</v>
      </c>
      <c r="W83" s="12">
        <f t="shared" si="56"/>
        <v>-1073.3000000000002</v>
      </c>
      <c r="X83" s="12">
        <f t="shared" si="56"/>
        <v>-605.70000000000005</v>
      </c>
      <c r="Y83" s="12">
        <f t="shared" si="56"/>
        <v>-909.1</v>
      </c>
      <c r="Z83" s="12">
        <f>SUM(Z79:Z82)</f>
        <v>-1128.7</v>
      </c>
      <c r="AA83" s="12">
        <f>SUM(AA79:AA82)</f>
        <v>-909.2</v>
      </c>
    </row>
    <row r="84" spans="3:27" x14ac:dyDescent="0.25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5"/>
      <c r="R84" s="14"/>
      <c r="S84" s="14"/>
      <c r="V84" s="14"/>
      <c r="W84" s="14"/>
      <c r="X84" s="14"/>
      <c r="Y84" s="14"/>
      <c r="Z84" s="14"/>
      <c r="AA84" s="14"/>
    </row>
    <row r="85" spans="3:27" x14ac:dyDescent="0.25">
      <c r="C85" s="2" t="s">
        <v>107</v>
      </c>
      <c r="D85" s="14">
        <v>0</v>
      </c>
      <c r="E85" s="14">
        <v>0</v>
      </c>
      <c r="F85" s="14">
        <v>0.4</v>
      </c>
      <c r="G85" s="14">
        <v>0</v>
      </c>
      <c r="H85" s="14">
        <v>2.6</v>
      </c>
      <c r="I85" s="14">
        <v>0</v>
      </c>
      <c r="J85" s="14">
        <v>-1.7</v>
      </c>
      <c r="K85" s="14">
        <v>1.2</v>
      </c>
      <c r="L85" s="14">
        <v>-0.7</v>
      </c>
      <c r="M85" s="14">
        <v>0</v>
      </c>
      <c r="N85" s="14">
        <v>0.1</v>
      </c>
      <c r="O85" s="14">
        <v>-4.0999999999999996</v>
      </c>
      <c r="P85" s="14">
        <v>1</v>
      </c>
      <c r="Q85" s="15">
        <v>0</v>
      </c>
      <c r="R85" s="14"/>
      <c r="S85" s="14"/>
      <c r="V85" s="14">
        <v>0.6</v>
      </c>
      <c r="W85" s="14">
        <v>-4.5999999999999996</v>
      </c>
      <c r="X85" s="14">
        <v>-0.4</v>
      </c>
      <c r="Y85" s="14">
        <v>3.7</v>
      </c>
      <c r="Z85" s="14">
        <v>-2.2999999999999998</v>
      </c>
      <c r="AA85" s="14">
        <v>2.1</v>
      </c>
    </row>
    <row r="86" spans="3:27" x14ac:dyDescent="0.25">
      <c r="D86" s="14"/>
      <c r="E86" s="14">
        <v>3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5"/>
      <c r="R86" s="14"/>
      <c r="S86" s="14"/>
      <c r="V86" s="14"/>
      <c r="W86" s="14"/>
      <c r="X86" s="14"/>
      <c r="Y86" s="14"/>
      <c r="Z86" s="14"/>
      <c r="AA86" s="14"/>
    </row>
    <row r="87" spans="3:27" x14ac:dyDescent="0.25">
      <c r="C87" s="2" t="s">
        <v>108</v>
      </c>
      <c r="D87" s="14">
        <f t="shared" ref="D87:M87" si="57">D72+D77+D83+D85</f>
        <v>-196.49999999999997</v>
      </c>
      <c r="E87" s="14">
        <f t="shared" si="57"/>
        <v>-168.39999999999998</v>
      </c>
      <c r="F87" s="14">
        <f t="shared" si="57"/>
        <v>-10.899999999999954</v>
      </c>
      <c r="G87" s="14">
        <f t="shared" si="57"/>
        <v>65.5</v>
      </c>
      <c r="H87" s="14">
        <f t="shared" si="57"/>
        <v>-34.700000000000067</v>
      </c>
      <c r="I87" s="14">
        <f t="shared" si="57"/>
        <v>8.9000000000000057</v>
      </c>
      <c r="J87" s="14">
        <f t="shared" si="57"/>
        <v>357.70000000000005</v>
      </c>
      <c r="K87" s="14">
        <f t="shared" si="57"/>
        <v>-305.00000000000006</v>
      </c>
      <c r="L87" s="14">
        <f t="shared" si="57"/>
        <v>246.89999999999998</v>
      </c>
      <c r="M87" s="14">
        <f t="shared" si="57"/>
        <v>-206.59999999999991</v>
      </c>
      <c r="N87" s="14">
        <f>N72+N77+N83+N85</f>
        <v>1041.3000000000002</v>
      </c>
      <c r="O87" s="14">
        <f>O72+O77+O83+O85</f>
        <v>-240.99999999999997</v>
      </c>
      <c r="P87" s="14">
        <f t="shared" ref="P87:S87" si="58">P72+P77+P83+P85</f>
        <v>307.10000000000002</v>
      </c>
      <c r="Q87" s="15">
        <f t="shared" si="58"/>
        <v>-324.7</v>
      </c>
      <c r="R87" s="14">
        <f t="shared" si="58"/>
        <v>0</v>
      </c>
      <c r="S87" s="14">
        <f t="shared" si="58"/>
        <v>0</v>
      </c>
      <c r="V87" s="14">
        <f t="shared" ref="V87:Y87" si="59">V72+V77+V83+V85</f>
        <v>-11.100000000000074</v>
      </c>
      <c r="W87" s="14">
        <f t="shared" si="59"/>
        <v>-25.300000000000274</v>
      </c>
      <c r="X87" s="14">
        <f t="shared" si="59"/>
        <v>453.49999999999989</v>
      </c>
      <c r="Y87" s="14">
        <f t="shared" si="59"/>
        <v>-76.299999999999883</v>
      </c>
      <c r="Z87" s="14">
        <f>Z72+Z77+Z83+Z85</f>
        <v>-313.60000000000008</v>
      </c>
      <c r="AA87" s="14">
        <f>AA72+AA77+AA83+AA85</f>
        <v>27.899999999999842</v>
      </c>
    </row>
    <row r="88" spans="3:27" x14ac:dyDescent="0.25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/>
      <c r="R88" s="14"/>
      <c r="S88" s="14"/>
      <c r="V88" s="14"/>
      <c r="W88" s="14"/>
      <c r="X88" s="14"/>
      <c r="Y88" s="14"/>
      <c r="Z88" s="14"/>
      <c r="AA88" s="14"/>
    </row>
    <row r="89" spans="3:27" x14ac:dyDescent="0.25">
      <c r="C89" s="2" t="s">
        <v>109</v>
      </c>
      <c r="D89" s="14">
        <f t="shared" ref="D89:M89" si="60">D72+D74</f>
        <v>-66.899999999999977</v>
      </c>
      <c r="E89" s="14">
        <f t="shared" si="60"/>
        <v>-211.79999999999995</v>
      </c>
      <c r="F89" s="14">
        <f t="shared" si="60"/>
        <v>1125.1000000000001</v>
      </c>
      <c r="G89" s="14">
        <f t="shared" si="60"/>
        <v>-28.400000000000013</v>
      </c>
      <c r="H89" s="14">
        <f t="shared" si="60"/>
        <v>313.69999999999993</v>
      </c>
      <c r="I89" s="14">
        <f t="shared" si="60"/>
        <v>165.9</v>
      </c>
      <c r="J89" s="14">
        <f t="shared" si="60"/>
        <v>1054.8</v>
      </c>
      <c r="K89" s="14">
        <f t="shared" si="60"/>
        <v>-165.5</v>
      </c>
      <c r="L89" s="14">
        <f t="shared" si="60"/>
        <v>380.19999999999993</v>
      </c>
      <c r="M89" s="14">
        <f t="shared" si="60"/>
        <v>75.400000000000063</v>
      </c>
      <c r="N89" s="14">
        <f>N72+N74</f>
        <v>1322.3000000000002</v>
      </c>
      <c r="O89" s="14">
        <f>O72+O74</f>
        <v>-99.399999999999991</v>
      </c>
      <c r="P89" s="14">
        <f t="shared" ref="P89:S89" si="61">P72+P74</f>
        <v>436.70000000000005</v>
      </c>
      <c r="Q89" s="15">
        <f t="shared" si="61"/>
        <v>34.400000000000055</v>
      </c>
      <c r="R89" s="14">
        <f t="shared" si="61"/>
        <v>0</v>
      </c>
      <c r="S89" s="14">
        <f t="shared" si="61"/>
        <v>0</v>
      </c>
      <c r="V89" s="14">
        <f t="shared" ref="V89:Y89" si="62">V72+V74</f>
        <v>101.09999999999997</v>
      </c>
      <c r="W89" s="14">
        <f t="shared" si="62"/>
        <v>1079.3</v>
      </c>
      <c r="X89" s="14">
        <f t="shared" si="62"/>
        <v>1059.2</v>
      </c>
      <c r="Y89" s="14">
        <f t="shared" si="62"/>
        <v>834.4000000000002</v>
      </c>
      <c r="Z89" s="14">
        <f>Z72+Z74</f>
        <v>817.4</v>
      </c>
      <c r="AA89" s="14">
        <f>AA72+AA74</f>
        <v>1369.8</v>
      </c>
    </row>
    <row r="90" spans="3:27" x14ac:dyDescent="0.25">
      <c r="V90" s="14"/>
      <c r="W90" s="14"/>
      <c r="X90" s="14"/>
      <c r="Y90" s="14"/>
      <c r="Z90" s="14"/>
      <c r="AA90" s="14"/>
    </row>
    <row r="91" spans="3:27" x14ac:dyDescent="0.25">
      <c r="V91" s="14"/>
      <c r="W91" s="14"/>
      <c r="X91" s="14"/>
      <c r="Y91" s="14"/>
      <c r="Z91" s="14"/>
      <c r="AA91" s="14"/>
    </row>
    <row r="92" spans="3:27" x14ac:dyDescent="0.25">
      <c r="V92" s="14"/>
      <c r="W92" s="14"/>
      <c r="X92" s="14"/>
      <c r="Y92" s="14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W15"/>
  <sheetViews>
    <sheetView showGridLines="0" workbookViewId="0">
      <pane xSplit="2" ySplit="6" topLeftCell="M7" activePane="bottomRight" state="frozen"/>
      <selection pane="topRight" activeCell="C1" sqref="C1"/>
      <selection pane="bottomLeft" activeCell="A7" sqref="A7"/>
      <selection pane="bottomRight" activeCell="S15" sqref="S15"/>
    </sheetView>
  </sheetViews>
  <sheetFormatPr baseColWidth="10" defaultRowHeight="19" x14ac:dyDescent="0.25"/>
  <cols>
    <col min="1" max="1" width="6.5" style="2" customWidth="1"/>
    <col min="2" max="2" width="10.83203125" style="2"/>
    <col min="3" max="3" width="15.1640625" style="2" customWidth="1"/>
    <col min="4" max="4" width="15.6640625" style="2" customWidth="1"/>
    <col min="5" max="5" width="15" style="2" customWidth="1"/>
    <col min="6" max="7" width="14.5" style="2" customWidth="1"/>
    <col min="8" max="12" width="14.83203125" style="2" customWidth="1"/>
    <col min="13" max="13" width="15" style="2" customWidth="1"/>
    <col min="14" max="14" width="15.33203125" style="2" customWidth="1"/>
    <col min="15" max="15" width="16.33203125" style="2" customWidth="1"/>
    <col min="16" max="18" width="15.6640625" style="2" customWidth="1"/>
    <col min="19" max="19" width="16.33203125" style="2" customWidth="1"/>
    <col min="20" max="20" width="16" style="2" customWidth="1"/>
    <col min="21" max="21" width="15.5" style="2" customWidth="1"/>
    <col min="22" max="22" width="13.83203125" style="2" bestFit="1" customWidth="1"/>
    <col min="23" max="16384" width="10.83203125" style="2"/>
  </cols>
  <sheetData>
    <row r="4" spans="2:23" x14ac:dyDescent="0.25">
      <c r="C4" s="7" t="s">
        <v>116</v>
      </c>
      <c r="D4" s="7" t="s">
        <v>114</v>
      </c>
      <c r="E4" s="7" t="s">
        <v>41</v>
      </c>
      <c r="F4" s="7" t="s">
        <v>42</v>
      </c>
      <c r="G4" s="7"/>
      <c r="H4" s="7" t="s">
        <v>116</v>
      </c>
      <c r="I4" s="7" t="s">
        <v>114</v>
      </c>
      <c r="J4" s="7" t="s">
        <v>41</v>
      </c>
      <c r="K4" s="7" t="s">
        <v>42</v>
      </c>
      <c r="L4" s="7"/>
      <c r="M4" s="7" t="s">
        <v>116</v>
      </c>
      <c r="N4" s="7" t="s">
        <v>114</v>
      </c>
      <c r="O4" s="7" t="s">
        <v>41</v>
      </c>
      <c r="P4" s="7" t="s">
        <v>42</v>
      </c>
      <c r="Q4" s="7"/>
      <c r="R4" s="7" t="s">
        <v>116</v>
      </c>
      <c r="S4" s="7" t="s">
        <v>114</v>
      </c>
      <c r="T4" s="7" t="s">
        <v>41</v>
      </c>
      <c r="U4" s="7" t="s">
        <v>42</v>
      </c>
    </row>
    <row r="6" spans="2:23" x14ac:dyDescent="0.25">
      <c r="B6" s="2" t="s">
        <v>22</v>
      </c>
      <c r="C6" s="7" t="s">
        <v>3</v>
      </c>
      <c r="D6" s="7" t="s">
        <v>4</v>
      </c>
      <c r="E6" s="7" t="s">
        <v>5</v>
      </c>
      <c r="F6" s="7" t="s">
        <v>6</v>
      </c>
      <c r="G6" s="33" t="s">
        <v>125</v>
      </c>
      <c r="H6" s="7" t="s">
        <v>7</v>
      </c>
      <c r="I6" s="7" t="s">
        <v>8</v>
      </c>
      <c r="J6" s="7" t="s">
        <v>9</v>
      </c>
      <c r="K6" s="7" t="s">
        <v>10</v>
      </c>
      <c r="L6" s="33" t="s">
        <v>124</v>
      </c>
      <c r="M6" s="7" t="s">
        <v>11</v>
      </c>
      <c r="N6" s="7" t="s">
        <v>12</v>
      </c>
      <c r="O6" s="7" t="s">
        <v>13</v>
      </c>
      <c r="P6" s="7" t="s">
        <v>14</v>
      </c>
      <c r="Q6" s="37" t="s">
        <v>123</v>
      </c>
      <c r="R6" s="7" t="s">
        <v>37</v>
      </c>
      <c r="S6" s="7" t="s">
        <v>38</v>
      </c>
      <c r="T6" s="7" t="s">
        <v>39</v>
      </c>
      <c r="U6" s="7" t="s">
        <v>40</v>
      </c>
      <c r="V6" s="36" t="s">
        <v>129</v>
      </c>
    </row>
    <row r="7" spans="2:23" x14ac:dyDescent="0.25">
      <c r="B7" s="1" t="s">
        <v>144</v>
      </c>
      <c r="Q7" s="38"/>
    </row>
    <row r="8" spans="2:23" x14ac:dyDescent="0.25">
      <c r="B8" s="2" t="s">
        <v>145</v>
      </c>
      <c r="C8" s="2">
        <v>930.4</v>
      </c>
      <c r="D8" s="2">
        <v>1010.7</v>
      </c>
      <c r="E8" s="2">
        <v>1299.9000000000001</v>
      </c>
      <c r="F8" s="2">
        <v>846.8</v>
      </c>
      <c r="G8" s="1">
        <f>SUM(C8:F8)</f>
        <v>4087.8</v>
      </c>
      <c r="H8" s="2">
        <v>1013.8</v>
      </c>
      <c r="I8" s="2">
        <v>1102</v>
      </c>
      <c r="J8" s="2">
        <v>1483.1</v>
      </c>
      <c r="K8" s="2">
        <v>947.5</v>
      </c>
      <c r="L8" s="1">
        <f>SUM(H8:K8)</f>
        <v>4546.3999999999996</v>
      </c>
      <c r="M8" s="2">
        <v>1142</v>
      </c>
      <c r="N8" s="2">
        <v>1219.4000000000001</v>
      </c>
      <c r="O8" s="2">
        <v>1693.5</v>
      </c>
      <c r="P8" s="2">
        <v>1034</v>
      </c>
      <c r="Q8" s="39">
        <f>SUM(M8:P8)</f>
        <v>5088.8999999999996</v>
      </c>
      <c r="R8" s="2">
        <v>1320</v>
      </c>
      <c r="S8" s="2">
        <v>1410</v>
      </c>
      <c r="V8" s="39">
        <f>SUM(R8:U8)</f>
        <v>2730</v>
      </c>
    </row>
    <row r="9" spans="2:23" x14ac:dyDescent="0.25">
      <c r="B9" s="32" t="s">
        <v>146</v>
      </c>
      <c r="C9" s="32"/>
      <c r="D9" s="32"/>
      <c r="E9" s="32"/>
      <c r="F9" s="32"/>
      <c r="G9" s="34"/>
      <c r="H9" s="32">
        <f t="shared" ref="H9:V9" si="0">(H8-C8)/C8</f>
        <v>8.9638865004299198E-2</v>
      </c>
      <c r="I9" s="32">
        <f t="shared" si="0"/>
        <v>9.0333432274661077E-2</v>
      </c>
      <c r="J9" s="32">
        <f t="shared" si="0"/>
        <v>0.14093391799369168</v>
      </c>
      <c r="K9" s="32">
        <f t="shared" si="0"/>
        <v>0.11891828058573459</v>
      </c>
      <c r="L9" s="32">
        <f t="shared" si="0"/>
        <v>0.11218748471060214</v>
      </c>
      <c r="M9" s="32">
        <f t="shared" si="0"/>
        <v>0.12645492207536008</v>
      </c>
      <c r="N9" s="32">
        <f t="shared" si="0"/>
        <v>0.10653357531760443</v>
      </c>
      <c r="O9" s="32">
        <f t="shared" si="0"/>
        <v>0.14186501247387237</v>
      </c>
      <c r="P9" s="32">
        <f t="shared" si="0"/>
        <v>9.129287598944591E-2</v>
      </c>
      <c r="Q9" s="40">
        <f t="shared" si="0"/>
        <v>0.11932518036248461</v>
      </c>
      <c r="R9" s="32">
        <f t="shared" si="0"/>
        <v>0.15586690017513136</v>
      </c>
      <c r="S9" s="32">
        <f t="shared" si="0"/>
        <v>0.15630638018697712</v>
      </c>
      <c r="T9" s="32">
        <f t="shared" si="0"/>
        <v>-1</v>
      </c>
      <c r="U9" s="32">
        <f t="shared" si="0"/>
        <v>-1</v>
      </c>
      <c r="V9" s="40">
        <f t="shared" si="0"/>
        <v>-0.46353828921770912</v>
      </c>
      <c r="W9" s="32"/>
    </row>
    <row r="10" spans="2:23" x14ac:dyDescent="0.25">
      <c r="B10" s="1" t="s">
        <v>147</v>
      </c>
      <c r="G10" s="1"/>
      <c r="Q10" s="38"/>
      <c r="V10" s="38"/>
    </row>
    <row r="11" spans="2:23" x14ac:dyDescent="0.25">
      <c r="B11" s="2" t="s">
        <v>145</v>
      </c>
      <c r="C11" s="2">
        <v>870.2</v>
      </c>
      <c r="D11" s="2">
        <v>973.2</v>
      </c>
      <c r="E11" s="2">
        <v>1318</v>
      </c>
      <c r="F11" s="2">
        <v>728.3</v>
      </c>
      <c r="G11" s="1">
        <f>SUM(C11:F11)</f>
        <v>3889.7</v>
      </c>
      <c r="H11" s="2">
        <v>933.6</v>
      </c>
      <c r="I11" s="2">
        <v>1055.7</v>
      </c>
      <c r="J11" s="2">
        <v>1384.6</v>
      </c>
      <c r="K11" s="2">
        <v>833.1</v>
      </c>
      <c r="L11" s="1">
        <f>SUM(H11:K11)</f>
        <v>4207</v>
      </c>
      <c r="M11" s="2">
        <v>1018</v>
      </c>
      <c r="N11" s="2">
        <v>1067.8</v>
      </c>
      <c r="O11" s="2">
        <v>1571.8</v>
      </c>
      <c r="P11" s="2">
        <v>898.2</v>
      </c>
      <c r="Q11" s="39">
        <f>SUM(M11:P11)</f>
        <v>4555.8</v>
      </c>
      <c r="R11" s="2">
        <v>1163</v>
      </c>
      <c r="S11" s="2">
        <v>1214</v>
      </c>
      <c r="V11" s="39">
        <f>SUM(R11:U11)</f>
        <v>2377</v>
      </c>
    </row>
    <row r="12" spans="2:23" x14ac:dyDescent="0.25">
      <c r="B12" s="32" t="s">
        <v>146</v>
      </c>
      <c r="C12" s="25"/>
      <c r="D12" s="25"/>
      <c r="E12" s="25"/>
      <c r="F12" s="25"/>
      <c r="G12" s="35"/>
      <c r="H12" s="32">
        <f t="shared" ref="H12" si="1">(H11-C11)/C11</f>
        <v>7.2856814525396427E-2</v>
      </c>
      <c r="I12" s="32">
        <f t="shared" ref="I12" si="2">(I11-D11)/D11</f>
        <v>8.4771886559802709E-2</v>
      </c>
      <c r="J12" s="32">
        <f t="shared" ref="J12" si="3">(J11-E11)/E11</f>
        <v>5.0531107738998417E-2</v>
      </c>
      <c r="K12" s="32">
        <f t="shared" ref="K12" si="4">(K11-F11)/F11</f>
        <v>0.14389674584649192</v>
      </c>
      <c r="L12" s="32">
        <f>(L11-G11)/G11</f>
        <v>8.1574414479265805E-2</v>
      </c>
      <c r="M12" s="32">
        <f t="shared" ref="M12" si="5">(M11-H11)/H11</f>
        <v>9.0402742073693199E-2</v>
      </c>
      <c r="N12" s="32">
        <f t="shared" ref="N12" si="6">(N11-I11)/I11</f>
        <v>1.146158946670447E-2</v>
      </c>
      <c r="O12" s="32">
        <f t="shared" ref="O12" si="7">(O11-J11)/J11</f>
        <v>0.13520150223891381</v>
      </c>
      <c r="P12" s="32">
        <f>(P11-K11)/K11</f>
        <v>7.8141879726323402E-2</v>
      </c>
      <c r="Q12" s="40">
        <f>(Q11-L11)/L11</f>
        <v>8.2909436653197097E-2</v>
      </c>
      <c r="R12" s="32">
        <f t="shared" ref="R12" si="8">(R11-M11)/M11</f>
        <v>0.14243614931237722</v>
      </c>
      <c r="S12" s="32">
        <f t="shared" ref="S12" si="9">(S11-N11)/N11</f>
        <v>0.13691702566023606</v>
      </c>
      <c r="T12" s="32">
        <f t="shared" ref="T12" si="10">(T11-O11)/O11</f>
        <v>-1</v>
      </c>
      <c r="U12" s="32">
        <f t="shared" ref="U12" si="11">(U11-P11)/P11</f>
        <v>-1</v>
      </c>
      <c r="V12" s="40">
        <f>(V11-Q11)/Q11</f>
        <v>-0.4782475086702665</v>
      </c>
      <c r="W12" s="25"/>
    </row>
    <row r="13" spans="2:23" x14ac:dyDescent="0.25">
      <c r="B13" s="1" t="s">
        <v>148</v>
      </c>
      <c r="G13" s="1"/>
      <c r="Q13" s="38"/>
      <c r="V13" s="38"/>
    </row>
    <row r="14" spans="2:23" x14ac:dyDescent="0.25">
      <c r="B14" s="2" t="s">
        <v>145</v>
      </c>
      <c r="C14" s="2">
        <v>231</v>
      </c>
      <c r="D14" s="2">
        <v>266.7</v>
      </c>
      <c r="E14" s="2">
        <v>336.2</v>
      </c>
      <c r="F14" s="2">
        <v>201.2</v>
      </c>
      <c r="G14" s="1">
        <f>SUM(C14:F14)</f>
        <v>1035.0999999999999</v>
      </c>
      <c r="H14" s="2">
        <v>245.7</v>
      </c>
      <c r="I14" s="2">
        <v>302.5</v>
      </c>
      <c r="J14" s="2">
        <v>365.5</v>
      </c>
      <c r="K14" s="2">
        <v>217.6</v>
      </c>
      <c r="L14" s="1">
        <f>SUM(H14:K14)</f>
        <v>1131.3</v>
      </c>
      <c r="M14" s="2">
        <v>253.2</v>
      </c>
      <c r="N14" s="2">
        <v>302.7</v>
      </c>
      <c r="O14" s="2">
        <v>389.8</v>
      </c>
      <c r="P14" s="2">
        <v>217</v>
      </c>
      <c r="Q14" s="39">
        <f>SUM(M14:P14)</f>
        <v>1162.7</v>
      </c>
      <c r="R14" s="2">
        <v>259</v>
      </c>
      <c r="S14" s="2">
        <v>309</v>
      </c>
      <c r="V14" s="39">
        <f>SUM(R14:U14)</f>
        <v>568</v>
      </c>
    </row>
    <row r="15" spans="2:23" x14ac:dyDescent="0.25">
      <c r="B15" s="32" t="s">
        <v>146</v>
      </c>
      <c r="C15" s="25"/>
      <c r="D15" s="25"/>
      <c r="E15" s="25"/>
      <c r="F15" s="25"/>
      <c r="G15" s="35"/>
      <c r="H15" s="32">
        <f t="shared" ref="H15" si="12">(H14-C14)/C14</f>
        <v>6.3636363636363588E-2</v>
      </c>
      <c r="I15" s="32">
        <f t="shared" ref="I15" si="13">(I14-D14)/D14</f>
        <v>0.13423322084739411</v>
      </c>
      <c r="J15" s="32">
        <f t="shared" ref="J15" si="14">(J14-E14)/E14</f>
        <v>8.7150505651398008E-2</v>
      </c>
      <c r="K15" s="32">
        <f t="shared" ref="K15" si="15">(K14-F14)/F14</f>
        <v>8.1510934393638199E-2</v>
      </c>
      <c r="L15" s="32">
        <f>(L14-G14)/G14</f>
        <v>9.2937880398029221E-2</v>
      </c>
      <c r="M15" s="32">
        <f t="shared" ref="M15" si="16">(M14-H14)/H14</f>
        <v>3.0525030525030528E-2</v>
      </c>
      <c r="N15" s="32">
        <f t="shared" ref="N15" si="17">(N14-I14)/I14</f>
        <v>6.6115702479335086E-4</v>
      </c>
      <c r="O15" s="32">
        <f t="shared" ref="O15" si="18">(O14-J14)/J14</f>
        <v>6.648426812585502E-2</v>
      </c>
      <c r="P15" s="32">
        <f>(P14-K14)/K14</f>
        <v>-2.7573529411764447E-3</v>
      </c>
      <c r="Q15" s="40">
        <f>(Q14-L14)/L14</f>
        <v>2.7755679306992038E-2</v>
      </c>
      <c r="R15" s="32">
        <f t="shared" ref="R15" si="19">(R14-M14)/M14</f>
        <v>2.2906793048973188E-2</v>
      </c>
      <c r="S15" s="32">
        <f t="shared" ref="S15" si="20">(S14-N14)/N14</f>
        <v>2.0812685827552069E-2</v>
      </c>
      <c r="T15" s="32">
        <f t="shared" ref="T15" si="21">(T14-O14)/O14</f>
        <v>-1</v>
      </c>
      <c r="U15" s="32">
        <f t="shared" ref="U15" si="22">(U14-P14)/P14</f>
        <v>-1</v>
      </c>
      <c r="V15" s="40">
        <f>(V14-Q14)/Q14</f>
        <v>-0.51148189558785584</v>
      </c>
      <c r="W15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G26" sqref="G26"/>
    </sheetView>
  </sheetViews>
  <sheetFormatPr baseColWidth="10" defaultRowHeight="16" x14ac:dyDescent="0.2"/>
  <cols>
    <col min="3" max="3" width="29.5" bestFit="1" customWidth="1"/>
    <col min="4" max="4" width="22" customWidth="1"/>
    <col min="5" max="5" width="22.5" customWidth="1"/>
    <col min="6" max="6" width="21.1640625" customWidth="1"/>
  </cols>
  <sheetData>
    <row r="4" spans="3:6" ht="62" x14ac:dyDescent="0.7">
      <c r="C4" s="16"/>
      <c r="D4" s="16" t="s">
        <v>140</v>
      </c>
      <c r="E4" s="16" t="s">
        <v>141</v>
      </c>
      <c r="F4" s="16" t="s">
        <v>142</v>
      </c>
    </row>
    <row r="5" spans="3:6" ht="62" x14ac:dyDescent="0.7">
      <c r="C5" s="16" t="s">
        <v>20</v>
      </c>
      <c r="D5" s="30">
        <f>Modell!$B$9/Modell!AB11</f>
        <v>15.229213631482333</v>
      </c>
      <c r="E5" s="30">
        <f>Modell!$B$9/Modell!AC11</f>
        <v>12.847676914540228</v>
      </c>
      <c r="F5" s="30">
        <f>Modell!$B$9/Modell!AD11</f>
        <v>11.035641485178754</v>
      </c>
    </row>
    <row r="6" spans="3:6" ht="62" x14ac:dyDescent="0.7">
      <c r="C6" s="16" t="s">
        <v>21</v>
      </c>
      <c r="D6" s="30">
        <f>Modell!$B$4/Modell!AB18</f>
        <v>18.722484115477645</v>
      </c>
      <c r="E6" s="30">
        <f>Modell!$B$4/Modell!AC18</f>
        <v>15.794671528936673</v>
      </c>
      <c r="F6" s="30">
        <f>Modell!$B$4/Modell!AD18</f>
        <v>13.566992190801288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775E-9741-1641-A880-70D679C7FFA3}">
  <dimension ref="A3:DG24"/>
  <sheetViews>
    <sheetView showGridLines="0" tabSelected="1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N37" sqref="N37"/>
    </sheetView>
  </sheetViews>
  <sheetFormatPr baseColWidth="10" defaultRowHeight="16" x14ac:dyDescent="0.2"/>
  <cols>
    <col min="2" max="2" width="19.33203125" style="42" customWidth="1"/>
    <col min="3" max="3" width="26" customWidth="1"/>
    <col min="22" max="22" width="14.1640625" bestFit="1" customWidth="1"/>
    <col min="23" max="23" width="13.33203125" bestFit="1" customWidth="1"/>
  </cols>
  <sheetData>
    <row r="3" spans="1:111" ht="19" x14ac:dyDescent="0.25">
      <c r="D3" s="7" t="s">
        <v>128</v>
      </c>
      <c r="E3" s="7" t="s">
        <v>127</v>
      </c>
      <c r="F3" s="7" t="s">
        <v>126</v>
      </c>
      <c r="G3" s="7" t="s">
        <v>125</v>
      </c>
      <c r="H3" s="7" t="s">
        <v>124</v>
      </c>
      <c r="I3" s="7" t="s">
        <v>123</v>
      </c>
      <c r="J3" s="8" t="s">
        <v>129</v>
      </c>
      <c r="K3" s="7" t="s">
        <v>130</v>
      </c>
      <c r="L3" s="7" t="s">
        <v>131</v>
      </c>
      <c r="M3" s="7" t="s">
        <v>132</v>
      </c>
      <c r="N3" s="7" t="s">
        <v>133</v>
      </c>
      <c r="O3" s="7" t="s">
        <v>134</v>
      </c>
      <c r="P3" s="7" t="s">
        <v>135</v>
      </c>
      <c r="Q3" s="7" t="s">
        <v>136</v>
      </c>
      <c r="R3" s="7" t="s">
        <v>137</v>
      </c>
      <c r="S3" s="7" t="s">
        <v>138</v>
      </c>
      <c r="T3" s="7" t="s">
        <v>139</v>
      </c>
    </row>
    <row r="4" spans="1:111" ht="19" x14ac:dyDescent="0.25">
      <c r="A4" s="1" t="s">
        <v>166</v>
      </c>
      <c r="C4" s="1" t="s">
        <v>44</v>
      </c>
      <c r="D4" s="12">
        <v>8758.2999999999993</v>
      </c>
      <c r="E4" s="12">
        <v>8284.4</v>
      </c>
      <c r="F4" s="12">
        <v>8783.7000000000007</v>
      </c>
      <c r="G4" s="12">
        <v>9024.2999999999993</v>
      </c>
      <c r="H4" s="12">
        <v>10232</v>
      </c>
      <c r="I4" s="12">
        <v>11626</v>
      </c>
      <c r="J4" s="13">
        <f>I4*1.07</f>
        <v>12439.820000000002</v>
      </c>
      <c r="K4" s="12">
        <f>J4*1</f>
        <v>12439.820000000002</v>
      </c>
      <c r="L4" s="12">
        <f t="shared" ref="L4:T4" si="0">K4*1</f>
        <v>12439.820000000002</v>
      </c>
      <c r="M4" s="12">
        <f t="shared" si="0"/>
        <v>12439.820000000002</v>
      </c>
      <c r="N4" s="12">
        <f t="shared" si="0"/>
        <v>12439.820000000002</v>
      </c>
      <c r="O4" s="12">
        <f t="shared" si="0"/>
        <v>12439.820000000002</v>
      </c>
      <c r="P4" s="12">
        <f t="shared" si="0"/>
        <v>12439.820000000002</v>
      </c>
      <c r="Q4" s="12">
        <f t="shared" si="0"/>
        <v>12439.820000000002</v>
      </c>
      <c r="R4" s="12">
        <f t="shared" si="0"/>
        <v>12439.820000000002</v>
      </c>
      <c r="S4" s="12">
        <f t="shared" si="0"/>
        <v>12439.820000000002</v>
      </c>
      <c r="T4" s="12">
        <f t="shared" si="0"/>
        <v>12439.820000000002</v>
      </c>
    </row>
    <row r="5" spans="1:111" ht="19" x14ac:dyDescent="0.25">
      <c r="A5" s="44">
        <f>W23</f>
        <v>189.06714090323953</v>
      </c>
      <c r="C5" s="2" t="s">
        <v>45</v>
      </c>
      <c r="D5" s="14">
        <v>-5268.1</v>
      </c>
      <c r="E5" s="14">
        <v>-4928.6000000000004</v>
      </c>
      <c r="F5" s="14">
        <v>-5178.8999999999996</v>
      </c>
      <c r="G5" s="14">
        <v>-5640.6</v>
      </c>
      <c r="H5" s="14">
        <v>-6215.9</v>
      </c>
      <c r="I5" s="14">
        <v>-7085</v>
      </c>
      <c r="J5" s="15">
        <f>J4*-0.6</f>
        <v>-7463.8920000000007</v>
      </c>
      <c r="K5" s="14">
        <f t="shared" ref="K5:T5" si="1">K4*-0.6</f>
        <v>-7463.8920000000007</v>
      </c>
      <c r="L5" s="14">
        <f t="shared" si="1"/>
        <v>-7463.8920000000007</v>
      </c>
      <c r="M5" s="14">
        <f t="shared" si="1"/>
        <v>-7463.8920000000007</v>
      </c>
      <c r="N5" s="14">
        <f t="shared" si="1"/>
        <v>-7463.8920000000007</v>
      </c>
      <c r="O5" s="14">
        <f t="shared" si="1"/>
        <v>-7463.8920000000007</v>
      </c>
      <c r="P5" s="14">
        <f t="shared" si="1"/>
        <v>-7463.8920000000007</v>
      </c>
      <c r="Q5" s="14">
        <f t="shared" si="1"/>
        <v>-7463.8920000000007</v>
      </c>
      <c r="R5" s="14">
        <f t="shared" si="1"/>
        <v>-7463.8920000000007</v>
      </c>
      <c r="S5" s="14">
        <f t="shared" si="1"/>
        <v>-7463.8920000000007</v>
      </c>
      <c r="T5" s="14">
        <f t="shared" si="1"/>
        <v>-7463.8920000000007</v>
      </c>
    </row>
    <row r="6" spans="1:111" ht="19" x14ac:dyDescent="0.25">
      <c r="A6" s="29">
        <f>W24</f>
        <v>-0.36724517770000159</v>
      </c>
      <c r="C6" s="2" t="s">
        <v>46</v>
      </c>
      <c r="D6" s="14">
        <f t="shared" ref="D6:T6" si="2">SUM(D4:D5)</f>
        <v>3490.1999999999989</v>
      </c>
      <c r="E6" s="14">
        <f t="shared" si="2"/>
        <v>3355.7999999999993</v>
      </c>
      <c r="F6" s="14">
        <f t="shared" si="2"/>
        <v>3604.8000000000011</v>
      </c>
      <c r="G6" s="14">
        <f t="shared" si="2"/>
        <v>3383.6999999999989</v>
      </c>
      <c r="H6" s="14">
        <f t="shared" si="2"/>
        <v>4016.1000000000004</v>
      </c>
      <c r="I6" s="14">
        <f t="shared" si="2"/>
        <v>4541</v>
      </c>
      <c r="J6" s="15">
        <f t="shared" si="2"/>
        <v>4975.9280000000008</v>
      </c>
      <c r="K6" s="14">
        <f t="shared" si="2"/>
        <v>4975.9280000000008</v>
      </c>
      <c r="L6" s="14">
        <f t="shared" si="2"/>
        <v>4975.9280000000008</v>
      </c>
      <c r="M6" s="14">
        <f t="shared" si="2"/>
        <v>4975.9280000000008</v>
      </c>
      <c r="N6" s="14">
        <f t="shared" si="2"/>
        <v>4975.9280000000008</v>
      </c>
      <c r="O6" s="14">
        <f t="shared" si="2"/>
        <v>4975.9280000000008</v>
      </c>
      <c r="P6" s="14">
        <f t="shared" si="2"/>
        <v>4975.9280000000008</v>
      </c>
      <c r="Q6" s="14">
        <f t="shared" si="2"/>
        <v>4975.9280000000008</v>
      </c>
      <c r="R6" s="14">
        <f t="shared" si="2"/>
        <v>4975.9280000000008</v>
      </c>
      <c r="S6" s="14">
        <f t="shared" si="2"/>
        <v>4975.9280000000008</v>
      </c>
      <c r="T6" s="14">
        <f t="shared" si="2"/>
        <v>4975.9280000000008</v>
      </c>
    </row>
    <row r="7" spans="1:111" ht="19" x14ac:dyDescent="0.25">
      <c r="C7" s="2" t="s">
        <v>47</v>
      </c>
      <c r="D7" s="14">
        <v>-2720</v>
      </c>
      <c r="E7" s="14">
        <v>-2547.5</v>
      </c>
      <c r="F7" s="14">
        <v>-2703.9</v>
      </c>
      <c r="G7" s="14">
        <v>-2727.6</v>
      </c>
      <c r="H7" s="14">
        <v>-2916.1</v>
      </c>
      <c r="I7" s="14">
        <v>-3161</v>
      </c>
      <c r="J7" s="15">
        <f>I7*1.08</f>
        <v>-3413.88</v>
      </c>
      <c r="K7" s="14">
        <f>J7</f>
        <v>-3413.88</v>
      </c>
      <c r="L7" s="14">
        <f>K7</f>
        <v>-3413.88</v>
      </c>
      <c r="M7" s="14">
        <f>L7*1</f>
        <v>-3413.88</v>
      </c>
      <c r="N7" s="14">
        <f t="shared" ref="N7:T7" si="3">M7*1</f>
        <v>-3413.88</v>
      </c>
      <c r="O7" s="14">
        <f t="shared" si="3"/>
        <v>-3413.88</v>
      </c>
      <c r="P7" s="14">
        <f t="shared" si="3"/>
        <v>-3413.88</v>
      </c>
      <c r="Q7" s="14">
        <f t="shared" si="3"/>
        <v>-3413.88</v>
      </c>
      <c r="R7" s="14">
        <f t="shared" si="3"/>
        <v>-3413.88</v>
      </c>
      <c r="S7" s="14">
        <f t="shared" si="3"/>
        <v>-3413.88</v>
      </c>
      <c r="T7" s="14">
        <f t="shared" si="3"/>
        <v>-3413.88</v>
      </c>
    </row>
    <row r="8" spans="1:111" ht="19" x14ac:dyDescent="0.25">
      <c r="C8" s="2" t="s">
        <v>48</v>
      </c>
      <c r="D8" s="14">
        <v>-220.8</v>
      </c>
      <c r="E8" s="14">
        <v>-195.2</v>
      </c>
      <c r="F8" s="14">
        <v>-199.9</v>
      </c>
      <c r="G8" s="14">
        <v>-184.8</v>
      </c>
      <c r="H8" s="14">
        <v>-188.2</v>
      </c>
      <c r="I8" s="14">
        <v>-205</v>
      </c>
      <c r="J8" s="15">
        <f>I8*1.05</f>
        <v>-215.25</v>
      </c>
      <c r="K8" s="14">
        <f t="shared" ref="K8:L10" si="4">J8</f>
        <v>-215.25</v>
      </c>
      <c r="L8" s="14">
        <f t="shared" si="4"/>
        <v>-215.25</v>
      </c>
      <c r="M8" s="14">
        <f t="shared" ref="M8:T10" si="5">L8*1</f>
        <v>-215.25</v>
      </c>
      <c r="N8" s="14">
        <f t="shared" si="5"/>
        <v>-215.25</v>
      </c>
      <c r="O8" s="14">
        <f t="shared" si="5"/>
        <v>-215.25</v>
      </c>
      <c r="P8" s="14">
        <f t="shared" si="5"/>
        <v>-215.25</v>
      </c>
      <c r="Q8" s="14">
        <f t="shared" si="5"/>
        <v>-215.25</v>
      </c>
      <c r="R8" s="14">
        <f t="shared" si="5"/>
        <v>-215.25</v>
      </c>
      <c r="S8" s="14">
        <f t="shared" si="5"/>
        <v>-215.25</v>
      </c>
      <c r="T8" s="14">
        <f t="shared" si="5"/>
        <v>-215.25</v>
      </c>
    </row>
    <row r="9" spans="1:111" ht="19" x14ac:dyDescent="0.25">
      <c r="C9" s="2" t="s">
        <v>49</v>
      </c>
      <c r="D9" s="14">
        <v>25.8</v>
      </c>
      <c r="E9" s="14">
        <v>7.1</v>
      </c>
      <c r="F9" s="14">
        <v>33.799999999999997</v>
      </c>
      <c r="G9" s="14">
        <v>18.399999999999999</v>
      </c>
      <c r="H9" s="14">
        <v>18.3</v>
      </c>
      <c r="I9" s="14">
        <v>0</v>
      </c>
      <c r="J9" s="15">
        <f t="shared" ref="J9:J10" si="6">I9*1.1</f>
        <v>0</v>
      </c>
      <c r="K9" s="14">
        <f t="shared" si="4"/>
        <v>0</v>
      </c>
      <c r="L9" s="14">
        <f t="shared" si="4"/>
        <v>0</v>
      </c>
      <c r="M9" s="14">
        <f t="shared" si="5"/>
        <v>0</v>
      </c>
      <c r="N9" s="14">
        <f t="shared" si="5"/>
        <v>0</v>
      </c>
      <c r="O9" s="14">
        <f t="shared" si="5"/>
        <v>0</v>
      </c>
      <c r="P9" s="14">
        <f t="shared" si="5"/>
        <v>0</v>
      </c>
      <c r="Q9" s="14">
        <f t="shared" si="5"/>
        <v>0</v>
      </c>
      <c r="R9" s="14">
        <f t="shared" si="5"/>
        <v>0</v>
      </c>
      <c r="S9" s="14">
        <f t="shared" si="5"/>
        <v>0</v>
      </c>
      <c r="T9" s="14">
        <f t="shared" si="5"/>
        <v>0</v>
      </c>
    </row>
    <row r="10" spans="1:111" ht="19" x14ac:dyDescent="0.25">
      <c r="C10" s="2" t="s">
        <v>50</v>
      </c>
      <c r="D10" s="14">
        <v>-25.9</v>
      </c>
      <c r="E10" s="14">
        <v>-12.1</v>
      </c>
      <c r="F10" s="14">
        <v>-15.3</v>
      </c>
      <c r="G10" s="14">
        <v>-184.7</v>
      </c>
      <c r="H10" s="14">
        <v>-213.3</v>
      </c>
      <c r="I10" s="14">
        <v>-5</v>
      </c>
      <c r="J10" s="15">
        <f t="shared" si="6"/>
        <v>-5.5</v>
      </c>
      <c r="K10" s="14">
        <f t="shared" si="4"/>
        <v>-5.5</v>
      </c>
      <c r="L10" s="14">
        <f t="shared" si="4"/>
        <v>-5.5</v>
      </c>
      <c r="M10" s="14">
        <f t="shared" si="5"/>
        <v>-5.5</v>
      </c>
      <c r="N10" s="14">
        <f t="shared" si="5"/>
        <v>-5.5</v>
      </c>
      <c r="O10" s="14">
        <f t="shared" si="5"/>
        <v>-5.5</v>
      </c>
      <c r="P10" s="14">
        <f t="shared" si="5"/>
        <v>-5.5</v>
      </c>
      <c r="Q10" s="14">
        <f t="shared" si="5"/>
        <v>-5.5</v>
      </c>
      <c r="R10" s="14">
        <f t="shared" si="5"/>
        <v>-5.5</v>
      </c>
      <c r="S10" s="14">
        <f t="shared" si="5"/>
        <v>-5.5</v>
      </c>
      <c r="T10" s="14">
        <f t="shared" si="5"/>
        <v>-5.5</v>
      </c>
    </row>
    <row r="11" spans="1:111" ht="19" x14ac:dyDescent="0.25">
      <c r="C11" s="1" t="s">
        <v>51</v>
      </c>
      <c r="D11" s="12">
        <f t="shared" ref="D11:T11" si="7">SUM(D6:D10)</f>
        <v>549.29999999999893</v>
      </c>
      <c r="E11" s="12">
        <f t="shared" si="7"/>
        <v>608.09999999999923</v>
      </c>
      <c r="F11" s="12">
        <f t="shared" si="7"/>
        <v>719.50000000000102</v>
      </c>
      <c r="G11" s="12">
        <f t="shared" si="7"/>
        <v>304.99999999999898</v>
      </c>
      <c r="H11" s="12">
        <f t="shared" si="7"/>
        <v>716.80000000000041</v>
      </c>
      <c r="I11" s="12">
        <f t="shared" si="7"/>
        <v>1170</v>
      </c>
      <c r="J11" s="13">
        <f t="shared" si="7"/>
        <v>1341.2980000000007</v>
      </c>
      <c r="K11" s="12">
        <f t="shared" si="7"/>
        <v>1341.2980000000007</v>
      </c>
      <c r="L11" s="12">
        <f t="shared" si="7"/>
        <v>1341.2980000000007</v>
      </c>
      <c r="M11" s="12">
        <f t="shared" si="7"/>
        <v>1341.2980000000007</v>
      </c>
      <c r="N11" s="12">
        <f t="shared" si="7"/>
        <v>1341.2980000000007</v>
      </c>
      <c r="O11" s="12">
        <f t="shared" si="7"/>
        <v>1341.2980000000007</v>
      </c>
      <c r="P11" s="12">
        <f t="shared" si="7"/>
        <v>1341.2980000000007</v>
      </c>
      <c r="Q11" s="12">
        <f t="shared" si="7"/>
        <v>1341.2980000000007</v>
      </c>
      <c r="R11" s="12">
        <f t="shared" si="7"/>
        <v>1341.2980000000007</v>
      </c>
      <c r="S11" s="12">
        <f t="shared" si="7"/>
        <v>1341.2980000000007</v>
      </c>
      <c r="T11" s="12">
        <f t="shared" si="7"/>
        <v>1341.2980000000007</v>
      </c>
    </row>
    <row r="12" spans="1:111" ht="19" x14ac:dyDescent="0.25">
      <c r="C12" s="2" t="s">
        <v>52</v>
      </c>
      <c r="D12" s="14">
        <v>0.1</v>
      </c>
      <c r="E12" s="14">
        <v>0.3</v>
      </c>
      <c r="F12" s="14">
        <v>2</v>
      </c>
      <c r="G12" s="14">
        <v>3.4</v>
      </c>
      <c r="H12" s="14">
        <v>6</v>
      </c>
      <c r="I12" s="14">
        <v>16</v>
      </c>
      <c r="J12" s="15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</row>
    <row r="13" spans="1:111" ht="19" x14ac:dyDescent="0.25">
      <c r="C13" s="2" t="s">
        <v>53</v>
      </c>
      <c r="D13" s="14">
        <v>-67.599999999999994</v>
      </c>
      <c r="E13" s="14">
        <v>-63.6</v>
      </c>
      <c r="F13" s="14">
        <v>-65.099999999999994</v>
      </c>
      <c r="G13" s="14">
        <v>-65.900000000000006</v>
      </c>
      <c r="H13" s="14">
        <v>-69.900000000000006</v>
      </c>
      <c r="I13" s="14">
        <v>-70</v>
      </c>
      <c r="J13" s="15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</row>
    <row r="14" spans="1:111" ht="19" x14ac:dyDescent="0.25">
      <c r="C14" s="2" t="s">
        <v>54</v>
      </c>
      <c r="D14" s="14">
        <f t="shared" ref="D14:H14" si="8">SUM(D11:D13)</f>
        <v>481.79999999999893</v>
      </c>
      <c r="E14" s="14">
        <f t="shared" si="8"/>
        <v>544.79999999999916</v>
      </c>
      <c r="F14" s="14">
        <f t="shared" si="8"/>
        <v>656.400000000001</v>
      </c>
      <c r="G14" s="14">
        <f t="shared" si="8"/>
        <v>242.49999999999895</v>
      </c>
      <c r="H14" s="14">
        <f t="shared" si="8"/>
        <v>652.90000000000043</v>
      </c>
      <c r="I14" s="14">
        <f>SUM(I11:I13)</f>
        <v>1116</v>
      </c>
      <c r="J14" s="15">
        <f t="shared" ref="J14:T14" si="9">SUM(J11:J13)</f>
        <v>1341.2980000000007</v>
      </c>
      <c r="K14" s="14">
        <f t="shared" si="9"/>
        <v>1341.2980000000007</v>
      </c>
      <c r="L14" s="14">
        <f t="shared" si="9"/>
        <v>1341.2980000000007</v>
      </c>
      <c r="M14" s="14">
        <f t="shared" si="9"/>
        <v>1341.2980000000007</v>
      </c>
      <c r="N14" s="14">
        <f t="shared" si="9"/>
        <v>1341.2980000000007</v>
      </c>
      <c r="O14" s="14">
        <f t="shared" si="9"/>
        <v>1341.2980000000007</v>
      </c>
      <c r="P14" s="14">
        <f t="shared" si="9"/>
        <v>1341.2980000000007</v>
      </c>
      <c r="Q14" s="14">
        <f t="shared" si="9"/>
        <v>1341.2980000000007</v>
      </c>
      <c r="R14" s="14">
        <f t="shared" si="9"/>
        <v>1341.2980000000007</v>
      </c>
      <c r="S14" s="14">
        <f t="shared" si="9"/>
        <v>1341.2980000000007</v>
      </c>
      <c r="T14" s="14">
        <f t="shared" si="9"/>
        <v>1341.2980000000007</v>
      </c>
    </row>
    <row r="15" spans="1:111" ht="19" x14ac:dyDescent="0.25">
      <c r="C15" s="2" t="s">
        <v>55</v>
      </c>
      <c r="D15" s="14">
        <v>-105.8</v>
      </c>
      <c r="E15" s="14">
        <v>-123.6</v>
      </c>
      <c r="F15" s="14">
        <v>-133.9</v>
      </c>
      <c r="G15" s="14">
        <v>-61.8</v>
      </c>
      <c r="H15" s="14">
        <v>-144.19999999999999</v>
      </c>
      <c r="I15" s="14">
        <v>-236</v>
      </c>
      <c r="J15" s="15">
        <f>J14*-0.22</f>
        <v>-295.08556000000016</v>
      </c>
      <c r="K15" s="14">
        <f t="shared" ref="K15:S15" si="10">K14*-0.22</f>
        <v>-295.08556000000016</v>
      </c>
      <c r="L15" s="14">
        <f t="shared" si="10"/>
        <v>-295.08556000000016</v>
      </c>
      <c r="M15" s="14">
        <f t="shared" si="10"/>
        <v>-295.08556000000016</v>
      </c>
      <c r="N15" s="14">
        <f t="shared" si="10"/>
        <v>-295.08556000000016</v>
      </c>
      <c r="O15" s="14">
        <f t="shared" si="10"/>
        <v>-295.08556000000016</v>
      </c>
      <c r="P15" s="14">
        <f t="shared" si="10"/>
        <v>-295.08556000000016</v>
      </c>
      <c r="Q15" s="14">
        <f t="shared" si="10"/>
        <v>-295.08556000000016</v>
      </c>
      <c r="R15" s="14">
        <f t="shared" si="10"/>
        <v>-295.08556000000016</v>
      </c>
      <c r="S15" s="14">
        <f t="shared" si="10"/>
        <v>-295.08556000000016</v>
      </c>
      <c r="T15" s="14">
        <f>T14*-0.22</f>
        <v>-295.08556000000016</v>
      </c>
    </row>
    <row r="16" spans="1:111" ht="19" x14ac:dyDescent="0.25">
      <c r="C16" s="1" t="s">
        <v>56</v>
      </c>
      <c r="D16" s="12">
        <f t="shared" ref="D16:H16" si="11">SUM(D14:D15)</f>
        <v>375.99999999999892</v>
      </c>
      <c r="E16" s="12">
        <f t="shared" si="11"/>
        <v>421.19999999999914</v>
      </c>
      <c r="F16" s="12">
        <f t="shared" si="11"/>
        <v>522.50000000000102</v>
      </c>
      <c r="G16" s="12">
        <f t="shared" si="11"/>
        <v>180.69999999999897</v>
      </c>
      <c r="H16" s="12">
        <f t="shared" si="11"/>
        <v>508.70000000000044</v>
      </c>
      <c r="I16" s="12">
        <f>SUM(I14:I15)</f>
        <v>880</v>
      </c>
      <c r="J16" s="13">
        <f t="shared" ref="J16:T16" si="12">SUM(J14:J15)</f>
        <v>1046.2124400000005</v>
      </c>
      <c r="K16" s="12">
        <f t="shared" si="12"/>
        <v>1046.2124400000005</v>
      </c>
      <c r="L16" s="12">
        <f t="shared" si="12"/>
        <v>1046.2124400000005</v>
      </c>
      <c r="M16" s="12">
        <f t="shared" si="12"/>
        <v>1046.2124400000005</v>
      </c>
      <c r="N16" s="12">
        <f t="shared" si="12"/>
        <v>1046.2124400000005</v>
      </c>
      <c r="O16" s="12">
        <f t="shared" si="12"/>
        <v>1046.2124400000005</v>
      </c>
      <c r="P16" s="12">
        <f t="shared" si="12"/>
        <v>1046.2124400000005</v>
      </c>
      <c r="Q16" s="12">
        <f t="shared" si="12"/>
        <v>1046.2124400000005</v>
      </c>
      <c r="R16" s="12">
        <f t="shared" si="12"/>
        <v>1046.2124400000005</v>
      </c>
      <c r="S16" s="12">
        <f t="shared" si="12"/>
        <v>1046.2124400000005</v>
      </c>
      <c r="T16" s="12">
        <f t="shared" si="12"/>
        <v>1046.2124400000005</v>
      </c>
      <c r="U16" s="43">
        <f>T16*(1+$W$20)</f>
        <v>1035.7503156000005</v>
      </c>
      <c r="V16" s="12">
        <f t="shared" ref="V16:CG16" si="13">U16*(1+$W$20)</f>
        <v>1025.3928124440004</v>
      </c>
      <c r="W16" s="12">
        <f t="shared" si="13"/>
        <v>1015.1388843195604</v>
      </c>
      <c r="X16" s="12">
        <f t="shared" si="13"/>
        <v>1004.9874954763648</v>
      </c>
      <c r="Y16" s="12">
        <f t="shared" si="13"/>
        <v>994.93762052160105</v>
      </c>
      <c r="Z16" s="12">
        <f t="shared" si="13"/>
        <v>984.98824431638502</v>
      </c>
      <c r="AA16" s="12">
        <f t="shared" si="13"/>
        <v>975.13836187322113</v>
      </c>
      <c r="AB16" s="12">
        <f t="shared" si="13"/>
        <v>965.38697825448889</v>
      </c>
      <c r="AC16" s="12">
        <f t="shared" si="13"/>
        <v>955.73310847194398</v>
      </c>
      <c r="AD16" s="12">
        <f t="shared" si="13"/>
        <v>946.17577738722457</v>
      </c>
      <c r="AE16" s="12">
        <f t="shared" si="13"/>
        <v>936.71401961335232</v>
      </c>
      <c r="AF16" s="12">
        <f t="shared" si="13"/>
        <v>927.34687941721882</v>
      </c>
      <c r="AG16" s="12">
        <f t="shared" si="13"/>
        <v>918.07341062304658</v>
      </c>
      <c r="AH16" s="12">
        <f t="shared" si="13"/>
        <v>908.8926765168161</v>
      </c>
      <c r="AI16" s="12">
        <f t="shared" si="13"/>
        <v>899.80374975164796</v>
      </c>
      <c r="AJ16" s="12">
        <f t="shared" si="13"/>
        <v>890.80571225413144</v>
      </c>
      <c r="AK16" s="12">
        <f t="shared" si="13"/>
        <v>881.89765513159011</v>
      </c>
      <c r="AL16" s="12">
        <f t="shared" si="13"/>
        <v>873.07867858027419</v>
      </c>
      <c r="AM16" s="12">
        <f t="shared" si="13"/>
        <v>864.34789179447148</v>
      </c>
      <c r="AN16" s="12">
        <f t="shared" si="13"/>
        <v>855.7044128765267</v>
      </c>
      <c r="AO16" s="12">
        <f t="shared" si="13"/>
        <v>847.14736874776145</v>
      </c>
      <c r="AP16" s="12">
        <f t="shared" si="13"/>
        <v>838.67589506028378</v>
      </c>
      <c r="AQ16" s="12">
        <f t="shared" si="13"/>
        <v>830.28913610968095</v>
      </c>
      <c r="AR16" s="12">
        <f t="shared" si="13"/>
        <v>821.98624474858411</v>
      </c>
      <c r="AS16" s="12">
        <f t="shared" si="13"/>
        <v>813.76638230109825</v>
      </c>
      <c r="AT16" s="12">
        <f t="shared" si="13"/>
        <v>805.62871847808731</v>
      </c>
      <c r="AU16" s="12">
        <f t="shared" si="13"/>
        <v>797.57243129330641</v>
      </c>
      <c r="AV16" s="12">
        <f t="shared" si="13"/>
        <v>789.59670698037337</v>
      </c>
      <c r="AW16" s="12">
        <f t="shared" si="13"/>
        <v>781.70073991056961</v>
      </c>
      <c r="AX16" s="12">
        <f t="shared" si="13"/>
        <v>773.8837325114639</v>
      </c>
      <c r="AY16" s="12">
        <f t="shared" si="13"/>
        <v>766.14489518634923</v>
      </c>
      <c r="AZ16" s="12">
        <f t="shared" si="13"/>
        <v>758.48344623448577</v>
      </c>
      <c r="BA16" s="12">
        <f t="shared" si="13"/>
        <v>750.89861177214095</v>
      </c>
      <c r="BB16" s="12">
        <f t="shared" si="13"/>
        <v>743.38962565441955</v>
      </c>
      <c r="BC16" s="12">
        <f t="shared" si="13"/>
        <v>735.9557293978753</v>
      </c>
      <c r="BD16" s="12">
        <f t="shared" si="13"/>
        <v>728.59617210389649</v>
      </c>
      <c r="BE16" s="12">
        <f t="shared" si="13"/>
        <v>721.31021038285758</v>
      </c>
      <c r="BF16" s="12">
        <f t="shared" si="13"/>
        <v>714.09710827902904</v>
      </c>
      <c r="BG16" s="12">
        <f t="shared" si="13"/>
        <v>706.95613719623873</v>
      </c>
      <c r="BH16" s="12">
        <f t="shared" si="13"/>
        <v>699.88657582427629</v>
      </c>
      <c r="BI16" s="12">
        <f t="shared" si="13"/>
        <v>692.88771006603349</v>
      </c>
      <c r="BJ16" s="12">
        <f t="shared" si="13"/>
        <v>685.95883296537318</v>
      </c>
      <c r="BK16" s="12">
        <f t="shared" si="13"/>
        <v>679.0992446357194</v>
      </c>
      <c r="BL16" s="12">
        <f t="shared" si="13"/>
        <v>672.30825218936218</v>
      </c>
      <c r="BM16" s="12">
        <f t="shared" si="13"/>
        <v>665.58516966746856</v>
      </c>
      <c r="BN16" s="12">
        <f t="shared" si="13"/>
        <v>658.92931797079382</v>
      </c>
      <c r="BO16" s="12">
        <f t="shared" si="13"/>
        <v>652.34002479108585</v>
      </c>
      <c r="BP16" s="12">
        <f t="shared" si="13"/>
        <v>645.81662454317495</v>
      </c>
      <c r="BQ16" s="12">
        <f t="shared" si="13"/>
        <v>639.35845829774314</v>
      </c>
      <c r="BR16" s="12">
        <f t="shared" si="13"/>
        <v>632.96487371476576</v>
      </c>
      <c r="BS16" s="12">
        <f t="shared" si="13"/>
        <v>626.63522497761812</v>
      </c>
      <c r="BT16" s="12">
        <f t="shared" si="13"/>
        <v>620.3688727278419</v>
      </c>
      <c r="BU16" s="12">
        <f t="shared" si="13"/>
        <v>614.1651840005635</v>
      </c>
      <c r="BV16" s="12">
        <f t="shared" si="13"/>
        <v>608.02353216055781</v>
      </c>
      <c r="BW16" s="12">
        <f t="shared" si="13"/>
        <v>601.94329683895228</v>
      </c>
      <c r="BX16" s="12">
        <f t="shared" si="13"/>
        <v>595.92386387056274</v>
      </c>
      <c r="BY16" s="12">
        <f t="shared" si="13"/>
        <v>589.9646252318571</v>
      </c>
      <c r="BZ16" s="12">
        <f t="shared" si="13"/>
        <v>584.06497897953852</v>
      </c>
      <c r="CA16" s="12">
        <f t="shared" si="13"/>
        <v>578.22432918974312</v>
      </c>
      <c r="CB16" s="12">
        <f t="shared" si="13"/>
        <v>572.44208589784569</v>
      </c>
      <c r="CC16" s="12">
        <f t="shared" si="13"/>
        <v>566.71766503886727</v>
      </c>
      <c r="CD16" s="12">
        <f t="shared" si="13"/>
        <v>561.05048838847858</v>
      </c>
      <c r="CE16" s="12">
        <f t="shared" si="13"/>
        <v>555.43998350459378</v>
      </c>
      <c r="CF16" s="12">
        <f t="shared" si="13"/>
        <v>549.88558366954783</v>
      </c>
      <c r="CG16" s="12">
        <f t="shared" si="13"/>
        <v>544.38672783285233</v>
      </c>
      <c r="CH16" s="12">
        <f t="shared" ref="CH16:DG16" si="14">CG16*(1+$W$20)</f>
        <v>538.9428605545238</v>
      </c>
      <c r="CI16" s="12">
        <f t="shared" si="14"/>
        <v>533.55343194897853</v>
      </c>
      <c r="CJ16" s="12">
        <f t="shared" si="14"/>
        <v>528.21789762948879</v>
      </c>
      <c r="CK16" s="12">
        <f t="shared" si="14"/>
        <v>522.93571865319393</v>
      </c>
      <c r="CL16" s="12">
        <f t="shared" si="14"/>
        <v>517.70636146666197</v>
      </c>
      <c r="CM16" s="12">
        <f t="shared" si="14"/>
        <v>512.52929785199535</v>
      </c>
      <c r="CN16" s="12">
        <f t="shared" si="14"/>
        <v>507.4040048734754</v>
      </c>
      <c r="CO16" s="12">
        <f t="shared" si="14"/>
        <v>502.32996482474067</v>
      </c>
      <c r="CP16" s="12">
        <f t="shared" si="14"/>
        <v>497.30666517649325</v>
      </c>
      <c r="CQ16" s="12">
        <f t="shared" si="14"/>
        <v>492.3335985247283</v>
      </c>
      <c r="CR16" s="12">
        <f t="shared" si="14"/>
        <v>487.41026253948104</v>
      </c>
      <c r="CS16" s="12">
        <f t="shared" si="14"/>
        <v>482.53615991408623</v>
      </c>
      <c r="CT16" s="12">
        <f t="shared" si="14"/>
        <v>477.71079831494535</v>
      </c>
      <c r="CU16" s="12">
        <f t="shared" si="14"/>
        <v>472.9336903317959</v>
      </c>
      <c r="CV16" s="12">
        <f t="shared" si="14"/>
        <v>468.20435342847793</v>
      </c>
      <c r="CW16" s="12">
        <f t="shared" si="14"/>
        <v>463.52230989419314</v>
      </c>
      <c r="CX16" s="12">
        <f t="shared" si="14"/>
        <v>458.88708679525121</v>
      </c>
      <c r="CY16" s="12">
        <f t="shared" si="14"/>
        <v>454.29821592729871</v>
      </c>
      <c r="CZ16" s="12">
        <f t="shared" si="14"/>
        <v>449.75523376802573</v>
      </c>
      <c r="DA16" s="12">
        <f t="shared" si="14"/>
        <v>445.25768143034549</v>
      </c>
      <c r="DB16" s="12">
        <f t="shared" si="14"/>
        <v>440.805104616042</v>
      </c>
      <c r="DC16" s="12">
        <f t="shared" si="14"/>
        <v>436.39705356988156</v>
      </c>
      <c r="DD16" s="12">
        <f t="shared" si="14"/>
        <v>432.03308303418277</v>
      </c>
      <c r="DE16" s="12">
        <f t="shared" si="14"/>
        <v>427.71275220384092</v>
      </c>
      <c r="DF16" s="12">
        <f t="shared" si="14"/>
        <v>423.43562468180249</v>
      </c>
      <c r="DG16" s="12">
        <f t="shared" si="14"/>
        <v>419.20126843498446</v>
      </c>
    </row>
    <row r="17" spans="3:23" ht="19" x14ac:dyDescent="0.25">
      <c r="C17" s="2" t="s">
        <v>57</v>
      </c>
      <c r="D17" s="2">
        <v>65.599999999999994</v>
      </c>
      <c r="E17" s="2">
        <v>65.599999999999994</v>
      </c>
      <c r="F17" s="2">
        <v>65.599999999999994</v>
      </c>
      <c r="G17" s="2">
        <v>65.599999999999994</v>
      </c>
      <c r="H17" s="2">
        <v>65.599999999999994</v>
      </c>
      <c r="I17" s="2">
        <v>65.599999999999994</v>
      </c>
      <c r="J17" s="4">
        <v>65.599999999999994</v>
      </c>
      <c r="K17" s="2">
        <v>65.599999999999994</v>
      </c>
      <c r="L17" s="2">
        <v>65.599999999999994</v>
      </c>
      <c r="M17" s="2">
        <v>65.599999999999994</v>
      </c>
      <c r="N17" s="2">
        <v>65.599999999999994</v>
      </c>
      <c r="O17" s="2">
        <v>65.599999999999994</v>
      </c>
      <c r="P17" s="2">
        <v>65.599999999999994</v>
      </c>
      <c r="Q17" s="2">
        <v>65.599999999999994</v>
      </c>
      <c r="R17" s="2">
        <v>65.599999999999994</v>
      </c>
      <c r="S17" s="2">
        <v>65.599999999999994</v>
      </c>
      <c r="T17" s="2">
        <v>65.599999999999994</v>
      </c>
    </row>
    <row r="18" spans="3:23" ht="19" x14ac:dyDescent="0.25">
      <c r="C18" s="2" t="s">
        <v>58</v>
      </c>
      <c r="D18" s="17">
        <f t="shared" ref="D18:H18" si="15">D16/D17</f>
        <v>5.7317073170731545</v>
      </c>
      <c r="E18" s="17">
        <f t="shared" si="15"/>
        <v>6.4207317073170609</v>
      </c>
      <c r="F18" s="17">
        <f t="shared" si="15"/>
        <v>7.9649390243902598</v>
      </c>
      <c r="G18" s="17">
        <f t="shared" si="15"/>
        <v>2.7545731707316916</v>
      </c>
      <c r="H18" s="17">
        <f t="shared" si="15"/>
        <v>7.7545731707317147</v>
      </c>
      <c r="I18" s="17">
        <f>I16/I17</f>
        <v>13.414634146341465</v>
      </c>
      <c r="J18" s="9">
        <f t="shared" ref="J18:T18" si="16">J16/J17</f>
        <v>15.948360365853667</v>
      </c>
      <c r="K18" s="17">
        <f t="shared" si="16"/>
        <v>15.948360365853667</v>
      </c>
      <c r="L18" s="17">
        <f t="shared" si="16"/>
        <v>15.948360365853667</v>
      </c>
      <c r="M18" s="17">
        <f t="shared" si="16"/>
        <v>15.948360365853667</v>
      </c>
      <c r="N18" s="17">
        <f t="shared" si="16"/>
        <v>15.948360365853667</v>
      </c>
      <c r="O18" s="17">
        <f t="shared" si="16"/>
        <v>15.948360365853667</v>
      </c>
      <c r="P18" s="17">
        <f t="shared" si="16"/>
        <v>15.948360365853667</v>
      </c>
      <c r="Q18" s="17">
        <f t="shared" si="16"/>
        <v>15.948360365853667</v>
      </c>
      <c r="R18" s="17">
        <f t="shared" si="16"/>
        <v>15.948360365853667</v>
      </c>
      <c r="S18" s="17">
        <f t="shared" si="16"/>
        <v>15.948360365853667</v>
      </c>
      <c r="T18" s="17">
        <f t="shared" si="16"/>
        <v>15.948360365853667</v>
      </c>
    </row>
    <row r="19" spans="3:23" ht="19" x14ac:dyDescent="0.25">
      <c r="C19" s="2"/>
      <c r="D19" s="2"/>
      <c r="E19" s="2"/>
      <c r="F19" s="2"/>
      <c r="G19" s="2"/>
      <c r="H19" s="2"/>
      <c r="I19" s="2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V19" s="2" t="s">
        <v>118</v>
      </c>
      <c r="W19" s="26">
        <v>0.08</v>
      </c>
    </row>
    <row r="20" spans="3:23" ht="19" x14ac:dyDescent="0.25">
      <c r="C20" s="1" t="s">
        <v>15</v>
      </c>
      <c r="D20" s="2"/>
      <c r="E20" s="21">
        <f t="shared" ref="E20:H20" si="17">(E4-D4)/D4</f>
        <v>-5.4108674057750897E-2</v>
      </c>
      <c r="F20" s="21">
        <f t="shared" si="17"/>
        <v>6.0269904881464088E-2</v>
      </c>
      <c r="G20" s="21">
        <f t="shared" si="17"/>
        <v>2.7391645889545239E-2</v>
      </c>
      <c r="H20" s="21">
        <f t="shared" si="17"/>
        <v>0.13382755449176123</v>
      </c>
      <c r="I20" s="21">
        <f>(I4-H4)/H4</f>
        <v>0.13623924941360438</v>
      </c>
      <c r="J20" s="22">
        <f t="shared" ref="J20:T20" si="18">(J4-I4)/I4</f>
        <v>7.0000000000000132E-2</v>
      </c>
      <c r="K20" s="21">
        <f t="shared" si="18"/>
        <v>0</v>
      </c>
      <c r="L20" s="21">
        <f t="shared" si="18"/>
        <v>0</v>
      </c>
      <c r="M20" s="21">
        <f t="shared" si="18"/>
        <v>0</v>
      </c>
      <c r="N20" s="21">
        <f t="shared" si="18"/>
        <v>0</v>
      </c>
      <c r="O20" s="21">
        <f t="shared" si="18"/>
        <v>0</v>
      </c>
      <c r="P20" s="21">
        <f t="shared" si="18"/>
        <v>0</v>
      </c>
      <c r="Q20" s="21">
        <f t="shared" si="18"/>
        <v>0</v>
      </c>
      <c r="R20" s="21">
        <f t="shared" si="18"/>
        <v>0</v>
      </c>
      <c r="S20" s="21">
        <f t="shared" si="18"/>
        <v>0</v>
      </c>
      <c r="T20" s="21">
        <f t="shared" si="18"/>
        <v>0</v>
      </c>
      <c r="V20" s="2" t="s">
        <v>119</v>
      </c>
      <c r="W20" s="26">
        <v>-0.01</v>
      </c>
    </row>
    <row r="21" spans="3:23" ht="19" x14ac:dyDescent="0.25">
      <c r="C21" s="1" t="s">
        <v>149</v>
      </c>
      <c r="D21" s="2"/>
      <c r="E21" s="21"/>
      <c r="F21" s="21"/>
      <c r="G21" s="21"/>
      <c r="H21" s="21"/>
      <c r="I21" s="21"/>
      <c r="J21" s="22"/>
      <c r="K21" s="21"/>
      <c r="L21" s="21"/>
      <c r="M21" s="21"/>
      <c r="N21" s="21"/>
      <c r="O21" s="21"/>
      <c r="P21" s="21"/>
      <c r="Q21" s="21"/>
      <c r="R21" s="21"/>
      <c r="S21" s="21"/>
      <c r="T21" s="21"/>
      <c r="V21" s="25" t="s">
        <v>120</v>
      </c>
      <c r="W21" s="27">
        <f>NPV(W19,J16:DG16)</f>
        <v>12402.804443252513</v>
      </c>
    </row>
    <row r="22" spans="3:23" ht="19" x14ac:dyDescent="0.25">
      <c r="C22" s="2" t="s">
        <v>59</v>
      </c>
      <c r="D22" s="20">
        <f t="shared" ref="D22:T22" si="19">D6/D4</f>
        <v>0.39850199239578449</v>
      </c>
      <c r="E22" s="20">
        <f t="shared" si="19"/>
        <v>0.40507459803968898</v>
      </c>
      <c r="F22" s="20">
        <f t="shared" si="19"/>
        <v>0.41039652993613179</v>
      </c>
      <c r="G22" s="20">
        <f t="shared" si="19"/>
        <v>0.37495429008344128</v>
      </c>
      <c r="H22" s="20">
        <f t="shared" si="19"/>
        <v>0.39250390930414392</v>
      </c>
      <c r="I22" s="20">
        <f t="shared" si="19"/>
        <v>0.39059005676931019</v>
      </c>
      <c r="J22" s="19">
        <f t="shared" si="19"/>
        <v>0.4</v>
      </c>
      <c r="K22" s="20">
        <f t="shared" si="19"/>
        <v>0.4</v>
      </c>
      <c r="L22" s="20">
        <f t="shared" si="19"/>
        <v>0.4</v>
      </c>
      <c r="M22" s="20">
        <f t="shared" si="19"/>
        <v>0.4</v>
      </c>
      <c r="N22" s="20">
        <f t="shared" si="19"/>
        <v>0.4</v>
      </c>
      <c r="O22" s="20">
        <f t="shared" si="19"/>
        <v>0.4</v>
      </c>
      <c r="P22" s="20">
        <f t="shared" si="19"/>
        <v>0.4</v>
      </c>
      <c r="Q22" s="20">
        <f t="shared" si="19"/>
        <v>0.4</v>
      </c>
      <c r="R22" s="20">
        <f t="shared" si="19"/>
        <v>0.4</v>
      </c>
      <c r="S22" s="20">
        <f t="shared" si="19"/>
        <v>0.4</v>
      </c>
      <c r="T22" s="20">
        <f t="shared" si="19"/>
        <v>0.4</v>
      </c>
      <c r="V22" s="2" t="s">
        <v>2</v>
      </c>
      <c r="W22" s="2">
        <v>65.599999999999994</v>
      </c>
    </row>
    <row r="23" spans="3:23" ht="19" x14ac:dyDescent="0.25">
      <c r="C23" s="2" t="s">
        <v>16</v>
      </c>
      <c r="D23" s="10">
        <f t="shared" ref="D23:T23" si="20">D11/D4</f>
        <v>6.2717650685635229E-2</v>
      </c>
      <c r="E23" s="10">
        <f t="shared" si="20"/>
        <v>7.340302254840414E-2</v>
      </c>
      <c r="F23" s="10">
        <f t="shared" si="20"/>
        <v>8.1913089017156895E-2</v>
      </c>
      <c r="G23" s="10">
        <f t="shared" si="20"/>
        <v>3.3797635273649922E-2</v>
      </c>
      <c r="H23" s="10">
        <f t="shared" si="20"/>
        <v>7.005473025801412E-2</v>
      </c>
      <c r="I23" s="10">
        <f t="shared" si="20"/>
        <v>0.10063650438671942</v>
      </c>
      <c r="J23" s="23">
        <f t="shared" si="20"/>
        <v>0.10782294277569937</v>
      </c>
      <c r="K23" s="10">
        <f t="shared" si="20"/>
        <v>0.10782294277569937</v>
      </c>
      <c r="L23" s="10">
        <f t="shared" si="20"/>
        <v>0.10782294277569937</v>
      </c>
      <c r="M23" s="10">
        <f t="shared" si="20"/>
        <v>0.10782294277569937</v>
      </c>
      <c r="N23" s="10">
        <f t="shared" si="20"/>
        <v>0.10782294277569937</v>
      </c>
      <c r="O23" s="10">
        <f t="shared" si="20"/>
        <v>0.10782294277569937</v>
      </c>
      <c r="P23" s="10">
        <f t="shared" si="20"/>
        <v>0.10782294277569937</v>
      </c>
      <c r="Q23" s="10">
        <f t="shared" si="20"/>
        <v>0.10782294277569937</v>
      </c>
      <c r="R23" s="10">
        <f t="shared" si="20"/>
        <v>0.10782294277569937</v>
      </c>
      <c r="S23" s="10">
        <f t="shared" si="20"/>
        <v>0.10782294277569937</v>
      </c>
      <c r="T23" s="10">
        <f t="shared" si="20"/>
        <v>0.10782294277569937</v>
      </c>
      <c r="V23" s="2" t="s">
        <v>121</v>
      </c>
      <c r="W23" s="28">
        <f>W21/W22</f>
        <v>189.06714090323953</v>
      </c>
    </row>
    <row r="24" spans="3:23" ht="19" x14ac:dyDescent="0.25">
      <c r="V24" s="1" t="s">
        <v>122</v>
      </c>
      <c r="W24" s="29">
        <f>(W23-Modell!B4)/Modell!B4</f>
        <v>-0.36724517770000159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Info</vt:lpstr>
      <vt:lpstr>Modell</vt:lpstr>
      <vt:lpstr>Segementer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2026-01-16T18:21:58Z</dcterms:modified>
</cp:coreProperties>
</file>