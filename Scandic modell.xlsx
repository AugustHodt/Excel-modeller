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ugusthodt/Desktop/Aksjemodellering/"/>
    </mc:Choice>
  </mc:AlternateContent>
  <xr:revisionPtr revIDLastSave="0" documentId="13_ncr:1_{854C8700-263B-044F-9D4F-BBD13645898F}" xr6:coauthVersionLast="47" xr6:coauthVersionMax="47" xr10:uidLastSave="{00000000-0000-0000-0000-000000000000}"/>
  <bookViews>
    <workbookView xWindow="25080" yWindow="500" windowWidth="26120" windowHeight="26740" activeTab="1" xr2:uid="{5AE0DF26-B7DD-1242-A60E-253C73A930AF}"/>
  </bookViews>
  <sheets>
    <sheet name="Info" sheetId="1" r:id="rId1"/>
    <sheet name="Modell" sheetId="2" r:id="rId2"/>
    <sheet name="Segementer" sheetId="4" r:id="rId3"/>
    <sheet name="Nøkkeltall" sheetId="3" r:id="rId4"/>
    <sheet name="Nedsidebergning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2" l="1"/>
  <c r="B12" i="2" s="1"/>
  <c r="AN7" i="2" l="1"/>
  <c r="AO7" i="2" s="1"/>
  <c r="AP7" i="2" s="1"/>
  <c r="AQ7" i="2" s="1"/>
  <c r="AR7" i="2" s="1"/>
  <c r="AS7" i="2" s="1"/>
  <c r="AT7" i="2" s="1"/>
  <c r="AN8" i="2"/>
  <c r="AO8" i="2" s="1"/>
  <c r="AP8" i="2" s="1"/>
  <c r="AQ8" i="2" s="1"/>
  <c r="AR8" i="2" s="1"/>
  <c r="AS8" i="2" s="1"/>
  <c r="AT8" i="2" s="1"/>
  <c r="AN9" i="2"/>
  <c r="AO9" i="2"/>
  <c r="AP9" i="2" s="1"/>
  <c r="AQ9" i="2" s="1"/>
  <c r="AR9" i="2" s="1"/>
  <c r="AS9" i="2" s="1"/>
  <c r="AT9" i="2" s="1"/>
  <c r="AN10" i="2"/>
  <c r="AO10" i="2"/>
  <c r="AP10" i="2"/>
  <c r="AQ10" i="2" s="1"/>
  <c r="AR10" i="2" s="1"/>
  <c r="AS10" i="2" s="1"/>
  <c r="AT10" i="2" s="1"/>
  <c r="AN11" i="2"/>
  <c r="AO11" i="2"/>
  <c r="AP11" i="2"/>
  <c r="AQ11" i="2"/>
  <c r="AR11" i="2" s="1"/>
  <c r="AS11" i="2" s="1"/>
  <c r="AT11" i="2" s="1"/>
  <c r="AN12" i="2"/>
  <c r="AO12" i="2"/>
  <c r="AP12" i="2"/>
  <c r="AQ12" i="2"/>
  <c r="AR12" i="2"/>
  <c r="AS12" i="2" s="1"/>
  <c r="AT12" i="2" s="1"/>
  <c r="AN13" i="2"/>
  <c r="AO13" i="2"/>
  <c r="AP13" i="2"/>
  <c r="AQ13" i="2"/>
  <c r="AR13" i="2"/>
  <c r="AS13" i="2"/>
  <c r="AT13" i="2" s="1"/>
  <c r="AM8" i="2"/>
  <c r="AM9" i="2"/>
  <c r="AM10" i="2"/>
  <c r="AM11" i="2"/>
  <c r="AM12" i="2"/>
  <c r="AM13" i="2"/>
  <c r="AM7" i="2"/>
  <c r="AN4" i="2"/>
  <c r="AO4" i="2" s="1"/>
  <c r="AP4" i="2" s="1"/>
  <c r="AQ4" i="2" s="1"/>
  <c r="AR4" i="2" s="1"/>
  <c r="AS4" i="2" s="1"/>
  <c r="AT4" i="2" s="1"/>
  <c r="AM4" i="2"/>
  <c r="AN16" i="2"/>
  <c r="AO16" i="2" s="1"/>
  <c r="AP16" i="2" s="1"/>
  <c r="AQ16" i="2" s="1"/>
  <c r="AR16" i="2" s="1"/>
  <c r="AS16" i="2" s="1"/>
  <c r="AT16" i="2" s="1"/>
  <c r="AM16" i="2"/>
  <c r="AL16" i="2"/>
  <c r="AL8" i="2"/>
  <c r="AL9" i="2"/>
  <c r="AL10" i="2"/>
  <c r="AL11" i="2"/>
  <c r="AL12" i="2"/>
  <c r="AL13" i="2"/>
  <c r="AL7" i="2"/>
  <c r="AL4" i="2"/>
  <c r="U31" i="2"/>
  <c r="AJ90" i="2"/>
  <c r="K19" i="4" l="1"/>
  <c r="J19" i="4"/>
  <c r="I19" i="4"/>
  <c r="H19" i="4"/>
  <c r="P19" i="4"/>
  <c r="O19" i="4"/>
  <c r="N19" i="4"/>
  <c r="M19" i="4"/>
  <c r="U19" i="4"/>
  <c r="T19" i="4"/>
  <c r="S19" i="4"/>
  <c r="R19" i="4"/>
  <c r="Z19" i="4"/>
  <c r="Y19" i="4"/>
  <c r="X19" i="4"/>
  <c r="W19" i="4"/>
  <c r="K39" i="4"/>
  <c r="J39" i="4"/>
  <c r="I39" i="4"/>
  <c r="H39" i="4"/>
  <c r="P39" i="4"/>
  <c r="O39" i="4"/>
  <c r="N39" i="4"/>
  <c r="M39" i="4"/>
  <c r="U39" i="4"/>
  <c r="T39" i="4"/>
  <c r="S39" i="4"/>
  <c r="R39" i="4"/>
  <c r="Z39" i="4"/>
  <c r="Y39" i="4"/>
  <c r="X39" i="4"/>
  <c r="W39" i="4"/>
  <c r="K79" i="4"/>
  <c r="J79" i="4"/>
  <c r="I79" i="4"/>
  <c r="H79" i="4"/>
  <c r="P79" i="4"/>
  <c r="O79" i="4"/>
  <c r="N79" i="4"/>
  <c r="M79" i="4"/>
  <c r="U79" i="4"/>
  <c r="T79" i="4"/>
  <c r="S79" i="4"/>
  <c r="R79" i="4"/>
  <c r="X79" i="4"/>
  <c r="Z79" i="4"/>
  <c r="Y79" i="4"/>
  <c r="W79" i="4"/>
  <c r="K59" i="4"/>
  <c r="J59" i="4"/>
  <c r="I59" i="4"/>
  <c r="H59" i="4"/>
  <c r="P59" i="4"/>
  <c r="O59" i="4"/>
  <c r="N59" i="4"/>
  <c r="M59" i="4"/>
  <c r="U59" i="4"/>
  <c r="T59" i="4"/>
  <c r="S59" i="4"/>
  <c r="R59" i="4"/>
  <c r="Y59" i="4"/>
  <c r="Z59" i="4"/>
  <c r="W59" i="4"/>
  <c r="X59" i="4"/>
  <c r="AJ27" i="2"/>
  <c r="G31" i="2"/>
  <c r="H31" i="2"/>
  <c r="I31" i="2"/>
  <c r="J31" i="2"/>
  <c r="K31" i="2"/>
  <c r="L31" i="2"/>
  <c r="M31" i="2"/>
  <c r="N31" i="2"/>
  <c r="O31" i="2"/>
  <c r="P31" i="2"/>
  <c r="Q31" i="2"/>
  <c r="R31" i="2"/>
  <c r="S31" i="2"/>
  <c r="T31" i="2"/>
  <c r="E48" i="2"/>
  <c r="F48" i="2"/>
  <c r="G48" i="2"/>
  <c r="AD30" i="2"/>
  <c r="AC30" i="2"/>
  <c r="AB30" i="2"/>
  <c r="AA30" i="2"/>
  <c r="Z30" i="2"/>
  <c r="AK4" i="2" l="1"/>
  <c r="AK8" i="2"/>
  <c r="AK9" i="2"/>
  <c r="AK10" i="2"/>
  <c r="AK11" i="2"/>
  <c r="AK12" i="2"/>
  <c r="AK13" i="2"/>
  <c r="AK7" i="2"/>
  <c r="AK16" i="2"/>
  <c r="Z74" i="4"/>
  <c r="Y74" i="4"/>
  <c r="X74" i="4"/>
  <c r="W74" i="4"/>
  <c r="U74" i="4"/>
  <c r="T74" i="4"/>
  <c r="S74" i="4"/>
  <c r="R74" i="4"/>
  <c r="P74" i="4"/>
  <c r="O74" i="4"/>
  <c r="N74" i="4"/>
  <c r="M74" i="4"/>
  <c r="K74" i="4"/>
  <c r="J74" i="4"/>
  <c r="I74" i="4"/>
  <c r="H74" i="4"/>
  <c r="Z64" i="4"/>
  <c r="Y64" i="4"/>
  <c r="X64" i="4"/>
  <c r="W64" i="4"/>
  <c r="U64" i="4"/>
  <c r="T64" i="4"/>
  <c r="S64" i="4"/>
  <c r="R64" i="4"/>
  <c r="P64" i="4"/>
  <c r="O64" i="4"/>
  <c r="N64" i="4"/>
  <c r="M64" i="4"/>
  <c r="K64" i="4"/>
  <c r="J64" i="4"/>
  <c r="I64" i="4"/>
  <c r="H64" i="4"/>
  <c r="Z54" i="4"/>
  <c r="Y54" i="4"/>
  <c r="X54" i="4"/>
  <c r="W54" i="4"/>
  <c r="U54" i="4"/>
  <c r="T54" i="4"/>
  <c r="S54" i="4"/>
  <c r="R54" i="4"/>
  <c r="P54" i="4"/>
  <c r="O54" i="4"/>
  <c r="N54" i="4"/>
  <c r="M54" i="4"/>
  <c r="K54" i="4"/>
  <c r="J54" i="4"/>
  <c r="I54" i="4"/>
  <c r="H54" i="4"/>
  <c r="Z44" i="4"/>
  <c r="Y44" i="4"/>
  <c r="X44" i="4"/>
  <c r="W44" i="4"/>
  <c r="U44" i="4"/>
  <c r="T44" i="4"/>
  <c r="S44" i="4"/>
  <c r="R44" i="4"/>
  <c r="P44" i="4"/>
  <c r="O44" i="4"/>
  <c r="N44" i="4"/>
  <c r="M44" i="4"/>
  <c r="K44" i="4"/>
  <c r="J44" i="4"/>
  <c r="I44" i="4"/>
  <c r="H44" i="4"/>
  <c r="Z34" i="4"/>
  <c r="Y34" i="4"/>
  <c r="X34" i="4"/>
  <c r="W34" i="4"/>
  <c r="U34" i="4"/>
  <c r="T34" i="4"/>
  <c r="S34" i="4"/>
  <c r="R34" i="4"/>
  <c r="P34" i="4"/>
  <c r="O34" i="4"/>
  <c r="N34" i="4"/>
  <c r="M34" i="4"/>
  <c r="K34" i="4"/>
  <c r="J34" i="4"/>
  <c r="I34" i="4"/>
  <c r="H34" i="4"/>
  <c r="K24" i="4"/>
  <c r="J24" i="4"/>
  <c r="I24" i="4"/>
  <c r="H24" i="4"/>
  <c r="P24" i="4"/>
  <c r="O24" i="4"/>
  <c r="N24" i="4"/>
  <c r="M24" i="4"/>
  <c r="U24" i="4"/>
  <c r="T24" i="4"/>
  <c r="S24" i="4"/>
  <c r="R24" i="4"/>
  <c r="Z24" i="4"/>
  <c r="Y24" i="4"/>
  <c r="X24" i="4"/>
  <c r="W24" i="4"/>
  <c r="K15" i="4"/>
  <c r="J15" i="4"/>
  <c r="I15" i="4"/>
  <c r="H15" i="4"/>
  <c r="P15" i="4"/>
  <c r="O15" i="4"/>
  <c r="N15" i="4"/>
  <c r="M15" i="4"/>
  <c r="U15" i="4"/>
  <c r="T15" i="4"/>
  <c r="S15" i="4"/>
  <c r="R15" i="4"/>
  <c r="K6" i="4"/>
  <c r="J6" i="4"/>
  <c r="I6" i="4"/>
  <c r="H6" i="4"/>
  <c r="P6" i="4"/>
  <c r="O6" i="4"/>
  <c r="N6" i="4"/>
  <c r="M6" i="4"/>
  <c r="U6" i="4"/>
  <c r="T6" i="4"/>
  <c r="S6" i="4"/>
  <c r="R6" i="4"/>
  <c r="Y6" i="4"/>
  <c r="Z6" i="4"/>
  <c r="W15" i="4"/>
  <c r="Y15" i="4"/>
  <c r="Z15" i="4"/>
  <c r="X15" i="4"/>
  <c r="AJ36" i="2"/>
  <c r="AJ34" i="2"/>
  <c r="AI36" i="2"/>
  <c r="AH36" i="2"/>
  <c r="AG36" i="2"/>
  <c r="AF36" i="2"/>
  <c r="AE36" i="2"/>
  <c r="AD36" i="2"/>
  <c r="AC36" i="2"/>
  <c r="AB36" i="2"/>
  <c r="AA36" i="2"/>
  <c r="AA34" i="2"/>
  <c r="AB34" i="2"/>
  <c r="AC34" i="2"/>
  <c r="AD34" i="2"/>
  <c r="AE34" i="2"/>
  <c r="AF34" i="2"/>
  <c r="AG34" i="2"/>
  <c r="AH34" i="2"/>
  <c r="AI34" i="2"/>
  <c r="B7" i="2"/>
  <c r="AA78" i="2"/>
  <c r="AA86" i="2" s="1"/>
  <c r="AA73" i="2"/>
  <c r="AA74" i="2" s="1"/>
  <c r="AA70" i="2"/>
  <c r="AA71" i="2" s="1"/>
  <c r="Z78" i="2"/>
  <c r="Z77" i="2"/>
  <c r="Z73" i="2"/>
  <c r="Z74" i="2" s="1"/>
  <c r="Z70" i="2"/>
  <c r="Z71" i="2" s="1"/>
  <c r="AA60" i="2"/>
  <c r="AA56" i="2"/>
  <c r="AA48" i="2"/>
  <c r="AA47" i="2"/>
  <c r="AA43" i="2"/>
  <c r="Z60" i="2"/>
  <c r="Z56" i="2"/>
  <c r="Z61" i="2" s="1"/>
  <c r="Z48" i="2"/>
  <c r="Z47" i="2"/>
  <c r="Z43" i="2"/>
  <c r="AC78" i="2"/>
  <c r="AC86" i="2" s="1"/>
  <c r="AC73" i="2"/>
  <c r="AC74" i="2" s="1"/>
  <c r="AC70" i="2"/>
  <c r="AC71" i="2" s="1"/>
  <c r="AB78" i="2"/>
  <c r="AB86" i="2" s="1"/>
  <c r="AB73" i="2"/>
  <c r="AB74" i="2" s="1"/>
  <c r="AB70" i="2"/>
  <c r="AB71" i="2" s="1"/>
  <c r="AC60" i="2"/>
  <c r="AC56" i="2"/>
  <c r="AC48" i="2"/>
  <c r="AC47" i="2"/>
  <c r="AC43" i="2"/>
  <c r="AB60" i="2"/>
  <c r="AB56" i="2"/>
  <c r="AB61" i="2" s="1"/>
  <c r="AB48" i="2"/>
  <c r="AB47" i="2"/>
  <c r="AB43" i="2"/>
  <c r="AC65" i="2"/>
  <c r="AB65" i="2"/>
  <c r="AA65" i="2"/>
  <c r="Z65" i="2"/>
  <c r="AE60" i="2"/>
  <c r="AE56" i="2"/>
  <c r="AE48" i="2"/>
  <c r="AE47" i="2"/>
  <c r="AE43" i="2"/>
  <c r="AD60" i="2"/>
  <c r="AD56" i="2"/>
  <c r="AD48" i="2"/>
  <c r="AD47" i="2"/>
  <c r="AD43" i="2"/>
  <c r="AG60" i="2"/>
  <c r="AG56" i="2"/>
  <c r="AG48" i="2"/>
  <c r="AG47" i="2"/>
  <c r="AG43" i="2"/>
  <c r="AF60" i="2"/>
  <c r="AF56" i="2"/>
  <c r="AF48" i="2"/>
  <c r="AF47" i="2"/>
  <c r="AF43" i="2"/>
  <c r="AH61" i="2"/>
  <c r="AG53" i="2"/>
  <c r="AF53" i="2"/>
  <c r="AE53" i="2"/>
  <c r="AD53" i="2"/>
  <c r="AC53" i="2"/>
  <c r="AB53" i="2"/>
  <c r="AA53" i="2"/>
  <c r="Z53" i="2"/>
  <c r="T14" i="2"/>
  <c r="T6" i="2"/>
  <c r="T30" i="2" s="1"/>
  <c r="W72" i="4"/>
  <c r="W13" i="4"/>
  <c r="W6" i="4"/>
  <c r="T36" i="2"/>
  <c r="U14" i="2"/>
  <c r="U6" i="2"/>
  <c r="U30" i="2" s="1"/>
  <c r="X72" i="4"/>
  <c r="Z52" i="4"/>
  <c r="Y52" i="4"/>
  <c r="W52" i="4"/>
  <c r="X52" i="4"/>
  <c r="Z32" i="4"/>
  <c r="Y32" i="4"/>
  <c r="W32" i="4"/>
  <c r="X32" i="4"/>
  <c r="X13" i="4"/>
  <c r="X6" i="4"/>
  <c r="AJ86" i="2"/>
  <c r="AJ74" i="2"/>
  <c r="AJ71" i="2"/>
  <c r="U86" i="2"/>
  <c r="T86" i="2"/>
  <c r="U74" i="2"/>
  <c r="T74" i="2"/>
  <c r="U71" i="2"/>
  <c r="U90" i="2" s="1"/>
  <c r="T71" i="2"/>
  <c r="T90" i="2" s="1"/>
  <c r="U61" i="2"/>
  <c r="T61" i="2"/>
  <c r="S61" i="2"/>
  <c r="U53" i="2"/>
  <c r="T53" i="2"/>
  <c r="U50" i="2"/>
  <c r="T50" i="2"/>
  <c r="P16" i="5"/>
  <c r="Q16" i="5" s="1"/>
  <c r="R16" i="5" s="1"/>
  <c r="S16" i="5" s="1"/>
  <c r="T16" i="5" s="1"/>
  <c r="U16" i="5" s="1"/>
  <c r="V16" i="5" s="1"/>
  <c r="W16" i="5" s="1"/>
  <c r="X16" i="5" s="1"/>
  <c r="O16" i="5"/>
  <c r="N14" i="5"/>
  <c r="N6" i="5"/>
  <c r="N15" i="5" s="1"/>
  <c r="N17" i="5" s="1"/>
  <c r="N19" i="5" s="1"/>
  <c r="N21" i="5" s="1"/>
  <c r="AH53" i="2"/>
  <c r="AH50" i="2"/>
  <c r="AI61" i="2"/>
  <c r="AI53" i="2"/>
  <c r="AI50" i="2"/>
  <c r="AJ61" i="2"/>
  <c r="AJ53" i="2"/>
  <c r="AJ50" i="2"/>
  <c r="AJ6" i="2"/>
  <c r="AJ30" i="2" s="1"/>
  <c r="AJ62" i="2" l="1"/>
  <c r="Z86" i="2"/>
  <c r="AA50" i="2"/>
  <c r="AC90" i="2"/>
  <c r="AE61" i="2"/>
  <c r="AC61" i="2"/>
  <c r="AC62" i="2" s="1"/>
  <c r="AI62" i="2"/>
  <c r="Z50" i="2"/>
  <c r="AG61" i="2"/>
  <c r="AG62" i="2" s="1"/>
  <c r="AD50" i="2"/>
  <c r="AF61" i="2"/>
  <c r="AG50" i="2"/>
  <c r="AF50" i="2"/>
  <c r="AE50" i="2"/>
  <c r="AH62" i="2"/>
  <c r="AD61" i="2"/>
  <c r="AD62" i="2" s="1"/>
  <c r="AC50" i="2"/>
  <c r="AA61" i="2"/>
  <c r="AA62" i="2" s="1"/>
  <c r="AB90" i="2"/>
  <c r="AB50" i="2"/>
  <c r="AJ88" i="2"/>
  <c r="AA88" i="2"/>
  <c r="AA90" i="2"/>
  <c r="Z88" i="2"/>
  <c r="Z90" i="2"/>
  <c r="Z62" i="2"/>
  <c r="AC88" i="2"/>
  <c r="AB88" i="2"/>
  <c r="AB62" i="2"/>
  <c r="AE62" i="2"/>
  <c r="AF62" i="2"/>
  <c r="T88" i="2"/>
  <c r="T62" i="2"/>
  <c r="T15" i="2"/>
  <c r="U88" i="2"/>
  <c r="U62" i="2"/>
  <c r="U15" i="2"/>
  <c r="U36" i="2"/>
  <c r="U34" i="2"/>
  <c r="T34" i="2"/>
  <c r="AA71" i="4"/>
  <c r="AA63" i="4"/>
  <c r="AA51" i="4"/>
  <c r="AA43" i="4"/>
  <c r="AA31" i="4"/>
  <c r="AA23" i="4"/>
  <c r="AA12" i="4"/>
  <c r="AA5" i="4"/>
  <c r="AA6" i="4" s="1"/>
  <c r="S86" i="2"/>
  <c r="S74" i="2"/>
  <c r="S71" i="2"/>
  <c r="S90" i="2" s="1"/>
  <c r="S14" i="2"/>
  <c r="S6" i="2"/>
  <c r="S30" i="2" s="1"/>
  <c r="V5" i="4"/>
  <c r="S53" i="2"/>
  <c r="S62" i="2" s="1"/>
  <c r="S50" i="2"/>
  <c r="S36" i="2"/>
  <c r="S34" i="2"/>
  <c r="T26" i="2" l="1"/>
  <c r="T17" i="2"/>
  <c r="T19" i="2" s="1"/>
  <c r="T21" i="2" s="1"/>
  <c r="T65" i="2"/>
  <c r="U65" i="2"/>
  <c r="U17" i="2"/>
  <c r="U19" i="2" s="1"/>
  <c r="U21" i="2" s="1"/>
  <c r="U26" i="2"/>
  <c r="S88" i="2"/>
  <c r="S15" i="2"/>
  <c r="S65" i="2" s="1"/>
  <c r="R68" i="2"/>
  <c r="R71" i="2" s="1"/>
  <c r="R90" i="2" s="1"/>
  <c r="R86" i="2"/>
  <c r="R74" i="2"/>
  <c r="R61" i="2"/>
  <c r="R53" i="2"/>
  <c r="R50" i="2"/>
  <c r="R14" i="2"/>
  <c r="R6" i="2"/>
  <c r="R30" i="2" s="1"/>
  <c r="H36" i="2"/>
  <c r="I36" i="2"/>
  <c r="J36" i="2"/>
  <c r="K36" i="2"/>
  <c r="L36" i="2"/>
  <c r="M36" i="2"/>
  <c r="N36" i="2"/>
  <c r="O36" i="2"/>
  <c r="P36" i="2"/>
  <c r="Q36" i="2"/>
  <c r="R36" i="2"/>
  <c r="H34" i="2"/>
  <c r="I34" i="2"/>
  <c r="J34" i="2"/>
  <c r="K34" i="2"/>
  <c r="L34" i="2"/>
  <c r="M34" i="2"/>
  <c r="N34" i="2"/>
  <c r="O34" i="2"/>
  <c r="P34" i="2"/>
  <c r="Q34" i="2"/>
  <c r="R34" i="2"/>
  <c r="O8" i="5"/>
  <c r="P8" i="5" s="1"/>
  <c r="Q8" i="5" s="1"/>
  <c r="R8" i="5" s="1"/>
  <c r="S8" i="5" s="1"/>
  <c r="T8" i="5" s="1"/>
  <c r="U8" i="5" s="1"/>
  <c r="V8" i="5" s="1"/>
  <c r="W8" i="5" s="1"/>
  <c r="X8" i="5" s="1"/>
  <c r="O9" i="5"/>
  <c r="P9" i="5" s="1"/>
  <c r="Q9" i="5" s="1"/>
  <c r="R9" i="5" s="1"/>
  <c r="S9" i="5" s="1"/>
  <c r="T9" i="5" s="1"/>
  <c r="U9" i="5" s="1"/>
  <c r="V9" i="5" s="1"/>
  <c r="W9" i="5" s="1"/>
  <c r="X9" i="5" s="1"/>
  <c r="O10" i="5"/>
  <c r="P10" i="5" s="1"/>
  <c r="Q10" i="5" s="1"/>
  <c r="R10" i="5" s="1"/>
  <c r="S10" i="5" s="1"/>
  <c r="T10" i="5" s="1"/>
  <c r="U10" i="5" s="1"/>
  <c r="V10" i="5" s="1"/>
  <c r="W10" i="5" s="1"/>
  <c r="X10" i="5" s="1"/>
  <c r="O11" i="5"/>
  <c r="P11" i="5" s="1"/>
  <c r="Q11" i="5" s="1"/>
  <c r="R11" i="5" s="1"/>
  <c r="S11" i="5" s="1"/>
  <c r="T11" i="5" s="1"/>
  <c r="U11" i="5" s="1"/>
  <c r="V11" i="5" s="1"/>
  <c r="W11" i="5" s="1"/>
  <c r="X11" i="5" s="1"/>
  <c r="O12" i="5"/>
  <c r="P12" i="5" s="1"/>
  <c r="Q12" i="5" s="1"/>
  <c r="R12" i="5" s="1"/>
  <c r="S12" i="5" s="1"/>
  <c r="T12" i="5" s="1"/>
  <c r="U12" i="5" s="1"/>
  <c r="V12" i="5" s="1"/>
  <c r="W12" i="5" s="1"/>
  <c r="X12" i="5" s="1"/>
  <c r="O13" i="5"/>
  <c r="P13" i="5" s="1"/>
  <c r="Q13" i="5" s="1"/>
  <c r="R13" i="5" s="1"/>
  <c r="S13" i="5" s="1"/>
  <c r="T13" i="5" s="1"/>
  <c r="U13" i="5" s="1"/>
  <c r="V13" i="5" s="1"/>
  <c r="W13" i="5" s="1"/>
  <c r="X13" i="5" s="1"/>
  <c r="O7" i="5"/>
  <c r="O4" i="5"/>
  <c r="P4" i="5" s="1"/>
  <c r="Q4" i="5" s="1"/>
  <c r="R4" i="5" s="1"/>
  <c r="S4" i="5" s="1"/>
  <c r="T4" i="5" s="1"/>
  <c r="U4" i="5" s="1"/>
  <c r="V4" i="5" s="1"/>
  <c r="W4" i="5" s="1"/>
  <c r="X4" i="5" s="1"/>
  <c r="G26" i="5"/>
  <c r="F26" i="5"/>
  <c r="E26" i="5"/>
  <c r="D26" i="5"/>
  <c r="G25" i="5"/>
  <c r="F25" i="5"/>
  <c r="E25" i="5"/>
  <c r="D25" i="5"/>
  <c r="D24" i="5"/>
  <c r="J23" i="5"/>
  <c r="I23" i="5"/>
  <c r="H23" i="5"/>
  <c r="G23" i="5"/>
  <c r="F23" i="5"/>
  <c r="E23" i="5"/>
  <c r="G21" i="5"/>
  <c r="F21" i="5"/>
  <c r="E21" i="5"/>
  <c r="D21" i="5"/>
  <c r="M14" i="5"/>
  <c r="M24" i="5" s="1"/>
  <c r="L14" i="5"/>
  <c r="G14" i="5"/>
  <c r="F14" i="5"/>
  <c r="E14" i="5"/>
  <c r="D14" i="5"/>
  <c r="N24" i="5"/>
  <c r="K10" i="5"/>
  <c r="K14" i="5" s="1"/>
  <c r="K24" i="5" s="1"/>
  <c r="J10" i="5"/>
  <c r="J14" i="5" s="1"/>
  <c r="J24" i="5" s="1"/>
  <c r="I10" i="5"/>
  <c r="I14" i="5" s="1"/>
  <c r="H10" i="5"/>
  <c r="H14" i="5" s="1"/>
  <c r="M6" i="5"/>
  <c r="L6" i="5"/>
  <c r="L23" i="5" s="1"/>
  <c r="K6" i="5"/>
  <c r="J6" i="5"/>
  <c r="I6" i="5"/>
  <c r="H6" i="5"/>
  <c r="AH6" i="2"/>
  <c r="AH30" i="2" s="1"/>
  <c r="AC27" i="2"/>
  <c r="AB27" i="2"/>
  <c r="Z27" i="2"/>
  <c r="AA27" i="2"/>
  <c r="Z14" i="2"/>
  <c r="AA14" i="2"/>
  <c r="AB14" i="2"/>
  <c r="AB25" i="2" s="1"/>
  <c r="AC14" i="2"/>
  <c r="AC25" i="2" s="1"/>
  <c r="AA23" i="2"/>
  <c r="AB23" i="2"/>
  <c r="AC23" i="2"/>
  <c r="Z26" i="2"/>
  <c r="AA26" i="2"/>
  <c r="AB26" i="2"/>
  <c r="AC26" i="2"/>
  <c r="AA21" i="2"/>
  <c r="Z21" i="2"/>
  <c r="AB21" i="2"/>
  <c r="AC21" i="2"/>
  <c r="O14" i="5" l="1"/>
  <c r="P7" i="5"/>
  <c r="Q7" i="5" s="1"/>
  <c r="R7" i="5" s="1"/>
  <c r="S7" i="5" s="1"/>
  <c r="T7" i="5" s="1"/>
  <c r="U7" i="5" s="1"/>
  <c r="V7" i="5" s="1"/>
  <c r="W7" i="5" s="1"/>
  <c r="X7" i="5" s="1"/>
  <c r="S26" i="2"/>
  <c r="S17" i="2"/>
  <c r="S19" i="2" s="1"/>
  <c r="S21" i="2" s="1"/>
  <c r="R88" i="2"/>
  <c r="R62" i="2"/>
  <c r="R15" i="2"/>
  <c r="AA25" i="2"/>
  <c r="H24" i="5"/>
  <c r="H15" i="5"/>
  <c r="L15" i="5"/>
  <c r="M23" i="5"/>
  <c r="L24" i="5"/>
  <c r="I24" i="5"/>
  <c r="M15" i="5"/>
  <c r="E24" i="5"/>
  <c r="I15" i="5"/>
  <c r="F24" i="5"/>
  <c r="G24" i="5"/>
  <c r="J15" i="5"/>
  <c r="K23" i="5"/>
  <c r="K15" i="5"/>
  <c r="AH14" i="2"/>
  <c r="AI14" i="2"/>
  <c r="D14" i="2"/>
  <c r="H14" i="2"/>
  <c r="I14" i="2"/>
  <c r="J14" i="2"/>
  <c r="K14" i="2"/>
  <c r="L14" i="2"/>
  <c r="M14" i="2"/>
  <c r="N14" i="2"/>
  <c r="R25" i="2" s="1"/>
  <c r="O14" i="2"/>
  <c r="S25" i="2" s="1"/>
  <c r="P14" i="2"/>
  <c r="T25" i="2" s="1"/>
  <c r="Q14" i="2"/>
  <c r="U25" i="2" s="1"/>
  <c r="R26" i="2" l="1"/>
  <c r="R65" i="2"/>
  <c r="Q25" i="2"/>
  <c r="M25" i="2"/>
  <c r="R17" i="2"/>
  <c r="R19" i="2" s="1"/>
  <c r="R21" i="2" s="1"/>
  <c r="P14" i="5"/>
  <c r="Q14" i="5"/>
  <c r="I17" i="5"/>
  <c r="I19" i="5" s="1"/>
  <c r="I25" i="5"/>
  <c r="M17" i="5"/>
  <c r="M19" i="5" s="1"/>
  <c r="M25" i="5"/>
  <c r="O24" i="5"/>
  <c r="N23" i="5"/>
  <c r="K25" i="5"/>
  <c r="K17" i="5"/>
  <c r="K19" i="5" s="1"/>
  <c r="H25" i="5"/>
  <c r="H17" i="5"/>
  <c r="H19" i="5" s="1"/>
  <c r="O6" i="5"/>
  <c r="O15" i="5" s="1"/>
  <c r="O17" i="5" s="1"/>
  <c r="O18" i="5" s="1"/>
  <c r="O19" i="5" s="1"/>
  <c r="O21" i="5" s="1"/>
  <c r="J25" i="5"/>
  <c r="J17" i="5"/>
  <c r="J19" i="5" s="1"/>
  <c r="L25" i="5"/>
  <c r="L17" i="5"/>
  <c r="L19" i="5" s="1"/>
  <c r="H25" i="2"/>
  <c r="P25" i="2"/>
  <c r="O25" i="2"/>
  <c r="N25" i="2"/>
  <c r="L25" i="2"/>
  <c r="AI25" i="2"/>
  <c r="Q24" i="5" l="1"/>
  <c r="R14" i="5"/>
  <c r="O23" i="5"/>
  <c r="N25" i="5"/>
  <c r="H21" i="5"/>
  <c r="H26" i="5"/>
  <c r="L21" i="5"/>
  <c r="M21" i="5"/>
  <c r="J26" i="5"/>
  <c r="J21" i="5"/>
  <c r="I21" i="5"/>
  <c r="I26" i="5"/>
  <c r="P6" i="5"/>
  <c r="P15" i="5" s="1"/>
  <c r="P17" i="5" s="1"/>
  <c r="P18" i="5" s="1"/>
  <c r="P19" i="5" s="1"/>
  <c r="P21" i="5" s="1"/>
  <c r="K21" i="5"/>
  <c r="R24" i="5"/>
  <c r="P24" i="5"/>
  <c r="Q76" i="2"/>
  <c r="Q68" i="2"/>
  <c r="Q71" i="2" s="1"/>
  <c r="Q90" i="2" s="1"/>
  <c r="Q86" i="2"/>
  <c r="Q74" i="2"/>
  <c r="Q61" i="2"/>
  <c r="Q53" i="2"/>
  <c r="Q50" i="2"/>
  <c r="AF9" i="4"/>
  <c r="Q6" i="2"/>
  <c r="Q30" i="2" s="1"/>
  <c r="Q5" i="4"/>
  <c r="L5" i="4"/>
  <c r="G5" i="4"/>
  <c r="V71" i="4"/>
  <c r="V63" i="4"/>
  <c r="V51" i="4"/>
  <c r="V43" i="4"/>
  <c r="V23" i="4"/>
  <c r="V31" i="4"/>
  <c r="V12" i="4"/>
  <c r="Q71" i="4"/>
  <c r="L71" i="4"/>
  <c r="G71" i="4"/>
  <c r="Q63" i="4"/>
  <c r="L63" i="4"/>
  <c r="L64" i="4" s="1"/>
  <c r="G63" i="4"/>
  <c r="G51" i="4"/>
  <c r="Q51" i="4"/>
  <c r="L51" i="4"/>
  <c r="Q43" i="4"/>
  <c r="L43" i="4"/>
  <c r="G43" i="4"/>
  <c r="Q31" i="4"/>
  <c r="L31" i="4"/>
  <c r="G31" i="4"/>
  <c r="Q23" i="4"/>
  <c r="G23" i="4"/>
  <c r="L23" i="4"/>
  <c r="L24" i="4" s="1"/>
  <c r="L12" i="4"/>
  <c r="G12" i="4"/>
  <c r="Q12" i="4"/>
  <c r="Q13" i="4" s="1"/>
  <c r="F10" i="2"/>
  <c r="F14" i="2" s="1"/>
  <c r="J25" i="2" s="1"/>
  <c r="E10" i="2"/>
  <c r="E14" i="2" s="1"/>
  <c r="I25" i="2" s="1"/>
  <c r="V44" i="4" l="1"/>
  <c r="AA44" i="4"/>
  <c r="Q64" i="4"/>
  <c r="L44" i="4"/>
  <c r="V64" i="4"/>
  <c r="AA64" i="4"/>
  <c r="V13" i="4"/>
  <c r="AA13" i="4"/>
  <c r="L13" i="4"/>
  <c r="Q44" i="4"/>
  <c r="Q24" i="4"/>
  <c r="L6" i="4"/>
  <c r="Q6" i="4"/>
  <c r="V6" i="4"/>
  <c r="V24" i="4"/>
  <c r="AA24" i="4"/>
  <c r="Q15" i="2"/>
  <c r="Q65" i="2" s="1"/>
  <c r="U23" i="2"/>
  <c r="S14" i="5"/>
  <c r="S24" i="5" s="1"/>
  <c r="P23" i="5"/>
  <c r="O25" i="5"/>
  <c r="Q6" i="5"/>
  <c r="Q15" i="5" s="1"/>
  <c r="Q17" i="5" s="1"/>
  <c r="Q18" i="5" s="1"/>
  <c r="Q19" i="5" s="1"/>
  <c r="Q21" i="5" s="1"/>
  <c r="Q88" i="2"/>
  <c r="Q62" i="2"/>
  <c r="G68" i="2"/>
  <c r="G10" i="2"/>
  <c r="G14" i="2" s="1"/>
  <c r="K25" i="2" s="1"/>
  <c r="D68" i="2"/>
  <c r="H68" i="2"/>
  <c r="D49" i="2"/>
  <c r="H57" i="2"/>
  <c r="H49" i="2"/>
  <c r="I68" i="2"/>
  <c r="M68" i="2"/>
  <c r="I57" i="2"/>
  <c r="I49" i="2"/>
  <c r="J68" i="2"/>
  <c r="T14" i="5" l="1"/>
  <c r="T24" i="5" s="1"/>
  <c r="P25" i="5"/>
  <c r="R6" i="5"/>
  <c r="R15" i="5" s="1"/>
  <c r="R17" i="5" s="1"/>
  <c r="R18" i="5" s="1"/>
  <c r="R19" i="5" s="1"/>
  <c r="R21" i="5" s="1"/>
  <c r="Q23" i="5"/>
  <c r="AJ14" i="2"/>
  <c r="AJ25" i="2" s="1"/>
  <c r="Q26" i="2"/>
  <c r="Q17" i="2"/>
  <c r="Q19" i="2" s="1"/>
  <c r="Q21" i="2" s="1"/>
  <c r="N68" i="2"/>
  <c r="J57" i="2"/>
  <c r="U14" i="5" l="1"/>
  <c r="U24" i="5" s="1"/>
  <c r="S6" i="5"/>
  <c r="S15" i="5" s="1"/>
  <c r="S17" i="5" s="1"/>
  <c r="S18" i="5" s="1"/>
  <c r="S19" i="5" s="1"/>
  <c r="S21" i="5" s="1"/>
  <c r="R23" i="5"/>
  <c r="Q25" i="5"/>
  <c r="AK14" i="2"/>
  <c r="AK25" i="2" s="1"/>
  <c r="K68" i="2"/>
  <c r="K71" i="2" s="1"/>
  <c r="K90" i="2" s="1"/>
  <c r="O68" i="2"/>
  <c r="O71" i="2" s="1"/>
  <c r="O90" i="2" s="1"/>
  <c r="K50" i="2"/>
  <c r="K6" i="2"/>
  <c r="K30" i="2" s="1"/>
  <c r="O6" i="2"/>
  <c r="L68" i="2"/>
  <c r="L71" i="2" s="1"/>
  <c r="L90" i="2" s="1"/>
  <c r="D71" i="2"/>
  <c r="D90" i="2" s="1"/>
  <c r="E71" i="2"/>
  <c r="E90" i="2" s="1"/>
  <c r="F71" i="2"/>
  <c r="F90" i="2" s="1"/>
  <c r="G71" i="2"/>
  <c r="G90" i="2" s="1"/>
  <c r="H71" i="2"/>
  <c r="H90" i="2" s="1"/>
  <c r="I71" i="2"/>
  <c r="I90" i="2" s="1"/>
  <c r="J71" i="2"/>
  <c r="J90" i="2" s="1"/>
  <c r="M71" i="2"/>
  <c r="M90" i="2" s="1"/>
  <c r="N71" i="2"/>
  <c r="N90" i="2" s="1"/>
  <c r="D74" i="2"/>
  <c r="E74" i="2"/>
  <c r="F74" i="2"/>
  <c r="G74" i="2"/>
  <c r="H74" i="2"/>
  <c r="I74" i="2"/>
  <c r="J74" i="2"/>
  <c r="K74" i="2"/>
  <c r="L74" i="2"/>
  <c r="M74" i="2"/>
  <c r="N74" i="2"/>
  <c r="O74" i="2"/>
  <c r="D86" i="2"/>
  <c r="E86" i="2"/>
  <c r="F86" i="2"/>
  <c r="G86" i="2"/>
  <c r="H86" i="2"/>
  <c r="I86" i="2"/>
  <c r="J86" i="2"/>
  <c r="K86" i="2"/>
  <c r="L86" i="2"/>
  <c r="M86" i="2"/>
  <c r="N86" i="2"/>
  <c r="O86" i="2"/>
  <c r="P86" i="2"/>
  <c r="S23" i="2" l="1"/>
  <c r="O30" i="2"/>
  <c r="V14" i="5"/>
  <c r="V24" i="5" s="1"/>
  <c r="T6" i="5"/>
  <c r="T15" i="5" s="1"/>
  <c r="T17" i="5" s="1"/>
  <c r="S23" i="5"/>
  <c r="R25" i="5"/>
  <c r="AL14" i="2"/>
  <c r="AL25" i="2" s="1"/>
  <c r="O15" i="2"/>
  <c r="O17" i="2" s="1"/>
  <c r="O19" i="2" s="1"/>
  <c r="K15" i="2"/>
  <c r="K17" i="2" s="1"/>
  <c r="K19" i="2" s="1"/>
  <c r="E88" i="2"/>
  <c r="F88" i="2"/>
  <c r="G88" i="2"/>
  <c r="N88" i="2"/>
  <c r="M88" i="2"/>
  <c r="D88" i="2"/>
  <c r="O88" i="2"/>
  <c r="L88" i="2"/>
  <c r="K88" i="2"/>
  <c r="I88" i="2"/>
  <c r="J88" i="2"/>
  <c r="H88" i="2"/>
  <c r="P74" i="2"/>
  <c r="P68" i="2"/>
  <c r="P71" i="2" s="1"/>
  <c r="P90" i="2" s="1"/>
  <c r="D61" i="2"/>
  <c r="E61" i="2"/>
  <c r="F61" i="2"/>
  <c r="G61" i="2"/>
  <c r="H61" i="2"/>
  <c r="I61" i="2"/>
  <c r="J61" i="2"/>
  <c r="K61" i="2"/>
  <c r="L61" i="2"/>
  <c r="M61" i="2"/>
  <c r="N61" i="2"/>
  <c r="O61" i="2"/>
  <c r="D53" i="2"/>
  <c r="E53" i="2"/>
  <c r="F53" i="2"/>
  <c r="G53" i="2"/>
  <c r="H53" i="2"/>
  <c r="I53" i="2"/>
  <c r="J53" i="2"/>
  <c r="K53" i="2"/>
  <c r="L53" i="2"/>
  <c r="M53" i="2"/>
  <c r="N53" i="2"/>
  <c r="O53" i="2"/>
  <c r="P61" i="2"/>
  <c r="K65" i="2" l="1"/>
  <c r="T18" i="5"/>
  <c r="T19" i="5" s="1"/>
  <c r="T21" i="5" s="1"/>
  <c r="W14" i="5"/>
  <c r="W24" i="5" s="1"/>
  <c r="S25" i="5"/>
  <c r="U6" i="5"/>
  <c r="U15" i="5" s="1"/>
  <c r="U17" i="5" s="1"/>
  <c r="U18" i="5" s="1"/>
  <c r="U19" i="5" s="1"/>
  <c r="U21" i="5" s="1"/>
  <c r="T23" i="5"/>
  <c r="F62" i="2"/>
  <c r="AM14" i="2"/>
  <c r="AM25" i="2" s="1"/>
  <c r="G62" i="2"/>
  <c r="E62" i="2"/>
  <c r="D62" i="2"/>
  <c r="H62" i="2"/>
  <c r="I62" i="2"/>
  <c r="M62" i="2"/>
  <c r="N62" i="2"/>
  <c r="P88" i="2"/>
  <c r="J62" i="2"/>
  <c r="K62" i="2"/>
  <c r="L62" i="2"/>
  <c r="O62" i="2"/>
  <c r="P53" i="2"/>
  <c r="P62" i="2" s="1"/>
  <c r="D50" i="2"/>
  <c r="E50" i="2"/>
  <c r="F50" i="2"/>
  <c r="G50" i="2"/>
  <c r="H50" i="2"/>
  <c r="I50" i="2"/>
  <c r="J50" i="2"/>
  <c r="L50" i="2"/>
  <c r="M50" i="2"/>
  <c r="N50" i="2"/>
  <c r="O50" i="2"/>
  <c r="P50" i="2"/>
  <c r="K26" i="2"/>
  <c r="K21" i="2"/>
  <c r="N6" i="2"/>
  <c r="N30" i="2" s="1"/>
  <c r="M6" i="2"/>
  <c r="M30" i="2" s="1"/>
  <c r="L6" i="2"/>
  <c r="J6" i="2"/>
  <c r="I6" i="2"/>
  <c r="H6" i="2"/>
  <c r="H30" i="2" s="1"/>
  <c r="G6" i="2"/>
  <c r="G30" i="2" s="1"/>
  <c r="F6" i="2"/>
  <c r="E6" i="2"/>
  <c r="D6" i="2"/>
  <c r="P6" i="2"/>
  <c r="P30" i="2" s="1"/>
  <c r="AE5" i="4"/>
  <c r="AD70" i="2"/>
  <c r="AD71" i="2" s="1"/>
  <c r="AD90" i="2" s="1"/>
  <c r="AE83" i="2"/>
  <c r="AE82" i="2"/>
  <c r="AE78" i="2"/>
  <c r="AE70" i="2"/>
  <c r="AE71" i="2" s="1"/>
  <c r="AE90" i="2" s="1"/>
  <c r="AD10" i="2"/>
  <c r="AD14" i="2" s="1"/>
  <c r="AD25" i="2" s="1"/>
  <c r="AE10" i="2"/>
  <c r="AE14" i="2" s="1"/>
  <c r="AF85" i="2"/>
  <c r="AF78" i="2"/>
  <c r="AF70" i="2"/>
  <c r="AF71" i="2" s="1"/>
  <c r="AF90" i="2" s="1"/>
  <c r="AG85" i="2"/>
  <c r="AG70" i="2"/>
  <c r="AG71" i="2" s="1"/>
  <c r="AG90" i="2" s="1"/>
  <c r="AF10" i="2"/>
  <c r="AF14" i="2" s="1"/>
  <c r="AG10" i="2"/>
  <c r="AG14" i="2" s="1"/>
  <c r="AJ15" i="2"/>
  <c r="AK6" i="2"/>
  <c r="AK15" i="2" s="1"/>
  <c r="AL6" i="2"/>
  <c r="AL15" i="2" s="1"/>
  <c r="AM6" i="2"/>
  <c r="AN6" i="2"/>
  <c r="AN15" i="2" s="1"/>
  <c r="AO6" i="2"/>
  <c r="AP6" i="2"/>
  <c r="AQ6" i="2"/>
  <c r="AR6" i="2"/>
  <c r="AS6" i="2"/>
  <c r="AT6" i="2"/>
  <c r="AD86" i="2"/>
  <c r="AG86" i="2"/>
  <c r="AH86" i="2"/>
  <c r="AD74" i="2"/>
  <c r="AE74" i="2"/>
  <c r="AF74" i="2"/>
  <c r="AG74" i="2"/>
  <c r="AH74" i="2"/>
  <c r="AH70" i="2"/>
  <c r="AH71" i="2" s="1"/>
  <c r="AH90" i="2" s="1"/>
  <c r="AI86" i="2"/>
  <c r="AI74" i="2"/>
  <c r="AI70" i="2"/>
  <c r="AI71" i="2" s="1"/>
  <c r="AI90" i="2" s="1"/>
  <c r="AD6" i="2"/>
  <c r="AE6" i="2"/>
  <c r="AF6" i="2"/>
  <c r="AF30" i="2" s="1"/>
  <c r="AG6" i="2"/>
  <c r="AG30" i="2" s="1"/>
  <c r="AI6" i="2"/>
  <c r="AI30" i="2" s="1"/>
  <c r="I15" i="2" l="1"/>
  <c r="I30" i="2"/>
  <c r="AE15" i="2"/>
  <c r="AE65" i="2" s="1"/>
  <c r="AE30" i="2"/>
  <c r="L15" i="2"/>
  <c r="L17" i="2" s="1"/>
  <c r="L19" i="2" s="1"/>
  <c r="L21" i="2" s="1"/>
  <c r="L30" i="2"/>
  <c r="J15" i="2"/>
  <c r="J30" i="2"/>
  <c r="D15" i="2"/>
  <c r="D30" i="2"/>
  <c r="E15" i="2"/>
  <c r="E65" i="2" s="1"/>
  <c r="E30" i="2"/>
  <c r="F15" i="2"/>
  <c r="F26" i="2" s="1"/>
  <c r="F30" i="2"/>
  <c r="AJ65" i="2"/>
  <c r="AJ26" i="2"/>
  <c r="P15" i="2"/>
  <c r="P17" i="2" s="1"/>
  <c r="P19" i="2" s="1"/>
  <c r="P21" i="2" s="1"/>
  <c r="T23" i="2"/>
  <c r="N15" i="2"/>
  <c r="N65" i="2" s="1"/>
  <c r="R23" i="2"/>
  <c r="AD15" i="2"/>
  <c r="AD26" i="2" s="1"/>
  <c r="AD23" i="2"/>
  <c r="AF25" i="2"/>
  <c r="X14" i="5"/>
  <c r="X24" i="5" s="1"/>
  <c r="U23" i="5"/>
  <c r="V6" i="5"/>
  <c r="V15" i="5" s="1"/>
  <c r="V17" i="5" s="1"/>
  <c r="V18" i="5" s="1"/>
  <c r="V19" i="5" s="1"/>
  <c r="V21" i="5" s="1"/>
  <c r="T25" i="5"/>
  <c r="AH15" i="2"/>
  <c r="AH17" i="2" s="1"/>
  <c r="AH19" i="2" s="1"/>
  <c r="AG15" i="2"/>
  <c r="AA11" i="2" s="1"/>
  <c r="AM15" i="2"/>
  <c r="AM26" i="2" s="1"/>
  <c r="AO15" i="2"/>
  <c r="AN14" i="2"/>
  <c r="AN25" i="2" s="1"/>
  <c r="AG25" i="2"/>
  <c r="AH25" i="2"/>
  <c r="AI15" i="2"/>
  <c r="AI17" i="2" s="1"/>
  <c r="AI19" i="2" s="1"/>
  <c r="AF15" i="2"/>
  <c r="AF17" i="2" s="1"/>
  <c r="AF19" i="2" s="1"/>
  <c r="AE25" i="2"/>
  <c r="Q23" i="2"/>
  <c r="M15" i="2"/>
  <c r="K23" i="2"/>
  <c r="G15" i="2"/>
  <c r="G65" i="2" s="1"/>
  <c r="AE86" i="2"/>
  <c r="AE88" i="2" s="1"/>
  <c r="H15" i="2"/>
  <c r="H26" i="2" s="1"/>
  <c r="AP23" i="2"/>
  <c r="AT23" i="2"/>
  <c r="J23" i="2"/>
  <c r="AF86" i="2"/>
  <c r="AF88" i="2" s="1"/>
  <c r="AK17" i="2"/>
  <c r="AK18" i="2" s="1"/>
  <c r="AL23" i="2"/>
  <c r="H23" i="2"/>
  <c r="I65" i="2"/>
  <c r="I17" i="2"/>
  <c r="I19" i="2" s="1"/>
  <c r="I21" i="2" s="1"/>
  <c r="I26" i="2"/>
  <c r="I23" i="2"/>
  <c r="M23" i="2"/>
  <c r="P65" i="2"/>
  <c r="P26" i="2"/>
  <c r="E17" i="2"/>
  <c r="E19" i="2" s="1"/>
  <c r="E21" i="2" s="1"/>
  <c r="E26" i="2"/>
  <c r="D65" i="2"/>
  <c r="D17" i="2"/>
  <c r="D19" i="2" s="1"/>
  <c r="D21" i="2" s="1"/>
  <c r="D26" i="2"/>
  <c r="F65" i="2"/>
  <c r="P23" i="2"/>
  <c r="N23" i="2"/>
  <c r="L26" i="2"/>
  <c r="L23" i="2"/>
  <c r="O23" i="2"/>
  <c r="O21" i="2"/>
  <c r="O65" i="2"/>
  <c r="O26" i="2"/>
  <c r="AE6" i="4"/>
  <c r="AE4" i="4"/>
  <c r="AE8" i="4"/>
  <c r="AE7" i="4"/>
  <c r="AH88" i="2"/>
  <c r="AR23" i="2"/>
  <c r="AJ23" i="2"/>
  <c r="AM23" i="2"/>
  <c r="AQ23" i="2"/>
  <c r="AK26" i="2"/>
  <c r="AO23" i="2"/>
  <c r="AN23" i="2"/>
  <c r="AD88" i="2"/>
  <c r="AN26" i="2"/>
  <c r="AN17" i="2"/>
  <c r="AN18" i="2" s="1"/>
  <c r="AI88" i="2"/>
  <c r="AG88" i="2"/>
  <c r="AS23" i="2"/>
  <c r="AK23" i="2"/>
  <c r="AI23" i="2"/>
  <c r="AE23" i="2"/>
  <c r="AF23" i="2"/>
  <c r="AH23" i="2"/>
  <c r="AG23" i="2"/>
  <c r="B6" i="2"/>
  <c r="B9" i="2" s="1"/>
  <c r="F17" i="2" l="1"/>
  <c r="F19" i="2" s="1"/>
  <c r="F21" i="2" s="1"/>
  <c r="L65" i="2"/>
  <c r="AG26" i="2"/>
  <c r="N26" i="2"/>
  <c r="N17" i="2"/>
  <c r="N19" i="2" s="1"/>
  <c r="N21" i="2" s="1"/>
  <c r="AD65" i="2"/>
  <c r="D5" i="3"/>
  <c r="F5" i="3"/>
  <c r="V23" i="5"/>
  <c r="X6" i="5"/>
  <c r="X15" i="5" s="1"/>
  <c r="X17" i="5" s="1"/>
  <c r="X18" i="5" s="1"/>
  <c r="X19" i="5" s="1"/>
  <c r="W6" i="5"/>
  <c r="W15" i="5" s="1"/>
  <c r="W17" i="5" s="1"/>
  <c r="W18" i="5" s="1"/>
  <c r="W19" i="5" s="1"/>
  <c r="W21" i="5" s="1"/>
  <c r="U25" i="5"/>
  <c r="AH26" i="2"/>
  <c r="AH65" i="2"/>
  <c r="AI65" i="2"/>
  <c r="AO26" i="2"/>
  <c r="AO17" i="2"/>
  <c r="AF21" i="2"/>
  <c r="AF27" i="2"/>
  <c r="AM17" i="2"/>
  <c r="AI21" i="2"/>
  <c r="AI27" i="2"/>
  <c r="AH21" i="2"/>
  <c r="AH27" i="2"/>
  <c r="AI26" i="2"/>
  <c r="AO14" i="2"/>
  <c r="AO25" i="2" s="1"/>
  <c r="H17" i="2"/>
  <c r="H19" i="2" s="1"/>
  <c r="H21" i="2" s="1"/>
  <c r="H65" i="2"/>
  <c r="AF65" i="2"/>
  <c r="AF26" i="2"/>
  <c r="G26" i="2"/>
  <c r="AL17" i="2"/>
  <c r="E5" i="3"/>
  <c r="AK19" i="2"/>
  <c r="AK21" i="2" s="1"/>
  <c r="D6" i="3" s="1"/>
  <c r="AN19" i="2"/>
  <c r="AN21" i="2" s="1"/>
  <c r="AL26" i="2"/>
  <c r="G17" i="2"/>
  <c r="G19" i="2" s="1"/>
  <c r="G21" i="2" s="1"/>
  <c r="M65" i="2"/>
  <c r="M17" i="2"/>
  <c r="M19" i="2" s="1"/>
  <c r="M21" i="2" s="1"/>
  <c r="M26" i="2"/>
  <c r="AE17" i="2"/>
  <c r="AE19" i="2" s="1"/>
  <c r="J65" i="2"/>
  <c r="J26" i="2"/>
  <c r="J17" i="2"/>
  <c r="J19" i="2" s="1"/>
  <c r="J21" i="2" s="1"/>
  <c r="AE26" i="2"/>
  <c r="AE9" i="4"/>
  <c r="AD17" i="2"/>
  <c r="AD19" i="2" s="1"/>
  <c r="AD27" i="2" s="1"/>
  <c r="AG65" i="2"/>
  <c r="AG17" i="2"/>
  <c r="AG19" i="2" s="1"/>
  <c r="AG27" i="2" s="1"/>
  <c r="AJ17" i="2"/>
  <c r="AM18" i="2" l="1"/>
  <c r="AM19" i="2" s="1"/>
  <c r="AM21" i="2" s="1"/>
  <c r="F6" i="3" s="1"/>
  <c r="AO18" i="2"/>
  <c r="AO19" i="2" s="1"/>
  <c r="AO21" i="2" s="1"/>
  <c r="AL18" i="2"/>
  <c r="AL19" i="2" s="1"/>
  <c r="AL21" i="2" s="1"/>
  <c r="E6" i="3" s="1"/>
  <c r="X21" i="5"/>
  <c r="Y19" i="5"/>
  <c r="Z19" i="5" s="1"/>
  <c r="AA19" i="5" s="1"/>
  <c r="AB19" i="5" s="1"/>
  <c r="AC19" i="5" s="1"/>
  <c r="AD19" i="5" s="1"/>
  <c r="AE19" i="5" s="1"/>
  <c r="AF19" i="5" s="1"/>
  <c r="AG19" i="5" s="1"/>
  <c r="AH19" i="5" s="1"/>
  <c r="AI19" i="5" s="1"/>
  <c r="AJ19" i="5" s="1"/>
  <c r="AK19" i="5" s="1"/>
  <c r="AL19" i="5" s="1"/>
  <c r="AM19" i="5" s="1"/>
  <c r="AN19" i="5" s="1"/>
  <c r="AO19" i="5" s="1"/>
  <c r="AP19" i="5" s="1"/>
  <c r="AQ19" i="5" s="1"/>
  <c r="AR19" i="5" s="1"/>
  <c r="AS19" i="5" s="1"/>
  <c r="AT19" i="5" s="1"/>
  <c r="AU19" i="5" s="1"/>
  <c r="AV19" i="5" s="1"/>
  <c r="AW19" i="5" s="1"/>
  <c r="AX19" i="5" s="1"/>
  <c r="AY19" i="5" s="1"/>
  <c r="AZ19" i="5" s="1"/>
  <c r="BA19" i="5" s="1"/>
  <c r="BB19" i="5" s="1"/>
  <c r="BC19" i="5" s="1"/>
  <c r="BD19" i="5" s="1"/>
  <c r="BE19" i="5" s="1"/>
  <c r="BF19" i="5" s="1"/>
  <c r="BG19" i="5" s="1"/>
  <c r="BH19" i="5" s="1"/>
  <c r="BI19" i="5" s="1"/>
  <c r="BJ19" i="5" s="1"/>
  <c r="BK19" i="5" s="1"/>
  <c r="BL19" i="5" s="1"/>
  <c r="BM19" i="5" s="1"/>
  <c r="BN19" i="5" s="1"/>
  <c r="BO19" i="5" s="1"/>
  <c r="BP19" i="5" s="1"/>
  <c r="BQ19" i="5" s="1"/>
  <c r="BR19" i="5" s="1"/>
  <c r="BS19" i="5" s="1"/>
  <c r="BT19" i="5" s="1"/>
  <c r="BU19" i="5" s="1"/>
  <c r="BV19" i="5" s="1"/>
  <c r="BW19" i="5" s="1"/>
  <c r="BX19" i="5" s="1"/>
  <c r="BY19" i="5" s="1"/>
  <c r="BZ19" i="5" s="1"/>
  <c r="CA19" i="5" s="1"/>
  <c r="CB19" i="5" s="1"/>
  <c r="CC19" i="5" s="1"/>
  <c r="CD19" i="5" s="1"/>
  <c r="CE19" i="5" s="1"/>
  <c r="CF19" i="5" s="1"/>
  <c r="CG19" i="5" s="1"/>
  <c r="CH19" i="5" s="1"/>
  <c r="CI19" i="5" s="1"/>
  <c r="CJ19" i="5" s="1"/>
  <c r="CK19" i="5" s="1"/>
  <c r="CL19" i="5" s="1"/>
  <c r="CM19" i="5" s="1"/>
  <c r="CN19" i="5" s="1"/>
  <c r="CO19" i="5" s="1"/>
  <c r="CP19" i="5" s="1"/>
  <c r="CQ19" i="5" s="1"/>
  <c r="CR19" i="5" s="1"/>
  <c r="CS19" i="5" s="1"/>
  <c r="CT19" i="5" s="1"/>
  <c r="CU19" i="5" s="1"/>
  <c r="CV19" i="5" s="1"/>
  <c r="CW19" i="5" s="1"/>
  <c r="CX19" i="5" s="1"/>
  <c r="CY19" i="5" s="1"/>
  <c r="CZ19" i="5" s="1"/>
  <c r="DA19" i="5" s="1"/>
  <c r="DB19" i="5" s="1"/>
  <c r="DC19" i="5" s="1"/>
  <c r="DD19" i="5" s="1"/>
  <c r="DE19" i="5" s="1"/>
  <c r="DF19" i="5" s="1"/>
  <c r="DG19" i="5" s="1"/>
  <c r="DH19" i="5" s="1"/>
  <c r="DI19" i="5" s="1"/>
  <c r="DJ19" i="5" s="1"/>
  <c r="DK19" i="5" s="1"/>
  <c r="DL19" i="5" s="1"/>
  <c r="DM19" i="5" s="1"/>
  <c r="DN19" i="5" s="1"/>
  <c r="DO19" i="5" s="1"/>
  <c r="DP19" i="5" s="1"/>
  <c r="DQ19" i="5" s="1"/>
  <c r="DR19" i="5" s="1"/>
  <c r="DS19" i="5" s="1"/>
  <c r="DT19" i="5" s="1"/>
  <c r="DU19" i="5" s="1"/>
  <c r="DV19" i="5" s="1"/>
  <c r="DW19" i="5" s="1"/>
  <c r="DX19" i="5" s="1"/>
  <c r="DY19" i="5" s="1"/>
  <c r="DZ19" i="5" s="1"/>
  <c r="EA19" i="5" s="1"/>
  <c r="EB19" i="5" s="1"/>
  <c r="EC19" i="5" s="1"/>
  <c r="W23" i="5"/>
  <c r="X23" i="5"/>
  <c r="V25" i="5"/>
  <c r="AE21" i="2"/>
  <c r="AE27" i="2"/>
  <c r="AG21" i="2"/>
  <c r="AD21" i="2"/>
  <c r="AP14" i="2"/>
  <c r="AP25" i="2" s="1"/>
  <c r="AP15" i="2"/>
  <c r="AJ19" i="2"/>
  <c r="X25" i="5" l="1"/>
  <c r="W25" i="5"/>
  <c r="AJ21" i="2"/>
  <c r="AP17" i="2"/>
  <c r="AP26" i="2"/>
  <c r="AQ14" i="2"/>
  <c r="AQ25" i="2" s="1"/>
  <c r="AQ15" i="2"/>
  <c r="AP18" i="2" l="1"/>
  <c r="AP19" i="2" s="1"/>
  <c r="AP21" i="2" s="1"/>
  <c r="AQ17" i="2"/>
  <c r="AQ26" i="2"/>
  <c r="AR14" i="2"/>
  <c r="AR25" i="2" s="1"/>
  <c r="AR15" i="2"/>
  <c r="AQ18" i="2" l="1"/>
  <c r="AQ19" i="2" s="1"/>
  <c r="AQ21" i="2" s="1"/>
  <c r="AA23" i="5"/>
  <c r="AA25" i="5" s="1"/>
  <c r="AR17" i="2"/>
  <c r="AR18" i="2" s="1"/>
  <c r="AR26" i="2"/>
  <c r="AS14" i="2"/>
  <c r="AS25" i="2" s="1"/>
  <c r="AS15" i="2"/>
  <c r="AA26" i="5" l="1"/>
  <c r="A6" i="5" s="1"/>
  <c r="A5" i="5"/>
  <c r="AS26" i="2"/>
  <c r="AS17" i="2"/>
  <c r="AT14" i="2"/>
  <c r="AT25" i="2" s="1"/>
  <c r="AT15" i="2"/>
  <c r="AR19" i="2"/>
  <c r="AS18" i="2" l="1"/>
  <c r="AS19" i="2" s="1"/>
  <c r="AS21" i="2" s="1"/>
  <c r="AR21" i="2"/>
  <c r="AT26" i="2"/>
  <c r="AT17" i="2"/>
  <c r="AT18" i="2" s="1"/>
  <c r="AT19" i="2" l="1"/>
  <c r="AT21" i="2" l="1"/>
  <c r="AU19" i="2"/>
  <c r="AV19" i="2" l="1"/>
  <c r="AW19" i="2" s="1"/>
  <c r="AX19" i="2" s="1"/>
  <c r="AY19" i="2" s="1"/>
  <c r="AZ19" i="2" s="1"/>
  <c r="BA19" i="2" s="1"/>
  <c r="BB19" i="2" s="1"/>
  <c r="BC19" i="2" s="1"/>
  <c r="BD19" i="2" s="1"/>
  <c r="BE19" i="2" s="1"/>
  <c r="BF19" i="2" s="1"/>
  <c r="BG19" i="2" s="1"/>
  <c r="BH19" i="2" s="1"/>
  <c r="BI19" i="2" s="1"/>
  <c r="BJ19" i="2" s="1"/>
  <c r="BK19" i="2" s="1"/>
  <c r="BL19" i="2" s="1"/>
  <c r="BM19" i="2" s="1"/>
  <c r="BN19" i="2" s="1"/>
  <c r="BO19" i="2" s="1"/>
  <c r="BP19" i="2" s="1"/>
  <c r="BQ19" i="2" s="1"/>
  <c r="BR19" i="2" s="1"/>
  <c r="BS19" i="2" s="1"/>
  <c r="BT19" i="2" s="1"/>
  <c r="BU19" i="2" s="1"/>
  <c r="BV19" i="2" s="1"/>
  <c r="BW19" i="2" s="1"/>
  <c r="BX19" i="2" s="1"/>
  <c r="BY19" i="2" s="1"/>
  <c r="BZ19" i="2" s="1"/>
  <c r="CA19" i="2" s="1"/>
  <c r="CB19" i="2" s="1"/>
  <c r="CC19" i="2" s="1"/>
  <c r="CD19" i="2" s="1"/>
  <c r="CE19" i="2" s="1"/>
  <c r="CF19" i="2" s="1"/>
  <c r="CG19" i="2" s="1"/>
  <c r="CH19" i="2" s="1"/>
  <c r="CI19" i="2" s="1"/>
  <c r="CJ19" i="2" s="1"/>
  <c r="CK19" i="2" s="1"/>
  <c r="CL19" i="2" s="1"/>
  <c r="CM19" i="2" s="1"/>
  <c r="CN19" i="2" s="1"/>
  <c r="CO19" i="2" s="1"/>
  <c r="CP19" i="2" s="1"/>
  <c r="CQ19" i="2" s="1"/>
  <c r="CR19" i="2" s="1"/>
  <c r="CS19" i="2" s="1"/>
  <c r="CT19" i="2" s="1"/>
  <c r="CU19" i="2" s="1"/>
  <c r="CV19" i="2" s="1"/>
  <c r="CW19" i="2" s="1"/>
  <c r="CX19" i="2" s="1"/>
  <c r="CY19" i="2" s="1"/>
  <c r="CZ19" i="2" s="1"/>
  <c r="DA19" i="2" s="1"/>
  <c r="DB19" i="2" s="1"/>
  <c r="DC19" i="2" s="1"/>
  <c r="DD19" i="2" s="1"/>
  <c r="DE19" i="2" s="1"/>
  <c r="DF19" i="2" s="1"/>
  <c r="DG19" i="2" s="1"/>
  <c r="DH19" i="2" s="1"/>
  <c r="DI19" i="2" s="1"/>
  <c r="DJ19" i="2" s="1"/>
  <c r="DK19" i="2" s="1"/>
  <c r="DL19" i="2" s="1"/>
  <c r="DM19" i="2" s="1"/>
  <c r="DN19" i="2" s="1"/>
  <c r="DO19" i="2" s="1"/>
  <c r="DP19" i="2" s="1"/>
  <c r="DQ19" i="2" s="1"/>
  <c r="DR19" i="2" s="1"/>
  <c r="DS19" i="2" s="1"/>
  <c r="DT19" i="2" s="1"/>
  <c r="DU19" i="2" s="1"/>
  <c r="DV19" i="2" s="1"/>
  <c r="DW19" i="2" s="1"/>
  <c r="DX19" i="2" s="1"/>
  <c r="DY19" i="2" s="1"/>
  <c r="DZ19" i="2" s="1"/>
  <c r="EA19" i="2" s="1"/>
  <c r="EB19" i="2" s="1"/>
  <c r="EC19" i="2" s="1"/>
  <c r="ED19" i="2" s="1"/>
  <c r="EE19" i="2" s="1"/>
  <c r="EF19" i="2" s="1"/>
  <c r="EG19" i="2" s="1"/>
  <c r="EH19" i="2" s="1"/>
  <c r="EI19" i="2" s="1"/>
  <c r="EJ19" i="2" s="1"/>
  <c r="EK19" i="2" s="1"/>
  <c r="EL19" i="2" s="1"/>
  <c r="EM19" i="2" s="1"/>
  <c r="EN19" i="2" s="1"/>
  <c r="EO19" i="2" s="1"/>
  <c r="EP19" i="2" s="1"/>
  <c r="EQ19" i="2" s="1"/>
  <c r="ER19" i="2" s="1"/>
  <c r="ES19" i="2" s="1"/>
  <c r="ET19" i="2" s="1"/>
  <c r="EU19" i="2" s="1"/>
  <c r="EV19" i="2" s="1"/>
  <c r="EW19" i="2" s="1"/>
  <c r="EX19" i="2" s="1"/>
  <c r="EY19" i="2" s="1"/>
  <c r="AW23" i="2" s="1"/>
  <c r="AW25" i="2" l="1"/>
  <c r="AW26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tc={AA4F6755-0194-D941-BC3F-A216205229C7}</author>
    <author>tc={E137E485-E046-1D46-849D-51E76BFCEA74}</author>
  </authors>
  <commentList>
    <comment ref="AL3" authorId="0" shapeId="0" xr:uid="{AA4F6755-0194-D941-BC3F-A216205229C7}">
      <text>
        <t>[Kommentartråd]
Din versjon av Excel lar deg lese denne kommentartråden. Eventuelle endringer i den vil imidlertid bli fjernet hvis filen åpnes i en nyere versjon av Excel. Finn ut mer: https://go.microsoft.com/fwlink/?linkid=870924
Kommentar:
    Første året med Dalata</t>
      </text>
    </comment>
    <comment ref="C33" authorId="1" shapeId="0" xr:uid="{E137E485-E046-1D46-849D-51E76BFCEA74}">
      <text>
        <t>[Kommentartråd]
Din versjon av Excel lar deg lese denne kommentartråden. Eventuelle endringer i den vil imidlertid bli fjernet hvis filen åpnes i en nyere versjon av Excel. Finn ut mer: https://go.microsoft.com/fwlink/?linkid=870924
Kommentar:
    Revenue per available room.
ARR * Occupancy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tc={42023155-0920-6042-A2AC-D3E8CF188757}</author>
  </authors>
  <commentList>
    <comment ref="B62" authorId="0" shapeId="0" xr:uid="{42023155-0920-6042-A2AC-D3E8CF188757}">
      <text>
        <t>[Kommentartråd]
Din versjon av Excel lar deg lese denne kommentartråden. Eventuelle endringer i den vil imidlertid bli fjernet hvis filen åpnes i en nyere versjon av Excel. Finn ut mer: https://go.microsoft.com/fwlink/?linkid=870924
Kommentar:
    Danmark, Tyskland og Polen</t>
      </text>
    </comment>
  </commentList>
</comments>
</file>

<file path=xl/sharedStrings.xml><?xml version="1.0" encoding="utf-8"?>
<sst xmlns="http://schemas.openxmlformats.org/spreadsheetml/2006/main" count="309" uniqueCount="177">
  <si>
    <t>Kapitalstruktur</t>
  </si>
  <si>
    <t>Price</t>
  </si>
  <si>
    <t>S/O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</si>
  <si>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</si>
  <si>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</si>
  <si>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</si>
  <si>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</si>
  <si>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</si>
  <si>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</si>
  <si>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</si>
  <si>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</si>
  <si>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</si>
  <si>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</si>
  <si>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</si>
  <si>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Q424</t>
  </si>
  <si>
    <t>FY 2022</t>
  </si>
  <si>
    <t>FY 2023</t>
  </si>
  <si>
    <t>FY 2024</t>
  </si>
  <si>
    <t>FY 2025</t>
  </si>
  <si>
    <t>FY 2026</t>
  </si>
  <si>
    <t>FY 2027</t>
  </si>
  <si>
    <t>FY 2028</t>
  </si>
  <si>
    <t>FY 2029</t>
  </si>
  <si>
    <t>FY 2030</t>
  </si>
  <si>
    <t>FY 2031</t>
  </si>
  <si>
    <t>FY 2032</t>
  </si>
  <si>
    <t>FY 2033</t>
  </si>
  <si>
    <t>FY 2034</t>
  </si>
  <si>
    <t>FY 2035</t>
  </si>
  <si>
    <t>Revenue y/y</t>
  </si>
  <si>
    <t>EBIT margin</t>
  </si>
  <si>
    <t>CFFO</t>
  </si>
  <si>
    <t>CFFF</t>
  </si>
  <si>
    <t>CFFI</t>
  </si>
  <si>
    <t>EV/EBIT</t>
  </si>
  <si>
    <t>P/E</t>
  </si>
  <si>
    <t>MC NOKm</t>
  </si>
  <si>
    <t>Cash NOKm</t>
  </si>
  <si>
    <t>Debt NOKm</t>
  </si>
  <si>
    <t>EV NOKm</t>
  </si>
  <si>
    <t>SEK million</t>
  </si>
  <si>
    <t>Net sales</t>
  </si>
  <si>
    <t>Other income</t>
  </si>
  <si>
    <t>Total income</t>
  </si>
  <si>
    <t>Raw materials and consumables</t>
  </si>
  <si>
    <t>Other external costs</t>
  </si>
  <si>
    <t>Staff costs</t>
  </si>
  <si>
    <t>Rental costs</t>
  </si>
  <si>
    <t>Pre-opening costs</t>
  </si>
  <si>
    <t>Items affecting comparability</t>
  </si>
  <si>
    <t>A/D/I</t>
  </si>
  <si>
    <t>Operating profit EBIT</t>
  </si>
  <si>
    <t>Net financial items</t>
  </si>
  <si>
    <t>PTP</t>
  </si>
  <si>
    <t>Tax</t>
  </si>
  <si>
    <t>Net income</t>
  </si>
  <si>
    <t>FY 2019</t>
  </si>
  <si>
    <t>FY 2020</t>
  </si>
  <si>
    <t>FY 2021</t>
  </si>
  <si>
    <t>Shares</t>
  </si>
  <si>
    <t>EPS</t>
  </si>
  <si>
    <t>Cash flow SEKm</t>
  </si>
  <si>
    <t>Balanse SEKm</t>
  </si>
  <si>
    <t>Right of use assets</t>
  </si>
  <si>
    <t>Cash</t>
  </si>
  <si>
    <t>Total assets</t>
  </si>
  <si>
    <t>Non-controlling interests</t>
  </si>
  <si>
    <t>Derivative instruments</t>
  </si>
  <si>
    <t>Total Debt</t>
  </si>
  <si>
    <t>Total E/D</t>
  </si>
  <si>
    <t>Model operating profit</t>
  </si>
  <si>
    <t>Reported operating profit</t>
  </si>
  <si>
    <t>Adjustments for items not in CF</t>
  </si>
  <si>
    <t>taxes paid</t>
  </si>
  <si>
    <t>WC</t>
  </si>
  <si>
    <t>Capex</t>
  </si>
  <si>
    <t>Dividend, share swap agreement</t>
  </si>
  <si>
    <t>Net borrowing/amortization</t>
  </si>
  <si>
    <t>Repurchase of convertible bonds</t>
  </si>
  <si>
    <t>Repurchase of own shares</t>
  </si>
  <si>
    <t>Dividends</t>
  </si>
  <si>
    <t>Amortization, leases</t>
  </si>
  <si>
    <t>Financing costs</t>
  </si>
  <si>
    <t>Interest paid, leases</t>
  </si>
  <si>
    <t>CIC</t>
  </si>
  <si>
    <t>FCF</t>
  </si>
  <si>
    <t>Issue of new shares</t>
  </si>
  <si>
    <t>Antall hotellrom</t>
  </si>
  <si>
    <t>Antall hotell</t>
  </si>
  <si>
    <t>Norway</t>
  </si>
  <si>
    <t>Finland</t>
  </si>
  <si>
    <t>Denmark</t>
  </si>
  <si>
    <t>other Europe</t>
  </si>
  <si>
    <t>Total</t>
  </si>
  <si>
    <t>Sweden</t>
  </si>
  <si>
    <r>
      <rPr>
        <b/>
        <sz val="14"/>
        <color theme="1"/>
        <rFont val="Calibri"/>
        <family val="2"/>
        <scheme val="minor"/>
      </rPr>
      <t>Sesongvariasjoner:</t>
    </r>
    <r>
      <rPr>
        <sz val="14"/>
        <color theme="1"/>
        <rFont val="Calibri"/>
        <family val="2"/>
        <scheme val="minor"/>
      </rPr>
      <t xml:space="preserve"> Q1, påsken og julen er ofte trege tider på året</t>
    </r>
  </si>
  <si>
    <t>SEKm</t>
  </si>
  <si>
    <t>Organic growth</t>
  </si>
  <si>
    <t>Exits</t>
  </si>
  <si>
    <t>LFL</t>
  </si>
  <si>
    <t>Adjusted EBITDA</t>
  </si>
  <si>
    <t>RevPAR (SEK)</t>
  </si>
  <si>
    <t>Currency effect</t>
  </si>
  <si>
    <t>New hotels/Temporarily closed /exits</t>
  </si>
  <si>
    <t>OCC%</t>
  </si>
  <si>
    <t>ARR (SEK)</t>
  </si>
  <si>
    <t>Q125</t>
  </si>
  <si>
    <t xml:space="preserve">New hotels </t>
  </si>
  <si>
    <t>Temporarliy closed hotels</t>
  </si>
  <si>
    <t>Margin %</t>
  </si>
  <si>
    <t>Other Europe</t>
  </si>
  <si>
    <t>Q225</t>
  </si>
  <si>
    <t>Q325</t>
  </si>
  <si>
    <t>Q425</t>
  </si>
  <si>
    <t>Intangible assets</t>
  </si>
  <si>
    <t>Building and land</t>
  </si>
  <si>
    <t>Equipments, fixtures and fittings</t>
  </si>
  <si>
    <t>Financial assets</t>
  </si>
  <si>
    <t>Current assets</t>
  </si>
  <si>
    <t>Equity to parent company</t>
  </si>
  <si>
    <t>Total Equity</t>
  </si>
  <si>
    <t xml:space="preserve">Liabilties to credit institutions </t>
  </si>
  <si>
    <t>Lease liabilties</t>
  </si>
  <si>
    <t>Other long-term liabilties</t>
  </si>
  <si>
    <t>Convertible loans</t>
  </si>
  <si>
    <t>Other current liabilties</t>
  </si>
  <si>
    <t>Paid/received interest items</t>
  </si>
  <si>
    <t>"Scandic's operating model"</t>
  </si>
  <si>
    <t xml:space="preserve">Scandic operer primært med langtidsleieavtaler og har fullt ansavr for merkevare, drift og distribusjon. </t>
  </si>
  <si>
    <t>Scandic strukurerer sine leieavtaler ulike avtaler.</t>
  </si>
  <si>
    <t>"Contingent rent" = rommene har fullt variable avtaler som er basert på omsetning</t>
  </si>
  <si>
    <t>"Contingent rent with fixed minimum" = Rommene har varaible leieavtaler med et fast minimum</t>
  </si>
  <si>
    <t>"Fixed rent" = Rommene er under faste leieavtaler</t>
  </si>
  <si>
    <t xml:space="preserve">Denne grafen viser hvor mange rom Scandic har under leieavtale </t>
  </si>
  <si>
    <t xml:space="preserve">og hvor lenge disse avtalene varer (gjenværende leietid). </t>
  </si>
  <si>
    <t>Current liabilities for leases</t>
  </si>
  <si>
    <t>Average revenue per room</t>
  </si>
  <si>
    <t>RevPAR:</t>
  </si>
  <si>
    <t>ARR:</t>
  </si>
  <si>
    <t>Average roomrate</t>
  </si>
  <si>
    <t>Discount</t>
  </si>
  <si>
    <t>TV</t>
  </si>
  <si>
    <t>NPV</t>
  </si>
  <si>
    <t>NPV/Share</t>
  </si>
  <si>
    <t>Opp-/nedside</t>
  </si>
  <si>
    <t>RevPAR</t>
  </si>
  <si>
    <t>ARR</t>
  </si>
  <si>
    <t>Occupancy</t>
  </si>
  <si>
    <t>Total Opex</t>
  </si>
  <si>
    <t>Opex y/y</t>
  </si>
  <si>
    <t>ROE</t>
  </si>
  <si>
    <t>FY 2016</t>
  </si>
  <si>
    <t>FY 2017</t>
  </si>
  <si>
    <t>FY 2018</t>
  </si>
  <si>
    <t>FY 2015</t>
  </si>
  <si>
    <t>Nedside</t>
  </si>
  <si>
    <t>Nullvekst og konstante marginer</t>
  </si>
  <si>
    <t>y/y</t>
  </si>
  <si>
    <t>Organic y/y</t>
  </si>
  <si>
    <t>D/A/I</t>
  </si>
  <si>
    <t>Q126</t>
  </si>
  <si>
    <t>Q226</t>
  </si>
  <si>
    <t>Q326</t>
  </si>
  <si>
    <t>Q426</t>
  </si>
  <si>
    <t>Gearing</t>
  </si>
  <si>
    <t>Adjusted EBITDA margin</t>
  </si>
  <si>
    <t>Scandic er store i Sverige, Norge og Finland. De har også et segment som heter other Europe. Dette innebærer Danmark, Tyskland og Polen.</t>
  </si>
  <si>
    <t>Press releases:</t>
  </si>
  <si>
    <t>Adjusted EBITDA LTM</t>
  </si>
  <si>
    <t>(Q226)</t>
  </si>
  <si>
    <t>Antall rom (Q226)</t>
  </si>
  <si>
    <t>06.07.26: Scandic sikrer ny finansiering på 7,5 SEKmrd som skal bidra til Dalata carve out. Avtalen går 3 år med opsjon om 2 nye år</t>
  </si>
  <si>
    <t>25.06.26: Scandic utvider sitt GO til Finland</t>
  </si>
  <si>
    <t>03.03.26: Scandic lanserer GO i Norge</t>
  </si>
  <si>
    <t>07.11.25: Scandic tar over ansvaret for Dalata sine hotel som resultat av carve-iut fra Dalata. Hotellene drives i Irland og SB. Før de kjøper hotellene får de 4% av overskuddet. De vil kjøpe hotellene for 500 EURm EV/EBITDA 6. Forventer ferdigstillelse i H226</t>
  </si>
  <si>
    <t>15.07.25: Scandic har inngått avtale med Pandox/Eiendomsspar om å kjøpe hotelldelen av Dalata. Transaksjonen legger til 12 000 rom og 56 nye hoteller og Scandic sin inntreden til UK markedet</t>
  </si>
  <si>
    <t>09.12.24: Scandic initierer tilbakekjøpsprogram på 300 SEKm som ble fullført 01.04.25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</si>
</sst>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kr&quot;\ #,##0.00_);[Red]\(&quot;kr&quot;\ #,##0.00\)"/>
    <numFmt numFmtId="164" formatCode="#,##0.0"/>
    <numFmt numFmtId="165" formatCode="0.0"/>
    <numFmt numFmtId="166" formatCode="0.0\ %"/>
    <numFmt numFmtId="167" formatCode="0.000"/>
  </numFmts>
  <fonts count="11" x14ac:knownFonts="1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1" xfId="0" applyFont="1" applyBorder="1"/>
    <xf numFmtId="164" fontId="2" fillId="0" borderId="1" xfId="0" applyNumberFormat="1" applyFont="1" applyBorder="1"/>
    <xf numFmtId="164" fontId="3" fillId="0" borderId="1" xfId="0" applyNumberFormat="1" applyFont="1" applyBorder="1"/>
    <xf numFmtId="0" fontId="2" fillId="0" borderId="0" xfId="0" applyFont="1" applyAlignment="1">
      <alignment horizontal="right"/>
    </xf>
    <xf numFmtId="165" fontId="2" fillId="0" borderId="1" xfId="0" applyNumberFormat="1" applyFont="1" applyBorder="1"/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3" fontId="1" fillId="0" borderId="0" xfId="0" applyNumberFormat="1" applyFont="1"/>
    <xf numFmtId="3" fontId="2" fillId="0" borderId="0" xfId="0" applyNumberFormat="1" applyFont="1"/>
    <xf numFmtId="3" fontId="2" fillId="0" borderId="1" xfId="0" applyNumberFormat="1" applyFont="1" applyBorder="1"/>
    <xf numFmtId="3" fontId="4" fillId="0" borderId="0" xfId="0" applyNumberFormat="1" applyFont="1"/>
    <xf numFmtId="2" fontId="2" fillId="0" borderId="0" xfId="0" applyNumberFormat="1" applyFont="1"/>
    <xf numFmtId="1" fontId="1" fillId="0" borderId="0" xfId="0" applyNumberFormat="1" applyFont="1"/>
    <xf numFmtId="1" fontId="2" fillId="0" borderId="0" xfId="0" applyNumberFormat="1" applyFont="1"/>
    <xf numFmtId="10" fontId="1" fillId="0" borderId="1" xfId="0" applyNumberFormat="1" applyFont="1" applyBorder="1"/>
    <xf numFmtId="10" fontId="1" fillId="0" borderId="0" xfId="0" applyNumberFormat="1" applyFont="1"/>
    <xf numFmtId="10" fontId="2" fillId="0" borderId="0" xfId="0" applyNumberFormat="1" applyFont="1"/>
    <xf numFmtId="9" fontId="2" fillId="0" borderId="0" xfId="0" applyNumberFormat="1" applyFont="1"/>
    <xf numFmtId="0" fontId="8" fillId="0" borderId="0" xfId="0" applyFont="1" applyAlignment="1">
      <alignment horizontal="left" indent="1"/>
    </xf>
    <xf numFmtId="0" fontId="8" fillId="0" borderId="2" xfId="0" applyFont="1" applyBorder="1" applyAlignment="1">
      <alignment horizontal="left" indent="1"/>
    </xf>
    <xf numFmtId="0" fontId="2" fillId="0" borderId="2" xfId="0" applyFont="1" applyBorder="1"/>
    <xf numFmtId="166" fontId="2" fillId="0" borderId="2" xfId="0" applyNumberFormat="1" applyFont="1" applyBorder="1"/>
    <xf numFmtId="0" fontId="8" fillId="0" borderId="0" xfId="0" applyFont="1"/>
    <xf numFmtId="0" fontId="8" fillId="0" borderId="2" xfId="0" applyFont="1" applyBorder="1"/>
    <xf numFmtId="3" fontId="1" fillId="0" borderId="3" xfId="0" applyNumberFormat="1" applyFont="1" applyBorder="1"/>
    <xf numFmtId="8" fontId="2" fillId="0" borderId="0" xfId="0" applyNumberFormat="1" applyFont="1"/>
    <xf numFmtId="8" fontId="2" fillId="0" borderId="2" xfId="0" applyNumberFormat="1" applyFont="1" applyBorder="1"/>
    <xf numFmtId="0" fontId="5" fillId="0" borderId="4" xfId="0" applyFont="1" applyBorder="1"/>
    <xf numFmtId="165" fontId="6" fillId="0" borderId="4" xfId="0" applyNumberFormat="1" applyFont="1" applyBorder="1"/>
    <xf numFmtId="0" fontId="9" fillId="0" borderId="0" xfId="0" applyFont="1"/>
    <xf numFmtId="0" fontId="10" fillId="0" borderId="0" xfId="0" applyFont="1"/>
    <xf numFmtId="0" fontId="1" fillId="0" borderId="0" xfId="0" applyFont="1" applyAlignment="1">
      <alignment horizontal="right"/>
    </xf>
    <xf numFmtId="0" fontId="1" fillId="0" borderId="3" xfId="0" applyFont="1" applyBorder="1" applyAlignment="1">
      <alignment horizontal="right"/>
    </xf>
    <xf numFmtId="0" fontId="2" fillId="0" borderId="3" xfId="0" applyFont="1" applyBorder="1"/>
    <xf numFmtId="0" fontId="8" fillId="0" borderId="3" xfId="0" applyFont="1" applyBorder="1"/>
    <xf numFmtId="0" fontId="8" fillId="0" borderId="5" xfId="0" applyFont="1" applyBorder="1"/>
    <xf numFmtId="0" fontId="1" fillId="0" borderId="3" xfId="0" applyFont="1" applyBorder="1"/>
    <xf numFmtId="166" fontId="2" fillId="0" borderId="5" xfId="0" applyNumberFormat="1" applyFont="1" applyBorder="1"/>
    <xf numFmtId="0" fontId="2" fillId="0" borderId="5" xfId="0" applyFont="1" applyBorder="1"/>
    <xf numFmtId="8" fontId="1" fillId="0" borderId="0" xfId="0" applyNumberFormat="1" applyFont="1"/>
    <xf numFmtId="10" fontId="4" fillId="0" borderId="0" xfId="0" applyNumberFormat="1" applyFont="1"/>
    <xf numFmtId="4" fontId="2" fillId="0" borderId="0" xfId="0" applyNumberFormat="1" applyFont="1"/>
    <xf numFmtId="3" fontId="2" fillId="0" borderId="3" xfId="0" applyNumberFormat="1" applyFont="1" applyBorder="1"/>
    <xf numFmtId="10" fontId="4" fillId="0" borderId="3" xfId="0" applyNumberFormat="1" applyFont="1" applyBorder="1"/>
    <xf numFmtId="166" fontId="1" fillId="0" borderId="0" xfId="0" applyNumberFormat="1" applyFont="1"/>
    <xf numFmtId="9" fontId="1" fillId="0" borderId="0" xfId="0" applyNumberFormat="1" applyFont="1"/>
    <xf numFmtId="166" fontId="2" fillId="0" borderId="1" xfId="0" applyNumberFormat="1" applyFont="1" applyBorder="1"/>
    <xf numFmtId="166" fontId="4" fillId="0" borderId="0" xfId="0" applyNumberFormat="1" applyFont="1"/>
    <xf numFmtId="166" fontId="4" fillId="0" borderId="1" xfId="0" applyNumberFormat="1" applyFont="1" applyBorder="1"/>
    <xf numFmtId="10" fontId="4" fillId="0" borderId="5" xfId="0" applyNumberFormat="1" applyFont="1" applyBorder="1"/>
    <xf numFmtId="167" fontId="2" fillId="0" borderId="0" xfId="0" applyNumberFormat="1" applyFont="1"/>
    <xf numFmtId="3" fontId="1" fillId="0" borderId="1" xfId="0" applyNumberFormat="1" applyFont="1" applyBorder="1"/>
    <xf numFmtId="166" fontId="4" fillId="0" borderId="3" xfId="0" applyNumberFormat="1" applyFont="1" applyBorder="1"/>
    <xf numFmtId="3" fontId="4" fillId="0" borderId="3" xfId="0" applyNumberFormat="1" applyFont="1" applyBorder="1"/>
    <xf numFmtId="0" fontId="2" fillId="0" borderId="1" xfId="0" applyFont="1" applyBorder="1" applyAlignment="1">
      <alignment horizontal="right"/>
    </xf>
    <xf numFmtId="2" fontId="2" fillId="0" borderId="1" xfId="0" applyNumberFormat="1" applyFont="1" applyBorder="1"/>
    <xf numFmtId="10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Fordeling av hotellrom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F33-7F42-AFF0-E585429A13E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F33-7F42-AFF0-E585429A13E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F33-7F42-AFF0-E585429A13E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F33-7F42-AFF0-E585429A13E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EF33-7F42-AFF0-E585429A13E9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nb-N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Segementer!$AD$4:$AD$8</c:f>
              <c:strCache>
                <c:ptCount val="5"/>
                <c:pt idx="0">
                  <c:v>Sweden</c:v>
                </c:pt>
                <c:pt idx="1">
                  <c:v>Norway</c:v>
                </c:pt>
                <c:pt idx="2">
                  <c:v>Finland</c:v>
                </c:pt>
                <c:pt idx="3">
                  <c:v>Denmark</c:v>
                </c:pt>
                <c:pt idx="4">
                  <c:v>other Europe</c:v>
                </c:pt>
              </c:strCache>
            </c:strRef>
          </c:cat>
          <c:val>
            <c:numRef>
              <c:f>Segementer!$AE$4:$AE$8</c:f>
              <c:numCache>
                <c:formatCode>0%</c:formatCode>
                <c:ptCount val="5"/>
                <c:pt idx="0">
                  <c:v>0.27701090536485401</c:v>
                </c:pt>
                <c:pt idx="1">
                  <c:v>0.23805899143672693</c:v>
                </c:pt>
                <c:pt idx="2">
                  <c:v>0.18050208592549222</c:v>
                </c:pt>
                <c:pt idx="3">
                  <c:v>8.251482104954988E-2</c:v>
                </c:pt>
                <c:pt idx="4">
                  <c:v>0.22191319622337699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87-A440-8574-0177DED7178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317500</xdr:colOff>
      <xdr:row>0</xdr:row>
      <xdr:rowOff>0</xdr:rowOff>
    </xdr:from>
    <xdr:to>
      <xdr:col>21</xdr:col>
      <xdr:colOff>660400</xdr:colOff>
      <xdr:row>15</xdr:row>
      <xdr:rowOff>131022</xdr:rowOff>
    </xdr:to>
    <xdr:pic>
      <xdr:nvPicPr>
        <xdr:cNvPr id="4" name="Bilde 3">
          <a:extLst>
            <a:ext uri="{FF2B5EF4-FFF2-40B4-BE49-F238E27FC236}">
              <a16:creationId xmlns:a16="http://schemas.microsoft.com/office/drawing/2014/main" id="{5756EA87-E441-2D96-32C7-1360851806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23500" y="0"/>
          <a:ext cx="7772400" cy="3750522"/>
        </a:xfrm>
        <a:prstGeom prst="rect">
          <a:avLst/>
        </a:prstGeom>
      </xdr:spPr>
    </xdr:pic>
    <xdr:clientData/>
  </xdr:twoCellAnchor>
  <xdr:twoCellAnchor editAs="oneCell">
    <xdr:from>
      <xdr:col>12</xdr:col>
      <xdr:colOff>266700</xdr:colOff>
      <xdr:row>16</xdr:row>
      <xdr:rowOff>0</xdr:rowOff>
    </xdr:from>
    <xdr:to>
      <xdr:col>21</xdr:col>
      <xdr:colOff>609600</xdr:colOff>
      <xdr:row>24</xdr:row>
      <xdr:rowOff>147831</xdr:rowOff>
    </xdr:to>
    <xdr:pic>
      <xdr:nvPicPr>
        <xdr:cNvPr id="5" name="Bilde 4">
          <a:extLst>
            <a:ext uri="{FF2B5EF4-FFF2-40B4-BE49-F238E27FC236}">
              <a16:creationId xmlns:a16="http://schemas.microsoft.com/office/drawing/2014/main" id="{02073E2F-CB31-53E8-9BCF-67ECAFAB2D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72700" y="3860800"/>
          <a:ext cx="7772400" cy="2078231"/>
        </a:xfrm>
        <a:prstGeom prst="rect">
          <a:avLst/>
        </a:prstGeom>
      </xdr:spPr>
    </xdr:pic>
    <xdr:clientData/>
  </xdr:twoCellAnchor>
  <xdr:twoCellAnchor editAs="oneCell">
    <xdr:from>
      <xdr:col>21</xdr:col>
      <xdr:colOff>698500</xdr:colOff>
      <xdr:row>0</xdr:row>
      <xdr:rowOff>0</xdr:rowOff>
    </xdr:from>
    <xdr:to>
      <xdr:col>28</xdr:col>
      <xdr:colOff>495300</xdr:colOff>
      <xdr:row>14</xdr:row>
      <xdr:rowOff>173562</xdr:rowOff>
    </xdr:to>
    <xdr:pic>
      <xdr:nvPicPr>
        <xdr:cNvPr id="6" name="Bilde 5">
          <a:extLst>
            <a:ext uri="{FF2B5EF4-FFF2-40B4-BE49-F238E27FC236}">
              <a16:creationId xmlns:a16="http://schemas.microsoft.com/office/drawing/2014/main" id="{F13B0A64-3903-6033-E50E-EB6182E38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034000" y="0"/>
          <a:ext cx="5575300" cy="355176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177800</xdr:rowOff>
    </xdr:from>
    <xdr:to>
      <xdr:col>3</xdr:col>
      <xdr:colOff>650735</xdr:colOff>
      <xdr:row>21</xdr:row>
      <xdr:rowOff>228600</xdr:rowOff>
    </xdr:to>
    <xdr:pic>
      <xdr:nvPicPr>
        <xdr:cNvPr id="7" name="Bilde 6">
          <a:extLst>
            <a:ext uri="{FF2B5EF4-FFF2-40B4-BE49-F238E27FC236}">
              <a16:creationId xmlns:a16="http://schemas.microsoft.com/office/drawing/2014/main" id="{59609B31-951F-4D75-4582-F57CBE8550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3073400"/>
          <a:ext cx="3127235" cy="2222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228600</xdr:rowOff>
    </xdr:from>
    <xdr:to>
      <xdr:col>5</xdr:col>
      <xdr:colOff>640282</xdr:colOff>
      <xdr:row>37</xdr:row>
      <xdr:rowOff>177800</xdr:rowOff>
    </xdr:to>
    <xdr:pic>
      <xdr:nvPicPr>
        <xdr:cNvPr id="8" name="Bilde 7">
          <a:extLst>
            <a:ext uri="{FF2B5EF4-FFF2-40B4-BE49-F238E27FC236}">
              <a16:creationId xmlns:a16="http://schemas.microsoft.com/office/drawing/2014/main" id="{F6EFE8EE-157A-5964-DE79-9D39D5F1C4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5537200"/>
          <a:ext cx="4767782" cy="3568700"/>
        </a:xfrm>
        <a:prstGeom prst="rect">
          <a:avLst/>
        </a:prstGeom>
      </xdr:spPr>
    </xdr:pic>
    <xdr:clientData/>
  </xdr:twoCellAnchor>
  <xdr:twoCellAnchor editAs="oneCell">
    <xdr:from>
      <xdr:col>12</xdr:col>
      <xdr:colOff>254000</xdr:colOff>
      <xdr:row>24</xdr:row>
      <xdr:rowOff>190500</xdr:rowOff>
    </xdr:from>
    <xdr:to>
      <xdr:col>18</xdr:col>
      <xdr:colOff>520700</xdr:colOff>
      <xdr:row>40</xdr:row>
      <xdr:rowOff>225699</xdr:rowOff>
    </xdr:to>
    <xdr:pic>
      <xdr:nvPicPr>
        <xdr:cNvPr id="9" name="Bilde 8">
          <a:extLst>
            <a:ext uri="{FF2B5EF4-FFF2-40B4-BE49-F238E27FC236}">
              <a16:creationId xmlns:a16="http://schemas.microsoft.com/office/drawing/2014/main" id="{5F491AC0-13D5-5386-CB10-2202060A1D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160000" y="5981700"/>
          <a:ext cx="5219700" cy="38959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495300</xdr:colOff>
      <xdr:row>10</xdr:row>
      <xdr:rowOff>114300</xdr:rowOff>
    </xdr:from>
    <xdr:to>
      <xdr:col>34</xdr:col>
      <xdr:colOff>423334</xdr:colOff>
      <xdr:row>28</xdr:row>
      <xdr:rowOff>14111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55A9BE1D-1286-0690-F517-357A5D5BA0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29</xdr:col>
      <xdr:colOff>84664</xdr:colOff>
      <xdr:row>42</xdr:row>
      <xdr:rowOff>56446</xdr:rowOff>
    </xdr:from>
    <xdr:to>
      <xdr:col>37</xdr:col>
      <xdr:colOff>282221</xdr:colOff>
      <xdr:row>54</xdr:row>
      <xdr:rowOff>36281</xdr:rowOff>
    </xdr:to>
    <xdr:pic>
      <xdr:nvPicPr>
        <xdr:cNvPr id="8" name="Bilde 7">
          <a:extLst>
            <a:ext uri="{FF2B5EF4-FFF2-40B4-BE49-F238E27FC236}">
              <a16:creationId xmlns:a16="http://schemas.microsoft.com/office/drawing/2014/main" id="{FB15FF74-87D3-0345-0DCB-3212B653F3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901331" y="8692446"/>
          <a:ext cx="6858001" cy="2858501"/>
        </a:xfrm>
        <a:prstGeom prst="rect">
          <a:avLst/>
        </a:prstGeom>
      </xdr:spPr>
    </xdr:pic>
    <xdr:clientData/>
  </xdr:twoCellAnchor>
  <xdr:twoCellAnchor editAs="oneCell">
    <xdr:from>
      <xdr:col>28</xdr:col>
      <xdr:colOff>790222</xdr:colOff>
      <xdr:row>30</xdr:row>
      <xdr:rowOff>225778</xdr:rowOff>
    </xdr:from>
    <xdr:to>
      <xdr:col>38</xdr:col>
      <xdr:colOff>183444</xdr:colOff>
      <xdr:row>38</xdr:row>
      <xdr:rowOff>231189</xdr:rowOff>
    </xdr:to>
    <xdr:pic>
      <xdr:nvPicPr>
        <xdr:cNvPr id="9" name="Bilde 8">
          <a:extLst>
            <a:ext uri="{FF2B5EF4-FFF2-40B4-BE49-F238E27FC236}">
              <a16:creationId xmlns:a16="http://schemas.microsoft.com/office/drawing/2014/main" id="{ED030B88-1112-228D-C56C-B3A9E235BD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152555" y="6660445"/>
          <a:ext cx="7718778" cy="1924522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(Student) Hodt, August" id="{18DA6D4B-CB1C-0840-9718-46CA5F505383}" userId="S::s2511823@bi.no::44d2ca7c-c877-4b52-8217-c5df9fee6d96" providerId="AD"/>
</personList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L3" dT="2026-07-18T11:00:17.07" personId="{18DA6D4B-CB1C-0840-9718-46CA5F505383}" id="{AA4F6755-0194-D941-BC3F-A216205229C7}">
    <text>Første året med Dalata</text>
  </threadedComment>
  <threadedComment ref="C33" dT="2026-07-16T07:52:32.47" personId="{18DA6D4B-CB1C-0840-9718-46CA5F505383}" id="{E137E485-E046-1D46-849D-51E76BFCEA74}">
    <text>Revenue per available room.
ARR * Occupancy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62" dT="2026-07-15T12:17:10.40" personId="{18DA6D4B-CB1C-0840-9718-46CA5F505383}" id="{42023155-0920-6042-A2AC-D3E8CF188757}">
    <text>Danmark, Tyskland og Polen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D79E75D-B6D0-0C4B-BF26-E10278F119AC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2841f1a2-7b38-4410-a53a-d0b3320cfad9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FABC2-1253-924E-8CB2-F0C03750A097}">
  <dimension ref="A2:G52"/>
  <sheetViews>
    <sheetView showGridLines="0" zoomScaleNormal="100" workbookViewId="0">
      <selection activeCell="J51" sqref="J51"/>
    </sheetView>
  </sheetViews>
  <sheetFormatPr baseColWidth="10" defaultRowHeight="19" x14ac:dyDescent="0.25"/>
  <cols>
    <col min="1" max="16384" width="10.83203125" style="2"/>
  </cols>
  <sheetData>
    <row r="2" spans="1:5" x14ac:dyDescent="0.25">
      <c r="A2" s="2" t="s">
        <v>166</v>
      </c>
    </row>
    <row r="4" spans="1:5" x14ac:dyDescent="0.25">
      <c r="A4" s="2" t="s">
        <v>95</v>
      </c>
    </row>
    <row r="5" spans="1:5" x14ac:dyDescent="0.25">
      <c r="A5" s="1"/>
    </row>
    <row r="6" spans="1:5" x14ac:dyDescent="0.25">
      <c r="A6" s="1" t="s">
        <v>127</v>
      </c>
    </row>
    <row r="7" spans="1:5" x14ac:dyDescent="0.25">
      <c r="A7" s="2" t="s">
        <v>128</v>
      </c>
    </row>
    <row r="8" spans="1:5" x14ac:dyDescent="0.25">
      <c r="A8" s="1"/>
    </row>
    <row r="9" spans="1:5" x14ac:dyDescent="0.25">
      <c r="A9" s="2" t="s">
        <v>129</v>
      </c>
    </row>
    <row r="10" spans="1:5" x14ac:dyDescent="0.25">
      <c r="A10" s="2" t="s">
        <v>130</v>
      </c>
    </row>
    <row r="11" spans="1:5" x14ac:dyDescent="0.25">
      <c r="A11" s="2" t="s">
        <v>131</v>
      </c>
    </row>
    <row r="12" spans="1:5" x14ac:dyDescent="0.25">
      <c r="A12" s="2" t="s">
        <v>132</v>
      </c>
    </row>
    <row r="14" spans="1:5" x14ac:dyDescent="0.25">
      <c r="E14" s="1" t="s">
        <v>169</v>
      </c>
    </row>
    <row r="25" spans="7:7" x14ac:dyDescent="0.25">
      <c r="G25" s="2" t="s">
        <v>133</v>
      </c>
    </row>
    <row r="26" spans="7:7" x14ac:dyDescent="0.25">
      <c r="G26" s="2" t="s">
        <v>134</v>
      </c>
    </row>
    <row r="42" spans="1:1" x14ac:dyDescent="0.25">
      <c r="A42" s="1" t="s">
        <v>167</v>
      </c>
    </row>
    <row r="43" spans="1:1" x14ac:dyDescent="0.25">
      <c r="A43" s="2" t="s">
        <v>171</v>
      </c>
    </row>
    <row r="44" spans="1:1" x14ac:dyDescent="0.25">
      <c r="A44" s="2" t="s">
        <v>172</v>
      </c>
    </row>
    <row r="45" spans="1:1" x14ac:dyDescent="0.25">
      <c r="A45" s="2" t="s">
        <v>173</v>
      </c>
    </row>
    <row r="46" spans="1:1" x14ac:dyDescent="0.25">
      <c r="A46" s="2" t="s">
        <v>174</v>
      </c>
    </row>
    <row r="47" spans="1:1" x14ac:dyDescent="0.25">
      <c r="A47" s="2" t="s">
        <v>175</v>
      </c>
    </row>
    <row r="52" spans="1:1" x14ac:dyDescent="0.25">
      <c r="A52" s="2" t="s">
        <v>176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D41D6-FA1C-5144-915F-9569A5873643}">
  <dimension ref="A1:EY90"/>
  <sheetViews>
    <sheetView showGridLines="0" tabSelected="1" zoomScale="90" zoomScaleNormal="90" workbookViewId="0">
      <pane xSplit="3" ySplit="3" topLeftCell="L5" activePane="bottomRight" state="frozen"/>
      <selection pane="topRight" activeCell="D1" sqref="D1"/>
      <selection pane="bottomLeft" activeCell="A4" sqref="A4"/>
      <selection pane="bottomRight" activeCell="B8" sqref="B8"/>
    </sheetView>
  </sheetViews>
  <sheetFormatPr baseColWidth="10" defaultRowHeight="19" x14ac:dyDescent="0.25"/>
  <cols>
    <col min="1" max="1" width="16.33203125" style="2" bestFit="1" customWidth="1"/>
    <col min="2" max="2" width="10.83203125" style="4"/>
    <col min="3" max="3" width="37.33203125" style="2" customWidth="1"/>
    <col min="4" max="4" width="10.83203125" style="2"/>
    <col min="5" max="5" width="10.33203125" style="2" customWidth="1"/>
    <col min="6" max="6" width="12.5" style="2" customWidth="1"/>
    <col min="7" max="7" width="10.5" style="2" customWidth="1"/>
    <col min="8" max="8" width="12.83203125" style="2" customWidth="1"/>
    <col min="9" max="9" width="9" style="2" customWidth="1"/>
    <col min="10" max="10" width="11" style="2" customWidth="1"/>
    <col min="11" max="12" width="10" style="2" customWidth="1"/>
    <col min="13" max="13" width="11.1640625" style="2" customWidth="1"/>
    <col min="14" max="14" width="11.33203125" style="2" customWidth="1"/>
    <col min="15" max="28" width="10.33203125" style="2" customWidth="1"/>
    <col min="29" max="35" width="10.83203125" style="2"/>
    <col min="36" max="36" width="11" style="2" customWidth="1"/>
    <col min="37" max="37" width="11.5" style="4" customWidth="1"/>
    <col min="38" max="38" width="10.83203125" style="2"/>
    <col min="39" max="39" width="12.83203125" style="2" bestFit="1" customWidth="1"/>
    <col min="40" max="40" width="12.1640625" style="2" customWidth="1"/>
    <col min="41" max="47" width="10.83203125" style="2"/>
    <col min="48" max="48" width="14.83203125" style="2" bestFit="1" customWidth="1"/>
    <col min="49" max="49" width="15.1640625" style="2" customWidth="1"/>
    <col min="50" max="16384" width="10.83203125" style="2"/>
  </cols>
  <sheetData>
    <row r="1" spans="1:46" x14ac:dyDescent="0.25"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F1" s="1"/>
    </row>
    <row r="3" spans="1:46" x14ac:dyDescent="0.25">
      <c r="A3" s="1" t="s">
        <v>0</v>
      </c>
      <c r="C3" s="2" t="s">
        <v>40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  <c r="J3" s="7" t="s">
        <v>9</v>
      </c>
      <c r="K3" s="7" t="s">
        <v>10</v>
      </c>
      <c r="L3" s="7" t="s">
        <v>11</v>
      </c>
      <c r="M3" s="7" t="s">
        <v>12</v>
      </c>
      <c r="N3" s="7" t="s">
        <v>13</v>
      </c>
      <c r="O3" s="7" t="s">
        <v>14</v>
      </c>
      <c r="P3" s="7" t="s">
        <v>106</v>
      </c>
      <c r="Q3" s="7" t="s">
        <v>111</v>
      </c>
      <c r="R3" s="7" t="s">
        <v>112</v>
      </c>
      <c r="S3" s="7" t="s">
        <v>113</v>
      </c>
      <c r="T3" s="7" t="s">
        <v>160</v>
      </c>
      <c r="U3" s="7" t="s">
        <v>161</v>
      </c>
      <c r="V3" s="7" t="s">
        <v>162</v>
      </c>
      <c r="W3" s="7" t="s">
        <v>163</v>
      </c>
      <c r="X3" s="7"/>
      <c r="Y3" s="7"/>
      <c r="Z3" s="7" t="s">
        <v>154</v>
      </c>
      <c r="AA3" s="7" t="s">
        <v>151</v>
      </c>
      <c r="AB3" s="7" t="s">
        <v>152</v>
      </c>
      <c r="AC3" s="7" t="s">
        <v>153</v>
      </c>
      <c r="AD3" s="7" t="s">
        <v>56</v>
      </c>
      <c r="AE3" s="7" t="s">
        <v>57</v>
      </c>
      <c r="AF3" s="7" t="s">
        <v>58</v>
      </c>
      <c r="AG3" s="7" t="s">
        <v>15</v>
      </c>
      <c r="AH3" s="7" t="s">
        <v>16</v>
      </c>
      <c r="AI3" s="7" t="s">
        <v>17</v>
      </c>
      <c r="AJ3" s="7" t="s">
        <v>18</v>
      </c>
      <c r="AK3" s="59" t="s">
        <v>19</v>
      </c>
      <c r="AL3" s="7" t="s">
        <v>20</v>
      </c>
      <c r="AM3" s="7" t="s">
        <v>21</v>
      </c>
      <c r="AN3" s="7" t="s">
        <v>22</v>
      </c>
      <c r="AO3" s="7" t="s">
        <v>23</v>
      </c>
      <c r="AP3" s="7" t="s">
        <v>24</v>
      </c>
      <c r="AQ3" s="7" t="s">
        <v>25</v>
      </c>
      <c r="AR3" s="7" t="s">
        <v>26</v>
      </c>
      <c r="AS3" s="7" t="s">
        <v>27</v>
      </c>
      <c r="AT3" s="7" t="s">
        <v>28</v>
      </c>
    </row>
    <row r="4" spans="1:46" x14ac:dyDescent="0.25">
      <c r="A4" s="2" t="s">
        <v>1</v>
      </c>
      <c r="B4" s="4">
        <v>87.5</v>
      </c>
      <c r="C4" s="2" t="s">
        <v>41</v>
      </c>
      <c r="D4" s="13">
        <v>2733</v>
      </c>
      <c r="E4" s="13">
        <v>5276</v>
      </c>
      <c r="F4" s="13">
        <v>5994</v>
      </c>
      <c r="G4" s="13">
        <v>5228</v>
      </c>
      <c r="H4" s="13">
        <v>4526</v>
      </c>
      <c r="I4" s="13">
        <v>5693</v>
      </c>
      <c r="J4" s="13">
        <v>6307</v>
      </c>
      <c r="K4" s="13">
        <v>5410</v>
      </c>
      <c r="L4" s="13">
        <v>4419</v>
      </c>
      <c r="M4" s="13">
        <v>5871</v>
      </c>
      <c r="N4" s="13">
        <v>6182</v>
      </c>
      <c r="O4" s="13">
        <v>5487</v>
      </c>
      <c r="P4" s="13">
        <v>4546</v>
      </c>
      <c r="Q4" s="13">
        <v>5795</v>
      </c>
      <c r="R4" s="13">
        <v>6372</v>
      </c>
      <c r="S4" s="13">
        <v>5575</v>
      </c>
      <c r="T4" s="13">
        <v>4689</v>
      </c>
      <c r="U4" s="13">
        <v>5998</v>
      </c>
      <c r="V4" s="13"/>
      <c r="W4" s="13"/>
      <c r="X4" s="13"/>
      <c r="Y4" s="13"/>
      <c r="Z4" s="13"/>
      <c r="AA4" s="13"/>
      <c r="AB4" s="13"/>
      <c r="AC4" s="1"/>
      <c r="AD4" s="13">
        <v>18945</v>
      </c>
      <c r="AE4" s="13">
        <v>7470</v>
      </c>
      <c r="AF4" s="13">
        <v>10086</v>
      </c>
      <c r="AG4" s="13">
        <v>19230</v>
      </c>
      <c r="AH4" s="13">
        <v>21935</v>
      </c>
      <c r="AI4" s="13">
        <v>21959</v>
      </c>
      <c r="AJ4" s="13">
        <v>22288</v>
      </c>
      <c r="AK4" s="14">
        <f>AJ4*1.04</f>
        <v>23179.52</v>
      </c>
      <c r="AL4" s="13">
        <f>AK4*1.04+8000</f>
        <v>32106.700800000002</v>
      </c>
      <c r="AM4" s="13">
        <f>AL4*1.055</f>
        <v>33872.569344000003</v>
      </c>
      <c r="AN4" s="13">
        <f t="shared" ref="AN4:AT4" si="0">AM4*1.055</f>
        <v>35735.560657920003</v>
      </c>
      <c r="AO4" s="13">
        <f t="shared" si="0"/>
        <v>37701.016494105599</v>
      </c>
      <c r="AP4" s="13">
        <f t="shared" si="0"/>
        <v>39774.572401281403</v>
      </c>
      <c r="AQ4" s="13">
        <f t="shared" si="0"/>
        <v>41962.173883351876</v>
      </c>
      <c r="AR4" s="13">
        <f t="shared" si="0"/>
        <v>44270.093446936226</v>
      </c>
      <c r="AS4" s="13">
        <f t="shared" si="0"/>
        <v>46704.948586517712</v>
      </c>
      <c r="AT4" s="13">
        <f t="shared" si="0"/>
        <v>49273.72075877618</v>
      </c>
    </row>
    <row r="5" spans="1:46" x14ac:dyDescent="0.25">
      <c r="A5" s="2" t="s">
        <v>2</v>
      </c>
      <c r="B5" s="8">
        <v>216.586524</v>
      </c>
      <c r="C5" s="2" t="s">
        <v>42</v>
      </c>
      <c r="D5" s="13">
        <v>0</v>
      </c>
      <c r="E5" s="13">
        <v>3</v>
      </c>
      <c r="F5" s="13">
        <v>0</v>
      </c>
      <c r="G5" s="13">
        <v>0</v>
      </c>
      <c r="H5" s="13">
        <v>0</v>
      </c>
      <c r="I5" s="13">
        <v>0</v>
      </c>
      <c r="J5" s="13">
        <v>20</v>
      </c>
      <c r="K5" s="13">
        <v>0</v>
      </c>
      <c r="L5" s="13">
        <v>0</v>
      </c>
      <c r="M5" s="13">
        <v>0</v>
      </c>
      <c r="N5" s="13">
        <v>0</v>
      </c>
      <c r="O5" s="13">
        <v>0</v>
      </c>
      <c r="P5" s="13">
        <v>0</v>
      </c>
      <c r="Q5" s="13">
        <v>0</v>
      </c>
      <c r="R5" s="13">
        <v>0</v>
      </c>
      <c r="S5" s="13">
        <v>0</v>
      </c>
      <c r="T5" s="13">
        <v>0</v>
      </c>
      <c r="U5" s="13">
        <v>0</v>
      </c>
      <c r="V5" s="13"/>
      <c r="W5" s="13"/>
      <c r="X5" s="13"/>
      <c r="Y5" s="13"/>
      <c r="Z5" s="13"/>
      <c r="AA5" s="13"/>
      <c r="AB5" s="13"/>
      <c r="AD5" s="13">
        <v>0</v>
      </c>
      <c r="AE5" s="13">
        <v>0</v>
      </c>
      <c r="AF5" s="13">
        <v>44</v>
      </c>
      <c r="AG5" s="13">
        <v>3</v>
      </c>
      <c r="AH5" s="13">
        <v>20</v>
      </c>
      <c r="AI5" s="13">
        <v>0</v>
      </c>
      <c r="AJ5" s="13">
        <v>0</v>
      </c>
      <c r="AK5" s="14">
        <v>0</v>
      </c>
      <c r="AL5" s="13">
        <v>0</v>
      </c>
      <c r="AM5" s="13">
        <v>0</v>
      </c>
      <c r="AN5" s="13">
        <v>0</v>
      </c>
      <c r="AO5" s="13">
        <v>0</v>
      </c>
      <c r="AP5" s="13">
        <v>0</v>
      </c>
      <c r="AQ5" s="13">
        <v>0</v>
      </c>
      <c r="AR5" s="13">
        <v>0</v>
      </c>
      <c r="AS5" s="13">
        <v>0</v>
      </c>
      <c r="AT5" s="13">
        <v>0</v>
      </c>
    </row>
    <row r="6" spans="1:46" x14ac:dyDescent="0.25">
      <c r="A6" s="2" t="s">
        <v>36</v>
      </c>
      <c r="B6" s="5">
        <f>B4*B5</f>
        <v>18951.32085</v>
      </c>
      <c r="C6" s="1" t="s">
        <v>43</v>
      </c>
      <c r="D6" s="12">
        <f t="shared" ref="D6:O6" si="1">SUM(D4:D5)</f>
        <v>2733</v>
      </c>
      <c r="E6" s="12">
        <f t="shared" si="1"/>
        <v>5279</v>
      </c>
      <c r="F6" s="12">
        <f t="shared" si="1"/>
        <v>5994</v>
      </c>
      <c r="G6" s="12">
        <f t="shared" si="1"/>
        <v>5228</v>
      </c>
      <c r="H6" s="12">
        <f t="shared" si="1"/>
        <v>4526</v>
      </c>
      <c r="I6" s="12">
        <f t="shared" si="1"/>
        <v>5693</v>
      </c>
      <c r="J6" s="12">
        <f t="shared" si="1"/>
        <v>6327</v>
      </c>
      <c r="K6" s="12">
        <f t="shared" si="1"/>
        <v>5410</v>
      </c>
      <c r="L6" s="12">
        <f t="shared" si="1"/>
        <v>4419</v>
      </c>
      <c r="M6" s="12">
        <f t="shared" si="1"/>
        <v>5871</v>
      </c>
      <c r="N6" s="12">
        <f t="shared" si="1"/>
        <v>6182</v>
      </c>
      <c r="O6" s="12">
        <f t="shared" si="1"/>
        <v>5487</v>
      </c>
      <c r="P6" s="12">
        <f t="shared" ref="P6:U6" si="2">SUM(P4:P5)</f>
        <v>4546</v>
      </c>
      <c r="Q6" s="12">
        <f t="shared" si="2"/>
        <v>5795</v>
      </c>
      <c r="R6" s="12">
        <f t="shared" si="2"/>
        <v>6372</v>
      </c>
      <c r="S6" s="12">
        <f t="shared" si="2"/>
        <v>5575</v>
      </c>
      <c r="T6" s="12">
        <f t="shared" si="2"/>
        <v>4689</v>
      </c>
      <c r="U6" s="12">
        <f t="shared" si="2"/>
        <v>5998</v>
      </c>
      <c r="V6" s="13"/>
      <c r="W6" s="13"/>
      <c r="X6" s="13"/>
      <c r="Y6" s="13"/>
      <c r="Z6" s="12">
        <v>12208</v>
      </c>
      <c r="AA6" s="12">
        <v>13095</v>
      </c>
      <c r="AB6" s="12">
        <v>14583</v>
      </c>
      <c r="AC6" s="12">
        <v>18007</v>
      </c>
      <c r="AD6" s="12">
        <f t="shared" ref="AD6:AG6" si="3">SUM(AD4:AD5)</f>
        <v>18945</v>
      </c>
      <c r="AE6" s="12">
        <f t="shared" si="3"/>
        <v>7470</v>
      </c>
      <c r="AF6" s="12">
        <f t="shared" si="3"/>
        <v>10130</v>
      </c>
      <c r="AG6" s="12">
        <f t="shared" si="3"/>
        <v>19233</v>
      </c>
      <c r="AH6" s="12">
        <f>SUM(AH4:AH5)</f>
        <v>21955</v>
      </c>
      <c r="AI6" s="12">
        <f>SUM(AI4:AI5)</f>
        <v>21959</v>
      </c>
      <c r="AJ6" s="12">
        <f>SUM(AJ4:AJ5)</f>
        <v>22288</v>
      </c>
      <c r="AK6" s="56">
        <f t="shared" ref="AK6:AT6" si="4">SUM(AK4:AK5)</f>
        <v>23179.52</v>
      </c>
      <c r="AL6" s="12">
        <f t="shared" si="4"/>
        <v>32106.700800000002</v>
      </c>
      <c r="AM6" s="12">
        <f t="shared" si="4"/>
        <v>33872.569344000003</v>
      </c>
      <c r="AN6" s="12">
        <f t="shared" si="4"/>
        <v>35735.560657920003</v>
      </c>
      <c r="AO6" s="12">
        <f t="shared" si="4"/>
        <v>37701.016494105599</v>
      </c>
      <c r="AP6" s="12">
        <f t="shared" si="4"/>
        <v>39774.572401281403</v>
      </c>
      <c r="AQ6" s="12">
        <f t="shared" si="4"/>
        <v>41962.173883351876</v>
      </c>
      <c r="AR6" s="12">
        <f t="shared" si="4"/>
        <v>44270.093446936226</v>
      </c>
      <c r="AS6" s="12">
        <f t="shared" si="4"/>
        <v>46704.948586517712</v>
      </c>
      <c r="AT6" s="12">
        <f t="shared" si="4"/>
        <v>49273.72075877618</v>
      </c>
    </row>
    <row r="7" spans="1:46" x14ac:dyDescent="0.25">
      <c r="A7" s="2" t="s">
        <v>37</v>
      </c>
      <c r="B7" s="5">
        <f>U49</f>
        <v>719</v>
      </c>
      <c r="C7" s="2" t="s">
        <v>44</v>
      </c>
      <c r="D7" s="13">
        <v>-214</v>
      </c>
      <c r="E7" s="13">
        <v>-392</v>
      </c>
      <c r="F7" s="13">
        <v>-449</v>
      </c>
      <c r="G7" s="13">
        <v>-440</v>
      </c>
      <c r="H7" s="13">
        <v>-362</v>
      </c>
      <c r="I7" s="13">
        <v>-426</v>
      </c>
      <c r="J7" s="13">
        <v>-472</v>
      </c>
      <c r="K7" s="13">
        <v>-438</v>
      </c>
      <c r="L7" s="13">
        <v>-349</v>
      </c>
      <c r="M7" s="13">
        <v>-415</v>
      </c>
      <c r="N7" s="13">
        <v>-443</v>
      </c>
      <c r="O7" s="13">
        <v>-429</v>
      </c>
      <c r="P7" s="13">
        <v>-356</v>
      </c>
      <c r="Q7" s="13">
        <v>-405</v>
      </c>
      <c r="R7" s="13">
        <v>-452</v>
      </c>
      <c r="S7" s="13">
        <v>-424</v>
      </c>
      <c r="T7" s="13">
        <v>-346</v>
      </c>
      <c r="U7" s="13">
        <v>-397</v>
      </c>
      <c r="V7" s="13"/>
      <c r="W7" s="13"/>
      <c r="X7" s="13"/>
      <c r="Y7" s="13"/>
      <c r="Z7" s="13"/>
      <c r="AA7" s="13"/>
      <c r="AB7" s="13"/>
      <c r="AD7" s="13">
        <v>-1634</v>
      </c>
      <c r="AE7" s="13">
        <v>-611</v>
      </c>
      <c r="AF7" s="13">
        <v>-839</v>
      </c>
      <c r="AG7" s="13">
        <v>-1495</v>
      </c>
      <c r="AH7" s="13">
        <v>-1698</v>
      </c>
      <c r="AI7" s="13">
        <v>-1634</v>
      </c>
      <c r="AJ7" s="13">
        <v>-1637</v>
      </c>
      <c r="AK7" s="14">
        <f>AJ7*1.02</f>
        <v>-1669.74</v>
      </c>
      <c r="AL7" s="13">
        <f>AK7*1.38</f>
        <v>-2304.2411999999999</v>
      </c>
      <c r="AM7" s="13">
        <f>AL7*1.055</f>
        <v>-2430.9744659999997</v>
      </c>
      <c r="AN7" s="13">
        <f t="shared" ref="AN7:AT7" si="5">AM7*1.055</f>
        <v>-2564.6780616299993</v>
      </c>
      <c r="AO7" s="13">
        <f t="shared" si="5"/>
        <v>-2705.735355019649</v>
      </c>
      <c r="AP7" s="13">
        <f t="shared" si="5"/>
        <v>-2854.5507995457297</v>
      </c>
      <c r="AQ7" s="13">
        <f t="shared" si="5"/>
        <v>-3011.5510935207444</v>
      </c>
      <c r="AR7" s="13">
        <f t="shared" si="5"/>
        <v>-3177.1864036643851</v>
      </c>
      <c r="AS7" s="13">
        <f t="shared" si="5"/>
        <v>-3351.9316558659261</v>
      </c>
      <c r="AT7" s="13">
        <f t="shared" si="5"/>
        <v>-3536.287896938552</v>
      </c>
    </row>
    <row r="8" spans="1:46" x14ac:dyDescent="0.25">
      <c r="A8" s="2" t="s">
        <v>38</v>
      </c>
      <c r="B8" s="5">
        <f>U54</f>
        <v>990</v>
      </c>
      <c r="C8" s="2" t="s">
        <v>45</v>
      </c>
      <c r="D8" s="13">
        <v>-706</v>
      </c>
      <c r="E8" s="13">
        <v>-854</v>
      </c>
      <c r="F8" s="13">
        <v>-1105</v>
      </c>
      <c r="G8" s="13">
        <v>-1189</v>
      </c>
      <c r="H8" s="13">
        <v>-1041</v>
      </c>
      <c r="I8" s="13">
        <v>-1120</v>
      </c>
      <c r="J8" s="13">
        <v>-1140</v>
      </c>
      <c r="K8" s="13">
        <v>-1236</v>
      </c>
      <c r="L8" s="13">
        <v>-1030</v>
      </c>
      <c r="M8" s="13">
        <v>-1136</v>
      </c>
      <c r="N8" s="13">
        <v>-1171</v>
      </c>
      <c r="O8" s="13">
        <v>-1197</v>
      </c>
      <c r="P8" s="13">
        <v>-1007</v>
      </c>
      <c r="Q8" s="13">
        <v>-1159</v>
      </c>
      <c r="R8" s="13">
        <v>-1230</v>
      </c>
      <c r="S8" s="13">
        <v>-1218</v>
      </c>
      <c r="T8" s="13">
        <v>-1128</v>
      </c>
      <c r="U8" s="13">
        <v>-1183</v>
      </c>
      <c r="V8" s="13"/>
      <c r="W8" s="13"/>
      <c r="X8" s="13"/>
      <c r="Y8" s="13"/>
      <c r="Z8" s="13"/>
      <c r="AA8" s="13"/>
      <c r="AB8" s="13"/>
      <c r="AD8" s="13">
        <v>-4335</v>
      </c>
      <c r="AE8" s="13">
        <v>-1751</v>
      </c>
      <c r="AF8" s="13">
        <v>-2248</v>
      </c>
      <c r="AG8" s="13">
        <v>-3854</v>
      </c>
      <c r="AH8" s="13">
        <v>-4538</v>
      </c>
      <c r="AI8" s="13">
        <v>-4454</v>
      </c>
      <c r="AJ8" s="13">
        <v>-4614</v>
      </c>
      <c r="AK8" s="14">
        <f t="shared" ref="AK8:AK13" si="6">AJ8*1.02</f>
        <v>-4706.28</v>
      </c>
      <c r="AL8" s="13">
        <f t="shared" ref="AL8:AL13" si="7">AK8*1.38</f>
        <v>-6494.6663999999992</v>
      </c>
      <c r="AM8" s="13">
        <f t="shared" ref="AM8:AT13" si="8">AL8*1.055</f>
        <v>-6851.873051999999</v>
      </c>
      <c r="AN8" s="13">
        <f t="shared" si="8"/>
        <v>-7228.7260698599985</v>
      </c>
      <c r="AO8" s="13">
        <f t="shared" si="8"/>
        <v>-7626.3060037022979</v>
      </c>
      <c r="AP8" s="13">
        <f t="shared" si="8"/>
        <v>-8045.7528339059236</v>
      </c>
      <c r="AQ8" s="13">
        <f t="shared" si="8"/>
        <v>-8488.2692397707488</v>
      </c>
      <c r="AR8" s="13">
        <f t="shared" si="8"/>
        <v>-8955.1240479581393</v>
      </c>
      <c r="AS8" s="13">
        <f t="shared" si="8"/>
        <v>-9447.6558705958359</v>
      </c>
      <c r="AT8" s="13">
        <f t="shared" si="8"/>
        <v>-9967.276943478606</v>
      </c>
    </row>
    <row r="9" spans="1:46" x14ac:dyDescent="0.25">
      <c r="A9" s="3" t="s">
        <v>39</v>
      </c>
      <c r="B9" s="6">
        <f>B6-B7+B8</f>
        <v>19222.32085</v>
      </c>
      <c r="C9" s="2" t="s">
        <v>46</v>
      </c>
      <c r="D9" s="13">
        <v>-1056</v>
      </c>
      <c r="E9" s="13">
        <v>-1577</v>
      </c>
      <c r="F9" s="13">
        <v>-1649</v>
      </c>
      <c r="G9" s="13">
        <v>-1674</v>
      </c>
      <c r="H9" s="13">
        <v>-1582</v>
      </c>
      <c r="I9" s="13">
        <v>-1770</v>
      </c>
      <c r="J9" s="13">
        <v>-1778</v>
      </c>
      <c r="K9" s="13">
        <v>-1752</v>
      </c>
      <c r="L9" s="13">
        <v>-1614</v>
      </c>
      <c r="M9" s="13">
        <v>-1795</v>
      </c>
      <c r="N9" s="13">
        <v>-1703</v>
      </c>
      <c r="O9" s="13">
        <v>-1756</v>
      </c>
      <c r="P9" s="13">
        <v>-1650</v>
      </c>
      <c r="Q9" s="13">
        <v>-1810</v>
      </c>
      <c r="R9" s="13">
        <v>-1760</v>
      </c>
      <c r="S9" s="13">
        <v>-1805</v>
      </c>
      <c r="T9" s="13">
        <v>-1645</v>
      </c>
      <c r="U9" s="13">
        <v>-1857</v>
      </c>
      <c r="V9" s="13"/>
      <c r="W9" s="13"/>
      <c r="X9" s="13"/>
      <c r="Y9" s="13"/>
      <c r="Z9" s="13"/>
      <c r="AA9" s="13"/>
      <c r="AB9" s="13"/>
      <c r="AD9" s="13">
        <v>-5869</v>
      </c>
      <c r="AE9" s="13">
        <v>-3489</v>
      </c>
      <c r="AF9" s="13">
        <v>-3597</v>
      </c>
      <c r="AG9" s="13">
        <v>-5957</v>
      </c>
      <c r="AH9" s="13">
        <v>-6882</v>
      </c>
      <c r="AI9" s="13">
        <v>-6948</v>
      </c>
      <c r="AJ9" s="13">
        <v>-7025</v>
      </c>
      <c r="AK9" s="14">
        <f t="shared" si="6"/>
        <v>-7165.5</v>
      </c>
      <c r="AL9" s="13">
        <f t="shared" si="7"/>
        <v>-9888.39</v>
      </c>
      <c r="AM9" s="13">
        <f t="shared" si="8"/>
        <v>-10432.251449999998</v>
      </c>
      <c r="AN9" s="13">
        <f t="shared" si="8"/>
        <v>-11006.025279749998</v>
      </c>
      <c r="AO9" s="13">
        <f t="shared" si="8"/>
        <v>-11611.356670136247</v>
      </c>
      <c r="AP9" s="13">
        <f t="shared" si="8"/>
        <v>-12249.98128699374</v>
      </c>
      <c r="AQ9" s="13">
        <f t="shared" si="8"/>
        <v>-12923.730257778394</v>
      </c>
      <c r="AR9" s="13">
        <f t="shared" si="8"/>
        <v>-13634.535421956205</v>
      </c>
      <c r="AS9" s="13">
        <f t="shared" si="8"/>
        <v>-14384.434870163795</v>
      </c>
      <c r="AT9" s="13">
        <f t="shared" si="8"/>
        <v>-15175.578788022804</v>
      </c>
    </row>
    <row r="10" spans="1:46" x14ac:dyDescent="0.25">
      <c r="C10" s="2" t="s">
        <v>47</v>
      </c>
      <c r="D10" s="13">
        <v>-188</v>
      </c>
      <c r="E10" s="13">
        <f>-35-506</f>
        <v>-541</v>
      </c>
      <c r="F10" s="13">
        <f>-59-630</f>
        <v>-689</v>
      </c>
      <c r="G10" s="13">
        <f>-52-482</f>
        <v>-534</v>
      </c>
      <c r="H10" s="13">
        <v>-388</v>
      </c>
      <c r="I10" s="13">
        <v>-598</v>
      </c>
      <c r="J10" s="13">
        <v>-717</v>
      </c>
      <c r="K10" s="13">
        <v>-507</v>
      </c>
      <c r="L10" s="13">
        <v>-343</v>
      </c>
      <c r="M10" s="13">
        <v>-612</v>
      </c>
      <c r="N10" s="13">
        <v>-716</v>
      </c>
      <c r="O10" s="13">
        <v>-486</v>
      </c>
      <c r="P10" s="13">
        <v>-346</v>
      </c>
      <c r="Q10" s="13">
        <v>-625</v>
      </c>
      <c r="R10" s="13">
        <v>-744</v>
      </c>
      <c r="S10" s="13">
        <v>-515</v>
      </c>
      <c r="T10" s="13">
        <v>-368</v>
      </c>
      <c r="U10" s="13">
        <v>-641</v>
      </c>
      <c r="V10" s="13"/>
      <c r="W10" s="13"/>
      <c r="X10" s="13"/>
      <c r="Y10" s="13"/>
      <c r="Z10" s="13"/>
      <c r="AA10" s="13"/>
      <c r="AB10" s="13"/>
      <c r="AD10" s="13">
        <f>-74-1696</f>
        <v>-1770</v>
      </c>
      <c r="AE10" s="13">
        <f>492-424</f>
        <v>68</v>
      </c>
      <c r="AF10" s="13">
        <f>79-780</f>
        <v>-701</v>
      </c>
      <c r="AG10" s="13">
        <f>-159-1792</f>
        <v>-1951</v>
      </c>
      <c r="AH10" s="13">
        <v>-2209</v>
      </c>
      <c r="AI10" s="13">
        <v>-2157</v>
      </c>
      <c r="AJ10" s="13">
        <v>-2230</v>
      </c>
      <c r="AK10" s="14">
        <f t="shared" si="6"/>
        <v>-2274.6</v>
      </c>
      <c r="AL10" s="13">
        <f t="shared" si="7"/>
        <v>-3138.9479999999994</v>
      </c>
      <c r="AM10" s="13">
        <f t="shared" si="8"/>
        <v>-3311.5901399999993</v>
      </c>
      <c r="AN10" s="13">
        <f t="shared" si="8"/>
        <v>-3493.727597699999</v>
      </c>
      <c r="AO10" s="13">
        <f t="shared" si="8"/>
        <v>-3685.8826155734987</v>
      </c>
      <c r="AP10" s="13">
        <f t="shared" si="8"/>
        <v>-3888.6061594300409</v>
      </c>
      <c r="AQ10" s="13">
        <f t="shared" si="8"/>
        <v>-4102.4794981986925</v>
      </c>
      <c r="AR10" s="13">
        <f t="shared" si="8"/>
        <v>-4328.1158705996204</v>
      </c>
      <c r="AS10" s="13">
        <f t="shared" si="8"/>
        <v>-4566.1622434825995</v>
      </c>
      <c r="AT10" s="13">
        <f t="shared" si="8"/>
        <v>-4817.3011668741419</v>
      </c>
    </row>
    <row r="11" spans="1:46" x14ac:dyDescent="0.25">
      <c r="C11" s="2" t="s">
        <v>48</v>
      </c>
      <c r="D11" s="13">
        <v>-27</v>
      </c>
      <c r="E11" s="13">
        <v>-75</v>
      </c>
      <c r="F11" s="13">
        <v>-20</v>
      </c>
      <c r="G11" s="13">
        <v>-9</v>
      </c>
      <c r="H11" s="13">
        <v>-14</v>
      </c>
      <c r="I11" s="13">
        <v>-2</v>
      </c>
      <c r="J11" s="13">
        <v>0</v>
      </c>
      <c r="K11" s="13">
        <v>-1</v>
      </c>
      <c r="L11" s="13">
        <v>-2</v>
      </c>
      <c r="M11" s="13">
        <v>-11</v>
      </c>
      <c r="N11" s="13">
        <v>-9</v>
      </c>
      <c r="O11" s="13">
        <v>-6</v>
      </c>
      <c r="P11" s="13">
        <v>-28</v>
      </c>
      <c r="Q11" s="13">
        <v>-21</v>
      </c>
      <c r="R11" s="13">
        <v>-11</v>
      </c>
      <c r="S11" s="13">
        <v>-15</v>
      </c>
      <c r="T11" s="13">
        <v>-15</v>
      </c>
      <c r="U11" s="13">
        <v>-23</v>
      </c>
      <c r="V11" s="13"/>
      <c r="W11" s="13"/>
      <c r="X11" s="13"/>
      <c r="Y11" s="13"/>
      <c r="Z11" s="13"/>
      <c r="AA11" s="13">
        <f>SUM(AJ4:AJ5)+AG15</f>
        <v>24745</v>
      </c>
      <c r="AB11" s="13"/>
      <c r="AC11" s="1"/>
      <c r="AD11" s="13">
        <v>-81</v>
      </c>
      <c r="AE11" s="13">
        <v>-32</v>
      </c>
      <c r="AF11" s="13">
        <v>-52</v>
      </c>
      <c r="AG11" s="13">
        <v>-131</v>
      </c>
      <c r="AH11" s="13">
        <v>-17</v>
      </c>
      <c r="AI11" s="13">
        <v>-28</v>
      </c>
      <c r="AJ11" s="13">
        <v>-75</v>
      </c>
      <c r="AK11" s="14">
        <f t="shared" si="6"/>
        <v>-76.5</v>
      </c>
      <c r="AL11" s="13">
        <f t="shared" si="7"/>
        <v>-105.57</v>
      </c>
      <c r="AM11" s="13">
        <f t="shared" si="8"/>
        <v>-111.37634999999999</v>
      </c>
      <c r="AN11" s="13">
        <f t="shared" si="8"/>
        <v>-117.50204924999998</v>
      </c>
      <c r="AO11" s="13">
        <f t="shared" si="8"/>
        <v>-123.96466195874997</v>
      </c>
      <c r="AP11" s="13">
        <f t="shared" si="8"/>
        <v>-130.78271836648122</v>
      </c>
      <c r="AQ11" s="13">
        <f t="shared" si="8"/>
        <v>-137.97576787663769</v>
      </c>
      <c r="AR11" s="13">
        <f t="shared" si="8"/>
        <v>-145.56443510985275</v>
      </c>
      <c r="AS11" s="13">
        <f t="shared" si="8"/>
        <v>-153.57047904089464</v>
      </c>
      <c r="AT11" s="13">
        <f t="shared" si="8"/>
        <v>-162.01685538814382</v>
      </c>
    </row>
    <row r="12" spans="1:46" x14ac:dyDescent="0.25">
      <c r="A12" s="2" t="s">
        <v>164</v>
      </c>
      <c r="B12" s="8">
        <f>(B8-B7)/U31</f>
        <v>0.10831334932054357</v>
      </c>
      <c r="C12" s="2" t="s">
        <v>49</v>
      </c>
      <c r="D12" s="13">
        <v>0</v>
      </c>
      <c r="E12" s="13">
        <v>0</v>
      </c>
      <c r="F12" s="13">
        <v>0</v>
      </c>
      <c r="G12" s="13">
        <v>-16</v>
      </c>
      <c r="H12" s="13">
        <v>-3</v>
      </c>
      <c r="I12" s="13">
        <v>0</v>
      </c>
      <c r="J12" s="13">
        <v>0</v>
      </c>
      <c r="K12" s="13">
        <v>-12</v>
      </c>
      <c r="L12" s="13">
        <v>0</v>
      </c>
      <c r="M12" s="13">
        <v>0</v>
      </c>
      <c r="N12" s="13">
        <v>-18</v>
      </c>
      <c r="O12" s="13">
        <v>0</v>
      </c>
      <c r="P12" s="13">
        <v>0</v>
      </c>
      <c r="Q12" s="13">
        <v>0</v>
      </c>
      <c r="R12" s="13">
        <v>-20</v>
      </c>
      <c r="S12" s="13">
        <v>-31</v>
      </c>
      <c r="T12" s="13">
        <v>-2</v>
      </c>
      <c r="U12" s="13">
        <v>-3</v>
      </c>
      <c r="V12" s="13"/>
      <c r="W12" s="13"/>
      <c r="X12" s="13"/>
      <c r="Y12" s="13"/>
      <c r="Z12" s="13"/>
      <c r="AA12" s="13"/>
      <c r="AB12" s="13"/>
      <c r="AC12" s="13"/>
      <c r="AD12" s="13">
        <v>169</v>
      </c>
      <c r="AE12" s="13">
        <v>-269</v>
      </c>
      <c r="AF12" s="13">
        <v>7</v>
      </c>
      <c r="AG12" s="13">
        <v>-16</v>
      </c>
      <c r="AH12" s="13">
        <v>-14</v>
      </c>
      <c r="AI12" s="13">
        <v>-18</v>
      </c>
      <c r="AJ12" s="13">
        <v>-51</v>
      </c>
      <c r="AK12" s="14">
        <f t="shared" si="6"/>
        <v>-52.02</v>
      </c>
      <c r="AL12" s="13">
        <f t="shared" si="7"/>
        <v>-71.787599999999998</v>
      </c>
      <c r="AM12" s="13">
        <f t="shared" si="8"/>
        <v>-75.735917999999998</v>
      </c>
      <c r="AN12" s="13">
        <f t="shared" si="8"/>
        <v>-79.90139348999999</v>
      </c>
      <c r="AO12" s="13">
        <f t="shared" si="8"/>
        <v>-84.295970131949986</v>
      </c>
      <c r="AP12" s="13">
        <f t="shared" si="8"/>
        <v>-88.932248489207225</v>
      </c>
      <c r="AQ12" s="13">
        <f t="shared" si="8"/>
        <v>-93.823522156113611</v>
      </c>
      <c r="AR12" s="13">
        <f t="shared" si="8"/>
        <v>-98.983815874699857</v>
      </c>
      <c r="AS12" s="13">
        <f t="shared" si="8"/>
        <v>-104.42792574780835</v>
      </c>
      <c r="AT12" s="13">
        <f t="shared" si="8"/>
        <v>-110.17146166393779</v>
      </c>
    </row>
    <row r="13" spans="1:46" x14ac:dyDescent="0.25">
      <c r="C13" s="2" t="s">
        <v>50</v>
      </c>
      <c r="D13" s="13">
        <v>-820</v>
      </c>
      <c r="E13" s="13">
        <v>-825</v>
      </c>
      <c r="F13" s="13">
        <v>-849</v>
      </c>
      <c r="G13" s="13">
        <v>-878</v>
      </c>
      <c r="H13" s="13">
        <v>-938</v>
      </c>
      <c r="I13" s="13">
        <v>-943</v>
      </c>
      <c r="J13" s="13">
        <v>-970</v>
      </c>
      <c r="K13" s="13">
        <v>-962</v>
      </c>
      <c r="L13" s="13">
        <v>-955</v>
      </c>
      <c r="M13" s="13">
        <v>-975</v>
      </c>
      <c r="N13" s="13">
        <v>-967</v>
      </c>
      <c r="O13" s="13">
        <v>-987</v>
      </c>
      <c r="P13" s="13">
        <v>-966</v>
      </c>
      <c r="Q13" s="13">
        <v>-959</v>
      </c>
      <c r="R13" s="13">
        <v>-981</v>
      </c>
      <c r="S13" s="13">
        <v>-1090</v>
      </c>
      <c r="T13" s="13">
        <v>-973</v>
      </c>
      <c r="U13" s="13">
        <v>-994</v>
      </c>
      <c r="V13" s="13"/>
      <c r="W13" s="13"/>
      <c r="X13" s="13"/>
      <c r="Y13" s="13"/>
      <c r="Z13" s="13"/>
      <c r="AA13" s="13"/>
      <c r="AB13" s="13"/>
      <c r="AD13" s="13">
        <v>-3281</v>
      </c>
      <c r="AE13" s="13">
        <v>-6187</v>
      </c>
      <c r="AF13" s="13">
        <v>-3139</v>
      </c>
      <c r="AG13" s="13">
        <v>-3372</v>
      </c>
      <c r="AH13" s="13">
        <v>-3812</v>
      </c>
      <c r="AI13" s="13">
        <v>-3884</v>
      </c>
      <c r="AJ13" s="13">
        <v>-3996</v>
      </c>
      <c r="AK13" s="14">
        <f t="shared" si="6"/>
        <v>-4075.92</v>
      </c>
      <c r="AL13" s="13">
        <f t="shared" si="7"/>
        <v>-5624.7695999999996</v>
      </c>
      <c r="AM13" s="13">
        <f t="shared" si="8"/>
        <v>-5934.1319279999989</v>
      </c>
      <c r="AN13" s="13">
        <f t="shared" si="8"/>
        <v>-6260.5091840399982</v>
      </c>
      <c r="AO13" s="13">
        <f t="shared" si="8"/>
        <v>-6604.8371891621973</v>
      </c>
      <c r="AP13" s="13">
        <f t="shared" si="8"/>
        <v>-6968.1032345661179</v>
      </c>
      <c r="AQ13" s="13">
        <f t="shared" si="8"/>
        <v>-7351.3489124672542</v>
      </c>
      <c r="AR13" s="13">
        <f t="shared" si="8"/>
        <v>-7755.6731026529524</v>
      </c>
      <c r="AS13" s="13">
        <f t="shared" si="8"/>
        <v>-8182.235123298864</v>
      </c>
      <c r="AT13" s="13">
        <f t="shared" si="8"/>
        <v>-8632.2580550803013</v>
      </c>
    </row>
    <row r="14" spans="1:46" x14ac:dyDescent="0.25">
      <c r="C14" s="2" t="s">
        <v>148</v>
      </c>
      <c r="D14" s="13">
        <f t="shared" ref="D14:P14" si="9">SUM(D7:D13)</f>
        <v>-3011</v>
      </c>
      <c r="E14" s="13">
        <f t="shared" si="9"/>
        <v>-4264</v>
      </c>
      <c r="F14" s="13">
        <f t="shared" si="9"/>
        <v>-4761</v>
      </c>
      <c r="G14" s="13">
        <f t="shared" si="9"/>
        <v>-4740</v>
      </c>
      <c r="H14" s="13">
        <f t="shared" si="9"/>
        <v>-4328</v>
      </c>
      <c r="I14" s="13">
        <f t="shared" si="9"/>
        <v>-4859</v>
      </c>
      <c r="J14" s="13">
        <f t="shared" si="9"/>
        <v>-5077</v>
      </c>
      <c r="K14" s="13">
        <f t="shared" si="9"/>
        <v>-4908</v>
      </c>
      <c r="L14" s="13">
        <f t="shared" si="9"/>
        <v>-4293</v>
      </c>
      <c r="M14" s="13">
        <f t="shared" si="9"/>
        <v>-4944</v>
      </c>
      <c r="N14" s="13">
        <f t="shared" si="9"/>
        <v>-5027</v>
      </c>
      <c r="O14" s="13">
        <f t="shared" si="9"/>
        <v>-4861</v>
      </c>
      <c r="P14" s="13">
        <f t="shared" si="9"/>
        <v>-4353</v>
      </c>
      <c r="Q14" s="13">
        <f>SUM(Q7:Q13)</f>
        <v>-4979</v>
      </c>
      <c r="R14" s="13">
        <f>SUM(R7:R13)</f>
        <v>-5198</v>
      </c>
      <c r="S14" s="13">
        <f>SUM(S7:S13)</f>
        <v>-5098</v>
      </c>
      <c r="T14" s="13">
        <f>SUM(T7:T13)</f>
        <v>-4477</v>
      </c>
      <c r="U14" s="13">
        <f>SUM(U7:U13)</f>
        <v>-5098</v>
      </c>
      <c r="V14" s="13"/>
      <c r="W14" s="13"/>
      <c r="X14" s="13"/>
      <c r="Y14" s="13"/>
      <c r="Z14" s="13">
        <f t="shared" ref="Z14:AB14" si="10">Z15-Z6</f>
        <v>-11595</v>
      </c>
      <c r="AA14" s="13">
        <f t="shared" si="10"/>
        <v>-12170</v>
      </c>
      <c r="AB14" s="13">
        <f t="shared" si="10"/>
        <v>-13658</v>
      </c>
      <c r="AC14" s="13">
        <f>AC15-AC6</f>
        <v>-17024</v>
      </c>
      <c r="AD14" s="13">
        <f t="shared" ref="AD14:AH14" si="11">SUM(AD7:AD13)</f>
        <v>-16801</v>
      </c>
      <c r="AE14" s="13">
        <f t="shared" si="11"/>
        <v>-12271</v>
      </c>
      <c r="AF14" s="13">
        <f t="shared" si="11"/>
        <v>-10569</v>
      </c>
      <c r="AG14" s="13">
        <f t="shared" si="11"/>
        <v>-16776</v>
      </c>
      <c r="AH14" s="13">
        <f t="shared" si="11"/>
        <v>-19170</v>
      </c>
      <c r="AI14" s="13">
        <f>SUM(AI7:AI13)</f>
        <v>-19123</v>
      </c>
      <c r="AJ14" s="13">
        <f t="shared" ref="AJ14:AT14" si="12">SUM(AJ7:AJ13)</f>
        <v>-19628</v>
      </c>
      <c r="AK14" s="14">
        <f t="shared" si="12"/>
        <v>-20020.560000000001</v>
      </c>
      <c r="AL14" s="13">
        <f t="shared" si="12"/>
        <v>-27628.372799999997</v>
      </c>
      <c r="AM14" s="13">
        <f t="shared" si="12"/>
        <v>-29147.933303999995</v>
      </c>
      <c r="AN14" s="13">
        <f t="shared" si="12"/>
        <v>-30751.069635719992</v>
      </c>
      <c r="AO14" s="13">
        <f t="shared" si="12"/>
        <v>-32442.378465684593</v>
      </c>
      <c r="AP14" s="13">
        <f t="shared" si="12"/>
        <v>-34226.709281297241</v>
      </c>
      <c r="AQ14" s="13">
        <f t="shared" si="12"/>
        <v>-36109.178291768585</v>
      </c>
      <c r="AR14" s="13">
        <f t="shared" si="12"/>
        <v>-38095.183097815854</v>
      </c>
      <c r="AS14" s="13">
        <f t="shared" si="12"/>
        <v>-40190.418168195727</v>
      </c>
      <c r="AT14" s="13">
        <f t="shared" si="12"/>
        <v>-42400.891167446491</v>
      </c>
    </row>
    <row r="15" spans="1:46" x14ac:dyDescent="0.25">
      <c r="C15" s="1" t="s">
        <v>51</v>
      </c>
      <c r="D15" s="12">
        <f t="shared" ref="D15:P15" si="13">D6+D14</f>
        <v>-278</v>
      </c>
      <c r="E15" s="12">
        <f t="shared" si="13"/>
        <v>1015</v>
      </c>
      <c r="F15" s="12">
        <f t="shared" si="13"/>
        <v>1233</v>
      </c>
      <c r="G15" s="12">
        <f t="shared" si="13"/>
        <v>488</v>
      </c>
      <c r="H15" s="12">
        <f t="shared" si="13"/>
        <v>198</v>
      </c>
      <c r="I15" s="12">
        <f t="shared" si="13"/>
        <v>834</v>
      </c>
      <c r="J15" s="12">
        <f t="shared" si="13"/>
        <v>1250</v>
      </c>
      <c r="K15" s="12">
        <f t="shared" si="13"/>
        <v>502</v>
      </c>
      <c r="L15" s="12">
        <f t="shared" si="13"/>
        <v>126</v>
      </c>
      <c r="M15" s="12">
        <f t="shared" si="13"/>
        <v>927</v>
      </c>
      <c r="N15" s="12">
        <f t="shared" si="13"/>
        <v>1155</v>
      </c>
      <c r="O15" s="12">
        <f t="shared" si="13"/>
        <v>626</v>
      </c>
      <c r="P15" s="12">
        <f t="shared" si="13"/>
        <v>193</v>
      </c>
      <c r="Q15" s="12">
        <f>Q6+Q14</f>
        <v>816</v>
      </c>
      <c r="R15" s="12">
        <f>R6+R14</f>
        <v>1174</v>
      </c>
      <c r="S15" s="12">
        <f>S6+S14</f>
        <v>477</v>
      </c>
      <c r="T15" s="12">
        <f>T6+T14</f>
        <v>212</v>
      </c>
      <c r="U15" s="12">
        <f>U6+U14</f>
        <v>900</v>
      </c>
      <c r="V15" s="13"/>
      <c r="W15" s="13"/>
      <c r="X15" s="13"/>
      <c r="Y15" s="13"/>
      <c r="Z15" s="12">
        <v>613</v>
      </c>
      <c r="AA15" s="12">
        <v>925</v>
      </c>
      <c r="AB15" s="12">
        <v>925</v>
      </c>
      <c r="AC15" s="1">
        <v>983</v>
      </c>
      <c r="AD15" s="12">
        <f t="shared" ref="AD15:AH15" si="14">AD6+AD14</f>
        <v>2144</v>
      </c>
      <c r="AE15" s="12">
        <f t="shared" si="14"/>
        <v>-4801</v>
      </c>
      <c r="AF15" s="12">
        <f t="shared" si="14"/>
        <v>-439</v>
      </c>
      <c r="AG15" s="12">
        <f t="shared" si="14"/>
        <v>2457</v>
      </c>
      <c r="AH15" s="12">
        <f t="shared" si="14"/>
        <v>2785</v>
      </c>
      <c r="AI15" s="12">
        <f>AI6+AI14</f>
        <v>2836</v>
      </c>
      <c r="AJ15" s="12">
        <f>SUM(AJ6:AJ13)</f>
        <v>2660</v>
      </c>
      <c r="AK15" s="56">
        <f t="shared" ref="AK15:AT15" si="15">SUM(AK6:AK13)</f>
        <v>3158.9599999999991</v>
      </c>
      <c r="AL15" s="12">
        <f t="shared" si="15"/>
        <v>4478.328000000005</v>
      </c>
      <c r="AM15" s="12">
        <f t="shared" si="15"/>
        <v>4724.6360400000085</v>
      </c>
      <c r="AN15" s="12">
        <f t="shared" si="15"/>
        <v>4984.4910222000053</v>
      </c>
      <c r="AO15" s="12">
        <f t="shared" si="15"/>
        <v>5258.6380284210081</v>
      </c>
      <c r="AP15" s="12">
        <f t="shared" si="15"/>
        <v>5547.8631199841593</v>
      </c>
      <c r="AQ15" s="12">
        <f t="shared" si="15"/>
        <v>5852.9955915832925</v>
      </c>
      <c r="AR15" s="12">
        <f t="shared" si="15"/>
        <v>6174.9103491203714</v>
      </c>
      <c r="AS15" s="12">
        <f t="shared" si="15"/>
        <v>6514.5304183219887</v>
      </c>
      <c r="AT15" s="12">
        <f t="shared" si="15"/>
        <v>6872.8295913297025</v>
      </c>
    </row>
    <row r="16" spans="1:46" x14ac:dyDescent="0.25">
      <c r="C16" s="2" t="s">
        <v>52</v>
      </c>
      <c r="D16" s="13">
        <v>-453</v>
      </c>
      <c r="E16" s="13">
        <v>-479</v>
      </c>
      <c r="F16" s="13">
        <v>-436</v>
      </c>
      <c r="G16" s="13">
        <v>-438</v>
      </c>
      <c r="H16" s="13">
        <v>-522</v>
      </c>
      <c r="I16" s="13">
        <v>-503</v>
      </c>
      <c r="J16" s="13">
        <v>-510</v>
      </c>
      <c r="K16" s="13">
        <v>-528</v>
      </c>
      <c r="L16" s="13">
        <v>-504</v>
      </c>
      <c r="M16" s="13">
        <v>-519</v>
      </c>
      <c r="N16" s="13">
        <v>-473</v>
      </c>
      <c r="O16" s="13">
        <v>-479</v>
      </c>
      <c r="P16" s="13">
        <v>-454</v>
      </c>
      <c r="Q16" s="13">
        <v>-454</v>
      </c>
      <c r="R16" s="13">
        <v>-466</v>
      </c>
      <c r="S16" s="13">
        <v>-479</v>
      </c>
      <c r="T16" s="13">
        <v>-441</v>
      </c>
      <c r="U16" s="13">
        <v>-456</v>
      </c>
      <c r="V16" s="13"/>
      <c r="W16" s="13"/>
      <c r="X16" s="13"/>
      <c r="Y16" s="13"/>
      <c r="Z16" s="13"/>
      <c r="AA16" s="13"/>
      <c r="AB16" s="13"/>
      <c r="AD16" s="13">
        <v>-1242</v>
      </c>
      <c r="AE16" s="13">
        <v>-1281</v>
      </c>
      <c r="AF16" s="13">
        <v>-1606</v>
      </c>
      <c r="AG16" s="13">
        <v>-1808</v>
      </c>
      <c r="AH16" s="13">
        <v>-2064</v>
      </c>
      <c r="AI16" s="13">
        <v>-1975</v>
      </c>
      <c r="AJ16" s="13">
        <v>-1853</v>
      </c>
      <c r="AK16" s="14">
        <f>AJ16*1.01</f>
        <v>-1871.53</v>
      </c>
      <c r="AL16" s="13">
        <f>AK16*1.2</f>
        <v>-2245.8359999999998</v>
      </c>
      <c r="AM16" s="13">
        <f>AL16*1.05</f>
        <v>-2358.1277999999998</v>
      </c>
      <c r="AN16" s="13">
        <f t="shared" ref="AN16:AT16" si="16">AM16*1.05</f>
        <v>-2476.0341899999999</v>
      </c>
      <c r="AO16" s="13">
        <f t="shared" si="16"/>
        <v>-2599.8358994999999</v>
      </c>
      <c r="AP16" s="13">
        <f t="shared" si="16"/>
        <v>-2729.827694475</v>
      </c>
      <c r="AQ16" s="13">
        <f t="shared" si="16"/>
        <v>-2866.3190791987504</v>
      </c>
      <c r="AR16" s="13">
        <f t="shared" si="16"/>
        <v>-3009.6350331586882</v>
      </c>
      <c r="AS16" s="13">
        <f t="shared" si="16"/>
        <v>-3160.1167848166228</v>
      </c>
      <c r="AT16" s="13">
        <f t="shared" si="16"/>
        <v>-3318.1226240574542</v>
      </c>
    </row>
    <row r="17" spans="2:155" x14ac:dyDescent="0.25">
      <c r="C17" s="2" t="s">
        <v>53</v>
      </c>
      <c r="D17" s="13">
        <f t="shared" ref="D17:O17" si="17">SUM(D15:D16)</f>
        <v>-731</v>
      </c>
      <c r="E17" s="13">
        <f t="shared" si="17"/>
        <v>536</v>
      </c>
      <c r="F17" s="13">
        <f t="shared" si="17"/>
        <v>797</v>
      </c>
      <c r="G17" s="13">
        <f t="shared" si="17"/>
        <v>50</v>
      </c>
      <c r="H17" s="13">
        <f t="shared" si="17"/>
        <v>-324</v>
      </c>
      <c r="I17" s="13">
        <f t="shared" si="17"/>
        <v>331</v>
      </c>
      <c r="J17" s="13">
        <f t="shared" si="17"/>
        <v>740</v>
      </c>
      <c r="K17" s="13">
        <f t="shared" si="17"/>
        <v>-26</v>
      </c>
      <c r="L17" s="13">
        <f t="shared" si="17"/>
        <v>-378</v>
      </c>
      <c r="M17" s="13">
        <f t="shared" si="17"/>
        <v>408</v>
      </c>
      <c r="N17" s="13">
        <f t="shared" si="17"/>
        <v>682</v>
      </c>
      <c r="O17" s="13">
        <f t="shared" si="17"/>
        <v>147</v>
      </c>
      <c r="P17" s="13">
        <f t="shared" ref="P17:U17" si="18">SUM(P15:P16)</f>
        <v>-261</v>
      </c>
      <c r="Q17" s="13">
        <f t="shared" si="18"/>
        <v>362</v>
      </c>
      <c r="R17" s="13">
        <f t="shared" si="18"/>
        <v>708</v>
      </c>
      <c r="S17" s="13">
        <f t="shared" si="18"/>
        <v>-2</v>
      </c>
      <c r="T17" s="13">
        <f t="shared" si="18"/>
        <v>-229</v>
      </c>
      <c r="U17" s="13">
        <f t="shared" si="18"/>
        <v>444</v>
      </c>
      <c r="V17" s="13"/>
      <c r="W17" s="13"/>
      <c r="X17" s="13"/>
      <c r="Y17" s="13"/>
      <c r="Z17" s="13">
        <v>115</v>
      </c>
      <c r="AA17" s="13">
        <v>1057</v>
      </c>
      <c r="AB17" s="13">
        <v>800</v>
      </c>
      <c r="AC17" s="2">
        <v>810</v>
      </c>
      <c r="AD17" s="13">
        <f t="shared" ref="AD17:AH17" si="19">SUM(AD15:AD16)</f>
        <v>902</v>
      </c>
      <c r="AE17" s="13">
        <f t="shared" si="19"/>
        <v>-6082</v>
      </c>
      <c r="AF17" s="13">
        <f t="shared" si="19"/>
        <v>-2045</v>
      </c>
      <c r="AG17" s="13">
        <f t="shared" si="19"/>
        <v>649</v>
      </c>
      <c r="AH17" s="13">
        <f t="shared" si="19"/>
        <v>721</v>
      </c>
      <c r="AI17" s="13">
        <f>SUM(AI15:AI16)</f>
        <v>861</v>
      </c>
      <c r="AJ17" s="13">
        <f t="shared" ref="AJ17:AT17" si="20">SUM(AJ15:AJ16)</f>
        <v>807</v>
      </c>
      <c r="AK17" s="14">
        <f t="shared" si="20"/>
        <v>1287.4299999999992</v>
      </c>
      <c r="AL17" s="13">
        <f t="shared" si="20"/>
        <v>2232.4920000000052</v>
      </c>
      <c r="AM17" s="13">
        <f t="shared" si="20"/>
        <v>2366.5082400000088</v>
      </c>
      <c r="AN17" s="13">
        <f t="shared" si="20"/>
        <v>2508.4568322000055</v>
      </c>
      <c r="AO17" s="13">
        <f t="shared" si="20"/>
        <v>2658.8021289210083</v>
      </c>
      <c r="AP17" s="13">
        <f t="shared" si="20"/>
        <v>2818.0354255091593</v>
      </c>
      <c r="AQ17" s="13">
        <f t="shared" si="20"/>
        <v>2986.6765123845421</v>
      </c>
      <c r="AR17" s="13">
        <f t="shared" si="20"/>
        <v>3165.2753159616832</v>
      </c>
      <c r="AS17" s="13">
        <f t="shared" si="20"/>
        <v>3354.4136335053659</v>
      </c>
      <c r="AT17" s="13">
        <f t="shared" si="20"/>
        <v>3554.7069672722482</v>
      </c>
    </row>
    <row r="18" spans="2:155" x14ac:dyDescent="0.25">
      <c r="C18" s="2" t="s">
        <v>54</v>
      </c>
      <c r="D18" s="2">
        <v>93</v>
      </c>
      <c r="E18" s="9">
        <v>-104</v>
      </c>
      <c r="F18" s="9">
        <v>-163</v>
      </c>
      <c r="G18" s="9">
        <v>-48</v>
      </c>
      <c r="H18" s="9">
        <v>21</v>
      </c>
      <c r="I18" s="9">
        <v>-59</v>
      </c>
      <c r="J18" s="9">
        <v>-182</v>
      </c>
      <c r="K18" s="18">
        <v>67</v>
      </c>
      <c r="L18" s="9">
        <v>51</v>
      </c>
      <c r="M18" s="9">
        <v>-98</v>
      </c>
      <c r="N18" s="9">
        <v>-146</v>
      </c>
      <c r="O18" s="9">
        <v>-15</v>
      </c>
      <c r="P18" s="18">
        <v>43</v>
      </c>
      <c r="Q18" s="9">
        <v>-94</v>
      </c>
      <c r="R18" s="9">
        <v>-151</v>
      </c>
      <c r="S18" s="9">
        <v>17</v>
      </c>
      <c r="T18" s="9">
        <v>33</v>
      </c>
      <c r="U18" s="9">
        <v>-92</v>
      </c>
      <c r="V18" s="9"/>
      <c r="W18" s="55"/>
      <c r="X18" s="13"/>
      <c r="Y18" s="13"/>
      <c r="Z18" s="18">
        <v>5</v>
      </c>
      <c r="AA18" s="18">
        <v>-175</v>
      </c>
      <c r="AB18" s="18">
        <v>-90</v>
      </c>
      <c r="AC18" s="2">
        <v>-131</v>
      </c>
      <c r="AD18" s="13">
        <v>-177</v>
      </c>
      <c r="AE18" s="13">
        <v>130</v>
      </c>
      <c r="AF18" s="13">
        <v>367</v>
      </c>
      <c r="AG18" s="13">
        <v>-221</v>
      </c>
      <c r="AH18" s="13">
        <v>-152</v>
      </c>
      <c r="AI18" s="13">
        <v>-209</v>
      </c>
      <c r="AJ18" s="13">
        <v>-185</v>
      </c>
      <c r="AK18" s="14">
        <f>AK17*-0.2</f>
        <v>-257.48599999999982</v>
      </c>
      <c r="AL18" s="13">
        <f t="shared" ref="AL18:AT18" si="21">AL17*-0.2</f>
        <v>-446.49840000000108</v>
      </c>
      <c r="AM18" s="13">
        <f t="shared" si="21"/>
        <v>-473.30164800000176</v>
      </c>
      <c r="AN18" s="13">
        <f t="shared" si="21"/>
        <v>-501.6913664400011</v>
      </c>
      <c r="AO18" s="13">
        <f t="shared" si="21"/>
        <v>-531.76042578420163</v>
      </c>
      <c r="AP18" s="13">
        <f t="shared" si="21"/>
        <v>-563.6070851018319</v>
      </c>
      <c r="AQ18" s="13">
        <f t="shared" si="21"/>
        <v>-597.3353024769084</v>
      </c>
      <c r="AR18" s="13">
        <f t="shared" si="21"/>
        <v>-633.05506319233666</v>
      </c>
      <c r="AS18" s="13">
        <f t="shared" si="21"/>
        <v>-670.88272670107324</v>
      </c>
      <c r="AT18" s="13">
        <f t="shared" si="21"/>
        <v>-710.94139345444967</v>
      </c>
    </row>
    <row r="19" spans="2:155" x14ac:dyDescent="0.25">
      <c r="C19" s="1" t="s">
        <v>55</v>
      </c>
      <c r="D19" s="17">
        <f t="shared" ref="D19:O19" si="22">SUM(D17:D18)</f>
        <v>-638</v>
      </c>
      <c r="E19" s="17">
        <f t="shared" si="22"/>
        <v>432</v>
      </c>
      <c r="F19" s="17">
        <f t="shared" si="22"/>
        <v>634</v>
      </c>
      <c r="G19" s="17">
        <f t="shared" si="22"/>
        <v>2</v>
      </c>
      <c r="H19" s="17">
        <f t="shared" si="22"/>
        <v>-303</v>
      </c>
      <c r="I19" s="17">
        <f t="shared" si="22"/>
        <v>272</v>
      </c>
      <c r="J19" s="17">
        <f t="shared" si="22"/>
        <v>558</v>
      </c>
      <c r="K19" s="17">
        <f t="shared" si="22"/>
        <v>41</v>
      </c>
      <c r="L19" s="17">
        <f t="shared" si="22"/>
        <v>-327</v>
      </c>
      <c r="M19" s="17">
        <f t="shared" si="22"/>
        <v>310</v>
      </c>
      <c r="N19" s="17">
        <f t="shared" si="22"/>
        <v>536</v>
      </c>
      <c r="O19" s="17">
        <f t="shared" si="22"/>
        <v>132</v>
      </c>
      <c r="P19" s="17">
        <f t="shared" ref="P19:U19" si="23">SUM(P17:P18)</f>
        <v>-218</v>
      </c>
      <c r="Q19" s="17">
        <f t="shared" si="23"/>
        <v>268</v>
      </c>
      <c r="R19" s="17">
        <f t="shared" si="23"/>
        <v>557</v>
      </c>
      <c r="S19" s="17">
        <f t="shared" si="23"/>
        <v>15</v>
      </c>
      <c r="T19" s="17">
        <f t="shared" si="23"/>
        <v>-196</v>
      </c>
      <c r="U19" s="17">
        <f t="shared" si="23"/>
        <v>352</v>
      </c>
      <c r="V19" s="9"/>
      <c r="W19" s="9"/>
      <c r="X19" s="13"/>
      <c r="Y19" s="13"/>
      <c r="Z19" s="17">
        <v>120</v>
      </c>
      <c r="AA19" s="17">
        <v>882</v>
      </c>
      <c r="AB19" s="17">
        <v>711</v>
      </c>
      <c r="AC19" s="1">
        <v>678</v>
      </c>
      <c r="AD19" s="12">
        <f t="shared" ref="AD19:AH19" si="24">SUM(AD17:AD18)</f>
        <v>725</v>
      </c>
      <c r="AE19" s="12">
        <f t="shared" si="24"/>
        <v>-5952</v>
      </c>
      <c r="AF19" s="12">
        <f t="shared" si="24"/>
        <v>-1678</v>
      </c>
      <c r="AG19" s="12">
        <f t="shared" si="24"/>
        <v>428</v>
      </c>
      <c r="AH19" s="12">
        <f t="shared" si="24"/>
        <v>569</v>
      </c>
      <c r="AI19" s="12">
        <f>SUM(AI17:AI18)</f>
        <v>652</v>
      </c>
      <c r="AJ19" s="12">
        <f t="shared" ref="AJ19:AT19" si="25">SUM(AJ17:AJ18)</f>
        <v>622</v>
      </c>
      <c r="AK19" s="56">
        <f t="shared" si="25"/>
        <v>1029.9439999999993</v>
      </c>
      <c r="AL19" s="12">
        <f t="shared" si="25"/>
        <v>1785.9936000000041</v>
      </c>
      <c r="AM19" s="12">
        <f t="shared" si="25"/>
        <v>1893.206592000007</v>
      </c>
      <c r="AN19" s="12">
        <f t="shared" si="25"/>
        <v>2006.7654657600044</v>
      </c>
      <c r="AO19" s="12">
        <f t="shared" si="25"/>
        <v>2127.0417031368065</v>
      </c>
      <c r="AP19" s="12">
        <f t="shared" si="25"/>
        <v>2254.4283404073276</v>
      </c>
      <c r="AQ19" s="12">
        <f t="shared" si="25"/>
        <v>2389.3412099076336</v>
      </c>
      <c r="AR19" s="12">
        <f t="shared" si="25"/>
        <v>2532.2202527693466</v>
      </c>
      <c r="AS19" s="12">
        <f t="shared" si="25"/>
        <v>2683.5309068042925</v>
      </c>
      <c r="AT19" s="12">
        <f t="shared" si="25"/>
        <v>2843.7655738177987</v>
      </c>
      <c r="AU19" s="12">
        <f>AT19*(1+$AW$22)</f>
        <v>2815.3279180796208</v>
      </c>
      <c r="AV19" s="12">
        <f t="shared" ref="AV19:DG19" si="26">AU19*(1+$AW$22)</f>
        <v>2787.1746388988245</v>
      </c>
      <c r="AW19" s="12">
        <f t="shared" si="26"/>
        <v>2759.3028925098361</v>
      </c>
      <c r="AX19" s="12">
        <f t="shared" si="26"/>
        <v>2731.7098635847378</v>
      </c>
      <c r="AY19" s="12">
        <f t="shared" si="26"/>
        <v>2704.3927649488905</v>
      </c>
      <c r="AZ19" s="12">
        <f t="shared" si="26"/>
        <v>2677.3488372994016</v>
      </c>
      <c r="BA19" s="12">
        <f t="shared" si="26"/>
        <v>2650.5753489264075</v>
      </c>
      <c r="BB19" s="12">
        <f t="shared" si="26"/>
        <v>2624.0695954371436</v>
      </c>
      <c r="BC19" s="12">
        <f t="shared" si="26"/>
        <v>2597.8288994827722</v>
      </c>
      <c r="BD19" s="12">
        <f t="shared" si="26"/>
        <v>2571.8506104879443</v>
      </c>
      <c r="BE19" s="12">
        <f t="shared" si="26"/>
        <v>2546.1321043830649</v>
      </c>
      <c r="BF19" s="12">
        <f t="shared" si="26"/>
        <v>2520.6707833392343</v>
      </c>
      <c r="BG19" s="12">
        <f t="shared" si="26"/>
        <v>2495.4640755058417</v>
      </c>
      <c r="BH19" s="12">
        <f t="shared" si="26"/>
        <v>2470.5094347507834</v>
      </c>
      <c r="BI19" s="12">
        <f t="shared" si="26"/>
        <v>2445.8043404032755</v>
      </c>
      <c r="BJ19" s="12">
        <f t="shared" si="26"/>
        <v>2421.3462969992429</v>
      </c>
      <c r="BK19" s="12">
        <f t="shared" si="26"/>
        <v>2397.1328340292503</v>
      </c>
      <c r="BL19" s="12">
        <f t="shared" si="26"/>
        <v>2373.1615056889577</v>
      </c>
      <c r="BM19" s="12">
        <f t="shared" si="26"/>
        <v>2349.4298906320682</v>
      </c>
      <c r="BN19" s="12">
        <f t="shared" si="26"/>
        <v>2325.9355917257476</v>
      </c>
      <c r="BO19" s="12">
        <f t="shared" si="26"/>
        <v>2302.6762358084902</v>
      </c>
      <c r="BP19" s="12">
        <f t="shared" si="26"/>
        <v>2279.6494734504054</v>
      </c>
      <c r="BQ19" s="12">
        <f t="shared" si="26"/>
        <v>2256.8529787159014</v>
      </c>
      <c r="BR19" s="12">
        <f t="shared" si="26"/>
        <v>2234.2844489287422</v>
      </c>
      <c r="BS19" s="12">
        <f t="shared" si="26"/>
        <v>2211.9416044394547</v>
      </c>
      <c r="BT19" s="12">
        <f t="shared" si="26"/>
        <v>2189.82218839506</v>
      </c>
      <c r="BU19" s="12">
        <f t="shared" si="26"/>
        <v>2167.9239665111095</v>
      </c>
      <c r="BV19" s="12">
        <f t="shared" si="26"/>
        <v>2146.2447268459982</v>
      </c>
      <c r="BW19" s="12">
        <f t="shared" si="26"/>
        <v>2124.7822795775382</v>
      </c>
      <c r="BX19" s="12">
        <f t="shared" si="26"/>
        <v>2103.5344567817629</v>
      </c>
      <c r="BY19" s="12">
        <f t="shared" si="26"/>
        <v>2082.4991122139454</v>
      </c>
      <c r="BZ19" s="12">
        <f t="shared" si="26"/>
        <v>2061.6741210918058</v>
      </c>
      <c r="CA19" s="12">
        <f t="shared" si="26"/>
        <v>2041.0573798808878</v>
      </c>
      <c r="CB19" s="12">
        <f t="shared" si="26"/>
        <v>2020.6468060820789</v>
      </c>
      <c r="CC19" s="12">
        <f t="shared" si="26"/>
        <v>2000.4403380212582</v>
      </c>
      <c r="CD19" s="12">
        <f t="shared" si="26"/>
        <v>1980.4359346410456</v>
      </c>
      <c r="CE19" s="12">
        <f t="shared" si="26"/>
        <v>1960.6315752946352</v>
      </c>
      <c r="CF19" s="12">
        <f t="shared" si="26"/>
        <v>1941.0252595416889</v>
      </c>
      <c r="CG19" s="12">
        <f t="shared" si="26"/>
        <v>1921.6150069462719</v>
      </c>
      <c r="CH19" s="12">
        <f t="shared" si="26"/>
        <v>1902.3988568768093</v>
      </c>
      <c r="CI19" s="12">
        <f t="shared" si="26"/>
        <v>1883.3748683080412</v>
      </c>
      <c r="CJ19" s="12">
        <f t="shared" si="26"/>
        <v>1864.5411196249609</v>
      </c>
      <c r="CK19" s="12">
        <f t="shared" si="26"/>
        <v>1845.8957084287113</v>
      </c>
      <c r="CL19" s="12">
        <f t="shared" si="26"/>
        <v>1827.4367513444242</v>
      </c>
      <c r="CM19" s="12">
        <f t="shared" si="26"/>
        <v>1809.1623838309799</v>
      </c>
      <c r="CN19" s="12">
        <f t="shared" si="26"/>
        <v>1791.0707599926702</v>
      </c>
      <c r="CO19" s="12">
        <f t="shared" si="26"/>
        <v>1773.1600523927434</v>
      </c>
      <c r="CP19" s="12">
        <f t="shared" si="26"/>
        <v>1755.428451868816</v>
      </c>
      <c r="CQ19" s="12">
        <f t="shared" si="26"/>
        <v>1737.8741673501279</v>
      </c>
      <c r="CR19" s="12">
        <f t="shared" si="26"/>
        <v>1720.4954256766266</v>
      </c>
      <c r="CS19" s="12">
        <f t="shared" si="26"/>
        <v>1703.2904714198603</v>
      </c>
      <c r="CT19" s="12">
        <f t="shared" si="26"/>
        <v>1686.2575667056617</v>
      </c>
      <c r="CU19" s="12">
        <f t="shared" si="26"/>
        <v>1669.394991038605</v>
      </c>
      <c r="CV19" s="12">
        <f t="shared" si="26"/>
        <v>1652.701041128219</v>
      </c>
      <c r="CW19" s="12">
        <f t="shared" si="26"/>
        <v>1636.1740307169368</v>
      </c>
      <c r="CX19" s="12">
        <f t="shared" si="26"/>
        <v>1619.8122904097675</v>
      </c>
      <c r="CY19" s="12">
        <f t="shared" si="26"/>
        <v>1603.6141675056697</v>
      </c>
      <c r="CZ19" s="12">
        <f t="shared" si="26"/>
        <v>1587.5780258306129</v>
      </c>
      <c r="DA19" s="12">
        <f t="shared" si="26"/>
        <v>1571.7022455723068</v>
      </c>
      <c r="DB19" s="12">
        <f t="shared" si="26"/>
        <v>1555.9852231165837</v>
      </c>
      <c r="DC19" s="12">
        <f t="shared" si="26"/>
        <v>1540.4253708854178</v>
      </c>
      <c r="DD19" s="12">
        <f t="shared" si="26"/>
        <v>1525.0211171765636</v>
      </c>
      <c r="DE19" s="12">
        <f t="shared" si="26"/>
        <v>1509.770906004798</v>
      </c>
      <c r="DF19" s="12">
        <f t="shared" si="26"/>
        <v>1494.6731969447501</v>
      </c>
      <c r="DG19" s="12">
        <f t="shared" si="26"/>
        <v>1479.7264649753026</v>
      </c>
      <c r="DH19" s="12">
        <f t="shared" ref="DH19:EY19" si="27">DG19*(1+$AW$22)</f>
        <v>1464.9292003255496</v>
      </c>
      <c r="DI19" s="12">
        <f t="shared" si="27"/>
        <v>1450.279908322294</v>
      </c>
      <c r="DJ19" s="12">
        <f t="shared" si="27"/>
        <v>1435.777109239071</v>
      </c>
      <c r="DK19" s="12">
        <f t="shared" si="27"/>
        <v>1421.4193381466803</v>
      </c>
      <c r="DL19" s="12">
        <f t="shared" si="27"/>
        <v>1407.2051447652134</v>
      </c>
      <c r="DM19" s="12">
        <f t="shared" si="27"/>
        <v>1393.1330933175611</v>
      </c>
      <c r="DN19" s="12">
        <f t="shared" si="27"/>
        <v>1379.2017623843856</v>
      </c>
      <c r="DO19" s="12">
        <f t="shared" si="27"/>
        <v>1365.4097447605418</v>
      </c>
      <c r="DP19" s="12">
        <f t="shared" si="27"/>
        <v>1351.7556473129364</v>
      </c>
      <c r="DQ19" s="12">
        <f t="shared" si="27"/>
        <v>1338.238090839807</v>
      </c>
      <c r="DR19" s="12">
        <f t="shared" si="27"/>
        <v>1324.8557099314089</v>
      </c>
      <c r="DS19" s="12">
        <f t="shared" si="27"/>
        <v>1311.6071528320947</v>
      </c>
      <c r="DT19" s="12">
        <f t="shared" si="27"/>
        <v>1298.4910813037736</v>
      </c>
      <c r="DU19" s="12">
        <f t="shared" si="27"/>
        <v>1285.5061704907359</v>
      </c>
      <c r="DV19" s="12">
        <f t="shared" si="27"/>
        <v>1272.6511087858285</v>
      </c>
      <c r="DW19" s="12">
        <f t="shared" si="27"/>
        <v>1259.9245976979701</v>
      </c>
      <c r="DX19" s="12">
        <f t="shared" si="27"/>
        <v>1247.3253517209903</v>
      </c>
      <c r="DY19" s="12">
        <f t="shared" si="27"/>
        <v>1234.8520982037803</v>
      </c>
      <c r="DZ19" s="12">
        <f t="shared" si="27"/>
        <v>1222.5035772217425</v>
      </c>
      <c r="EA19" s="12">
        <f t="shared" si="27"/>
        <v>1210.2785414495252</v>
      </c>
      <c r="EB19" s="12">
        <f t="shared" si="27"/>
        <v>1198.17575603503</v>
      </c>
      <c r="EC19" s="12">
        <f t="shared" si="27"/>
        <v>1186.1939984746796</v>
      </c>
      <c r="ED19" s="12">
        <f t="shared" si="27"/>
        <v>1174.3320584899327</v>
      </c>
      <c r="EE19" s="12">
        <f t="shared" si="27"/>
        <v>1162.5887379050334</v>
      </c>
      <c r="EF19" s="12">
        <f t="shared" si="27"/>
        <v>1150.9628505259832</v>
      </c>
      <c r="EG19" s="12">
        <f t="shared" si="27"/>
        <v>1139.4532220207234</v>
      </c>
      <c r="EH19" s="12">
        <f t="shared" si="27"/>
        <v>1128.058689800516</v>
      </c>
      <c r="EI19" s="12">
        <f t="shared" si="27"/>
        <v>1116.7781029025109</v>
      </c>
      <c r="EJ19" s="12">
        <f t="shared" si="27"/>
        <v>1105.6103218734859</v>
      </c>
      <c r="EK19" s="12">
        <f t="shared" si="27"/>
        <v>1094.5542186547509</v>
      </c>
      <c r="EL19" s="12">
        <f t="shared" si="27"/>
        <v>1083.6086764682034</v>
      </c>
      <c r="EM19" s="12">
        <f t="shared" si="27"/>
        <v>1072.7725897035214</v>
      </c>
      <c r="EN19" s="12">
        <f t="shared" si="27"/>
        <v>1062.0448638064861</v>
      </c>
      <c r="EO19" s="12">
        <f t="shared" si="27"/>
        <v>1051.4244151684213</v>
      </c>
      <c r="EP19" s="12">
        <f t="shared" si="27"/>
        <v>1040.9101710167372</v>
      </c>
      <c r="EQ19" s="12">
        <f t="shared" si="27"/>
        <v>1030.5010693065699</v>
      </c>
      <c r="ER19" s="12">
        <f t="shared" si="27"/>
        <v>1020.1960586135042</v>
      </c>
      <c r="ES19" s="12">
        <f t="shared" si="27"/>
        <v>1009.9940980273691</v>
      </c>
      <c r="ET19" s="12">
        <f t="shared" si="27"/>
        <v>999.8941570470954</v>
      </c>
      <c r="EU19" s="12">
        <f t="shared" si="27"/>
        <v>989.89521547662446</v>
      </c>
      <c r="EV19" s="12">
        <f t="shared" si="27"/>
        <v>979.99626332185824</v>
      </c>
      <c r="EW19" s="12">
        <f t="shared" si="27"/>
        <v>970.19630068863967</v>
      </c>
      <c r="EX19" s="12">
        <f t="shared" si="27"/>
        <v>960.49433768175322</v>
      </c>
      <c r="EY19" s="12">
        <f t="shared" si="27"/>
        <v>950.88939430493565</v>
      </c>
    </row>
    <row r="20" spans="2:155" x14ac:dyDescent="0.25">
      <c r="C20" s="2" t="s">
        <v>59</v>
      </c>
      <c r="D20" s="9">
        <v>191.250686</v>
      </c>
      <c r="E20" s="9">
        <v>232.76890299999999</v>
      </c>
      <c r="F20" s="9">
        <v>232.76890299999999</v>
      </c>
      <c r="G20" s="9">
        <v>191.30411599999999</v>
      </c>
      <c r="H20" s="9">
        <v>191.30411599999999</v>
      </c>
      <c r="I20" s="9">
        <v>232.76890299999999</v>
      </c>
      <c r="J20" s="9">
        <v>232.76890299999999</v>
      </c>
      <c r="K20" s="9">
        <v>225.81547499999999</v>
      </c>
      <c r="L20" s="9">
        <v>191.30411599999999</v>
      </c>
      <c r="M20" s="9">
        <v>219.15793600000001</v>
      </c>
      <c r="N20" s="9">
        <v>219.15792999999999</v>
      </c>
      <c r="O20" s="9">
        <v>218.95406700000001</v>
      </c>
      <c r="P20" s="9">
        <v>216.586524</v>
      </c>
      <c r="Q20" s="9">
        <v>215.12729999999999</v>
      </c>
      <c r="R20" s="9">
        <v>215.12729999999999</v>
      </c>
      <c r="S20" s="9">
        <v>215.12729999999999</v>
      </c>
      <c r="T20" s="9">
        <v>215.12729999999999</v>
      </c>
      <c r="U20" s="9">
        <v>215.12729999999999</v>
      </c>
      <c r="X20" s="13"/>
      <c r="Y20" s="13"/>
      <c r="Z20" s="9">
        <v>103.00626699999999</v>
      </c>
      <c r="AA20" s="9">
        <v>103.00626699999999</v>
      </c>
      <c r="AB20" s="9">
        <v>103.00626699999999</v>
      </c>
      <c r="AC20" s="9">
        <v>103.00626699999999</v>
      </c>
      <c r="AD20" s="9">
        <v>103.00626699999999</v>
      </c>
      <c r="AE20" s="9">
        <v>148.61880500000001</v>
      </c>
      <c r="AF20" s="9">
        <v>191.250686</v>
      </c>
      <c r="AG20" s="9">
        <v>191.277074</v>
      </c>
      <c r="AH20" s="9">
        <v>191.30411599999999</v>
      </c>
      <c r="AI20" s="9">
        <v>203.614417</v>
      </c>
      <c r="AJ20" s="9">
        <v>215.12729999999999</v>
      </c>
      <c r="AK20" s="8">
        <v>215.12729999999999</v>
      </c>
      <c r="AL20" s="9">
        <v>215.12729999999999</v>
      </c>
      <c r="AM20" s="9">
        <v>215.12729999999999</v>
      </c>
      <c r="AN20" s="9">
        <v>215.12729999999999</v>
      </c>
      <c r="AO20" s="9">
        <v>215.12729999999999</v>
      </c>
      <c r="AP20" s="9">
        <v>215.12729999999999</v>
      </c>
      <c r="AQ20" s="9">
        <v>215.12729999999999</v>
      </c>
      <c r="AR20" s="9">
        <v>215.12729999999999</v>
      </c>
      <c r="AS20" s="9">
        <v>215.12729999999999</v>
      </c>
      <c r="AT20" s="9">
        <v>215.12729999999999</v>
      </c>
    </row>
    <row r="21" spans="2:155" x14ac:dyDescent="0.25">
      <c r="C21" s="2" t="s">
        <v>60</v>
      </c>
      <c r="D21" s="16">
        <f t="shared" ref="D21:M21" si="28">D19/D20</f>
        <v>-3.3359357466566157</v>
      </c>
      <c r="E21" s="16">
        <f t="shared" si="28"/>
        <v>1.855918013240798</v>
      </c>
      <c r="F21" s="16">
        <f t="shared" si="28"/>
        <v>2.7237315286913564</v>
      </c>
      <c r="G21" s="16">
        <f t="shared" si="28"/>
        <v>1.0454558123569073E-2</v>
      </c>
      <c r="H21" s="16">
        <f t="shared" si="28"/>
        <v>-1.5838655557207144</v>
      </c>
      <c r="I21" s="16">
        <f t="shared" si="28"/>
        <v>1.1685409712997616</v>
      </c>
      <c r="J21" s="16">
        <f t="shared" si="28"/>
        <v>2.397227433769364</v>
      </c>
      <c r="K21" s="16">
        <f t="shared" si="28"/>
        <v>0.18156417313738132</v>
      </c>
      <c r="L21" s="16">
        <f t="shared" si="28"/>
        <v>-1.7093202532035432</v>
      </c>
      <c r="M21" s="16">
        <f t="shared" si="28"/>
        <v>1.4145050170576527</v>
      </c>
      <c r="N21" s="16">
        <f t="shared" ref="N21:U21" si="29">N19/N20</f>
        <v>2.4457248706446535</v>
      </c>
      <c r="O21" s="16">
        <f t="shared" si="29"/>
        <v>0.60286617101293671</v>
      </c>
      <c r="P21" s="16">
        <f t="shared" si="29"/>
        <v>-1.0065261493369735</v>
      </c>
      <c r="Q21" s="16">
        <f t="shared" si="29"/>
        <v>1.2457740138048496</v>
      </c>
      <c r="R21" s="16">
        <f t="shared" si="29"/>
        <v>2.5891646480944073</v>
      </c>
      <c r="S21" s="16">
        <f t="shared" si="29"/>
        <v>6.9726157489077401E-2</v>
      </c>
      <c r="T21" s="16">
        <f t="shared" si="29"/>
        <v>-0.91108845785727799</v>
      </c>
      <c r="U21" s="16">
        <f t="shared" si="29"/>
        <v>1.6362404957436829</v>
      </c>
      <c r="X21" s="46"/>
      <c r="Y21" s="46"/>
      <c r="Z21" s="16">
        <f t="shared" ref="Z21:AA21" si="30">Z19/Z20</f>
        <v>1.164977661019402</v>
      </c>
      <c r="AA21" s="16">
        <f t="shared" si="30"/>
        <v>8.5625858084926048</v>
      </c>
      <c r="AB21" s="16">
        <f t="shared" ref="AB21:AC21" si="31">AB19/AB20</f>
        <v>6.9024926415399568</v>
      </c>
      <c r="AC21" s="16">
        <f t="shared" si="31"/>
        <v>6.582123784759621</v>
      </c>
      <c r="AD21" s="16">
        <f t="shared" ref="AD21:AG21" si="32">AD19/AD20</f>
        <v>7.0384067019922201</v>
      </c>
      <c r="AE21" s="16">
        <f t="shared" si="32"/>
        <v>-40.04876771819017</v>
      </c>
      <c r="AF21" s="16">
        <f t="shared" si="32"/>
        <v>-8.7738247380717898</v>
      </c>
      <c r="AG21" s="16">
        <f t="shared" si="32"/>
        <v>2.237591735641042</v>
      </c>
      <c r="AH21" s="16">
        <f>AH19/AH20</f>
        <v>2.974321786155401</v>
      </c>
      <c r="AI21" s="16">
        <f>AI19/AI20</f>
        <v>3.2021308196462335</v>
      </c>
      <c r="AJ21" s="16">
        <f t="shared" ref="AJ21:AT21" si="33">AJ19/AJ20</f>
        <v>2.8913113305470763</v>
      </c>
      <c r="AK21" s="60">
        <f t="shared" si="33"/>
        <v>4.7876025032620193</v>
      </c>
      <c r="AL21" s="16">
        <f t="shared" si="33"/>
        <v>8.3020314018723056</v>
      </c>
      <c r="AM21" s="16">
        <f t="shared" si="33"/>
        <v>8.8004013995434658</v>
      </c>
      <c r="AN21" s="16">
        <f t="shared" si="33"/>
        <v>9.3282696606149216</v>
      </c>
      <c r="AO21" s="16">
        <f t="shared" si="33"/>
        <v>9.8873629852501601</v>
      </c>
      <c r="AP21" s="16">
        <f t="shared" si="33"/>
        <v>10.479508367405382</v>
      </c>
      <c r="AQ21" s="16">
        <f t="shared" si="33"/>
        <v>11.106638766477493</v>
      </c>
      <c r="AR21" s="16">
        <f t="shared" si="33"/>
        <v>11.77079920944179</v>
      </c>
      <c r="AS21" s="16">
        <f t="shared" si="33"/>
        <v>12.474153242309519</v>
      </c>
      <c r="AT21" s="16">
        <f t="shared" si="33"/>
        <v>13.218989750802427</v>
      </c>
      <c r="AV21" s="2" t="s">
        <v>140</v>
      </c>
      <c r="AW21" s="22">
        <v>0.08</v>
      </c>
    </row>
    <row r="22" spans="2:155" x14ac:dyDescent="0.25">
      <c r="AV22" s="2" t="s">
        <v>141</v>
      </c>
      <c r="AW22" s="22">
        <v>-0.01</v>
      </c>
    </row>
    <row r="23" spans="2:155" x14ac:dyDescent="0.25">
      <c r="C23" s="1" t="s">
        <v>29</v>
      </c>
      <c r="D23" s="10"/>
      <c r="H23" s="20">
        <f t="shared" ref="H23:S23" si="34">(H6-D6)/D6</f>
        <v>0.65605561653860223</v>
      </c>
      <c r="I23" s="20">
        <f t="shared" si="34"/>
        <v>7.8423943928774387E-2</v>
      </c>
      <c r="J23" s="20">
        <f t="shared" si="34"/>
        <v>5.5555555555555552E-2</v>
      </c>
      <c r="K23" s="20">
        <f t="shared" si="34"/>
        <v>3.4812547819433819E-2</v>
      </c>
      <c r="L23" s="20">
        <f t="shared" si="34"/>
        <v>-2.3641184268669908E-2</v>
      </c>
      <c r="M23" s="20">
        <f t="shared" si="34"/>
        <v>3.1266467591779382E-2</v>
      </c>
      <c r="N23" s="20">
        <f t="shared" si="34"/>
        <v>-2.2917654496601866E-2</v>
      </c>
      <c r="O23" s="20">
        <f t="shared" si="34"/>
        <v>1.4232902033271719E-2</v>
      </c>
      <c r="P23" s="20">
        <f t="shared" si="34"/>
        <v>2.8739533831183526E-2</v>
      </c>
      <c r="Q23" s="20">
        <f t="shared" si="34"/>
        <v>-1.2944983818770227E-2</v>
      </c>
      <c r="R23" s="20">
        <f t="shared" si="34"/>
        <v>3.0734390164995146E-2</v>
      </c>
      <c r="S23" s="20">
        <f t="shared" si="34"/>
        <v>1.6037907782030254E-2</v>
      </c>
      <c r="T23" s="20">
        <f t="shared" ref="T23" si="35">(T6-P6)/P6</f>
        <v>3.1456225252969643E-2</v>
      </c>
      <c r="U23" s="20">
        <f t="shared" ref="U23" si="36">(U6-Q6)/Q6</f>
        <v>3.5030198446937014E-2</v>
      </c>
      <c r="Z23" s="20"/>
      <c r="AA23" s="20">
        <f t="shared" ref="AA23" si="37">(AA6-Z6)/Z6</f>
        <v>7.2657273918741813E-2</v>
      </c>
      <c r="AB23" s="20">
        <f t="shared" ref="AB23" si="38">(AB6-AA6)/AA6</f>
        <v>0.113631156930126</v>
      </c>
      <c r="AC23" s="20">
        <f t="shared" ref="AC23" si="39">(AC6-AB6)/AB6</f>
        <v>0.23479393814715765</v>
      </c>
      <c r="AD23" s="20">
        <f t="shared" ref="AD23" si="40">(AD6-AC6)/AC6</f>
        <v>5.2090853556950076E-2</v>
      </c>
      <c r="AE23" s="20">
        <f t="shared" ref="AE23:AT23" si="41">(AE6-AD6)/AD6</f>
        <v>-0.60570071258907365</v>
      </c>
      <c r="AF23" s="20">
        <f t="shared" si="41"/>
        <v>0.35609103078982596</v>
      </c>
      <c r="AG23" s="20">
        <f t="shared" si="41"/>
        <v>0.89861796643632774</v>
      </c>
      <c r="AH23" s="20">
        <f t="shared" si="41"/>
        <v>0.14152758280039515</v>
      </c>
      <c r="AI23" s="20">
        <f t="shared" si="41"/>
        <v>1.8219084491004326E-4</v>
      </c>
      <c r="AJ23" s="20">
        <f t="shared" si="41"/>
        <v>1.4982467325470195E-2</v>
      </c>
      <c r="AK23" s="19">
        <f t="shared" si="41"/>
        <v>4.0000000000000022E-2</v>
      </c>
      <c r="AL23" s="20">
        <f t="shared" si="41"/>
        <v>0.38513225467999346</v>
      </c>
      <c r="AM23" s="20">
        <f t="shared" si="41"/>
        <v>5.5000000000000021E-2</v>
      </c>
      <c r="AN23" s="20">
        <f t="shared" si="41"/>
        <v>5.4999999999999986E-2</v>
      </c>
      <c r="AO23" s="20">
        <f t="shared" si="41"/>
        <v>5.4999999999999889E-2</v>
      </c>
      <c r="AP23" s="20">
        <f t="shared" si="41"/>
        <v>5.4999999999999882E-2</v>
      </c>
      <c r="AQ23" s="20">
        <f t="shared" si="41"/>
        <v>5.4999999999999896E-2</v>
      </c>
      <c r="AR23" s="20">
        <f t="shared" si="41"/>
        <v>5.4999999999999917E-2</v>
      </c>
      <c r="AS23" s="20">
        <f t="shared" si="41"/>
        <v>5.4999999999999868E-2</v>
      </c>
      <c r="AT23" s="20">
        <f t="shared" si="41"/>
        <v>5.4999999999999875E-2</v>
      </c>
      <c r="AV23" s="25" t="s">
        <v>142</v>
      </c>
      <c r="AW23" s="31">
        <f>NPV(AW21,AJ19:EY19)</f>
        <v>26725.193656189338</v>
      </c>
    </row>
    <row r="24" spans="2:155" s="20" customFormat="1" x14ac:dyDescent="0.25">
      <c r="B24" s="19"/>
      <c r="C24" s="20" t="s">
        <v>158</v>
      </c>
      <c r="J24" s="20">
        <v>0.01</v>
      </c>
      <c r="K24" s="20">
        <v>3.2000000000000001E-2</v>
      </c>
      <c r="L24" s="20">
        <v>0.02</v>
      </c>
      <c r="M24" s="20">
        <v>5.0999999999999997E-2</v>
      </c>
      <c r="N24" s="20">
        <v>5.0000000000000001E-3</v>
      </c>
      <c r="O24" s="20">
        <v>1.4999999999999999E-2</v>
      </c>
      <c r="P24" s="20">
        <v>3.7999999999999999E-2</v>
      </c>
      <c r="Q24" s="20">
        <v>0.02</v>
      </c>
      <c r="R24" s="20">
        <v>5.2999999999999999E-2</v>
      </c>
      <c r="S24" s="20">
        <v>4.2000000000000003E-2</v>
      </c>
      <c r="T24" s="20">
        <v>4.7E-2</v>
      </c>
      <c r="U24" s="20">
        <v>1.2E-2</v>
      </c>
      <c r="AJ24" s="20">
        <v>0.04</v>
      </c>
      <c r="AK24" s="19"/>
      <c r="AV24" s="21" t="s">
        <v>2</v>
      </c>
      <c r="AW24" s="9">
        <v>216.586524</v>
      </c>
    </row>
    <row r="25" spans="2:155" x14ac:dyDescent="0.25">
      <c r="C25" s="1" t="s">
        <v>149</v>
      </c>
      <c r="D25" s="20"/>
      <c r="E25" s="20"/>
      <c r="F25" s="20"/>
      <c r="G25" s="20"/>
      <c r="H25" s="20">
        <f t="shared" ref="H25:S25" si="42">(H14-D14)/D14</f>
        <v>0.43739621388243111</v>
      </c>
      <c r="I25" s="20">
        <f t="shared" si="42"/>
        <v>0.13954033771106941</v>
      </c>
      <c r="J25" s="20">
        <f t="shared" si="42"/>
        <v>6.6372610796051251E-2</v>
      </c>
      <c r="K25" s="20">
        <f t="shared" si="42"/>
        <v>3.5443037974683546E-2</v>
      </c>
      <c r="L25" s="20">
        <f t="shared" si="42"/>
        <v>-8.0868761552680222E-3</v>
      </c>
      <c r="M25" s="20">
        <f t="shared" si="42"/>
        <v>1.7493311380942581E-2</v>
      </c>
      <c r="N25" s="20">
        <f t="shared" si="42"/>
        <v>-9.8483356312783141E-3</v>
      </c>
      <c r="O25" s="20">
        <f t="shared" si="42"/>
        <v>-9.5762021189894058E-3</v>
      </c>
      <c r="P25" s="20">
        <f t="shared" si="42"/>
        <v>1.3976240391334731E-2</v>
      </c>
      <c r="Q25" s="20">
        <f t="shared" si="42"/>
        <v>7.0792880258899677E-3</v>
      </c>
      <c r="R25" s="20">
        <f t="shared" si="42"/>
        <v>3.4016311915655462E-2</v>
      </c>
      <c r="S25" s="20">
        <f t="shared" si="42"/>
        <v>4.8755400123431394E-2</v>
      </c>
      <c r="T25" s="20">
        <f t="shared" ref="T25" si="43">(T14-P14)/P14</f>
        <v>2.848610153916839E-2</v>
      </c>
      <c r="U25" s="20">
        <f t="shared" ref="U25" si="44">(U14-Q14)/Q14</f>
        <v>2.3900381602731471E-2</v>
      </c>
      <c r="Z25" s="20"/>
      <c r="AA25" s="20">
        <f t="shared" ref="AA25:AT25" si="45">(AA14-Z14)/Z14</f>
        <v>4.9590340664079344E-2</v>
      </c>
      <c r="AB25" s="20">
        <f t="shared" si="45"/>
        <v>0.12226787181594084</v>
      </c>
      <c r="AC25" s="20">
        <f t="shared" si="45"/>
        <v>0.24644896763801435</v>
      </c>
      <c r="AD25" s="20">
        <f t="shared" si="45"/>
        <v>-1.3099154135338346E-2</v>
      </c>
      <c r="AE25" s="20">
        <f t="shared" si="45"/>
        <v>-0.26962680792809951</v>
      </c>
      <c r="AF25" s="20">
        <f t="shared" si="45"/>
        <v>-0.13870100236329558</v>
      </c>
      <c r="AG25" s="20">
        <f t="shared" si="45"/>
        <v>0.58728356514334379</v>
      </c>
      <c r="AH25" s="20">
        <f t="shared" si="45"/>
        <v>0.1427038626609442</v>
      </c>
      <c r="AI25" s="20">
        <f t="shared" si="45"/>
        <v>-2.4517475221700574E-3</v>
      </c>
      <c r="AJ25" s="20">
        <f t="shared" si="45"/>
        <v>2.6407990378078755E-2</v>
      </c>
      <c r="AK25" s="19">
        <f t="shared" si="45"/>
        <v>2.0000000000000066E-2</v>
      </c>
      <c r="AL25" s="20">
        <f t="shared" si="45"/>
        <v>0.37999999999999978</v>
      </c>
      <c r="AM25" s="20">
        <f t="shared" si="45"/>
        <v>5.499999999999991E-2</v>
      </c>
      <c r="AN25" s="20">
        <f t="shared" si="45"/>
        <v>5.4999999999999924E-2</v>
      </c>
      <c r="AO25" s="20">
        <f t="shared" si="45"/>
        <v>5.5000000000000035E-2</v>
      </c>
      <c r="AP25" s="20">
        <f t="shared" si="45"/>
        <v>5.4999999999999848E-2</v>
      </c>
      <c r="AQ25" s="20">
        <f t="shared" si="45"/>
        <v>5.4999999999999889E-2</v>
      </c>
      <c r="AR25" s="20">
        <f t="shared" si="45"/>
        <v>5.4999999999999917E-2</v>
      </c>
      <c r="AS25" s="20">
        <f t="shared" si="45"/>
        <v>5.5000000000000028E-2</v>
      </c>
      <c r="AT25" s="20">
        <f t="shared" si="45"/>
        <v>5.4999999999999966E-2</v>
      </c>
      <c r="AV25" s="2" t="s">
        <v>143</v>
      </c>
      <c r="AW25" s="30">
        <f>AW23/AW24</f>
        <v>123.39268927086773</v>
      </c>
    </row>
    <row r="26" spans="2:155" x14ac:dyDescent="0.25">
      <c r="C26" s="2" t="s">
        <v>30</v>
      </c>
      <c r="D26" s="21">
        <f t="shared" ref="D26:S26" si="46">D15/D6</f>
        <v>-0.10171972191730699</v>
      </c>
      <c r="E26" s="21">
        <f t="shared" si="46"/>
        <v>0.1922712634968744</v>
      </c>
      <c r="F26" s="21">
        <f t="shared" si="46"/>
        <v>0.2057057057057057</v>
      </c>
      <c r="G26" s="21">
        <f t="shared" si="46"/>
        <v>9.3343534812547813E-2</v>
      </c>
      <c r="H26" s="21">
        <f t="shared" si="46"/>
        <v>4.3747238179407864E-2</v>
      </c>
      <c r="I26" s="21">
        <f t="shared" si="46"/>
        <v>0.14649569646934832</v>
      </c>
      <c r="J26" s="21">
        <f t="shared" si="46"/>
        <v>0.19756598703967124</v>
      </c>
      <c r="K26" s="21">
        <f t="shared" si="46"/>
        <v>9.2791127541589649E-2</v>
      </c>
      <c r="L26" s="21">
        <f t="shared" si="46"/>
        <v>2.8513238289205704E-2</v>
      </c>
      <c r="M26" s="21">
        <f t="shared" si="46"/>
        <v>0.15789473684210525</v>
      </c>
      <c r="N26" s="21">
        <f t="shared" si="46"/>
        <v>0.18683274021352314</v>
      </c>
      <c r="O26" s="21">
        <f t="shared" si="46"/>
        <v>0.11408784399489703</v>
      </c>
      <c r="P26" s="21">
        <f t="shared" si="46"/>
        <v>4.2454905411350635E-2</v>
      </c>
      <c r="Q26" s="21">
        <f t="shared" si="46"/>
        <v>0.14081104400345126</v>
      </c>
      <c r="R26" s="21">
        <f t="shared" si="46"/>
        <v>0.18424356559949781</v>
      </c>
      <c r="S26" s="21">
        <f t="shared" si="46"/>
        <v>8.5560538116591922E-2</v>
      </c>
      <c r="T26" s="21">
        <f t="shared" ref="T26:U26" si="47">T15/T6</f>
        <v>4.5212198763062483E-2</v>
      </c>
      <c r="U26" s="21">
        <f t="shared" si="47"/>
        <v>0.15005001667222406</v>
      </c>
      <c r="Z26" s="21">
        <f t="shared" ref="Z26:AT26" si="48">Z15/Z6</f>
        <v>5.0212975098296198E-2</v>
      </c>
      <c r="AA26" s="21">
        <f t="shared" si="48"/>
        <v>7.063764795723558E-2</v>
      </c>
      <c r="AB26" s="21">
        <f t="shared" si="48"/>
        <v>6.3430021257628741E-2</v>
      </c>
      <c r="AC26" s="21">
        <f t="shared" si="48"/>
        <v>5.4589881712667293E-2</v>
      </c>
      <c r="AD26" s="21">
        <f t="shared" si="48"/>
        <v>0.11316970176827659</v>
      </c>
      <c r="AE26" s="21">
        <f t="shared" si="48"/>
        <v>-0.64270414993306557</v>
      </c>
      <c r="AF26" s="21">
        <f t="shared" si="48"/>
        <v>-4.3336623889437313E-2</v>
      </c>
      <c r="AG26" s="21">
        <f t="shared" si="48"/>
        <v>0.12774918109499298</v>
      </c>
      <c r="AH26" s="21">
        <f t="shared" si="48"/>
        <v>0.12685037576861763</v>
      </c>
      <c r="AI26" s="21">
        <f t="shared" si="48"/>
        <v>0.12914977913384035</v>
      </c>
      <c r="AJ26" s="21">
        <f>AJ15/AJ6</f>
        <v>0.11934673366834171</v>
      </c>
      <c r="AK26" s="61">
        <f t="shared" si="48"/>
        <v>0.13628237340548893</v>
      </c>
      <c r="AL26" s="21">
        <f t="shared" si="48"/>
        <v>0.13948265902175799</v>
      </c>
      <c r="AM26" s="21">
        <f t="shared" si="48"/>
        <v>0.13948265902175808</v>
      </c>
      <c r="AN26" s="21">
        <f t="shared" si="48"/>
        <v>0.13948265902175799</v>
      </c>
      <c r="AO26" s="21">
        <f t="shared" si="48"/>
        <v>0.13948265902175808</v>
      </c>
      <c r="AP26" s="21">
        <f t="shared" si="48"/>
        <v>0.13948265902175797</v>
      </c>
      <c r="AQ26" s="21">
        <f t="shared" si="48"/>
        <v>0.1394826590217581</v>
      </c>
      <c r="AR26" s="21">
        <f t="shared" si="48"/>
        <v>0.13948265902175805</v>
      </c>
      <c r="AS26" s="21">
        <f t="shared" si="48"/>
        <v>0.13948265902175802</v>
      </c>
      <c r="AT26" s="21">
        <f t="shared" si="48"/>
        <v>0.1394826590217581</v>
      </c>
      <c r="AV26" s="1" t="s">
        <v>144</v>
      </c>
      <c r="AW26" s="20">
        <f>(AW25-B4)/B4</f>
        <v>0.41020216309563123</v>
      </c>
    </row>
    <row r="27" spans="2:155" x14ac:dyDescent="0.25">
      <c r="C27" s="2" t="s">
        <v>150</v>
      </c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Z27" s="21">
        <f>Z19/6205</f>
        <v>1.9339242546333603E-2</v>
      </c>
      <c r="AA27" s="21">
        <f>AA19/7103</f>
        <v>0.12417288469660706</v>
      </c>
      <c r="AB27" s="21">
        <f>AB19/7356</f>
        <v>9.6655791190864607E-2</v>
      </c>
      <c r="AC27" s="21">
        <f>AC19/7805</f>
        <v>8.6867392696989107E-2</v>
      </c>
      <c r="AD27" s="21">
        <f>AD19/6601</f>
        <v>0.10983184366005151</v>
      </c>
      <c r="AE27" s="21">
        <f>AE19/2071</f>
        <v>-2.8739739256397874</v>
      </c>
      <c r="AF27" s="21">
        <f>AF19/1155</f>
        <v>-1.4528138528138528</v>
      </c>
      <c r="AG27" s="21">
        <f>AG19/AG53</f>
        <v>0.18821459982409849</v>
      </c>
      <c r="AH27" s="21">
        <f>AH19/K53</f>
        <v>0.26269621421975992</v>
      </c>
      <c r="AI27" s="21">
        <f>AI19/Q53</f>
        <v>0.23944179214102093</v>
      </c>
      <c r="AJ27" s="21">
        <f>AJ19/AJ53</f>
        <v>0.2095687331536388</v>
      </c>
      <c r="AK27" s="61"/>
      <c r="AL27" s="21"/>
      <c r="AM27" s="21"/>
      <c r="AN27" s="21"/>
      <c r="AO27" s="21"/>
      <c r="AP27" s="21"/>
      <c r="AQ27" s="21"/>
      <c r="AR27" s="21"/>
      <c r="AS27" s="21"/>
      <c r="AT27" s="21"/>
      <c r="AV27" s="1"/>
      <c r="AW27" s="20"/>
    </row>
    <row r="28" spans="2:155" x14ac:dyDescent="0.25"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61"/>
      <c r="AL28" s="21"/>
      <c r="AM28" s="21"/>
      <c r="AN28" s="21"/>
      <c r="AO28" s="21"/>
      <c r="AP28" s="21"/>
      <c r="AQ28" s="21"/>
      <c r="AR28" s="21"/>
      <c r="AS28" s="21"/>
      <c r="AT28" s="21"/>
      <c r="AV28" s="1"/>
      <c r="AW28" s="20"/>
    </row>
    <row r="29" spans="2:155" s="13" customFormat="1" x14ac:dyDescent="0.25">
      <c r="B29" s="14"/>
      <c r="C29" s="13" t="s">
        <v>100</v>
      </c>
      <c r="D29" s="13">
        <v>-237</v>
      </c>
      <c r="E29" s="13">
        <v>1083</v>
      </c>
      <c r="F29" s="13">
        <v>1213</v>
      </c>
      <c r="G29" s="13">
        <v>476</v>
      </c>
      <c r="H29" s="13">
        <v>170</v>
      </c>
      <c r="I29" s="13">
        <v>772</v>
      </c>
      <c r="J29" s="13">
        <v>1173</v>
      </c>
      <c r="K29" s="13">
        <v>451</v>
      </c>
      <c r="L29" s="13">
        <v>33</v>
      </c>
      <c r="M29" s="13">
        <v>841</v>
      </c>
      <c r="N29" s="13">
        <v>1077</v>
      </c>
      <c r="O29" s="13">
        <v>544</v>
      </c>
      <c r="P29" s="13">
        <v>101</v>
      </c>
      <c r="Q29" s="13">
        <v>723</v>
      </c>
      <c r="R29" s="13">
        <v>1088</v>
      </c>
      <c r="S29" s="13">
        <v>513</v>
      </c>
      <c r="T29" s="13">
        <v>105</v>
      </c>
      <c r="U29" s="13">
        <v>796</v>
      </c>
      <c r="Z29" s="13">
        <v>4406</v>
      </c>
      <c r="AA29" s="13">
        <v>4896</v>
      </c>
      <c r="AB29" s="13">
        <v>5535</v>
      </c>
      <c r="AC29" s="13">
        <v>1957</v>
      </c>
      <c r="AD29" s="13">
        <v>2046</v>
      </c>
      <c r="AE29" s="13">
        <v>-1503</v>
      </c>
      <c r="AF29" s="13">
        <v>6</v>
      </c>
      <c r="AG29" s="13">
        <v>2536</v>
      </c>
      <c r="AH29" s="13">
        <v>2566</v>
      </c>
      <c r="AI29" s="13">
        <v>2495</v>
      </c>
      <c r="AJ29" s="13">
        <v>2425</v>
      </c>
      <c r="AK29" s="14"/>
      <c r="AV29" s="12"/>
      <c r="AW29" s="12"/>
    </row>
    <row r="30" spans="2:155" s="10" customFormat="1" x14ac:dyDescent="0.25">
      <c r="B30" s="51"/>
      <c r="C30" s="10" t="s">
        <v>165</v>
      </c>
      <c r="D30" s="10">
        <f t="shared" ref="D30:T30" si="49">D29/D6</f>
        <v>-8.6717892425905593E-2</v>
      </c>
      <c r="E30" s="10">
        <f t="shared" si="49"/>
        <v>0.20515249100208371</v>
      </c>
      <c r="F30" s="10">
        <f t="shared" si="49"/>
        <v>0.20236903570236903</v>
      </c>
      <c r="G30" s="10">
        <f t="shared" si="49"/>
        <v>9.1048201989288452E-2</v>
      </c>
      <c r="H30" s="10">
        <f t="shared" si="49"/>
        <v>3.7560760053026956E-2</v>
      </c>
      <c r="I30" s="10">
        <f t="shared" si="49"/>
        <v>0.13560512910591954</v>
      </c>
      <c r="J30" s="10">
        <f t="shared" si="49"/>
        <v>0.18539592223802751</v>
      </c>
      <c r="K30" s="10">
        <f t="shared" si="49"/>
        <v>8.33641404805915E-2</v>
      </c>
      <c r="L30" s="10">
        <f t="shared" si="49"/>
        <v>7.4677528852681602E-3</v>
      </c>
      <c r="M30" s="10">
        <f t="shared" si="49"/>
        <v>0.14324646567876001</v>
      </c>
      <c r="N30" s="10">
        <f t="shared" si="49"/>
        <v>0.17421546425105144</v>
      </c>
      <c r="O30" s="10">
        <f t="shared" si="49"/>
        <v>9.9143429925277929E-2</v>
      </c>
      <c r="P30" s="10">
        <f t="shared" si="49"/>
        <v>2.2217333919929607E-2</v>
      </c>
      <c r="Q30" s="10">
        <f t="shared" si="49"/>
        <v>0.12476272648835203</v>
      </c>
      <c r="R30" s="10">
        <f t="shared" si="49"/>
        <v>0.17074701820464533</v>
      </c>
      <c r="S30" s="10">
        <f t="shared" si="49"/>
        <v>9.2017937219730936E-2</v>
      </c>
      <c r="T30" s="10">
        <f t="shared" si="49"/>
        <v>2.2392834293026232E-2</v>
      </c>
      <c r="U30" s="10">
        <f>U29/U6</f>
        <v>0.13271090363454485</v>
      </c>
      <c r="Z30" s="10">
        <f t="shared" ref="Z30:AJ30" si="50">Z29/Z6</f>
        <v>0.360910878112713</v>
      </c>
      <c r="AA30" s="10">
        <f t="shared" si="50"/>
        <v>0.3738831615120275</v>
      </c>
      <c r="AB30" s="10">
        <f t="shared" si="50"/>
        <v>0.37955153260645957</v>
      </c>
      <c r="AC30" s="10">
        <f t="shared" si="50"/>
        <v>0.10867995779419115</v>
      </c>
      <c r="AD30" s="10">
        <f t="shared" si="50"/>
        <v>0.10799683293745052</v>
      </c>
      <c r="AE30" s="10">
        <f t="shared" si="50"/>
        <v>-0.20120481927710843</v>
      </c>
      <c r="AF30" s="10">
        <f t="shared" si="50"/>
        <v>5.9230009871668308E-4</v>
      </c>
      <c r="AG30" s="10">
        <f t="shared" si="50"/>
        <v>0.13185670462226382</v>
      </c>
      <c r="AH30" s="10">
        <f t="shared" si="50"/>
        <v>0.11687542700979275</v>
      </c>
      <c r="AI30" s="10">
        <f t="shared" si="50"/>
        <v>0.11362083883601257</v>
      </c>
      <c r="AJ30" s="10">
        <f t="shared" si="50"/>
        <v>0.10880294328786791</v>
      </c>
      <c r="AK30" s="51"/>
      <c r="AV30" s="49"/>
      <c r="AW30" s="49"/>
    </row>
    <row r="31" spans="2:155" s="13" customFormat="1" x14ac:dyDescent="0.25">
      <c r="B31" s="14"/>
      <c r="C31" s="13" t="s">
        <v>168</v>
      </c>
      <c r="G31" s="13">
        <f t="shared" ref="G31:T31" si="51">SUM(D29:G29)</f>
        <v>2535</v>
      </c>
      <c r="H31" s="13">
        <f t="shared" si="51"/>
        <v>2942</v>
      </c>
      <c r="I31" s="13">
        <f t="shared" si="51"/>
        <v>2631</v>
      </c>
      <c r="J31" s="13">
        <f t="shared" si="51"/>
        <v>2591</v>
      </c>
      <c r="K31" s="13">
        <f t="shared" si="51"/>
        <v>2566</v>
      </c>
      <c r="L31" s="13">
        <f t="shared" si="51"/>
        <v>2429</v>
      </c>
      <c r="M31" s="13">
        <f t="shared" si="51"/>
        <v>2498</v>
      </c>
      <c r="N31" s="13">
        <f t="shared" si="51"/>
        <v>2402</v>
      </c>
      <c r="O31" s="13">
        <f t="shared" si="51"/>
        <v>2495</v>
      </c>
      <c r="P31" s="13">
        <f t="shared" si="51"/>
        <v>2563</v>
      </c>
      <c r="Q31" s="13">
        <f t="shared" si="51"/>
        <v>2445</v>
      </c>
      <c r="R31" s="13">
        <f t="shared" si="51"/>
        <v>2456</v>
      </c>
      <c r="S31" s="13">
        <f t="shared" si="51"/>
        <v>2425</v>
      </c>
      <c r="T31" s="13">
        <f t="shared" si="51"/>
        <v>2429</v>
      </c>
      <c r="U31" s="13">
        <f>SUM(R29:U29)</f>
        <v>2502</v>
      </c>
      <c r="AK31" s="14"/>
      <c r="AV31" s="12"/>
      <c r="AW31" s="12"/>
    </row>
    <row r="32" spans="2:155" x14ac:dyDescent="0.25"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AD32" s="21"/>
      <c r="AE32" s="21"/>
      <c r="AF32" s="21"/>
      <c r="AG32" s="21"/>
      <c r="AH32" s="21"/>
      <c r="AI32" s="21"/>
      <c r="AJ32" s="21"/>
      <c r="AK32" s="61"/>
      <c r="AL32" s="21"/>
      <c r="AM32" s="21"/>
      <c r="AN32" s="21"/>
      <c r="AO32" s="21"/>
      <c r="AP32" s="21"/>
      <c r="AQ32" s="21"/>
      <c r="AR32" s="21"/>
      <c r="AS32" s="21"/>
      <c r="AT32" s="21"/>
    </row>
    <row r="33" spans="1:46" s="12" customFormat="1" x14ac:dyDescent="0.25">
      <c r="B33" s="56"/>
      <c r="C33" s="12" t="s">
        <v>145</v>
      </c>
      <c r="D33" s="12">
        <v>395</v>
      </c>
      <c r="E33" s="12">
        <v>749</v>
      </c>
      <c r="F33" s="12">
        <v>875</v>
      </c>
      <c r="G33" s="12">
        <v>695</v>
      </c>
      <c r="H33" s="12">
        <v>626</v>
      </c>
      <c r="I33" s="12">
        <v>828</v>
      </c>
      <c r="J33" s="12">
        <v>933</v>
      </c>
      <c r="K33" s="12">
        <v>734</v>
      </c>
      <c r="L33" s="12">
        <v>619</v>
      </c>
      <c r="M33" s="12">
        <v>871</v>
      </c>
      <c r="N33" s="12">
        <v>941</v>
      </c>
      <c r="O33" s="12">
        <v>762</v>
      </c>
      <c r="P33" s="12">
        <v>655</v>
      </c>
      <c r="Q33" s="12">
        <v>879</v>
      </c>
      <c r="R33" s="12">
        <v>966</v>
      </c>
      <c r="S33" s="12">
        <v>773</v>
      </c>
      <c r="T33" s="12">
        <v>665</v>
      </c>
      <c r="U33" s="12">
        <v>882</v>
      </c>
      <c r="Z33" s="12">
        <v>601.29999999999995</v>
      </c>
      <c r="AA33" s="12">
        <v>643</v>
      </c>
      <c r="AB33" s="12">
        <v>680</v>
      </c>
      <c r="AC33" s="12">
        <v>683</v>
      </c>
      <c r="AD33" s="12">
        <v>707</v>
      </c>
      <c r="AE33" s="12">
        <v>271</v>
      </c>
      <c r="AF33" s="12">
        <v>364</v>
      </c>
      <c r="AG33" s="12">
        <v>683</v>
      </c>
      <c r="AH33" s="12">
        <v>782</v>
      </c>
      <c r="AI33" s="12">
        <v>799</v>
      </c>
      <c r="AJ33" s="12">
        <v>816</v>
      </c>
      <c r="AK33" s="56"/>
    </row>
    <row r="34" spans="1:46" s="52" customFormat="1" x14ac:dyDescent="0.25">
      <c r="B34" s="53"/>
      <c r="C34" s="52" t="s">
        <v>157</v>
      </c>
      <c r="H34" s="52">
        <f t="shared" ref="H34:Q34" si="52">(H33-D33)/D33</f>
        <v>0.58481012658227849</v>
      </c>
      <c r="I34" s="52">
        <f t="shared" si="52"/>
        <v>0.1054739652870494</v>
      </c>
      <c r="J34" s="52">
        <f t="shared" si="52"/>
        <v>6.6285714285714281E-2</v>
      </c>
      <c r="K34" s="52">
        <f t="shared" si="52"/>
        <v>5.6115107913669061E-2</v>
      </c>
      <c r="L34" s="52">
        <f t="shared" si="52"/>
        <v>-1.1182108626198083E-2</v>
      </c>
      <c r="M34" s="52">
        <f t="shared" si="52"/>
        <v>5.1932367149758456E-2</v>
      </c>
      <c r="N34" s="52">
        <f t="shared" si="52"/>
        <v>8.5744908896034297E-3</v>
      </c>
      <c r="O34" s="52">
        <f t="shared" si="52"/>
        <v>3.8147138964577658E-2</v>
      </c>
      <c r="P34" s="52">
        <f t="shared" si="52"/>
        <v>5.8158319870759291E-2</v>
      </c>
      <c r="Q34" s="52">
        <f t="shared" si="52"/>
        <v>9.1848450057405284E-3</v>
      </c>
      <c r="R34" s="52">
        <f>(R33-N33)/N33</f>
        <v>2.6567481402763018E-2</v>
      </c>
      <c r="S34" s="52">
        <f>(S33-O33)/O33</f>
        <v>1.4435695538057743E-2</v>
      </c>
      <c r="T34" s="52">
        <f t="shared" ref="T34:U34" si="53">(T33-P33)/P33</f>
        <v>1.5267175572519083E-2</v>
      </c>
      <c r="U34" s="52">
        <f t="shared" si="53"/>
        <v>3.4129692832764505E-3</v>
      </c>
      <c r="AA34" s="52">
        <f t="shared" ref="AA34:AH34" si="54">(AA33-Z33)/Z33</f>
        <v>6.9349742225178854E-2</v>
      </c>
      <c r="AB34" s="52">
        <f t="shared" si="54"/>
        <v>5.7542768273716953E-2</v>
      </c>
      <c r="AC34" s="52">
        <f t="shared" si="54"/>
        <v>4.4117647058823529E-3</v>
      </c>
      <c r="AD34" s="52">
        <f t="shared" si="54"/>
        <v>3.5139092240117131E-2</v>
      </c>
      <c r="AE34" s="52">
        <f t="shared" si="54"/>
        <v>-0.61669024045261667</v>
      </c>
      <c r="AF34" s="52">
        <f t="shared" si="54"/>
        <v>0.34317343173431736</v>
      </c>
      <c r="AG34" s="52">
        <f t="shared" si="54"/>
        <v>0.87637362637362637</v>
      </c>
      <c r="AH34" s="52">
        <f t="shared" si="54"/>
        <v>0.14494875549048317</v>
      </c>
      <c r="AI34" s="52">
        <f>(AI33-AH33)/AH33</f>
        <v>2.1739130434782608E-2</v>
      </c>
      <c r="AJ34" s="52">
        <f>(AJ33-AI33)/AI33</f>
        <v>2.1276595744680851E-2</v>
      </c>
      <c r="AK34" s="53"/>
    </row>
    <row r="35" spans="1:46" s="13" customFormat="1" x14ac:dyDescent="0.25">
      <c r="B35" s="14"/>
      <c r="C35" s="13" t="s">
        <v>146</v>
      </c>
      <c r="D35" s="13">
        <v>1011</v>
      </c>
      <c r="E35" s="13">
        <v>1185</v>
      </c>
      <c r="F35" s="13">
        <v>1243</v>
      </c>
      <c r="G35" s="13">
        <v>1219</v>
      </c>
      <c r="H35" s="13">
        <v>1169</v>
      </c>
      <c r="I35" s="13">
        <v>1315</v>
      </c>
      <c r="J35" s="13">
        <v>1313</v>
      </c>
      <c r="K35" s="13">
        <v>1268</v>
      </c>
      <c r="L35" s="13">
        <v>1193</v>
      </c>
      <c r="M35" s="13">
        <v>1360</v>
      </c>
      <c r="N35" s="13">
        <v>1317</v>
      </c>
      <c r="O35" s="13">
        <v>1279</v>
      </c>
      <c r="P35" s="13">
        <v>1188</v>
      </c>
      <c r="Q35" s="13">
        <v>1334</v>
      </c>
      <c r="R35" s="13">
        <v>1302</v>
      </c>
      <c r="S35" s="13">
        <v>1270</v>
      </c>
      <c r="T35" s="13">
        <v>1191</v>
      </c>
      <c r="U35" s="13">
        <v>1345</v>
      </c>
      <c r="Z35" s="13">
        <v>933.9</v>
      </c>
      <c r="AA35" s="13">
        <v>976</v>
      </c>
      <c r="AB35" s="13">
        <v>1012</v>
      </c>
      <c r="AC35" s="13">
        <v>1045</v>
      </c>
      <c r="AD35" s="13">
        <v>1071</v>
      </c>
      <c r="AE35" s="13">
        <v>945</v>
      </c>
      <c r="AF35" s="13">
        <v>957</v>
      </c>
      <c r="AG35" s="13">
        <v>1183</v>
      </c>
      <c r="AH35" s="13">
        <v>1272</v>
      </c>
      <c r="AI35" s="13">
        <v>1294</v>
      </c>
      <c r="AJ35" s="13">
        <v>1274</v>
      </c>
      <c r="AK35" s="14"/>
    </row>
    <row r="36" spans="1:46" s="10" customFormat="1" x14ac:dyDescent="0.25">
      <c r="B36" s="51"/>
      <c r="C36" s="52" t="s">
        <v>157</v>
      </c>
      <c r="D36" s="52"/>
      <c r="E36" s="52"/>
      <c r="F36" s="52"/>
      <c r="G36" s="52"/>
      <c r="H36" s="52">
        <f t="shared" ref="H36:Q36" si="55">(H35-D35)/D35</f>
        <v>0.1562809099901088</v>
      </c>
      <c r="I36" s="52">
        <f t="shared" si="55"/>
        <v>0.10970464135021098</v>
      </c>
      <c r="J36" s="52">
        <f t="shared" si="55"/>
        <v>5.6315366049879322E-2</v>
      </c>
      <c r="K36" s="52">
        <f t="shared" si="55"/>
        <v>4.0196882690730108E-2</v>
      </c>
      <c r="L36" s="52">
        <f t="shared" si="55"/>
        <v>2.0530367835757058E-2</v>
      </c>
      <c r="M36" s="52">
        <f t="shared" si="55"/>
        <v>3.4220532319391636E-2</v>
      </c>
      <c r="N36" s="52">
        <f t="shared" si="55"/>
        <v>3.0464584920030465E-3</v>
      </c>
      <c r="O36" s="52">
        <f t="shared" si="55"/>
        <v>8.6750788643533121E-3</v>
      </c>
      <c r="P36" s="52">
        <f t="shared" si="55"/>
        <v>-4.1911148365465214E-3</v>
      </c>
      <c r="Q36" s="52">
        <f t="shared" si="55"/>
        <v>-1.9117647058823531E-2</v>
      </c>
      <c r="R36" s="52">
        <f>(R35-N35)/N35</f>
        <v>-1.1389521640091117E-2</v>
      </c>
      <c r="S36" s="52">
        <f>(S35-O35)/O35</f>
        <v>-7.0367474589523062E-3</v>
      </c>
      <c r="T36" s="52">
        <f>(T35-P35)/P35</f>
        <v>2.5252525252525255E-3</v>
      </c>
      <c r="U36" s="52">
        <f>(U35-Q35)/Q35</f>
        <v>8.2458770614692659E-3</v>
      </c>
      <c r="AA36" s="52">
        <f t="shared" ref="AA36" si="56">(AA35-Z35)/Z35</f>
        <v>4.507977299496737E-2</v>
      </c>
      <c r="AB36" s="52">
        <f t="shared" ref="AB36" si="57">(AB35-AA35)/AA35</f>
        <v>3.6885245901639344E-2</v>
      </c>
      <c r="AC36" s="52">
        <f t="shared" ref="AC36" si="58">(AC35-AB35)/AB35</f>
        <v>3.2608695652173912E-2</v>
      </c>
      <c r="AD36" s="52">
        <f t="shared" ref="AD36" si="59">(AD35-AC35)/AC35</f>
        <v>2.4880382775119617E-2</v>
      </c>
      <c r="AE36" s="52">
        <f t="shared" ref="AE36" si="60">(AE35-AD35)/AD35</f>
        <v>-0.11764705882352941</v>
      </c>
      <c r="AF36" s="52">
        <f t="shared" ref="AF36" si="61">(AF35-AE35)/AE35</f>
        <v>1.2698412698412698E-2</v>
      </c>
      <c r="AG36" s="52">
        <f t="shared" ref="AG36" si="62">(AG35-AF35)/AF35</f>
        <v>0.2361546499477534</v>
      </c>
      <c r="AH36" s="52">
        <f t="shared" ref="AH36" si="63">(AH35-AG35)/AG35</f>
        <v>7.5232459847844463E-2</v>
      </c>
      <c r="AI36" s="52">
        <f>(AI35-AH35)/AH35</f>
        <v>1.7295597484276729E-2</v>
      </c>
      <c r="AJ36" s="52">
        <f>(AJ35-AI35)/AI35</f>
        <v>-1.5455950540958269E-2</v>
      </c>
      <c r="AK36" s="51"/>
    </row>
    <row r="37" spans="1:46" s="10" customFormat="1" x14ac:dyDescent="0.25">
      <c r="B37" s="51"/>
      <c r="C37" s="10" t="s">
        <v>147</v>
      </c>
      <c r="D37" s="10">
        <v>0.39100000000000001</v>
      </c>
      <c r="E37" s="10">
        <v>0.63200000000000001</v>
      </c>
      <c r="F37" s="10">
        <v>0.70499999999999996</v>
      </c>
      <c r="G37" s="10">
        <v>0.56999999999999995</v>
      </c>
      <c r="H37" s="10">
        <v>0.53500000000000003</v>
      </c>
      <c r="I37" s="10">
        <v>0.63</v>
      </c>
      <c r="J37" s="10">
        <v>0.71</v>
      </c>
      <c r="K37" s="10">
        <v>0.57899999999999996</v>
      </c>
      <c r="L37" s="10">
        <v>0.51900000000000002</v>
      </c>
      <c r="M37" s="10">
        <v>0.64</v>
      </c>
      <c r="N37" s="10">
        <v>0.71399999999999997</v>
      </c>
      <c r="O37" s="10">
        <v>0.59599999999999997</v>
      </c>
      <c r="P37" s="10">
        <v>0.55100000000000005</v>
      </c>
      <c r="Q37" s="10">
        <v>0.65900000000000003</v>
      </c>
      <c r="R37" s="10">
        <v>0.74199999999999999</v>
      </c>
      <c r="S37" s="10">
        <v>0.60799999999999998</v>
      </c>
      <c r="T37" s="10">
        <v>0.55800000000000005</v>
      </c>
      <c r="U37" s="10">
        <v>0.65600000000000003</v>
      </c>
      <c r="Z37" s="10">
        <v>0.64400000000000002</v>
      </c>
      <c r="AA37" s="10">
        <v>0.65900000000000003</v>
      </c>
      <c r="AB37" s="10">
        <v>0.67100000000000004</v>
      </c>
      <c r="AC37" s="10">
        <v>0.65300000000000002</v>
      </c>
      <c r="AD37" s="10">
        <v>0.66</v>
      </c>
      <c r="AE37" s="10">
        <v>0.28699999999999998</v>
      </c>
      <c r="AF37" s="10">
        <v>0.38</v>
      </c>
      <c r="AG37" s="10">
        <v>0.57699999999999996</v>
      </c>
      <c r="AH37" s="10">
        <v>0.61399999999999999</v>
      </c>
      <c r="AI37" s="10">
        <v>0.61799999999999999</v>
      </c>
      <c r="AJ37" s="10">
        <v>0.64100000000000001</v>
      </c>
      <c r="AK37" s="51"/>
    </row>
    <row r="38" spans="1:46" x14ac:dyDescent="0.25">
      <c r="AD38" s="21"/>
      <c r="AE38" s="21"/>
      <c r="AF38" s="21"/>
      <c r="AG38" s="21"/>
      <c r="AH38" s="21"/>
      <c r="AI38" s="21"/>
      <c r="AJ38" s="21"/>
      <c r="AK38" s="61"/>
      <c r="AL38" s="21"/>
      <c r="AM38" s="21"/>
      <c r="AO38" s="21"/>
      <c r="AP38" s="21"/>
      <c r="AQ38" s="21"/>
      <c r="AR38" s="21"/>
      <c r="AS38" s="21"/>
      <c r="AT38" s="21"/>
    </row>
    <row r="39" spans="1:46" s="13" customFormat="1" x14ac:dyDescent="0.25">
      <c r="B39" s="14"/>
      <c r="C39" s="13" t="s">
        <v>87</v>
      </c>
      <c r="D39" s="13">
        <v>54002</v>
      </c>
      <c r="E39" s="13">
        <v>55572</v>
      </c>
      <c r="F39" s="13">
        <v>55977</v>
      </c>
      <c r="G39" s="13">
        <v>55977</v>
      </c>
      <c r="H39" s="13">
        <v>56059</v>
      </c>
      <c r="I39" s="13">
        <v>55930</v>
      </c>
      <c r="J39" s="13">
        <v>55969</v>
      </c>
      <c r="K39" s="13">
        <v>55642</v>
      </c>
      <c r="L39" s="13">
        <v>55657</v>
      </c>
      <c r="M39" s="13">
        <v>55566</v>
      </c>
      <c r="N39" s="13">
        <v>55452</v>
      </c>
      <c r="O39" s="13">
        <v>55319</v>
      </c>
      <c r="P39" s="13">
        <v>55603</v>
      </c>
      <c r="Q39" s="13">
        <v>55987</v>
      </c>
      <c r="R39" s="13">
        <v>55868</v>
      </c>
      <c r="S39" s="13">
        <v>68592</v>
      </c>
      <c r="T39" s="13">
        <v>68315</v>
      </c>
      <c r="U39" s="13">
        <v>68495</v>
      </c>
      <c r="W39" s="46"/>
      <c r="Z39" s="13">
        <v>41000</v>
      </c>
      <c r="AA39" s="13">
        <v>41572</v>
      </c>
      <c r="AB39" s="13">
        <v>55958</v>
      </c>
      <c r="AC39" s="13">
        <v>51693</v>
      </c>
      <c r="AD39" s="13">
        <v>52755</v>
      </c>
      <c r="AE39" s="13">
        <v>53000</v>
      </c>
      <c r="AF39" s="13">
        <v>54000</v>
      </c>
      <c r="AG39" s="13">
        <v>55831</v>
      </c>
      <c r="AH39" s="13">
        <v>55642</v>
      </c>
      <c r="AI39" s="13">
        <v>55319</v>
      </c>
      <c r="AJ39" s="13">
        <v>68592</v>
      </c>
      <c r="AK39" s="14"/>
      <c r="AN39" s="21"/>
    </row>
    <row r="40" spans="1:46" x14ac:dyDescent="0.25">
      <c r="C40" s="2" t="s">
        <v>88</v>
      </c>
      <c r="D40" s="2">
        <v>266</v>
      </c>
      <c r="E40" s="2">
        <v>270</v>
      </c>
      <c r="F40" s="2">
        <v>271</v>
      </c>
      <c r="G40" s="2">
        <v>271</v>
      </c>
      <c r="H40" s="2">
        <v>270</v>
      </c>
      <c r="I40" s="2">
        <v>269</v>
      </c>
      <c r="J40" s="2">
        <v>269</v>
      </c>
      <c r="K40" s="2">
        <v>267</v>
      </c>
      <c r="L40" s="2">
        <v>266</v>
      </c>
      <c r="M40" s="2">
        <v>264</v>
      </c>
      <c r="N40" s="2">
        <v>264</v>
      </c>
      <c r="O40" s="2">
        <v>263</v>
      </c>
      <c r="P40" s="2">
        <v>264</v>
      </c>
      <c r="Q40" s="2">
        <v>265</v>
      </c>
      <c r="R40" s="2">
        <v>264</v>
      </c>
      <c r="S40" s="2">
        <v>323</v>
      </c>
      <c r="T40" s="2">
        <v>322</v>
      </c>
      <c r="U40" s="2">
        <v>324</v>
      </c>
      <c r="Z40" s="2">
        <v>221</v>
      </c>
      <c r="AA40" s="2">
        <v>223</v>
      </c>
      <c r="AB40" s="2">
        <v>280</v>
      </c>
      <c r="AC40" s="2">
        <v>268</v>
      </c>
      <c r="AD40" s="2">
        <v>268</v>
      </c>
      <c r="AE40" s="2">
        <v>265</v>
      </c>
      <c r="AF40" s="2">
        <v>268</v>
      </c>
      <c r="AG40" s="2">
        <v>271</v>
      </c>
      <c r="AH40" s="2">
        <v>267</v>
      </c>
      <c r="AI40" s="2">
        <v>263</v>
      </c>
      <c r="AJ40" s="2">
        <v>323</v>
      </c>
    </row>
    <row r="42" spans="1:46" x14ac:dyDescent="0.25">
      <c r="C42" s="3" t="s">
        <v>62</v>
      </c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:46" s="13" customFormat="1" x14ac:dyDescent="0.25">
      <c r="A43" s="2"/>
      <c r="B43" s="4"/>
      <c r="C43" s="2" t="s">
        <v>114</v>
      </c>
      <c r="D43" s="13">
        <v>7049</v>
      </c>
      <c r="E43" s="13">
        <v>7021</v>
      </c>
      <c r="F43" s="13">
        <v>7115</v>
      </c>
      <c r="G43" s="13">
        <v>7189</v>
      </c>
      <c r="H43" s="13">
        <v>7129</v>
      </c>
      <c r="I43" s="13">
        <v>7276</v>
      </c>
      <c r="J43" s="13">
        <v>7214</v>
      </c>
      <c r="K43" s="13">
        <v>7010</v>
      </c>
      <c r="L43" s="13">
        <v>7062</v>
      </c>
      <c r="M43" s="13">
        <v>7043</v>
      </c>
      <c r="N43" s="13">
        <v>7002</v>
      </c>
      <c r="O43" s="13">
        <v>7101</v>
      </c>
      <c r="P43" s="13">
        <v>6848</v>
      </c>
      <c r="Q43" s="13">
        <v>6962</v>
      </c>
      <c r="R43" s="13">
        <v>6955</v>
      </c>
      <c r="S43" s="13">
        <v>6825</v>
      </c>
      <c r="T43" s="13">
        <v>6861</v>
      </c>
      <c r="U43" s="13">
        <v>6888</v>
      </c>
      <c r="Z43" s="13">
        <f>5575+3151+181</f>
        <v>8907</v>
      </c>
      <c r="AA43" s="13">
        <f>5793+3145+165</f>
        <v>9103</v>
      </c>
      <c r="AB43" s="13">
        <f>6303+3153+213</f>
        <v>9669</v>
      </c>
      <c r="AC43" s="13">
        <f>6560+3156+184</f>
        <v>9900</v>
      </c>
      <c r="AD43" s="13">
        <f>6641+3147+153</f>
        <v>9941</v>
      </c>
      <c r="AE43" s="13">
        <f>3737+2835+115</f>
        <v>6687</v>
      </c>
      <c r="AF43" s="13">
        <f>3914+2843+128</f>
        <v>6885</v>
      </c>
      <c r="AG43" s="13">
        <f>4180+2855+154</f>
        <v>7189</v>
      </c>
      <c r="AH43" s="13">
        <v>7010</v>
      </c>
      <c r="AI43" s="13">
        <v>7101</v>
      </c>
      <c r="AJ43" s="13">
        <v>6825</v>
      </c>
      <c r="AK43" s="14"/>
    </row>
    <row r="44" spans="1:46" s="13" customFormat="1" x14ac:dyDescent="0.25">
      <c r="A44" s="2"/>
      <c r="B44" s="4"/>
      <c r="C44" s="2" t="s">
        <v>115</v>
      </c>
      <c r="D44" s="13">
        <v>709</v>
      </c>
      <c r="E44" s="13">
        <v>35501</v>
      </c>
      <c r="F44" s="13">
        <v>36101</v>
      </c>
      <c r="G44" s="13">
        <v>36725</v>
      </c>
      <c r="H44" s="13">
        <v>294</v>
      </c>
      <c r="I44" s="13">
        <v>77</v>
      </c>
      <c r="J44" s="13">
        <v>78</v>
      </c>
      <c r="K44" s="13">
        <v>75</v>
      </c>
      <c r="L44" s="13">
        <v>74</v>
      </c>
      <c r="M44" s="13">
        <v>74</v>
      </c>
      <c r="N44" s="13">
        <v>71</v>
      </c>
      <c r="O44" s="13">
        <v>71</v>
      </c>
      <c r="P44" s="13">
        <v>69</v>
      </c>
      <c r="Q44" s="13">
        <v>68</v>
      </c>
      <c r="R44" s="13">
        <v>68</v>
      </c>
      <c r="S44" s="13">
        <v>65</v>
      </c>
      <c r="T44" s="13">
        <v>69</v>
      </c>
      <c r="U44" s="13">
        <v>69</v>
      </c>
      <c r="Z44" s="13">
        <v>89</v>
      </c>
      <c r="AA44" s="13">
        <v>95</v>
      </c>
      <c r="AB44" s="13">
        <v>1764</v>
      </c>
      <c r="AC44" s="13">
        <v>1676</v>
      </c>
      <c r="AD44" s="13">
        <v>26759</v>
      </c>
      <c r="AE44" s="13">
        <v>25762</v>
      </c>
      <c r="AF44" s="13">
        <v>31251</v>
      </c>
      <c r="AG44" s="13">
        <v>36725</v>
      </c>
      <c r="AH44" s="13">
        <v>75</v>
      </c>
      <c r="AI44" s="13">
        <v>71</v>
      </c>
      <c r="AJ44" s="13">
        <v>65</v>
      </c>
      <c r="AK44" s="14"/>
    </row>
    <row r="45" spans="1:46" s="13" customFormat="1" x14ac:dyDescent="0.25">
      <c r="A45" s="2"/>
      <c r="B45" s="4"/>
      <c r="C45" s="2" t="s">
        <v>63</v>
      </c>
      <c r="D45" s="13">
        <v>32738</v>
      </c>
      <c r="E45" s="13">
        <v>0</v>
      </c>
      <c r="F45" s="13">
        <v>0</v>
      </c>
      <c r="G45" s="13">
        <v>0</v>
      </c>
      <c r="H45" s="13">
        <v>40610</v>
      </c>
      <c r="I45" s="13">
        <v>41138</v>
      </c>
      <c r="J45" s="13">
        <v>39914</v>
      </c>
      <c r="K45" s="13">
        <v>39389</v>
      </c>
      <c r="L45" s="13">
        <v>41421</v>
      </c>
      <c r="M45" s="13">
        <v>40565</v>
      </c>
      <c r="N45" s="13">
        <v>39685</v>
      </c>
      <c r="O45" s="13">
        <v>39707</v>
      </c>
      <c r="P45" s="13">
        <v>38625</v>
      </c>
      <c r="Q45" s="13">
        <v>38790</v>
      </c>
      <c r="R45" s="13">
        <v>38212</v>
      </c>
      <c r="S45" s="13">
        <v>38659</v>
      </c>
      <c r="T45" s="13">
        <v>39123</v>
      </c>
      <c r="U45" s="13">
        <v>38841</v>
      </c>
      <c r="Z45" s="13">
        <v>0</v>
      </c>
      <c r="AA45" s="13">
        <v>0</v>
      </c>
      <c r="AB45" s="13">
        <v>0</v>
      </c>
      <c r="AC45" s="13">
        <v>0</v>
      </c>
      <c r="AD45" s="13">
        <v>0</v>
      </c>
      <c r="AE45" s="13">
        <v>0</v>
      </c>
      <c r="AF45" s="13">
        <v>0</v>
      </c>
      <c r="AG45" s="13">
        <v>0</v>
      </c>
      <c r="AH45" s="13">
        <v>39389</v>
      </c>
      <c r="AI45" s="13">
        <v>39707</v>
      </c>
      <c r="AJ45" s="13">
        <v>38659</v>
      </c>
      <c r="AK45" s="14"/>
    </row>
    <row r="46" spans="1:46" s="13" customFormat="1" x14ac:dyDescent="0.25">
      <c r="A46" s="2"/>
      <c r="B46" s="4"/>
      <c r="C46" s="2" t="s">
        <v>116</v>
      </c>
      <c r="D46" s="13">
        <v>3767</v>
      </c>
      <c r="E46" s="13">
        <v>4519</v>
      </c>
      <c r="F46" s="13">
        <v>4442</v>
      </c>
      <c r="G46" s="13">
        <v>4406</v>
      </c>
      <c r="H46" s="13">
        <v>3921</v>
      </c>
      <c r="I46" s="13">
        <v>4154</v>
      </c>
      <c r="J46" s="13">
        <v>4012</v>
      </c>
      <c r="K46" s="13">
        <v>3958</v>
      </c>
      <c r="L46" s="13">
        <v>4102</v>
      </c>
      <c r="M46" s="13">
        <v>4118</v>
      </c>
      <c r="N46" s="13">
        <v>4006</v>
      </c>
      <c r="O46" s="13">
        <v>4142</v>
      </c>
      <c r="P46" s="13">
        <v>4100</v>
      </c>
      <c r="Q46" s="13">
        <v>4189</v>
      </c>
      <c r="R46" s="13">
        <v>4121</v>
      </c>
      <c r="S46" s="13">
        <v>4237</v>
      </c>
      <c r="T46" s="13">
        <v>4349</v>
      </c>
      <c r="U46" s="13">
        <v>4478</v>
      </c>
      <c r="Z46" s="13">
        <v>2549</v>
      </c>
      <c r="AA46" s="13">
        <v>2882</v>
      </c>
      <c r="AB46" s="13">
        <v>3835</v>
      </c>
      <c r="AC46" s="13">
        <v>4359</v>
      </c>
      <c r="AD46" s="13">
        <v>4865</v>
      </c>
      <c r="AE46" s="13">
        <v>4625</v>
      </c>
      <c r="AF46" s="13">
        <v>4497</v>
      </c>
      <c r="AG46" s="13">
        <v>4406</v>
      </c>
      <c r="AH46" s="13">
        <v>3958</v>
      </c>
      <c r="AI46" s="13">
        <v>4142</v>
      </c>
      <c r="AJ46" s="13">
        <v>4237</v>
      </c>
      <c r="AK46" s="14"/>
    </row>
    <row r="47" spans="1:46" s="13" customFormat="1" x14ac:dyDescent="0.25">
      <c r="A47" s="2"/>
      <c r="B47" s="4"/>
      <c r="C47" s="2" t="s">
        <v>117</v>
      </c>
      <c r="D47" s="13">
        <v>875</v>
      </c>
      <c r="E47" s="13">
        <v>707</v>
      </c>
      <c r="F47" s="13">
        <v>646</v>
      </c>
      <c r="G47" s="13">
        <v>640</v>
      </c>
      <c r="H47" s="13">
        <v>721</v>
      </c>
      <c r="I47" s="13">
        <v>796</v>
      </c>
      <c r="J47" s="13">
        <v>769</v>
      </c>
      <c r="K47" s="13">
        <v>713</v>
      </c>
      <c r="L47" s="13">
        <v>825</v>
      </c>
      <c r="M47" s="13">
        <v>790</v>
      </c>
      <c r="N47" s="13">
        <v>786</v>
      </c>
      <c r="O47" s="13">
        <v>751</v>
      </c>
      <c r="P47" s="13">
        <v>767</v>
      </c>
      <c r="Q47" s="13">
        <v>748</v>
      </c>
      <c r="R47" s="13">
        <v>733</v>
      </c>
      <c r="S47" s="13">
        <v>689</v>
      </c>
      <c r="T47" s="13">
        <v>765</v>
      </c>
      <c r="U47" s="13">
        <v>772</v>
      </c>
      <c r="Z47" s="13">
        <f>10+4+17+32</f>
        <v>63</v>
      </c>
      <c r="AA47" s="13">
        <f>10+8+14+35</f>
        <v>67</v>
      </c>
      <c r="AB47" s="13">
        <f>21+9+106+34</f>
        <v>170</v>
      </c>
      <c r="AC47" s="13">
        <f>22+9+261+41</f>
        <v>333</v>
      </c>
      <c r="AD47" s="13">
        <f>22+7+460+127</f>
        <v>616</v>
      </c>
      <c r="AE47" s="13">
        <f>20+6+47+405</f>
        <v>478</v>
      </c>
      <c r="AF47" s="13">
        <f>21+7+40+729</f>
        <v>797</v>
      </c>
      <c r="AG47" s="13">
        <f>23+6+32+579</f>
        <v>640</v>
      </c>
      <c r="AH47" s="13">
        <v>713</v>
      </c>
      <c r="AI47" s="13">
        <v>751</v>
      </c>
      <c r="AJ47" s="13">
        <v>689</v>
      </c>
      <c r="AK47" s="14"/>
    </row>
    <row r="48" spans="1:46" s="13" customFormat="1" x14ac:dyDescent="0.25">
      <c r="A48" s="2"/>
      <c r="B48" s="4"/>
      <c r="C48" s="2" t="s">
        <v>118</v>
      </c>
      <c r="D48" s="13">
        <v>1677</v>
      </c>
      <c r="E48" s="13">
        <f>1599+526</f>
        <v>2125</v>
      </c>
      <c r="F48" s="13">
        <f>2056+728</f>
        <v>2784</v>
      </c>
      <c r="G48" s="13">
        <f>1287+384</f>
        <v>1671</v>
      </c>
      <c r="H48" s="13">
        <v>2034</v>
      </c>
      <c r="I48" s="13">
        <v>2574</v>
      </c>
      <c r="J48" s="13">
        <v>3293</v>
      </c>
      <c r="K48" s="13">
        <v>1467</v>
      </c>
      <c r="L48" s="13">
        <v>2032</v>
      </c>
      <c r="M48" s="13">
        <v>2859</v>
      </c>
      <c r="N48" s="13">
        <v>3304</v>
      </c>
      <c r="O48" s="13">
        <v>1224</v>
      </c>
      <c r="P48" s="13">
        <v>1338</v>
      </c>
      <c r="Q48" s="13">
        <v>1398</v>
      </c>
      <c r="R48" s="13">
        <v>1541</v>
      </c>
      <c r="S48" s="13">
        <v>1107</v>
      </c>
      <c r="T48" s="13">
        <v>1396</v>
      </c>
      <c r="U48" s="13">
        <v>1471</v>
      </c>
      <c r="Z48" s="13">
        <f>81+464+2+232+265</f>
        <v>1044</v>
      </c>
      <c r="AA48" s="13">
        <f>92+498+0+134+205</f>
        <v>929</v>
      </c>
      <c r="AB48" s="13">
        <f>128+626+0+161+101+370</f>
        <v>1386</v>
      </c>
      <c r="AC48" s="13">
        <f>133+689+46+76+2+422</f>
        <v>1368</v>
      </c>
      <c r="AD48" s="13">
        <f>133+649+8+84+429</f>
        <v>1303</v>
      </c>
      <c r="AE48" s="13">
        <f>90+153+0+50+423</f>
        <v>716</v>
      </c>
      <c r="AF48" s="13">
        <f>108+527+68+126+280</f>
        <v>1109</v>
      </c>
      <c r="AG48" s="13">
        <f>134+776+384+148+229</f>
        <v>1671</v>
      </c>
      <c r="AH48" s="13">
        <v>1467</v>
      </c>
      <c r="AI48" s="13">
        <v>1224</v>
      </c>
      <c r="AJ48" s="13">
        <v>1107</v>
      </c>
      <c r="AK48" s="14"/>
    </row>
    <row r="49" spans="1:37" s="13" customFormat="1" x14ac:dyDescent="0.25">
      <c r="A49" s="2"/>
      <c r="B49" s="4"/>
      <c r="C49" s="2" t="s">
        <v>64</v>
      </c>
      <c r="D49" s="13">
        <f>194+23</f>
        <v>217</v>
      </c>
      <c r="E49" s="13">
        <v>101</v>
      </c>
      <c r="F49" s="13">
        <v>76</v>
      </c>
      <c r="G49" s="13">
        <v>317</v>
      </c>
      <c r="H49" s="13">
        <f>146+285</f>
        <v>431</v>
      </c>
      <c r="I49" s="13">
        <f>107+560</f>
        <v>667</v>
      </c>
      <c r="J49" s="13">
        <v>1438</v>
      </c>
      <c r="K49" s="13">
        <v>1344</v>
      </c>
      <c r="L49" s="13">
        <v>534</v>
      </c>
      <c r="M49" s="13">
        <v>964</v>
      </c>
      <c r="N49" s="13">
        <v>1567</v>
      </c>
      <c r="O49" s="13">
        <v>846</v>
      </c>
      <c r="P49" s="13">
        <v>135</v>
      </c>
      <c r="Q49" s="13">
        <v>319</v>
      </c>
      <c r="R49" s="13">
        <v>920</v>
      </c>
      <c r="S49" s="13">
        <v>950</v>
      </c>
      <c r="T49" s="13">
        <v>480</v>
      </c>
      <c r="U49" s="13">
        <v>719</v>
      </c>
      <c r="Z49" s="13">
        <v>248</v>
      </c>
      <c r="AA49" s="13">
        <v>1068</v>
      </c>
      <c r="AB49" s="13">
        <v>140</v>
      </c>
      <c r="AC49" s="13">
        <v>103</v>
      </c>
      <c r="AD49" s="13">
        <v>26</v>
      </c>
      <c r="AE49" s="13">
        <v>14</v>
      </c>
      <c r="AF49" s="13">
        <v>216</v>
      </c>
      <c r="AG49" s="13">
        <v>317</v>
      </c>
      <c r="AH49" s="13">
        <v>1344</v>
      </c>
      <c r="AI49" s="13">
        <v>846</v>
      </c>
      <c r="AJ49" s="13">
        <v>950</v>
      </c>
      <c r="AK49" s="14"/>
    </row>
    <row r="50" spans="1:37" s="13" customFormat="1" x14ac:dyDescent="0.25">
      <c r="A50" s="2"/>
      <c r="B50" s="4"/>
      <c r="C50" s="1" t="s">
        <v>65</v>
      </c>
      <c r="D50" s="12">
        <f t="shared" ref="D50:O50" si="64">SUM(D43:D49)</f>
        <v>47032</v>
      </c>
      <c r="E50" s="12">
        <f t="shared" si="64"/>
        <v>49974</v>
      </c>
      <c r="F50" s="12">
        <f t="shared" si="64"/>
        <v>51164</v>
      </c>
      <c r="G50" s="12">
        <f t="shared" si="64"/>
        <v>50948</v>
      </c>
      <c r="H50" s="12">
        <f t="shared" si="64"/>
        <v>55140</v>
      </c>
      <c r="I50" s="12">
        <f t="shared" si="64"/>
        <v>56682</v>
      </c>
      <c r="J50" s="12">
        <f t="shared" si="64"/>
        <v>56718</v>
      </c>
      <c r="K50" s="12">
        <f t="shared" si="64"/>
        <v>53956</v>
      </c>
      <c r="L50" s="12">
        <f t="shared" si="64"/>
        <v>56050</v>
      </c>
      <c r="M50" s="12">
        <f t="shared" si="64"/>
        <v>56413</v>
      </c>
      <c r="N50" s="12">
        <f t="shared" si="64"/>
        <v>56421</v>
      </c>
      <c r="O50" s="12">
        <f t="shared" si="64"/>
        <v>53842</v>
      </c>
      <c r="P50" s="12">
        <f>SUM(P43:P49)</f>
        <v>51882</v>
      </c>
      <c r="Q50" s="12">
        <f>SUM(Q43:Q49)</f>
        <v>52474</v>
      </c>
      <c r="R50" s="12">
        <f>SUM(R43:R49)</f>
        <v>52550</v>
      </c>
      <c r="S50" s="12">
        <f>SUM(S43:S49)</f>
        <v>52532</v>
      </c>
      <c r="T50" s="12">
        <f t="shared" ref="T50:U50" si="65">SUM(T43:T49)</f>
        <v>53043</v>
      </c>
      <c r="U50" s="12">
        <f t="shared" si="65"/>
        <v>53238</v>
      </c>
      <c r="Z50" s="12">
        <f t="shared" ref="Z50:AG50" si="66">SUM(Z43:Z49)</f>
        <v>12900</v>
      </c>
      <c r="AA50" s="12">
        <f t="shared" si="66"/>
        <v>14144</v>
      </c>
      <c r="AB50" s="12">
        <f t="shared" si="66"/>
        <v>16964</v>
      </c>
      <c r="AC50" s="12">
        <f t="shared" si="66"/>
        <v>17739</v>
      </c>
      <c r="AD50" s="12">
        <f t="shared" si="66"/>
        <v>43510</v>
      </c>
      <c r="AE50" s="12">
        <f t="shared" si="66"/>
        <v>38282</v>
      </c>
      <c r="AF50" s="12">
        <f t="shared" si="66"/>
        <v>44755</v>
      </c>
      <c r="AG50" s="12">
        <f t="shared" si="66"/>
        <v>50948</v>
      </c>
      <c r="AH50" s="12">
        <f t="shared" ref="AH50" si="67">SUM(AH43:AH49)</f>
        <v>53956</v>
      </c>
      <c r="AI50" s="12">
        <f t="shared" ref="AI50" si="68">SUM(AI43:AI49)</f>
        <v>53842</v>
      </c>
      <c r="AJ50" s="12">
        <f>SUM(AJ43:AJ49)</f>
        <v>52532</v>
      </c>
      <c r="AK50" s="14"/>
    </row>
    <row r="51" spans="1:37" s="13" customFormat="1" x14ac:dyDescent="0.25">
      <c r="A51" s="2"/>
      <c r="B51" s="4"/>
      <c r="C51" s="2" t="s">
        <v>119</v>
      </c>
      <c r="D51" s="13">
        <v>772</v>
      </c>
      <c r="E51" s="13">
        <v>1432</v>
      </c>
      <c r="F51" s="13">
        <v>2380</v>
      </c>
      <c r="G51" s="13">
        <v>2197</v>
      </c>
      <c r="H51" s="13">
        <v>1609</v>
      </c>
      <c r="I51" s="13">
        <v>1913</v>
      </c>
      <c r="J51" s="13">
        <v>2413</v>
      </c>
      <c r="K51" s="13">
        <v>2059</v>
      </c>
      <c r="L51" s="13">
        <v>1718</v>
      </c>
      <c r="M51" s="13">
        <v>2267</v>
      </c>
      <c r="N51" s="13">
        <v>3622</v>
      </c>
      <c r="O51" s="13">
        <v>3265</v>
      </c>
      <c r="P51" s="13">
        <v>2643</v>
      </c>
      <c r="Q51" s="13">
        <v>2645</v>
      </c>
      <c r="R51" s="13">
        <v>3221</v>
      </c>
      <c r="S51" s="13">
        <v>2896</v>
      </c>
      <c r="T51" s="13">
        <v>2679</v>
      </c>
      <c r="U51" s="13">
        <v>2766</v>
      </c>
      <c r="Z51" s="13">
        <v>6177</v>
      </c>
      <c r="AA51" s="13">
        <v>7072</v>
      </c>
      <c r="AB51" s="13">
        <v>7323</v>
      </c>
      <c r="AC51" s="13">
        <v>7767</v>
      </c>
      <c r="AD51" s="13">
        <v>6557</v>
      </c>
      <c r="AE51" s="13">
        <v>2035</v>
      </c>
      <c r="AF51" s="13">
        <v>1115</v>
      </c>
      <c r="AG51" s="13">
        <v>2197</v>
      </c>
      <c r="AH51" s="13">
        <v>2059</v>
      </c>
      <c r="AI51" s="13">
        <v>3265</v>
      </c>
      <c r="AJ51" s="13">
        <v>2896</v>
      </c>
      <c r="AK51" s="14"/>
    </row>
    <row r="52" spans="1:37" s="13" customFormat="1" x14ac:dyDescent="0.25">
      <c r="A52" s="2"/>
      <c r="B52" s="4"/>
      <c r="C52" s="2" t="s">
        <v>66</v>
      </c>
      <c r="D52" s="13">
        <v>45</v>
      </c>
      <c r="E52" s="13">
        <v>54</v>
      </c>
      <c r="F52" s="13">
        <v>65</v>
      </c>
      <c r="G52" s="13">
        <v>77</v>
      </c>
      <c r="H52" s="13">
        <v>81</v>
      </c>
      <c r="I52" s="13">
        <v>91</v>
      </c>
      <c r="J52" s="13">
        <v>101</v>
      </c>
      <c r="K52" s="13">
        <v>107</v>
      </c>
      <c r="L52" s="13">
        <v>110</v>
      </c>
      <c r="M52" s="13">
        <v>117</v>
      </c>
      <c r="N52" s="13">
        <v>112</v>
      </c>
      <c r="O52" s="13">
        <v>107</v>
      </c>
      <c r="P52" s="13">
        <v>104</v>
      </c>
      <c r="Q52" s="13">
        <v>78</v>
      </c>
      <c r="R52" s="13">
        <v>79</v>
      </c>
      <c r="S52" s="13">
        <v>72</v>
      </c>
      <c r="T52" s="13">
        <v>77</v>
      </c>
      <c r="U52" s="13">
        <v>78</v>
      </c>
      <c r="Z52" s="13">
        <v>28</v>
      </c>
      <c r="AA52" s="13">
        <v>31</v>
      </c>
      <c r="AB52" s="13">
        <v>33</v>
      </c>
      <c r="AC52" s="13">
        <v>38</v>
      </c>
      <c r="AD52" s="13">
        <v>43</v>
      </c>
      <c r="AE52" s="13">
        <v>36</v>
      </c>
      <c r="AF52" s="13">
        <v>40</v>
      </c>
      <c r="AG52" s="13">
        <v>77</v>
      </c>
      <c r="AH52" s="13">
        <v>107</v>
      </c>
      <c r="AI52" s="13">
        <v>107</v>
      </c>
      <c r="AJ52" s="13">
        <v>72</v>
      </c>
      <c r="AK52" s="14"/>
    </row>
    <row r="53" spans="1:37" s="13" customFormat="1" x14ac:dyDescent="0.25">
      <c r="A53" s="2"/>
      <c r="B53" s="4"/>
      <c r="C53" s="11" t="s">
        <v>120</v>
      </c>
      <c r="D53" s="15">
        <f t="shared" ref="D53:O53" si="69">SUM(D51:D52)</f>
        <v>817</v>
      </c>
      <c r="E53" s="15">
        <f t="shared" si="69"/>
        <v>1486</v>
      </c>
      <c r="F53" s="15">
        <f t="shared" si="69"/>
        <v>2445</v>
      </c>
      <c r="G53" s="15">
        <f t="shared" si="69"/>
        <v>2274</v>
      </c>
      <c r="H53" s="15">
        <f t="shared" si="69"/>
        <v>1690</v>
      </c>
      <c r="I53" s="15">
        <f t="shared" si="69"/>
        <v>2004</v>
      </c>
      <c r="J53" s="15">
        <f t="shared" si="69"/>
        <v>2514</v>
      </c>
      <c r="K53" s="15">
        <f t="shared" si="69"/>
        <v>2166</v>
      </c>
      <c r="L53" s="15">
        <f t="shared" si="69"/>
        <v>1828</v>
      </c>
      <c r="M53" s="15">
        <f t="shared" si="69"/>
        <v>2384</v>
      </c>
      <c r="N53" s="15">
        <f t="shared" si="69"/>
        <v>3734</v>
      </c>
      <c r="O53" s="15">
        <f t="shared" si="69"/>
        <v>3372</v>
      </c>
      <c r="P53" s="15">
        <f>SUM(P51:P52)</f>
        <v>2747</v>
      </c>
      <c r="Q53" s="15">
        <f>SUM(Q51:Q52)</f>
        <v>2723</v>
      </c>
      <c r="R53" s="15">
        <f>SUM(R51:R52)</f>
        <v>3300</v>
      </c>
      <c r="S53" s="15">
        <f>SUM(S51:S52)</f>
        <v>2968</v>
      </c>
      <c r="T53" s="15">
        <f t="shared" ref="T53:U53" si="70">SUM(T51:T52)</f>
        <v>2756</v>
      </c>
      <c r="U53" s="15">
        <f t="shared" si="70"/>
        <v>2844</v>
      </c>
      <c r="Z53" s="15">
        <f t="shared" ref="Z53:AG53" si="71">SUM(Z51:Z52)</f>
        <v>6205</v>
      </c>
      <c r="AA53" s="15">
        <f t="shared" si="71"/>
        <v>7103</v>
      </c>
      <c r="AB53" s="15">
        <f t="shared" si="71"/>
        <v>7356</v>
      </c>
      <c r="AC53" s="15">
        <f t="shared" si="71"/>
        <v>7805</v>
      </c>
      <c r="AD53" s="15">
        <f t="shared" si="71"/>
        <v>6600</v>
      </c>
      <c r="AE53" s="15">
        <f t="shared" si="71"/>
        <v>2071</v>
      </c>
      <c r="AF53" s="15">
        <f t="shared" si="71"/>
        <v>1155</v>
      </c>
      <c r="AG53" s="15">
        <f t="shared" si="71"/>
        <v>2274</v>
      </c>
      <c r="AH53" s="15">
        <f t="shared" ref="AH53" si="72">SUM(AH51:AH52)</f>
        <v>2166</v>
      </c>
      <c r="AI53" s="15">
        <f t="shared" ref="AI53" si="73">SUM(AI51:AI52)</f>
        <v>3372</v>
      </c>
      <c r="AJ53" s="15">
        <f>SUM(AJ51:AJ52)</f>
        <v>2968</v>
      </c>
      <c r="AK53" s="14"/>
    </row>
    <row r="54" spans="1:37" s="13" customFormat="1" x14ac:dyDescent="0.25">
      <c r="A54" s="2"/>
      <c r="B54" s="4"/>
      <c r="C54" s="2" t="s">
        <v>121</v>
      </c>
      <c r="D54" s="13">
        <v>4061</v>
      </c>
      <c r="E54" s="13">
        <v>2729</v>
      </c>
      <c r="F54" s="13">
        <v>1767</v>
      </c>
      <c r="G54" s="13">
        <v>1107</v>
      </c>
      <c r="H54" s="13">
        <v>1270</v>
      </c>
      <c r="I54" s="13">
        <v>974</v>
      </c>
      <c r="J54" s="13">
        <v>977</v>
      </c>
      <c r="K54" s="13">
        <v>980</v>
      </c>
      <c r="L54" s="13">
        <v>982</v>
      </c>
      <c r="M54" s="13">
        <v>985</v>
      </c>
      <c r="N54" s="13">
        <v>972</v>
      </c>
      <c r="O54" s="13">
        <v>974</v>
      </c>
      <c r="P54" s="13">
        <v>1133</v>
      </c>
      <c r="Q54" s="13">
        <v>980</v>
      </c>
      <c r="R54" s="13">
        <v>982</v>
      </c>
      <c r="S54" s="13">
        <v>985</v>
      </c>
      <c r="T54" s="13">
        <v>987</v>
      </c>
      <c r="U54" s="13">
        <v>990</v>
      </c>
      <c r="V54" s="12"/>
      <c r="W54" s="12"/>
      <c r="X54" s="12"/>
      <c r="Y54" s="12"/>
      <c r="Z54" s="13">
        <v>3600</v>
      </c>
      <c r="AA54" s="13">
        <v>3777</v>
      </c>
      <c r="AB54" s="13">
        <v>3769</v>
      </c>
      <c r="AC54" s="13">
        <v>2940</v>
      </c>
      <c r="AD54" s="13">
        <v>3036</v>
      </c>
      <c r="AE54" s="13">
        <v>4526</v>
      </c>
      <c r="AF54" s="13">
        <v>3269</v>
      </c>
      <c r="AG54" s="13">
        <v>1107</v>
      </c>
      <c r="AH54" s="13">
        <v>980</v>
      </c>
      <c r="AI54" s="13">
        <v>974</v>
      </c>
      <c r="AJ54" s="13">
        <v>985</v>
      </c>
      <c r="AK54" s="14"/>
    </row>
    <row r="55" spans="1:37" s="13" customFormat="1" x14ac:dyDescent="0.25">
      <c r="A55" s="2"/>
      <c r="B55" s="4"/>
      <c r="C55" s="2" t="s">
        <v>122</v>
      </c>
      <c r="D55" s="13">
        <v>33714</v>
      </c>
      <c r="E55" s="13">
        <v>36589</v>
      </c>
      <c r="F55" s="13">
        <v>37318</v>
      </c>
      <c r="G55" s="13">
        <v>38062</v>
      </c>
      <c r="H55" s="13">
        <v>41886</v>
      </c>
      <c r="I55" s="13">
        <v>42599</v>
      </c>
      <c r="J55" s="13">
        <v>41459</v>
      </c>
      <c r="K55" s="13">
        <v>41041</v>
      </c>
      <c r="L55" s="13">
        <v>43154</v>
      </c>
      <c r="M55" s="13">
        <v>42415</v>
      </c>
      <c r="N55" s="13">
        <v>41618</v>
      </c>
      <c r="O55" s="13">
        <v>41757</v>
      </c>
      <c r="P55" s="13">
        <v>40627</v>
      </c>
      <c r="Q55" s="13">
        <v>40888</v>
      </c>
      <c r="R55" s="13">
        <v>40387</v>
      </c>
      <c r="S55" s="13">
        <v>41024</v>
      </c>
      <c r="T55" s="13">
        <v>41556</v>
      </c>
      <c r="U55" s="13">
        <v>41402</v>
      </c>
      <c r="Z55" s="13">
        <v>3</v>
      </c>
      <c r="AA55" s="13">
        <v>1</v>
      </c>
      <c r="AB55" s="13">
        <v>1607</v>
      </c>
      <c r="AC55" s="13">
        <v>1543</v>
      </c>
      <c r="AD55" s="13">
        <v>26661</v>
      </c>
      <c r="AE55" s="13">
        <v>26169</v>
      </c>
      <c r="AF55" s="13">
        <v>32302</v>
      </c>
      <c r="AG55" s="13">
        <v>38062</v>
      </c>
      <c r="AH55" s="13">
        <v>41041</v>
      </c>
      <c r="AI55" s="13">
        <v>41757</v>
      </c>
      <c r="AJ55" s="13">
        <v>41024</v>
      </c>
      <c r="AK55" s="14"/>
    </row>
    <row r="56" spans="1:37" s="13" customFormat="1" x14ac:dyDescent="0.25">
      <c r="A56" s="2"/>
      <c r="B56" s="4"/>
      <c r="C56" s="2" t="s">
        <v>123</v>
      </c>
      <c r="D56" s="13">
        <v>1119</v>
      </c>
      <c r="E56" s="13">
        <v>1560</v>
      </c>
      <c r="F56" s="13">
        <v>1422</v>
      </c>
      <c r="G56" s="13">
        <v>1308</v>
      </c>
      <c r="H56" s="13">
        <v>1225</v>
      </c>
      <c r="I56" s="13">
        <v>1208</v>
      </c>
      <c r="J56" s="13">
        <v>1129</v>
      </c>
      <c r="K56" s="13">
        <v>1106</v>
      </c>
      <c r="L56" s="13">
        <v>1206</v>
      </c>
      <c r="M56" s="13">
        <v>1182</v>
      </c>
      <c r="N56" s="13">
        <v>1361</v>
      </c>
      <c r="O56" s="13">
        <v>1028</v>
      </c>
      <c r="P56" s="13">
        <v>1050</v>
      </c>
      <c r="Q56" s="13">
        <v>1030</v>
      </c>
      <c r="R56" s="13">
        <v>1020</v>
      </c>
      <c r="S56" s="13">
        <v>1053</v>
      </c>
      <c r="T56" s="13">
        <v>1130</v>
      </c>
      <c r="U56" s="13">
        <v>1161</v>
      </c>
      <c r="Z56" s="13">
        <f>380+124+0+412</f>
        <v>916</v>
      </c>
      <c r="AA56" s="13">
        <f>413+133+47+560</f>
        <v>1153</v>
      </c>
      <c r="AB56" s="13">
        <f>542+128+0+642</f>
        <v>1312</v>
      </c>
      <c r="AC56" s="13">
        <f>627+138+58+666</f>
        <v>1489</v>
      </c>
      <c r="AD56" s="13">
        <f>872+149+49+272</f>
        <v>1342</v>
      </c>
      <c r="AE56" s="13">
        <f>920+162+42+35</f>
        <v>1159</v>
      </c>
      <c r="AF56" s="13">
        <f>833+167+60+24</f>
        <v>1084</v>
      </c>
      <c r="AG56" s="13">
        <f>545+206+533+24</f>
        <v>1308</v>
      </c>
      <c r="AH56" s="13">
        <v>1106</v>
      </c>
      <c r="AI56" s="13">
        <v>1028</v>
      </c>
      <c r="AJ56" s="13">
        <v>1053</v>
      </c>
      <c r="AK56" s="14"/>
    </row>
    <row r="57" spans="1:37" s="13" customFormat="1" x14ac:dyDescent="0.25">
      <c r="A57" s="2"/>
      <c r="B57" s="4"/>
      <c r="C57" s="2" t="s">
        <v>124</v>
      </c>
      <c r="D57" s="13">
        <v>1369</v>
      </c>
      <c r="E57" s="13">
        <v>1406</v>
      </c>
      <c r="F57" s="13">
        <v>1444</v>
      </c>
      <c r="G57" s="13">
        <v>1484</v>
      </c>
      <c r="H57" s="13">
        <f>1524</f>
        <v>1524</v>
      </c>
      <c r="I57" s="13">
        <f>1566</f>
        <v>1566</v>
      </c>
      <c r="J57" s="13">
        <f>1609</f>
        <v>1609</v>
      </c>
      <c r="K57" s="13">
        <v>1109</v>
      </c>
      <c r="L57" s="13">
        <v>1140</v>
      </c>
      <c r="M57" s="13">
        <v>962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0</v>
      </c>
      <c r="T57" s="13">
        <v>0</v>
      </c>
      <c r="U57" s="13">
        <v>0</v>
      </c>
      <c r="Z57" s="13">
        <v>0</v>
      </c>
      <c r="AA57" s="13">
        <v>0</v>
      </c>
      <c r="AB57" s="13">
        <v>0</v>
      </c>
      <c r="AC57" s="13">
        <v>0</v>
      </c>
      <c r="AD57" s="13">
        <v>0</v>
      </c>
      <c r="AE57" s="13">
        <v>0</v>
      </c>
      <c r="AF57" s="13">
        <v>1333</v>
      </c>
      <c r="AG57" s="13">
        <v>1484</v>
      </c>
      <c r="AH57" s="13">
        <v>1109</v>
      </c>
      <c r="AI57" s="13">
        <v>0</v>
      </c>
      <c r="AJ57" s="13">
        <v>0</v>
      </c>
      <c r="AK57" s="14"/>
    </row>
    <row r="58" spans="1:37" s="13" customFormat="1" x14ac:dyDescent="0.25">
      <c r="A58" s="2"/>
      <c r="B58" s="4"/>
      <c r="C58" s="2" t="s">
        <v>135</v>
      </c>
      <c r="D58" s="13">
        <v>2088</v>
      </c>
      <c r="E58" s="13">
        <v>2174</v>
      </c>
      <c r="F58" s="13">
        <v>2204</v>
      </c>
      <c r="G58" s="13">
        <v>2268</v>
      </c>
      <c r="H58" s="13">
        <v>2432</v>
      </c>
      <c r="I58" s="13">
        <v>2522</v>
      </c>
      <c r="J58" s="13">
        <v>2520</v>
      </c>
      <c r="K58" s="13">
        <v>2444</v>
      </c>
      <c r="L58" s="13">
        <v>2591</v>
      </c>
      <c r="M58" s="13">
        <v>2587</v>
      </c>
      <c r="N58" s="13">
        <v>2595</v>
      </c>
      <c r="O58" s="13">
        <v>2654</v>
      </c>
      <c r="P58" s="13">
        <v>2643</v>
      </c>
      <c r="Q58" s="13">
        <v>2732</v>
      </c>
      <c r="R58" s="13">
        <v>2743</v>
      </c>
      <c r="S58" s="13">
        <v>2668</v>
      </c>
      <c r="T58" s="13">
        <v>2772</v>
      </c>
      <c r="U58" s="13">
        <v>2799</v>
      </c>
      <c r="Z58" s="13">
        <v>0</v>
      </c>
      <c r="AA58" s="13">
        <v>0</v>
      </c>
      <c r="AB58" s="13">
        <v>58</v>
      </c>
      <c r="AC58" s="13">
        <v>63</v>
      </c>
      <c r="AD58" s="13">
        <v>0</v>
      </c>
      <c r="AE58" s="13">
        <v>1850</v>
      </c>
      <c r="AF58" s="13">
        <v>1947</v>
      </c>
      <c r="AG58" s="13">
        <v>2268</v>
      </c>
      <c r="AH58" s="13">
        <v>2444</v>
      </c>
      <c r="AI58" s="13">
        <v>2654</v>
      </c>
      <c r="AJ58" s="13">
        <v>2668</v>
      </c>
      <c r="AK58" s="14"/>
    </row>
    <row r="59" spans="1:37" s="13" customFormat="1" x14ac:dyDescent="0.25">
      <c r="A59" s="2"/>
      <c r="B59" s="4"/>
      <c r="C59" s="2" t="s">
        <v>67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25</v>
      </c>
      <c r="K59" s="13">
        <v>7</v>
      </c>
      <c r="L59" s="13">
        <v>44</v>
      </c>
      <c r="M59" s="13">
        <v>40</v>
      </c>
      <c r="N59" s="13">
        <v>34</v>
      </c>
      <c r="O59" s="13">
        <v>48</v>
      </c>
      <c r="P59" s="13">
        <v>57</v>
      </c>
      <c r="Q59" s="13">
        <v>35</v>
      </c>
      <c r="R59" s="13">
        <v>12</v>
      </c>
      <c r="S59" s="13">
        <v>14</v>
      </c>
      <c r="T59" s="15">
        <v>0</v>
      </c>
      <c r="U59" s="13">
        <v>0</v>
      </c>
      <c r="V59" s="15"/>
      <c r="W59" s="15"/>
      <c r="X59" s="15"/>
      <c r="Y59" s="15"/>
      <c r="Z59" s="15">
        <v>77</v>
      </c>
      <c r="AA59" s="15">
        <v>20</v>
      </c>
      <c r="AB59" s="15">
        <v>5</v>
      </c>
      <c r="AC59" s="13">
        <v>0</v>
      </c>
      <c r="AD59" s="13">
        <v>487</v>
      </c>
      <c r="AE59" s="13">
        <v>18</v>
      </c>
      <c r="AF59" s="13">
        <v>0</v>
      </c>
      <c r="AG59" s="13">
        <v>0</v>
      </c>
      <c r="AH59" s="13">
        <v>7</v>
      </c>
      <c r="AI59" s="13">
        <v>48</v>
      </c>
      <c r="AJ59" s="13">
        <v>14</v>
      </c>
      <c r="AK59" s="14"/>
    </row>
    <row r="60" spans="1:37" s="13" customFormat="1" x14ac:dyDescent="0.25">
      <c r="A60" s="2"/>
      <c r="B60" s="4"/>
      <c r="C60" s="2" t="s">
        <v>125</v>
      </c>
      <c r="D60" s="15">
        <v>3864</v>
      </c>
      <c r="E60" s="13">
        <v>4029</v>
      </c>
      <c r="F60" s="13">
        <v>4565</v>
      </c>
      <c r="G60" s="13">
        <v>4445</v>
      </c>
      <c r="H60" s="13">
        <v>5113</v>
      </c>
      <c r="I60" s="13">
        <v>5811</v>
      </c>
      <c r="J60" s="13">
        <v>6484</v>
      </c>
      <c r="K60" s="13">
        <v>5103</v>
      </c>
      <c r="L60" s="13">
        <v>5105</v>
      </c>
      <c r="M60" s="13">
        <v>5859</v>
      </c>
      <c r="N60" s="13">
        <v>6108</v>
      </c>
      <c r="O60" s="13">
        <v>4009</v>
      </c>
      <c r="P60" s="13">
        <v>3624</v>
      </c>
      <c r="Q60" s="13">
        <v>4086</v>
      </c>
      <c r="R60" s="13">
        <v>4105</v>
      </c>
      <c r="S60" s="13">
        <v>3820</v>
      </c>
      <c r="T60" s="13">
        <v>3842</v>
      </c>
      <c r="U60" s="13">
        <v>4042</v>
      </c>
      <c r="Z60" s="13">
        <f>88+482+0+190+1339</f>
        <v>2099</v>
      </c>
      <c r="AA60" s="13">
        <f>112+527+5+222+1224</f>
        <v>2090</v>
      </c>
      <c r="AB60" s="13">
        <f>164+786+0+9+70+367+1461</f>
        <v>2857</v>
      </c>
      <c r="AC60" s="13">
        <f>206+791+1000+30+1+330+1538</f>
        <v>3896</v>
      </c>
      <c r="AD60" s="13">
        <f>226+767+174+2116+365+1735</f>
        <v>5383</v>
      </c>
      <c r="AE60" s="13">
        <f>170+317+201+10+121+1671</f>
        <v>2490</v>
      </c>
      <c r="AF60" s="13">
        <f>220+977+14+237+2217</f>
        <v>3665</v>
      </c>
      <c r="AG60" s="13">
        <f>259+986+124+531+2545</f>
        <v>4445</v>
      </c>
      <c r="AH60" s="13">
        <v>5103</v>
      </c>
      <c r="AI60" s="13">
        <v>4009</v>
      </c>
      <c r="AJ60" s="13">
        <v>3820</v>
      </c>
      <c r="AK60" s="14"/>
    </row>
    <row r="61" spans="1:37" s="13" customFormat="1" x14ac:dyDescent="0.25">
      <c r="A61" s="2"/>
      <c r="B61" s="4"/>
      <c r="C61" s="11" t="s">
        <v>68</v>
      </c>
      <c r="D61" s="15">
        <f t="shared" ref="D61:O61" si="74">SUM(D54:D60)</f>
        <v>46215</v>
      </c>
      <c r="E61" s="15">
        <f t="shared" si="74"/>
        <v>48487</v>
      </c>
      <c r="F61" s="15">
        <f t="shared" si="74"/>
        <v>48720</v>
      </c>
      <c r="G61" s="15">
        <f t="shared" si="74"/>
        <v>48674</v>
      </c>
      <c r="H61" s="15">
        <f t="shared" si="74"/>
        <v>53450</v>
      </c>
      <c r="I61" s="15">
        <f t="shared" si="74"/>
        <v>54680</v>
      </c>
      <c r="J61" s="15">
        <f t="shared" si="74"/>
        <v>54203</v>
      </c>
      <c r="K61" s="15">
        <f t="shared" si="74"/>
        <v>51790</v>
      </c>
      <c r="L61" s="15">
        <f t="shared" si="74"/>
        <v>54222</v>
      </c>
      <c r="M61" s="15">
        <f t="shared" si="74"/>
        <v>54030</v>
      </c>
      <c r="N61" s="15">
        <f t="shared" si="74"/>
        <v>52688</v>
      </c>
      <c r="O61" s="15">
        <f t="shared" si="74"/>
        <v>50470</v>
      </c>
      <c r="P61" s="15">
        <f>SUM(P54:P60)</f>
        <v>49134</v>
      </c>
      <c r="Q61" s="15">
        <f>SUM(Q54:Q60)</f>
        <v>49751</v>
      </c>
      <c r="R61" s="15">
        <f>SUM(R54:R60)</f>
        <v>49249</v>
      </c>
      <c r="S61" s="15">
        <f>SUM(S54:S60)</f>
        <v>49564</v>
      </c>
      <c r="T61" s="15">
        <f t="shared" ref="T61:U61" si="75">SUM(T54:T60)</f>
        <v>50287</v>
      </c>
      <c r="U61" s="15">
        <f t="shared" si="75"/>
        <v>50394</v>
      </c>
      <c r="Z61" s="15">
        <f t="shared" ref="Z61:AG61" si="76">SUM(Z54:Z60)</f>
        <v>6695</v>
      </c>
      <c r="AA61" s="15">
        <f t="shared" si="76"/>
        <v>7041</v>
      </c>
      <c r="AB61" s="15">
        <f t="shared" si="76"/>
        <v>9608</v>
      </c>
      <c r="AC61" s="15">
        <f t="shared" si="76"/>
        <v>9931</v>
      </c>
      <c r="AD61" s="15">
        <f t="shared" si="76"/>
        <v>36909</v>
      </c>
      <c r="AE61" s="15">
        <f t="shared" si="76"/>
        <v>36212</v>
      </c>
      <c r="AF61" s="15">
        <f t="shared" si="76"/>
        <v>43600</v>
      </c>
      <c r="AG61" s="15">
        <f t="shared" si="76"/>
        <v>48674</v>
      </c>
      <c r="AH61" s="15">
        <f t="shared" ref="AH61" si="77">SUM(AH54:AH60)</f>
        <v>51790</v>
      </c>
      <c r="AI61" s="15">
        <f t="shared" ref="AI61" si="78">SUM(AI54:AI60)</f>
        <v>50470</v>
      </c>
      <c r="AJ61" s="15">
        <f>SUM(AJ54:AJ60)</f>
        <v>49564</v>
      </c>
      <c r="AK61" s="14"/>
    </row>
    <row r="62" spans="1:37" s="13" customFormat="1" x14ac:dyDescent="0.25">
      <c r="A62" s="2"/>
      <c r="B62" s="4"/>
      <c r="C62" s="1" t="s">
        <v>69</v>
      </c>
      <c r="D62" s="12">
        <f t="shared" ref="D62:O62" si="79">D53+D61</f>
        <v>47032</v>
      </c>
      <c r="E62" s="12">
        <f t="shared" si="79"/>
        <v>49973</v>
      </c>
      <c r="F62" s="12">
        <f t="shared" si="79"/>
        <v>51165</v>
      </c>
      <c r="G62" s="12">
        <f t="shared" si="79"/>
        <v>50948</v>
      </c>
      <c r="H62" s="12">
        <f t="shared" si="79"/>
        <v>55140</v>
      </c>
      <c r="I62" s="12">
        <f t="shared" si="79"/>
        <v>56684</v>
      </c>
      <c r="J62" s="12">
        <f t="shared" si="79"/>
        <v>56717</v>
      </c>
      <c r="K62" s="12">
        <f t="shared" si="79"/>
        <v>53956</v>
      </c>
      <c r="L62" s="12">
        <f t="shared" si="79"/>
        <v>56050</v>
      </c>
      <c r="M62" s="12">
        <f t="shared" si="79"/>
        <v>56414</v>
      </c>
      <c r="N62" s="12">
        <f t="shared" si="79"/>
        <v>56422</v>
      </c>
      <c r="O62" s="12">
        <f t="shared" si="79"/>
        <v>53842</v>
      </c>
      <c r="P62" s="12">
        <f>P53+P61</f>
        <v>51881</v>
      </c>
      <c r="Q62" s="12">
        <f>Q53+Q61</f>
        <v>52474</v>
      </c>
      <c r="R62" s="12">
        <f>R53+R61</f>
        <v>52549</v>
      </c>
      <c r="S62" s="12">
        <f>S53+S61</f>
        <v>52532</v>
      </c>
      <c r="T62" s="12">
        <f t="shared" ref="T62:U62" si="80">T53+T61</f>
        <v>53043</v>
      </c>
      <c r="U62" s="12">
        <f t="shared" si="80"/>
        <v>53238</v>
      </c>
      <c r="Z62" s="12">
        <f t="shared" ref="Z62:AG62" si="81">Z53+Z61</f>
        <v>12900</v>
      </c>
      <c r="AA62" s="12">
        <f t="shared" si="81"/>
        <v>14144</v>
      </c>
      <c r="AB62" s="12">
        <f t="shared" si="81"/>
        <v>16964</v>
      </c>
      <c r="AC62" s="12">
        <f t="shared" si="81"/>
        <v>17736</v>
      </c>
      <c r="AD62" s="12">
        <f t="shared" si="81"/>
        <v>43509</v>
      </c>
      <c r="AE62" s="12">
        <f t="shared" si="81"/>
        <v>38283</v>
      </c>
      <c r="AF62" s="12">
        <f t="shared" si="81"/>
        <v>44755</v>
      </c>
      <c r="AG62" s="12">
        <f t="shared" si="81"/>
        <v>50948</v>
      </c>
      <c r="AH62" s="12">
        <f t="shared" ref="AH62" si="82">AH53+AH61</f>
        <v>53956</v>
      </c>
      <c r="AI62" s="12">
        <f t="shared" ref="AI62" si="83">AI53+AI61</f>
        <v>53842</v>
      </c>
      <c r="AJ62" s="12">
        <f>AJ53+AJ61</f>
        <v>52532</v>
      </c>
      <c r="AK62" s="14"/>
    </row>
    <row r="63" spans="1:37" x14ac:dyDescent="0.25"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</row>
    <row r="64" spans="1:37" x14ac:dyDescent="0.25">
      <c r="C64" s="3" t="s">
        <v>61</v>
      </c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37" s="13" customFormat="1" x14ac:dyDescent="0.25">
      <c r="A65" s="2"/>
      <c r="B65" s="4"/>
      <c r="C65" s="2" t="s">
        <v>70</v>
      </c>
      <c r="D65" s="13">
        <f t="shared" ref="D65:U65" si="84">D15</f>
        <v>-278</v>
      </c>
      <c r="E65" s="13">
        <f t="shared" si="84"/>
        <v>1015</v>
      </c>
      <c r="F65" s="13">
        <f t="shared" si="84"/>
        <v>1233</v>
      </c>
      <c r="G65" s="13">
        <f t="shared" si="84"/>
        <v>488</v>
      </c>
      <c r="H65" s="13">
        <f t="shared" si="84"/>
        <v>198</v>
      </c>
      <c r="I65" s="13">
        <f t="shared" si="84"/>
        <v>834</v>
      </c>
      <c r="J65" s="13">
        <f t="shared" si="84"/>
        <v>1250</v>
      </c>
      <c r="K65" s="13">
        <f t="shared" si="84"/>
        <v>502</v>
      </c>
      <c r="L65" s="13">
        <f t="shared" si="84"/>
        <v>126</v>
      </c>
      <c r="M65" s="13">
        <f t="shared" si="84"/>
        <v>927</v>
      </c>
      <c r="N65" s="13">
        <f t="shared" si="84"/>
        <v>1155</v>
      </c>
      <c r="O65" s="13">
        <f t="shared" si="84"/>
        <v>626</v>
      </c>
      <c r="P65" s="13">
        <f t="shared" si="84"/>
        <v>193</v>
      </c>
      <c r="Q65" s="13">
        <f t="shared" si="84"/>
        <v>816</v>
      </c>
      <c r="R65" s="13">
        <f t="shared" si="84"/>
        <v>1174</v>
      </c>
      <c r="S65" s="13">
        <f t="shared" si="84"/>
        <v>477</v>
      </c>
      <c r="T65" s="13">
        <f t="shared" si="84"/>
        <v>212</v>
      </c>
      <c r="U65" s="13">
        <f t="shared" si="84"/>
        <v>900</v>
      </c>
      <c r="V65" s="2"/>
      <c r="X65" s="2"/>
      <c r="Y65" s="2"/>
      <c r="Z65" s="13">
        <f t="shared" ref="Z65:AJ65" si="85">Z15</f>
        <v>613</v>
      </c>
      <c r="AA65" s="13">
        <f t="shared" si="85"/>
        <v>925</v>
      </c>
      <c r="AB65" s="13">
        <f t="shared" si="85"/>
        <v>925</v>
      </c>
      <c r="AC65" s="13">
        <f t="shared" si="85"/>
        <v>983</v>
      </c>
      <c r="AD65" s="13">
        <f t="shared" si="85"/>
        <v>2144</v>
      </c>
      <c r="AE65" s="13">
        <f t="shared" si="85"/>
        <v>-4801</v>
      </c>
      <c r="AF65" s="13">
        <f t="shared" si="85"/>
        <v>-439</v>
      </c>
      <c r="AG65" s="13">
        <f t="shared" si="85"/>
        <v>2457</v>
      </c>
      <c r="AH65" s="13">
        <f t="shared" si="85"/>
        <v>2785</v>
      </c>
      <c r="AI65" s="13">
        <f t="shared" si="85"/>
        <v>2836</v>
      </c>
      <c r="AJ65" s="13">
        <f t="shared" si="85"/>
        <v>2660</v>
      </c>
      <c r="AK65" s="14"/>
    </row>
    <row r="66" spans="1:37" s="13" customFormat="1" x14ac:dyDescent="0.25">
      <c r="A66" s="2"/>
      <c r="B66" s="4"/>
      <c r="C66" s="2" t="s">
        <v>71</v>
      </c>
      <c r="D66" s="13">
        <v>-279</v>
      </c>
      <c r="E66" s="13">
        <v>1016</v>
      </c>
      <c r="F66" s="13">
        <v>1232</v>
      </c>
      <c r="G66" s="13">
        <v>488</v>
      </c>
      <c r="H66" s="13">
        <v>199</v>
      </c>
      <c r="I66" s="13">
        <v>833</v>
      </c>
      <c r="J66" s="13">
        <v>1251</v>
      </c>
      <c r="K66" s="13">
        <v>502</v>
      </c>
      <c r="L66" s="13">
        <v>126</v>
      </c>
      <c r="M66" s="13">
        <v>927</v>
      </c>
      <c r="N66" s="13">
        <v>1155</v>
      </c>
      <c r="O66" s="13">
        <v>626</v>
      </c>
      <c r="P66" s="13">
        <v>194</v>
      </c>
      <c r="Q66" s="2">
        <v>816</v>
      </c>
      <c r="R66" s="13">
        <v>1174</v>
      </c>
      <c r="S66" s="13">
        <v>477</v>
      </c>
      <c r="T66" s="2">
        <v>212</v>
      </c>
      <c r="U66" s="2">
        <v>899</v>
      </c>
      <c r="V66" s="2"/>
      <c r="X66" s="2"/>
      <c r="Y66" s="2"/>
      <c r="Z66" s="13">
        <v>613</v>
      </c>
      <c r="AA66" s="13">
        <v>925</v>
      </c>
      <c r="AB66" s="13">
        <v>925</v>
      </c>
      <c r="AC66" s="13">
        <v>983</v>
      </c>
      <c r="AD66" s="13">
        <v>2144</v>
      </c>
      <c r="AE66" s="13">
        <v>-4800</v>
      </c>
      <c r="AF66" s="13">
        <v>-440</v>
      </c>
      <c r="AG66" s="13">
        <v>2457</v>
      </c>
      <c r="AH66" s="13">
        <v>2785</v>
      </c>
      <c r="AI66" s="13">
        <v>2836</v>
      </c>
      <c r="AJ66" s="13">
        <v>2661</v>
      </c>
      <c r="AK66" s="14"/>
    </row>
    <row r="67" spans="1:37" s="13" customFormat="1" x14ac:dyDescent="0.25">
      <c r="A67" s="2"/>
      <c r="B67" s="4"/>
      <c r="C67" s="2" t="s">
        <v>159</v>
      </c>
      <c r="D67" s="13">
        <v>0</v>
      </c>
      <c r="E67" s="13">
        <v>825</v>
      </c>
      <c r="F67" s="13">
        <v>849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2">
        <v>0</v>
      </c>
      <c r="R67" s="13">
        <v>0</v>
      </c>
      <c r="S67" s="13">
        <v>1090</v>
      </c>
      <c r="T67" s="2">
        <v>973</v>
      </c>
      <c r="U67" s="2">
        <v>994</v>
      </c>
      <c r="V67" s="2"/>
      <c r="X67" s="2"/>
      <c r="Y67" s="2"/>
      <c r="Z67" s="13">
        <v>0</v>
      </c>
      <c r="AA67" s="13">
        <v>0</v>
      </c>
      <c r="AB67" s="13">
        <v>0</v>
      </c>
      <c r="AC67" s="13">
        <v>0</v>
      </c>
      <c r="AD67" s="13">
        <v>0</v>
      </c>
      <c r="AE67" s="13">
        <v>0</v>
      </c>
      <c r="AF67" s="13">
        <v>0</v>
      </c>
      <c r="AG67" s="13">
        <v>0</v>
      </c>
      <c r="AH67" s="13">
        <v>0</v>
      </c>
      <c r="AI67" s="13">
        <v>0</v>
      </c>
      <c r="AJ67" s="13">
        <v>1090</v>
      </c>
      <c r="AK67" s="14"/>
    </row>
    <row r="68" spans="1:37" s="13" customFormat="1" x14ac:dyDescent="0.25">
      <c r="A68" s="2"/>
      <c r="B68" s="4"/>
      <c r="C68" s="2" t="s">
        <v>72</v>
      </c>
      <c r="D68" s="13">
        <f>820</f>
        <v>820</v>
      </c>
      <c r="E68" s="13">
        <v>21</v>
      </c>
      <c r="F68" s="13">
        <v>-32</v>
      </c>
      <c r="G68" s="13">
        <f>878+39</f>
        <v>917</v>
      </c>
      <c r="H68" s="13">
        <f>938+15</f>
        <v>953</v>
      </c>
      <c r="I68" s="13">
        <f>943+40</f>
        <v>983</v>
      </c>
      <c r="J68" s="13">
        <f>970-11</f>
        <v>959</v>
      </c>
      <c r="K68" s="13">
        <f>962+54</f>
        <v>1016</v>
      </c>
      <c r="L68" s="13">
        <f>955+22</f>
        <v>977</v>
      </c>
      <c r="M68" s="13">
        <f>975+24</f>
        <v>999</v>
      </c>
      <c r="N68" s="13">
        <f>967+23</f>
        <v>990</v>
      </c>
      <c r="O68" s="13">
        <f>987+19</f>
        <v>1006</v>
      </c>
      <c r="P68" s="13">
        <f>966+37</f>
        <v>1003</v>
      </c>
      <c r="Q68" s="2">
        <f>959+15</f>
        <v>974</v>
      </c>
      <c r="R68" s="13">
        <f>981+1</f>
        <v>982</v>
      </c>
      <c r="S68" s="13">
        <v>14</v>
      </c>
      <c r="T68" s="2">
        <v>29</v>
      </c>
      <c r="U68" s="2">
        <v>47</v>
      </c>
      <c r="V68" s="2"/>
      <c r="X68" s="2"/>
      <c r="Y68" s="2"/>
      <c r="Z68" s="13">
        <v>521</v>
      </c>
      <c r="AA68" s="13">
        <v>537</v>
      </c>
      <c r="AB68" s="13">
        <v>548</v>
      </c>
      <c r="AC68" s="13">
        <v>869</v>
      </c>
      <c r="AD68" s="13">
        <v>3108</v>
      </c>
      <c r="AE68" s="13">
        <v>6226</v>
      </c>
      <c r="AF68" s="13">
        <v>3120</v>
      </c>
      <c r="AG68" s="13">
        <v>3400</v>
      </c>
      <c r="AH68" s="13">
        <v>3910</v>
      </c>
      <c r="AI68" s="13">
        <v>3972</v>
      </c>
      <c r="AJ68" s="13">
        <v>2973</v>
      </c>
      <c r="AK68" s="14"/>
    </row>
    <row r="69" spans="1:37" s="13" customFormat="1" x14ac:dyDescent="0.25">
      <c r="A69" s="2"/>
      <c r="B69" s="4"/>
      <c r="C69" s="2" t="s">
        <v>73</v>
      </c>
      <c r="D69" s="13">
        <v>-34</v>
      </c>
      <c r="E69" s="13">
        <v>-1</v>
      </c>
      <c r="F69" s="13">
        <v>-1</v>
      </c>
      <c r="G69" s="13">
        <v>-3</v>
      </c>
      <c r="H69" s="13">
        <v>-50</v>
      </c>
      <c r="I69" s="13">
        <v>-29</v>
      </c>
      <c r="J69" s="13">
        <v>-15</v>
      </c>
      <c r="K69" s="13">
        <v>-15</v>
      </c>
      <c r="L69" s="13">
        <v>-54</v>
      </c>
      <c r="M69" s="13">
        <v>-51</v>
      </c>
      <c r="N69" s="13">
        <v>-4</v>
      </c>
      <c r="O69" s="13">
        <v>-17</v>
      </c>
      <c r="P69" s="13">
        <v>-119</v>
      </c>
      <c r="Q69" s="2">
        <v>-93</v>
      </c>
      <c r="R69" s="13">
        <v>-46</v>
      </c>
      <c r="S69" s="13">
        <v>-43</v>
      </c>
      <c r="T69" s="2">
        <v>23</v>
      </c>
      <c r="U69" s="2">
        <v>-66</v>
      </c>
      <c r="V69" s="2"/>
      <c r="X69" s="2"/>
      <c r="Y69" s="2"/>
      <c r="Z69" s="13">
        <v>-1</v>
      </c>
      <c r="AA69" s="13">
        <v>-3</v>
      </c>
      <c r="AB69" s="13">
        <v>-125</v>
      </c>
      <c r="AC69" s="13">
        <v>-174</v>
      </c>
      <c r="AD69" s="13">
        <v>-343</v>
      </c>
      <c r="AE69" s="13">
        <v>-54</v>
      </c>
      <c r="AF69" s="13">
        <v>-51</v>
      </c>
      <c r="AG69" s="13">
        <v>-39</v>
      </c>
      <c r="AH69" s="13">
        <v>-109</v>
      </c>
      <c r="AI69" s="13">
        <v>-126</v>
      </c>
      <c r="AJ69" s="13">
        <v>-301</v>
      </c>
      <c r="AK69" s="14"/>
    </row>
    <row r="70" spans="1:37" s="13" customFormat="1" x14ac:dyDescent="0.25">
      <c r="A70" s="2"/>
      <c r="B70" s="4"/>
      <c r="C70" s="2" t="s">
        <v>74</v>
      </c>
      <c r="D70" s="13">
        <v>-440</v>
      </c>
      <c r="E70" s="13">
        <v>549</v>
      </c>
      <c r="F70" s="13">
        <v>-64</v>
      </c>
      <c r="G70" s="13">
        <v>569</v>
      </c>
      <c r="H70" s="13">
        <v>-370</v>
      </c>
      <c r="I70" s="13">
        <v>23</v>
      </c>
      <c r="J70" s="13">
        <v>-160</v>
      </c>
      <c r="K70" s="13">
        <v>315</v>
      </c>
      <c r="L70" s="13">
        <v>-435</v>
      </c>
      <c r="M70" s="13">
        <v>-29</v>
      </c>
      <c r="N70" s="13">
        <v>-245</v>
      </c>
      <c r="O70" s="13">
        <v>416</v>
      </c>
      <c r="P70" s="13">
        <v>-394</v>
      </c>
      <c r="Q70" s="2">
        <v>440</v>
      </c>
      <c r="R70" s="13">
        <v>-224</v>
      </c>
      <c r="S70" s="13">
        <v>215</v>
      </c>
      <c r="T70" s="2">
        <v>-308</v>
      </c>
      <c r="U70" s="2">
        <v>104</v>
      </c>
      <c r="V70" s="2"/>
      <c r="X70" s="2"/>
      <c r="Y70" s="2"/>
      <c r="Z70" s="13">
        <f>2-36-34-30+152</f>
        <v>54</v>
      </c>
      <c r="AA70" s="13">
        <f>-7-11+179+23-34</f>
        <v>150</v>
      </c>
      <c r="AB70" s="13">
        <f>-19-64-159+231+207</f>
        <v>196</v>
      </c>
      <c r="AC70" s="13">
        <f>-2-50+39+28+30</f>
        <v>45</v>
      </c>
      <c r="AD70" s="13">
        <f>3+51-120-17+241</f>
        <v>158</v>
      </c>
      <c r="AE70" s="13">
        <f>35+465+35-467-289</f>
        <v>-221</v>
      </c>
      <c r="AF70" s="13">
        <f>-14-368+74+656+724</f>
        <v>1072</v>
      </c>
      <c r="AG70" s="13">
        <f>-22-228+36-22+850</f>
        <v>614</v>
      </c>
      <c r="AH70" s="13">
        <f>-6+156-370+142-114</f>
        <v>-192</v>
      </c>
      <c r="AI70" s="13">
        <f>-7+71+174-257-274</f>
        <v>-293</v>
      </c>
      <c r="AJ70" s="13">
        <v>37</v>
      </c>
      <c r="AK70" s="14"/>
    </row>
    <row r="71" spans="1:37" s="13" customFormat="1" x14ac:dyDescent="0.25">
      <c r="A71" s="2"/>
      <c r="B71" s="4"/>
      <c r="C71" s="1" t="s">
        <v>31</v>
      </c>
      <c r="D71" s="12">
        <f t="shared" ref="D71:S71" si="86">SUM(D66:D70)</f>
        <v>67</v>
      </c>
      <c r="E71" s="12">
        <f t="shared" si="86"/>
        <v>2410</v>
      </c>
      <c r="F71" s="12">
        <f t="shared" si="86"/>
        <v>1984</v>
      </c>
      <c r="G71" s="12">
        <f t="shared" si="86"/>
        <v>1971</v>
      </c>
      <c r="H71" s="12">
        <f t="shared" si="86"/>
        <v>732</v>
      </c>
      <c r="I71" s="12">
        <f t="shared" si="86"/>
        <v>1810</v>
      </c>
      <c r="J71" s="12">
        <f t="shared" si="86"/>
        <v>2035</v>
      </c>
      <c r="K71" s="12">
        <f t="shared" si="86"/>
        <v>1818</v>
      </c>
      <c r="L71" s="12">
        <f t="shared" si="86"/>
        <v>614</v>
      </c>
      <c r="M71" s="12">
        <f t="shared" si="86"/>
        <v>1846</v>
      </c>
      <c r="N71" s="12">
        <f t="shared" si="86"/>
        <v>1896</v>
      </c>
      <c r="O71" s="12">
        <f t="shared" si="86"/>
        <v>2031</v>
      </c>
      <c r="P71" s="12">
        <f t="shared" si="86"/>
        <v>684</v>
      </c>
      <c r="Q71" s="12">
        <f t="shared" si="86"/>
        <v>2137</v>
      </c>
      <c r="R71" s="12">
        <f t="shared" si="86"/>
        <v>1886</v>
      </c>
      <c r="S71" s="12">
        <f t="shared" si="86"/>
        <v>1753</v>
      </c>
      <c r="T71" s="12">
        <f t="shared" ref="T71" si="87">SUM(T66:T70)</f>
        <v>929</v>
      </c>
      <c r="U71" s="12">
        <f t="shared" ref="U71" si="88">SUM(U66:U70)</f>
        <v>1978</v>
      </c>
      <c r="V71" s="2"/>
      <c r="X71" s="2"/>
      <c r="Y71" s="2"/>
      <c r="Z71" s="12">
        <f t="shared" ref="Z71" si="89">SUM(Z66:Z70)</f>
        <v>1187</v>
      </c>
      <c r="AA71" s="12">
        <f t="shared" ref="AA71" si="90">SUM(AA66:AA70)</f>
        <v>1609</v>
      </c>
      <c r="AB71" s="12">
        <f t="shared" ref="AB71" si="91">SUM(AB66:AB70)</f>
        <v>1544</v>
      </c>
      <c r="AC71" s="12">
        <f t="shared" ref="AC71" si="92">SUM(AC66:AC70)</f>
        <v>1723</v>
      </c>
      <c r="AD71" s="12">
        <f t="shared" ref="AD71:AJ71" si="93">SUM(AD66:AD70)</f>
        <v>5067</v>
      </c>
      <c r="AE71" s="12">
        <f t="shared" si="93"/>
        <v>1151</v>
      </c>
      <c r="AF71" s="12">
        <f t="shared" si="93"/>
        <v>3701</v>
      </c>
      <c r="AG71" s="12">
        <f t="shared" si="93"/>
        <v>6432</v>
      </c>
      <c r="AH71" s="12">
        <f t="shared" si="93"/>
        <v>6394</v>
      </c>
      <c r="AI71" s="12">
        <f t="shared" si="93"/>
        <v>6389</v>
      </c>
      <c r="AJ71" s="12">
        <f t="shared" si="93"/>
        <v>6460</v>
      </c>
      <c r="AK71" s="14"/>
    </row>
    <row r="72" spans="1:37" s="13" customFormat="1" x14ac:dyDescent="0.25">
      <c r="A72" s="2"/>
      <c r="B72" s="4"/>
      <c r="C72" s="2"/>
      <c r="Q72" s="2"/>
      <c r="T72" s="2"/>
      <c r="U72" s="2"/>
      <c r="V72" s="2"/>
      <c r="X72" s="2"/>
      <c r="Y72" s="2"/>
      <c r="AK72" s="14"/>
    </row>
    <row r="73" spans="1:37" s="13" customFormat="1" x14ac:dyDescent="0.25">
      <c r="A73" s="2"/>
      <c r="B73" s="4"/>
      <c r="C73" s="2" t="s">
        <v>75</v>
      </c>
      <c r="D73" s="13">
        <v>-203</v>
      </c>
      <c r="E73" s="13">
        <v>-204</v>
      </c>
      <c r="F73" s="13">
        <v>-146</v>
      </c>
      <c r="G73" s="13">
        <v>-82</v>
      </c>
      <c r="H73" s="13">
        <v>-91</v>
      </c>
      <c r="I73" s="13">
        <v>-119</v>
      </c>
      <c r="J73" s="13">
        <v>-101</v>
      </c>
      <c r="K73" s="13">
        <v>-211</v>
      </c>
      <c r="L73" s="13">
        <v>-263</v>
      </c>
      <c r="M73" s="13">
        <v>-281</v>
      </c>
      <c r="N73" s="13">
        <v>-163</v>
      </c>
      <c r="O73" s="13">
        <v>-350</v>
      </c>
      <c r="P73" s="13">
        <v>-260</v>
      </c>
      <c r="Q73" s="2">
        <v>-339</v>
      </c>
      <c r="R73" s="13">
        <v>-169</v>
      </c>
      <c r="S73" s="13">
        <v>-355</v>
      </c>
      <c r="T73" s="2">
        <v>-262</v>
      </c>
      <c r="U73" s="2">
        <v>-304</v>
      </c>
      <c r="V73" s="2"/>
      <c r="X73" s="2"/>
      <c r="Y73" s="2"/>
      <c r="Z73" s="13">
        <f>-639+16-162</f>
        <v>-785</v>
      </c>
      <c r="AA73" s="13">
        <f>-719+0+0</f>
        <v>-719</v>
      </c>
      <c r="AB73" s="13">
        <f>-964+17-1146</f>
        <v>-2093</v>
      </c>
      <c r="AC73" s="13">
        <f>-1216+16-54</f>
        <v>-1254</v>
      </c>
      <c r="AD73" s="13">
        <v>-1155</v>
      </c>
      <c r="AE73" s="13">
        <v>-751</v>
      </c>
      <c r="AF73" s="13">
        <v>-513</v>
      </c>
      <c r="AG73" s="13">
        <v>-635</v>
      </c>
      <c r="AH73" s="13">
        <v>-521</v>
      </c>
      <c r="AI73" s="13">
        <v>-1056</v>
      </c>
      <c r="AJ73" s="13">
        <v>-1123</v>
      </c>
      <c r="AK73" s="14"/>
    </row>
    <row r="74" spans="1:37" s="13" customFormat="1" x14ac:dyDescent="0.25">
      <c r="A74" s="2"/>
      <c r="B74" s="4"/>
      <c r="C74" s="1" t="s">
        <v>33</v>
      </c>
      <c r="D74" s="12">
        <f t="shared" ref="D74:N74" si="94">D73</f>
        <v>-203</v>
      </c>
      <c r="E74" s="12">
        <f t="shared" si="94"/>
        <v>-204</v>
      </c>
      <c r="F74" s="12">
        <f t="shared" si="94"/>
        <v>-146</v>
      </c>
      <c r="G74" s="12">
        <f t="shared" si="94"/>
        <v>-82</v>
      </c>
      <c r="H74" s="12">
        <f t="shared" si="94"/>
        <v>-91</v>
      </c>
      <c r="I74" s="12">
        <f t="shared" si="94"/>
        <v>-119</v>
      </c>
      <c r="J74" s="12">
        <f t="shared" si="94"/>
        <v>-101</v>
      </c>
      <c r="K74" s="12">
        <f t="shared" si="94"/>
        <v>-211</v>
      </c>
      <c r="L74" s="12">
        <f t="shared" si="94"/>
        <v>-263</v>
      </c>
      <c r="M74" s="12">
        <f t="shared" si="94"/>
        <v>-281</v>
      </c>
      <c r="N74" s="12">
        <f t="shared" si="94"/>
        <v>-163</v>
      </c>
      <c r="O74" s="12">
        <f>O73</f>
        <v>-350</v>
      </c>
      <c r="P74" s="12">
        <f>P73</f>
        <v>-260</v>
      </c>
      <c r="Q74" s="12">
        <f>Q73</f>
        <v>-339</v>
      </c>
      <c r="R74" s="12">
        <f>R73</f>
        <v>-169</v>
      </c>
      <c r="S74" s="12">
        <f>S73</f>
        <v>-355</v>
      </c>
      <c r="T74" s="12">
        <f t="shared" ref="T74:U74" si="95">T73</f>
        <v>-262</v>
      </c>
      <c r="U74" s="12">
        <f t="shared" si="95"/>
        <v>-304</v>
      </c>
      <c r="V74" s="2"/>
      <c r="X74" s="2"/>
      <c r="Y74" s="2"/>
      <c r="Z74" s="12">
        <f t="shared" ref="Z74:AC74" si="96">SUM(Z73)</f>
        <v>-785</v>
      </c>
      <c r="AA74" s="12">
        <f t="shared" si="96"/>
        <v>-719</v>
      </c>
      <c r="AB74" s="12">
        <f t="shared" si="96"/>
        <v>-2093</v>
      </c>
      <c r="AC74" s="12">
        <f t="shared" si="96"/>
        <v>-1254</v>
      </c>
      <c r="AD74" s="12">
        <f t="shared" ref="AD74:AH74" si="97">SUM(AD73)</f>
        <v>-1155</v>
      </c>
      <c r="AE74" s="12">
        <f t="shared" si="97"/>
        <v>-751</v>
      </c>
      <c r="AF74" s="12">
        <f t="shared" si="97"/>
        <v>-513</v>
      </c>
      <c r="AG74" s="12">
        <f t="shared" si="97"/>
        <v>-635</v>
      </c>
      <c r="AH74" s="12">
        <f t="shared" si="97"/>
        <v>-521</v>
      </c>
      <c r="AI74" s="12">
        <f>SUM(AI73)</f>
        <v>-1056</v>
      </c>
      <c r="AJ74" s="12">
        <f>SUM(AJ73)</f>
        <v>-1123</v>
      </c>
      <c r="AK74" s="14"/>
    </row>
    <row r="75" spans="1:37" s="13" customFormat="1" x14ac:dyDescent="0.25">
      <c r="A75" s="2"/>
      <c r="B75" s="4"/>
      <c r="C75" s="2"/>
      <c r="Q75" s="2"/>
      <c r="T75" s="2"/>
      <c r="U75" s="2"/>
      <c r="V75" s="2"/>
      <c r="X75" s="2"/>
      <c r="Y75" s="2"/>
      <c r="AK75" s="14"/>
    </row>
    <row r="76" spans="1:37" s="13" customFormat="1" x14ac:dyDescent="0.25">
      <c r="A76" s="2"/>
      <c r="B76" s="4"/>
      <c r="C76" s="2" t="s">
        <v>76</v>
      </c>
      <c r="D76" s="13">
        <v>0</v>
      </c>
      <c r="E76" s="13">
        <v>-10</v>
      </c>
      <c r="F76" s="13">
        <v>0</v>
      </c>
      <c r="G76" s="13">
        <v>0</v>
      </c>
      <c r="H76" s="13">
        <v>0</v>
      </c>
      <c r="I76" s="13">
        <v>-7</v>
      </c>
      <c r="J76" s="13">
        <v>0</v>
      </c>
      <c r="K76" s="13">
        <v>0</v>
      </c>
      <c r="L76" s="13">
        <v>0</v>
      </c>
      <c r="M76" s="13">
        <v>-7</v>
      </c>
      <c r="N76" s="13">
        <v>0</v>
      </c>
      <c r="O76" s="13">
        <v>0</v>
      </c>
      <c r="P76" s="13">
        <v>0</v>
      </c>
      <c r="Q76" s="2">
        <f>-302-33</f>
        <v>-335</v>
      </c>
      <c r="R76" s="13">
        <v>-26</v>
      </c>
      <c r="S76" s="13">
        <v>0</v>
      </c>
      <c r="T76" s="2">
        <v>0</v>
      </c>
      <c r="U76" s="2">
        <v>0</v>
      </c>
      <c r="V76" s="2"/>
      <c r="X76" s="2"/>
      <c r="Y76" s="2"/>
      <c r="Z76" s="13">
        <v>0</v>
      </c>
      <c r="AA76" s="13">
        <v>0</v>
      </c>
      <c r="AB76" s="13">
        <v>30</v>
      </c>
      <c r="AC76" s="13">
        <v>-41</v>
      </c>
      <c r="AD76" s="13">
        <v>-14</v>
      </c>
      <c r="AE76" s="13">
        <v>-37</v>
      </c>
      <c r="AF76" s="13">
        <v>-3</v>
      </c>
      <c r="AG76" s="13">
        <v>-10</v>
      </c>
      <c r="AH76" s="13">
        <v>-7</v>
      </c>
      <c r="AI76" s="13">
        <v>-7</v>
      </c>
      <c r="AJ76" s="13">
        <v>-361</v>
      </c>
      <c r="AK76" s="14"/>
    </row>
    <row r="77" spans="1:37" s="13" customFormat="1" x14ac:dyDescent="0.25">
      <c r="A77" s="2"/>
      <c r="B77" s="4"/>
      <c r="C77" s="2" t="s">
        <v>86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0</v>
      </c>
      <c r="J77" s="13">
        <v>0</v>
      </c>
      <c r="K77" s="13">
        <v>0</v>
      </c>
      <c r="L77" s="13">
        <v>0</v>
      </c>
      <c r="M77" s="13">
        <v>0</v>
      </c>
      <c r="N77" s="13">
        <v>0</v>
      </c>
      <c r="O77" s="13">
        <v>0</v>
      </c>
      <c r="P77" s="13">
        <v>0</v>
      </c>
      <c r="Q77" s="2">
        <v>0</v>
      </c>
      <c r="R77" s="13">
        <v>-436</v>
      </c>
      <c r="S77" s="13">
        <v>0</v>
      </c>
      <c r="T77" s="2">
        <v>0</v>
      </c>
      <c r="U77" s="2">
        <v>0</v>
      </c>
      <c r="V77" s="2"/>
      <c r="X77" s="2"/>
      <c r="Y77" s="2"/>
      <c r="Z77" s="13">
        <f>1540-23</f>
        <v>1517</v>
      </c>
      <c r="AA77" s="13">
        <v>0</v>
      </c>
      <c r="AB77" s="13">
        <v>0</v>
      </c>
      <c r="AC77" s="13">
        <v>0</v>
      </c>
      <c r="AE77" s="13">
        <v>1701</v>
      </c>
      <c r="AF77" s="13">
        <v>0</v>
      </c>
      <c r="AG77" s="13">
        <v>0</v>
      </c>
      <c r="AH77" s="13">
        <v>0</v>
      </c>
      <c r="AI77" s="13">
        <v>0</v>
      </c>
      <c r="AJ77" s="13">
        <v>-436</v>
      </c>
      <c r="AK77" s="14"/>
    </row>
    <row r="78" spans="1:37" s="13" customFormat="1" x14ac:dyDescent="0.25">
      <c r="A78" s="2"/>
      <c r="B78" s="4"/>
      <c r="C78" s="2" t="s">
        <v>77</v>
      </c>
      <c r="D78" s="13">
        <v>794</v>
      </c>
      <c r="E78" s="13">
        <v>-1189</v>
      </c>
      <c r="F78" s="13">
        <v>-973</v>
      </c>
      <c r="G78" s="13">
        <v>-699</v>
      </c>
      <c r="H78" s="13">
        <v>374</v>
      </c>
      <c r="I78" s="13">
        <v>-340</v>
      </c>
      <c r="J78" s="13">
        <v>-45</v>
      </c>
      <c r="K78" s="13">
        <v>-39</v>
      </c>
      <c r="L78" s="13">
        <v>-44</v>
      </c>
      <c r="M78" s="13">
        <v>-39</v>
      </c>
      <c r="N78" s="13">
        <v>-44</v>
      </c>
      <c r="O78" s="13">
        <v>-631</v>
      </c>
      <c r="P78" s="13">
        <v>156</v>
      </c>
      <c r="Q78" s="2">
        <v>-154</v>
      </c>
      <c r="R78" s="13">
        <v>0</v>
      </c>
      <c r="S78" s="13">
        <v>0</v>
      </c>
      <c r="T78" s="2">
        <v>0</v>
      </c>
      <c r="U78" s="2">
        <v>0</v>
      </c>
      <c r="V78" s="2"/>
      <c r="X78" s="2"/>
      <c r="Y78" s="2"/>
      <c r="Z78" s="13">
        <f>4742-6801</f>
        <v>-2059</v>
      </c>
      <c r="AA78" s="13">
        <f>475-475</f>
        <v>0</v>
      </c>
      <c r="AB78" s="13">
        <f>4683-4674+0</f>
        <v>9</v>
      </c>
      <c r="AC78" s="13">
        <f>878-1755+1000</f>
        <v>123</v>
      </c>
      <c r="AD78" s="13">
        <v>626</v>
      </c>
      <c r="AE78" s="13">
        <f>4571</f>
        <v>4571</v>
      </c>
      <c r="AF78" s="13">
        <f>1577-1257-201</f>
        <v>119</v>
      </c>
      <c r="AG78" s="13">
        <v>-2067</v>
      </c>
      <c r="AH78" s="13">
        <v>-51</v>
      </c>
      <c r="AI78" s="13">
        <v>-758</v>
      </c>
      <c r="AJ78" s="13">
        <v>2</v>
      </c>
      <c r="AK78" s="14"/>
    </row>
    <row r="79" spans="1:37" s="13" customFormat="1" x14ac:dyDescent="0.25">
      <c r="A79" s="2"/>
      <c r="B79" s="4"/>
      <c r="C79" s="2" t="s">
        <v>78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  <c r="J79" s="13">
        <v>0</v>
      </c>
      <c r="K79" s="13">
        <v>0</v>
      </c>
      <c r="L79" s="13">
        <v>0</v>
      </c>
      <c r="M79" s="13">
        <v>0</v>
      </c>
      <c r="N79" s="13">
        <v>0</v>
      </c>
      <c r="O79" s="13">
        <v>0</v>
      </c>
      <c r="P79" s="13">
        <v>0</v>
      </c>
      <c r="Q79" s="2">
        <v>0</v>
      </c>
      <c r="R79" s="13">
        <v>0</v>
      </c>
      <c r="S79" s="13">
        <v>0</v>
      </c>
      <c r="T79" s="2">
        <v>0</v>
      </c>
      <c r="U79" s="2">
        <v>0</v>
      </c>
      <c r="V79" s="2"/>
      <c r="X79" s="2"/>
      <c r="Y79" s="2"/>
      <c r="Z79" s="13">
        <v>0</v>
      </c>
      <c r="AA79" s="13">
        <v>0</v>
      </c>
      <c r="AB79" s="13">
        <v>0</v>
      </c>
      <c r="AC79" s="13">
        <v>0</v>
      </c>
      <c r="AD79" s="13">
        <v>-574</v>
      </c>
      <c r="AE79" s="13">
        <v>0</v>
      </c>
      <c r="AF79" s="13">
        <v>0</v>
      </c>
      <c r="AG79" s="13">
        <v>0</v>
      </c>
      <c r="AH79" s="13">
        <v>-630</v>
      </c>
      <c r="AI79" s="13">
        <v>0</v>
      </c>
      <c r="AJ79" s="13">
        <v>0</v>
      </c>
      <c r="AK79" s="14"/>
    </row>
    <row r="80" spans="1:37" s="13" customFormat="1" x14ac:dyDescent="0.25">
      <c r="A80" s="2"/>
      <c r="B80" s="4"/>
      <c r="C80" s="2" t="s">
        <v>79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-52</v>
      </c>
      <c r="P80" s="13">
        <v>-239</v>
      </c>
      <c r="Q80" s="2">
        <v>-9</v>
      </c>
      <c r="R80" s="13">
        <v>0</v>
      </c>
      <c r="S80" s="13">
        <v>0</v>
      </c>
      <c r="T80" s="2">
        <v>0</v>
      </c>
      <c r="U80" s="2">
        <v>0</v>
      </c>
      <c r="V80" s="2"/>
      <c r="X80" s="2"/>
      <c r="Y80" s="2"/>
      <c r="Z80" s="13">
        <v>0</v>
      </c>
      <c r="AA80" s="13">
        <v>0</v>
      </c>
      <c r="AB80" s="13">
        <v>0</v>
      </c>
      <c r="AC80" s="13">
        <v>0</v>
      </c>
      <c r="AD80" s="13">
        <v>-2147</v>
      </c>
      <c r="AE80" s="13">
        <v>0</v>
      </c>
      <c r="AF80" s="13">
        <v>0</v>
      </c>
      <c r="AG80" s="13">
        <v>0</v>
      </c>
      <c r="AH80" s="13">
        <v>0</v>
      </c>
      <c r="AI80" s="13">
        <v>-52</v>
      </c>
      <c r="AJ80" s="13">
        <v>-248</v>
      </c>
      <c r="AK80" s="14"/>
    </row>
    <row r="81" spans="1:37" s="13" customFormat="1" x14ac:dyDescent="0.25">
      <c r="A81" s="2"/>
      <c r="B81" s="4"/>
      <c r="C81" s="2" t="s">
        <v>80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  <c r="J81" s="13">
        <v>0</v>
      </c>
      <c r="K81" s="13">
        <v>0</v>
      </c>
      <c r="L81" s="13">
        <v>0</v>
      </c>
      <c r="M81" s="13">
        <v>0</v>
      </c>
      <c r="N81" s="13">
        <v>0</v>
      </c>
      <c r="O81" s="13">
        <v>-544</v>
      </c>
      <c r="P81" s="13">
        <v>0</v>
      </c>
      <c r="Q81" s="2">
        <v>0</v>
      </c>
      <c r="R81" s="13">
        <v>0</v>
      </c>
      <c r="S81" s="13">
        <v>-283</v>
      </c>
      <c r="T81" s="2">
        <v>0</v>
      </c>
      <c r="U81" s="2">
        <v>-279</v>
      </c>
      <c r="V81" s="2"/>
      <c r="X81" s="2"/>
      <c r="Y81" s="2"/>
      <c r="Z81" s="13">
        <v>0</v>
      </c>
      <c r="AA81" s="13">
        <v>-3</v>
      </c>
      <c r="AB81" s="13">
        <v>-325</v>
      </c>
      <c r="AC81" s="13">
        <v>-352</v>
      </c>
      <c r="AD81" s="13">
        <v>-513</v>
      </c>
      <c r="AE81" s="13">
        <v>0</v>
      </c>
      <c r="AF81" s="13">
        <v>0</v>
      </c>
      <c r="AG81" s="13">
        <v>0</v>
      </c>
      <c r="AH81" s="13">
        <v>0</v>
      </c>
      <c r="AI81" s="13">
        <v>-544</v>
      </c>
      <c r="AJ81" s="13">
        <v>-283</v>
      </c>
      <c r="AK81" s="14"/>
    </row>
    <row r="82" spans="1:37" s="13" customFormat="1" x14ac:dyDescent="0.25">
      <c r="A82" s="2"/>
      <c r="B82" s="4"/>
      <c r="C82" s="2" t="s">
        <v>81</v>
      </c>
      <c r="D82" s="13">
        <v>-462</v>
      </c>
      <c r="E82" s="13">
        <v>-467</v>
      </c>
      <c r="F82" s="13">
        <v>-516</v>
      </c>
      <c r="G82" s="13">
        <v>-532</v>
      </c>
      <c r="H82" s="13">
        <v>-552</v>
      </c>
      <c r="I82" s="13">
        <v>-575</v>
      </c>
      <c r="J82" s="13">
        <v>-603</v>
      </c>
      <c r="K82" s="13">
        <v>-598</v>
      </c>
      <c r="L82" s="13">
        <v>-609</v>
      </c>
      <c r="M82" s="13">
        <v>-631</v>
      </c>
      <c r="N82" s="13">
        <v>-627</v>
      </c>
      <c r="O82" s="13">
        <v>-634</v>
      </c>
      <c r="P82" s="13">
        <v>-655</v>
      </c>
      <c r="Q82" s="2">
        <v>-638</v>
      </c>
      <c r="R82" s="13">
        <v>-662</v>
      </c>
      <c r="S82" s="13">
        <v>-663</v>
      </c>
      <c r="T82" s="2">
        <v>-679</v>
      </c>
      <c r="U82" s="2">
        <v>-677</v>
      </c>
      <c r="V82" s="2"/>
      <c r="X82" s="2"/>
      <c r="Y82" s="2"/>
      <c r="Z82" s="13">
        <v>0</v>
      </c>
      <c r="AA82" s="13">
        <v>0</v>
      </c>
      <c r="AB82" s="13">
        <v>0</v>
      </c>
      <c r="AC82" s="13">
        <v>-61</v>
      </c>
      <c r="AD82" s="13">
        <v>-6</v>
      </c>
      <c r="AE82" s="13">
        <f>-2999-2155</f>
        <v>-5154</v>
      </c>
      <c r="AF82" s="13">
        <v>-1544</v>
      </c>
      <c r="AG82" s="13">
        <v>-1976</v>
      </c>
      <c r="AH82" s="13">
        <v>-2328</v>
      </c>
      <c r="AI82" s="13">
        <v>-2500</v>
      </c>
      <c r="AJ82" s="13">
        <v>-2618</v>
      </c>
      <c r="AK82" s="14"/>
    </row>
    <row r="83" spans="1:37" s="13" customFormat="1" x14ac:dyDescent="0.25">
      <c r="A83" s="2"/>
      <c r="B83" s="4"/>
      <c r="C83" s="2" t="s">
        <v>82</v>
      </c>
      <c r="D83" s="13">
        <v>0</v>
      </c>
      <c r="E83" s="13">
        <v>0</v>
      </c>
      <c r="F83" s="13">
        <v>0</v>
      </c>
      <c r="G83" s="13">
        <v>0</v>
      </c>
      <c r="H83" s="13">
        <v>-33</v>
      </c>
      <c r="I83" s="13">
        <v>-1</v>
      </c>
      <c r="J83" s="13">
        <v>0</v>
      </c>
      <c r="K83" s="13">
        <v>0</v>
      </c>
      <c r="L83" s="13">
        <v>0</v>
      </c>
      <c r="M83" s="13">
        <v>0</v>
      </c>
      <c r="N83" s="13">
        <v>-15</v>
      </c>
      <c r="O83" s="13">
        <v>0</v>
      </c>
      <c r="P83" s="13">
        <v>0</v>
      </c>
      <c r="Q83" s="2">
        <v>0</v>
      </c>
      <c r="R83" s="13">
        <v>0</v>
      </c>
      <c r="S83" s="2">
        <v>0</v>
      </c>
      <c r="T83" s="2">
        <v>0</v>
      </c>
      <c r="U83" s="2">
        <v>-14</v>
      </c>
      <c r="V83" s="2"/>
      <c r="X83" s="2"/>
      <c r="Y83" s="2"/>
      <c r="Z83" s="13">
        <v>-98</v>
      </c>
      <c r="AA83" s="13">
        <v>0</v>
      </c>
      <c r="AB83" s="13">
        <v>-6</v>
      </c>
      <c r="AC83" s="13">
        <v>-6</v>
      </c>
      <c r="AD83" s="13">
        <v>-71</v>
      </c>
      <c r="AE83" s="13">
        <f>-285-38</f>
        <v>-323</v>
      </c>
      <c r="AF83" s="13">
        <v>-65</v>
      </c>
      <c r="AG83" s="13">
        <v>0</v>
      </c>
      <c r="AH83" s="13">
        <v>-34</v>
      </c>
      <c r="AI83" s="13">
        <v>-15</v>
      </c>
      <c r="AJ83" s="13">
        <v>0</v>
      </c>
      <c r="AK83" s="14"/>
    </row>
    <row r="84" spans="1:37" s="13" customFormat="1" x14ac:dyDescent="0.25">
      <c r="A84" s="2"/>
      <c r="B84" s="4"/>
      <c r="C84" s="2" t="s">
        <v>126</v>
      </c>
      <c r="D84" s="13">
        <v>-344</v>
      </c>
      <c r="E84" s="13">
        <v>-74</v>
      </c>
      <c r="F84" s="13">
        <v>4</v>
      </c>
      <c r="G84" s="13">
        <v>-383</v>
      </c>
      <c r="H84" s="13">
        <v>-431</v>
      </c>
      <c r="I84" s="13">
        <v>-431</v>
      </c>
      <c r="J84" s="13">
        <v>-444</v>
      </c>
      <c r="K84" s="13">
        <v>-428</v>
      </c>
      <c r="L84" s="13">
        <v>-442</v>
      </c>
      <c r="M84" s="13">
        <v>-441</v>
      </c>
      <c r="N84" s="13">
        <v>-445</v>
      </c>
      <c r="O84" s="13">
        <v>-442</v>
      </c>
      <c r="P84" s="13">
        <v>-17</v>
      </c>
      <c r="Q84" s="2">
        <v>-434</v>
      </c>
      <c r="R84" s="13">
        <v>0</v>
      </c>
      <c r="S84" s="13">
        <v>-438</v>
      </c>
      <c r="T84" s="2">
        <v>-417</v>
      </c>
      <c r="U84" s="2">
        <v>-447</v>
      </c>
      <c r="V84" s="2"/>
      <c r="X84" s="2"/>
      <c r="Y84" s="2"/>
      <c r="Z84" s="13">
        <v>-221</v>
      </c>
      <c r="AA84" s="13">
        <v>-101</v>
      </c>
      <c r="AB84" s="13">
        <v>-80</v>
      </c>
      <c r="AC84" s="13">
        <v>-77</v>
      </c>
      <c r="AD84" s="13">
        <v>-1143</v>
      </c>
      <c r="AE84" s="13">
        <v>-148</v>
      </c>
      <c r="AF84" s="13">
        <v>0</v>
      </c>
      <c r="AG84" s="13">
        <v>0</v>
      </c>
      <c r="AH84" s="13">
        <v>-57</v>
      </c>
      <c r="AI84" s="13">
        <v>-152</v>
      </c>
      <c r="AJ84" s="13">
        <v>-889</v>
      </c>
      <c r="AK84" s="14"/>
    </row>
    <row r="85" spans="1:37" s="13" customFormat="1" x14ac:dyDescent="0.25">
      <c r="A85" s="2"/>
      <c r="B85" s="4"/>
      <c r="C85" s="2" t="s">
        <v>83</v>
      </c>
      <c r="D85" s="13">
        <v>-55</v>
      </c>
      <c r="E85" s="13">
        <v>-364</v>
      </c>
      <c r="F85" s="13">
        <v>-372</v>
      </c>
      <c r="G85" s="13">
        <v>-30</v>
      </c>
      <c r="H85" s="13">
        <v>-14</v>
      </c>
      <c r="I85" s="13">
        <v>-23</v>
      </c>
      <c r="J85" s="13">
        <v>12</v>
      </c>
      <c r="K85" s="13">
        <v>-32</v>
      </c>
      <c r="L85" s="13">
        <v>-34</v>
      </c>
      <c r="M85" s="13">
        <v>-30</v>
      </c>
      <c r="N85" s="13">
        <v>-3</v>
      </c>
      <c r="O85" s="13">
        <v>-85</v>
      </c>
      <c r="P85" s="13">
        <v>-432</v>
      </c>
      <c r="Q85" s="2">
        <v>-16</v>
      </c>
      <c r="R85" s="13">
        <v>0</v>
      </c>
      <c r="S85" s="13">
        <v>-4</v>
      </c>
      <c r="T85" s="2">
        <v>-43</v>
      </c>
      <c r="U85" s="2">
        <v>-19</v>
      </c>
      <c r="V85" s="2"/>
      <c r="X85" s="2"/>
      <c r="Y85" s="2"/>
      <c r="Z85" s="13">
        <v>0</v>
      </c>
      <c r="AA85" s="13">
        <v>0</v>
      </c>
      <c r="AB85" s="13">
        <v>0</v>
      </c>
      <c r="AC85" s="13">
        <v>-68</v>
      </c>
      <c r="AD85" s="13">
        <v>-361</v>
      </c>
      <c r="AE85" s="13">
        <v>-1036</v>
      </c>
      <c r="AF85" s="13">
        <f>-266-1194</f>
        <v>-1460</v>
      </c>
      <c r="AG85" s="13">
        <f>-1464-155</f>
        <v>-1619</v>
      </c>
      <c r="AH85" s="13">
        <v>-1734</v>
      </c>
      <c r="AI85" s="13">
        <v>-1771</v>
      </c>
      <c r="AJ85" s="13">
        <v>-452</v>
      </c>
      <c r="AK85" s="14"/>
    </row>
    <row r="86" spans="1:37" s="13" customFormat="1" x14ac:dyDescent="0.25">
      <c r="A86" s="2"/>
      <c r="B86" s="4"/>
      <c r="C86" s="1" t="s">
        <v>32</v>
      </c>
      <c r="D86" s="12">
        <f t="shared" ref="D86:O86" si="98">SUM(D76:D85)</f>
        <v>-67</v>
      </c>
      <c r="E86" s="12">
        <f t="shared" si="98"/>
        <v>-2104</v>
      </c>
      <c r="F86" s="12">
        <f t="shared" si="98"/>
        <v>-1857</v>
      </c>
      <c r="G86" s="12">
        <f t="shared" si="98"/>
        <v>-1644</v>
      </c>
      <c r="H86" s="12">
        <f t="shared" si="98"/>
        <v>-656</v>
      </c>
      <c r="I86" s="12">
        <f t="shared" si="98"/>
        <v>-1377</v>
      </c>
      <c r="J86" s="12">
        <f t="shared" si="98"/>
        <v>-1080</v>
      </c>
      <c r="K86" s="12">
        <f t="shared" si="98"/>
        <v>-1097</v>
      </c>
      <c r="L86" s="12">
        <f t="shared" si="98"/>
        <v>-1129</v>
      </c>
      <c r="M86" s="12">
        <f t="shared" si="98"/>
        <v>-1148</v>
      </c>
      <c r="N86" s="12">
        <f t="shared" si="98"/>
        <v>-1134</v>
      </c>
      <c r="O86" s="12">
        <f t="shared" si="98"/>
        <v>-2388</v>
      </c>
      <c r="P86" s="12">
        <f>SUM(P76:P85)</f>
        <v>-1187</v>
      </c>
      <c r="Q86" s="12">
        <f>SUM(Q76:Q85)</f>
        <v>-1586</v>
      </c>
      <c r="R86" s="12">
        <f>SUM(R76:R85)</f>
        <v>-1124</v>
      </c>
      <c r="S86" s="12">
        <f>SUM(S76:S85)</f>
        <v>-1388</v>
      </c>
      <c r="T86" s="12">
        <f t="shared" ref="T86:U86" si="99">SUM(T76:T85)</f>
        <v>-1139</v>
      </c>
      <c r="U86" s="12">
        <f t="shared" si="99"/>
        <v>-1436</v>
      </c>
      <c r="V86" s="2"/>
      <c r="X86" s="2"/>
      <c r="Y86" s="2"/>
      <c r="Z86" s="12">
        <f t="shared" ref="Z86:AC86" si="100">SUM(Z76:Z85)</f>
        <v>-861</v>
      </c>
      <c r="AA86" s="12">
        <f t="shared" si="100"/>
        <v>-104</v>
      </c>
      <c r="AB86" s="12">
        <f t="shared" si="100"/>
        <v>-372</v>
      </c>
      <c r="AC86" s="12">
        <f t="shared" si="100"/>
        <v>-482</v>
      </c>
      <c r="AD86" s="12">
        <f t="shared" ref="AD86:AJ86" si="101">SUM(AD76:AD85)</f>
        <v>-4203</v>
      </c>
      <c r="AE86" s="12">
        <f t="shared" si="101"/>
        <v>-426</v>
      </c>
      <c r="AF86" s="12">
        <f t="shared" si="101"/>
        <v>-2953</v>
      </c>
      <c r="AG86" s="12">
        <f t="shared" si="101"/>
        <v>-5672</v>
      </c>
      <c r="AH86" s="12">
        <f t="shared" si="101"/>
        <v>-4841</v>
      </c>
      <c r="AI86" s="12">
        <f t="shared" si="101"/>
        <v>-5799</v>
      </c>
      <c r="AJ86" s="12">
        <f t="shared" si="101"/>
        <v>-5285</v>
      </c>
      <c r="AK86" s="14"/>
    </row>
    <row r="87" spans="1:37" s="13" customFormat="1" x14ac:dyDescent="0.25">
      <c r="A87" s="2"/>
      <c r="B87" s="4"/>
      <c r="C87" s="2"/>
      <c r="Q87" s="2"/>
      <c r="T87" s="2"/>
      <c r="U87" s="2"/>
      <c r="V87" s="2"/>
      <c r="X87" s="2"/>
      <c r="Y87" s="2"/>
      <c r="AK87" s="14"/>
    </row>
    <row r="88" spans="1:37" s="13" customFormat="1" x14ac:dyDescent="0.25">
      <c r="A88" s="2"/>
      <c r="B88" s="4"/>
      <c r="C88" s="2" t="s">
        <v>84</v>
      </c>
      <c r="D88" s="13">
        <f t="shared" ref="D88:N88" si="102">D71+D74+D86</f>
        <v>-203</v>
      </c>
      <c r="E88" s="13">
        <f t="shared" si="102"/>
        <v>102</v>
      </c>
      <c r="F88" s="13">
        <f t="shared" si="102"/>
        <v>-19</v>
      </c>
      <c r="G88" s="13">
        <f t="shared" si="102"/>
        <v>245</v>
      </c>
      <c r="H88" s="13">
        <f t="shared" si="102"/>
        <v>-15</v>
      </c>
      <c r="I88" s="13">
        <f t="shared" si="102"/>
        <v>314</v>
      </c>
      <c r="J88" s="13">
        <f t="shared" si="102"/>
        <v>854</v>
      </c>
      <c r="K88" s="13">
        <f t="shared" si="102"/>
        <v>510</v>
      </c>
      <c r="L88" s="13">
        <f t="shared" si="102"/>
        <v>-778</v>
      </c>
      <c r="M88" s="13">
        <f t="shared" si="102"/>
        <v>417</v>
      </c>
      <c r="N88" s="13">
        <f t="shared" si="102"/>
        <v>599</v>
      </c>
      <c r="O88" s="13">
        <f>O71+O74+O86</f>
        <v>-707</v>
      </c>
      <c r="P88" s="13">
        <f>P71+P74+P86</f>
        <v>-763</v>
      </c>
      <c r="Q88" s="13">
        <f>Q71+Q74+Q86</f>
        <v>212</v>
      </c>
      <c r="R88" s="13">
        <f>R71+R74+R86</f>
        <v>593</v>
      </c>
      <c r="S88" s="13">
        <f>S71+S74+S86</f>
        <v>10</v>
      </c>
      <c r="T88" s="13">
        <f t="shared" ref="T88:U88" si="103">T71+T74+T86</f>
        <v>-472</v>
      </c>
      <c r="U88" s="13">
        <f t="shared" si="103"/>
        <v>238</v>
      </c>
      <c r="V88" s="2"/>
      <c r="X88" s="2"/>
      <c r="Y88" s="2"/>
      <c r="Z88" s="13">
        <f t="shared" ref="Z88:AC88" si="104">Z71+Z74+Z86</f>
        <v>-459</v>
      </c>
      <c r="AA88" s="13">
        <f t="shared" si="104"/>
        <v>786</v>
      </c>
      <c r="AB88" s="13">
        <f t="shared" si="104"/>
        <v>-921</v>
      </c>
      <c r="AC88" s="13">
        <f t="shared" si="104"/>
        <v>-13</v>
      </c>
      <c r="AD88" s="13">
        <f t="shared" ref="AD88:AI88" si="105">AD71+AD74+AD86</f>
        <v>-291</v>
      </c>
      <c r="AE88" s="13">
        <f t="shared" si="105"/>
        <v>-26</v>
      </c>
      <c r="AF88" s="13">
        <f t="shared" si="105"/>
        <v>235</v>
      </c>
      <c r="AG88" s="13">
        <f t="shared" si="105"/>
        <v>125</v>
      </c>
      <c r="AH88" s="13">
        <f t="shared" si="105"/>
        <v>1032</v>
      </c>
      <c r="AI88" s="13">
        <f t="shared" si="105"/>
        <v>-466</v>
      </c>
      <c r="AJ88" s="13">
        <f t="shared" ref="AJ88" si="106">AJ71+AJ74+AJ86</f>
        <v>52</v>
      </c>
      <c r="AK88" s="14"/>
    </row>
    <row r="89" spans="1:37" s="13" customFormat="1" x14ac:dyDescent="0.25">
      <c r="A89" s="2"/>
      <c r="B89" s="4"/>
      <c r="C89" s="2"/>
      <c r="V89" s="2"/>
      <c r="X89" s="2"/>
      <c r="Y89" s="2"/>
      <c r="AK89" s="14"/>
    </row>
    <row r="90" spans="1:37" s="13" customFormat="1" x14ac:dyDescent="0.25">
      <c r="A90" s="2"/>
      <c r="B90" s="4"/>
      <c r="C90" s="2" t="s">
        <v>85</v>
      </c>
      <c r="D90" s="13">
        <f t="shared" ref="D90:T90" si="107">D71+D73+D82</f>
        <v>-598</v>
      </c>
      <c r="E90" s="13">
        <f t="shared" si="107"/>
        <v>1739</v>
      </c>
      <c r="F90" s="13">
        <f t="shared" si="107"/>
        <v>1322</v>
      </c>
      <c r="G90" s="13">
        <f t="shared" si="107"/>
        <v>1357</v>
      </c>
      <c r="H90" s="13">
        <f t="shared" si="107"/>
        <v>89</v>
      </c>
      <c r="I90" s="13">
        <f t="shared" si="107"/>
        <v>1116</v>
      </c>
      <c r="J90" s="13">
        <f t="shared" si="107"/>
        <v>1331</v>
      </c>
      <c r="K90" s="13">
        <f t="shared" si="107"/>
        <v>1009</v>
      </c>
      <c r="L90" s="13">
        <f t="shared" si="107"/>
        <v>-258</v>
      </c>
      <c r="M90" s="13">
        <f t="shared" si="107"/>
        <v>934</v>
      </c>
      <c r="N90" s="13">
        <f t="shared" si="107"/>
        <v>1106</v>
      </c>
      <c r="O90" s="13">
        <f t="shared" si="107"/>
        <v>1047</v>
      </c>
      <c r="P90" s="13">
        <f t="shared" si="107"/>
        <v>-231</v>
      </c>
      <c r="Q90" s="13">
        <f t="shared" si="107"/>
        <v>1160</v>
      </c>
      <c r="R90" s="13">
        <f t="shared" si="107"/>
        <v>1055</v>
      </c>
      <c r="S90" s="13">
        <f t="shared" si="107"/>
        <v>735</v>
      </c>
      <c r="T90" s="13">
        <f t="shared" si="107"/>
        <v>-12</v>
      </c>
      <c r="U90" s="13">
        <f>U71+U73+U82</f>
        <v>997</v>
      </c>
      <c r="V90" s="2"/>
      <c r="X90" s="2"/>
      <c r="Y90" s="2"/>
      <c r="Z90" s="13">
        <f t="shared" ref="Z90:AC90" si="108">Z71+Z73+Z82</f>
        <v>402</v>
      </c>
      <c r="AA90" s="13">
        <f t="shared" si="108"/>
        <v>890</v>
      </c>
      <c r="AB90" s="13">
        <f t="shared" si="108"/>
        <v>-549</v>
      </c>
      <c r="AC90" s="13">
        <f t="shared" si="108"/>
        <v>408</v>
      </c>
      <c r="AD90" s="13">
        <f>AD71+AD73+AD82</f>
        <v>3906</v>
      </c>
      <c r="AE90" s="13">
        <f t="shared" ref="AE90:AI90" si="109">AE71+AE73+AE82</f>
        <v>-4754</v>
      </c>
      <c r="AF90" s="13">
        <f t="shared" si="109"/>
        <v>1644</v>
      </c>
      <c r="AG90" s="13">
        <f t="shared" si="109"/>
        <v>3821</v>
      </c>
      <c r="AH90" s="13">
        <f t="shared" si="109"/>
        <v>3545</v>
      </c>
      <c r="AI90" s="13">
        <f t="shared" si="109"/>
        <v>2833</v>
      </c>
      <c r="AJ90" s="13">
        <f>AJ71+AJ73+AJ82</f>
        <v>2719</v>
      </c>
      <c r="AK90" s="14"/>
    </row>
  </sheetData>
  <phoneticPr fontId="7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058E0-3BA5-6740-BE74-082DF7085DA4}">
  <dimension ref="A2:AK80"/>
  <sheetViews>
    <sheetView showGridLines="0" zoomScale="90" zoomScaleNormal="90" workbookViewId="0">
      <pane xSplit="2" ySplit="3" topLeftCell="L4" activePane="bottomRight" state="frozen"/>
      <selection pane="topRight" activeCell="C1" sqref="C1"/>
      <selection pane="bottomLeft" activeCell="A4" sqref="A4"/>
      <selection pane="bottomRight" activeCell="V73" sqref="V73"/>
    </sheetView>
  </sheetViews>
  <sheetFormatPr baseColWidth="10" defaultRowHeight="19" x14ac:dyDescent="0.25"/>
  <cols>
    <col min="1" max="1" width="4.83203125" style="2" customWidth="1"/>
    <col min="2" max="2" width="37.33203125" style="2" customWidth="1"/>
    <col min="3" max="17" width="10.83203125" style="2"/>
    <col min="18" max="24" width="10.1640625" style="2" customWidth="1"/>
    <col min="25" max="26" width="12" style="2" bestFit="1" customWidth="1"/>
    <col min="27" max="28" width="10.1640625" style="2" customWidth="1"/>
    <col min="29" max="16384" width="10.83203125" style="2"/>
  </cols>
  <sheetData>
    <row r="2" spans="2:37" x14ac:dyDescent="0.25">
      <c r="AD2" s="1" t="s">
        <v>170</v>
      </c>
    </row>
    <row r="3" spans="2:37" x14ac:dyDescent="0.25">
      <c r="B3" s="2" t="s">
        <v>96</v>
      </c>
      <c r="C3" s="7" t="s">
        <v>3</v>
      </c>
      <c r="D3" s="7" t="s">
        <v>4</v>
      </c>
      <c r="E3" s="7" t="s">
        <v>5</v>
      </c>
      <c r="F3" s="7" t="s">
        <v>6</v>
      </c>
      <c r="G3" s="37">
        <v>2022</v>
      </c>
      <c r="H3" s="7" t="s">
        <v>7</v>
      </c>
      <c r="I3" s="7" t="s">
        <v>8</v>
      </c>
      <c r="J3" s="7" t="s">
        <v>9</v>
      </c>
      <c r="K3" s="7" t="s">
        <v>10</v>
      </c>
      <c r="L3" s="37">
        <v>2023</v>
      </c>
      <c r="M3" s="7" t="s">
        <v>11</v>
      </c>
      <c r="N3" s="7" t="s">
        <v>12</v>
      </c>
      <c r="O3" s="7" t="s">
        <v>13</v>
      </c>
      <c r="P3" s="7" t="s">
        <v>14</v>
      </c>
      <c r="Q3" s="37">
        <v>2024</v>
      </c>
      <c r="R3" s="7" t="s">
        <v>106</v>
      </c>
      <c r="S3" s="7" t="s">
        <v>111</v>
      </c>
      <c r="T3" s="7" t="s">
        <v>112</v>
      </c>
      <c r="U3" s="7" t="s">
        <v>113</v>
      </c>
      <c r="V3" s="37">
        <v>2025</v>
      </c>
      <c r="W3" s="7" t="s">
        <v>160</v>
      </c>
      <c r="X3" s="7" t="s">
        <v>161</v>
      </c>
      <c r="Y3" s="7" t="s">
        <v>162</v>
      </c>
      <c r="Z3" s="7" t="s">
        <v>163</v>
      </c>
      <c r="AA3" s="37">
        <v>2026</v>
      </c>
      <c r="AB3" s="36"/>
    </row>
    <row r="4" spans="2:37" ht="24" x14ac:dyDescent="0.3">
      <c r="B4" s="34" t="s">
        <v>94</v>
      </c>
      <c r="G4" s="38"/>
      <c r="L4" s="38"/>
      <c r="Q4" s="38"/>
      <c r="V4" s="38"/>
      <c r="AA4" s="38"/>
      <c r="AD4" s="2" t="s">
        <v>94</v>
      </c>
      <c r="AE4" s="22">
        <f>AF4/$AF$9</f>
        <v>0.27701090536485401</v>
      </c>
      <c r="AF4" s="13">
        <v>18924</v>
      </c>
    </row>
    <row r="5" spans="2:37" x14ac:dyDescent="0.25">
      <c r="B5" s="1" t="s">
        <v>41</v>
      </c>
      <c r="C5" s="12">
        <v>827</v>
      </c>
      <c r="D5" s="12">
        <v>1686</v>
      </c>
      <c r="E5" s="12">
        <v>1882</v>
      </c>
      <c r="F5" s="12">
        <v>1658</v>
      </c>
      <c r="G5" s="29">
        <f>SUM(C5:F5)</f>
        <v>6053</v>
      </c>
      <c r="H5" s="12">
        <v>1388</v>
      </c>
      <c r="I5" s="12">
        <v>1751</v>
      </c>
      <c r="J5" s="12">
        <v>1862</v>
      </c>
      <c r="K5" s="12">
        <v>1641</v>
      </c>
      <c r="L5" s="29">
        <f>SUM(H5:K5)</f>
        <v>6642</v>
      </c>
      <c r="M5" s="12">
        <v>1325</v>
      </c>
      <c r="N5" s="12">
        <v>1755</v>
      </c>
      <c r="O5" s="12">
        <v>1873</v>
      </c>
      <c r="P5" s="12">
        <v>1654</v>
      </c>
      <c r="Q5" s="29">
        <f>SUM(M5:P5)</f>
        <v>6607</v>
      </c>
      <c r="R5" s="12">
        <v>1343</v>
      </c>
      <c r="S5" s="12">
        <v>1810</v>
      </c>
      <c r="T5" s="12">
        <v>2023</v>
      </c>
      <c r="U5" s="12">
        <v>1788</v>
      </c>
      <c r="V5" s="29">
        <f>SUM(R5:U5)</f>
        <v>6964</v>
      </c>
      <c r="W5" s="12">
        <v>1433</v>
      </c>
      <c r="X5" s="12">
        <v>1946</v>
      </c>
      <c r="Y5" s="12"/>
      <c r="Z5" s="12"/>
      <c r="AA5" s="29">
        <f>SUM(W5:Z5)</f>
        <v>3379</v>
      </c>
      <c r="AB5" s="1"/>
      <c r="AD5" s="2" t="s">
        <v>89</v>
      </c>
      <c r="AE5" s="22">
        <f>AF5/$AF$9</f>
        <v>0.23805899143672693</v>
      </c>
      <c r="AF5" s="13">
        <v>16263</v>
      </c>
    </row>
    <row r="6" spans="2:37" s="45" customFormat="1" x14ac:dyDescent="0.25">
      <c r="B6" s="45" t="s">
        <v>157</v>
      </c>
      <c r="G6" s="48"/>
      <c r="H6" s="45">
        <f t="shared" ref="H6:AA6" si="0">(H5-C5)/C5</f>
        <v>0.67835550181378479</v>
      </c>
      <c r="I6" s="45">
        <f t="shared" si="0"/>
        <v>3.8552787663107949E-2</v>
      </c>
      <c r="J6" s="45">
        <f t="shared" si="0"/>
        <v>-1.0626992561105207E-2</v>
      </c>
      <c r="K6" s="45">
        <f t="shared" si="0"/>
        <v>-1.0253317249698432E-2</v>
      </c>
      <c r="L6" s="48">
        <f t="shared" si="0"/>
        <v>9.7307120436147365E-2</v>
      </c>
      <c r="M6" s="45">
        <f t="shared" si="0"/>
        <v>-4.5389048991354465E-2</v>
      </c>
      <c r="N6" s="45">
        <f t="shared" si="0"/>
        <v>2.2844089091947459E-3</v>
      </c>
      <c r="O6" s="45">
        <f t="shared" si="0"/>
        <v>5.9076262083780882E-3</v>
      </c>
      <c r="P6" s="45">
        <f t="shared" si="0"/>
        <v>7.9219987812309562E-3</v>
      </c>
      <c r="Q6" s="48">
        <f t="shared" si="0"/>
        <v>-5.2694971394158388E-3</v>
      </c>
      <c r="R6" s="45">
        <f t="shared" si="0"/>
        <v>1.3584905660377358E-2</v>
      </c>
      <c r="S6" s="45">
        <f t="shared" si="0"/>
        <v>3.1339031339031341E-2</v>
      </c>
      <c r="T6" s="45">
        <f t="shared" si="0"/>
        <v>8.0085424452749604E-2</v>
      </c>
      <c r="U6" s="45">
        <f t="shared" si="0"/>
        <v>8.1015719467956465E-2</v>
      </c>
      <c r="V6" s="48">
        <f t="shared" si="0"/>
        <v>5.4033600726502193E-2</v>
      </c>
      <c r="W6" s="45">
        <f t="shared" si="0"/>
        <v>6.7014147431124355E-2</v>
      </c>
      <c r="X6" s="45">
        <f t="shared" si="0"/>
        <v>7.5138121546961326E-2</v>
      </c>
      <c r="Y6" s="45">
        <f t="shared" si="0"/>
        <v>-1</v>
      </c>
      <c r="Z6" s="45">
        <f t="shared" si="0"/>
        <v>-1</v>
      </c>
      <c r="AA6" s="48">
        <f t="shared" si="0"/>
        <v>-0.51479035037334864</v>
      </c>
      <c r="AD6" s="2" t="s">
        <v>90</v>
      </c>
      <c r="AE6" s="22">
        <f>AF6/$AF$9</f>
        <v>0.18050208592549222</v>
      </c>
      <c r="AF6" s="13">
        <v>12331</v>
      </c>
    </row>
    <row r="7" spans="2:37" ht="23" customHeight="1" x14ac:dyDescent="0.35">
      <c r="B7" s="2" t="s">
        <v>97</v>
      </c>
      <c r="C7" s="2">
        <v>507</v>
      </c>
      <c r="D7" s="2">
        <v>1225</v>
      </c>
      <c r="E7" s="2">
        <v>810</v>
      </c>
      <c r="F7" s="2">
        <v>433</v>
      </c>
      <c r="G7" s="38"/>
      <c r="H7" s="2">
        <v>561</v>
      </c>
      <c r="I7" s="2">
        <v>65</v>
      </c>
      <c r="J7" s="2">
        <v>-20</v>
      </c>
      <c r="K7" s="2">
        <v>-17</v>
      </c>
      <c r="L7" s="38"/>
      <c r="M7" s="2">
        <v>-63</v>
      </c>
      <c r="N7" s="2">
        <v>4</v>
      </c>
      <c r="O7" s="2">
        <v>11</v>
      </c>
      <c r="P7" s="2">
        <v>13</v>
      </c>
      <c r="Q7" s="38"/>
      <c r="R7" s="2">
        <v>18</v>
      </c>
      <c r="S7" s="2">
        <v>55</v>
      </c>
      <c r="T7" s="2">
        <v>150</v>
      </c>
      <c r="U7" s="2">
        <v>134</v>
      </c>
      <c r="V7" s="38"/>
      <c r="W7" s="2">
        <v>90</v>
      </c>
      <c r="X7" s="2">
        <v>137</v>
      </c>
      <c r="AA7" s="38"/>
      <c r="AD7" s="2" t="s">
        <v>91</v>
      </c>
      <c r="AE7" s="22">
        <f>AF7/$AF$9</f>
        <v>8.251482104954988E-2</v>
      </c>
      <c r="AF7" s="13">
        <v>5637</v>
      </c>
      <c r="AK7" s="35"/>
    </row>
    <row r="8" spans="2:37" x14ac:dyDescent="0.25">
      <c r="B8" s="23" t="s">
        <v>107</v>
      </c>
      <c r="C8" s="27">
        <v>11</v>
      </c>
      <c r="D8" s="27">
        <v>77</v>
      </c>
      <c r="E8" s="27">
        <v>159</v>
      </c>
      <c r="F8" s="27">
        <v>120</v>
      </c>
      <c r="G8" s="39"/>
      <c r="H8" s="27">
        <v>95</v>
      </c>
      <c r="I8" s="27">
        <v>68</v>
      </c>
      <c r="J8" s="27">
        <v>11</v>
      </c>
      <c r="K8" s="27">
        <v>10</v>
      </c>
      <c r="L8" s="39"/>
      <c r="M8" s="27">
        <v>4</v>
      </c>
      <c r="N8" s="27">
        <v>19</v>
      </c>
      <c r="O8" s="27">
        <v>38</v>
      </c>
      <c r="P8" s="27">
        <v>33</v>
      </c>
      <c r="Q8" s="39"/>
      <c r="R8" s="27">
        <v>9</v>
      </c>
      <c r="S8" s="27">
        <v>18</v>
      </c>
      <c r="T8" s="27">
        <v>19</v>
      </c>
      <c r="U8" s="27">
        <v>4</v>
      </c>
      <c r="V8" s="39"/>
      <c r="W8" s="27">
        <v>2</v>
      </c>
      <c r="X8" s="27">
        <v>7</v>
      </c>
      <c r="Y8" s="27"/>
      <c r="Z8" s="27"/>
      <c r="AA8" s="39"/>
      <c r="AB8" s="27"/>
      <c r="AD8" s="2" t="s">
        <v>92</v>
      </c>
      <c r="AE8" s="22">
        <f>AF8/$AF$9</f>
        <v>0.22191319622337699</v>
      </c>
      <c r="AF8" s="13">
        <v>15160</v>
      </c>
    </row>
    <row r="9" spans="2:37" x14ac:dyDescent="0.25">
      <c r="B9" s="23" t="s">
        <v>108</v>
      </c>
      <c r="C9" s="27">
        <v>0</v>
      </c>
      <c r="D9" s="27">
        <v>0</v>
      </c>
      <c r="E9" s="27">
        <v>0</v>
      </c>
      <c r="F9" s="27">
        <v>0</v>
      </c>
      <c r="G9" s="39"/>
      <c r="H9" s="27">
        <v>0</v>
      </c>
      <c r="I9" s="27">
        <v>0</v>
      </c>
      <c r="J9" s="27">
        <v>0</v>
      </c>
      <c r="K9" s="27">
        <v>0</v>
      </c>
      <c r="L9" s="39"/>
      <c r="M9" s="27">
        <v>0</v>
      </c>
      <c r="N9" s="27">
        <v>0</v>
      </c>
      <c r="O9" s="27">
        <v>0</v>
      </c>
      <c r="P9" s="27">
        <v>0</v>
      </c>
      <c r="Q9" s="39"/>
      <c r="R9" s="27">
        <v>15</v>
      </c>
      <c r="S9" s="27">
        <v>52</v>
      </c>
      <c r="T9" s="27">
        <v>34</v>
      </c>
      <c r="U9" s="27">
        <v>29</v>
      </c>
      <c r="V9" s="39"/>
      <c r="W9" s="27">
        <v>11</v>
      </c>
      <c r="X9" s="27">
        <v>-5</v>
      </c>
      <c r="Y9" s="27"/>
      <c r="Z9" s="27"/>
      <c r="AA9" s="39"/>
      <c r="AB9" s="27"/>
      <c r="AD9" s="1" t="s">
        <v>93</v>
      </c>
      <c r="AE9" s="50">
        <f>SUM(AE4:AE8)</f>
        <v>1</v>
      </c>
      <c r="AF9" s="12">
        <f>SUM(AF4:AF8)</f>
        <v>68315</v>
      </c>
    </row>
    <row r="10" spans="2:37" x14ac:dyDescent="0.25">
      <c r="B10" s="23" t="s">
        <v>98</v>
      </c>
      <c r="C10" s="27">
        <v>8</v>
      </c>
      <c r="D10" s="27">
        <v>-7</v>
      </c>
      <c r="E10" s="27">
        <v>-15</v>
      </c>
      <c r="F10" s="27">
        <v>-18</v>
      </c>
      <c r="G10" s="39"/>
      <c r="H10" s="27">
        <v>-33</v>
      </c>
      <c r="I10" s="27">
        <v>-40</v>
      </c>
      <c r="J10" s="27">
        <v>-52</v>
      </c>
      <c r="K10" s="27">
        <v>-45</v>
      </c>
      <c r="L10" s="39"/>
      <c r="M10" s="27">
        <v>-23</v>
      </c>
      <c r="N10" s="27">
        <v>-32</v>
      </c>
      <c r="O10" s="27">
        <v>-24</v>
      </c>
      <c r="P10" s="27">
        <v>-8</v>
      </c>
      <c r="Q10" s="39"/>
      <c r="R10" s="27">
        <v>0</v>
      </c>
      <c r="S10" s="27">
        <v>0</v>
      </c>
      <c r="T10" s="27">
        <v>0</v>
      </c>
      <c r="U10" s="27">
        <v>0</v>
      </c>
      <c r="V10" s="39"/>
      <c r="W10" s="27">
        <v>0</v>
      </c>
      <c r="X10" s="27">
        <v>4</v>
      </c>
      <c r="Y10" s="27"/>
      <c r="Z10" s="27"/>
      <c r="AA10" s="39"/>
      <c r="AB10" s="27"/>
    </row>
    <row r="11" spans="2:37" x14ac:dyDescent="0.25">
      <c r="B11" s="24" t="s">
        <v>99</v>
      </c>
      <c r="C11" s="28">
        <v>488</v>
      </c>
      <c r="D11" s="28">
        <v>1155</v>
      </c>
      <c r="E11" s="28">
        <v>667</v>
      </c>
      <c r="F11" s="28">
        <v>330</v>
      </c>
      <c r="G11" s="40"/>
      <c r="H11" s="28">
        <v>499</v>
      </c>
      <c r="I11" s="28">
        <v>36</v>
      </c>
      <c r="J11" s="28">
        <v>22</v>
      </c>
      <c r="K11" s="28">
        <v>18</v>
      </c>
      <c r="L11" s="40"/>
      <c r="M11" s="28">
        <v>-44</v>
      </c>
      <c r="N11" s="28">
        <v>18</v>
      </c>
      <c r="O11" s="28">
        <v>-3</v>
      </c>
      <c r="P11" s="28">
        <v>-11</v>
      </c>
      <c r="Q11" s="40"/>
      <c r="R11" s="28">
        <v>-6</v>
      </c>
      <c r="S11" s="28">
        <v>-16</v>
      </c>
      <c r="T11" s="28">
        <v>97</v>
      </c>
      <c r="U11" s="28">
        <v>100</v>
      </c>
      <c r="V11" s="40"/>
      <c r="W11" s="28">
        <v>77</v>
      </c>
      <c r="X11" s="28">
        <v>130</v>
      </c>
      <c r="Y11" s="28"/>
      <c r="Z11" s="28"/>
      <c r="AA11" s="40"/>
      <c r="AB11" s="27"/>
    </row>
    <row r="12" spans="2:37" s="13" customFormat="1" x14ac:dyDescent="0.25">
      <c r="B12" s="12" t="s">
        <v>100</v>
      </c>
      <c r="C12" s="12">
        <v>-80</v>
      </c>
      <c r="D12" s="12">
        <v>333</v>
      </c>
      <c r="E12" s="12">
        <v>401</v>
      </c>
      <c r="F12" s="12">
        <v>221</v>
      </c>
      <c r="G12" s="29">
        <f>SUM(C12:F12)</f>
        <v>875</v>
      </c>
      <c r="H12" s="12">
        <v>95</v>
      </c>
      <c r="I12" s="12">
        <v>270</v>
      </c>
      <c r="J12" s="12">
        <v>405</v>
      </c>
      <c r="K12" s="12">
        <v>225</v>
      </c>
      <c r="L12" s="29">
        <f>SUM(H12:K12)</f>
        <v>995</v>
      </c>
      <c r="M12" s="12">
        <v>66</v>
      </c>
      <c r="N12" s="12">
        <v>288</v>
      </c>
      <c r="O12" s="12">
        <v>406</v>
      </c>
      <c r="P12" s="12">
        <v>220</v>
      </c>
      <c r="Q12" s="29">
        <f>SUM(M12:P12)</f>
        <v>980</v>
      </c>
      <c r="R12" s="12">
        <v>59</v>
      </c>
      <c r="S12" s="12">
        <v>283</v>
      </c>
      <c r="T12" s="12">
        <v>438</v>
      </c>
      <c r="U12" s="12">
        <v>252</v>
      </c>
      <c r="V12" s="29">
        <f>SUM(R12:U12)</f>
        <v>1032</v>
      </c>
      <c r="W12" s="12">
        <v>71</v>
      </c>
      <c r="X12" s="12">
        <v>354</v>
      </c>
      <c r="Y12" s="12"/>
      <c r="Z12" s="12"/>
      <c r="AA12" s="29">
        <f>SUM(W12:Z12)</f>
        <v>425</v>
      </c>
      <c r="AB12" s="12"/>
    </row>
    <row r="13" spans="2:37" x14ac:dyDescent="0.25">
      <c r="B13" s="25" t="s">
        <v>109</v>
      </c>
      <c r="C13" s="26">
        <v>-9.7000000000000003E-2</v>
      </c>
      <c r="D13" s="26">
        <v>0.19700000000000001</v>
      </c>
      <c r="E13" s="26">
        <v>0.21199999999999999</v>
      </c>
      <c r="F13" s="26">
        <v>0.13200000000000001</v>
      </c>
      <c r="G13" s="42"/>
      <c r="H13" s="26">
        <v>6.8000000000000005E-2</v>
      </c>
      <c r="I13" s="26">
        <v>0.154</v>
      </c>
      <c r="J13" s="26">
        <v>0.217</v>
      </c>
      <c r="K13" s="26">
        <v>0.13700000000000001</v>
      </c>
      <c r="L13" s="54">
        <f>(L12-G12)/G12</f>
        <v>0.13714285714285715</v>
      </c>
      <c r="M13" s="26">
        <v>0.05</v>
      </c>
      <c r="N13" s="26">
        <v>0.16400000000000001</v>
      </c>
      <c r="O13" s="26">
        <v>0.217</v>
      </c>
      <c r="P13" s="26">
        <v>0.13300000000000001</v>
      </c>
      <c r="Q13" s="54">
        <f>(Q12-L12)/L12</f>
        <v>-1.507537688442211E-2</v>
      </c>
      <c r="R13" s="26">
        <v>4.3999999999999997E-2</v>
      </c>
      <c r="S13" s="26">
        <v>0.156</v>
      </c>
      <c r="T13" s="26">
        <v>0.216</v>
      </c>
      <c r="U13" s="26">
        <v>0.14099999999999999</v>
      </c>
      <c r="V13" s="54">
        <f>(V12-Q12)/Q12</f>
        <v>5.3061224489795916E-2</v>
      </c>
      <c r="W13" s="26">
        <f>W12/W5</f>
        <v>4.9546406140963013E-2</v>
      </c>
      <c r="X13" s="26">
        <f>X12/X5</f>
        <v>0.18191161356628982</v>
      </c>
      <c r="Y13" s="26"/>
      <c r="Z13" s="26"/>
      <c r="AA13" s="54">
        <f>(AA12-V12)/V12</f>
        <v>-0.58817829457364346</v>
      </c>
      <c r="AB13" s="10"/>
    </row>
    <row r="14" spans="2:37" x14ac:dyDescent="0.25">
      <c r="B14" s="1" t="s">
        <v>101</v>
      </c>
      <c r="C14" s="1">
        <v>379</v>
      </c>
      <c r="D14" s="1">
        <v>756</v>
      </c>
      <c r="E14" s="1">
        <v>867</v>
      </c>
      <c r="F14" s="1">
        <v>705</v>
      </c>
      <c r="G14" s="41"/>
      <c r="H14" s="1">
        <v>616</v>
      </c>
      <c r="I14" s="1">
        <v>823</v>
      </c>
      <c r="J14" s="1">
        <v>886</v>
      </c>
      <c r="K14" s="1">
        <v>730</v>
      </c>
      <c r="L14" s="41"/>
      <c r="M14" s="1">
        <v>605</v>
      </c>
      <c r="N14" s="1">
        <v>843</v>
      </c>
      <c r="O14" s="1">
        <v>892</v>
      </c>
      <c r="P14" s="1">
        <v>728</v>
      </c>
      <c r="Q14" s="41"/>
      <c r="R14" s="1">
        <v>607</v>
      </c>
      <c r="S14" s="1">
        <v>832</v>
      </c>
      <c r="T14" s="1">
        <v>925</v>
      </c>
      <c r="U14" s="1">
        <v>759</v>
      </c>
      <c r="V14" s="41"/>
      <c r="W14" s="1">
        <v>628</v>
      </c>
      <c r="X14" s="1">
        <v>896</v>
      </c>
      <c r="Y14" s="1"/>
      <c r="Z14" s="1"/>
      <c r="AA14" s="41"/>
      <c r="AB14" s="1"/>
    </row>
    <row r="15" spans="2:37" s="45" customFormat="1" x14ac:dyDescent="0.25">
      <c r="B15" s="45" t="s">
        <v>157</v>
      </c>
      <c r="G15" s="48"/>
      <c r="H15" s="45">
        <f>(H14-C14)/C14</f>
        <v>0.62532981530343013</v>
      </c>
      <c r="I15" s="45">
        <f>(I14-D14)/D14</f>
        <v>8.8624338624338619E-2</v>
      </c>
      <c r="J15" s="45">
        <f t="shared" ref="J15" si="1">(J14-E14)/E14</f>
        <v>2.1914648212226068E-2</v>
      </c>
      <c r="K15" s="45">
        <f t="shared" ref="K15" si="2">(K14-F14)/F14</f>
        <v>3.5460992907801421E-2</v>
      </c>
      <c r="L15" s="48"/>
      <c r="M15" s="45">
        <f>(M14-H14)/H14</f>
        <v>-1.7857142857142856E-2</v>
      </c>
      <c r="N15" s="45">
        <f>(N14-I14)/I14</f>
        <v>2.4301336573511544E-2</v>
      </c>
      <c r="O15" s="45">
        <f t="shared" ref="O15" si="3">(O14-J14)/J14</f>
        <v>6.7720090293453723E-3</v>
      </c>
      <c r="P15" s="45">
        <f t="shared" ref="P15" si="4">(P14-K14)/K14</f>
        <v>-2.7397260273972603E-3</v>
      </c>
      <c r="Q15" s="48"/>
      <c r="R15" s="45">
        <f>(R14-M14)/M14</f>
        <v>3.3057851239669421E-3</v>
      </c>
      <c r="S15" s="45">
        <f>(S14-N14)/N14</f>
        <v>-1.3048635824436536E-2</v>
      </c>
      <c r="T15" s="45">
        <f t="shared" ref="T15" si="5">(T14-O14)/O14</f>
        <v>3.6995515695067267E-2</v>
      </c>
      <c r="U15" s="45">
        <f t="shared" ref="U15" si="6">(U14-P14)/P14</f>
        <v>4.2582417582417584E-2</v>
      </c>
      <c r="V15" s="48"/>
      <c r="W15" s="45">
        <f>(W14-R14)/R14</f>
        <v>3.459637561779242E-2</v>
      </c>
      <c r="X15" s="45">
        <f>(X14-S14)/S14</f>
        <v>7.6923076923076927E-2</v>
      </c>
      <c r="Y15" s="45">
        <f t="shared" ref="Y15:Z15" si="7">(Y14-T14)/T14</f>
        <v>-1</v>
      </c>
      <c r="Z15" s="45">
        <f t="shared" si="7"/>
        <v>-1</v>
      </c>
      <c r="AA15" s="48"/>
    </row>
    <row r="16" spans="2:37" x14ac:dyDescent="0.25">
      <c r="B16" s="2" t="s">
        <v>103</v>
      </c>
      <c r="C16" s="2">
        <v>2</v>
      </c>
      <c r="D16" s="2">
        <v>0</v>
      </c>
      <c r="E16" s="2">
        <v>13</v>
      </c>
      <c r="F16" s="2">
        <v>3</v>
      </c>
      <c r="G16" s="38"/>
      <c r="H16" s="2">
        <v>4</v>
      </c>
      <c r="I16" s="2">
        <v>8</v>
      </c>
      <c r="J16" s="2">
        <v>8</v>
      </c>
      <c r="K16" s="2">
        <v>5</v>
      </c>
      <c r="L16" s="38"/>
      <c r="M16" s="2">
        <v>3</v>
      </c>
      <c r="N16" s="2">
        <v>5</v>
      </c>
      <c r="O16" s="2">
        <v>5</v>
      </c>
      <c r="P16" s="2">
        <v>-1</v>
      </c>
      <c r="Q16" s="38"/>
      <c r="R16" s="2">
        <v>-7</v>
      </c>
      <c r="S16" s="2">
        <v>4</v>
      </c>
      <c r="T16" s="2">
        <v>2</v>
      </c>
      <c r="U16" s="2">
        <v>7</v>
      </c>
      <c r="V16" s="38"/>
      <c r="W16" s="2">
        <v>1</v>
      </c>
      <c r="X16" s="2">
        <v>2</v>
      </c>
      <c r="AA16" s="38"/>
    </row>
    <row r="17" spans="2:31" x14ac:dyDescent="0.25">
      <c r="B17" s="25" t="s">
        <v>99</v>
      </c>
      <c r="C17" s="25">
        <v>218</v>
      </c>
      <c r="D17" s="25">
        <v>533</v>
      </c>
      <c r="E17" s="25">
        <v>350</v>
      </c>
      <c r="F17" s="25">
        <v>160</v>
      </c>
      <c r="G17" s="43"/>
      <c r="H17" s="25">
        <v>233</v>
      </c>
      <c r="I17" s="25">
        <v>58</v>
      </c>
      <c r="J17" s="25">
        <v>11</v>
      </c>
      <c r="K17" s="25">
        <v>20</v>
      </c>
      <c r="L17" s="43"/>
      <c r="M17" s="25">
        <v>-13</v>
      </c>
      <c r="N17" s="25">
        <v>16</v>
      </c>
      <c r="O17" s="25">
        <v>1</v>
      </c>
      <c r="P17" s="25">
        <v>1</v>
      </c>
      <c r="Q17" s="43"/>
      <c r="R17" s="25">
        <v>9</v>
      </c>
      <c r="S17" s="25">
        <v>-15</v>
      </c>
      <c r="T17" s="25">
        <v>32</v>
      </c>
      <c r="U17" s="25">
        <v>24</v>
      </c>
      <c r="V17" s="43"/>
      <c r="W17" s="25">
        <v>19</v>
      </c>
      <c r="X17" s="25">
        <v>62</v>
      </c>
      <c r="Y17" s="25"/>
      <c r="Z17" s="25"/>
      <c r="AA17" s="43"/>
    </row>
    <row r="18" spans="2:31" s="13" customFormat="1" x14ac:dyDescent="0.25">
      <c r="B18" s="13" t="s">
        <v>105</v>
      </c>
      <c r="C18" s="13">
        <v>964</v>
      </c>
      <c r="D18" s="13">
        <v>1164</v>
      </c>
      <c r="E18" s="13">
        <v>1228</v>
      </c>
      <c r="F18" s="13">
        <v>1192</v>
      </c>
      <c r="G18" s="47"/>
      <c r="H18" s="13">
        <v>1120</v>
      </c>
      <c r="I18" s="13">
        <v>1277</v>
      </c>
      <c r="J18" s="13">
        <v>1239</v>
      </c>
      <c r="K18" s="13">
        <v>1223</v>
      </c>
      <c r="L18" s="47"/>
      <c r="M18" s="13">
        <v>1135</v>
      </c>
      <c r="N18" s="13">
        <v>1313</v>
      </c>
      <c r="O18" s="13">
        <v>1238</v>
      </c>
      <c r="P18" s="13">
        <v>1232</v>
      </c>
      <c r="Q18" s="47"/>
      <c r="R18" s="13">
        <v>1141</v>
      </c>
      <c r="S18" s="13">
        <v>1289</v>
      </c>
      <c r="T18" s="13">
        <v>1240</v>
      </c>
      <c r="U18" s="13">
        <v>1217</v>
      </c>
      <c r="V18" s="47"/>
      <c r="W18" s="13">
        <v>1130</v>
      </c>
      <c r="X18" s="13">
        <v>1318</v>
      </c>
      <c r="AA18" s="47"/>
    </row>
    <row r="19" spans="2:31" s="15" customFormat="1" x14ac:dyDescent="0.25">
      <c r="B19" s="15" t="s">
        <v>157</v>
      </c>
      <c r="G19" s="58"/>
      <c r="H19" s="45">
        <f>(H18-C18)/C18</f>
        <v>0.16182572614107885</v>
      </c>
      <c r="I19" s="45">
        <f>(I18-D18)/D18</f>
        <v>9.7079037800687287E-2</v>
      </c>
      <c r="J19" s="45">
        <f t="shared" ref="J19" si="8">(J18-E18)/E18</f>
        <v>8.9576547231270363E-3</v>
      </c>
      <c r="K19" s="45">
        <f t="shared" ref="K19" si="9">(K18-F18)/F18</f>
        <v>2.6006711409395974E-2</v>
      </c>
      <c r="L19" s="58"/>
      <c r="M19" s="45">
        <f>(M18-H18)/H18</f>
        <v>1.3392857142857142E-2</v>
      </c>
      <c r="N19" s="45">
        <f>(N18-I18)/I18</f>
        <v>2.8191072826938137E-2</v>
      </c>
      <c r="O19" s="45">
        <f t="shared" ref="O19" si="10">(O18-J18)/J18</f>
        <v>-8.0710250201775622E-4</v>
      </c>
      <c r="P19" s="45">
        <f t="shared" ref="P19" si="11">(P18-K18)/K18</f>
        <v>7.3589533932951756E-3</v>
      </c>
      <c r="Q19" s="58"/>
      <c r="R19" s="45">
        <f>(R18-M18)/M18</f>
        <v>5.2863436123348016E-3</v>
      </c>
      <c r="S19" s="45">
        <f>(S18-N18)/N18</f>
        <v>-1.827875095201828E-2</v>
      </c>
      <c r="T19" s="45">
        <f t="shared" ref="T19" si="12">(T18-O18)/O18</f>
        <v>1.6155088852988692E-3</v>
      </c>
      <c r="U19" s="45">
        <f t="shared" ref="U19" si="13">(U18-P18)/P18</f>
        <v>-1.2175324675324676E-2</v>
      </c>
      <c r="V19" s="58"/>
      <c r="W19" s="45">
        <f>(W18-R18)/R18</f>
        <v>-9.6406660823838732E-3</v>
      </c>
      <c r="X19" s="45">
        <f>(X18-S18)/S18</f>
        <v>2.2498060512024826E-2</v>
      </c>
      <c r="Y19" s="45">
        <f t="shared" ref="Y19" si="14">(Y18-T18)/T18</f>
        <v>-1</v>
      </c>
      <c r="Z19" s="45">
        <f t="shared" ref="Z19" si="15">(Z18-U18)/U18</f>
        <v>-1</v>
      </c>
      <c r="AA19" s="58"/>
    </row>
    <row r="20" spans="2:31" x14ac:dyDescent="0.25">
      <c r="B20" s="25" t="s">
        <v>104</v>
      </c>
      <c r="C20" s="26">
        <v>0.39400000000000002</v>
      </c>
      <c r="D20" s="26">
        <v>0.65</v>
      </c>
      <c r="E20" s="26">
        <v>0.70599999999999996</v>
      </c>
      <c r="F20" s="26">
        <v>0.59199999999999997</v>
      </c>
      <c r="G20" s="42"/>
      <c r="H20" s="26">
        <v>0.55000000000000004</v>
      </c>
      <c r="I20" s="26">
        <v>0.64400000000000002</v>
      </c>
      <c r="J20" s="26">
        <v>0.71499999999999997</v>
      </c>
      <c r="K20" s="26">
        <v>0.59699999999999998</v>
      </c>
      <c r="L20" s="42"/>
      <c r="M20" s="26">
        <v>0.53300000000000003</v>
      </c>
      <c r="N20" s="26">
        <v>0.64200000000000002</v>
      </c>
      <c r="O20" s="26">
        <v>0.72099999999999997</v>
      </c>
      <c r="P20" s="26">
        <v>0.59099999999999997</v>
      </c>
      <c r="Q20" s="42"/>
      <c r="R20" s="26">
        <v>0.53200000000000003</v>
      </c>
      <c r="S20" s="26">
        <v>0.64600000000000002</v>
      </c>
      <c r="T20" s="26">
        <v>0.746</v>
      </c>
      <c r="U20" s="26">
        <v>0.623</v>
      </c>
      <c r="V20" s="42"/>
      <c r="W20" s="26">
        <v>0.55500000000000005</v>
      </c>
      <c r="X20" s="26">
        <v>0.68</v>
      </c>
      <c r="Y20" s="26"/>
      <c r="Z20" s="26"/>
      <c r="AA20" s="42"/>
      <c r="AB20" s="10"/>
    </row>
    <row r="21" spans="2:31" x14ac:dyDescent="0.25">
      <c r="G21" s="38"/>
      <c r="L21" s="38"/>
      <c r="Q21" s="38"/>
      <c r="V21" s="38"/>
      <c r="AA21" s="38"/>
    </row>
    <row r="22" spans="2:31" ht="24" x14ac:dyDescent="0.3">
      <c r="B22" s="34" t="s">
        <v>89</v>
      </c>
      <c r="G22" s="38"/>
      <c r="L22" s="38"/>
      <c r="Q22" s="38"/>
      <c r="V22" s="38"/>
      <c r="AA22" s="38"/>
    </row>
    <row r="23" spans="2:31" s="13" customFormat="1" x14ac:dyDescent="0.25">
      <c r="B23" s="12" t="s">
        <v>41</v>
      </c>
      <c r="C23" s="12">
        <v>961</v>
      </c>
      <c r="D23" s="12">
        <v>1699</v>
      </c>
      <c r="E23" s="12">
        <v>1876</v>
      </c>
      <c r="F23" s="12">
        <v>1503</v>
      </c>
      <c r="G23" s="29">
        <f>SUM(C23:F23)</f>
        <v>6039</v>
      </c>
      <c r="H23" s="12">
        <v>1313</v>
      </c>
      <c r="I23" s="12">
        <v>1548</v>
      </c>
      <c r="J23" s="12">
        <v>1851</v>
      </c>
      <c r="K23" s="12">
        <v>1469</v>
      </c>
      <c r="L23" s="29">
        <f>SUM(H23:K23)</f>
        <v>6181</v>
      </c>
      <c r="M23" s="12">
        <v>1248</v>
      </c>
      <c r="N23" s="12">
        <v>1636</v>
      </c>
      <c r="O23" s="12">
        <v>1783</v>
      </c>
      <c r="P23" s="12">
        <v>1461</v>
      </c>
      <c r="Q23" s="29">
        <f>SUM(M23:P23)</f>
        <v>6128</v>
      </c>
      <c r="R23" s="12">
        <v>1340</v>
      </c>
      <c r="S23" s="12">
        <v>1647</v>
      </c>
      <c r="T23" s="12">
        <v>1897</v>
      </c>
      <c r="U23" s="12">
        <v>1502</v>
      </c>
      <c r="V23" s="29">
        <f>SUM(R23:U23)</f>
        <v>6386</v>
      </c>
      <c r="W23" s="12">
        <v>1372</v>
      </c>
      <c r="X23" s="12">
        <v>1734</v>
      </c>
      <c r="Y23" s="12"/>
      <c r="Z23" s="12"/>
      <c r="AA23" s="29">
        <f>SUM(W23:Z23)</f>
        <v>3106</v>
      </c>
      <c r="AB23" s="12"/>
    </row>
    <row r="24" spans="2:31" s="45" customFormat="1" x14ac:dyDescent="0.25">
      <c r="B24" s="45" t="s">
        <v>157</v>
      </c>
      <c r="G24" s="48"/>
      <c r="H24" s="45">
        <f>(H23-C23)/C23</f>
        <v>0.36628511966701355</v>
      </c>
      <c r="I24" s="45">
        <f>(I23-D23)/D23</f>
        <v>-8.8875809299587993E-2</v>
      </c>
      <c r="J24" s="45">
        <f t="shared" ref="J24" si="16">(J23-E23)/E23</f>
        <v>-1.3326226012793176E-2</v>
      </c>
      <c r="K24" s="45">
        <f t="shared" ref="K24" si="17">(K23-F23)/F23</f>
        <v>-2.262142381902861E-2</v>
      </c>
      <c r="L24" s="48">
        <f>(L23-G23)/G23</f>
        <v>2.3513826792515319E-2</v>
      </c>
      <c r="M24" s="45">
        <f>(M23-H23)/H23</f>
        <v>-4.9504950495049507E-2</v>
      </c>
      <c r="N24" s="45">
        <f>(N23-I23)/I23</f>
        <v>5.6847545219638244E-2</v>
      </c>
      <c r="O24" s="45">
        <f t="shared" ref="O24" si="18">(O23-J23)/J23</f>
        <v>-3.6736898973527825E-2</v>
      </c>
      <c r="P24" s="45">
        <f t="shared" ref="P24" si="19">(P23-K23)/K23</f>
        <v>-5.445881552076242E-3</v>
      </c>
      <c r="Q24" s="48">
        <f>(Q23-L23)/L23</f>
        <v>-8.5746642938035918E-3</v>
      </c>
      <c r="R24" s="45">
        <f>(R23-M23)/M23</f>
        <v>7.371794871794872E-2</v>
      </c>
      <c r="S24" s="45">
        <f>(S23-N23)/N23</f>
        <v>6.7237163814180927E-3</v>
      </c>
      <c r="T24" s="45">
        <f t="shared" ref="T24" si="20">(T23-O23)/O23</f>
        <v>6.3937184520471119E-2</v>
      </c>
      <c r="U24" s="45">
        <f t="shared" ref="U24" si="21">(U23-P23)/P23</f>
        <v>2.8062970568104039E-2</v>
      </c>
      <c r="V24" s="48">
        <f>(V23-Q23)/Q23</f>
        <v>4.2101827676240211E-2</v>
      </c>
      <c r="W24" s="45">
        <f>(W23-R23)/R23</f>
        <v>2.3880597014925373E-2</v>
      </c>
      <c r="X24" s="45">
        <f>(X23-S23)/S23</f>
        <v>5.2823315118397086E-2</v>
      </c>
      <c r="Y24" s="45">
        <f t="shared" ref="Y24" si="22">(Y23-T23)/T23</f>
        <v>-1</v>
      </c>
      <c r="Z24" s="45">
        <f t="shared" ref="Z24" si="23">(Z23-U23)/U23</f>
        <v>-1</v>
      </c>
      <c r="AA24" s="48">
        <f>(AA23-V23)/V23</f>
        <v>-0.51362355151894767</v>
      </c>
    </row>
    <row r="25" spans="2:31" x14ac:dyDescent="0.25">
      <c r="B25" s="2" t="s">
        <v>102</v>
      </c>
      <c r="C25" s="2">
        <v>63</v>
      </c>
      <c r="D25" s="2">
        <v>76</v>
      </c>
      <c r="E25" s="2">
        <v>116</v>
      </c>
      <c r="F25" s="2">
        <v>60</v>
      </c>
      <c r="G25" s="38"/>
      <c r="H25" s="2">
        <v>-47</v>
      </c>
      <c r="I25" s="2">
        <v>-93</v>
      </c>
      <c r="J25" s="2">
        <v>-49</v>
      </c>
      <c r="K25" s="2">
        <v>-101</v>
      </c>
      <c r="L25" s="38"/>
      <c r="M25" s="2">
        <v>-41</v>
      </c>
      <c r="N25" s="2">
        <v>9</v>
      </c>
      <c r="O25" s="2">
        <v>-97</v>
      </c>
      <c r="P25" s="2">
        <v>-10</v>
      </c>
      <c r="Q25" s="38"/>
      <c r="R25" s="2">
        <v>-33</v>
      </c>
      <c r="S25" s="2">
        <v>-89</v>
      </c>
      <c r="T25" s="2">
        <v>-66</v>
      </c>
      <c r="U25" s="2">
        <v>-74</v>
      </c>
      <c r="V25" s="38"/>
      <c r="W25" s="2">
        <v>-34</v>
      </c>
      <c r="X25" s="2">
        <v>82</v>
      </c>
      <c r="AA25" s="38"/>
    </row>
    <row r="26" spans="2:31" x14ac:dyDescent="0.25">
      <c r="B26" s="2" t="s">
        <v>97</v>
      </c>
      <c r="C26" s="2">
        <v>579</v>
      </c>
      <c r="D26" s="2">
        <v>980</v>
      </c>
      <c r="E26" s="2">
        <v>329</v>
      </c>
      <c r="F26" s="2">
        <v>307</v>
      </c>
      <c r="G26" s="38"/>
      <c r="H26" s="2">
        <v>398</v>
      </c>
      <c r="I26" s="2">
        <v>-59</v>
      </c>
      <c r="J26" s="2">
        <v>25</v>
      </c>
      <c r="K26" s="2">
        <v>68</v>
      </c>
      <c r="L26" s="38"/>
      <c r="M26" s="2">
        <v>-24</v>
      </c>
      <c r="N26" s="2">
        <v>79</v>
      </c>
      <c r="O26" s="2">
        <v>28</v>
      </c>
      <c r="P26" s="2">
        <v>1</v>
      </c>
      <c r="Q26" s="38"/>
      <c r="R26" s="2">
        <v>126</v>
      </c>
      <c r="S26" s="2">
        <v>100</v>
      </c>
      <c r="T26" s="2">
        <v>179</v>
      </c>
      <c r="U26" s="2">
        <v>115</v>
      </c>
      <c r="V26" s="38"/>
      <c r="W26" s="2">
        <v>66</v>
      </c>
      <c r="X26" s="2">
        <v>5</v>
      </c>
      <c r="AA26" s="38"/>
    </row>
    <row r="27" spans="2:31" x14ac:dyDescent="0.25">
      <c r="B27" s="23" t="s">
        <v>107</v>
      </c>
      <c r="C27" s="27">
        <v>8</v>
      </c>
      <c r="D27" s="27">
        <v>17</v>
      </c>
      <c r="E27" s="27">
        <v>53</v>
      </c>
      <c r="F27" s="27">
        <v>45</v>
      </c>
      <c r="G27" s="39"/>
      <c r="H27" s="27">
        <v>53</v>
      </c>
      <c r="I27" s="27">
        <v>44</v>
      </c>
      <c r="J27" s="27">
        <v>16</v>
      </c>
      <c r="K27" s="27">
        <v>4</v>
      </c>
      <c r="L27" s="39"/>
      <c r="M27" s="27">
        <v>0</v>
      </c>
      <c r="N27" s="27">
        <v>0</v>
      </c>
      <c r="O27" s="27">
        <v>0</v>
      </c>
      <c r="P27" s="27">
        <v>0</v>
      </c>
      <c r="Q27" s="39"/>
      <c r="R27" s="27">
        <v>0</v>
      </c>
      <c r="S27" s="27">
        <v>0</v>
      </c>
      <c r="T27" s="27">
        <v>16</v>
      </c>
      <c r="U27" s="27">
        <v>64</v>
      </c>
      <c r="V27" s="39"/>
      <c r="W27" s="27">
        <v>91</v>
      </c>
      <c r="X27" s="27">
        <v>36</v>
      </c>
      <c r="Y27" s="27"/>
      <c r="Z27" s="27"/>
      <c r="AA27" s="39"/>
      <c r="AB27" s="27"/>
    </row>
    <row r="28" spans="2:31" x14ac:dyDescent="0.25">
      <c r="B28" s="23" t="s">
        <v>108</v>
      </c>
      <c r="C28" s="27">
        <v>0</v>
      </c>
      <c r="D28" s="27">
        <v>0</v>
      </c>
      <c r="E28" s="27">
        <v>0</v>
      </c>
      <c r="F28" s="27">
        <v>0</v>
      </c>
      <c r="G28" s="39"/>
      <c r="H28" s="27">
        <v>0</v>
      </c>
      <c r="I28" s="27">
        <v>0</v>
      </c>
      <c r="J28" s="27">
        <v>0</v>
      </c>
      <c r="K28" s="27">
        <v>0</v>
      </c>
      <c r="L28" s="39"/>
      <c r="M28" s="27">
        <v>0</v>
      </c>
      <c r="N28" s="27">
        <v>0</v>
      </c>
      <c r="O28" s="2">
        <v>0</v>
      </c>
      <c r="P28" s="27">
        <v>0</v>
      </c>
      <c r="Q28" s="39"/>
      <c r="R28" s="27">
        <v>-19</v>
      </c>
      <c r="S28" s="27">
        <v>-8</v>
      </c>
      <c r="T28" s="27">
        <v>14</v>
      </c>
      <c r="U28" s="27">
        <v>25</v>
      </c>
      <c r="V28" s="39"/>
      <c r="W28" s="27">
        <v>14</v>
      </c>
      <c r="X28" s="27">
        <v>6</v>
      </c>
      <c r="Y28" s="27"/>
      <c r="Z28" s="27"/>
      <c r="AA28" s="39"/>
      <c r="AB28" s="27"/>
    </row>
    <row r="29" spans="2:31" x14ac:dyDescent="0.25">
      <c r="B29" s="23" t="s">
        <v>98</v>
      </c>
      <c r="C29" s="27">
        <v>-2</v>
      </c>
      <c r="D29" s="27">
        <v>-4</v>
      </c>
      <c r="E29" s="27">
        <v>-7</v>
      </c>
      <c r="F29" s="27">
        <v>0</v>
      </c>
      <c r="G29" s="39"/>
      <c r="H29" s="27">
        <v>0</v>
      </c>
      <c r="I29" s="27">
        <v>-87</v>
      </c>
      <c r="J29" s="27">
        <v>-20</v>
      </c>
      <c r="K29" s="27">
        <v>11</v>
      </c>
      <c r="L29" s="39"/>
      <c r="M29" s="27">
        <v>-33</v>
      </c>
      <c r="N29" s="27">
        <v>-35</v>
      </c>
      <c r="O29" s="27">
        <v>-77</v>
      </c>
      <c r="P29" s="27">
        <v>-71</v>
      </c>
      <c r="Q29" s="39"/>
      <c r="R29" s="27">
        <v>-3</v>
      </c>
      <c r="S29" s="27">
        <v>-7</v>
      </c>
      <c r="T29" s="27">
        <v>0</v>
      </c>
      <c r="U29" s="27">
        <v>1</v>
      </c>
      <c r="V29" s="39"/>
      <c r="W29" s="27">
        <v>-7</v>
      </c>
      <c r="X29" s="27">
        <v>-11</v>
      </c>
      <c r="Y29" s="27"/>
      <c r="Z29" s="27"/>
      <c r="AA29" s="39"/>
      <c r="AB29" s="27"/>
    </row>
    <row r="30" spans="2:31" x14ac:dyDescent="0.25">
      <c r="B30" s="24" t="s">
        <v>99</v>
      </c>
      <c r="C30" s="28">
        <v>573</v>
      </c>
      <c r="D30" s="28">
        <v>966</v>
      </c>
      <c r="E30" s="28">
        <v>283</v>
      </c>
      <c r="F30" s="28">
        <v>263</v>
      </c>
      <c r="G30" s="40"/>
      <c r="H30" s="28">
        <v>345</v>
      </c>
      <c r="I30" s="28">
        <v>-16</v>
      </c>
      <c r="J30" s="28">
        <v>29</v>
      </c>
      <c r="K30" s="28">
        <v>53</v>
      </c>
      <c r="L30" s="40"/>
      <c r="M30" s="28">
        <v>9</v>
      </c>
      <c r="N30" s="28">
        <v>114</v>
      </c>
      <c r="O30" s="28">
        <v>105</v>
      </c>
      <c r="P30" s="28">
        <v>72</v>
      </c>
      <c r="Q30" s="40"/>
      <c r="R30" s="28">
        <v>148</v>
      </c>
      <c r="S30" s="28">
        <v>116</v>
      </c>
      <c r="T30" s="28">
        <v>150</v>
      </c>
      <c r="U30" s="28">
        <v>25</v>
      </c>
      <c r="V30" s="40"/>
      <c r="W30" s="28">
        <v>-33</v>
      </c>
      <c r="X30" s="28">
        <v>26</v>
      </c>
      <c r="Y30" s="28"/>
      <c r="Z30" s="28"/>
      <c r="AA30" s="40"/>
      <c r="AB30" s="27"/>
    </row>
    <row r="31" spans="2:31" s="13" customFormat="1" x14ac:dyDescent="0.25">
      <c r="B31" s="12" t="s">
        <v>100</v>
      </c>
      <c r="C31" s="12">
        <v>135</v>
      </c>
      <c r="D31" s="12">
        <v>417</v>
      </c>
      <c r="E31" s="12">
        <v>425</v>
      </c>
      <c r="F31" s="12">
        <v>194</v>
      </c>
      <c r="G31" s="29">
        <f>SUM(C31:F31)</f>
        <v>1171</v>
      </c>
      <c r="H31" s="12">
        <v>152</v>
      </c>
      <c r="I31" s="12">
        <v>285</v>
      </c>
      <c r="J31" s="12">
        <v>404</v>
      </c>
      <c r="K31" s="12">
        <v>170</v>
      </c>
      <c r="L31" s="29">
        <f>SUM(H31:K31)</f>
        <v>1011</v>
      </c>
      <c r="M31" s="12">
        <v>92</v>
      </c>
      <c r="N31" s="12">
        <v>288</v>
      </c>
      <c r="O31" s="12">
        <v>353</v>
      </c>
      <c r="P31" s="12">
        <v>176</v>
      </c>
      <c r="Q31" s="29">
        <f>SUM(M31:P31)</f>
        <v>909</v>
      </c>
      <c r="R31" s="12">
        <v>141</v>
      </c>
      <c r="S31" s="12">
        <v>270</v>
      </c>
      <c r="T31" s="12">
        <v>406</v>
      </c>
      <c r="U31" s="12">
        <v>183</v>
      </c>
      <c r="V31" s="29">
        <f>SUM(R31:U31)</f>
        <v>1000</v>
      </c>
      <c r="W31" s="12">
        <v>134</v>
      </c>
      <c r="X31" s="12">
        <v>305</v>
      </c>
      <c r="Y31" s="12"/>
      <c r="Z31" s="12"/>
      <c r="AA31" s="29">
        <f>SUM(W31:Z31)</f>
        <v>439</v>
      </c>
      <c r="AB31" s="12"/>
      <c r="AD31" s="12" t="s">
        <v>137</v>
      </c>
      <c r="AE31" s="13" t="s">
        <v>136</v>
      </c>
    </row>
    <row r="32" spans="2:31" x14ac:dyDescent="0.25">
      <c r="B32" s="25" t="s">
        <v>109</v>
      </c>
      <c r="C32" s="26">
        <v>0.14000000000000001</v>
      </c>
      <c r="D32" s="26">
        <v>0.245</v>
      </c>
      <c r="E32" s="26">
        <v>0.22700000000000001</v>
      </c>
      <c r="F32" s="26">
        <v>0.129</v>
      </c>
      <c r="G32" s="42"/>
      <c r="H32" s="26">
        <v>0.115</v>
      </c>
      <c r="I32" s="26">
        <v>0.184</v>
      </c>
      <c r="J32" s="26">
        <v>0.218</v>
      </c>
      <c r="K32" s="26">
        <v>0.11600000000000001</v>
      </c>
      <c r="L32" s="42"/>
      <c r="M32" s="26">
        <v>7.3999999999999996E-2</v>
      </c>
      <c r="N32" s="26">
        <v>0.17599999999999999</v>
      </c>
      <c r="O32" s="26">
        <v>0.19800000000000001</v>
      </c>
      <c r="P32" s="26">
        <v>0.12</v>
      </c>
      <c r="Q32" s="42"/>
      <c r="R32" s="26">
        <v>0.105</v>
      </c>
      <c r="S32" s="26">
        <v>0.16400000000000001</v>
      </c>
      <c r="T32" s="26">
        <v>0.214</v>
      </c>
      <c r="U32" s="26">
        <v>0.122</v>
      </c>
      <c r="V32" s="42"/>
      <c r="W32" s="26">
        <f>W31/W23</f>
        <v>9.7667638483965008E-2</v>
      </c>
      <c r="X32" s="26">
        <f>X31/X23</f>
        <v>0.17589388696655134</v>
      </c>
      <c r="Y32" s="26" t="e">
        <f>Y31/Y23</f>
        <v>#DIV/0!</v>
      </c>
      <c r="Z32" s="26" t="e">
        <f>Z31/Z23</f>
        <v>#DIV/0!</v>
      </c>
      <c r="AA32" s="42"/>
      <c r="AB32" s="10"/>
    </row>
    <row r="33" spans="1:31" s="13" customFormat="1" x14ac:dyDescent="0.25">
      <c r="B33" s="12" t="s">
        <v>101</v>
      </c>
      <c r="C33" s="12">
        <v>482</v>
      </c>
      <c r="D33" s="12">
        <v>783</v>
      </c>
      <c r="E33" s="12">
        <v>914</v>
      </c>
      <c r="F33" s="12">
        <v>679</v>
      </c>
      <c r="G33" s="29"/>
      <c r="H33" s="12">
        <v>635</v>
      </c>
      <c r="I33" s="12">
        <v>779</v>
      </c>
      <c r="J33" s="12">
        <v>947</v>
      </c>
      <c r="K33" s="12">
        <v>686</v>
      </c>
      <c r="L33" s="29"/>
      <c r="M33" s="12">
        <v>622</v>
      </c>
      <c r="N33" s="12">
        <v>860</v>
      </c>
      <c r="O33" s="12">
        <v>973</v>
      </c>
      <c r="P33" s="12">
        <v>731</v>
      </c>
      <c r="Q33" s="29"/>
      <c r="R33" s="12">
        <v>709</v>
      </c>
      <c r="S33" s="12">
        <v>911</v>
      </c>
      <c r="T33" s="12">
        <v>1029</v>
      </c>
      <c r="U33" s="12">
        <v>753</v>
      </c>
      <c r="V33" s="29"/>
      <c r="W33" s="12">
        <v>735</v>
      </c>
      <c r="X33" s="12">
        <v>912</v>
      </c>
      <c r="Y33" s="12"/>
      <c r="Z33" s="12"/>
      <c r="AA33" s="29"/>
      <c r="AB33" s="12"/>
    </row>
    <row r="34" spans="1:31" x14ac:dyDescent="0.25">
      <c r="B34" s="2" t="s">
        <v>157</v>
      </c>
      <c r="G34" s="38"/>
      <c r="H34" s="45">
        <f>(H33-C33)/C33</f>
        <v>0.31742738589211617</v>
      </c>
      <c r="I34" s="45">
        <f>(I33-D33)/D33</f>
        <v>-5.108556832694764E-3</v>
      </c>
      <c r="J34" s="45">
        <f t="shared" ref="J34" si="24">(J33-E33)/E33</f>
        <v>3.6105032822757115E-2</v>
      </c>
      <c r="K34" s="45">
        <f t="shared" ref="K34" si="25">(K33-F33)/F33</f>
        <v>1.0309278350515464E-2</v>
      </c>
      <c r="L34" s="48"/>
      <c r="M34" s="45">
        <f>(M33-H33)/H33</f>
        <v>-2.0472440944881889E-2</v>
      </c>
      <c r="N34" s="45">
        <f>(N33-I33)/I33</f>
        <v>0.10397946084724005</v>
      </c>
      <c r="O34" s="45">
        <f t="shared" ref="O34" si="26">(O33-J33)/J33</f>
        <v>2.7455121436114043E-2</v>
      </c>
      <c r="P34" s="45">
        <f t="shared" ref="P34" si="27">(P33-K33)/K33</f>
        <v>6.5597667638483959E-2</v>
      </c>
      <c r="Q34" s="48"/>
      <c r="R34" s="45">
        <f>(R33-M33)/M33</f>
        <v>0.13987138263665594</v>
      </c>
      <c r="S34" s="45">
        <f>(S33-N33)/N33</f>
        <v>5.9302325581395351E-2</v>
      </c>
      <c r="T34" s="45">
        <f t="shared" ref="T34" si="28">(T33-O33)/O33</f>
        <v>5.7553956834532377E-2</v>
      </c>
      <c r="U34" s="45">
        <f t="shared" ref="U34" si="29">(U33-P33)/P33</f>
        <v>3.0095759233926128E-2</v>
      </c>
      <c r="V34" s="48"/>
      <c r="W34" s="45">
        <f>(W33-R33)/R33</f>
        <v>3.6671368124118475E-2</v>
      </c>
      <c r="X34" s="45">
        <f>(X33-S33)/S33</f>
        <v>1.0976948408342481E-3</v>
      </c>
      <c r="Y34" s="45">
        <f t="shared" ref="Y34" si="30">(Y33-T33)/T33</f>
        <v>-1</v>
      </c>
      <c r="Z34" s="45">
        <f t="shared" ref="Z34" si="31">(Z33-U33)/U33</f>
        <v>-1</v>
      </c>
      <c r="AA34" s="38"/>
    </row>
    <row r="35" spans="1:31" x14ac:dyDescent="0.25">
      <c r="B35" s="2" t="s">
        <v>102</v>
      </c>
      <c r="C35" s="2">
        <v>32</v>
      </c>
      <c r="D35" s="2">
        <v>35</v>
      </c>
      <c r="E35" s="2">
        <v>56</v>
      </c>
      <c r="F35" s="2">
        <v>26</v>
      </c>
      <c r="G35" s="38"/>
      <c r="H35" s="2">
        <v>-23</v>
      </c>
      <c r="I35" s="2">
        <v>-46</v>
      </c>
      <c r="J35" s="2">
        <v>-25</v>
      </c>
      <c r="K35" s="2">
        <v>-48</v>
      </c>
      <c r="L35" s="38"/>
      <c r="M35" s="2">
        <v>-20</v>
      </c>
      <c r="N35" s="2">
        <v>4</v>
      </c>
      <c r="O35" s="2">
        <v>-51</v>
      </c>
      <c r="P35" s="2">
        <v>-4</v>
      </c>
      <c r="Q35" s="38"/>
      <c r="R35" s="2">
        <v>-18</v>
      </c>
      <c r="S35" s="2">
        <v>-38</v>
      </c>
      <c r="T35" s="2">
        <v>-40</v>
      </c>
      <c r="U35" s="2">
        <v>-31</v>
      </c>
      <c r="V35" s="38"/>
      <c r="W35" s="2">
        <v>-18</v>
      </c>
      <c r="X35" s="2">
        <v>43</v>
      </c>
      <c r="AA35" s="38"/>
    </row>
    <row r="36" spans="1:31" x14ac:dyDescent="0.25">
      <c r="B36" s="2" t="s">
        <v>103</v>
      </c>
      <c r="C36" s="2">
        <v>0</v>
      </c>
      <c r="D36" s="2">
        <v>2</v>
      </c>
      <c r="E36" s="2">
        <v>-1</v>
      </c>
      <c r="F36" s="2">
        <v>-4</v>
      </c>
      <c r="G36" s="38"/>
      <c r="H36" s="2">
        <v>0</v>
      </c>
      <c r="I36" s="2">
        <v>24</v>
      </c>
      <c r="J36" s="2">
        <v>27</v>
      </c>
      <c r="K36" s="2">
        <v>10</v>
      </c>
      <c r="L36" s="38"/>
      <c r="M36" s="2">
        <v>2</v>
      </c>
      <c r="N36" s="2">
        <v>0</v>
      </c>
      <c r="O36" s="2">
        <v>-9</v>
      </c>
      <c r="P36" s="2">
        <v>6</v>
      </c>
      <c r="Q36" s="38"/>
      <c r="R36" s="2">
        <v>-4</v>
      </c>
      <c r="S36" s="2">
        <v>-4</v>
      </c>
      <c r="T36" s="2">
        <v>-12</v>
      </c>
      <c r="U36" s="2">
        <v>13</v>
      </c>
      <c r="V36" s="38"/>
      <c r="W36" s="2">
        <v>45</v>
      </c>
      <c r="X36" s="2">
        <v>-1</v>
      </c>
      <c r="AA36" s="38"/>
    </row>
    <row r="37" spans="1:31" x14ac:dyDescent="0.25">
      <c r="B37" s="25" t="s">
        <v>99</v>
      </c>
      <c r="C37" s="25">
        <v>274</v>
      </c>
      <c r="D37" s="25">
        <v>418</v>
      </c>
      <c r="E37" s="25">
        <v>184</v>
      </c>
      <c r="F37" s="25">
        <v>155</v>
      </c>
      <c r="G37" s="43"/>
      <c r="H37" s="25">
        <v>176</v>
      </c>
      <c r="I37" s="25">
        <v>19</v>
      </c>
      <c r="J37" s="25">
        <v>31</v>
      </c>
      <c r="K37" s="25">
        <v>45</v>
      </c>
      <c r="L37" s="43"/>
      <c r="M37" s="25">
        <v>5</v>
      </c>
      <c r="N37" s="25">
        <v>77</v>
      </c>
      <c r="O37" s="25">
        <v>86</v>
      </c>
      <c r="P37" s="25">
        <v>43</v>
      </c>
      <c r="Q37" s="43"/>
      <c r="R37" s="25">
        <v>102</v>
      </c>
      <c r="S37" s="25">
        <v>88</v>
      </c>
      <c r="T37" s="25">
        <v>99</v>
      </c>
      <c r="U37" s="25">
        <v>39</v>
      </c>
      <c r="V37" s="43"/>
      <c r="W37" s="25">
        <v>-2</v>
      </c>
      <c r="X37" s="25">
        <v>-42</v>
      </c>
      <c r="Y37" s="25"/>
      <c r="Z37" s="25"/>
      <c r="AA37" s="43"/>
    </row>
    <row r="38" spans="1:31" s="13" customFormat="1" x14ac:dyDescent="0.25">
      <c r="B38" s="13" t="s">
        <v>105</v>
      </c>
      <c r="C38" s="13">
        <v>1070</v>
      </c>
      <c r="D38" s="13">
        <v>1230</v>
      </c>
      <c r="E38" s="13">
        <v>1289</v>
      </c>
      <c r="F38" s="13">
        <v>1248</v>
      </c>
      <c r="G38" s="47"/>
      <c r="H38" s="13">
        <v>1197</v>
      </c>
      <c r="I38" s="13">
        <v>1283</v>
      </c>
      <c r="J38" s="13">
        <v>1329</v>
      </c>
      <c r="K38" s="13">
        <v>1241</v>
      </c>
      <c r="L38" s="47"/>
      <c r="M38" s="13">
        <v>1204</v>
      </c>
      <c r="N38" s="13">
        <v>1350</v>
      </c>
      <c r="O38" s="13">
        <v>1351</v>
      </c>
      <c r="P38" s="13">
        <v>1258</v>
      </c>
      <c r="Q38" s="47"/>
      <c r="R38" s="13">
        <v>1227</v>
      </c>
      <c r="S38" s="13">
        <v>1375</v>
      </c>
      <c r="T38" s="13">
        <v>1375</v>
      </c>
      <c r="U38" s="13">
        <v>1300</v>
      </c>
      <c r="V38" s="47"/>
      <c r="W38" s="13">
        <v>1295</v>
      </c>
      <c r="X38" s="13">
        <v>1446</v>
      </c>
      <c r="AA38" s="47"/>
    </row>
    <row r="39" spans="1:31" s="45" customFormat="1" x14ac:dyDescent="0.25">
      <c r="B39" s="45" t="s">
        <v>157</v>
      </c>
      <c r="G39" s="48"/>
      <c r="H39" s="45">
        <f>(H38-C38)/C38</f>
        <v>0.11869158878504672</v>
      </c>
      <c r="I39" s="45">
        <f>(I38-D38)/D38</f>
        <v>4.3089430894308944E-2</v>
      </c>
      <c r="J39" s="45">
        <f t="shared" ref="J39" si="32">(J38-E38)/E38</f>
        <v>3.1031807602792862E-2</v>
      </c>
      <c r="K39" s="45">
        <f t="shared" ref="K39" si="33">(K38-F38)/F38</f>
        <v>-5.608974358974359E-3</v>
      </c>
      <c r="L39" s="48"/>
      <c r="M39" s="45">
        <f>(M38-H38)/H38</f>
        <v>5.8479532163742687E-3</v>
      </c>
      <c r="N39" s="45">
        <f>(N38-I38)/I38</f>
        <v>5.2221356196414652E-2</v>
      </c>
      <c r="O39" s="45">
        <f t="shared" ref="O39" si="34">(O38-J38)/J38</f>
        <v>1.6553799849510911E-2</v>
      </c>
      <c r="P39" s="45">
        <f t="shared" ref="P39" si="35">(P38-K38)/K38</f>
        <v>1.3698630136986301E-2</v>
      </c>
      <c r="Q39" s="48"/>
      <c r="R39" s="45">
        <f>(R38-M38)/M38</f>
        <v>1.9102990033222592E-2</v>
      </c>
      <c r="S39" s="45">
        <f>(S38-N38)/N38</f>
        <v>1.8518518518518517E-2</v>
      </c>
      <c r="T39" s="45">
        <f t="shared" ref="T39" si="36">(T38-O38)/O38</f>
        <v>1.776461880088823E-2</v>
      </c>
      <c r="U39" s="45">
        <f t="shared" ref="U39" si="37">(U38-P38)/P38</f>
        <v>3.3386327503974564E-2</v>
      </c>
      <c r="V39" s="48"/>
      <c r="W39" s="45">
        <f>(W38-R38)/R38</f>
        <v>5.5419722901385492E-2</v>
      </c>
      <c r="X39" s="45">
        <f>(X38-S38)/S38</f>
        <v>5.1636363636363633E-2</v>
      </c>
      <c r="Y39" s="45">
        <f t="shared" ref="Y39" si="38">(Y38-T38)/T38</f>
        <v>-1</v>
      </c>
      <c r="Z39" s="45">
        <f t="shared" ref="Z39" si="39">(Z38-U38)/U38</f>
        <v>-1</v>
      </c>
      <c r="AA39" s="48"/>
    </row>
    <row r="40" spans="1:31" x14ac:dyDescent="0.25">
      <c r="B40" s="25" t="s">
        <v>104</v>
      </c>
      <c r="C40" s="26">
        <v>0.45</v>
      </c>
      <c r="D40" s="26">
        <v>0.63600000000000001</v>
      </c>
      <c r="E40" s="26">
        <v>0.70899999999999996</v>
      </c>
      <c r="F40" s="26">
        <v>0.54400000000000004</v>
      </c>
      <c r="G40" s="42"/>
      <c r="H40" s="26">
        <v>0.53100000000000003</v>
      </c>
      <c r="I40" s="26">
        <v>0.60699999999999998</v>
      </c>
      <c r="J40" s="26">
        <v>0.71299999999999997</v>
      </c>
      <c r="K40" s="26">
        <v>0.55300000000000005</v>
      </c>
      <c r="L40" s="42"/>
      <c r="M40" s="26">
        <v>0.51600000000000001</v>
      </c>
      <c r="N40" s="26">
        <v>0.63700000000000001</v>
      </c>
      <c r="O40" s="26">
        <v>0.72099999999999997</v>
      </c>
      <c r="P40" s="26">
        <v>0.58099999999999996</v>
      </c>
      <c r="Q40" s="42"/>
      <c r="R40" s="26">
        <v>0.57799999999999996</v>
      </c>
      <c r="S40" s="26">
        <v>0.66300000000000003</v>
      </c>
      <c r="T40" s="26">
        <v>0.748</v>
      </c>
      <c r="U40" s="26">
        <v>0.57899999999999996</v>
      </c>
      <c r="V40" s="42"/>
      <c r="W40" s="26">
        <v>0.56799999999999995</v>
      </c>
      <c r="X40" s="26">
        <v>0.63</v>
      </c>
      <c r="Y40" s="26"/>
      <c r="Z40" s="26"/>
      <c r="AA40" s="42"/>
      <c r="AB40" s="10"/>
    </row>
    <row r="41" spans="1:31" x14ac:dyDescent="0.25">
      <c r="G41" s="38"/>
      <c r="L41" s="38"/>
      <c r="Q41" s="38"/>
      <c r="V41" s="38"/>
      <c r="AA41" s="38"/>
    </row>
    <row r="42" spans="1:31" ht="24" x14ac:dyDescent="0.3">
      <c r="B42" s="34" t="s">
        <v>90</v>
      </c>
      <c r="G42" s="38"/>
      <c r="L42" s="38"/>
      <c r="Q42" s="38"/>
      <c r="V42" s="38"/>
      <c r="AA42" s="38"/>
      <c r="AD42" s="1" t="s">
        <v>138</v>
      </c>
      <c r="AE42" s="2" t="s">
        <v>139</v>
      </c>
    </row>
    <row r="43" spans="1:31" s="13" customFormat="1" x14ac:dyDescent="0.25">
      <c r="B43" s="12" t="s">
        <v>41</v>
      </c>
      <c r="C43" s="12">
        <v>562</v>
      </c>
      <c r="D43" s="12">
        <v>1074</v>
      </c>
      <c r="E43" s="12">
        <v>1257</v>
      </c>
      <c r="F43" s="12">
        <v>1196</v>
      </c>
      <c r="G43" s="29">
        <f>SUM(C43:F43)</f>
        <v>4089</v>
      </c>
      <c r="H43" s="12">
        <v>1053</v>
      </c>
      <c r="I43" s="12">
        <v>1264</v>
      </c>
      <c r="J43" s="12">
        <v>1397</v>
      </c>
      <c r="K43" s="12">
        <v>1283</v>
      </c>
      <c r="L43" s="29">
        <f>SUM(H43:K43)</f>
        <v>4997</v>
      </c>
      <c r="M43" s="12">
        <v>1061</v>
      </c>
      <c r="N43" s="12">
        <v>1246</v>
      </c>
      <c r="O43" s="12">
        <v>1311</v>
      </c>
      <c r="P43" s="12">
        <v>1265</v>
      </c>
      <c r="Q43" s="29">
        <f>SUM(M43:P43)</f>
        <v>4883</v>
      </c>
      <c r="R43" s="12">
        <v>1037</v>
      </c>
      <c r="S43" s="12">
        <v>1156</v>
      </c>
      <c r="T43" s="12">
        <v>1212</v>
      </c>
      <c r="U43" s="12">
        <v>1147</v>
      </c>
      <c r="V43" s="29">
        <f>SUM(R43:U43)</f>
        <v>4552</v>
      </c>
      <c r="W43" s="12">
        <v>986</v>
      </c>
      <c r="X43" s="12">
        <v>1051</v>
      </c>
      <c r="Y43" s="12"/>
      <c r="Z43" s="12"/>
      <c r="AA43" s="29">
        <f>SUM(W43:Z43)</f>
        <v>2037</v>
      </c>
      <c r="AB43" s="12"/>
    </row>
    <row r="44" spans="1:31" s="45" customFormat="1" x14ac:dyDescent="0.25">
      <c r="A44" s="2"/>
      <c r="B44" s="45" t="s">
        <v>157</v>
      </c>
      <c r="G44" s="48"/>
      <c r="H44" s="45">
        <f>(H43-C43)/C43</f>
        <v>0.87366548042704628</v>
      </c>
      <c r="I44" s="45">
        <f>(I43-D43)/D43</f>
        <v>0.17690875232774675</v>
      </c>
      <c r="J44" s="45">
        <f t="shared" ref="J44" si="40">(J43-E43)/E43</f>
        <v>0.11137629276054097</v>
      </c>
      <c r="K44" s="45">
        <f t="shared" ref="K44" si="41">(K43-F43)/F43</f>
        <v>7.2742474916387953E-2</v>
      </c>
      <c r="L44" s="48">
        <f>(L43-G43)/G43</f>
        <v>0.22205918317437026</v>
      </c>
      <c r="M44" s="45">
        <f>(M43-H43)/H43</f>
        <v>7.5973409306742644E-3</v>
      </c>
      <c r="N44" s="45">
        <f>(N43-I43)/I43</f>
        <v>-1.4240506329113924E-2</v>
      </c>
      <c r="O44" s="45">
        <f t="shared" ref="O44" si="42">(O43-J43)/J43</f>
        <v>-6.1560486757337149E-2</v>
      </c>
      <c r="P44" s="45">
        <f t="shared" ref="P44" si="43">(P43-K43)/K43</f>
        <v>-1.4029618082618862E-2</v>
      </c>
      <c r="Q44" s="48">
        <f>(Q43-L43)/L43</f>
        <v>-2.2813688212927757E-2</v>
      </c>
      <c r="R44" s="45">
        <f>(R43-M43)/M43</f>
        <v>-2.2620169651272386E-2</v>
      </c>
      <c r="S44" s="45">
        <f>(S43-N43)/N43</f>
        <v>-7.2231139646869988E-2</v>
      </c>
      <c r="T44" s="45">
        <f t="shared" ref="T44" si="44">(T43-O43)/O43</f>
        <v>-7.5514874141876437E-2</v>
      </c>
      <c r="U44" s="45">
        <f t="shared" ref="U44" si="45">(U43-P43)/P43</f>
        <v>-9.3280632411067196E-2</v>
      </c>
      <c r="V44" s="48">
        <f>(V43-Q43)/Q43</f>
        <v>-6.7786197010034813E-2</v>
      </c>
      <c r="W44" s="45">
        <f>(W43-R43)/R43</f>
        <v>-4.9180327868852458E-2</v>
      </c>
      <c r="X44" s="45">
        <f>(X43-S43)/S43</f>
        <v>-9.0830449826989623E-2</v>
      </c>
      <c r="Y44" s="45">
        <f t="shared" ref="Y44" si="46">(Y43-T43)/T43</f>
        <v>-1</v>
      </c>
      <c r="Z44" s="45">
        <f t="shared" ref="Z44" si="47">(Z43-U43)/U43</f>
        <v>-1</v>
      </c>
      <c r="AA44" s="48">
        <f>(AA43-V43)/V43</f>
        <v>-0.55250439367311077</v>
      </c>
    </row>
    <row r="45" spans="1:31" x14ac:dyDescent="0.25">
      <c r="B45" s="2" t="s">
        <v>102</v>
      </c>
      <c r="C45" s="2">
        <v>20</v>
      </c>
      <c r="D45" s="2">
        <v>35</v>
      </c>
      <c r="E45" s="2">
        <v>51</v>
      </c>
      <c r="F45" s="2">
        <v>83</v>
      </c>
      <c r="G45" s="38"/>
      <c r="H45" s="2">
        <v>67</v>
      </c>
      <c r="I45" s="2">
        <v>106</v>
      </c>
      <c r="J45" s="2">
        <v>136</v>
      </c>
      <c r="K45" s="2">
        <v>66</v>
      </c>
      <c r="L45" s="38"/>
      <c r="M45" s="2">
        <v>8</v>
      </c>
      <c r="N45" s="2">
        <v>6</v>
      </c>
      <c r="O45" s="2">
        <v>-33</v>
      </c>
      <c r="P45" s="2">
        <v>1</v>
      </c>
      <c r="Q45" s="38"/>
      <c r="R45" s="2">
        <v>-4</v>
      </c>
      <c r="S45" s="2">
        <v>-54</v>
      </c>
      <c r="T45" s="2">
        <v>-36</v>
      </c>
      <c r="U45" s="2">
        <v>-56</v>
      </c>
      <c r="V45" s="38"/>
      <c r="W45" s="2">
        <v>-50</v>
      </c>
      <c r="X45" s="2">
        <v>-9</v>
      </c>
      <c r="AA45" s="38"/>
    </row>
    <row r="46" spans="1:31" x14ac:dyDescent="0.25">
      <c r="B46" s="2" t="s">
        <v>97</v>
      </c>
      <c r="C46" s="2">
        <v>334</v>
      </c>
      <c r="D46" s="2">
        <v>726</v>
      </c>
      <c r="E46" s="2">
        <v>491</v>
      </c>
      <c r="F46" s="2">
        <v>269</v>
      </c>
      <c r="G46" s="38"/>
      <c r="H46" s="2">
        <v>424</v>
      </c>
      <c r="I46" s="2">
        <v>85</v>
      </c>
      <c r="J46" s="2">
        <v>5</v>
      </c>
      <c r="K46" s="2">
        <v>21</v>
      </c>
      <c r="L46" s="38"/>
      <c r="M46" s="2">
        <v>0</v>
      </c>
      <c r="N46" s="2">
        <v>-24</v>
      </c>
      <c r="O46" s="2">
        <v>-54</v>
      </c>
      <c r="P46" s="2">
        <v>-19</v>
      </c>
      <c r="Q46" s="38"/>
      <c r="R46" s="2">
        <v>-20</v>
      </c>
      <c r="S46" s="2">
        <v>-36</v>
      </c>
      <c r="T46" s="2">
        <v>-63</v>
      </c>
      <c r="U46" s="2">
        <v>-62</v>
      </c>
      <c r="V46" s="38"/>
      <c r="W46" s="2">
        <v>-1</v>
      </c>
      <c r="X46" s="2">
        <v>-96</v>
      </c>
      <c r="AA46" s="38"/>
    </row>
    <row r="47" spans="1:31" x14ac:dyDescent="0.25">
      <c r="B47" s="23" t="s">
        <v>107</v>
      </c>
      <c r="C47" s="27">
        <v>42</v>
      </c>
      <c r="D47" s="27">
        <v>86</v>
      </c>
      <c r="E47" s="27">
        <v>82</v>
      </c>
      <c r="F47" s="27">
        <v>62</v>
      </c>
      <c r="G47" s="39"/>
      <c r="H47" s="27">
        <v>25</v>
      </c>
      <c r="I47" s="27">
        <v>37</v>
      </c>
      <c r="J47" s="27">
        <v>35</v>
      </c>
      <c r="K47" s="27">
        <v>13</v>
      </c>
      <c r="L47" s="39"/>
      <c r="M47" s="27">
        <v>0</v>
      </c>
      <c r="N47" s="27">
        <v>0</v>
      </c>
      <c r="O47" s="27">
        <v>0</v>
      </c>
      <c r="P47" s="27">
        <v>0</v>
      </c>
      <c r="Q47" s="39"/>
      <c r="R47" s="27">
        <v>0</v>
      </c>
      <c r="S47" s="27">
        <v>0</v>
      </c>
      <c r="T47" s="27">
        <v>0</v>
      </c>
      <c r="U47" s="27">
        <v>0</v>
      </c>
      <c r="V47" s="39"/>
      <c r="W47" s="27">
        <v>0</v>
      </c>
      <c r="X47" s="27">
        <v>0</v>
      </c>
      <c r="Y47" s="27"/>
      <c r="Z47" s="27"/>
      <c r="AA47" s="39"/>
      <c r="AB47" s="27"/>
    </row>
    <row r="48" spans="1:31" x14ac:dyDescent="0.25">
      <c r="B48" s="23" t="s">
        <v>108</v>
      </c>
      <c r="C48" s="27">
        <v>0</v>
      </c>
      <c r="D48" s="27">
        <v>0</v>
      </c>
      <c r="E48" s="27">
        <v>0</v>
      </c>
      <c r="F48" s="27">
        <v>0</v>
      </c>
      <c r="G48" s="39"/>
      <c r="H48" s="27">
        <v>0</v>
      </c>
      <c r="I48" s="27">
        <v>0</v>
      </c>
      <c r="J48" s="27">
        <v>0</v>
      </c>
      <c r="K48" s="27">
        <v>0</v>
      </c>
      <c r="L48" s="39"/>
      <c r="M48" s="27">
        <v>0</v>
      </c>
      <c r="N48" s="27">
        <v>0</v>
      </c>
      <c r="O48" s="27">
        <v>0</v>
      </c>
      <c r="P48" s="2">
        <v>0</v>
      </c>
      <c r="Q48" s="38"/>
      <c r="R48" s="27">
        <v>-18</v>
      </c>
      <c r="S48" s="27">
        <v>-25</v>
      </c>
      <c r="T48" s="27">
        <v>-17</v>
      </c>
      <c r="U48" s="27">
        <v>16</v>
      </c>
      <c r="V48" s="39"/>
      <c r="W48" s="27">
        <v>-25</v>
      </c>
      <c r="X48" s="27">
        <v>17</v>
      </c>
      <c r="Y48" s="27"/>
      <c r="Z48" s="27"/>
      <c r="AA48" s="39"/>
      <c r="AB48" s="27"/>
    </row>
    <row r="49" spans="1:28" x14ac:dyDescent="0.25">
      <c r="B49" s="23" t="s">
        <v>98</v>
      </c>
      <c r="C49" s="27">
        <v>0</v>
      </c>
      <c r="D49" s="27">
        <v>0</v>
      </c>
      <c r="E49" s="27">
        <v>0</v>
      </c>
      <c r="F49" s="27">
        <v>0</v>
      </c>
      <c r="G49" s="39"/>
      <c r="H49" s="27">
        <v>-9</v>
      </c>
      <c r="I49" s="27">
        <v>-9</v>
      </c>
      <c r="J49" s="27">
        <v>-10</v>
      </c>
      <c r="K49" s="27">
        <v>-9</v>
      </c>
      <c r="L49" s="39"/>
      <c r="M49" s="27">
        <v>0</v>
      </c>
      <c r="N49" s="27">
        <v>0</v>
      </c>
      <c r="O49" s="27">
        <v>-24</v>
      </c>
      <c r="P49" s="27">
        <v>-36</v>
      </c>
      <c r="Q49" s="39"/>
      <c r="R49" s="27">
        <v>1</v>
      </c>
      <c r="S49" s="27">
        <v>2</v>
      </c>
      <c r="T49" s="27">
        <v>-2</v>
      </c>
      <c r="U49" s="27">
        <v>-8</v>
      </c>
      <c r="V49" s="39"/>
      <c r="W49" s="27">
        <v>-6</v>
      </c>
      <c r="X49" s="27">
        <v>-10</v>
      </c>
      <c r="Y49" s="27"/>
      <c r="Z49" s="27"/>
      <c r="AA49" s="39"/>
      <c r="AB49" s="27"/>
    </row>
    <row r="50" spans="1:28" x14ac:dyDescent="0.25">
      <c r="B50" s="24" t="s">
        <v>99</v>
      </c>
      <c r="C50" s="28">
        <v>292</v>
      </c>
      <c r="D50" s="28">
        <v>639</v>
      </c>
      <c r="E50" s="28">
        <v>409</v>
      </c>
      <c r="F50" s="28">
        <v>208</v>
      </c>
      <c r="G50" s="40"/>
      <c r="H50" s="28">
        <v>408</v>
      </c>
      <c r="I50" s="28">
        <v>57</v>
      </c>
      <c r="J50" s="28">
        <v>-21</v>
      </c>
      <c r="K50" s="28">
        <v>17</v>
      </c>
      <c r="L50" s="40"/>
      <c r="M50" s="28">
        <v>0</v>
      </c>
      <c r="N50" s="28">
        <v>-24</v>
      </c>
      <c r="O50" s="28">
        <v>-29</v>
      </c>
      <c r="P50" s="28">
        <v>16</v>
      </c>
      <c r="Q50" s="40"/>
      <c r="R50" s="28">
        <v>-3</v>
      </c>
      <c r="S50" s="28">
        <v>-13</v>
      </c>
      <c r="T50" s="28">
        <v>-44</v>
      </c>
      <c r="U50" s="28">
        <v>-70</v>
      </c>
      <c r="V50" s="40"/>
      <c r="W50" s="28">
        <v>-20</v>
      </c>
      <c r="X50" s="28">
        <v>-104</v>
      </c>
      <c r="Y50" s="28"/>
      <c r="Z50" s="28"/>
      <c r="AA50" s="40"/>
      <c r="AB50" s="27"/>
    </row>
    <row r="51" spans="1:28" x14ac:dyDescent="0.25">
      <c r="B51" s="1" t="s">
        <v>100</v>
      </c>
      <c r="C51" s="1">
        <v>-160</v>
      </c>
      <c r="D51" s="1">
        <v>186</v>
      </c>
      <c r="E51" s="1">
        <v>233</v>
      </c>
      <c r="F51" s="1">
        <v>124</v>
      </c>
      <c r="G51" s="41">
        <f>SUM(C51:F51)</f>
        <v>383</v>
      </c>
      <c r="H51" s="1">
        <v>19</v>
      </c>
      <c r="I51" s="1">
        <v>145</v>
      </c>
      <c r="J51" s="1">
        <v>245</v>
      </c>
      <c r="K51" s="1">
        <v>130</v>
      </c>
      <c r="L51" s="41">
        <f>SUM(H51:K51)</f>
        <v>539</v>
      </c>
      <c r="M51" s="1">
        <v>16</v>
      </c>
      <c r="N51" s="1">
        <v>162</v>
      </c>
      <c r="O51" s="1">
        <v>223</v>
      </c>
      <c r="P51" s="1">
        <v>168</v>
      </c>
      <c r="Q51" s="41">
        <f>SUM(M51:P51)</f>
        <v>569</v>
      </c>
      <c r="R51" s="1">
        <v>22</v>
      </c>
      <c r="S51" s="1">
        <v>142</v>
      </c>
      <c r="T51" s="1">
        <v>177</v>
      </c>
      <c r="U51" s="1">
        <v>105</v>
      </c>
      <c r="V51" s="41">
        <f>SUM(R51:U51)</f>
        <v>446</v>
      </c>
      <c r="W51" s="1">
        <v>-2</v>
      </c>
      <c r="X51" s="1">
        <v>58</v>
      </c>
      <c r="Y51" s="1"/>
      <c r="Z51" s="1"/>
      <c r="AA51" s="41">
        <f>SUM(W51:Z51)</f>
        <v>56</v>
      </c>
      <c r="AB51" s="1"/>
    </row>
    <row r="52" spans="1:28" x14ac:dyDescent="0.25">
      <c r="B52" s="25" t="s">
        <v>109</v>
      </c>
      <c r="C52" s="26">
        <v>-0.28499999999999998</v>
      </c>
      <c r="D52" s="26">
        <v>0.17399999999999999</v>
      </c>
      <c r="E52" s="26">
        <v>0.185</v>
      </c>
      <c r="F52" s="26">
        <v>0.104</v>
      </c>
      <c r="G52" s="42"/>
      <c r="H52" s="26">
        <v>1.7999999999999999E-2</v>
      </c>
      <c r="I52" s="26">
        <v>0.115</v>
      </c>
      <c r="J52" s="26">
        <v>0.17599999999999999</v>
      </c>
      <c r="K52" s="26">
        <v>0.10100000000000001</v>
      </c>
      <c r="L52" s="42"/>
      <c r="M52" s="26">
        <v>1.4999999999999999E-2</v>
      </c>
      <c r="N52" s="26">
        <v>0.13</v>
      </c>
      <c r="O52" s="26">
        <v>0.17</v>
      </c>
      <c r="P52" s="26">
        <v>0.13300000000000001</v>
      </c>
      <c r="Q52" s="42"/>
      <c r="R52" s="26">
        <v>2.1999999999999999E-2</v>
      </c>
      <c r="S52" s="26">
        <v>0.123</v>
      </c>
      <c r="T52" s="26">
        <v>0.14599999999999999</v>
      </c>
      <c r="U52" s="26">
        <v>9.1999999999999998E-2</v>
      </c>
      <c r="V52" s="42"/>
      <c r="W52" s="26">
        <f>W51/W43</f>
        <v>-2.0283975659229209E-3</v>
      </c>
      <c r="X52" s="26">
        <f>X51/X43</f>
        <v>5.5185537583254042E-2</v>
      </c>
      <c r="Y52" s="26" t="e">
        <f>Y51/Y43</f>
        <v>#DIV/0!</v>
      </c>
      <c r="Z52" s="26" t="e">
        <f>Z51/Z43</f>
        <v>#DIV/0!</v>
      </c>
      <c r="AA52" s="42"/>
      <c r="AB52" s="10"/>
    </row>
    <row r="53" spans="1:28" x14ac:dyDescent="0.25">
      <c r="B53" s="1" t="s">
        <v>101</v>
      </c>
      <c r="C53" s="1">
        <v>327</v>
      </c>
      <c r="D53" s="1">
        <v>628</v>
      </c>
      <c r="E53" s="1">
        <v>766</v>
      </c>
      <c r="F53" s="1">
        <v>650</v>
      </c>
      <c r="G53" s="41"/>
      <c r="H53" s="1">
        <v>600</v>
      </c>
      <c r="I53" s="1">
        <v>749</v>
      </c>
      <c r="J53" s="1">
        <v>848</v>
      </c>
      <c r="K53" s="1">
        <v>705</v>
      </c>
      <c r="L53" s="41"/>
      <c r="M53" s="1">
        <v>603</v>
      </c>
      <c r="N53" s="1">
        <v>757</v>
      </c>
      <c r="O53" s="1">
        <v>821</v>
      </c>
      <c r="P53" s="1">
        <v>748</v>
      </c>
      <c r="Q53" s="41"/>
      <c r="R53" s="1">
        <v>618</v>
      </c>
      <c r="S53" s="1">
        <v>745</v>
      </c>
      <c r="T53" s="1">
        <v>785</v>
      </c>
      <c r="U53" s="1">
        <v>691</v>
      </c>
      <c r="V53" s="41"/>
      <c r="W53" s="1">
        <v>602</v>
      </c>
      <c r="X53" s="1">
        <v>670</v>
      </c>
      <c r="Y53" s="1"/>
      <c r="Z53" s="1"/>
      <c r="AA53" s="41"/>
      <c r="AB53" s="1"/>
    </row>
    <row r="54" spans="1:28" x14ac:dyDescent="0.25">
      <c r="B54" s="1"/>
      <c r="C54" s="1"/>
      <c r="D54" s="1"/>
      <c r="E54" s="1"/>
      <c r="F54" s="1"/>
      <c r="G54" s="41"/>
      <c r="H54" s="45">
        <f>(H53-C53)/C53</f>
        <v>0.83486238532110091</v>
      </c>
      <c r="I54" s="45">
        <f>(I53-D53)/D53</f>
        <v>0.1926751592356688</v>
      </c>
      <c r="J54" s="45">
        <f t="shared" ref="J54" si="48">(J53-E53)/E53</f>
        <v>0.10704960835509138</v>
      </c>
      <c r="K54" s="45">
        <f t="shared" ref="K54" si="49">(K53-F53)/F53</f>
        <v>8.461538461538462E-2</v>
      </c>
      <c r="L54" s="48"/>
      <c r="M54" s="45">
        <f>(M53-H53)/H53</f>
        <v>5.0000000000000001E-3</v>
      </c>
      <c r="N54" s="45">
        <f>(N53-I53)/I53</f>
        <v>1.0680907877169559E-2</v>
      </c>
      <c r="O54" s="45">
        <f t="shared" ref="O54" si="50">(O53-J53)/J53</f>
        <v>-3.1839622641509434E-2</v>
      </c>
      <c r="P54" s="45">
        <f t="shared" ref="P54" si="51">(P53-K53)/K53</f>
        <v>6.0992907801418438E-2</v>
      </c>
      <c r="Q54" s="48"/>
      <c r="R54" s="45">
        <f>(R53-M53)/M53</f>
        <v>2.4875621890547265E-2</v>
      </c>
      <c r="S54" s="45">
        <f>(S53-N53)/N53</f>
        <v>-1.5852047556142668E-2</v>
      </c>
      <c r="T54" s="45">
        <f t="shared" ref="T54" si="52">(T53-O53)/O53</f>
        <v>-4.38489646772229E-2</v>
      </c>
      <c r="U54" s="45">
        <f t="shared" ref="U54" si="53">(U53-P53)/P53</f>
        <v>-7.6203208556149732E-2</v>
      </c>
      <c r="V54" s="48"/>
      <c r="W54" s="45">
        <f>(W53-R53)/R53</f>
        <v>-2.5889967637540454E-2</v>
      </c>
      <c r="X54" s="45">
        <f>(X53-S53)/S53</f>
        <v>-0.10067114093959731</v>
      </c>
      <c r="Y54" s="45">
        <f t="shared" ref="Y54" si="54">(Y53-T53)/T53</f>
        <v>-1</v>
      </c>
      <c r="Z54" s="45">
        <f t="shared" ref="Z54" si="55">(Z53-U53)/U53</f>
        <v>-1</v>
      </c>
      <c r="AA54" s="41"/>
      <c r="AB54" s="1"/>
    </row>
    <row r="55" spans="1:28" x14ac:dyDescent="0.25">
      <c r="B55" s="2" t="s">
        <v>102</v>
      </c>
      <c r="C55" s="2">
        <v>11</v>
      </c>
      <c r="D55" s="2">
        <v>20</v>
      </c>
      <c r="E55" s="2">
        <v>31</v>
      </c>
      <c r="F55" s="2">
        <v>46</v>
      </c>
      <c r="G55" s="38"/>
      <c r="H55" s="2">
        <v>38</v>
      </c>
      <c r="I55" s="2">
        <v>62</v>
      </c>
      <c r="J55" s="2">
        <v>82</v>
      </c>
      <c r="K55" s="2">
        <v>35</v>
      </c>
      <c r="L55" s="38"/>
      <c r="M55" s="2">
        <v>4</v>
      </c>
      <c r="N55" s="2">
        <v>4</v>
      </c>
      <c r="O55" s="2">
        <v>-20</v>
      </c>
      <c r="P55" s="2">
        <v>1</v>
      </c>
      <c r="Q55" s="38"/>
      <c r="R55" s="2">
        <v>-3</v>
      </c>
      <c r="S55" s="2">
        <v>-20</v>
      </c>
      <c r="T55" s="2">
        <v>-22</v>
      </c>
      <c r="U55" s="2">
        <v>-23</v>
      </c>
      <c r="V55" s="38"/>
      <c r="W55" s="2">
        <v>-30</v>
      </c>
      <c r="X55" s="2">
        <v>-6</v>
      </c>
      <c r="AA55" s="38"/>
    </row>
    <row r="56" spans="1:28" x14ac:dyDescent="0.25">
      <c r="B56" s="2" t="s">
        <v>103</v>
      </c>
      <c r="C56" s="2">
        <v>-6</v>
      </c>
      <c r="D56" s="2">
        <v>8</v>
      </c>
      <c r="E56" s="2">
        <v>16</v>
      </c>
      <c r="F56" s="2">
        <v>9</v>
      </c>
      <c r="G56" s="38"/>
      <c r="H56" s="2">
        <v>1</v>
      </c>
      <c r="I56" s="2">
        <v>10</v>
      </c>
      <c r="J56" s="2">
        <v>14</v>
      </c>
      <c r="K56" s="2">
        <v>13</v>
      </c>
      <c r="L56" s="38"/>
      <c r="M56" s="2">
        <v>0</v>
      </c>
      <c r="N56" s="2">
        <v>0</v>
      </c>
      <c r="O56" s="2">
        <v>0</v>
      </c>
      <c r="P56" s="2">
        <v>8</v>
      </c>
      <c r="Q56" s="38"/>
      <c r="R56" s="2">
        <v>18</v>
      </c>
      <c r="S56" s="2">
        <v>15</v>
      </c>
      <c r="T56" s="2">
        <v>14</v>
      </c>
      <c r="U56" s="2">
        <v>12</v>
      </c>
      <c r="V56" s="38"/>
      <c r="W56" s="2">
        <v>12</v>
      </c>
      <c r="X56" s="2">
        <v>5</v>
      </c>
      <c r="AA56" s="38"/>
    </row>
    <row r="57" spans="1:28" x14ac:dyDescent="0.25">
      <c r="B57" s="25" t="s">
        <v>99</v>
      </c>
      <c r="C57" s="25">
        <v>197</v>
      </c>
      <c r="D57" s="25">
        <v>409</v>
      </c>
      <c r="E57" s="25">
        <v>186</v>
      </c>
      <c r="F57" s="25">
        <v>141</v>
      </c>
      <c r="G57" s="43"/>
      <c r="H57" s="25">
        <v>234</v>
      </c>
      <c r="I57" s="25">
        <v>49</v>
      </c>
      <c r="J57" s="25">
        <v>-14</v>
      </c>
      <c r="K57" s="25">
        <v>7</v>
      </c>
      <c r="L57" s="43"/>
      <c r="M57" s="25">
        <v>-1</v>
      </c>
      <c r="N57" s="25">
        <v>4</v>
      </c>
      <c r="O57" s="25">
        <v>-7</v>
      </c>
      <c r="P57" s="25">
        <v>34</v>
      </c>
      <c r="Q57" s="43"/>
      <c r="R57" s="25">
        <v>8</v>
      </c>
      <c r="S57" s="25">
        <v>2</v>
      </c>
      <c r="T57" s="25">
        <v>-18</v>
      </c>
      <c r="U57" s="25">
        <v>-46</v>
      </c>
      <c r="V57" s="43"/>
      <c r="W57" s="25">
        <v>3</v>
      </c>
      <c r="X57" s="25">
        <v>-74</v>
      </c>
      <c r="Y57" s="25"/>
      <c r="Z57" s="25"/>
      <c r="AA57" s="43"/>
    </row>
    <row r="58" spans="1:28" s="13" customFormat="1" x14ac:dyDescent="0.25">
      <c r="B58" s="13" t="s">
        <v>105</v>
      </c>
      <c r="C58" s="13">
        <v>1026</v>
      </c>
      <c r="D58" s="13">
        <v>1141</v>
      </c>
      <c r="E58" s="13">
        <v>1167</v>
      </c>
      <c r="F58" s="13">
        <v>1211</v>
      </c>
      <c r="G58" s="47"/>
      <c r="H58" s="13">
        <v>1180</v>
      </c>
      <c r="I58" s="13">
        <v>1297</v>
      </c>
      <c r="J58" s="13">
        <v>1293</v>
      </c>
      <c r="K58" s="13">
        <v>1301</v>
      </c>
      <c r="L58" s="47"/>
      <c r="M58" s="13">
        <v>1236</v>
      </c>
      <c r="N58" s="13">
        <v>1300</v>
      </c>
      <c r="O58" s="13">
        <v>1268</v>
      </c>
      <c r="P58" s="13">
        <v>1321</v>
      </c>
      <c r="Q58" s="47"/>
      <c r="R58" s="13">
        <v>1163</v>
      </c>
      <c r="S58" s="13">
        <v>1203</v>
      </c>
      <c r="T58" s="13">
        <v>1149</v>
      </c>
      <c r="U58" s="13">
        <v>1222</v>
      </c>
      <c r="V58" s="47"/>
      <c r="W58" s="13">
        <v>1136</v>
      </c>
      <c r="X58" s="13">
        <v>1129</v>
      </c>
      <c r="AA58" s="47"/>
    </row>
    <row r="59" spans="1:28" s="52" customFormat="1" x14ac:dyDescent="0.25">
      <c r="B59" s="52" t="s">
        <v>157</v>
      </c>
      <c r="G59" s="57"/>
      <c r="H59" s="52">
        <f>(H58-C58)/C58</f>
        <v>0.15009746588693956</v>
      </c>
      <c r="I59" s="52">
        <f>(I58-D58)/D58</f>
        <v>0.13672217353198948</v>
      </c>
      <c r="J59" s="52">
        <f>(J58-E58)/E58</f>
        <v>0.10796915167095116</v>
      </c>
      <c r="K59" s="52">
        <f t="shared" ref="K59" si="56">(K58-F58)/F58</f>
        <v>7.4318744838976047E-2</v>
      </c>
      <c r="L59" s="57"/>
      <c r="M59" s="52">
        <f>(M58-H58)/H58</f>
        <v>4.7457627118644069E-2</v>
      </c>
      <c r="N59" s="52">
        <f>(N58-I58)/I58</f>
        <v>2.3130300693909021E-3</v>
      </c>
      <c r="O59" s="52">
        <f>(O58-J58)/J58</f>
        <v>-1.9334880123743233E-2</v>
      </c>
      <c r="P59" s="52">
        <f t="shared" ref="P59" si="57">(P58-K58)/K58</f>
        <v>1.5372790161414296E-2</v>
      </c>
      <c r="Q59" s="57"/>
      <c r="R59" s="52">
        <f>(R58-M58)/M58</f>
        <v>-5.9061488673139158E-2</v>
      </c>
      <c r="S59" s="52">
        <f>(S58-N58)/N58</f>
        <v>-7.4615384615384611E-2</v>
      </c>
      <c r="T59" s="52">
        <f>(T58-O58)/O58</f>
        <v>-9.3848580441640378E-2</v>
      </c>
      <c r="U59" s="52">
        <f t="shared" ref="U59" si="58">(U58-P58)/P58</f>
        <v>-7.4943224829674485E-2</v>
      </c>
      <c r="V59" s="57"/>
      <c r="W59" s="52">
        <f>(W58-R58)/R58</f>
        <v>-2.3215821152192607E-2</v>
      </c>
      <c r="X59" s="52">
        <f>(X58-S58)/S58</f>
        <v>-6.1512884455527848E-2</v>
      </c>
      <c r="Y59" s="52">
        <f>(Y58-T58)/T58</f>
        <v>-1</v>
      </c>
      <c r="Z59" s="52">
        <f t="shared" ref="Z59" si="59">(Z58-U58)/U58</f>
        <v>-1</v>
      </c>
      <c r="AA59" s="57"/>
    </row>
    <row r="60" spans="1:28" x14ac:dyDescent="0.25">
      <c r="B60" s="25" t="s">
        <v>104</v>
      </c>
      <c r="C60" s="26">
        <v>0.318</v>
      </c>
      <c r="D60" s="26">
        <v>0.55100000000000005</v>
      </c>
      <c r="E60" s="26">
        <v>0.65600000000000003</v>
      </c>
      <c r="F60" s="26">
        <v>0.53600000000000003</v>
      </c>
      <c r="G60" s="42"/>
      <c r="H60" s="26">
        <v>0.50900000000000001</v>
      </c>
      <c r="I60" s="26">
        <v>0.57799999999999996</v>
      </c>
      <c r="J60" s="26">
        <v>0.65500000000000003</v>
      </c>
      <c r="K60" s="26">
        <v>0.54200000000000004</v>
      </c>
      <c r="L60" s="42"/>
      <c r="M60" s="26">
        <v>0.48799999999999999</v>
      </c>
      <c r="N60" s="26">
        <v>0.58199999999999996</v>
      </c>
      <c r="O60" s="26">
        <v>0.64700000000000002</v>
      </c>
      <c r="P60" s="26">
        <v>0.56599999999999995</v>
      </c>
      <c r="Q60" s="42"/>
      <c r="R60" s="26">
        <v>0.53100000000000003</v>
      </c>
      <c r="S60" s="26">
        <v>0.61899999999999999</v>
      </c>
      <c r="T60" s="26">
        <v>0.68300000000000005</v>
      </c>
      <c r="U60" s="26">
        <v>0.56499999999999995</v>
      </c>
      <c r="V60" s="42"/>
      <c r="W60" s="26">
        <v>0.53</v>
      </c>
      <c r="X60" s="26">
        <v>0.59299999999999997</v>
      </c>
      <c r="Y60" s="26"/>
      <c r="Z60" s="26"/>
      <c r="AA60" s="42"/>
      <c r="AB60" s="10"/>
    </row>
    <row r="61" spans="1:28" x14ac:dyDescent="0.25">
      <c r="G61" s="38"/>
      <c r="L61" s="38"/>
      <c r="Q61" s="38"/>
      <c r="V61" s="38"/>
      <c r="AA61" s="38"/>
    </row>
    <row r="62" spans="1:28" ht="24" x14ac:dyDescent="0.3">
      <c r="B62" s="34" t="s">
        <v>110</v>
      </c>
      <c r="G62" s="38"/>
      <c r="L62" s="38"/>
      <c r="Q62" s="38"/>
      <c r="V62" s="38"/>
      <c r="AA62" s="38"/>
    </row>
    <row r="63" spans="1:28" s="13" customFormat="1" x14ac:dyDescent="0.25">
      <c r="B63" s="12" t="s">
        <v>41</v>
      </c>
      <c r="C63" s="12">
        <v>383</v>
      </c>
      <c r="D63" s="12">
        <v>817</v>
      </c>
      <c r="E63" s="12">
        <v>979</v>
      </c>
      <c r="F63" s="12">
        <v>871</v>
      </c>
      <c r="G63" s="29">
        <f>SUM(C63:F63)</f>
        <v>3050</v>
      </c>
      <c r="H63" s="12">
        <v>771</v>
      </c>
      <c r="I63" s="12">
        <v>1130</v>
      </c>
      <c r="J63" s="12">
        <v>1196</v>
      </c>
      <c r="K63" s="12">
        <v>1017</v>
      </c>
      <c r="L63" s="29">
        <f>SUM(H63:K63)</f>
        <v>4114</v>
      </c>
      <c r="M63" s="12">
        <v>785</v>
      </c>
      <c r="N63" s="12">
        <v>1234</v>
      </c>
      <c r="O63" s="12">
        <v>1215</v>
      </c>
      <c r="P63" s="12">
        <v>1107</v>
      </c>
      <c r="Q63" s="29">
        <f>SUM(M63:P63)</f>
        <v>4341</v>
      </c>
      <c r="R63" s="12">
        <v>826</v>
      </c>
      <c r="S63" s="12">
        <v>1182</v>
      </c>
      <c r="T63" s="12">
        <v>1240</v>
      </c>
      <c r="U63" s="12">
        <v>1134</v>
      </c>
      <c r="V63" s="29">
        <f>SUM(R63:U63)</f>
        <v>4382</v>
      </c>
      <c r="W63" s="12">
        <v>896</v>
      </c>
      <c r="X63" s="12">
        <v>1269</v>
      </c>
      <c r="Y63" s="12"/>
      <c r="Z63" s="12"/>
      <c r="AA63" s="29">
        <f>SUM(W63:Z63)</f>
        <v>2165</v>
      </c>
      <c r="AB63" s="12"/>
    </row>
    <row r="64" spans="1:28" s="45" customFormat="1" x14ac:dyDescent="0.25">
      <c r="A64" s="13"/>
      <c r="B64" s="45" t="s">
        <v>157</v>
      </c>
      <c r="G64" s="48"/>
      <c r="H64" s="45">
        <f>(H63-C63)/C63</f>
        <v>1.0130548302872062</v>
      </c>
      <c r="I64" s="45">
        <f>(I63-D63)/D63</f>
        <v>0.38310893512851896</v>
      </c>
      <c r="J64" s="45">
        <f t="shared" ref="J64" si="60">(J63-E63)/E63</f>
        <v>0.22165474974463739</v>
      </c>
      <c r="K64" s="45">
        <f t="shared" ref="K64" si="61">(K63-F63)/F63</f>
        <v>0.16762342135476463</v>
      </c>
      <c r="L64" s="48">
        <f>(L63-G63)/G63</f>
        <v>0.34885245901639345</v>
      </c>
      <c r="M64" s="45">
        <f>(M63-H63)/H63</f>
        <v>1.8158236057068743E-2</v>
      </c>
      <c r="N64" s="45">
        <f>(N63-I63)/I63</f>
        <v>9.2035398230088494E-2</v>
      </c>
      <c r="O64" s="45">
        <f t="shared" ref="O64" si="62">(O63-J63)/J63</f>
        <v>1.588628762541806E-2</v>
      </c>
      <c r="P64" s="45">
        <f t="shared" ref="P64" si="63">(P63-K63)/K63</f>
        <v>8.8495575221238937E-2</v>
      </c>
      <c r="Q64" s="48">
        <f>(Q63-L63)/L63</f>
        <v>5.5177442877977635E-2</v>
      </c>
      <c r="R64" s="45">
        <f>(R63-M63)/M63</f>
        <v>5.2229299363057327E-2</v>
      </c>
      <c r="S64" s="45">
        <f>(S63-N63)/N63</f>
        <v>-4.2139384116693678E-2</v>
      </c>
      <c r="T64" s="45">
        <f t="shared" ref="T64" si="64">(T63-O63)/O63</f>
        <v>2.0576131687242798E-2</v>
      </c>
      <c r="U64" s="45">
        <f t="shared" ref="U64" si="65">(U63-P63)/P63</f>
        <v>2.4390243902439025E-2</v>
      </c>
      <c r="V64" s="48">
        <f>(V63-Q63)/Q63</f>
        <v>9.444828380557475E-3</v>
      </c>
      <c r="W64" s="45">
        <f>(W63-R63)/R63</f>
        <v>8.4745762711864403E-2</v>
      </c>
      <c r="X64" s="45">
        <f>(X63-S63)/S63</f>
        <v>7.3604060913705582E-2</v>
      </c>
      <c r="Y64" s="45">
        <f t="shared" ref="Y64" si="66">(Y63-T63)/T63</f>
        <v>-1</v>
      </c>
      <c r="Z64" s="45">
        <f t="shared" ref="Z64" si="67">(Z63-U63)/U63</f>
        <v>-1</v>
      </c>
      <c r="AA64" s="48">
        <f>(AA63-V63)/V63</f>
        <v>-0.50593336376083975</v>
      </c>
    </row>
    <row r="65" spans="2:28" x14ac:dyDescent="0.25">
      <c r="B65" s="2" t="s">
        <v>102</v>
      </c>
      <c r="C65" s="2">
        <v>13</v>
      </c>
      <c r="D65" s="2">
        <v>26</v>
      </c>
      <c r="E65" s="2">
        <v>38</v>
      </c>
      <c r="F65" s="2">
        <v>60</v>
      </c>
      <c r="G65" s="38"/>
      <c r="H65" s="2">
        <v>49</v>
      </c>
      <c r="I65" s="2">
        <v>92</v>
      </c>
      <c r="J65" s="2">
        <v>116</v>
      </c>
      <c r="K65" s="2">
        <v>51</v>
      </c>
      <c r="L65" s="38"/>
      <c r="M65" s="2">
        <v>6</v>
      </c>
      <c r="N65" s="2">
        <v>6</v>
      </c>
      <c r="O65" s="2">
        <v>-29</v>
      </c>
      <c r="P65" s="2">
        <v>2</v>
      </c>
      <c r="Q65" s="38"/>
      <c r="R65" s="2">
        <v>-3</v>
      </c>
      <c r="S65" s="2">
        <v>-49</v>
      </c>
      <c r="T65" s="2">
        <v>-37</v>
      </c>
      <c r="U65" s="2">
        <v>-53</v>
      </c>
      <c r="V65" s="38"/>
      <c r="W65" s="2">
        <v>-43</v>
      </c>
      <c r="X65" s="2">
        <v>-18</v>
      </c>
      <c r="AA65" s="38"/>
    </row>
    <row r="66" spans="2:28" x14ac:dyDescent="0.25">
      <c r="B66" s="2" t="s">
        <v>97</v>
      </c>
      <c r="C66" s="2">
        <v>287</v>
      </c>
      <c r="D66" s="2">
        <v>569</v>
      </c>
      <c r="E66" s="2">
        <v>426</v>
      </c>
      <c r="F66" s="2">
        <v>234</v>
      </c>
      <c r="G66" s="38"/>
      <c r="H66" s="2">
        <v>340</v>
      </c>
      <c r="I66" s="2">
        <v>220</v>
      </c>
      <c r="J66" s="2">
        <v>101</v>
      </c>
      <c r="K66" s="2">
        <v>95</v>
      </c>
      <c r="L66" s="38"/>
      <c r="M66" s="2">
        <v>7</v>
      </c>
      <c r="N66" s="2">
        <v>98</v>
      </c>
      <c r="O66" s="2">
        <v>48</v>
      </c>
      <c r="P66" s="2">
        <v>88</v>
      </c>
      <c r="Q66" s="38"/>
      <c r="R66" s="2">
        <v>44</v>
      </c>
      <c r="S66" s="2">
        <v>-3</v>
      </c>
      <c r="T66" s="2">
        <v>63</v>
      </c>
      <c r="U66" s="2">
        <v>39</v>
      </c>
      <c r="V66" s="38"/>
      <c r="W66" s="2">
        <v>56</v>
      </c>
      <c r="X66" s="2">
        <v>78</v>
      </c>
      <c r="AA66" s="38"/>
    </row>
    <row r="67" spans="2:28" x14ac:dyDescent="0.25">
      <c r="B67" s="23" t="s">
        <v>107</v>
      </c>
      <c r="C67" s="27">
        <v>15</v>
      </c>
      <c r="D67" s="27">
        <v>42</v>
      </c>
      <c r="E67" s="27">
        <v>123</v>
      </c>
      <c r="F67" s="27">
        <v>91</v>
      </c>
      <c r="G67" s="39"/>
      <c r="H67" s="27">
        <v>105</v>
      </c>
      <c r="I67" s="27">
        <v>159</v>
      </c>
      <c r="J67" s="27">
        <v>83</v>
      </c>
      <c r="K67" s="27">
        <v>58</v>
      </c>
      <c r="L67" s="39"/>
      <c r="M67" s="27">
        <v>30</v>
      </c>
      <c r="N67" s="27">
        <v>40</v>
      </c>
      <c r="O67" s="27">
        <v>35</v>
      </c>
      <c r="P67" s="27">
        <v>54</v>
      </c>
      <c r="Q67" s="39"/>
      <c r="R67" s="27">
        <v>32</v>
      </c>
      <c r="S67" s="27">
        <v>-3</v>
      </c>
      <c r="T67" s="27">
        <v>4</v>
      </c>
      <c r="U67" s="27">
        <v>42</v>
      </c>
      <c r="V67" s="39"/>
      <c r="W67" s="27">
        <v>57</v>
      </c>
      <c r="X67" s="27">
        <v>27</v>
      </c>
      <c r="Y67" s="27"/>
      <c r="Z67" s="27"/>
      <c r="AA67" s="39"/>
      <c r="AB67" s="27"/>
    </row>
    <row r="68" spans="2:28" x14ac:dyDescent="0.25">
      <c r="B68" s="23" t="s">
        <v>108</v>
      </c>
      <c r="C68" s="27">
        <v>0</v>
      </c>
      <c r="D68" s="27">
        <v>0</v>
      </c>
      <c r="E68" s="27">
        <v>0</v>
      </c>
      <c r="F68" s="27">
        <v>0</v>
      </c>
      <c r="G68" s="39"/>
      <c r="H68" s="27">
        <v>0</v>
      </c>
      <c r="I68" s="27">
        <v>0</v>
      </c>
      <c r="J68" s="27">
        <v>0</v>
      </c>
      <c r="K68" s="27">
        <v>0</v>
      </c>
      <c r="L68" s="39"/>
      <c r="M68" s="27">
        <v>0</v>
      </c>
      <c r="N68" s="27">
        <v>0</v>
      </c>
      <c r="O68" s="27">
        <v>0</v>
      </c>
      <c r="P68" s="27">
        <v>0</v>
      </c>
      <c r="Q68" s="39"/>
      <c r="R68" s="27">
        <v>12</v>
      </c>
      <c r="S68" s="27">
        <v>8</v>
      </c>
      <c r="T68" s="27">
        <v>4</v>
      </c>
      <c r="U68" s="27">
        <v>7</v>
      </c>
      <c r="V68" s="39"/>
      <c r="W68" s="27">
        <v>7</v>
      </c>
      <c r="X68" s="27">
        <v>10</v>
      </c>
      <c r="Y68" s="27"/>
      <c r="Z68" s="27"/>
      <c r="AA68" s="39"/>
      <c r="AB68" s="27"/>
    </row>
    <row r="69" spans="2:28" x14ac:dyDescent="0.25">
      <c r="B69" s="23" t="s">
        <v>98</v>
      </c>
      <c r="C69" s="27">
        <v>0</v>
      </c>
      <c r="D69" s="27">
        <v>0</v>
      </c>
      <c r="E69" s="27">
        <v>0</v>
      </c>
      <c r="F69" s="27">
        <v>0</v>
      </c>
      <c r="G69" s="39"/>
      <c r="H69" s="27">
        <v>-11</v>
      </c>
      <c r="I69" s="27">
        <v>-21</v>
      </c>
      <c r="J69" s="27">
        <v>-18</v>
      </c>
      <c r="K69" s="27">
        <v>-18</v>
      </c>
      <c r="L69" s="39"/>
      <c r="M69" s="27">
        <v>-16</v>
      </c>
      <c r="N69" s="27">
        <v>-41</v>
      </c>
      <c r="O69" s="27">
        <v>-59</v>
      </c>
      <c r="P69" s="27">
        <v>-49</v>
      </c>
      <c r="Q69" s="39"/>
      <c r="R69" s="27">
        <v>-9</v>
      </c>
      <c r="S69" s="27">
        <v>0</v>
      </c>
      <c r="T69" s="27">
        <v>0</v>
      </c>
      <c r="U69" s="27">
        <v>0</v>
      </c>
      <c r="V69" s="39"/>
      <c r="W69" s="27">
        <v>0</v>
      </c>
      <c r="X69" s="27">
        <v>0</v>
      </c>
      <c r="Y69" s="27"/>
      <c r="Z69" s="27"/>
      <c r="AA69" s="39"/>
      <c r="AB69" s="27"/>
    </row>
    <row r="70" spans="2:28" x14ac:dyDescent="0.25">
      <c r="B70" s="24" t="s">
        <v>99</v>
      </c>
      <c r="C70" s="28">
        <v>272</v>
      </c>
      <c r="D70" s="28">
        <v>527</v>
      </c>
      <c r="E70" s="28">
        <v>303</v>
      </c>
      <c r="F70" s="28">
        <v>143</v>
      </c>
      <c r="G70" s="40"/>
      <c r="H70" s="28">
        <v>246</v>
      </c>
      <c r="I70" s="28">
        <v>82</v>
      </c>
      <c r="J70" s="28">
        <v>36</v>
      </c>
      <c r="K70" s="28">
        <v>54</v>
      </c>
      <c r="L70" s="40"/>
      <c r="M70" s="28">
        <v>-7</v>
      </c>
      <c r="N70" s="28">
        <v>99</v>
      </c>
      <c r="O70" s="28">
        <v>72</v>
      </c>
      <c r="P70" s="28">
        <v>83</v>
      </c>
      <c r="Q70" s="40"/>
      <c r="R70" s="28">
        <v>9</v>
      </c>
      <c r="S70" s="28">
        <v>8</v>
      </c>
      <c r="T70" s="28">
        <v>55</v>
      </c>
      <c r="U70" s="28">
        <v>32</v>
      </c>
      <c r="V70" s="40"/>
      <c r="W70" s="28">
        <v>50</v>
      </c>
      <c r="X70" s="28">
        <v>16</v>
      </c>
      <c r="Y70" s="28"/>
      <c r="Z70" s="28"/>
      <c r="AA70" s="40"/>
      <c r="AB70" s="27"/>
    </row>
    <row r="71" spans="2:28" x14ac:dyDescent="0.25">
      <c r="B71" s="1" t="s">
        <v>100</v>
      </c>
      <c r="C71" s="1">
        <v>-64</v>
      </c>
      <c r="D71" s="1">
        <v>215</v>
      </c>
      <c r="E71" s="1">
        <v>236</v>
      </c>
      <c r="F71" s="1">
        <v>55</v>
      </c>
      <c r="G71" s="41">
        <f>SUM(C71:F71)</f>
        <v>442</v>
      </c>
      <c r="H71" s="1">
        <v>8</v>
      </c>
      <c r="I71" s="1">
        <v>186</v>
      </c>
      <c r="J71" s="1">
        <v>229</v>
      </c>
      <c r="K71" s="1">
        <v>72</v>
      </c>
      <c r="L71" s="41">
        <f>SUM(H71:K71)</f>
        <v>495</v>
      </c>
      <c r="M71" s="1">
        <v>-26</v>
      </c>
      <c r="N71" s="1">
        <v>239</v>
      </c>
      <c r="O71" s="1">
        <v>215</v>
      </c>
      <c r="P71" s="1">
        <v>138</v>
      </c>
      <c r="Q71" s="41">
        <f>SUM(M71:P71)</f>
        <v>566</v>
      </c>
      <c r="R71" s="1">
        <v>21</v>
      </c>
      <c r="S71" s="1">
        <v>172</v>
      </c>
      <c r="T71" s="1">
        <v>205</v>
      </c>
      <c r="U71" s="1">
        <v>165</v>
      </c>
      <c r="V71" s="41">
        <f>SUM(R71:U71)</f>
        <v>563</v>
      </c>
      <c r="W71" s="1">
        <v>44</v>
      </c>
      <c r="X71" s="1">
        <v>225</v>
      </c>
      <c r="Y71" s="1"/>
      <c r="Z71" s="1"/>
      <c r="AA71" s="41">
        <f>SUM(W71:Z71)</f>
        <v>269</v>
      </c>
      <c r="AB71" s="1"/>
    </row>
    <row r="72" spans="2:28" x14ac:dyDescent="0.25">
      <c r="B72" s="25" t="s">
        <v>109</v>
      </c>
      <c r="C72" s="26">
        <v>-0.16700000000000001</v>
      </c>
      <c r="D72" s="26">
        <v>0.26300000000000001</v>
      </c>
      <c r="E72" s="26">
        <v>0.24099999999999999</v>
      </c>
      <c r="F72" s="26">
        <v>6.3E-2</v>
      </c>
      <c r="G72" s="42"/>
      <c r="H72" s="26">
        <v>0.01</v>
      </c>
      <c r="I72" s="26">
        <v>0.16400000000000001</v>
      </c>
      <c r="J72" s="26">
        <v>0.192</v>
      </c>
      <c r="K72" s="26">
        <v>7.0999999999999994E-2</v>
      </c>
      <c r="L72" s="42"/>
      <c r="M72" s="26">
        <v>-3.4000000000000002E-2</v>
      </c>
      <c r="N72" s="26">
        <v>0.193</v>
      </c>
      <c r="O72" s="26">
        <v>0.17699999999999999</v>
      </c>
      <c r="P72" s="26">
        <v>0.125</v>
      </c>
      <c r="Q72" s="42"/>
      <c r="R72" s="26">
        <v>2.5000000000000001E-2</v>
      </c>
      <c r="S72" s="26">
        <v>0.14499999999999999</v>
      </c>
      <c r="T72" s="26">
        <v>0.16500000000000001</v>
      </c>
      <c r="U72" s="26">
        <v>0.14499999999999999</v>
      </c>
      <c r="V72" s="42"/>
      <c r="W72" s="26">
        <f>W71/W63</f>
        <v>4.9107142857142856E-2</v>
      </c>
      <c r="X72" s="26">
        <f>X71/X63</f>
        <v>0.1773049645390071</v>
      </c>
      <c r="Y72" s="26"/>
      <c r="Z72" s="26"/>
      <c r="AA72" s="42"/>
      <c r="AB72" s="10"/>
    </row>
    <row r="73" spans="2:28" s="13" customFormat="1" x14ac:dyDescent="0.25">
      <c r="B73" s="12" t="s">
        <v>101</v>
      </c>
      <c r="C73" s="12">
        <v>388</v>
      </c>
      <c r="D73" s="12">
        <v>881</v>
      </c>
      <c r="E73" s="12">
        <v>1003</v>
      </c>
      <c r="F73" s="12">
        <v>777</v>
      </c>
      <c r="G73" s="29"/>
      <c r="H73" s="12">
        <v>672</v>
      </c>
      <c r="I73" s="12">
        <v>1046</v>
      </c>
      <c r="J73" s="12">
        <v>1137</v>
      </c>
      <c r="K73" s="12">
        <v>868</v>
      </c>
      <c r="L73" s="29"/>
      <c r="M73" s="12">
        <v>666</v>
      </c>
      <c r="N73" s="12">
        <v>1120</v>
      </c>
      <c r="O73" s="12">
        <v>1167</v>
      </c>
      <c r="P73" s="12">
        <v>905</v>
      </c>
      <c r="Q73" s="29"/>
      <c r="R73" s="12">
        <v>724</v>
      </c>
      <c r="S73" s="12">
        <v>1121</v>
      </c>
      <c r="T73" s="12">
        <v>1205</v>
      </c>
      <c r="U73" s="12">
        <v>952</v>
      </c>
      <c r="V73" s="29"/>
      <c r="W73" s="12">
        <v>721</v>
      </c>
      <c r="X73" s="12">
        <v>1101</v>
      </c>
      <c r="Y73" s="12"/>
      <c r="Z73" s="12"/>
      <c r="AA73" s="29"/>
      <c r="AB73" s="12"/>
    </row>
    <row r="74" spans="2:28" s="15" customFormat="1" x14ac:dyDescent="0.25">
      <c r="B74" s="15" t="s">
        <v>157</v>
      </c>
      <c r="G74" s="58"/>
      <c r="H74" s="45">
        <f>(H73-C73)/C73</f>
        <v>0.73195876288659789</v>
      </c>
      <c r="I74" s="45">
        <f>(I73-D73)/D73</f>
        <v>0.1872871736662883</v>
      </c>
      <c r="J74" s="45">
        <f t="shared" ref="J74" si="68">(J73-E73)/E73</f>
        <v>0.13359920239282153</v>
      </c>
      <c r="K74" s="45">
        <f t="shared" ref="K74" si="69">(K73-F73)/F73</f>
        <v>0.11711711711711711</v>
      </c>
      <c r="L74" s="48"/>
      <c r="M74" s="45">
        <f>(M73-H73)/H73</f>
        <v>-8.9285714285714281E-3</v>
      </c>
      <c r="N74" s="45">
        <f>(N73-I73)/I73</f>
        <v>7.0745697896749518E-2</v>
      </c>
      <c r="O74" s="45">
        <f t="shared" ref="O74" si="70">(O73-J73)/J73</f>
        <v>2.6385224274406333E-2</v>
      </c>
      <c r="P74" s="45">
        <f t="shared" ref="P74" si="71">(P73-K73)/K73</f>
        <v>4.2626728110599081E-2</v>
      </c>
      <c r="Q74" s="48"/>
      <c r="R74" s="45">
        <f>(R73-M73)/M73</f>
        <v>8.7087087087087081E-2</v>
      </c>
      <c r="S74" s="45">
        <f>(S73-N73)/N73</f>
        <v>8.9285714285714283E-4</v>
      </c>
      <c r="T74" s="45">
        <f t="shared" ref="T74" si="72">(T73-O73)/O73</f>
        <v>3.2562125107112254E-2</v>
      </c>
      <c r="U74" s="45">
        <f t="shared" ref="U74" si="73">(U73-P73)/P73</f>
        <v>5.1933701657458566E-2</v>
      </c>
      <c r="V74" s="48"/>
      <c r="W74" s="45">
        <f>(W73-R73)/R73</f>
        <v>-4.1436464088397788E-3</v>
      </c>
      <c r="X74" s="45">
        <f>(X73-S73)/S73</f>
        <v>-1.784121320249777E-2</v>
      </c>
      <c r="Y74" s="45">
        <f t="shared" ref="Y74" si="74">(Y73-T73)/T73</f>
        <v>-1</v>
      </c>
      <c r="Z74" s="45">
        <f t="shared" ref="Z74" si="75">(Z73-U73)/U73</f>
        <v>-1</v>
      </c>
      <c r="AA74" s="58"/>
    </row>
    <row r="75" spans="2:28" x14ac:dyDescent="0.25">
      <c r="B75" s="2" t="s">
        <v>102</v>
      </c>
      <c r="C75" s="2">
        <v>13</v>
      </c>
      <c r="D75" s="2">
        <v>28</v>
      </c>
      <c r="E75" s="2">
        <v>39</v>
      </c>
      <c r="F75" s="2">
        <v>55</v>
      </c>
      <c r="G75" s="38"/>
      <c r="H75" s="2">
        <v>42</v>
      </c>
      <c r="I75" s="2">
        <v>85</v>
      </c>
      <c r="J75" s="2">
        <v>109</v>
      </c>
      <c r="K75" s="2">
        <v>43</v>
      </c>
      <c r="L75" s="38"/>
      <c r="M75" s="2">
        <v>5</v>
      </c>
      <c r="N75" s="2">
        <v>7</v>
      </c>
      <c r="O75" s="2">
        <v>-24</v>
      </c>
      <c r="P75" s="2">
        <v>3</v>
      </c>
      <c r="Q75" s="38"/>
      <c r="R75" s="2">
        <v>-1</v>
      </c>
      <c r="S75" s="2">
        <v>-30</v>
      </c>
      <c r="T75" s="2">
        <v>-33</v>
      </c>
      <c r="U75" s="2">
        <v>-31</v>
      </c>
      <c r="V75" s="38"/>
      <c r="W75" s="2">
        <v>-37</v>
      </c>
      <c r="X75" s="2">
        <v>-17</v>
      </c>
      <c r="AA75" s="38"/>
    </row>
    <row r="76" spans="2:28" x14ac:dyDescent="0.25">
      <c r="B76" s="2" t="s">
        <v>103</v>
      </c>
      <c r="C76" s="2">
        <v>-9</v>
      </c>
      <c r="D76" s="2">
        <v>-7</v>
      </c>
      <c r="E76" s="2">
        <v>11</v>
      </c>
      <c r="F76" s="2">
        <v>-9</v>
      </c>
      <c r="G76" s="38"/>
      <c r="H76" s="2">
        <v>-16</v>
      </c>
      <c r="I76" s="2">
        <v>-16</v>
      </c>
      <c r="J76" s="2">
        <v>-5</v>
      </c>
      <c r="K76" s="2">
        <v>-13</v>
      </c>
      <c r="L76" s="38"/>
      <c r="M76" s="2">
        <v>-9</v>
      </c>
      <c r="N76" s="2">
        <v>1</v>
      </c>
      <c r="O76" s="2">
        <v>-5</v>
      </c>
      <c r="P76" s="2">
        <v>21</v>
      </c>
      <c r="Q76" s="38"/>
      <c r="R76" s="2">
        <v>27</v>
      </c>
      <c r="S76" s="2">
        <v>1</v>
      </c>
      <c r="T76" s="2">
        <v>3</v>
      </c>
      <c r="U76" s="2">
        <v>-4</v>
      </c>
      <c r="V76" s="38"/>
      <c r="W76" s="2">
        <v>-9</v>
      </c>
      <c r="X76" s="2">
        <v>-13</v>
      </c>
      <c r="AA76" s="38"/>
    </row>
    <row r="77" spans="2:28" x14ac:dyDescent="0.25">
      <c r="B77" s="25" t="s">
        <v>99</v>
      </c>
      <c r="C77" s="25">
        <v>291</v>
      </c>
      <c r="D77" s="25">
        <v>636</v>
      </c>
      <c r="E77" s="25">
        <v>411</v>
      </c>
      <c r="F77" s="25">
        <v>179</v>
      </c>
      <c r="G77" s="43"/>
      <c r="H77" s="25">
        <v>257</v>
      </c>
      <c r="I77" s="25">
        <v>97</v>
      </c>
      <c r="J77" s="25">
        <v>29</v>
      </c>
      <c r="K77" s="25">
        <v>60</v>
      </c>
      <c r="L77" s="43"/>
      <c r="M77" s="25">
        <v>-2</v>
      </c>
      <c r="N77" s="25">
        <v>65</v>
      </c>
      <c r="O77" s="25">
        <v>60</v>
      </c>
      <c r="P77" s="25">
        <v>13</v>
      </c>
      <c r="Q77" s="43"/>
      <c r="R77" s="25">
        <v>28</v>
      </c>
      <c r="S77" s="25">
        <v>26</v>
      </c>
      <c r="T77" s="25">
        <v>64</v>
      </c>
      <c r="U77" s="25">
        <v>82</v>
      </c>
      <c r="V77" s="43"/>
      <c r="W77" s="25">
        <v>42</v>
      </c>
      <c r="X77" s="25">
        <v>10</v>
      </c>
      <c r="Y77" s="25"/>
      <c r="Z77" s="25"/>
      <c r="AA77" s="43"/>
    </row>
    <row r="78" spans="2:28" s="13" customFormat="1" x14ac:dyDescent="0.25">
      <c r="B78" s="13" t="s">
        <v>105</v>
      </c>
      <c r="C78" s="13">
        <v>973</v>
      </c>
      <c r="D78" s="13">
        <v>1214</v>
      </c>
      <c r="E78" s="13">
        <v>1293</v>
      </c>
      <c r="F78" s="13">
        <v>1243</v>
      </c>
      <c r="G78" s="47"/>
      <c r="H78" s="13">
        <v>1210</v>
      </c>
      <c r="I78" s="13">
        <v>1458</v>
      </c>
      <c r="J78" s="13">
        <v>1458</v>
      </c>
      <c r="K78" s="13">
        <v>1356</v>
      </c>
      <c r="L78" s="47"/>
      <c r="M78" s="13">
        <v>1233</v>
      </c>
      <c r="N78" s="13">
        <v>1535</v>
      </c>
      <c r="O78" s="13">
        <v>1478</v>
      </c>
      <c r="P78" s="13">
        <v>1343</v>
      </c>
      <c r="Q78" s="47"/>
      <c r="R78" s="13">
        <v>1251</v>
      </c>
      <c r="S78" s="13">
        <v>1518</v>
      </c>
      <c r="T78" s="13">
        <v>1499</v>
      </c>
      <c r="U78" s="13">
        <v>1389</v>
      </c>
      <c r="V78" s="47"/>
      <c r="W78" s="13">
        <v>1222</v>
      </c>
      <c r="X78" s="13">
        <v>1499</v>
      </c>
      <c r="AA78" s="47"/>
    </row>
    <row r="79" spans="2:28" s="45" customFormat="1" x14ac:dyDescent="0.25">
      <c r="B79" s="45" t="s">
        <v>157</v>
      </c>
      <c r="G79" s="48"/>
      <c r="H79" s="45">
        <f>(H78-C78)/C78</f>
        <v>0.24357656731757452</v>
      </c>
      <c r="I79" s="45">
        <f>(I78-D78)/D78</f>
        <v>0.20098846787479407</v>
      </c>
      <c r="J79" s="45">
        <f t="shared" ref="J79" si="76">(J78-E78)/E78</f>
        <v>0.12761020881670534</v>
      </c>
      <c r="K79" s="45">
        <f t="shared" ref="K79" si="77">(K78-F78)/F78</f>
        <v>9.0909090909090912E-2</v>
      </c>
      <c r="L79" s="48"/>
      <c r="M79" s="45">
        <f>(M78-H78)/H78</f>
        <v>1.9008264462809916E-2</v>
      </c>
      <c r="N79" s="45">
        <f>(N78-I78)/I78</f>
        <v>5.2812071330589849E-2</v>
      </c>
      <c r="O79" s="45">
        <f t="shared" ref="O79" si="78">(O78-J78)/J78</f>
        <v>1.3717421124828532E-2</v>
      </c>
      <c r="P79" s="45">
        <f t="shared" ref="P79" si="79">(P78-K78)/K78</f>
        <v>-9.5870206489675515E-3</v>
      </c>
      <c r="Q79" s="48"/>
      <c r="R79" s="45">
        <f>(R78-M78)/M78</f>
        <v>1.4598540145985401E-2</v>
      </c>
      <c r="S79" s="45">
        <f>(S78-N78)/N78</f>
        <v>-1.1074918566775244E-2</v>
      </c>
      <c r="T79" s="45">
        <f t="shared" ref="T79" si="80">(T78-O78)/O78</f>
        <v>1.4208389715832206E-2</v>
      </c>
      <c r="U79" s="45">
        <f t="shared" ref="U79" si="81">(U78-P78)/P78</f>
        <v>3.4251675353685777E-2</v>
      </c>
      <c r="V79" s="48"/>
      <c r="W79" s="45">
        <f>(W78-R78)/R78</f>
        <v>-2.3181454836131096E-2</v>
      </c>
      <c r="X79" s="45">
        <f>(X78-S78)/S78</f>
        <v>-1.2516469038208168E-2</v>
      </c>
      <c r="Y79" s="45">
        <f t="shared" ref="Y79" si="82">(Y78-T78)/T78</f>
        <v>-1</v>
      </c>
      <c r="Z79" s="45">
        <f t="shared" ref="Z79" si="83">(Z78-U78)/U78</f>
        <v>-1</v>
      </c>
      <c r="AA79" s="48"/>
    </row>
    <row r="80" spans="2:28" x14ac:dyDescent="0.25">
      <c r="B80" s="25" t="s">
        <v>104</v>
      </c>
      <c r="C80" s="26">
        <v>0.39900000000000002</v>
      </c>
      <c r="D80" s="26">
        <v>0.72499999999999998</v>
      </c>
      <c r="E80" s="26">
        <v>0.77600000000000002</v>
      </c>
      <c r="F80" s="26">
        <v>0.625</v>
      </c>
      <c r="G80" s="42"/>
      <c r="H80" s="26">
        <v>0.55500000000000005</v>
      </c>
      <c r="I80" s="26">
        <v>0.71799999999999997</v>
      </c>
      <c r="J80" s="26">
        <v>0.77900000000000003</v>
      </c>
      <c r="K80" s="26">
        <v>0.64</v>
      </c>
      <c r="L80" s="42"/>
      <c r="M80" s="26">
        <v>0.54</v>
      </c>
      <c r="N80" s="26">
        <v>0.73</v>
      </c>
      <c r="O80" s="26">
        <v>0.79</v>
      </c>
      <c r="P80" s="26">
        <v>0.67400000000000004</v>
      </c>
      <c r="Q80" s="42"/>
      <c r="R80" s="26">
        <v>0.57899999999999996</v>
      </c>
      <c r="S80" s="26">
        <v>0.73899999999999999</v>
      </c>
      <c r="T80" s="26">
        <v>0.80400000000000005</v>
      </c>
      <c r="U80" s="26">
        <v>0.68500000000000005</v>
      </c>
      <c r="V80" s="42"/>
      <c r="W80" s="26">
        <v>0.59</v>
      </c>
      <c r="X80" s="26">
        <v>0.73499999999999999</v>
      </c>
      <c r="Y80" s="26"/>
      <c r="Z80" s="26"/>
      <c r="AA80" s="42"/>
      <c r="AB80" s="10"/>
    </row>
  </sheetData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8E745-DC06-8448-81B5-DC40131426CF}">
  <dimension ref="C4:F6"/>
  <sheetViews>
    <sheetView showGridLines="0" workbookViewId="0">
      <selection activeCell="G13" sqref="G13"/>
    </sheetView>
  </sheetViews>
  <sheetFormatPr baseColWidth="10" defaultRowHeight="16" x14ac:dyDescent="0.2"/>
  <cols>
    <col min="3" max="3" width="29.5" bestFit="1" customWidth="1"/>
    <col min="4" max="7" width="18.6640625" bestFit="1" customWidth="1"/>
  </cols>
  <sheetData>
    <row r="4" spans="3:6" ht="62" x14ac:dyDescent="0.7">
      <c r="C4" s="32"/>
      <c r="D4" s="32">
        <v>2026</v>
      </c>
      <c r="E4" s="32">
        <v>2027</v>
      </c>
      <c r="F4" s="32">
        <v>2028</v>
      </c>
    </row>
    <row r="5" spans="3:6" ht="62" x14ac:dyDescent="0.7">
      <c r="C5" s="32" t="s">
        <v>34</v>
      </c>
      <c r="D5" s="33">
        <f>Modell!$B$9/Modell!AK15</f>
        <v>6.0850155905741143</v>
      </c>
      <c r="E5" s="33">
        <f>Modell!$B$9/Modell!AL15</f>
        <v>4.2922985654467425</v>
      </c>
      <c r="F5" s="33">
        <f>Modell!$B$9/Modell!AM15</f>
        <v>4.0685294459210803</v>
      </c>
    </row>
    <row r="6" spans="3:6" ht="62" x14ac:dyDescent="0.7">
      <c r="C6" s="32" t="s">
        <v>35</v>
      </c>
      <c r="D6" s="33">
        <f>Modell!$B$4/Modell!AK21</f>
        <v>18.2763710939624</v>
      </c>
      <c r="E6" s="33">
        <f>Modell!$B$4/Modell!AL21</f>
        <v>10.539589139625113</v>
      </c>
      <c r="F6" s="33">
        <f>Modell!$B$4/Modell!AM21</f>
        <v>9.9427282947047395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8EBBC-9E41-B848-8082-FAC9745C8DB2}">
  <dimension ref="A3:EC26"/>
  <sheetViews>
    <sheetView showGridLines="0" workbookViewId="0">
      <pane xSplit="3" ySplit="3" topLeftCell="I4" activePane="bottomRight" state="frozen"/>
      <selection pane="topRight" activeCell="D1" sqref="D1"/>
      <selection pane="bottomLeft" activeCell="A4" sqref="A4"/>
      <selection pane="bottomRight" activeCell="P8" sqref="P8"/>
    </sheetView>
  </sheetViews>
  <sheetFormatPr baseColWidth="10" defaultRowHeight="19" x14ac:dyDescent="0.25"/>
  <cols>
    <col min="1" max="1" width="10.83203125" style="2"/>
    <col min="2" max="2" width="22.6640625" style="4" customWidth="1"/>
    <col min="3" max="3" width="31.5" style="2" customWidth="1"/>
    <col min="4" max="26" width="10.83203125" style="2"/>
    <col min="27" max="27" width="13.33203125" style="2" bestFit="1" customWidth="1"/>
    <col min="28" max="16384" width="10.83203125" style="2"/>
  </cols>
  <sheetData>
    <row r="3" spans="1:24" x14ac:dyDescent="0.25">
      <c r="A3" s="1" t="s">
        <v>155</v>
      </c>
      <c r="D3" s="7" t="s">
        <v>154</v>
      </c>
      <c r="E3" s="7" t="s">
        <v>151</v>
      </c>
      <c r="F3" s="7" t="s">
        <v>152</v>
      </c>
      <c r="G3" s="7" t="s">
        <v>153</v>
      </c>
      <c r="H3" s="7" t="s">
        <v>56</v>
      </c>
      <c r="I3" s="7" t="s">
        <v>57</v>
      </c>
      <c r="J3" s="7" t="s">
        <v>58</v>
      </c>
      <c r="K3" s="7" t="s">
        <v>15</v>
      </c>
      <c r="L3" s="7" t="s">
        <v>16</v>
      </c>
      <c r="M3" s="7" t="s">
        <v>17</v>
      </c>
      <c r="N3" s="7" t="s">
        <v>18</v>
      </c>
      <c r="O3" s="7" t="s">
        <v>19</v>
      </c>
      <c r="P3" s="7" t="s">
        <v>20</v>
      </c>
      <c r="Q3" s="7" t="s">
        <v>21</v>
      </c>
      <c r="R3" s="7" t="s">
        <v>22</v>
      </c>
      <c r="S3" s="7" t="s">
        <v>23</v>
      </c>
      <c r="T3" s="7" t="s">
        <v>24</v>
      </c>
      <c r="U3" s="7" t="s">
        <v>25</v>
      </c>
      <c r="V3" s="7" t="s">
        <v>26</v>
      </c>
      <c r="W3" s="7" t="s">
        <v>27</v>
      </c>
      <c r="X3" s="7" t="s">
        <v>28</v>
      </c>
    </row>
    <row r="4" spans="1:24" x14ac:dyDescent="0.25">
      <c r="A4" s="1" t="s">
        <v>156</v>
      </c>
      <c r="C4" s="2" t="s">
        <v>41</v>
      </c>
      <c r="D4" s="13"/>
      <c r="E4" s="13"/>
      <c r="F4" s="13"/>
      <c r="G4" s="1"/>
      <c r="H4" s="13">
        <v>18945</v>
      </c>
      <c r="I4" s="13">
        <v>7470</v>
      </c>
      <c r="J4" s="13">
        <v>10086</v>
      </c>
      <c r="K4" s="13">
        <v>19230</v>
      </c>
      <c r="L4" s="13">
        <v>21935</v>
      </c>
      <c r="M4" s="13">
        <v>21959</v>
      </c>
      <c r="N4" s="13">
        <v>22288</v>
      </c>
      <c r="O4" s="13">
        <f>N4*1</f>
        <v>22288</v>
      </c>
      <c r="P4" s="13">
        <f t="shared" ref="P4:X4" si="0">O4*1</f>
        <v>22288</v>
      </c>
      <c r="Q4" s="13">
        <f t="shared" si="0"/>
        <v>22288</v>
      </c>
      <c r="R4" s="13">
        <f t="shared" si="0"/>
        <v>22288</v>
      </c>
      <c r="S4" s="13">
        <f t="shared" si="0"/>
        <v>22288</v>
      </c>
      <c r="T4" s="13">
        <f t="shared" si="0"/>
        <v>22288</v>
      </c>
      <c r="U4" s="13">
        <f t="shared" si="0"/>
        <v>22288</v>
      </c>
      <c r="V4" s="13">
        <f t="shared" si="0"/>
        <v>22288</v>
      </c>
      <c r="W4" s="13">
        <f t="shared" si="0"/>
        <v>22288</v>
      </c>
      <c r="X4" s="13">
        <f t="shared" si="0"/>
        <v>22288</v>
      </c>
    </row>
    <row r="5" spans="1:24" x14ac:dyDescent="0.25">
      <c r="A5" s="44">
        <f>AA25</f>
        <v>34.425825468108854</v>
      </c>
      <c r="C5" s="2" t="s">
        <v>42</v>
      </c>
      <c r="D5" s="13"/>
      <c r="E5" s="13"/>
      <c r="F5" s="13"/>
      <c r="H5" s="13">
        <v>0</v>
      </c>
      <c r="I5" s="13">
        <v>0</v>
      </c>
      <c r="J5" s="13">
        <v>44</v>
      </c>
      <c r="K5" s="13">
        <v>3</v>
      </c>
      <c r="L5" s="13">
        <v>20</v>
      </c>
      <c r="M5" s="13">
        <v>0</v>
      </c>
      <c r="N5" s="13">
        <v>0</v>
      </c>
      <c r="O5" s="13">
        <v>0</v>
      </c>
      <c r="P5" s="13">
        <v>0</v>
      </c>
      <c r="Q5" s="13">
        <v>0</v>
      </c>
      <c r="R5" s="13">
        <v>0</v>
      </c>
      <c r="S5" s="13">
        <v>0</v>
      </c>
      <c r="T5" s="13">
        <v>0</v>
      </c>
      <c r="U5" s="13">
        <v>0</v>
      </c>
      <c r="V5" s="13">
        <v>0</v>
      </c>
      <c r="W5" s="13">
        <v>0</v>
      </c>
      <c r="X5" s="13">
        <v>0</v>
      </c>
    </row>
    <row r="6" spans="1:24" x14ac:dyDescent="0.25">
      <c r="A6" s="20">
        <f>AA26</f>
        <v>-0.60656199465018457</v>
      </c>
      <c r="C6" s="1" t="s">
        <v>43</v>
      </c>
      <c r="D6" s="12">
        <v>12208</v>
      </c>
      <c r="E6" s="12">
        <v>13095</v>
      </c>
      <c r="F6" s="12">
        <v>14583</v>
      </c>
      <c r="G6" s="12">
        <v>18007</v>
      </c>
      <c r="H6" s="12">
        <f t="shared" ref="H6:K6" si="1">SUM(H4:H5)</f>
        <v>18945</v>
      </c>
      <c r="I6" s="12">
        <f t="shared" si="1"/>
        <v>7470</v>
      </c>
      <c r="J6" s="12">
        <f t="shared" si="1"/>
        <v>10130</v>
      </c>
      <c r="K6" s="12">
        <f t="shared" si="1"/>
        <v>19233</v>
      </c>
      <c r="L6" s="12">
        <f>SUM(L4:L5)</f>
        <v>21955</v>
      </c>
      <c r="M6" s="12">
        <f>SUM(M4:M5)</f>
        <v>21959</v>
      </c>
      <c r="N6" s="12">
        <f>SUM(N4:N5)</f>
        <v>22288</v>
      </c>
      <c r="O6" s="12">
        <f t="shared" ref="O6:X6" si="2">SUM(O4:O5)</f>
        <v>22288</v>
      </c>
      <c r="P6" s="12">
        <f t="shared" si="2"/>
        <v>22288</v>
      </c>
      <c r="Q6" s="12">
        <f t="shared" si="2"/>
        <v>22288</v>
      </c>
      <c r="R6" s="12">
        <f t="shared" si="2"/>
        <v>22288</v>
      </c>
      <c r="S6" s="12">
        <f t="shared" si="2"/>
        <v>22288</v>
      </c>
      <c r="T6" s="12">
        <f t="shared" si="2"/>
        <v>22288</v>
      </c>
      <c r="U6" s="12">
        <f t="shared" si="2"/>
        <v>22288</v>
      </c>
      <c r="V6" s="12">
        <f t="shared" si="2"/>
        <v>22288</v>
      </c>
      <c r="W6" s="12">
        <f t="shared" si="2"/>
        <v>22288</v>
      </c>
      <c r="X6" s="12">
        <f t="shared" si="2"/>
        <v>22288</v>
      </c>
    </row>
    <row r="7" spans="1:24" x14ac:dyDescent="0.25">
      <c r="C7" s="2" t="s">
        <v>44</v>
      </c>
      <c r="D7" s="13"/>
      <c r="E7" s="13"/>
      <c r="F7" s="13"/>
      <c r="H7" s="13">
        <v>-1634</v>
      </c>
      <c r="I7" s="13">
        <v>-611</v>
      </c>
      <c r="J7" s="13">
        <v>-839</v>
      </c>
      <c r="K7" s="13">
        <v>-1495</v>
      </c>
      <c r="L7" s="13">
        <v>-1698</v>
      </c>
      <c r="M7" s="13">
        <v>-1634</v>
      </c>
      <c r="N7" s="13">
        <v>-1637</v>
      </c>
      <c r="O7" s="13">
        <f>N7*1</f>
        <v>-1637</v>
      </c>
      <c r="P7" s="13">
        <f t="shared" ref="P7:X7" si="3">O7*1</f>
        <v>-1637</v>
      </c>
      <c r="Q7" s="13">
        <f t="shared" si="3"/>
        <v>-1637</v>
      </c>
      <c r="R7" s="13">
        <f t="shared" si="3"/>
        <v>-1637</v>
      </c>
      <c r="S7" s="13">
        <f t="shared" si="3"/>
        <v>-1637</v>
      </c>
      <c r="T7" s="13">
        <f t="shared" si="3"/>
        <v>-1637</v>
      </c>
      <c r="U7" s="13">
        <f t="shared" si="3"/>
        <v>-1637</v>
      </c>
      <c r="V7" s="13">
        <f t="shared" si="3"/>
        <v>-1637</v>
      </c>
      <c r="W7" s="13">
        <f t="shared" si="3"/>
        <v>-1637</v>
      </c>
      <c r="X7" s="13">
        <f t="shared" si="3"/>
        <v>-1637</v>
      </c>
    </row>
    <row r="8" spans="1:24" x14ac:dyDescent="0.25">
      <c r="C8" s="2" t="s">
        <v>45</v>
      </c>
      <c r="D8" s="13"/>
      <c r="E8" s="13"/>
      <c r="F8" s="13"/>
      <c r="H8" s="13">
        <v>-4335</v>
      </c>
      <c r="I8" s="13">
        <v>-1751</v>
      </c>
      <c r="J8" s="13">
        <v>-2248</v>
      </c>
      <c r="K8" s="13">
        <v>-3854</v>
      </c>
      <c r="L8" s="13">
        <v>-4538</v>
      </c>
      <c r="M8" s="13">
        <v>-4454</v>
      </c>
      <c r="N8" s="13">
        <v>-4614</v>
      </c>
      <c r="O8" s="13">
        <f t="shared" ref="O8:X13" si="4">N8*1</f>
        <v>-4614</v>
      </c>
      <c r="P8" s="13">
        <f t="shared" si="4"/>
        <v>-4614</v>
      </c>
      <c r="Q8" s="13">
        <f t="shared" si="4"/>
        <v>-4614</v>
      </c>
      <c r="R8" s="13">
        <f t="shared" si="4"/>
        <v>-4614</v>
      </c>
      <c r="S8" s="13">
        <f t="shared" si="4"/>
        <v>-4614</v>
      </c>
      <c r="T8" s="13">
        <f t="shared" si="4"/>
        <v>-4614</v>
      </c>
      <c r="U8" s="13">
        <f t="shared" si="4"/>
        <v>-4614</v>
      </c>
      <c r="V8" s="13">
        <f t="shared" si="4"/>
        <v>-4614</v>
      </c>
      <c r="W8" s="13">
        <f t="shared" si="4"/>
        <v>-4614</v>
      </c>
      <c r="X8" s="13">
        <f t="shared" si="4"/>
        <v>-4614</v>
      </c>
    </row>
    <row r="9" spans="1:24" x14ac:dyDescent="0.25">
      <c r="C9" s="2" t="s">
        <v>46</v>
      </c>
      <c r="D9" s="13"/>
      <c r="E9" s="13"/>
      <c r="F9" s="13"/>
      <c r="H9" s="13">
        <v>-5869</v>
      </c>
      <c r="I9" s="13">
        <v>-3489</v>
      </c>
      <c r="J9" s="13">
        <v>-3597</v>
      </c>
      <c r="K9" s="13">
        <v>-5957</v>
      </c>
      <c r="L9" s="13">
        <v>-6882</v>
      </c>
      <c r="M9" s="13">
        <v>-6948</v>
      </c>
      <c r="N9" s="13">
        <v>-7025</v>
      </c>
      <c r="O9" s="13">
        <f t="shared" si="4"/>
        <v>-7025</v>
      </c>
      <c r="P9" s="13">
        <f t="shared" si="4"/>
        <v>-7025</v>
      </c>
      <c r="Q9" s="13">
        <f t="shared" si="4"/>
        <v>-7025</v>
      </c>
      <c r="R9" s="13">
        <f t="shared" si="4"/>
        <v>-7025</v>
      </c>
      <c r="S9" s="13">
        <f t="shared" si="4"/>
        <v>-7025</v>
      </c>
      <c r="T9" s="13">
        <f t="shared" si="4"/>
        <v>-7025</v>
      </c>
      <c r="U9" s="13">
        <f t="shared" si="4"/>
        <v>-7025</v>
      </c>
      <c r="V9" s="13">
        <f t="shared" si="4"/>
        <v>-7025</v>
      </c>
      <c r="W9" s="13">
        <f t="shared" si="4"/>
        <v>-7025</v>
      </c>
      <c r="X9" s="13">
        <f t="shared" si="4"/>
        <v>-7025</v>
      </c>
    </row>
    <row r="10" spans="1:24" x14ac:dyDescent="0.25">
      <c r="C10" s="2" t="s">
        <v>47</v>
      </c>
      <c r="D10" s="13"/>
      <c r="E10" s="13"/>
      <c r="F10" s="13"/>
      <c r="H10" s="13">
        <f>-74-1696</f>
        <v>-1770</v>
      </c>
      <c r="I10" s="13">
        <f>492-424</f>
        <v>68</v>
      </c>
      <c r="J10" s="13">
        <f>79-780</f>
        <v>-701</v>
      </c>
      <c r="K10" s="13">
        <f>-159-1792</f>
        <v>-1951</v>
      </c>
      <c r="L10" s="13">
        <v>-2209</v>
      </c>
      <c r="M10" s="13">
        <v>-2157</v>
      </c>
      <c r="N10" s="13">
        <v>-2230</v>
      </c>
      <c r="O10" s="13">
        <f t="shared" si="4"/>
        <v>-2230</v>
      </c>
      <c r="P10" s="13">
        <f t="shared" si="4"/>
        <v>-2230</v>
      </c>
      <c r="Q10" s="13">
        <f t="shared" si="4"/>
        <v>-2230</v>
      </c>
      <c r="R10" s="13">
        <f t="shared" si="4"/>
        <v>-2230</v>
      </c>
      <c r="S10" s="13">
        <f t="shared" si="4"/>
        <v>-2230</v>
      </c>
      <c r="T10" s="13">
        <f t="shared" si="4"/>
        <v>-2230</v>
      </c>
      <c r="U10" s="13">
        <f t="shared" si="4"/>
        <v>-2230</v>
      </c>
      <c r="V10" s="13">
        <f t="shared" si="4"/>
        <v>-2230</v>
      </c>
      <c r="W10" s="13">
        <f t="shared" si="4"/>
        <v>-2230</v>
      </c>
      <c r="X10" s="13">
        <f t="shared" si="4"/>
        <v>-2230</v>
      </c>
    </row>
    <row r="11" spans="1:24" x14ac:dyDescent="0.25">
      <c r="C11" s="2" t="s">
        <v>48</v>
      </c>
      <c r="D11" s="13"/>
      <c r="E11" s="13"/>
      <c r="F11" s="13"/>
      <c r="G11" s="1"/>
      <c r="H11" s="13">
        <v>-81</v>
      </c>
      <c r="I11" s="13">
        <v>-32</v>
      </c>
      <c r="J11" s="13">
        <v>-52</v>
      </c>
      <c r="K11" s="13">
        <v>-131</v>
      </c>
      <c r="L11" s="13">
        <v>-17</v>
      </c>
      <c r="M11" s="13">
        <v>-28</v>
      </c>
      <c r="N11" s="13">
        <v>-75</v>
      </c>
      <c r="O11" s="13">
        <f t="shared" si="4"/>
        <v>-75</v>
      </c>
      <c r="P11" s="13">
        <f t="shared" si="4"/>
        <v>-75</v>
      </c>
      <c r="Q11" s="13">
        <f t="shared" si="4"/>
        <v>-75</v>
      </c>
      <c r="R11" s="13">
        <f t="shared" si="4"/>
        <v>-75</v>
      </c>
      <c r="S11" s="13">
        <f t="shared" si="4"/>
        <v>-75</v>
      </c>
      <c r="T11" s="13">
        <f t="shared" si="4"/>
        <v>-75</v>
      </c>
      <c r="U11" s="13">
        <f t="shared" si="4"/>
        <v>-75</v>
      </c>
      <c r="V11" s="13">
        <f t="shared" si="4"/>
        <v>-75</v>
      </c>
      <c r="W11" s="13">
        <f t="shared" si="4"/>
        <v>-75</v>
      </c>
      <c r="X11" s="13">
        <f t="shared" si="4"/>
        <v>-75</v>
      </c>
    </row>
    <row r="12" spans="1:24" x14ac:dyDescent="0.25">
      <c r="C12" s="2" t="s">
        <v>49</v>
      </c>
      <c r="D12" s="13"/>
      <c r="E12" s="13"/>
      <c r="F12" s="13"/>
      <c r="G12" s="13"/>
      <c r="H12" s="13">
        <v>169</v>
      </c>
      <c r="I12" s="13">
        <v>-269</v>
      </c>
      <c r="J12" s="13">
        <v>7</v>
      </c>
      <c r="K12" s="13">
        <v>-16</v>
      </c>
      <c r="L12" s="13">
        <v>-14</v>
      </c>
      <c r="M12" s="13">
        <v>-18</v>
      </c>
      <c r="N12" s="13">
        <v>-51</v>
      </c>
      <c r="O12" s="13">
        <f t="shared" si="4"/>
        <v>-51</v>
      </c>
      <c r="P12" s="13">
        <f t="shared" si="4"/>
        <v>-51</v>
      </c>
      <c r="Q12" s="13">
        <f t="shared" si="4"/>
        <v>-51</v>
      </c>
      <c r="R12" s="13">
        <f t="shared" si="4"/>
        <v>-51</v>
      </c>
      <c r="S12" s="13">
        <f t="shared" si="4"/>
        <v>-51</v>
      </c>
      <c r="T12" s="13">
        <f t="shared" si="4"/>
        <v>-51</v>
      </c>
      <c r="U12" s="13">
        <f t="shared" si="4"/>
        <v>-51</v>
      </c>
      <c r="V12" s="13">
        <f t="shared" si="4"/>
        <v>-51</v>
      </c>
      <c r="W12" s="13">
        <f t="shared" si="4"/>
        <v>-51</v>
      </c>
      <c r="X12" s="13">
        <f t="shared" si="4"/>
        <v>-51</v>
      </c>
    </row>
    <row r="13" spans="1:24" x14ac:dyDescent="0.25">
      <c r="C13" s="2" t="s">
        <v>50</v>
      </c>
      <c r="D13" s="13"/>
      <c r="E13" s="13"/>
      <c r="F13" s="13"/>
      <c r="H13" s="13">
        <v>-3281</v>
      </c>
      <c r="I13" s="13">
        <v>-6187</v>
      </c>
      <c r="J13" s="13">
        <v>-3139</v>
      </c>
      <c r="K13" s="13">
        <v>-3372</v>
      </c>
      <c r="L13" s="13">
        <v>-3812</v>
      </c>
      <c r="M13" s="13">
        <v>-3884</v>
      </c>
      <c r="N13" s="13">
        <v>-3996</v>
      </c>
      <c r="O13" s="13">
        <f t="shared" si="4"/>
        <v>-3996</v>
      </c>
      <c r="P13" s="13">
        <f t="shared" si="4"/>
        <v>-3996</v>
      </c>
      <c r="Q13" s="13">
        <f t="shared" si="4"/>
        <v>-3996</v>
      </c>
      <c r="R13" s="13">
        <f t="shared" si="4"/>
        <v>-3996</v>
      </c>
      <c r="S13" s="13">
        <f t="shared" si="4"/>
        <v>-3996</v>
      </c>
      <c r="T13" s="13">
        <f t="shared" si="4"/>
        <v>-3996</v>
      </c>
      <c r="U13" s="13">
        <f t="shared" si="4"/>
        <v>-3996</v>
      </c>
      <c r="V13" s="13">
        <f t="shared" si="4"/>
        <v>-3996</v>
      </c>
      <c r="W13" s="13">
        <f t="shared" si="4"/>
        <v>-3996</v>
      </c>
      <c r="X13" s="13">
        <f t="shared" si="4"/>
        <v>-3996</v>
      </c>
    </row>
    <row r="14" spans="1:24" x14ac:dyDescent="0.25">
      <c r="C14" s="2" t="s">
        <v>148</v>
      </c>
      <c r="D14" s="13">
        <f t="shared" ref="D14:F14" si="5">D15-D6</f>
        <v>-11595</v>
      </c>
      <c r="E14" s="13">
        <f t="shared" si="5"/>
        <v>-12170</v>
      </c>
      <c r="F14" s="13">
        <f t="shared" si="5"/>
        <v>-13658</v>
      </c>
      <c r="G14" s="13">
        <f>G15-G6</f>
        <v>-17024</v>
      </c>
      <c r="H14" s="13">
        <f t="shared" ref="H14:L14" si="6">SUM(H7:H13)</f>
        <v>-16801</v>
      </c>
      <c r="I14" s="13">
        <f t="shared" si="6"/>
        <v>-12271</v>
      </c>
      <c r="J14" s="13">
        <f t="shared" si="6"/>
        <v>-10569</v>
      </c>
      <c r="K14" s="13">
        <f t="shared" si="6"/>
        <v>-16776</v>
      </c>
      <c r="L14" s="13">
        <f t="shared" si="6"/>
        <v>-19170</v>
      </c>
      <c r="M14" s="13">
        <f>SUM(M7:M13)</f>
        <v>-19123</v>
      </c>
      <c r="N14" s="13">
        <f t="shared" ref="N14" si="7">SUM(N7:N13)</f>
        <v>-19628</v>
      </c>
      <c r="O14" s="13">
        <f t="shared" ref="O14:X14" si="8">SUM(O7:O13)</f>
        <v>-19628</v>
      </c>
      <c r="P14" s="13">
        <f t="shared" si="8"/>
        <v>-19628</v>
      </c>
      <c r="Q14" s="13">
        <f t="shared" si="8"/>
        <v>-19628</v>
      </c>
      <c r="R14" s="13">
        <f t="shared" si="8"/>
        <v>-19628</v>
      </c>
      <c r="S14" s="13">
        <f t="shared" si="8"/>
        <v>-19628</v>
      </c>
      <c r="T14" s="13">
        <f t="shared" si="8"/>
        <v>-19628</v>
      </c>
      <c r="U14" s="13">
        <f t="shared" si="8"/>
        <v>-19628</v>
      </c>
      <c r="V14" s="13">
        <f t="shared" si="8"/>
        <v>-19628</v>
      </c>
      <c r="W14" s="13">
        <f t="shared" si="8"/>
        <v>-19628</v>
      </c>
      <c r="X14" s="13">
        <f t="shared" si="8"/>
        <v>-19628</v>
      </c>
    </row>
    <row r="15" spans="1:24" x14ac:dyDescent="0.25">
      <c r="C15" s="1" t="s">
        <v>51</v>
      </c>
      <c r="D15" s="12">
        <v>613</v>
      </c>
      <c r="E15" s="12">
        <v>925</v>
      </c>
      <c r="F15" s="12">
        <v>925</v>
      </c>
      <c r="G15" s="1">
        <v>983</v>
      </c>
      <c r="H15" s="12">
        <f t="shared" ref="H15:L15" si="9">H6+H14</f>
        <v>2144</v>
      </c>
      <c r="I15" s="12">
        <f t="shared" si="9"/>
        <v>-4801</v>
      </c>
      <c r="J15" s="12">
        <f t="shared" si="9"/>
        <v>-439</v>
      </c>
      <c r="K15" s="12">
        <f t="shared" si="9"/>
        <v>2457</v>
      </c>
      <c r="L15" s="12">
        <f t="shared" si="9"/>
        <v>2785</v>
      </c>
      <c r="M15" s="12">
        <f>M6+M14</f>
        <v>2836</v>
      </c>
      <c r="N15" s="12">
        <f>SUM(N6:N13)</f>
        <v>2660</v>
      </c>
      <c r="O15" s="12">
        <f t="shared" ref="O15:X15" si="10">SUM(O6:O13)</f>
        <v>2660</v>
      </c>
      <c r="P15" s="12">
        <f t="shared" si="10"/>
        <v>2660</v>
      </c>
      <c r="Q15" s="12">
        <f t="shared" si="10"/>
        <v>2660</v>
      </c>
      <c r="R15" s="12">
        <f t="shared" si="10"/>
        <v>2660</v>
      </c>
      <c r="S15" s="12">
        <f t="shared" si="10"/>
        <v>2660</v>
      </c>
      <c r="T15" s="12">
        <f t="shared" si="10"/>
        <v>2660</v>
      </c>
      <c r="U15" s="12">
        <f t="shared" si="10"/>
        <v>2660</v>
      </c>
      <c r="V15" s="12">
        <f t="shared" si="10"/>
        <v>2660</v>
      </c>
      <c r="W15" s="12">
        <f t="shared" si="10"/>
        <v>2660</v>
      </c>
      <c r="X15" s="12">
        <f t="shared" si="10"/>
        <v>2660</v>
      </c>
    </row>
    <row r="16" spans="1:24" x14ac:dyDescent="0.25">
      <c r="C16" s="2" t="s">
        <v>52</v>
      </c>
      <c r="D16" s="13"/>
      <c r="E16" s="13"/>
      <c r="F16" s="13"/>
      <c r="H16" s="13">
        <v>-1242</v>
      </c>
      <c r="I16" s="13">
        <v>-1281</v>
      </c>
      <c r="J16" s="13">
        <v>-1606</v>
      </c>
      <c r="K16" s="13">
        <v>-1808</v>
      </c>
      <c r="L16" s="13">
        <v>-2064</v>
      </c>
      <c r="M16" s="13">
        <v>-1975</v>
      </c>
      <c r="N16" s="13">
        <v>-1853</v>
      </c>
      <c r="O16" s="13">
        <f>N16</f>
        <v>-1853</v>
      </c>
      <c r="P16" s="13">
        <f t="shared" ref="P16:X16" si="11">O16</f>
        <v>-1853</v>
      </c>
      <c r="Q16" s="13">
        <f t="shared" si="11"/>
        <v>-1853</v>
      </c>
      <c r="R16" s="13">
        <f t="shared" si="11"/>
        <v>-1853</v>
      </c>
      <c r="S16" s="13">
        <f t="shared" si="11"/>
        <v>-1853</v>
      </c>
      <c r="T16" s="13">
        <f t="shared" si="11"/>
        <v>-1853</v>
      </c>
      <c r="U16" s="13">
        <f t="shared" si="11"/>
        <v>-1853</v>
      </c>
      <c r="V16" s="13">
        <f t="shared" si="11"/>
        <v>-1853</v>
      </c>
      <c r="W16" s="13">
        <f t="shared" si="11"/>
        <v>-1853</v>
      </c>
      <c r="X16" s="13">
        <f t="shared" si="11"/>
        <v>-1853</v>
      </c>
    </row>
    <row r="17" spans="3:133" x14ac:dyDescent="0.25">
      <c r="C17" s="2" t="s">
        <v>53</v>
      </c>
      <c r="D17" s="13">
        <v>115</v>
      </c>
      <c r="E17" s="13">
        <v>1057</v>
      </c>
      <c r="F17" s="13">
        <v>800</v>
      </c>
      <c r="G17" s="2">
        <v>810</v>
      </c>
      <c r="H17" s="13">
        <f t="shared" ref="H17:L17" si="12">SUM(H15:H16)</f>
        <v>902</v>
      </c>
      <c r="I17" s="13">
        <f t="shared" si="12"/>
        <v>-6082</v>
      </c>
      <c r="J17" s="13">
        <f t="shared" si="12"/>
        <v>-2045</v>
      </c>
      <c r="K17" s="13">
        <f t="shared" si="12"/>
        <v>649</v>
      </c>
      <c r="L17" s="13">
        <f t="shared" si="12"/>
        <v>721</v>
      </c>
      <c r="M17" s="13">
        <f>SUM(M15:M16)</f>
        <v>861</v>
      </c>
      <c r="N17" s="13">
        <f t="shared" ref="N17" si="13">SUM(N15:N16)</f>
        <v>807</v>
      </c>
      <c r="O17" s="13">
        <f t="shared" ref="O17:X17" si="14">SUM(O15:O16)</f>
        <v>807</v>
      </c>
      <c r="P17" s="13">
        <f t="shared" si="14"/>
        <v>807</v>
      </c>
      <c r="Q17" s="13">
        <f t="shared" si="14"/>
        <v>807</v>
      </c>
      <c r="R17" s="13">
        <f t="shared" si="14"/>
        <v>807</v>
      </c>
      <c r="S17" s="13">
        <f t="shared" si="14"/>
        <v>807</v>
      </c>
      <c r="T17" s="13">
        <f t="shared" si="14"/>
        <v>807</v>
      </c>
      <c r="U17" s="13">
        <f t="shared" si="14"/>
        <v>807</v>
      </c>
      <c r="V17" s="13">
        <f t="shared" si="14"/>
        <v>807</v>
      </c>
      <c r="W17" s="13">
        <f t="shared" si="14"/>
        <v>807</v>
      </c>
      <c r="X17" s="13">
        <f t="shared" si="14"/>
        <v>807</v>
      </c>
    </row>
    <row r="18" spans="3:133" x14ac:dyDescent="0.25">
      <c r="C18" s="2" t="s">
        <v>54</v>
      </c>
      <c r="D18" s="18">
        <v>5</v>
      </c>
      <c r="E18" s="18">
        <v>-175</v>
      </c>
      <c r="F18" s="18">
        <v>-90</v>
      </c>
      <c r="G18" s="2">
        <v>-131</v>
      </c>
      <c r="H18" s="13">
        <v>-177</v>
      </c>
      <c r="I18" s="13">
        <v>130</v>
      </c>
      <c r="J18" s="13">
        <v>367</v>
      </c>
      <c r="K18" s="13">
        <v>-221</v>
      </c>
      <c r="L18" s="13">
        <v>-152</v>
      </c>
      <c r="M18" s="13">
        <v>-209</v>
      </c>
      <c r="N18" s="13">
        <v>-185</v>
      </c>
      <c r="O18" s="13">
        <f t="shared" ref="O18:W18" si="15">O17*-0.22</f>
        <v>-177.54</v>
      </c>
      <c r="P18" s="13">
        <f t="shared" si="15"/>
        <v>-177.54</v>
      </c>
      <c r="Q18" s="13">
        <f t="shared" si="15"/>
        <v>-177.54</v>
      </c>
      <c r="R18" s="13">
        <f t="shared" si="15"/>
        <v>-177.54</v>
      </c>
      <c r="S18" s="13">
        <f t="shared" si="15"/>
        <v>-177.54</v>
      </c>
      <c r="T18" s="13">
        <f t="shared" si="15"/>
        <v>-177.54</v>
      </c>
      <c r="U18" s="13">
        <f t="shared" si="15"/>
        <v>-177.54</v>
      </c>
      <c r="V18" s="13">
        <f t="shared" si="15"/>
        <v>-177.54</v>
      </c>
      <c r="W18" s="13">
        <f t="shared" si="15"/>
        <v>-177.54</v>
      </c>
      <c r="X18" s="13">
        <f>X17*-0.22</f>
        <v>-177.54</v>
      </c>
    </row>
    <row r="19" spans="3:133" x14ac:dyDescent="0.25">
      <c r="C19" s="1" t="s">
        <v>55</v>
      </c>
      <c r="D19" s="17">
        <v>120</v>
      </c>
      <c r="E19" s="17">
        <v>882</v>
      </c>
      <c r="F19" s="17">
        <v>711</v>
      </c>
      <c r="G19" s="1">
        <v>678</v>
      </c>
      <c r="H19" s="12">
        <f t="shared" ref="H19:L19" si="16">SUM(H17:H18)</f>
        <v>725</v>
      </c>
      <c r="I19" s="12">
        <f t="shared" si="16"/>
        <v>-5952</v>
      </c>
      <c r="J19" s="12">
        <f t="shared" si="16"/>
        <v>-1678</v>
      </c>
      <c r="K19" s="12">
        <f t="shared" si="16"/>
        <v>428</v>
      </c>
      <c r="L19" s="12">
        <f t="shared" si="16"/>
        <v>569</v>
      </c>
      <c r="M19" s="12">
        <f>SUM(M17:M18)</f>
        <v>652</v>
      </c>
      <c r="N19" s="12">
        <f t="shared" ref="N19" si="17">SUM(N17:N18)</f>
        <v>622</v>
      </c>
      <c r="O19" s="12">
        <f t="shared" ref="O19:X19" si="18">SUM(O17:O18)</f>
        <v>629.46</v>
      </c>
      <c r="P19" s="12">
        <f t="shared" si="18"/>
        <v>629.46</v>
      </c>
      <c r="Q19" s="12">
        <f t="shared" si="18"/>
        <v>629.46</v>
      </c>
      <c r="R19" s="12">
        <f t="shared" si="18"/>
        <v>629.46</v>
      </c>
      <c r="S19" s="12">
        <f t="shared" si="18"/>
        <v>629.46</v>
      </c>
      <c r="T19" s="12">
        <f t="shared" si="18"/>
        <v>629.46</v>
      </c>
      <c r="U19" s="12">
        <f t="shared" si="18"/>
        <v>629.46</v>
      </c>
      <c r="V19" s="12">
        <f t="shared" si="18"/>
        <v>629.46</v>
      </c>
      <c r="W19" s="12">
        <f t="shared" si="18"/>
        <v>629.46</v>
      </c>
      <c r="X19" s="12">
        <f t="shared" si="18"/>
        <v>629.46</v>
      </c>
      <c r="Y19" s="12">
        <f>X19*(1+$AA$22)</f>
        <v>623.16539999999998</v>
      </c>
      <c r="Z19" s="12">
        <f t="shared" ref="Z19:CK19" si="19">Y19*(1+$AA$22)</f>
        <v>616.93374599999993</v>
      </c>
      <c r="AA19" s="12">
        <f t="shared" si="19"/>
        <v>610.76440853999998</v>
      </c>
      <c r="AB19" s="12">
        <f t="shared" si="19"/>
        <v>604.65676445459997</v>
      </c>
      <c r="AC19" s="12">
        <f t="shared" si="19"/>
        <v>598.61019681005394</v>
      </c>
      <c r="AD19" s="12">
        <f t="shared" si="19"/>
        <v>592.62409484195337</v>
      </c>
      <c r="AE19" s="12">
        <f t="shared" si="19"/>
        <v>586.69785389353387</v>
      </c>
      <c r="AF19" s="12">
        <f t="shared" si="19"/>
        <v>580.83087535459856</v>
      </c>
      <c r="AG19" s="12">
        <f t="shared" si="19"/>
        <v>575.02256660105252</v>
      </c>
      <c r="AH19" s="12">
        <f t="shared" si="19"/>
        <v>569.27234093504194</v>
      </c>
      <c r="AI19" s="12">
        <f t="shared" si="19"/>
        <v>563.57961752569156</v>
      </c>
      <c r="AJ19" s="12">
        <f t="shared" si="19"/>
        <v>557.94382135043463</v>
      </c>
      <c r="AK19" s="12">
        <f t="shared" si="19"/>
        <v>552.36438313693031</v>
      </c>
      <c r="AL19" s="12">
        <f t="shared" si="19"/>
        <v>546.84073930556099</v>
      </c>
      <c r="AM19" s="12">
        <f t="shared" si="19"/>
        <v>541.37233191250539</v>
      </c>
      <c r="AN19" s="12">
        <f t="shared" si="19"/>
        <v>535.95860859338029</v>
      </c>
      <c r="AO19" s="12">
        <f t="shared" si="19"/>
        <v>530.59902250744653</v>
      </c>
      <c r="AP19" s="12">
        <f t="shared" si="19"/>
        <v>525.29303228237211</v>
      </c>
      <c r="AQ19" s="12">
        <f t="shared" si="19"/>
        <v>520.04010195954834</v>
      </c>
      <c r="AR19" s="12">
        <f t="shared" si="19"/>
        <v>514.83970093995288</v>
      </c>
      <c r="AS19" s="12">
        <f t="shared" si="19"/>
        <v>509.69130393055332</v>
      </c>
      <c r="AT19" s="12">
        <f t="shared" si="19"/>
        <v>504.59439089124777</v>
      </c>
      <c r="AU19" s="12">
        <f t="shared" si="19"/>
        <v>499.54844698233529</v>
      </c>
      <c r="AV19" s="12">
        <f t="shared" si="19"/>
        <v>494.55296251251195</v>
      </c>
      <c r="AW19" s="12">
        <f t="shared" si="19"/>
        <v>489.60743288738684</v>
      </c>
      <c r="AX19" s="12">
        <f t="shared" si="19"/>
        <v>484.71135855851298</v>
      </c>
      <c r="AY19" s="12">
        <f t="shared" si="19"/>
        <v>479.86424497292785</v>
      </c>
      <c r="AZ19" s="12">
        <f t="shared" si="19"/>
        <v>475.06560252319855</v>
      </c>
      <c r="BA19" s="12">
        <f t="shared" si="19"/>
        <v>470.31494649796656</v>
      </c>
      <c r="BB19" s="12">
        <f t="shared" si="19"/>
        <v>465.61179703298689</v>
      </c>
      <c r="BC19" s="12">
        <f t="shared" si="19"/>
        <v>460.955679062657</v>
      </c>
      <c r="BD19" s="12">
        <f t="shared" si="19"/>
        <v>456.34612227203041</v>
      </c>
      <c r="BE19" s="12">
        <f t="shared" si="19"/>
        <v>451.78266104931009</v>
      </c>
      <c r="BF19" s="12">
        <f t="shared" si="19"/>
        <v>447.26483443881699</v>
      </c>
      <c r="BG19" s="12">
        <f t="shared" si="19"/>
        <v>442.79218609442881</v>
      </c>
      <c r="BH19" s="12">
        <f t="shared" si="19"/>
        <v>438.3642642334845</v>
      </c>
      <c r="BI19" s="12">
        <f t="shared" si="19"/>
        <v>433.98062159114966</v>
      </c>
      <c r="BJ19" s="12">
        <f t="shared" si="19"/>
        <v>429.64081537523816</v>
      </c>
      <c r="BK19" s="12">
        <f t="shared" si="19"/>
        <v>425.34440722148577</v>
      </c>
      <c r="BL19" s="12">
        <f t="shared" si="19"/>
        <v>421.09096314927092</v>
      </c>
      <c r="BM19" s="12">
        <f t="shared" si="19"/>
        <v>416.88005351777821</v>
      </c>
      <c r="BN19" s="12">
        <f t="shared" si="19"/>
        <v>412.7112529826004</v>
      </c>
      <c r="BO19" s="12">
        <f t="shared" si="19"/>
        <v>408.58414045277436</v>
      </c>
      <c r="BP19" s="12">
        <f t="shared" si="19"/>
        <v>404.49829904824662</v>
      </c>
      <c r="BQ19" s="12">
        <f t="shared" si="19"/>
        <v>400.45331605776414</v>
      </c>
      <c r="BR19" s="12">
        <f t="shared" si="19"/>
        <v>396.4487828971865</v>
      </c>
      <c r="BS19" s="12">
        <f t="shared" si="19"/>
        <v>392.48429506821464</v>
      </c>
      <c r="BT19" s="12">
        <f t="shared" si="19"/>
        <v>388.55945211753249</v>
      </c>
      <c r="BU19" s="12">
        <f t="shared" si="19"/>
        <v>384.67385759635715</v>
      </c>
      <c r="BV19" s="12">
        <f t="shared" si="19"/>
        <v>380.82711902039358</v>
      </c>
      <c r="BW19" s="12">
        <f t="shared" si="19"/>
        <v>377.01884783018966</v>
      </c>
      <c r="BX19" s="12">
        <f t="shared" si="19"/>
        <v>373.24865935188774</v>
      </c>
      <c r="BY19" s="12">
        <f t="shared" si="19"/>
        <v>369.51617275836884</v>
      </c>
      <c r="BZ19" s="12">
        <f t="shared" si="19"/>
        <v>365.82101103078514</v>
      </c>
      <c r="CA19" s="12">
        <f t="shared" si="19"/>
        <v>362.16280092047731</v>
      </c>
      <c r="CB19" s="12">
        <f t="shared" si="19"/>
        <v>358.54117291127255</v>
      </c>
      <c r="CC19" s="12">
        <f t="shared" si="19"/>
        <v>354.95576118215985</v>
      </c>
      <c r="CD19" s="12">
        <f t="shared" si="19"/>
        <v>351.40620357033822</v>
      </c>
      <c r="CE19" s="12">
        <f t="shared" si="19"/>
        <v>347.89214153463485</v>
      </c>
      <c r="CF19" s="12">
        <f t="shared" si="19"/>
        <v>344.4132201192885</v>
      </c>
      <c r="CG19" s="12">
        <f t="shared" si="19"/>
        <v>340.96908791809562</v>
      </c>
      <c r="CH19" s="12">
        <f t="shared" si="19"/>
        <v>337.55939703891465</v>
      </c>
      <c r="CI19" s="12">
        <f t="shared" si="19"/>
        <v>334.18380306852549</v>
      </c>
      <c r="CJ19" s="12">
        <f t="shared" si="19"/>
        <v>330.84196503784023</v>
      </c>
      <c r="CK19" s="12">
        <f t="shared" si="19"/>
        <v>327.5335453874618</v>
      </c>
      <c r="CL19" s="12">
        <f t="shared" ref="CL19:EC19" si="20">CK19*(1+$AA$22)</f>
        <v>324.25820993358718</v>
      </c>
      <c r="CM19" s="12">
        <f t="shared" si="20"/>
        <v>321.01562783425129</v>
      </c>
      <c r="CN19" s="12">
        <f t="shared" si="20"/>
        <v>317.80547155590875</v>
      </c>
      <c r="CO19" s="12">
        <f t="shared" si="20"/>
        <v>314.62741684034967</v>
      </c>
      <c r="CP19" s="12">
        <f t="shared" si="20"/>
        <v>311.48114267194615</v>
      </c>
      <c r="CQ19" s="12">
        <f t="shared" si="20"/>
        <v>308.36633124522666</v>
      </c>
      <c r="CR19" s="12">
        <f t="shared" si="20"/>
        <v>305.28266793277442</v>
      </c>
      <c r="CS19" s="12">
        <f t="shared" si="20"/>
        <v>302.22984125344669</v>
      </c>
      <c r="CT19" s="12">
        <f t="shared" si="20"/>
        <v>299.2075428409122</v>
      </c>
      <c r="CU19" s="12">
        <f t="shared" si="20"/>
        <v>296.21546741250307</v>
      </c>
      <c r="CV19" s="12">
        <f t="shared" si="20"/>
        <v>293.25331273837804</v>
      </c>
      <c r="CW19" s="12">
        <f t="shared" si="20"/>
        <v>290.32077961099424</v>
      </c>
      <c r="CX19" s="12">
        <f t="shared" si="20"/>
        <v>287.4175718148843</v>
      </c>
      <c r="CY19" s="12">
        <f t="shared" si="20"/>
        <v>284.54339609673548</v>
      </c>
      <c r="CZ19" s="12">
        <f t="shared" si="20"/>
        <v>281.69796213576814</v>
      </c>
      <c r="DA19" s="12">
        <f t="shared" si="20"/>
        <v>278.88098251441045</v>
      </c>
      <c r="DB19" s="12">
        <f t="shared" si="20"/>
        <v>276.09217268926636</v>
      </c>
      <c r="DC19" s="12">
        <f t="shared" si="20"/>
        <v>273.3312509623737</v>
      </c>
      <c r="DD19" s="12">
        <f t="shared" si="20"/>
        <v>270.59793845274999</v>
      </c>
      <c r="DE19" s="12">
        <f t="shared" si="20"/>
        <v>267.89195906822249</v>
      </c>
      <c r="DF19" s="12">
        <f t="shared" si="20"/>
        <v>265.21303947754024</v>
      </c>
      <c r="DG19" s="12">
        <f t="shared" si="20"/>
        <v>262.56090908276485</v>
      </c>
      <c r="DH19" s="12">
        <f t="shared" si="20"/>
        <v>259.9352999919372</v>
      </c>
      <c r="DI19" s="12">
        <f t="shared" si="20"/>
        <v>257.33594699201785</v>
      </c>
      <c r="DJ19" s="12">
        <f t="shared" si="20"/>
        <v>254.76258752209768</v>
      </c>
      <c r="DK19" s="12">
        <f t="shared" si="20"/>
        <v>252.2149616468767</v>
      </c>
      <c r="DL19" s="12">
        <f t="shared" si="20"/>
        <v>249.69281203040794</v>
      </c>
      <c r="DM19" s="12">
        <f t="shared" si="20"/>
        <v>247.19588391010384</v>
      </c>
      <c r="DN19" s="12">
        <f t="shared" si="20"/>
        <v>244.72392507100281</v>
      </c>
      <c r="DO19" s="12">
        <f t="shared" si="20"/>
        <v>242.27668582029278</v>
      </c>
      <c r="DP19" s="12">
        <f t="shared" si="20"/>
        <v>239.85391896208986</v>
      </c>
      <c r="DQ19" s="12">
        <f t="shared" si="20"/>
        <v>237.45537977246897</v>
      </c>
      <c r="DR19" s="12">
        <f t="shared" si="20"/>
        <v>235.08082597474427</v>
      </c>
      <c r="DS19" s="12">
        <f t="shared" si="20"/>
        <v>232.73001771499682</v>
      </c>
      <c r="DT19" s="12">
        <f t="shared" si="20"/>
        <v>230.40271753784685</v>
      </c>
      <c r="DU19" s="12">
        <f t="shared" si="20"/>
        <v>228.09869036246837</v>
      </c>
      <c r="DV19" s="12">
        <f t="shared" si="20"/>
        <v>225.81770345884368</v>
      </c>
      <c r="DW19" s="12">
        <f t="shared" si="20"/>
        <v>223.55952642425524</v>
      </c>
      <c r="DX19" s="12">
        <f t="shared" si="20"/>
        <v>221.32393116001268</v>
      </c>
      <c r="DY19" s="12">
        <f t="shared" si="20"/>
        <v>219.11069184841256</v>
      </c>
      <c r="DZ19" s="12">
        <f t="shared" si="20"/>
        <v>216.91958492992842</v>
      </c>
      <c r="EA19" s="12">
        <f t="shared" si="20"/>
        <v>214.75038908062913</v>
      </c>
      <c r="EB19" s="12">
        <f t="shared" si="20"/>
        <v>212.60288518982284</v>
      </c>
      <c r="EC19" s="12">
        <f t="shared" si="20"/>
        <v>210.4768563379246</v>
      </c>
    </row>
    <row r="20" spans="3:133" x14ac:dyDescent="0.25">
      <c r="C20" s="2" t="s">
        <v>59</v>
      </c>
      <c r="D20" s="9">
        <v>103.00626699999999</v>
      </c>
      <c r="E20" s="9">
        <v>103.00626699999999</v>
      </c>
      <c r="F20" s="9">
        <v>103.00626699999999</v>
      </c>
      <c r="G20" s="9">
        <v>103.00626699999999</v>
      </c>
      <c r="H20" s="9">
        <v>103.00626699999999</v>
      </c>
      <c r="I20" s="9">
        <v>148.61880500000001</v>
      </c>
      <c r="J20" s="9">
        <v>191.250686</v>
      </c>
      <c r="K20" s="9">
        <v>191.277074</v>
      </c>
      <c r="L20" s="9">
        <v>191.30411599999999</v>
      </c>
      <c r="M20" s="9">
        <v>203.614417</v>
      </c>
      <c r="N20" s="9">
        <v>215.12729999999999</v>
      </c>
      <c r="O20" s="9">
        <v>215.12729999999999</v>
      </c>
      <c r="P20" s="9">
        <v>215.12729999999999</v>
      </c>
      <c r="Q20" s="9">
        <v>215.12729999999999</v>
      </c>
      <c r="R20" s="9">
        <v>215.12729999999999</v>
      </c>
      <c r="S20" s="9">
        <v>215.12729999999999</v>
      </c>
      <c r="T20" s="9">
        <v>215.12729999999999</v>
      </c>
      <c r="U20" s="9">
        <v>215.12729999999999</v>
      </c>
      <c r="V20" s="9">
        <v>215.12729999999999</v>
      </c>
      <c r="W20" s="9">
        <v>215.12729999999999</v>
      </c>
      <c r="X20" s="9">
        <v>215.12729999999999</v>
      </c>
    </row>
    <row r="21" spans="3:133" x14ac:dyDescent="0.25">
      <c r="C21" s="2" t="s">
        <v>60</v>
      </c>
      <c r="D21" s="16">
        <f t="shared" ref="D21:K21" si="21">D19/D20</f>
        <v>1.164977661019402</v>
      </c>
      <c r="E21" s="16">
        <f t="shared" si="21"/>
        <v>8.5625858084926048</v>
      </c>
      <c r="F21" s="16">
        <f t="shared" si="21"/>
        <v>6.9024926415399568</v>
      </c>
      <c r="G21" s="16">
        <f t="shared" si="21"/>
        <v>6.582123784759621</v>
      </c>
      <c r="H21" s="16">
        <f t="shared" si="21"/>
        <v>7.0384067019922201</v>
      </c>
      <c r="I21" s="16">
        <f t="shared" si="21"/>
        <v>-40.04876771819017</v>
      </c>
      <c r="J21" s="16">
        <f t="shared" si="21"/>
        <v>-8.7738247380717898</v>
      </c>
      <c r="K21" s="16">
        <f t="shared" si="21"/>
        <v>2.237591735641042</v>
      </c>
      <c r="L21" s="16">
        <f>L19/L20</f>
        <v>2.974321786155401</v>
      </c>
      <c r="M21" s="16">
        <f>M19/M20</f>
        <v>3.2021308196462335</v>
      </c>
      <c r="N21" s="16">
        <f t="shared" ref="N21" si="22">N19/N20</f>
        <v>2.8913113305470763</v>
      </c>
      <c r="O21" s="16">
        <f t="shared" ref="O21:X21" si="23">O19/O20</f>
        <v>2.9259884728716443</v>
      </c>
      <c r="P21" s="16">
        <f t="shared" si="23"/>
        <v>2.9259884728716443</v>
      </c>
      <c r="Q21" s="16">
        <f t="shared" si="23"/>
        <v>2.9259884728716443</v>
      </c>
      <c r="R21" s="16">
        <f t="shared" si="23"/>
        <v>2.9259884728716443</v>
      </c>
      <c r="S21" s="16">
        <f t="shared" si="23"/>
        <v>2.9259884728716443</v>
      </c>
      <c r="T21" s="16">
        <f t="shared" si="23"/>
        <v>2.9259884728716443</v>
      </c>
      <c r="U21" s="16">
        <f t="shared" si="23"/>
        <v>2.9259884728716443</v>
      </c>
      <c r="V21" s="16">
        <f t="shared" si="23"/>
        <v>2.9259884728716443</v>
      </c>
      <c r="W21" s="16">
        <f t="shared" si="23"/>
        <v>2.9259884728716443</v>
      </c>
      <c r="X21" s="16">
        <f t="shared" si="23"/>
        <v>2.9259884728716443</v>
      </c>
      <c r="Z21" s="2" t="s">
        <v>140</v>
      </c>
      <c r="AA21" s="22">
        <v>0.08</v>
      </c>
    </row>
    <row r="22" spans="3:133" x14ac:dyDescent="0.25">
      <c r="Z22" s="2" t="s">
        <v>141</v>
      </c>
      <c r="AA22" s="22">
        <v>-0.01</v>
      </c>
    </row>
    <row r="23" spans="3:133" x14ac:dyDescent="0.25">
      <c r="C23" s="1" t="s">
        <v>29</v>
      </c>
      <c r="D23" s="20"/>
      <c r="E23" s="20">
        <f t="shared" ref="E23:X23" si="24">(E6-D6)/D6</f>
        <v>7.2657273918741813E-2</v>
      </c>
      <c r="F23" s="20">
        <f t="shared" si="24"/>
        <v>0.113631156930126</v>
      </c>
      <c r="G23" s="20">
        <f t="shared" si="24"/>
        <v>0.23479393814715765</v>
      </c>
      <c r="H23" s="20">
        <f t="shared" si="24"/>
        <v>5.2090853556950076E-2</v>
      </c>
      <c r="I23" s="20">
        <f t="shared" si="24"/>
        <v>-0.60570071258907365</v>
      </c>
      <c r="J23" s="20">
        <f t="shared" si="24"/>
        <v>0.35609103078982596</v>
      </c>
      <c r="K23" s="20">
        <f t="shared" si="24"/>
        <v>0.89861796643632774</v>
      </c>
      <c r="L23" s="20">
        <f t="shared" si="24"/>
        <v>0.14152758280039515</v>
      </c>
      <c r="M23" s="20">
        <f t="shared" si="24"/>
        <v>1.8219084491004326E-4</v>
      </c>
      <c r="N23" s="20">
        <f t="shared" si="24"/>
        <v>1.4982467325470195E-2</v>
      </c>
      <c r="O23" s="20">
        <f t="shared" si="24"/>
        <v>0</v>
      </c>
      <c r="P23" s="20">
        <f t="shared" si="24"/>
        <v>0</v>
      </c>
      <c r="Q23" s="20">
        <f t="shared" si="24"/>
        <v>0</v>
      </c>
      <c r="R23" s="20">
        <f t="shared" si="24"/>
        <v>0</v>
      </c>
      <c r="S23" s="20">
        <f t="shared" si="24"/>
        <v>0</v>
      </c>
      <c r="T23" s="20">
        <f t="shared" si="24"/>
        <v>0</v>
      </c>
      <c r="U23" s="20">
        <f t="shared" si="24"/>
        <v>0</v>
      </c>
      <c r="V23" s="20">
        <f t="shared" si="24"/>
        <v>0</v>
      </c>
      <c r="W23" s="20">
        <f t="shared" si="24"/>
        <v>0</v>
      </c>
      <c r="X23" s="20">
        <f t="shared" si="24"/>
        <v>0</v>
      </c>
      <c r="Z23" s="25" t="s">
        <v>142</v>
      </c>
      <c r="AA23" s="31">
        <f>NPV(AA21,N19:EC19)</f>
        <v>7456.1698739683698</v>
      </c>
    </row>
    <row r="24" spans="3:133" x14ac:dyDescent="0.25">
      <c r="C24" s="1" t="s">
        <v>149</v>
      </c>
      <c r="D24" s="20" t="e">
        <f t="shared" ref="D24:M24" si="25">(D14-C14)/C14</f>
        <v>#VALUE!</v>
      </c>
      <c r="E24" s="20">
        <f t="shared" si="25"/>
        <v>4.9590340664079344E-2</v>
      </c>
      <c r="F24" s="20">
        <f t="shared" si="25"/>
        <v>0.12226787181594084</v>
      </c>
      <c r="G24" s="20">
        <f t="shared" si="25"/>
        <v>0.24644896763801435</v>
      </c>
      <c r="H24" s="20">
        <f t="shared" si="25"/>
        <v>-1.3099154135338346E-2</v>
      </c>
      <c r="I24" s="20">
        <f t="shared" si="25"/>
        <v>-0.26962680792809951</v>
      </c>
      <c r="J24" s="20">
        <f t="shared" si="25"/>
        <v>-0.13870100236329558</v>
      </c>
      <c r="K24" s="20">
        <f t="shared" si="25"/>
        <v>0.58728356514334379</v>
      </c>
      <c r="L24" s="20">
        <f t="shared" si="25"/>
        <v>0.1427038626609442</v>
      </c>
      <c r="M24" s="20">
        <f t="shared" si="25"/>
        <v>-2.4517475221700574E-3</v>
      </c>
      <c r="N24" s="20">
        <f>(N14-M14)/M14</f>
        <v>2.6407990378078755E-2</v>
      </c>
      <c r="O24" s="20">
        <f t="shared" ref="O24:X24" si="26">(O14-N14)/N14</f>
        <v>0</v>
      </c>
      <c r="P24" s="20">
        <f t="shared" si="26"/>
        <v>0</v>
      </c>
      <c r="Q24" s="20">
        <f t="shared" si="26"/>
        <v>0</v>
      </c>
      <c r="R24" s="20">
        <f t="shared" si="26"/>
        <v>0</v>
      </c>
      <c r="S24" s="20">
        <f t="shared" si="26"/>
        <v>0</v>
      </c>
      <c r="T24" s="20">
        <f t="shared" si="26"/>
        <v>0</v>
      </c>
      <c r="U24" s="20">
        <f t="shared" si="26"/>
        <v>0</v>
      </c>
      <c r="V24" s="20">
        <f t="shared" si="26"/>
        <v>0</v>
      </c>
      <c r="W24" s="20">
        <f t="shared" si="26"/>
        <v>0</v>
      </c>
      <c r="X24" s="20">
        <f t="shared" si="26"/>
        <v>0</v>
      </c>
      <c r="Z24" s="2" t="s">
        <v>2</v>
      </c>
      <c r="AA24" s="9">
        <v>216.586524</v>
      </c>
    </row>
    <row r="25" spans="3:133" x14ac:dyDescent="0.25">
      <c r="C25" s="2" t="s">
        <v>30</v>
      </c>
      <c r="D25" s="21">
        <f t="shared" ref="D25:X25" si="27">D15/D6</f>
        <v>5.0212975098296198E-2</v>
      </c>
      <c r="E25" s="21">
        <f t="shared" si="27"/>
        <v>7.063764795723558E-2</v>
      </c>
      <c r="F25" s="21">
        <f t="shared" si="27"/>
        <v>6.3430021257628741E-2</v>
      </c>
      <c r="G25" s="21">
        <f t="shared" si="27"/>
        <v>5.4589881712667293E-2</v>
      </c>
      <c r="H25" s="21">
        <f t="shared" si="27"/>
        <v>0.11316970176827659</v>
      </c>
      <c r="I25" s="21">
        <f t="shared" si="27"/>
        <v>-0.64270414993306557</v>
      </c>
      <c r="J25" s="21">
        <f t="shared" si="27"/>
        <v>-4.3336623889437313E-2</v>
      </c>
      <c r="K25" s="21">
        <f t="shared" si="27"/>
        <v>0.12774918109499298</v>
      </c>
      <c r="L25" s="21">
        <f t="shared" si="27"/>
        <v>0.12685037576861763</v>
      </c>
      <c r="M25" s="21">
        <f t="shared" si="27"/>
        <v>0.12914977913384035</v>
      </c>
      <c r="N25" s="21">
        <f t="shared" si="27"/>
        <v>0.11934673366834171</v>
      </c>
      <c r="O25" s="21">
        <f t="shared" si="27"/>
        <v>0.11934673366834171</v>
      </c>
      <c r="P25" s="21">
        <f t="shared" si="27"/>
        <v>0.11934673366834171</v>
      </c>
      <c r="Q25" s="21">
        <f t="shared" si="27"/>
        <v>0.11934673366834171</v>
      </c>
      <c r="R25" s="21">
        <f t="shared" si="27"/>
        <v>0.11934673366834171</v>
      </c>
      <c r="S25" s="21">
        <f t="shared" si="27"/>
        <v>0.11934673366834171</v>
      </c>
      <c r="T25" s="21">
        <f t="shared" si="27"/>
        <v>0.11934673366834171</v>
      </c>
      <c r="U25" s="21">
        <f t="shared" si="27"/>
        <v>0.11934673366834171</v>
      </c>
      <c r="V25" s="21">
        <f t="shared" si="27"/>
        <v>0.11934673366834171</v>
      </c>
      <c r="W25" s="21">
        <f t="shared" si="27"/>
        <v>0.11934673366834171</v>
      </c>
      <c r="X25" s="21">
        <f t="shared" si="27"/>
        <v>0.11934673366834171</v>
      </c>
      <c r="Z25" s="2" t="s">
        <v>143</v>
      </c>
      <c r="AA25" s="30">
        <f>AA23/AA24</f>
        <v>34.425825468108854</v>
      </c>
    </row>
    <row r="26" spans="3:133" x14ac:dyDescent="0.25">
      <c r="C26" s="2" t="s">
        <v>150</v>
      </c>
      <c r="D26" s="21">
        <f>D19/6205</f>
        <v>1.9339242546333603E-2</v>
      </c>
      <c r="E26" s="21">
        <f>E19/7103</f>
        <v>0.12417288469660706</v>
      </c>
      <c r="F26" s="21">
        <f>F19/7356</f>
        <v>9.6655791190864607E-2</v>
      </c>
      <c r="G26" s="21">
        <f>G19/7805</f>
        <v>8.6867392696989107E-2</v>
      </c>
      <c r="H26" s="21">
        <f>H19/6601</f>
        <v>0.10983184366005151</v>
      </c>
      <c r="I26" s="21">
        <f>I19/2071</f>
        <v>-2.8739739256397874</v>
      </c>
      <c r="J26" s="21">
        <f>J19/1155</f>
        <v>-1.4528138528138528</v>
      </c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Z26" s="1" t="s">
        <v>144</v>
      </c>
      <c r="AA26" s="20">
        <f>(AA25-Modell!B4)/Modell!B4</f>
        <v>-0.60656199465018457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5</vt:i4>
      </vt:variant>
    </vt:vector>
  </HeadingPairs>
  <TitlesOfParts>
    <vt:vector size="5" baseType="lpstr">
      <vt:lpstr>Info</vt:lpstr>
      <vt:lpstr>Modell</vt:lpstr>
      <vt:lpstr>Segementer</vt:lpstr>
      <vt:lpstr>Nøkkeltall</vt:lpstr>
      <vt:lpstr>Nedsidebergning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 hodt</dc:creator>
  <cp:lastModifiedBy>August Hodt</cp:lastModifiedBy>
  <dcterms:created xsi:type="dcterms:W3CDTF">2025-02-09T20:32:11Z</dcterms:created>
  <dcterms:modified xsi:type="dcterms:W3CDTF">2026-09-28T19:41:55Z</dcterms:modified>
</cp:coreProperties>
</file>