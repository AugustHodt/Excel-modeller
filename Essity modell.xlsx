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75DF0F09-767D-1942-B414-529DFEC444D4}" xr6:coauthVersionLast="47" xr6:coauthVersionMax="47" xr10:uidLastSave="{00000000-0000-0000-0000-000000000000}"/>
  <bookViews>
    <workbookView xWindow="25140" yWindow="500" windowWidth="26060" windowHeight="26740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definedNames>
    <definedName name="_xlchart.v1.0" hidden="1">SOTP!$B$8:$B$18</definedName>
    <definedName name="_xlchart.v1.1" hidden="1">SOTP!$G$8:$G$18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1" l="1"/>
  <c r="U24" i="1"/>
  <c r="B12" i="2"/>
  <c r="W23" i="1"/>
  <c r="U23" i="1"/>
  <c r="W22" i="1"/>
  <c r="U22" i="1"/>
  <c r="U21" i="1"/>
  <c r="W21" i="1"/>
  <c r="W20" i="1"/>
  <c r="U20" i="1"/>
  <c r="W19" i="1"/>
  <c r="U19" i="1"/>
  <c r="U18" i="1"/>
  <c r="W18" i="1"/>
  <c r="W17" i="1"/>
  <c r="U17" i="1"/>
  <c r="W16" i="1"/>
  <c r="U16" i="1"/>
  <c r="W15" i="1"/>
  <c r="U15" i="1"/>
  <c r="W14" i="1"/>
  <c r="U14" i="1"/>
  <c r="AK7" i="2"/>
  <c r="U82" i="2"/>
  <c r="AK4" i="2"/>
  <c r="U89" i="2"/>
  <c r="U88" i="2"/>
  <c r="U87" i="2"/>
  <c r="U86" i="2"/>
  <c r="U85" i="2"/>
  <c r="U84" i="2"/>
  <c r="U83" i="2"/>
  <c r="U92" i="2"/>
  <c r="U79" i="2"/>
  <c r="U78" i="2"/>
  <c r="U77" i="2"/>
  <c r="U76" i="2"/>
  <c r="U73" i="2"/>
  <c r="U72" i="2"/>
  <c r="U71" i="2"/>
  <c r="U70" i="2"/>
  <c r="U69" i="2"/>
  <c r="U68" i="2"/>
  <c r="U67" i="2"/>
  <c r="U66" i="2"/>
  <c r="U65" i="2"/>
  <c r="U74" i="2" l="1"/>
  <c r="U96" i="2" s="1"/>
  <c r="U80" i="2"/>
  <c r="U90" i="2"/>
  <c r="U94" i="2" s="1"/>
  <c r="U49" i="2"/>
  <c r="U44" i="2"/>
  <c r="U60" i="2"/>
  <c r="U20" i="2"/>
  <c r="U6" i="2"/>
  <c r="U22" i="2" s="1"/>
  <c r="W13" i="1"/>
  <c r="U13" i="1"/>
  <c r="W12" i="1"/>
  <c r="U12" i="1"/>
  <c r="W11" i="1"/>
  <c r="U11" i="1"/>
  <c r="W7" i="1"/>
  <c r="U5" i="1"/>
  <c r="W5" i="1"/>
  <c r="W10" i="1"/>
  <c r="U10" i="1"/>
  <c r="W9" i="1"/>
  <c r="U9" i="1"/>
  <c r="W8" i="1"/>
  <c r="U8" i="1"/>
  <c r="U7" i="1"/>
  <c r="W6" i="1"/>
  <c r="U6" i="1"/>
  <c r="AC92" i="1"/>
  <c r="AA92" i="1"/>
  <c r="AC91" i="1"/>
  <c r="AA91" i="1"/>
  <c r="AC90" i="1"/>
  <c r="AA90" i="1"/>
  <c r="AC89" i="1"/>
  <c r="AA89" i="1"/>
  <c r="AC88" i="1"/>
  <c r="AA88" i="1"/>
  <c r="AC87" i="1"/>
  <c r="AA87" i="1"/>
  <c r="AC86" i="1"/>
  <c r="AA86" i="1"/>
  <c r="AC85" i="1"/>
  <c r="AA85" i="1"/>
  <c r="AC84" i="1"/>
  <c r="AA84" i="1"/>
  <c r="AC83" i="1"/>
  <c r="AA83" i="1"/>
  <c r="AC82" i="1"/>
  <c r="AA82" i="1"/>
  <c r="AC81" i="1"/>
  <c r="AA81" i="1"/>
  <c r="AC80" i="1"/>
  <c r="AA80" i="1"/>
  <c r="AC79" i="1"/>
  <c r="AA79" i="1"/>
  <c r="AC78" i="1"/>
  <c r="AA78" i="1"/>
  <c r="AC77" i="1"/>
  <c r="AA77" i="1"/>
  <c r="AC76" i="1"/>
  <c r="AA76" i="1"/>
  <c r="AC75" i="1"/>
  <c r="AA75" i="1"/>
  <c r="AC74" i="1"/>
  <c r="AA74" i="1"/>
  <c r="AC73" i="1"/>
  <c r="AA73" i="1"/>
  <c r="AC72" i="1"/>
  <c r="AA72" i="1"/>
  <c r="AC71" i="1"/>
  <c r="AA71" i="1"/>
  <c r="AC70" i="1"/>
  <c r="AA70" i="1"/>
  <c r="AC69" i="1"/>
  <c r="AA69" i="1"/>
  <c r="AC68" i="1"/>
  <c r="AA68" i="1"/>
  <c r="AC67" i="1"/>
  <c r="AA67" i="1"/>
  <c r="AC66" i="1"/>
  <c r="AA66" i="1"/>
  <c r="AC65" i="1"/>
  <c r="AA65" i="1"/>
  <c r="AC64" i="1"/>
  <c r="AA64" i="1"/>
  <c r="AC63" i="1"/>
  <c r="AA63" i="1"/>
  <c r="AC62" i="1"/>
  <c r="AA62" i="1"/>
  <c r="AC61" i="1"/>
  <c r="AA61" i="1"/>
  <c r="AC60" i="1"/>
  <c r="AA60" i="1"/>
  <c r="AC59" i="1"/>
  <c r="AA59" i="1"/>
  <c r="AC58" i="1"/>
  <c r="AA58" i="1"/>
  <c r="AC57" i="1"/>
  <c r="AA57" i="1"/>
  <c r="AC56" i="1"/>
  <c r="AA56" i="1"/>
  <c r="AC55" i="1"/>
  <c r="AA55" i="1"/>
  <c r="AC54" i="1"/>
  <c r="AA54" i="1"/>
  <c r="AC53" i="1"/>
  <c r="AA53" i="1"/>
  <c r="AC52" i="1"/>
  <c r="AA52" i="1"/>
  <c r="AC51" i="1"/>
  <c r="AA51" i="1"/>
  <c r="AC50" i="1"/>
  <c r="AA50" i="1"/>
  <c r="AC49" i="1"/>
  <c r="AA49" i="1"/>
  <c r="AC48" i="1"/>
  <c r="AA48" i="1"/>
  <c r="AC47" i="1"/>
  <c r="AA47" i="1"/>
  <c r="AC46" i="1"/>
  <c r="AA46" i="1"/>
  <c r="AC45" i="1"/>
  <c r="AA45" i="1"/>
  <c r="AA12" i="1"/>
  <c r="AA43" i="1"/>
  <c r="AA42" i="1"/>
  <c r="AA41" i="1"/>
  <c r="AC43" i="1"/>
  <c r="AC42" i="1"/>
  <c r="AC41" i="1"/>
  <c r="AC30" i="1"/>
  <c r="AC9" i="1"/>
  <c r="AA9" i="1"/>
  <c r="AC40" i="1"/>
  <c r="AA40" i="1"/>
  <c r="AC39" i="1"/>
  <c r="AA39" i="1"/>
  <c r="AC38" i="1"/>
  <c r="AA38" i="1"/>
  <c r="AC37" i="1"/>
  <c r="AA37" i="1"/>
  <c r="AC36" i="1"/>
  <c r="AA36" i="1"/>
  <c r="AC35" i="1"/>
  <c r="AA35" i="1"/>
  <c r="AC34" i="1"/>
  <c r="AA34" i="1"/>
  <c r="AC33" i="1"/>
  <c r="AA33" i="1"/>
  <c r="AC32" i="1"/>
  <c r="AA32" i="1"/>
  <c r="AC31" i="1"/>
  <c r="AA31" i="1"/>
  <c r="AA30" i="1"/>
  <c r="AC29" i="1"/>
  <c r="AA29" i="1"/>
  <c r="AC28" i="1"/>
  <c r="AA28" i="1"/>
  <c r="AC27" i="1"/>
  <c r="AA27" i="1"/>
  <c r="AC26" i="1"/>
  <c r="AA26" i="1"/>
  <c r="AC25" i="1"/>
  <c r="AA25" i="1"/>
  <c r="AC24" i="1"/>
  <c r="AA24" i="1"/>
  <c r="AC23" i="1"/>
  <c r="AA23" i="1"/>
  <c r="AC22" i="1"/>
  <c r="AA22" i="1"/>
  <c r="AC21" i="1"/>
  <c r="AA21" i="1"/>
  <c r="AC20" i="1"/>
  <c r="AA20" i="1"/>
  <c r="AC19" i="1"/>
  <c r="AA19" i="1"/>
  <c r="AC18" i="1"/>
  <c r="AA18" i="1"/>
  <c r="AC17" i="1"/>
  <c r="AA17" i="1"/>
  <c r="AC16" i="1"/>
  <c r="AA16" i="1"/>
  <c r="AC15" i="1"/>
  <c r="AA15" i="1"/>
  <c r="AC14" i="1"/>
  <c r="AA14" i="1"/>
  <c r="AC13" i="1"/>
  <c r="AA13" i="1"/>
  <c r="AC12" i="1"/>
  <c r="AC11" i="1"/>
  <c r="AA11" i="1"/>
  <c r="AC10" i="1"/>
  <c r="AA10" i="1"/>
  <c r="AC8" i="1"/>
  <c r="AA8" i="1"/>
  <c r="AC7" i="1"/>
  <c r="AA7" i="1"/>
  <c r="AC6" i="1"/>
  <c r="AA6" i="1"/>
  <c r="L18" i="4"/>
  <c r="L19" i="4" s="1"/>
  <c r="L14" i="4"/>
  <c r="L15" i="4" s="1"/>
  <c r="L26" i="4"/>
  <c r="L27" i="4" s="1"/>
  <c r="L22" i="4"/>
  <c r="L23" i="4" s="1"/>
  <c r="Q26" i="4"/>
  <c r="Q27" i="4" s="1"/>
  <c r="Q22" i="4"/>
  <c r="Q18" i="4"/>
  <c r="Q19" i="4" s="1"/>
  <c r="Q14" i="4"/>
  <c r="U9" i="2" l="1"/>
  <c r="U23" i="2" s="1"/>
  <c r="U61" i="2"/>
  <c r="Q23" i="4"/>
  <c r="B7" i="2"/>
  <c r="AI60" i="2"/>
  <c r="AH60" i="2"/>
  <c r="AG60" i="2"/>
  <c r="AF60" i="2"/>
  <c r="AE60" i="2"/>
  <c r="AE61" i="2" s="1"/>
  <c r="AD60" i="2"/>
  <c r="AD61" i="2" s="1"/>
  <c r="AC60" i="2"/>
  <c r="AB60" i="2"/>
  <c r="AA60" i="2"/>
  <c r="Z60" i="2"/>
  <c r="AI49" i="2"/>
  <c r="AH49" i="2"/>
  <c r="AG49" i="2"/>
  <c r="AF49" i="2"/>
  <c r="AE49" i="2"/>
  <c r="AD49" i="2"/>
  <c r="AC49" i="2"/>
  <c r="AB49" i="2"/>
  <c r="AA49" i="2"/>
  <c r="AA61" i="2" s="1"/>
  <c r="Z49" i="2"/>
  <c r="Z61" i="2" s="1"/>
  <c r="AI44" i="2"/>
  <c r="AH44" i="2"/>
  <c r="AG44" i="2"/>
  <c r="AF44" i="2"/>
  <c r="AE44" i="2"/>
  <c r="AD44" i="2"/>
  <c r="AC44" i="2"/>
  <c r="AB44" i="2"/>
  <c r="AA44" i="2"/>
  <c r="Z44" i="2"/>
  <c r="AJ60" i="2"/>
  <c r="AJ49" i="2"/>
  <c r="AJ61" i="2" s="1"/>
  <c r="AJ44" i="2"/>
  <c r="F9" i="6"/>
  <c r="G9" i="6" s="1"/>
  <c r="F10" i="6"/>
  <c r="G10" i="6" s="1"/>
  <c r="B8" i="2"/>
  <c r="AA26" i="4"/>
  <c r="AA27" i="4" s="1"/>
  <c r="AA22" i="4"/>
  <c r="V26" i="4"/>
  <c r="V22" i="4"/>
  <c r="V23" i="4" s="1"/>
  <c r="Z23" i="4"/>
  <c r="Y23" i="4"/>
  <c r="X23" i="4"/>
  <c r="W23" i="4"/>
  <c r="U23" i="4"/>
  <c r="T23" i="4"/>
  <c r="S23" i="4"/>
  <c r="R23" i="4"/>
  <c r="P23" i="4"/>
  <c r="O23" i="4"/>
  <c r="N23" i="4"/>
  <c r="M23" i="4"/>
  <c r="K23" i="4"/>
  <c r="J23" i="4"/>
  <c r="I23" i="4"/>
  <c r="H23" i="4"/>
  <c r="AA18" i="4"/>
  <c r="AA14" i="4"/>
  <c r="V18" i="4"/>
  <c r="V14" i="4"/>
  <c r="Z15" i="4"/>
  <c r="Y15" i="4"/>
  <c r="X15" i="4"/>
  <c r="W15" i="4"/>
  <c r="U15" i="4"/>
  <c r="T15" i="4"/>
  <c r="S15" i="4"/>
  <c r="R15" i="4"/>
  <c r="Q15" i="4"/>
  <c r="P15" i="4"/>
  <c r="O15" i="4"/>
  <c r="N15" i="4"/>
  <c r="M15" i="4"/>
  <c r="K15" i="4"/>
  <c r="J15" i="4"/>
  <c r="I15" i="4"/>
  <c r="H15" i="4"/>
  <c r="T96" i="2"/>
  <c r="T94" i="2"/>
  <c r="T90" i="2"/>
  <c r="T80" i="2"/>
  <c r="T74" i="2"/>
  <c r="T64" i="2"/>
  <c r="T60" i="2"/>
  <c r="T49" i="2"/>
  <c r="T44" i="2"/>
  <c r="T6" i="2"/>
  <c r="T9" i="2" s="1"/>
  <c r="T20" i="2"/>
  <c r="H14" i="2"/>
  <c r="H16" i="2" s="1"/>
  <c r="H18" i="2" s="1"/>
  <c r="H11" i="2"/>
  <c r="H9" i="2"/>
  <c r="H6" i="2"/>
  <c r="D14" i="2"/>
  <c r="D16" i="2" s="1"/>
  <c r="D18" i="2" s="1"/>
  <c r="D11" i="2"/>
  <c r="D9" i="2"/>
  <c r="D6" i="2"/>
  <c r="I14" i="2"/>
  <c r="I16" i="2" s="1"/>
  <c r="I18" i="2" s="1"/>
  <c r="I11" i="2"/>
  <c r="I9" i="2"/>
  <c r="I6" i="2"/>
  <c r="E16" i="2"/>
  <c r="E18" i="2" s="1"/>
  <c r="E14" i="2"/>
  <c r="E11" i="2"/>
  <c r="E9" i="2"/>
  <c r="E6" i="2"/>
  <c r="J14" i="2"/>
  <c r="J16" i="2" s="1"/>
  <c r="J18" i="2" s="1"/>
  <c r="J11" i="2"/>
  <c r="J9" i="2"/>
  <c r="J6" i="2"/>
  <c r="F14" i="2"/>
  <c r="F16" i="2" s="1"/>
  <c r="F18" i="2" s="1"/>
  <c r="F11" i="2"/>
  <c r="F9" i="2"/>
  <c r="F6" i="2"/>
  <c r="AJ90" i="2"/>
  <c r="AJ80" i="2"/>
  <c r="AJ74" i="2"/>
  <c r="AJ96" i="2" s="1"/>
  <c r="AJ64" i="2"/>
  <c r="G49" i="2"/>
  <c r="AJ23" i="2"/>
  <c r="AI23" i="2"/>
  <c r="AH23" i="2"/>
  <c r="AG23" i="2"/>
  <c r="AF23" i="2"/>
  <c r="AE23" i="2"/>
  <c r="AD23" i="2"/>
  <c r="AC23" i="2"/>
  <c r="AB23" i="2"/>
  <c r="AA23" i="2"/>
  <c r="Z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AA76" i="2"/>
  <c r="AA69" i="2"/>
  <c r="AB83" i="2"/>
  <c r="AB90" i="2" s="1"/>
  <c r="AB76" i="2"/>
  <c r="AB80" i="2" s="1"/>
  <c r="AB69" i="2"/>
  <c r="AB74" i="2" s="1"/>
  <c r="AB96" i="2" s="1"/>
  <c r="AC76" i="2"/>
  <c r="AC69" i="2"/>
  <c r="AD76" i="2"/>
  <c r="AD69" i="2"/>
  <c r="AE76" i="2"/>
  <c r="AE69" i="2"/>
  <c r="AF82" i="2"/>
  <c r="AF90" i="2" s="1"/>
  <c r="AF76" i="2"/>
  <c r="AF80" i="2" s="1"/>
  <c r="AF69" i="2"/>
  <c r="AF74" i="2" s="1"/>
  <c r="AF96" i="2" s="1"/>
  <c r="AG76" i="2"/>
  <c r="AG80" i="2" s="1"/>
  <c r="AG69" i="2"/>
  <c r="AH76" i="2"/>
  <c r="AH69" i="2"/>
  <c r="AI76" i="2"/>
  <c r="AI80" i="2" s="1"/>
  <c r="AI69" i="2"/>
  <c r="AI90" i="2"/>
  <c r="AH90" i="2"/>
  <c r="AG90" i="2"/>
  <c r="AE90" i="2"/>
  <c r="AD90" i="2"/>
  <c r="AC90" i="2"/>
  <c r="AA90" i="2"/>
  <c r="Z90" i="2"/>
  <c r="AH80" i="2"/>
  <c r="AE80" i="2"/>
  <c r="AD80" i="2"/>
  <c r="AC80" i="2"/>
  <c r="AA80" i="2"/>
  <c r="Z80" i="2"/>
  <c r="AI74" i="2"/>
  <c r="AH74" i="2"/>
  <c r="AH96" i="2" s="1"/>
  <c r="AG74" i="2"/>
  <c r="AE74" i="2"/>
  <c r="AD74" i="2"/>
  <c r="AD96" i="2" s="1"/>
  <c r="AC74" i="2"/>
  <c r="AC96" i="2" s="1"/>
  <c r="AA74" i="2"/>
  <c r="AA96" i="2" s="1"/>
  <c r="Z74" i="2"/>
  <c r="Z96" i="2" s="1"/>
  <c r="S69" i="2"/>
  <c r="R86" i="2"/>
  <c r="S86" i="2" s="1"/>
  <c r="R85" i="2"/>
  <c r="S85" i="2" s="1"/>
  <c r="R79" i="2"/>
  <c r="S79" i="2" s="1"/>
  <c r="R72" i="2"/>
  <c r="S72" i="2" s="1"/>
  <c r="R71" i="2"/>
  <c r="S71" i="2" s="1"/>
  <c r="R69" i="2"/>
  <c r="R68" i="2"/>
  <c r="S68" i="2" s="1"/>
  <c r="Q92" i="2"/>
  <c r="R92" i="2" s="1"/>
  <c r="S92" i="2" s="1"/>
  <c r="Q89" i="2"/>
  <c r="R89" i="2" s="1"/>
  <c r="S89" i="2" s="1"/>
  <c r="Q86" i="2"/>
  <c r="Q85" i="2"/>
  <c r="Q84" i="2"/>
  <c r="R84" i="2" s="1"/>
  <c r="S84" i="2" s="1"/>
  <c r="Q83" i="2"/>
  <c r="R83" i="2" s="1"/>
  <c r="Q79" i="2"/>
  <c r="Q78" i="2"/>
  <c r="R78" i="2" s="1"/>
  <c r="S78" i="2" s="1"/>
  <c r="Q76" i="2"/>
  <c r="R76" i="2" s="1"/>
  <c r="Q73" i="2"/>
  <c r="R73" i="2" s="1"/>
  <c r="S73" i="2" s="1"/>
  <c r="Q72" i="2"/>
  <c r="Q71" i="2"/>
  <c r="Q70" i="2"/>
  <c r="R70" i="2" s="1"/>
  <c r="S70" i="2" s="1"/>
  <c r="Q68" i="2"/>
  <c r="Q67" i="2"/>
  <c r="R67" i="2" s="1"/>
  <c r="S67" i="2" s="1"/>
  <c r="Q66" i="2"/>
  <c r="R66" i="2" s="1"/>
  <c r="S66" i="2" s="1"/>
  <c r="Q65" i="2"/>
  <c r="R65" i="2" s="1"/>
  <c r="S65" i="2" s="1"/>
  <c r="O74" i="2"/>
  <c r="N74" i="2"/>
  <c r="N96" i="2" s="1"/>
  <c r="M74" i="2"/>
  <c r="M96" i="2" s="1"/>
  <c r="L74" i="2"/>
  <c r="L96" i="2" s="1"/>
  <c r="K74" i="2"/>
  <c r="K96" i="2" s="1"/>
  <c r="J74" i="2"/>
  <c r="J96" i="2" s="1"/>
  <c r="I74" i="2"/>
  <c r="I96" i="2" s="1"/>
  <c r="H74" i="2"/>
  <c r="H96" i="2" s="1"/>
  <c r="G74" i="2"/>
  <c r="F74" i="2"/>
  <c r="F96" i="2" s="1"/>
  <c r="E74" i="2"/>
  <c r="E96" i="2" s="1"/>
  <c r="D74" i="2"/>
  <c r="D96" i="2" s="1"/>
  <c r="O80" i="2"/>
  <c r="N80" i="2"/>
  <c r="M80" i="2"/>
  <c r="L80" i="2"/>
  <c r="K80" i="2"/>
  <c r="J80" i="2"/>
  <c r="I80" i="2"/>
  <c r="H80" i="2"/>
  <c r="G80" i="2"/>
  <c r="F80" i="2"/>
  <c r="E80" i="2"/>
  <c r="D80" i="2"/>
  <c r="O90" i="2"/>
  <c r="N90" i="2"/>
  <c r="M90" i="2"/>
  <c r="L90" i="2"/>
  <c r="K90" i="2"/>
  <c r="J90" i="2"/>
  <c r="I90" i="2"/>
  <c r="H90" i="2"/>
  <c r="G90" i="2"/>
  <c r="F90" i="2"/>
  <c r="E90" i="2"/>
  <c r="D90" i="2"/>
  <c r="P90" i="2"/>
  <c r="P80" i="2"/>
  <c r="P74" i="2"/>
  <c r="P96" i="2" s="1"/>
  <c r="P69" i="2"/>
  <c r="Q69" i="2" s="1"/>
  <c r="G6" i="2"/>
  <c r="G9" i="2" s="1"/>
  <c r="G11" i="2" s="1"/>
  <c r="K6" i="2"/>
  <c r="K9" i="2" s="1"/>
  <c r="K11" i="2" s="1"/>
  <c r="D64" i="2"/>
  <c r="E64" i="2"/>
  <c r="F64" i="2"/>
  <c r="H64" i="2"/>
  <c r="I64" i="2"/>
  <c r="J64" i="2"/>
  <c r="M64" i="2"/>
  <c r="P44" i="2"/>
  <c r="A5" i="5"/>
  <c r="P5" i="5"/>
  <c r="Q5" i="5"/>
  <c r="R5" i="5"/>
  <c r="S5" i="5"/>
  <c r="T5" i="5"/>
  <c r="U5" i="5"/>
  <c r="V5" i="5"/>
  <c r="W5" i="5"/>
  <c r="X5" i="5"/>
  <c r="O5" i="5"/>
  <c r="P7" i="5"/>
  <c r="Q7" i="5" s="1"/>
  <c r="R7" i="5" s="1"/>
  <c r="S7" i="5" s="1"/>
  <c r="T7" i="5" s="1"/>
  <c r="U7" i="5" s="1"/>
  <c r="V7" i="5" s="1"/>
  <c r="W7" i="5" s="1"/>
  <c r="X7" i="5" s="1"/>
  <c r="O7" i="5"/>
  <c r="P4" i="5"/>
  <c r="Q4" i="5" s="1"/>
  <c r="R4" i="5" s="1"/>
  <c r="S4" i="5" s="1"/>
  <c r="T4" i="5" s="1"/>
  <c r="U4" i="5" s="1"/>
  <c r="V4" i="5" s="1"/>
  <c r="W4" i="5" s="1"/>
  <c r="X4" i="5" s="1"/>
  <c r="O4" i="5"/>
  <c r="N22" i="5"/>
  <c r="M22" i="5"/>
  <c r="L22" i="5"/>
  <c r="K22" i="5"/>
  <c r="J22" i="5"/>
  <c r="I22" i="5"/>
  <c r="H22" i="5"/>
  <c r="G22" i="5"/>
  <c r="F22" i="5"/>
  <c r="E22" i="5"/>
  <c r="D22" i="5"/>
  <c r="N21" i="5"/>
  <c r="M21" i="5"/>
  <c r="L21" i="5"/>
  <c r="K21" i="5"/>
  <c r="J21" i="5"/>
  <c r="I21" i="5"/>
  <c r="H21" i="5"/>
  <c r="G21" i="5"/>
  <c r="F21" i="5"/>
  <c r="E21" i="5"/>
  <c r="D21" i="5"/>
  <c r="O20" i="5"/>
  <c r="N20" i="5"/>
  <c r="M20" i="5"/>
  <c r="L20" i="5"/>
  <c r="K20" i="5"/>
  <c r="J20" i="5"/>
  <c r="I20" i="5"/>
  <c r="H20" i="5"/>
  <c r="G20" i="5"/>
  <c r="F20" i="5"/>
  <c r="E20" i="5"/>
  <c r="K13" i="5"/>
  <c r="J13" i="5"/>
  <c r="I13" i="5"/>
  <c r="H13" i="5"/>
  <c r="G13" i="5"/>
  <c r="F13" i="5"/>
  <c r="E13" i="5"/>
  <c r="D13" i="5"/>
  <c r="O10" i="5"/>
  <c r="P10" i="5" s="1"/>
  <c r="Q10" i="5" s="1"/>
  <c r="R10" i="5" s="1"/>
  <c r="S10" i="5" s="1"/>
  <c r="T10" i="5" s="1"/>
  <c r="U10" i="5" s="1"/>
  <c r="V10" i="5" s="1"/>
  <c r="W10" i="5" s="1"/>
  <c r="X10" i="5" s="1"/>
  <c r="K10" i="5"/>
  <c r="G10" i="5"/>
  <c r="F10" i="5"/>
  <c r="O8" i="5"/>
  <c r="K7" i="5"/>
  <c r="J7" i="5"/>
  <c r="I7" i="5"/>
  <c r="H7" i="5"/>
  <c r="G7" i="5"/>
  <c r="F7" i="5"/>
  <c r="E7" i="5"/>
  <c r="D7" i="5"/>
  <c r="N6" i="5"/>
  <c r="N9" i="5" s="1"/>
  <c r="N11" i="5" s="1"/>
  <c r="N14" i="5" s="1"/>
  <c r="N16" i="5" s="1"/>
  <c r="N18" i="5" s="1"/>
  <c r="M6" i="5"/>
  <c r="M9" i="5" s="1"/>
  <c r="M11" i="5" s="1"/>
  <c r="M14" i="5" s="1"/>
  <c r="M16" i="5" s="1"/>
  <c r="M18" i="5" s="1"/>
  <c r="L6" i="5"/>
  <c r="L9" i="5" s="1"/>
  <c r="L11" i="5" s="1"/>
  <c r="L14" i="5" s="1"/>
  <c r="L16" i="5" s="1"/>
  <c r="L18" i="5" s="1"/>
  <c r="E6" i="5"/>
  <c r="E9" i="5" s="1"/>
  <c r="E11" i="5" s="1"/>
  <c r="E14" i="5" s="1"/>
  <c r="E16" i="5" s="1"/>
  <c r="E18" i="5" s="1"/>
  <c r="D6" i="5"/>
  <c r="D9" i="5" s="1"/>
  <c r="D11" i="5" s="1"/>
  <c r="D14" i="5" s="1"/>
  <c r="D16" i="5" s="1"/>
  <c r="D18" i="5" s="1"/>
  <c r="K5" i="5"/>
  <c r="K6" i="5" s="1"/>
  <c r="K9" i="5" s="1"/>
  <c r="K11" i="5" s="1"/>
  <c r="K14" i="5" s="1"/>
  <c r="K16" i="5" s="1"/>
  <c r="K18" i="5" s="1"/>
  <c r="J5" i="5"/>
  <c r="J6" i="5" s="1"/>
  <c r="J9" i="5" s="1"/>
  <c r="J11" i="5" s="1"/>
  <c r="J14" i="5" s="1"/>
  <c r="J16" i="5" s="1"/>
  <c r="J18" i="5" s="1"/>
  <c r="I5" i="5"/>
  <c r="I6" i="5" s="1"/>
  <c r="I9" i="5" s="1"/>
  <c r="I11" i="5" s="1"/>
  <c r="I14" i="5" s="1"/>
  <c r="I16" i="5" s="1"/>
  <c r="I18" i="5" s="1"/>
  <c r="H5" i="5"/>
  <c r="H6" i="5" s="1"/>
  <c r="H9" i="5" s="1"/>
  <c r="H11" i="5" s="1"/>
  <c r="H14" i="5" s="1"/>
  <c r="H16" i="5" s="1"/>
  <c r="H18" i="5" s="1"/>
  <c r="G5" i="5"/>
  <c r="G6" i="5" s="1"/>
  <c r="G9" i="5" s="1"/>
  <c r="G11" i="5" s="1"/>
  <c r="G14" i="5" s="1"/>
  <c r="G16" i="5" s="1"/>
  <c r="G18" i="5" s="1"/>
  <c r="F5" i="5"/>
  <c r="F6" i="5" s="1"/>
  <c r="F9" i="5" s="1"/>
  <c r="F11" i="5" s="1"/>
  <c r="F14" i="5" s="1"/>
  <c r="F16" i="5" s="1"/>
  <c r="F18" i="5" s="1"/>
  <c r="E5" i="5"/>
  <c r="D5" i="5"/>
  <c r="O6" i="5"/>
  <c r="O9" i="5" s="1"/>
  <c r="O11" i="5" s="1"/>
  <c r="O14" i="5" s="1"/>
  <c r="AK10" i="2"/>
  <c r="AL10" i="2" s="1"/>
  <c r="AM10" i="2" s="1"/>
  <c r="AN10" i="2" s="1"/>
  <c r="AO10" i="2" s="1"/>
  <c r="AP10" i="2" s="1"/>
  <c r="AQ10" i="2" s="1"/>
  <c r="AR10" i="2" s="1"/>
  <c r="AS10" i="2" s="1"/>
  <c r="AT10" i="2" s="1"/>
  <c r="AK8" i="2"/>
  <c r="AL7" i="2"/>
  <c r="AM7" i="2" s="1"/>
  <c r="AN7" i="2" s="1"/>
  <c r="AO7" i="2" s="1"/>
  <c r="AP7" i="2" s="1"/>
  <c r="AQ7" i="2" s="1"/>
  <c r="AR7" i="2" s="1"/>
  <c r="AS7" i="2" s="1"/>
  <c r="AT7" i="2" s="1"/>
  <c r="AK5" i="2"/>
  <c r="AK6" i="2" s="1"/>
  <c r="AL4" i="2"/>
  <c r="AL5" i="2" s="1"/>
  <c r="L6" i="2"/>
  <c r="L9" i="2" s="1"/>
  <c r="L11" i="2" s="1"/>
  <c r="L14" i="2" s="1"/>
  <c r="L16" i="2" s="1"/>
  <c r="L18" i="2" s="1"/>
  <c r="P6" i="2"/>
  <c r="P9" i="2" s="1"/>
  <c r="P11" i="2" s="1"/>
  <c r="P14" i="2" s="1"/>
  <c r="P16" i="2" s="1"/>
  <c r="P18" i="2" s="1"/>
  <c r="M6" i="2"/>
  <c r="M9" i="2" s="1"/>
  <c r="M11" i="2" s="1"/>
  <c r="M14" i="2" s="1"/>
  <c r="M16" i="2" s="1"/>
  <c r="M18" i="2" s="1"/>
  <c r="Q6" i="2"/>
  <c r="Q9" i="2" s="1"/>
  <c r="Q11" i="2" s="1"/>
  <c r="Q14" i="2" s="1"/>
  <c r="Q16" i="2" s="1"/>
  <c r="Q18" i="2" s="1"/>
  <c r="R44" i="2"/>
  <c r="AJ20" i="2"/>
  <c r="N6" i="2"/>
  <c r="N9" i="2" s="1"/>
  <c r="N11" i="2" s="1"/>
  <c r="N14" i="2" s="1"/>
  <c r="N16" i="2" s="1"/>
  <c r="N18" i="2" s="1"/>
  <c r="R6" i="2"/>
  <c r="R9" i="2" s="1"/>
  <c r="R11" i="2" s="1"/>
  <c r="R14" i="2" s="1"/>
  <c r="R16" i="2" s="1"/>
  <c r="R18" i="2" s="1"/>
  <c r="AJ6" i="2"/>
  <c r="AJ9" i="2" s="1"/>
  <c r="AJ11" i="2" s="1"/>
  <c r="AJ14" i="2" s="1"/>
  <c r="AJ16" i="2" s="1"/>
  <c r="AJ18" i="2" s="1"/>
  <c r="Z13" i="2"/>
  <c r="Z7" i="2"/>
  <c r="Z5" i="2"/>
  <c r="Z6" i="2" s="1"/>
  <c r="AA13" i="2"/>
  <c r="AA7" i="2"/>
  <c r="AA5" i="2"/>
  <c r="AA6" i="2" s="1"/>
  <c r="AA9" i="2" s="1"/>
  <c r="AA11" i="2" s="1"/>
  <c r="AB13" i="2"/>
  <c r="AB10" i="2"/>
  <c r="AB7" i="2"/>
  <c r="AB5" i="2"/>
  <c r="AB6" i="2" s="1"/>
  <c r="AC13" i="2"/>
  <c r="AC10" i="2"/>
  <c r="AC7" i="2"/>
  <c r="AC5" i="2"/>
  <c r="AC6" i="2" s="1"/>
  <c r="AC9" i="2" s="1"/>
  <c r="AD13" i="2"/>
  <c r="AD7" i="2"/>
  <c r="AD5" i="2"/>
  <c r="AD6" i="2" s="1"/>
  <c r="AE13" i="2"/>
  <c r="AE7" i="2"/>
  <c r="AE5" i="2"/>
  <c r="AE6" i="2" s="1"/>
  <c r="AF13" i="2"/>
  <c r="AF7" i="2"/>
  <c r="AF5" i="2"/>
  <c r="AF6" i="2"/>
  <c r="AG13" i="2"/>
  <c r="AG10" i="2"/>
  <c r="AG7" i="2"/>
  <c r="AG5" i="2"/>
  <c r="AG6" i="2" s="1"/>
  <c r="F11" i="6"/>
  <c r="F8" i="6"/>
  <c r="U11" i="2" l="1"/>
  <c r="U64" i="2" s="1"/>
  <c r="U24" i="2"/>
  <c r="U14" i="2"/>
  <c r="U16" i="2" s="1"/>
  <c r="U18" i="2" s="1"/>
  <c r="AA19" i="4"/>
  <c r="V27" i="4"/>
  <c r="AA23" i="4"/>
  <c r="AA15" i="4"/>
  <c r="V19" i="4"/>
  <c r="AB61" i="2"/>
  <c r="AC61" i="2"/>
  <c r="AF61" i="2"/>
  <c r="AI61" i="2"/>
  <c r="AH61" i="2"/>
  <c r="AG61" i="2"/>
  <c r="V15" i="4"/>
  <c r="T61" i="2"/>
  <c r="T11" i="2"/>
  <c r="T23" i="2"/>
  <c r="T22" i="2"/>
  <c r="G94" i="2"/>
  <c r="G96" i="2"/>
  <c r="O94" i="2"/>
  <c r="L94" i="2"/>
  <c r="AJ94" i="2"/>
  <c r="S83" i="2"/>
  <c r="S90" i="2" s="1"/>
  <c r="R90" i="2"/>
  <c r="S74" i="2"/>
  <c r="R80" i="2"/>
  <c r="S76" i="2"/>
  <c r="S80" i="2" s="1"/>
  <c r="Z94" i="2"/>
  <c r="AI96" i="2"/>
  <c r="P94" i="2"/>
  <c r="O96" i="2"/>
  <c r="AC11" i="2"/>
  <c r="AA14" i="2"/>
  <c r="AA16" i="2" s="1"/>
  <c r="AA18" i="2" s="1"/>
  <c r="AK20" i="2"/>
  <c r="AA64" i="2"/>
  <c r="AG96" i="2"/>
  <c r="AE96" i="2"/>
  <c r="AE94" i="2"/>
  <c r="AG94" i="2"/>
  <c r="AF94" i="2"/>
  <c r="AH94" i="2"/>
  <c r="AA94" i="2"/>
  <c r="AI94" i="2"/>
  <c r="AB94" i="2"/>
  <c r="AC94" i="2"/>
  <c r="AD94" i="2"/>
  <c r="R74" i="2"/>
  <c r="L64" i="2"/>
  <c r="N94" i="2"/>
  <c r="R96" i="2"/>
  <c r="F94" i="2"/>
  <c r="AL20" i="2"/>
  <c r="Q80" i="2"/>
  <c r="AJ22" i="2"/>
  <c r="R64" i="2"/>
  <c r="AL6" i="2"/>
  <c r="AL9" i="2" s="1"/>
  <c r="AM4" i="2"/>
  <c r="Q64" i="2"/>
  <c r="P64" i="2"/>
  <c r="N64" i="2"/>
  <c r="H94" i="2"/>
  <c r="E94" i="2"/>
  <c r="Q90" i="2"/>
  <c r="Q74" i="2"/>
  <c r="D94" i="2"/>
  <c r="I94" i="2"/>
  <c r="J94" i="2"/>
  <c r="M94" i="2"/>
  <c r="K94" i="2"/>
  <c r="G14" i="2"/>
  <c r="G16" i="2" s="1"/>
  <c r="G18" i="2" s="1"/>
  <c r="G64" i="2"/>
  <c r="K14" i="2"/>
  <c r="K16" i="2" s="1"/>
  <c r="K18" i="2" s="1"/>
  <c r="K64" i="2"/>
  <c r="O21" i="5"/>
  <c r="O22" i="5"/>
  <c r="O15" i="5"/>
  <c r="O16" i="5"/>
  <c r="O18" i="5" s="1"/>
  <c r="P20" i="5"/>
  <c r="AK9" i="2"/>
  <c r="AL22" i="2"/>
  <c r="AK22" i="2"/>
  <c r="AJ24" i="2"/>
  <c r="AD9" i="2"/>
  <c r="AD11" i="2" s="1"/>
  <c r="AG9" i="2"/>
  <c r="AG11" i="2" s="1"/>
  <c r="AE9" i="2"/>
  <c r="AE11" i="2" s="1"/>
  <c r="Z9" i="2"/>
  <c r="Z11" i="2" s="1"/>
  <c r="AF9" i="2"/>
  <c r="AF11" i="2" s="1"/>
  <c r="AB9" i="2"/>
  <c r="AB11" i="2" s="1"/>
  <c r="G11" i="6"/>
  <c r="G8" i="6"/>
  <c r="F15" i="6"/>
  <c r="G15" i="6" s="1"/>
  <c r="F16" i="6"/>
  <c r="G16" i="6" s="1"/>
  <c r="AA34" i="4"/>
  <c r="Z31" i="4"/>
  <c r="Y31" i="4"/>
  <c r="X31" i="4"/>
  <c r="W31" i="4"/>
  <c r="AA30" i="4"/>
  <c r="AA46" i="4"/>
  <c r="Z43" i="4"/>
  <c r="Y43" i="4"/>
  <c r="X43" i="4"/>
  <c r="W43" i="4"/>
  <c r="AA42" i="4"/>
  <c r="AA10" i="4"/>
  <c r="AA11" i="4" s="1"/>
  <c r="Z7" i="4"/>
  <c r="Y7" i="4"/>
  <c r="X7" i="4"/>
  <c r="W7" i="4"/>
  <c r="G10" i="4"/>
  <c r="G11" i="4" s="1"/>
  <c r="G46" i="4"/>
  <c r="G47" i="4" s="1"/>
  <c r="G34" i="4"/>
  <c r="G35" i="4" s="1"/>
  <c r="L34" i="4"/>
  <c r="L30" i="4"/>
  <c r="L31" i="4" s="1"/>
  <c r="L46" i="4"/>
  <c r="L42" i="4"/>
  <c r="L10" i="4"/>
  <c r="L6" i="4"/>
  <c r="L7" i="4" s="1"/>
  <c r="Q10" i="4"/>
  <c r="Q6" i="4"/>
  <c r="Q46" i="4"/>
  <c r="Q42" i="4"/>
  <c r="Q34" i="4"/>
  <c r="Q30" i="4"/>
  <c r="V34" i="4"/>
  <c r="V30" i="4"/>
  <c r="V31" i="4" s="1"/>
  <c r="V46" i="4"/>
  <c r="V42" i="4"/>
  <c r="V10" i="4"/>
  <c r="V6" i="4"/>
  <c r="AA7" i="4" s="1"/>
  <c r="U31" i="4"/>
  <c r="T31" i="4"/>
  <c r="S31" i="4"/>
  <c r="R31" i="4"/>
  <c r="P31" i="4"/>
  <c r="O31" i="4"/>
  <c r="N31" i="4"/>
  <c r="M31" i="4"/>
  <c r="K31" i="4"/>
  <c r="J31" i="4"/>
  <c r="I31" i="4"/>
  <c r="H31" i="4"/>
  <c r="U43" i="4"/>
  <c r="T43" i="4"/>
  <c r="S43" i="4"/>
  <c r="R43" i="4"/>
  <c r="P43" i="4"/>
  <c r="O43" i="4"/>
  <c r="N43" i="4"/>
  <c r="M43" i="4"/>
  <c r="K43" i="4"/>
  <c r="J43" i="4"/>
  <c r="I43" i="4"/>
  <c r="H43" i="4"/>
  <c r="H7" i="4"/>
  <c r="I7" i="4"/>
  <c r="J7" i="4"/>
  <c r="K7" i="4"/>
  <c r="M7" i="4"/>
  <c r="N7" i="4"/>
  <c r="O7" i="4"/>
  <c r="P7" i="4"/>
  <c r="R7" i="4"/>
  <c r="S7" i="4"/>
  <c r="T7" i="4"/>
  <c r="U7" i="4"/>
  <c r="AC24" i="2"/>
  <c r="AA24" i="2"/>
  <c r="AG22" i="2"/>
  <c r="AF22" i="2"/>
  <c r="AE22" i="2"/>
  <c r="AD22" i="2"/>
  <c r="AC22" i="2"/>
  <c r="AB22" i="2"/>
  <c r="AA22" i="2"/>
  <c r="Z22" i="2"/>
  <c r="AG20" i="2"/>
  <c r="AF20" i="2"/>
  <c r="AE20" i="2"/>
  <c r="AD20" i="2"/>
  <c r="AC20" i="2"/>
  <c r="AB20" i="2"/>
  <c r="AA20" i="2"/>
  <c r="AI20" i="2"/>
  <c r="AH20" i="2"/>
  <c r="AH6" i="2"/>
  <c r="AH9" i="2" s="1"/>
  <c r="AH11" i="2" s="1"/>
  <c r="AI6" i="2"/>
  <c r="AI9" i="2" s="1"/>
  <c r="AI11" i="2" s="1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R49" i="2"/>
  <c r="Q49" i="2"/>
  <c r="P49" i="2"/>
  <c r="O49" i="2"/>
  <c r="N49" i="2"/>
  <c r="M49" i="2"/>
  <c r="L49" i="2"/>
  <c r="K49" i="2"/>
  <c r="J49" i="2"/>
  <c r="I49" i="2"/>
  <c r="H49" i="2"/>
  <c r="F49" i="2"/>
  <c r="E49" i="2"/>
  <c r="D49" i="2"/>
  <c r="S60" i="2"/>
  <c r="S49" i="2"/>
  <c r="Q44" i="2"/>
  <c r="O44" i="2"/>
  <c r="N44" i="2"/>
  <c r="M44" i="2"/>
  <c r="L44" i="2"/>
  <c r="K44" i="2"/>
  <c r="J44" i="2"/>
  <c r="I44" i="2"/>
  <c r="H44" i="2"/>
  <c r="G44" i="2"/>
  <c r="F44" i="2"/>
  <c r="E44" i="2"/>
  <c r="D44" i="2"/>
  <c r="S44" i="2"/>
  <c r="H20" i="2"/>
  <c r="I20" i="2"/>
  <c r="J20" i="2"/>
  <c r="K20" i="2"/>
  <c r="L20" i="2"/>
  <c r="M20" i="2"/>
  <c r="N20" i="2"/>
  <c r="O20" i="2"/>
  <c r="P20" i="2"/>
  <c r="Q20" i="2"/>
  <c r="R20" i="2"/>
  <c r="D22" i="2"/>
  <c r="E22" i="2"/>
  <c r="F22" i="2"/>
  <c r="G22" i="2"/>
  <c r="H22" i="2"/>
  <c r="I22" i="2"/>
  <c r="J22" i="2"/>
  <c r="K22" i="2"/>
  <c r="L22" i="2"/>
  <c r="M22" i="2"/>
  <c r="N22" i="2"/>
  <c r="P22" i="2"/>
  <c r="Q22" i="2"/>
  <c r="R22" i="2"/>
  <c r="D24" i="2"/>
  <c r="E24" i="2"/>
  <c r="F24" i="2"/>
  <c r="G24" i="2"/>
  <c r="H24" i="2"/>
  <c r="I24" i="2"/>
  <c r="J24" i="2"/>
  <c r="K24" i="2"/>
  <c r="L24" i="2"/>
  <c r="M24" i="2"/>
  <c r="N24" i="2"/>
  <c r="P24" i="2"/>
  <c r="Q24" i="2"/>
  <c r="R24" i="2"/>
  <c r="S20" i="2"/>
  <c r="O6" i="2"/>
  <c r="O9" i="2" s="1"/>
  <c r="O11" i="2" s="1"/>
  <c r="S6" i="2"/>
  <c r="S9" i="2" s="1"/>
  <c r="S11" i="2" s="1"/>
  <c r="B6" i="2"/>
  <c r="AL11" i="2" l="1"/>
  <c r="AL23" i="2"/>
  <c r="AK11" i="2"/>
  <c r="A5" i="6"/>
  <c r="AK23" i="2"/>
  <c r="V43" i="4"/>
  <c r="V11" i="4"/>
  <c r="V7" i="4"/>
  <c r="Q47" i="4"/>
  <c r="AA43" i="4"/>
  <c r="V47" i="4"/>
  <c r="Q11" i="4"/>
  <c r="Q35" i="4"/>
  <c r="AA31" i="4"/>
  <c r="V35" i="4"/>
  <c r="T14" i="2"/>
  <c r="T16" i="2" s="1"/>
  <c r="T18" i="2" s="1"/>
  <c r="T24" i="2"/>
  <c r="AA47" i="4"/>
  <c r="G13" i="6"/>
  <c r="G18" i="6" s="1"/>
  <c r="AB14" i="2"/>
  <c r="AB64" i="2"/>
  <c r="AF14" i="2"/>
  <c r="AF16" i="2" s="1"/>
  <c r="AF18" i="2" s="1"/>
  <c r="AF64" i="2"/>
  <c r="AI14" i="2"/>
  <c r="AI16" i="2" s="1"/>
  <c r="AI18" i="2" s="1"/>
  <c r="AI64" i="2"/>
  <c r="K61" i="2"/>
  <c r="AH14" i="2"/>
  <c r="AH16" i="2" s="1"/>
  <c r="AH18" i="2" s="1"/>
  <c r="AH64" i="2"/>
  <c r="AE14" i="2"/>
  <c r="AE16" i="2" s="1"/>
  <c r="AE18" i="2" s="1"/>
  <c r="AE64" i="2"/>
  <c r="S96" i="2"/>
  <c r="AG14" i="2"/>
  <c r="AG16" i="2" s="1"/>
  <c r="AG18" i="2" s="1"/>
  <c r="AG64" i="2"/>
  <c r="R94" i="2"/>
  <c r="AC14" i="2"/>
  <c r="AC16" i="2" s="1"/>
  <c r="AC18" i="2" s="1"/>
  <c r="AC64" i="2"/>
  <c r="Z14" i="2"/>
  <c r="Z16" i="2" s="1"/>
  <c r="Z18" i="2" s="1"/>
  <c r="Z64" i="2"/>
  <c r="G61" i="2"/>
  <c r="AF24" i="2"/>
  <c r="AD14" i="2"/>
  <c r="AD16" i="2" s="1"/>
  <c r="AD18" i="2" s="1"/>
  <c r="AD64" i="2"/>
  <c r="S94" i="2"/>
  <c r="E61" i="2"/>
  <c r="Z24" i="2"/>
  <c r="F61" i="2"/>
  <c r="AN4" i="2"/>
  <c r="AM5" i="2"/>
  <c r="AM6" i="2"/>
  <c r="AM20" i="2"/>
  <c r="H61" i="2"/>
  <c r="AD24" i="2"/>
  <c r="AE24" i="2"/>
  <c r="O14" i="2"/>
  <c r="O16" i="2" s="1"/>
  <c r="O18" i="2" s="1"/>
  <c r="O64" i="2"/>
  <c r="AG24" i="2"/>
  <c r="Q94" i="2"/>
  <c r="Q96" i="2"/>
  <c r="M61" i="2"/>
  <c r="L61" i="2"/>
  <c r="P61" i="2"/>
  <c r="Q20" i="5"/>
  <c r="P6" i="5"/>
  <c r="N61" i="2"/>
  <c r="S22" i="2"/>
  <c r="D61" i="2"/>
  <c r="S61" i="2"/>
  <c r="AI24" i="2"/>
  <c r="AI22" i="2"/>
  <c r="S24" i="2"/>
  <c r="S14" i="2"/>
  <c r="S16" i="2" s="1"/>
  <c r="S18" i="2" s="1"/>
  <c r="S64" i="2"/>
  <c r="O22" i="2"/>
  <c r="AB24" i="2"/>
  <c r="O24" i="2"/>
  <c r="I61" i="2"/>
  <c r="Q61" i="2"/>
  <c r="AH22" i="2"/>
  <c r="J61" i="2"/>
  <c r="R61" i="2"/>
  <c r="AH24" i="2"/>
  <c r="AB16" i="2"/>
  <c r="AB18" i="2" s="1"/>
  <c r="AA35" i="4"/>
  <c r="L35" i="4"/>
  <c r="L47" i="4"/>
  <c r="L11" i="4"/>
  <c r="L43" i="4"/>
  <c r="Q31" i="4"/>
  <c r="Q43" i="4"/>
  <c r="Q7" i="4"/>
  <c r="O61" i="2"/>
  <c r="B9" i="2"/>
  <c r="AK14" i="2" l="1"/>
  <c r="AK15" i="2" s="1"/>
  <c r="AK16" i="2" s="1"/>
  <c r="AK18" i="2" s="1"/>
  <c r="D7" i="3" s="1"/>
  <c r="AK24" i="2"/>
  <c r="AL14" i="2"/>
  <c r="AL15" i="2" s="1"/>
  <c r="AL16" i="2" s="1"/>
  <c r="AL18" i="2" s="1"/>
  <c r="E7" i="3" s="1"/>
  <c r="AL24" i="2"/>
  <c r="AM9" i="2"/>
  <c r="F5" i="3" s="1"/>
  <c r="AM22" i="2"/>
  <c r="AN5" i="2"/>
  <c r="AN6" i="2"/>
  <c r="AN20" i="2"/>
  <c r="AO4" i="2"/>
  <c r="D6" i="3"/>
  <c r="E6" i="3"/>
  <c r="D5" i="3"/>
  <c r="E5" i="3"/>
  <c r="P9" i="5"/>
  <c r="P11" i="5" s="1"/>
  <c r="P21" i="5"/>
  <c r="R20" i="5"/>
  <c r="Q6" i="5"/>
  <c r="AM11" i="2" l="1"/>
  <c r="F6" i="3" s="1"/>
  <c r="AM23" i="2"/>
  <c r="AO5" i="2"/>
  <c r="AO6" i="2"/>
  <c r="AO20" i="2"/>
  <c r="AP4" i="2"/>
  <c r="AN22" i="2"/>
  <c r="AN9" i="2"/>
  <c r="AM14" i="2"/>
  <c r="AM15" i="2" s="1"/>
  <c r="AM16" i="2" s="1"/>
  <c r="AM18" i="2" s="1"/>
  <c r="F7" i="3" s="1"/>
  <c r="AM24" i="2"/>
  <c r="Q9" i="5"/>
  <c r="Q11" i="5" s="1"/>
  <c r="Q21" i="5"/>
  <c r="P14" i="5"/>
  <c r="P15" i="5" s="1"/>
  <c r="P16" i="5" s="1"/>
  <c r="P22" i="5"/>
  <c r="S20" i="5"/>
  <c r="R6" i="5"/>
  <c r="AN11" i="2" l="1"/>
  <c r="AN23" i="2"/>
  <c r="AP5" i="2"/>
  <c r="AP6" i="2"/>
  <c r="AP20" i="2"/>
  <c r="AQ4" i="2"/>
  <c r="AO9" i="2"/>
  <c r="AO22" i="2"/>
  <c r="AN14" i="2"/>
  <c r="AN15" i="2" s="1"/>
  <c r="AN16" i="2" s="1"/>
  <c r="AN18" i="2" s="1"/>
  <c r="AN24" i="2"/>
  <c r="R9" i="5"/>
  <c r="R11" i="5" s="1"/>
  <c r="R21" i="5"/>
  <c r="P18" i="5"/>
  <c r="Q14" i="5"/>
  <c r="Q15" i="5" s="1"/>
  <c r="Q16" i="5" s="1"/>
  <c r="Q18" i="5" s="1"/>
  <c r="Q22" i="5"/>
  <c r="S6" i="5"/>
  <c r="T20" i="5"/>
  <c r="AO11" i="2" l="1"/>
  <c r="AO23" i="2"/>
  <c r="AO14" i="2"/>
  <c r="AO15" i="2" s="1"/>
  <c r="AO16" i="2" s="1"/>
  <c r="AO18" i="2" s="1"/>
  <c r="AO24" i="2"/>
  <c r="AQ5" i="2"/>
  <c r="AQ6" i="2" s="1"/>
  <c r="AQ20" i="2"/>
  <c r="AR4" i="2"/>
  <c r="AP9" i="2"/>
  <c r="AP22" i="2"/>
  <c r="S9" i="5"/>
  <c r="S11" i="5" s="1"/>
  <c r="S21" i="5"/>
  <c r="R14" i="5"/>
  <c r="R15" i="5" s="1"/>
  <c r="R16" i="5" s="1"/>
  <c r="R22" i="5"/>
  <c r="T6" i="5"/>
  <c r="U20" i="5"/>
  <c r="AP11" i="2" l="1"/>
  <c r="AP23" i="2"/>
  <c r="AP14" i="2"/>
  <c r="AP15" i="2" s="1"/>
  <c r="AP16" i="2" s="1"/>
  <c r="AP18" i="2" s="1"/>
  <c r="AP24" i="2"/>
  <c r="AR5" i="2"/>
  <c r="AR20" i="2"/>
  <c r="AS4" i="2"/>
  <c r="AR6" i="2"/>
  <c r="AQ9" i="2"/>
  <c r="AQ22" i="2"/>
  <c r="T9" i="5"/>
  <c r="T11" i="5" s="1"/>
  <c r="T21" i="5"/>
  <c r="R18" i="5"/>
  <c r="S14" i="5"/>
  <c r="S15" i="5" s="1"/>
  <c r="S16" i="5" s="1"/>
  <c r="S18" i="5" s="1"/>
  <c r="S22" i="5"/>
  <c r="V20" i="5"/>
  <c r="U6" i="5"/>
  <c r="AQ11" i="2" l="1"/>
  <c r="AQ23" i="2"/>
  <c r="AQ14" i="2"/>
  <c r="AQ15" i="2" s="1"/>
  <c r="AQ16" i="2" s="1"/>
  <c r="AQ18" i="2" s="1"/>
  <c r="AQ24" i="2"/>
  <c r="AR22" i="2"/>
  <c r="AR9" i="2"/>
  <c r="AS5" i="2"/>
  <c r="AS6" i="2" s="1"/>
  <c r="AS20" i="2"/>
  <c r="AT4" i="2"/>
  <c r="U9" i="5"/>
  <c r="U11" i="5" s="1"/>
  <c r="U21" i="5"/>
  <c r="T14" i="5"/>
  <c r="T15" i="5" s="1"/>
  <c r="T16" i="5" s="1"/>
  <c r="T22" i="5"/>
  <c r="W20" i="5"/>
  <c r="V6" i="5"/>
  <c r="AR11" i="2" l="1"/>
  <c r="AR23" i="2"/>
  <c r="AT5" i="2"/>
  <c r="AT6" i="2"/>
  <c r="AT20" i="2"/>
  <c r="AS9" i="2"/>
  <c r="AS22" i="2"/>
  <c r="AR14" i="2"/>
  <c r="AR15" i="2" s="1"/>
  <c r="AR16" i="2" s="1"/>
  <c r="AR18" i="2" s="1"/>
  <c r="AR24" i="2"/>
  <c r="U14" i="5"/>
  <c r="U15" i="5" s="1"/>
  <c r="U16" i="5" s="1"/>
  <c r="U18" i="5" s="1"/>
  <c r="U22" i="5"/>
  <c r="V9" i="5"/>
  <c r="V11" i="5" s="1"/>
  <c r="V21" i="5"/>
  <c r="T18" i="5"/>
  <c r="W6" i="5"/>
  <c r="X20" i="5"/>
  <c r="AS11" i="2" l="1"/>
  <c r="AS23" i="2"/>
  <c r="AS24" i="2"/>
  <c r="AS14" i="2"/>
  <c r="AS15" i="2" s="1"/>
  <c r="AS16" i="2" s="1"/>
  <c r="AS18" i="2" s="1"/>
  <c r="AT9" i="2"/>
  <c r="AT22" i="2"/>
  <c r="W9" i="5"/>
  <c r="W11" i="5" s="1"/>
  <c r="W21" i="5"/>
  <c r="V14" i="5"/>
  <c r="V15" i="5" s="1"/>
  <c r="V16" i="5" s="1"/>
  <c r="V22" i="5"/>
  <c r="X6" i="5"/>
  <c r="AT11" i="2" l="1"/>
  <c r="AT23" i="2"/>
  <c r="AT24" i="2"/>
  <c r="AT14" i="2"/>
  <c r="AT15" i="2" s="1"/>
  <c r="AT16" i="2" s="1"/>
  <c r="AT18" i="2" s="1"/>
  <c r="X9" i="5"/>
  <c r="X11" i="5" s="1"/>
  <c r="X21" i="5"/>
  <c r="V18" i="5"/>
  <c r="W14" i="5"/>
  <c r="W22" i="5"/>
  <c r="AU16" i="2" l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Y16" i="2" s="1"/>
  <c r="GZ16" i="2" s="1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HK16" i="2" s="1"/>
  <c r="HL16" i="2" s="1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W16" i="2" s="1"/>
  <c r="HX16" i="2" s="1"/>
  <c r="HY16" i="2" s="1"/>
  <c r="HZ16" i="2" s="1"/>
  <c r="IA16" i="2" s="1"/>
  <c r="IB16" i="2" s="1"/>
  <c r="IC16" i="2" s="1"/>
  <c r="ID16" i="2" s="1"/>
  <c r="IE16" i="2" s="1"/>
  <c r="IF16" i="2" s="1"/>
  <c r="IG16" i="2" s="1"/>
  <c r="IH16" i="2" s="1"/>
  <c r="II16" i="2" s="1"/>
  <c r="IJ16" i="2" s="1"/>
  <c r="IK16" i="2" s="1"/>
  <c r="IL16" i="2" s="1"/>
  <c r="IM16" i="2" s="1"/>
  <c r="IN16" i="2" s="1"/>
  <c r="IO16" i="2" s="1"/>
  <c r="IP16" i="2" s="1"/>
  <c r="IQ16" i="2" s="1"/>
  <c r="IR16" i="2" s="1"/>
  <c r="IS16" i="2" s="1"/>
  <c r="IT16" i="2" s="1"/>
  <c r="IU16" i="2" s="1"/>
  <c r="IV16" i="2" s="1"/>
  <c r="IW16" i="2" s="1"/>
  <c r="IX16" i="2" s="1"/>
  <c r="IY16" i="2" s="1"/>
  <c r="IZ16" i="2" s="1"/>
  <c r="JA16" i="2" s="1"/>
  <c r="JB16" i="2" s="1"/>
  <c r="JC16" i="2" s="1"/>
  <c r="JD16" i="2" s="1"/>
  <c r="JE16" i="2" s="1"/>
  <c r="JF16" i="2" s="1"/>
  <c r="JG16" i="2" s="1"/>
  <c r="JH16" i="2" s="1"/>
  <c r="JI16" i="2" s="1"/>
  <c r="JJ16" i="2" s="1"/>
  <c r="JK16" i="2" s="1"/>
  <c r="JL16" i="2" s="1"/>
  <c r="JM16" i="2" s="1"/>
  <c r="JN16" i="2" s="1"/>
  <c r="JO16" i="2" s="1"/>
  <c r="JP16" i="2" s="1"/>
  <c r="JQ16" i="2" s="1"/>
  <c r="JR16" i="2" s="1"/>
  <c r="JS16" i="2" s="1"/>
  <c r="JT16" i="2" s="1"/>
  <c r="JU16" i="2" s="1"/>
  <c r="JV16" i="2" s="1"/>
  <c r="JW16" i="2" s="1"/>
  <c r="JX16" i="2" s="1"/>
  <c r="JY16" i="2" s="1"/>
  <c r="JZ16" i="2" s="1"/>
  <c r="KA16" i="2" s="1"/>
  <c r="KB16" i="2" s="1"/>
  <c r="KC16" i="2" s="1"/>
  <c r="KD16" i="2" s="1"/>
  <c r="KE16" i="2" s="1"/>
  <c r="KF16" i="2" s="1"/>
  <c r="KG16" i="2" s="1"/>
  <c r="KH16" i="2" s="1"/>
  <c r="KI16" i="2" s="1"/>
  <c r="KJ16" i="2" s="1"/>
  <c r="KK16" i="2" s="1"/>
  <c r="KL16" i="2" s="1"/>
  <c r="KM16" i="2" s="1"/>
  <c r="KN16" i="2" s="1"/>
  <c r="AW21" i="2" s="1"/>
  <c r="AW23" i="2" s="1"/>
  <c r="AW24" i="2" s="1"/>
  <c r="W15" i="5"/>
  <c r="W16" i="5" s="1"/>
  <c r="X14" i="5"/>
  <c r="X15" i="5" s="1"/>
  <c r="X16" i="5" s="1"/>
  <c r="X22" i="5"/>
  <c r="W18" i="5" l="1"/>
  <c r="X18" i="5"/>
  <c r="Y16" i="5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EN16" i="5" s="1"/>
  <c r="EO16" i="5" s="1"/>
  <c r="EP16" i="5" s="1"/>
  <c r="EQ16" i="5" s="1"/>
  <c r="ER16" i="5" s="1"/>
  <c r="ES16" i="5" s="1"/>
  <c r="ET16" i="5" s="1"/>
  <c r="EU16" i="5" s="1"/>
  <c r="EV16" i="5" s="1"/>
  <c r="EW16" i="5" s="1"/>
  <c r="EX16" i="5" s="1"/>
  <c r="EY16" i="5" s="1"/>
  <c r="EZ16" i="5" s="1"/>
  <c r="FA16" i="5" s="1"/>
  <c r="FB16" i="5" s="1"/>
  <c r="FC16" i="5" s="1"/>
  <c r="FD16" i="5" s="1"/>
  <c r="FE16" i="5" s="1"/>
  <c r="FF16" i="5" s="1"/>
  <c r="FG16" i="5" s="1"/>
  <c r="FH16" i="5" s="1"/>
  <c r="FI16" i="5" s="1"/>
  <c r="FJ16" i="5" s="1"/>
  <c r="FK16" i="5" s="1"/>
  <c r="FL16" i="5" s="1"/>
  <c r="FM16" i="5" s="1"/>
  <c r="FN16" i="5" s="1"/>
  <c r="FO16" i="5" s="1"/>
  <c r="FP16" i="5" s="1"/>
  <c r="FQ16" i="5" s="1"/>
  <c r="FR16" i="5" s="1"/>
  <c r="FS16" i="5" s="1"/>
  <c r="FT16" i="5" s="1"/>
  <c r="FU16" i="5" s="1"/>
  <c r="FV16" i="5" s="1"/>
  <c r="FW16" i="5" s="1"/>
  <c r="FX16" i="5" s="1"/>
  <c r="FY16" i="5" s="1"/>
  <c r="FZ16" i="5" s="1"/>
  <c r="GA16" i="5" s="1"/>
  <c r="GB16" i="5" s="1"/>
  <c r="GC16" i="5" s="1"/>
  <c r="GD16" i="5" s="1"/>
  <c r="GE16" i="5" s="1"/>
  <c r="GF16" i="5" s="1"/>
  <c r="GG16" i="5" s="1"/>
  <c r="GH16" i="5" s="1"/>
  <c r="GI16" i="5" s="1"/>
  <c r="GJ16" i="5" s="1"/>
  <c r="GK16" i="5" s="1"/>
  <c r="GL16" i="5" s="1"/>
  <c r="GM16" i="5" s="1"/>
  <c r="GN16" i="5" s="1"/>
  <c r="GO16" i="5" s="1"/>
  <c r="GP16" i="5" s="1"/>
  <c r="GQ16" i="5" s="1"/>
  <c r="GR16" i="5" s="1"/>
  <c r="GS16" i="5" s="1"/>
  <c r="GT16" i="5" s="1"/>
  <c r="GU16" i="5" s="1"/>
  <c r="GV16" i="5" s="1"/>
  <c r="GW16" i="5" s="1"/>
  <c r="GX16" i="5" s="1"/>
  <c r="GY16" i="5" s="1"/>
  <c r="GZ16" i="5" s="1"/>
  <c r="HA16" i="5" s="1"/>
  <c r="HB16" i="5" s="1"/>
  <c r="HC16" i="5" s="1"/>
  <c r="HD16" i="5" s="1"/>
  <c r="HE16" i="5" s="1"/>
  <c r="HF16" i="5" s="1"/>
  <c r="HG16" i="5" s="1"/>
  <c r="HH16" i="5" s="1"/>
  <c r="HI16" i="5" s="1"/>
  <c r="HJ16" i="5" s="1"/>
  <c r="HK16" i="5" s="1"/>
  <c r="HL16" i="5" s="1"/>
  <c r="HM16" i="5" s="1"/>
  <c r="HN16" i="5" s="1"/>
  <c r="HO16" i="5" s="1"/>
  <c r="HP16" i="5" s="1"/>
  <c r="HQ16" i="5" s="1"/>
  <c r="AA21" i="5" s="1"/>
  <c r="AA23" i="5" s="1"/>
  <c r="AA24" i="5" s="1"/>
  <c r="A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tc={1301B477-C5DA-B746-BCE6-F26A31ED90CD}</author>
  </authors>
  <commentList>
    <comment ref="AI76" authorId="0" shapeId="0" xr:uid="{1301B477-C5DA-B746-BCE6-F26A31ED90C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Divestment of group comp 17 980</t>
      </text>
    </comment>
  </commentList>
</comments>
</file>

<file path=xl/sharedStrings.xml><?xml version="1.0" encoding="utf-8"?>
<sst xmlns="http://schemas.openxmlformats.org/spreadsheetml/2006/main" count="345" uniqueCount="230">
  <si>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</si>
  <si>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</si>
  <si>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</si>
  <si>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</si>
  <si>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</si>
  <si>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</si>
  <si>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</si>
  <si>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</si>
  <si>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</si>
  <si>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</si>
  <si>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</si>
  <si>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</si>
  <si>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</si>
  <si>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</si>
  <si>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</si>
  <si>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</si>
  <si>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</si>
  <si>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</si>
  <si>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</si>
  <si>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</si>
  <si>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</si>
  <si>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</si>
  <si>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</si>
  <si>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</si>
  <si>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</si>
  <si>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</si>
  <si>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</si>
  <si>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</si>
  <si>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</si>
  <si>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</si>
  <si>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</si>
  <si>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</si>
  <si>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</si>
  <si>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</si>
  <si>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</si>
  <si>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</si>
  <si>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</si>
  <si>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</si>
  <si>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</si>
  <si>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</si>
  <si>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</si>
  <si>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2015</t>
  </si>
  <si>
    <t>FY 2016</t>
  </si>
  <si>
    <t>FY 2017</t>
  </si>
  <si>
    <t>FY 2018</t>
  </si>
  <si>
    <t>Gross margin</t>
  </si>
  <si>
    <t>SEKm</t>
  </si>
  <si>
    <t>MC SEKm</t>
  </si>
  <si>
    <t>Cash SEKm</t>
  </si>
  <si>
    <t>Debt SEKm</t>
  </si>
  <si>
    <t>EV SEKm</t>
  </si>
  <si>
    <t>Revenue</t>
  </si>
  <si>
    <t>COGS</t>
  </si>
  <si>
    <t>Gross profit</t>
  </si>
  <si>
    <t>Sales, general and admin costs</t>
  </si>
  <si>
    <t>share of profits of associates and JV</t>
  </si>
  <si>
    <t>EBITA</t>
  </si>
  <si>
    <t>Amortization</t>
  </si>
  <si>
    <t>Operating profit (EBIT)</t>
  </si>
  <si>
    <t>Shares of profit from assoc and JV</t>
  </si>
  <si>
    <t>Financial items</t>
  </si>
  <si>
    <t>PTP</t>
  </si>
  <si>
    <t>Tax</t>
  </si>
  <si>
    <t>Net income</t>
  </si>
  <si>
    <t xml:space="preserve">Shares </t>
  </si>
  <si>
    <t>EPS</t>
  </si>
  <si>
    <t>Balanse SEKm</t>
  </si>
  <si>
    <t>Goodwill</t>
  </si>
  <si>
    <t>Intangible assets</t>
  </si>
  <si>
    <t>PP&amp;E</t>
  </si>
  <si>
    <t>Right of use assets</t>
  </si>
  <si>
    <t>Investments in associates and JV</t>
  </si>
  <si>
    <t>Shares and participations</t>
  </si>
  <si>
    <t>Surplus in funded pension plans</t>
  </si>
  <si>
    <t>Non-current financial assets</t>
  </si>
  <si>
    <t>Deferred assets</t>
  </si>
  <si>
    <t>Other non-current assets</t>
  </si>
  <si>
    <t>Inventories</t>
  </si>
  <si>
    <t>Trade receivables</t>
  </si>
  <si>
    <t>Current tax assets</t>
  </si>
  <si>
    <t>Other current receivables</t>
  </si>
  <si>
    <t>Current financial assets</t>
  </si>
  <si>
    <t>Cash</t>
  </si>
  <si>
    <t>Total assets</t>
  </si>
  <si>
    <t>Share capital</t>
  </si>
  <si>
    <t>Retained earnings</t>
  </si>
  <si>
    <t>Non-controllings interests</t>
  </si>
  <si>
    <t>Total Equity</t>
  </si>
  <si>
    <t>Non-current financial liabilities</t>
  </si>
  <si>
    <t>Provisons for pensions</t>
  </si>
  <si>
    <t>Deferred tax liabilities</t>
  </si>
  <si>
    <t>Other non-current provisions</t>
  </si>
  <si>
    <t>Other non-current liabilities</t>
  </si>
  <si>
    <t>Current financial liabilities</t>
  </si>
  <si>
    <t>Trade payables</t>
  </si>
  <si>
    <t>Current tax liabilities</t>
  </si>
  <si>
    <t>Current provisions</t>
  </si>
  <si>
    <t>Other current liabilities</t>
  </si>
  <si>
    <t>Total debt</t>
  </si>
  <si>
    <t>Total E/D</t>
  </si>
  <si>
    <t xml:space="preserve">Cash flow SEKm </t>
  </si>
  <si>
    <t>Model OP</t>
  </si>
  <si>
    <t>Reported OP</t>
  </si>
  <si>
    <t>Adjustment for non-cash</t>
  </si>
  <si>
    <t>Capitalized expenditures</t>
  </si>
  <si>
    <t>Change in provisions</t>
  </si>
  <si>
    <t>WC</t>
  </si>
  <si>
    <t>Interest paid</t>
  </si>
  <si>
    <t>Interest received</t>
  </si>
  <si>
    <t>Other financial items</t>
  </si>
  <si>
    <t>Income taxes paid</t>
  </si>
  <si>
    <t>CFFO</t>
  </si>
  <si>
    <t>Capex</t>
  </si>
  <si>
    <t>Paid interest capitalized</t>
  </si>
  <si>
    <t>Sale of PP&amp;E</t>
  </si>
  <si>
    <t>Purchase/sale of financial assets</t>
  </si>
  <si>
    <t>Acquisition of non-controlling interests</t>
  </si>
  <si>
    <t>Proceeds from borrowing</t>
  </si>
  <si>
    <t>Repayment of borrowings</t>
  </si>
  <si>
    <t>Payment of lease liabilities</t>
  </si>
  <si>
    <t>Change in borrowings with short maturities</t>
  </si>
  <si>
    <t>Dividend</t>
  </si>
  <si>
    <t>Dividend to non-controlling</t>
  </si>
  <si>
    <t>Buybacks</t>
  </si>
  <si>
    <t>CFFF</t>
  </si>
  <si>
    <t>CFFI</t>
  </si>
  <si>
    <t>FX</t>
  </si>
  <si>
    <t>CIC</t>
  </si>
  <si>
    <t>FCF</t>
  </si>
  <si>
    <t>Health &amp; medical</t>
  </si>
  <si>
    <t>Organic growth</t>
  </si>
  <si>
    <t>EBITA margin</t>
  </si>
  <si>
    <t>Gross profit margin</t>
  </si>
  <si>
    <t>Consumer goods</t>
  </si>
  <si>
    <t>Professional Hygiene</t>
  </si>
  <si>
    <t>y/y</t>
  </si>
  <si>
    <t>Q126</t>
  </si>
  <si>
    <t>Q226</t>
  </si>
  <si>
    <t>Q326</t>
  </si>
  <si>
    <t>Q426</t>
  </si>
  <si>
    <t>EBITA 26E</t>
  </si>
  <si>
    <t>Multippel</t>
  </si>
  <si>
    <t>Value</t>
  </si>
  <si>
    <t>Per/share</t>
  </si>
  <si>
    <t>Debt</t>
  </si>
  <si>
    <t>EV/EBITA</t>
  </si>
  <si>
    <t>ROCE</t>
  </si>
  <si>
    <t>Discount</t>
  </si>
  <si>
    <t>TV</t>
  </si>
  <si>
    <t>NPV</t>
  </si>
  <si>
    <t>NPV/Share</t>
  </si>
  <si>
    <t>Opp/Nedside</t>
  </si>
  <si>
    <t>Nullvekst og ned på marginer</t>
  </si>
  <si>
    <t>Press releases:</t>
  </si>
  <si>
    <t>26.01.26: Essity kjøper tilbake 725 349 B-aksjer</t>
  </si>
  <si>
    <t>19.01.26: Essity kjøper tilbake 66 186 B-aksjer</t>
  </si>
  <si>
    <t>Enterprise value</t>
  </si>
  <si>
    <t>Implied value/Share</t>
  </si>
  <si>
    <t>12.01.26: Essity kjøper tilbake 57 798 B-aksjer</t>
  </si>
  <si>
    <t>08.01.26: I oktober 24 var det noen investorer som gikk til retten for å få innløst sine bonds tildigere enn sine respketive maturities 29-31, men anmeldelsen er nå lagt ned</t>
  </si>
  <si>
    <t>05.01.26: Essity kjøper tilbake 42 073 B-aksjer</t>
  </si>
  <si>
    <t>29.12.25: Essity kjøper tilbake 29 421 B-aksjer</t>
  </si>
  <si>
    <t>22.12.25: Essity kjøper tilbake 73 113 B-aksjer</t>
  </si>
  <si>
    <t>15.12.25: Essity kjøper tilbake 156 888 B-askjer</t>
  </si>
  <si>
    <t>12.12.25: Ilham Smaali blir ny chief supply chain officer</t>
  </si>
  <si>
    <t>08.12.25: Essity kjøper tilbake 190 572 B-aksjer</t>
  </si>
  <si>
    <t>12.11.25: Essity kjøper Edgewells feminine produkt business i Nord-amerka, inkludert merkene Carefree, Stayfree og Playtex</t>
  </si>
  <si>
    <t>19.09.25: Donato Giorgio chief supply chain forlater Essity</t>
  </si>
  <si>
    <t>14.08.25: Anand Chandarana blir ny sheriff for Unit Health &amp; Medical</t>
  </si>
  <si>
    <t>CFO: Fredrik Rystedt, ble CFO i 2017</t>
  </si>
  <si>
    <t>Health &amp; medical: Anand Chandarana, ble sheriff i 2025</t>
  </si>
  <si>
    <t>Professional Hygiene: Pablo Fuentes, ble sheriff 2023</t>
  </si>
  <si>
    <t>09.02.26: Essity kjøper tilbake 69 537 B-aksjer</t>
  </si>
  <si>
    <t>02.02.26: Essity kjøper tilbake 170 916 B-aksjer</t>
  </si>
  <si>
    <t>16.02.26: Essity kjøper tilbake 65 565 B-akjer</t>
  </si>
  <si>
    <t>23.02.26: Essity kjøper tilbake 63 292 B-aksjer</t>
  </si>
  <si>
    <t>09.03.26: Essity kjøper tilbake 241 501 B-aksjer</t>
  </si>
  <si>
    <t>16.03.26: Essity kjøper tilbake 251 239 B-aksjer</t>
  </si>
  <si>
    <t>02.03.26: Essity kjøper tilbake 212 306 B-aksjer</t>
  </si>
  <si>
    <t>22.04.26: Essity starter nytt tilbakekjøpsprogram verdt 3 SEKb. Programmet starter 11.mai 2026 og holder på frem til Generalforsamling 2027</t>
  </si>
  <si>
    <t>Personal care</t>
  </si>
  <si>
    <t>Consumer Tissue</t>
  </si>
  <si>
    <t>Personal Care</t>
  </si>
  <si>
    <t>CEO: Ulrika Kolsrud, ble CEO i 2025</t>
  </si>
  <si>
    <t>Reserves</t>
  </si>
  <si>
    <t>Tilbakekjøpsprogram</t>
  </si>
  <si>
    <t>Dato kjøp</t>
  </si>
  <si>
    <t>Antall aksjer</t>
  </si>
  <si>
    <t>Akummelert antall aksjer</t>
  </si>
  <si>
    <t xml:space="preserve">Kjøp </t>
  </si>
  <si>
    <t xml:space="preserve">Akkumelert kjøp </t>
  </si>
  <si>
    <t>17.06.2024</t>
  </si>
  <si>
    <t>23.03.26: Essity kjøper tilbake 406 220 B-aksjer og fullfører med det tilbakekjøpsprogrammet på 3SEKb</t>
  </si>
  <si>
    <t>11.08.25: Essity kjøper tilbake 380 063 B-aksjer</t>
  </si>
  <si>
    <t>04.08.25: Essity kjøper tilbake 365 756 B-aksjer</t>
  </si>
  <si>
    <t>28.07.25: Essity kjøper tilbake 375 672 B-aksjer</t>
  </si>
  <si>
    <t>21.07.25: Essity kjøper tilbake 362 255 B-aksjer</t>
  </si>
  <si>
    <t>14.07.25: Essity kjøper tilbake 345 581 B-aksjer</t>
  </si>
  <si>
    <t>07.07.25: Essity kjøper tilbake313 752 B-aksjer</t>
  </si>
  <si>
    <t>30.06.25: Essity kjøper tilbaek 352 192 B-aksjer</t>
  </si>
  <si>
    <t>23.06.25: Essity kjøper tilbake 279 202 B-aksjer</t>
  </si>
  <si>
    <t>17.06.24: Essity starter tilbakekjøp av aksjer på 3 mrd SEK</t>
  </si>
  <si>
    <t>23.04.25: Essity starter tilbakekjøp av aksjer på 3 mrd SEK</t>
  </si>
  <si>
    <t>09.05.25: Ulrika Kolrud blir ny CEO</t>
  </si>
  <si>
    <t>02.12.25: From 2026 Essity vil rapportere fra: Health and medical, Peronal care, Consumer tissue and professional hygiene</t>
  </si>
  <si>
    <t>18.05.26: Essity kjøper tilbake 198 501 B-aksjer</t>
  </si>
  <si>
    <t>20.05.26: Største eier kjøper 600 000 B-aksjer</t>
  </si>
  <si>
    <t>25.05.26: Essity kjøper tilbake 324 469 B-aksjer</t>
  </si>
  <si>
    <t>01.06.26: Essity kjøper tilbake 311 814 B-aksjer</t>
  </si>
  <si>
    <t>06.05.26: Essity initierer strategisk review av consumer tissue business area. Review er antatt å ta 6-12 månender</t>
  </si>
  <si>
    <t>08.06.26: Essity kjøper tilbake 319 589 B-aksjer</t>
  </si>
  <si>
    <t>15.06.26: Essity kjøper tilbake 307 819 B-aksjer</t>
  </si>
  <si>
    <t>22.06.26: Essity kjøper tilbake 243 164 B-aksjer</t>
  </si>
  <si>
    <t>29.06.26: Essity kjøper tilbake 294 782 B-aksjer</t>
  </si>
  <si>
    <t>06.07.26: Essity kjøper tilbake 290 631 B-aksjer</t>
  </si>
  <si>
    <t>EBITDA 26E</t>
  </si>
  <si>
    <t>13.07.26: Essity kjøper tilbake 286 149 B-aksjer</t>
  </si>
  <si>
    <t>Gearing</t>
  </si>
  <si>
    <t>20.07.26: Essity kjøper tilbake 286 026 B-aksjer</t>
  </si>
  <si>
    <t>27.07.26: Essity kjøper tilbake 280 871 B-aksjer</t>
  </si>
  <si>
    <t>03.08.26: Essity kjøper tilbake 280 884 B-aksjer</t>
  </si>
  <si>
    <t>10.08.26: Essity kjøper tilbake 277 688 B-aksjer</t>
  </si>
  <si>
    <t>17.08.26: Essity kjøper tilbake 275 953 B-aksjer</t>
  </si>
  <si>
    <t>24.08.26: Essity kjøper tilbake 282 790 B-aksjer</t>
  </si>
  <si>
    <t>31.08.26: Essity kjøper tilbake 267 157 B-aksjer</t>
  </si>
  <si>
    <t>07.09.26: Essity kjøper tilbake 273 715 B-aksjer</t>
  </si>
  <si>
    <t>14.09.26: Essity kjøper tilbake 362 503 B-aksjer</t>
  </si>
  <si>
    <t>21.09.26: Essity sin CFO planlegger å gi seg i rollen ila 2027</t>
  </si>
  <si>
    <t>21.09.26: Essity kjøper tilbake 397 967 B-aksjer</t>
  </si>
  <si>
    <t>28.09.26: Essity kjøper tilbake 402 677 B-aksjer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</si>
</sst>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0.0"/>
    <numFmt numFmtId="165" formatCode="#,##0.0"/>
    <numFmt numFmtId="166" formatCode="#,##0.0000"/>
    <numFmt numFmtId="167" formatCode="0.0\ %"/>
  </numFmts>
  <fonts count="1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2" fontId="2" fillId="0" borderId="1" xfId="0" applyNumberFormat="1" applyFont="1" applyBorder="1"/>
    <xf numFmtId="3" fontId="1" fillId="0" borderId="0" xfId="0" applyNumberFormat="1" applyFont="1"/>
    <xf numFmtId="3" fontId="2" fillId="0" borderId="0" xfId="0" applyNumberFormat="1" applyFont="1"/>
    <xf numFmtId="3" fontId="1" fillId="0" borderId="1" xfId="0" applyNumberFormat="1" applyFont="1" applyBorder="1"/>
    <xf numFmtId="3" fontId="2" fillId="0" borderId="1" xfId="0" applyNumberFormat="1" applyFont="1" applyBorder="1"/>
    <xf numFmtId="2" fontId="2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4" fillId="0" borderId="0" xfId="0" applyNumberFormat="1" applyFont="1"/>
    <xf numFmtId="165" fontId="2" fillId="0" borderId="1" xfId="0" applyNumberFormat="1" applyFont="1" applyBorder="1"/>
    <xf numFmtId="0" fontId="8" fillId="0" borderId="0" xfId="0" applyFont="1" applyAlignment="1">
      <alignment horizontal="right"/>
    </xf>
    <xf numFmtId="10" fontId="4" fillId="0" borderId="0" xfId="0" applyNumberFormat="1" applyFont="1"/>
    <xf numFmtId="10" fontId="4" fillId="0" borderId="2" xfId="0" applyNumberFormat="1" applyFont="1" applyBorder="1"/>
    <xf numFmtId="0" fontId="1" fillId="0" borderId="4" xfId="0" applyFont="1" applyBorder="1"/>
    <xf numFmtId="10" fontId="3" fillId="0" borderId="4" xfId="0" applyNumberFormat="1" applyFont="1" applyBorder="1"/>
    <xf numFmtId="0" fontId="9" fillId="0" borderId="4" xfId="0" applyFont="1" applyBorder="1" applyAlignment="1">
      <alignment horizontal="right"/>
    </xf>
    <xf numFmtId="10" fontId="1" fillId="0" borderId="3" xfId="0" applyNumberFormat="1" applyFont="1" applyBorder="1"/>
    <xf numFmtId="3" fontId="1" fillId="0" borderId="4" xfId="0" applyNumberFormat="1" applyFont="1" applyBorder="1"/>
    <xf numFmtId="165" fontId="3" fillId="0" borderId="1" xfId="0" applyNumberFormat="1" applyFont="1" applyBorder="1"/>
    <xf numFmtId="0" fontId="2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0" fillId="2" borderId="5" xfId="0" applyFont="1" applyFill="1" applyBorder="1"/>
    <xf numFmtId="3" fontId="10" fillId="0" borderId="5" xfId="0" applyNumberFormat="1" applyFont="1" applyBorder="1"/>
    <xf numFmtId="1" fontId="10" fillId="0" borderId="5" xfId="0" applyNumberFormat="1" applyFont="1" applyBorder="1"/>
    <xf numFmtId="0" fontId="5" fillId="0" borderId="5" xfId="0" applyFont="1" applyBorder="1"/>
    <xf numFmtId="0" fontId="6" fillId="0" borderId="5" xfId="0" applyFont="1" applyBorder="1"/>
    <xf numFmtId="1" fontId="11" fillId="0" borderId="5" xfId="0" applyNumberFormat="1" applyFont="1" applyBorder="1"/>
    <xf numFmtId="10" fontId="2" fillId="0" borderId="1" xfId="0" applyNumberFormat="1" applyFont="1" applyBorder="1"/>
    <xf numFmtId="0" fontId="2" fillId="0" borderId="6" xfId="0" applyFont="1" applyBorder="1"/>
    <xf numFmtId="9" fontId="2" fillId="0" borderId="0" xfId="0" applyNumberFormat="1" applyFont="1"/>
    <xf numFmtId="8" fontId="2" fillId="0" borderId="6" xfId="0" applyNumberFormat="1" applyFont="1" applyBorder="1"/>
    <xf numFmtId="10" fontId="1" fillId="0" borderId="1" xfId="0" applyNumberFormat="1" applyFont="1" applyBorder="1"/>
    <xf numFmtId="164" fontId="1" fillId="0" borderId="0" xfId="0" applyNumberFormat="1" applyFont="1"/>
    <xf numFmtId="164" fontId="6" fillId="0" borderId="5" xfId="0" applyNumberFormat="1" applyFont="1" applyBorder="1"/>
    <xf numFmtId="0" fontId="2" fillId="3" borderId="5" xfId="0" applyFont="1" applyFill="1" applyBorder="1"/>
    <xf numFmtId="166" fontId="2" fillId="0" borderId="0" xfId="0" applyNumberFormat="1" applyFont="1"/>
    <xf numFmtId="10" fontId="12" fillId="0" borderId="0" xfId="0" applyNumberFormat="1" applyFont="1"/>
    <xf numFmtId="10" fontId="12" fillId="0" borderId="2" xfId="0" applyNumberFormat="1" applyFont="1" applyBorder="1"/>
    <xf numFmtId="0" fontId="2" fillId="0" borderId="7" xfId="0" applyFont="1" applyBorder="1"/>
    <xf numFmtId="0" fontId="2" fillId="0" borderId="4" xfId="0" applyFont="1" applyBorder="1"/>
    <xf numFmtId="10" fontId="4" fillId="0" borderId="4" xfId="0" applyNumberFormat="1" applyFont="1" applyBorder="1"/>
    <xf numFmtId="10" fontId="4" fillId="0" borderId="3" xfId="0" applyNumberFormat="1" applyFont="1" applyBorder="1"/>
    <xf numFmtId="3" fontId="2" fillId="0" borderId="4" xfId="0" applyNumberFormat="1" applyFont="1" applyBorder="1"/>
    <xf numFmtId="3" fontId="8" fillId="0" borderId="0" xfId="0" applyNumberFormat="1" applyFont="1"/>
    <xf numFmtId="0" fontId="13" fillId="0" borderId="0" xfId="0" applyFont="1"/>
    <xf numFmtId="0" fontId="14" fillId="0" borderId="0" xfId="0" applyFont="1"/>
    <xf numFmtId="14" fontId="14" fillId="0" borderId="0" xfId="0" applyNumberFormat="1" applyFont="1"/>
    <xf numFmtId="3" fontId="14" fillId="0" borderId="0" xfId="0" applyNumberFormat="1" applyFont="1"/>
    <xf numFmtId="10" fontId="1" fillId="0" borderId="4" xfId="0" applyNumberFormat="1" applyFont="1" applyBorder="1"/>
    <xf numFmtId="14" fontId="14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3" fillId="2" borderId="0" xfId="0" applyFont="1" applyFill="1"/>
    <xf numFmtId="14" fontId="14" fillId="0" borderId="6" xfId="0" applyNumberFormat="1" applyFont="1" applyBorder="1" applyAlignment="1">
      <alignment horizontal="left"/>
    </xf>
    <xf numFmtId="3" fontId="14" fillId="0" borderId="6" xfId="0" applyNumberFormat="1" applyFont="1" applyBorder="1"/>
    <xf numFmtId="0" fontId="11" fillId="0" borderId="0" xfId="0" applyFont="1"/>
    <xf numFmtId="3" fontId="11" fillId="0" borderId="0" xfId="0" applyNumberFormat="1" applyFont="1"/>
    <xf numFmtId="164" fontId="2" fillId="0" borderId="1" xfId="0" applyNumberFormat="1" applyFont="1" applyBorder="1"/>
    <xf numFmtId="167" fontId="2" fillId="0" borderId="1" xfId="0" applyNumberFormat="1" applyFont="1" applyBorder="1"/>
    <xf numFmtId="167" fontId="1" fillId="0" borderId="0" xfId="0" applyNumberFormat="1" applyFont="1"/>
    <xf numFmtId="167" fontId="2" fillId="0" borderId="0" xfId="0" applyNumberFormat="1" applyFont="1"/>
    <xf numFmtId="167" fontId="1" fillId="0" borderId="1" xfId="0" applyNumberFormat="1" applyFont="1" applyBorder="1"/>
    <xf numFmtId="167" fontId="2" fillId="0" borderId="6" xfId="0" applyNumberFormat="1" applyFont="1" applyBorder="1"/>
    <xf numFmtId="165" fontId="2" fillId="0" borderId="6" xfId="0" applyNumberFormat="1" applyFont="1" applyBorder="1"/>
    <xf numFmtId="0" fontId="14" fillId="0" borderId="0" xfId="0" applyFont="1" applyAlignment="1">
      <alignment horizontal="right"/>
    </xf>
    <xf numFmtId="0" fontId="13" fillId="2" borderId="0" xfId="0" applyFont="1" applyFill="1" applyAlignment="1">
      <alignment horizontal="right"/>
    </xf>
    <xf numFmtId="3" fontId="1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ESSITY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nb-NO" sz="14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SOTP ESSITY</a:t>
          </a:r>
        </a:p>
      </cx:txPr>
    </cx:title>
    <cx:plotArea>
      <cx:plotAreaRegion>
        <cx:series layoutId="waterfall" uniqueId="{1C829D83-050A-2348-960F-3CBEB9D87759}">
          <cx:dataPt idx="5"/>
          <cx:dataPt idx="7">
            <cx:spPr>
              <a:solidFill>
                <a:srgbClr val="FF0000"/>
              </a:solidFill>
            </cx:spPr>
          </cx:dataPt>
          <cx:dataPt idx="10"/>
          <cx:dataLabels pos="outEnd">
            <cx:visibility seriesName="0" categoryName="0" value="1"/>
          </cx:dataLabels>
          <cx:dataId val="0"/>
          <cx:layoutPr>
            <cx:subtotals>
              <cx:idx val="5"/>
              <cx:idx val="10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/>
            </a:pPr>
            <a:endParaRPr lang="nb-NO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SEK/Aksje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 b="1"/>
              </a:pPr>
              <a:r>
                <a:rPr lang="nb-NO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SEK/Aksje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381000</xdr:colOff>
      <xdr:row>14</xdr:row>
      <xdr:rowOff>232019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AD7BDFE-F065-74B5-29D2-01557B72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83000" cy="5431762"/>
        </a:xfrm>
        <a:prstGeom prst="rect">
          <a:avLst/>
        </a:prstGeom>
      </xdr:spPr>
    </xdr:pic>
    <xdr:clientData/>
  </xdr:twoCellAnchor>
  <xdr:twoCellAnchor editAs="oneCell">
    <xdr:from>
      <xdr:col>4</xdr:col>
      <xdr:colOff>368300</xdr:colOff>
      <xdr:row>0</xdr:row>
      <xdr:rowOff>0</xdr:rowOff>
    </xdr:from>
    <xdr:to>
      <xdr:col>15</xdr:col>
      <xdr:colOff>41088</xdr:colOff>
      <xdr:row>10</xdr:row>
      <xdr:rowOff>125186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B7A89301-0C2E-4D82-D976-C114C3316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0300" y="0"/>
          <a:ext cx="9362888" cy="3835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115006</xdr:colOff>
      <xdr:row>18</xdr:row>
      <xdr:rowOff>83961</xdr:rowOff>
    </xdr:from>
    <xdr:to>
      <xdr:col>7</xdr:col>
      <xdr:colOff>146756</xdr:colOff>
      <xdr:row>43</xdr:row>
      <xdr:rowOff>26810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 2">
              <a:extLst>
                <a:ext uri="{FF2B5EF4-FFF2-40B4-BE49-F238E27FC236}">
                  <a16:creationId xmlns:a16="http://schemas.microsoft.com/office/drawing/2014/main" id="{9A1A6686-34F7-6891-CC08-676D4B877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506" y="5583061"/>
              <a:ext cx="8464550" cy="597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91CEA3F7-963F-5B4D-986D-9BB90025F39F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76" dT="2026-01-26T19:51:14.01" personId="{91CEA3F7-963F-5B4D-986D-9BB90025F39F}" id="{1301B477-C5DA-B746-BCE6-F26A31ED90CD}">
    <text>Divestment of group comp 17 980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8E8E15-D65B-E14D-9ECB-A448E49E1402}">
  <we:reference id="wa200009404" version="1.0.0.8" store="nb-NO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5af8dc29-80cb-4ec7-9604-f0bbea2cc6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AF92"/>
  <sheetViews>
    <sheetView showGridLines="0" tabSelected="1" topLeftCell="I1" zoomScale="65" zoomScaleNormal="65" workbookViewId="0">
      <selection activeCell="W25" sqref="W25"/>
    </sheetView>
  </sheetViews>
  <sheetFormatPr baseColWidth="10" defaultRowHeight="29" x14ac:dyDescent="0.35"/>
  <cols>
    <col min="1" max="6" width="10.83203125" style="55"/>
    <col min="7" max="7" width="18.83203125" style="55" customWidth="1"/>
    <col min="8" max="17" width="10.83203125" style="55"/>
    <col min="18" max="18" width="33.5" style="55" customWidth="1"/>
    <col min="19" max="19" width="29.6640625" style="59" customWidth="1"/>
    <col min="20" max="20" width="28.1640625" style="75" customWidth="1"/>
    <col min="21" max="21" width="40.6640625" style="57" customWidth="1"/>
    <col min="22" max="22" width="47.83203125" style="57" customWidth="1"/>
    <col min="23" max="23" width="27.33203125" style="57" customWidth="1"/>
    <col min="24" max="24" width="28" style="57" customWidth="1"/>
    <col min="25" max="25" width="34.33203125" style="55" bestFit="1" customWidth="1"/>
    <col min="26" max="26" width="20.83203125" style="55" bestFit="1" customWidth="1"/>
    <col min="27" max="27" width="41.1640625" style="55" bestFit="1" customWidth="1"/>
    <col min="28" max="28" width="19.83203125" style="55" bestFit="1" customWidth="1"/>
    <col min="29" max="29" width="28.1640625" style="55" bestFit="1" customWidth="1"/>
    <col min="30" max="31" width="10.83203125" style="55"/>
    <col min="32" max="32" width="22.6640625" style="55" bestFit="1" customWidth="1"/>
    <col min="33" max="16384" width="10.83203125" style="55"/>
  </cols>
  <sheetData>
    <row r="1" spans="1:29" x14ac:dyDescent="0.35">
      <c r="S1" s="55"/>
      <c r="T1" s="73"/>
      <c r="U1" s="55"/>
      <c r="V1" s="55"/>
      <c r="W1" s="55"/>
      <c r="X1" s="55"/>
    </row>
    <row r="2" spans="1:29" x14ac:dyDescent="0.35">
      <c r="S2" s="55"/>
      <c r="T2" s="73"/>
      <c r="U2" s="55"/>
      <c r="V2" s="55"/>
      <c r="W2" s="55"/>
      <c r="X2" s="55"/>
    </row>
    <row r="3" spans="1:29" x14ac:dyDescent="0.35">
      <c r="S3" s="54" t="s">
        <v>185</v>
      </c>
      <c r="T3" s="73"/>
      <c r="U3" s="55"/>
      <c r="V3" s="55"/>
      <c r="W3" s="55"/>
      <c r="X3" s="55"/>
      <c r="Y3" s="54" t="s">
        <v>185</v>
      </c>
    </row>
    <row r="4" spans="1:29" x14ac:dyDescent="0.35">
      <c r="S4" s="61" t="s">
        <v>186</v>
      </c>
      <c r="T4" s="74" t="s">
        <v>187</v>
      </c>
      <c r="U4" s="61" t="s">
        <v>188</v>
      </c>
      <c r="V4" s="61" t="s">
        <v>189</v>
      </c>
      <c r="W4" s="61" t="s">
        <v>190</v>
      </c>
      <c r="X4" s="55"/>
      <c r="Y4" s="61" t="s">
        <v>186</v>
      </c>
      <c r="Z4" s="61" t="s">
        <v>187</v>
      </c>
      <c r="AA4" s="61" t="s">
        <v>188</v>
      </c>
      <c r="AB4" s="61" t="s">
        <v>189</v>
      </c>
      <c r="AC4" s="61" t="s">
        <v>190</v>
      </c>
    </row>
    <row r="5" spans="1:29" x14ac:dyDescent="0.35">
      <c r="A5" s="54"/>
      <c r="G5" s="54"/>
      <c r="S5" s="60">
        <v>46160</v>
      </c>
      <c r="T5" s="75">
        <v>198501</v>
      </c>
      <c r="U5" s="57">
        <f>T5</f>
        <v>198501</v>
      </c>
      <c r="V5" s="57">
        <v>49255563</v>
      </c>
      <c r="W5" s="57">
        <f>V5</f>
        <v>49255563</v>
      </c>
      <c r="X5" s="55"/>
      <c r="Y5" s="60" t="s">
        <v>191</v>
      </c>
      <c r="Z5" s="57">
        <v>216000</v>
      </c>
      <c r="AA5" s="57">
        <v>216000</v>
      </c>
      <c r="AB5" s="57">
        <v>59463893</v>
      </c>
      <c r="AC5" s="57">
        <v>59463893</v>
      </c>
    </row>
    <row r="6" spans="1:29" x14ac:dyDescent="0.35">
      <c r="A6" s="54"/>
      <c r="S6" s="59">
        <v>46167</v>
      </c>
      <c r="T6" s="75">
        <v>324469</v>
      </c>
      <c r="U6" s="57">
        <f>SUM(T5:T6)</f>
        <v>522970</v>
      </c>
      <c r="V6" s="57">
        <v>82497532</v>
      </c>
      <c r="W6" s="57">
        <f>SUM(V5:V6)</f>
        <v>131753095</v>
      </c>
      <c r="X6" s="55"/>
      <c r="Y6" s="59">
        <v>45474</v>
      </c>
      <c r="Z6" s="57">
        <v>270000</v>
      </c>
      <c r="AA6" s="57">
        <f>SUM(Z5:Z6)</f>
        <v>486000</v>
      </c>
      <c r="AB6" s="57">
        <v>74186113</v>
      </c>
      <c r="AC6" s="57">
        <f>SUM(AB5:AB6)</f>
        <v>133650006</v>
      </c>
    </row>
    <row r="7" spans="1:29" x14ac:dyDescent="0.35">
      <c r="A7" s="54"/>
      <c r="S7" s="59">
        <v>46174</v>
      </c>
      <c r="T7" s="75">
        <v>311814</v>
      </c>
      <c r="U7" s="57">
        <f>SUM(T5:T7)</f>
        <v>834784</v>
      </c>
      <c r="V7" s="57">
        <v>81517876</v>
      </c>
      <c r="W7" s="57">
        <f>SUM(V5:V7)</f>
        <v>213270971</v>
      </c>
      <c r="X7" s="55"/>
      <c r="Y7" s="59">
        <v>45481</v>
      </c>
      <c r="Z7" s="57">
        <v>270000</v>
      </c>
      <c r="AA7" s="57">
        <f>SUM(Z5:Z7)</f>
        <v>756000</v>
      </c>
      <c r="AB7" s="57">
        <v>74019641</v>
      </c>
      <c r="AC7" s="57">
        <f>SUM(AB5:AB7)</f>
        <v>207669647</v>
      </c>
    </row>
    <row r="8" spans="1:29" x14ac:dyDescent="0.35">
      <c r="A8" s="54"/>
      <c r="S8" s="59">
        <v>46181</v>
      </c>
      <c r="T8" s="75">
        <v>319589</v>
      </c>
      <c r="U8" s="57">
        <f>SUM(T5:T8)</f>
        <v>1154373</v>
      </c>
      <c r="V8" s="57">
        <v>81966522</v>
      </c>
      <c r="W8" s="57">
        <f>SUM(V5:V8)</f>
        <v>295237493</v>
      </c>
      <c r="X8" s="55"/>
      <c r="Y8" s="59">
        <v>45488</v>
      </c>
      <c r="Z8" s="57">
        <v>270000</v>
      </c>
      <c r="AA8" s="57">
        <f>SUM(Z5:Z8)</f>
        <v>1026000</v>
      </c>
      <c r="AB8" s="57">
        <v>75127338</v>
      </c>
      <c r="AC8" s="57">
        <f>SUM(AB5:AB8)</f>
        <v>282796985</v>
      </c>
    </row>
    <row r="9" spans="1:29" x14ac:dyDescent="0.35">
      <c r="S9" s="59">
        <v>46188</v>
      </c>
      <c r="T9" s="75">
        <v>307819</v>
      </c>
      <c r="U9" s="57">
        <f>SUM(T$5:T9)</f>
        <v>1462192</v>
      </c>
      <c r="V9" s="57">
        <v>80348681</v>
      </c>
      <c r="W9" s="57">
        <f>SUM(V$5:V9)</f>
        <v>375586174</v>
      </c>
      <c r="Y9" s="59">
        <v>45495</v>
      </c>
      <c r="Z9" s="57">
        <v>270000</v>
      </c>
      <c r="AA9" s="57">
        <f>SUM(Z$5:Z9)</f>
        <v>1296000</v>
      </c>
      <c r="AB9" s="57">
        <v>77475047</v>
      </c>
      <c r="AC9" s="57">
        <f>SUM(AB$5:AB9)</f>
        <v>360272032</v>
      </c>
    </row>
    <row r="10" spans="1:29" x14ac:dyDescent="0.35">
      <c r="S10" s="59">
        <v>46195</v>
      </c>
      <c r="T10" s="75">
        <v>243164</v>
      </c>
      <c r="U10" s="57">
        <f>SUM(T$5:T10)</f>
        <v>1705356</v>
      </c>
      <c r="V10" s="57">
        <v>64724062</v>
      </c>
      <c r="W10" s="57">
        <f>SUM(V$5:V10)</f>
        <v>440310236</v>
      </c>
      <c r="X10" s="55"/>
      <c r="Y10" s="59">
        <v>45502</v>
      </c>
      <c r="Z10" s="57">
        <v>270000</v>
      </c>
      <c r="AA10" s="57">
        <f>SUM(Z$5:Z10)</f>
        <v>1566000</v>
      </c>
      <c r="AB10" s="57">
        <v>82200820</v>
      </c>
      <c r="AC10" s="57">
        <f>SUM(AB$5:AB10)</f>
        <v>442472852</v>
      </c>
    </row>
    <row r="11" spans="1:29" x14ac:dyDescent="0.35">
      <c r="S11" s="59">
        <v>46202</v>
      </c>
      <c r="T11" s="75">
        <v>294782</v>
      </c>
      <c r="U11" s="57">
        <f>SUM(T5:T11)</f>
        <v>2000138</v>
      </c>
      <c r="V11" s="57">
        <v>80607860</v>
      </c>
      <c r="W11" s="57">
        <f>SUM(V5:V11)</f>
        <v>520918096</v>
      </c>
      <c r="X11" s="55"/>
      <c r="Y11" s="59">
        <v>45509</v>
      </c>
      <c r="Z11" s="57">
        <v>270000</v>
      </c>
      <c r="AA11" s="57">
        <f>SUM(Z$5:Z11)</f>
        <v>1836000</v>
      </c>
      <c r="AB11" s="57">
        <v>81870529</v>
      </c>
      <c r="AC11" s="57">
        <f>SUM(AB$5:AB11)</f>
        <v>524343381</v>
      </c>
    </row>
    <row r="12" spans="1:29" x14ac:dyDescent="0.35">
      <c r="R12" s="56"/>
      <c r="S12" s="59">
        <v>46209</v>
      </c>
      <c r="T12" s="75">
        <v>290631</v>
      </c>
      <c r="U12" s="57">
        <f>SUM(T5:T12)</f>
        <v>2290769</v>
      </c>
      <c r="V12" s="57">
        <v>80079360</v>
      </c>
      <c r="W12" s="57">
        <f>SUM(V5:V12)</f>
        <v>600997456</v>
      </c>
      <c r="X12" s="55"/>
      <c r="Y12" s="59">
        <v>45516</v>
      </c>
      <c r="Z12" s="57">
        <v>270000</v>
      </c>
      <c r="AA12" s="57">
        <f>SUM(Z$5:Z12)</f>
        <v>2106000</v>
      </c>
      <c r="AB12" s="57">
        <v>81082015</v>
      </c>
      <c r="AC12" s="57">
        <f>SUM(AB$5:AB12)</f>
        <v>605425396</v>
      </c>
    </row>
    <row r="13" spans="1:29" x14ac:dyDescent="0.35">
      <c r="R13" s="56"/>
      <c r="S13" s="59">
        <v>46216</v>
      </c>
      <c r="T13" s="75">
        <v>286149</v>
      </c>
      <c r="U13" s="57">
        <f>SUM(T5:T13)</f>
        <v>2576918</v>
      </c>
      <c r="V13" s="57">
        <v>79530196</v>
      </c>
      <c r="W13" s="57">
        <f>SUM(V5:V13)</f>
        <v>680527652</v>
      </c>
      <c r="X13" s="55"/>
      <c r="Y13" s="59">
        <v>45523</v>
      </c>
      <c r="Z13" s="57">
        <v>270000</v>
      </c>
      <c r="AA13" s="57">
        <f>SUM(Z$5:Z13)</f>
        <v>2376000</v>
      </c>
      <c r="AB13" s="57">
        <v>80157875</v>
      </c>
      <c r="AC13" s="57">
        <f>SUM(AB$5:AB13)</f>
        <v>685583271</v>
      </c>
    </row>
    <row r="14" spans="1:29" x14ac:dyDescent="0.35">
      <c r="S14" s="59">
        <v>46223</v>
      </c>
      <c r="T14" s="75">
        <v>286026</v>
      </c>
      <c r="U14" s="57">
        <f>SUM(T5:T14)</f>
        <v>2862944</v>
      </c>
      <c r="V14" s="57">
        <v>79506289</v>
      </c>
      <c r="W14" s="57">
        <f>SUM(V5:V14)</f>
        <v>760033941</v>
      </c>
      <c r="Y14" s="59">
        <v>45530</v>
      </c>
      <c r="Z14" s="57">
        <v>270000</v>
      </c>
      <c r="AA14" s="57">
        <f>SUM(Z$5:Z14)</f>
        <v>2646000</v>
      </c>
      <c r="AB14" s="57">
        <v>80749121</v>
      </c>
      <c r="AC14" s="57">
        <f>SUM(AB$5:AB14)</f>
        <v>766332392</v>
      </c>
    </row>
    <row r="15" spans="1:29" x14ac:dyDescent="0.35">
      <c r="S15" s="59">
        <v>46230</v>
      </c>
      <c r="T15" s="75">
        <v>280871</v>
      </c>
      <c r="U15" s="57">
        <f>SUM(T5:T15)</f>
        <v>3143815</v>
      </c>
      <c r="V15" s="57">
        <v>78055194</v>
      </c>
      <c r="W15" s="57">
        <f>SUM(V5:V15)</f>
        <v>838089135</v>
      </c>
      <c r="Y15" s="59">
        <v>45537</v>
      </c>
      <c r="Z15" s="57">
        <v>270000</v>
      </c>
      <c r="AA15" s="57">
        <f>SUM(Z$5:Z15)</f>
        <v>2916000</v>
      </c>
      <c r="AB15" s="57">
        <v>82629245</v>
      </c>
      <c r="AC15" s="57">
        <f>SUM(AB$5:AB15)</f>
        <v>848961637</v>
      </c>
    </row>
    <row r="16" spans="1:29" x14ac:dyDescent="0.35">
      <c r="S16" s="59">
        <v>46237</v>
      </c>
      <c r="T16" s="75">
        <v>280884</v>
      </c>
      <c r="U16" s="57">
        <f>SUM(T5:T16)</f>
        <v>3424699</v>
      </c>
      <c r="V16" s="57">
        <v>78399793</v>
      </c>
      <c r="W16" s="57">
        <f>SUM(V5:V16)</f>
        <v>916488928</v>
      </c>
      <c r="Y16" s="59">
        <v>45544</v>
      </c>
      <c r="Z16" s="57">
        <v>270000</v>
      </c>
      <c r="AA16" s="57">
        <f>SUM(Z$5:Z16)</f>
        <v>3186000</v>
      </c>
      <c r="AB16" s="57">
        <v>84947821</v>
      </c>
      <c r="AC16" s="57">
        <f>SUM(AB$5:AB16)</f>
        <v>933909458</v>
      </c>
    </row>
    <row r="17" spans="1:29" x14ac:dyDescent="0.35">
      <c r="A17" s="55" t="s">
        <v>183</v>
      </c>
      <c r="S17" s="59">
        <v>46244</v>
      </c>
      <c r="T17" s="75">
        <v>277688</v>
      </c>
      <c r="U17" s="57">
        <f>SUM(T5:T17)</f>
        <v>3702387</v>
      </c>
      <c r="V17" s="57">
        <v>77757836</v>
      </c>
      <c r="W17" s="57">
        <f>SUM(V5:V17)</f>
        <v>994246764</v>
      </c>
      <c r="X17" s="55"/>
      <c r="Y17" s="59">
        <v>45551</v>
      </c>
      <c r="Z17" s="57">
        <v>270000</v>
      </c>
      <c r="AA17" s="57">
        <f>SUM(Z$5:Z17)</f>
        <v>3456000</v>
      </c>
      <c r="AB17" s="57">
        <v>86611468</v>
      </c>
      <c r="AC17" s="57">
        <f>SUM(AB$5:AB17)</f>
        <v>1020520926</v>
      </c>
    </row>
    <row r="18" spans="1:29" x14ac:dyDescent="0.35">
      <c r="A18" s="55" t="s">
        <v>169</v>
      </c>
      <c r="S18" s="59">
        <v>46251</v>
      </c>
      <c r="T18" s="75">
        <v>275953</v>
      </c>
      <c r="U18" s="57">
        <f>SUM(T5:T18)</f>
        <v>3978340</v>
      </c>
      <c r="V18" s="57">
        <v>76765020</v>
      </c>
      <c r="W18" s="57">
        <f>SUM(V5:V18)</f>
        <v>1071011784</v>
      </c>
      <c r="X18" s="55"/>
      <c r="Y18" s="59">
        <v>45558</v>
      </c>
      <c r="Z18" s="57">
        <v>270000</v>
      </c>
      <c r="AA18" s="57">
        <f>SUM(Z$5:Z18)</f>
        <v>3726000</v>
      </c>
      <c r="AB18" s="57">
        <v>86119643</v>
      </c>
      <c r="AC18" s="57">
        <f>SUM(AB$5:AB18)</f>
        <v>1106640569</v>
      </c>
    </row>
    <row r="19" spans="1:29" x14ac:dyDescent="0.35">
      <c r="A19" s="55" t="s">
        <v>170</v>
      </c>
      <c r="S19" s="59">
        <v>46258</v>
      </c>
      <c r="T19" s="75">
        <v>282790</v>
      </c>
      <c r="U19" s="57">
        <f>SUM(T5:T19)</f>
        <v>4261130</v>
      </c>
      <c r="V19" s="57">
        <v>76750144</v>
      </c>
      <c r="W19" s="57">
        <f>SUM(V5:V19)</f>
        <v>1147761928</v>
      </c>
      <c r="X19" s="55"/>
      <c r="Y19" s="59">
        <v>45565</v>
      </c>
      <c r="Z19" s="57">
        <v>270000</v>
      </c>
      <c r="AA19" s="57">
        <f>SUM(Z$5:Z19)</f>
        <v>3996000</v>
      </c>
      <c r="AB19" s="57">
        <v>84493061</v>
      </c>
      <c r="AC19" s="57">
        <f>SUM(AB$5:AB19)</f>
        <v>1191133630</v>
      </c>
    </row>
    <row r="20" spans="1:29" x14ac:dyDescent="0.35">
      <c r="S20" s="59">
        <v>46265</v>
      </c>
      <c r="T20" s="75">
        <v>267157</v>
      </c>
      <c r="U20" s="57">
        <f>SUM(T5:T20)</f>
        <v>4528287</v>
      </c>
      <c r="V20" s="57">
        <v>74940755</v>
      </c>
      <c r="W20" s="57">
        <f>SUM(V5:V20)</f>
        <v>1222702683</v>
      </c>
      <c r="X20" s="55"/>
      <c r="Y20" s="59">
        <v>45572</v>
      </c>
      <c r="Z20" s="57">
        <v>270000</v>
      </c>
      <c r="AA20" s="57">
        <f>SUM(Z$5:Z20)</f>
        <v>4266000</v>
      </c>
      <c r="AB20" s="57">
        <v>84288913</v>
      </c>
      <c r="AC20" s="57">
        <f>SUM(AB$5:AB20)</f>
        <v>1275422543</v>
      </c>
    </row>
    <row r="21" spans="1:29" x14ac:dyDescent="0.35">
      <c r="A21" s="55" t="s">
        <v>171</v>
      </c>
      <c r="S21" s="59">
        <v>46272</v>
      </c>
      <c r="T21" s="75">
        <v>273715</v>
      </c>
      <c r="U21" s="57">
        <f>SUM(T5:T21)</f>
        <v>4802002</v>
      </c>
      <c r="V21" s="57">
        <v>75551773</v>
      </c>
      <c r="W21" s="57">
        <f>SUM(V5:V21)</f>
        <v>1298254456</v>
      </c>
      <c r="X21" s="55"/>
      <c r="Y21" s="59">
        <v>45579</v>
      </c>
      <c r="Z21" s="57">
        <v>270000</v>
      </c>
      <c r="AA21" s="57">
        <f>SUM(Z$5:Z21)</f>
        <v>4536000</v>
      </c>
      <c r="AB21" s="57">
        <v>83821137</v>
      </c>
      <c r="AC21" s="57">
        <f>SUM(AB$5:AB21)</f>
        <v>1359243680</v>
      </c>
    </row>
    <row r="22" spans="1:29" x14ac:dyDescent="0.35">
      <c r="S22" s="59">
        <v>46279</v>
      </c>
      <c r="T22" s="75">
        <v>362503</v>
      </c>
      <c r="U22" s="57">
        <f>SUM(T5:T22)</f>
        <v>5164505</v>
      </c>
      <c r="V22" s="57">
        <v>96106904</v>
      </c>
      <c r="W22" s="57">
        <f>SUM(V5:V22)</f>
        <v>1394361360</v>
      </c>
      <c r="Y22" s="59">
        <v>45586</v>
      </c>
      <c r="Z22" s="57">
        <v>270000</v>
      </c>
      <c r="AA22" s="57">
        <f>SUM(Z$5:Z22)</f>
        <v>4806000</v>
      </c>
      <c r="AB22" s="57">
        <v>84946250</v>
      </c>
      <c r="AC22" s="57">
        <f>SUM(AB$5:AB22)</f>
        <v>1444189930</v>
      </c>
    </row>
    <row r="23" spans="1:29" x14ac:dyDescent="0.35">
      <c r="S23" s="59">
        <v>46286</v>
      </c>
      <c r="T23" s="75">
        <v>397967</v>
      </c>
      <c r="U23" s="57">
        <f>SUM(T5:T23)</f>
        <v>5562472</v>
      </c>
      <c r="V23" s="57">
        <v>105152187</v>
      </c>
      <c r="W23" s="57">
        <f>SUM(V5:V23)</f>
        <v>1499513547</v>
      </c>
      <c r="Y23" s="59">
        <v>45593</v>
      </c>
      <c r="Z23" s="57">
        <v>270000</v>
      </c>
      <c r="AA23" s="57">
        <f>SUM(Z$5:Z23)</f>
        <v>5076000</v>
      </c>
      <c r="AB23" s="57">
        <v>83079383</v>
      </c>
      <c r="AC23" s="57">
        <f>SUM(AB$5:AB23)</f>
        <v>1527269313</v>
      </c>
    </row>
    <row r="24" spans="1:29" x14ac:dyDescent="0.35">
      <c r="S24" s="59">
        <v>46293</v>
      </c>
      <c r="T24" s="75">
        <v>402677</v>
      </c>
      <c r="U24" s="57">
        <f>SUM(T5:T24)</f>
        <v>5965149</v>
      </c>
      <c r="V24" s="57">
        <v>105621968</v>
      </c>
      <c r="W24" s="57">
        <f>SUM(V5:V24)</f>
        <v>1605135515</v>
      </c>
      <c r="Y24" s="59">
        <v>45600</v>
      </c>
      <c r="Z24" s="57">
        <v>270000</v>
      </c>
      <c r="AA24" s="57">
        <f>SUM(Z$5:Z24)</f>
        <v>5346000</v>
      </c>
      <c r="AB24" s="57">
        <v>82374273</v>
      </c>
      <c r="AC24" s="57">
        <f>SUM(AB$5:AB24)</f>
        <v>1609643586</v>
      </c>
    </row>
    <row r="25" spans="1:29" x14ac:dyDescent="0.35">
      <c r="Y25" s="59">
        <v>45607</v>
      </c>
      <c r="Z25" s="57">
        <v>270000</v>
      </c>
      <c r="AA25" s="57">
        <f>SUM(Z$5:Z25)</f>
        <v>5616000</v>
      </c>
      <c r="AB25" s="57">
        <v>80715398</v>
      </c>
      <c r="AC25" s="57">
        <f>SUM(AB$5:AB25)</f>
        <v>1690358984</v>
      </c>
    </row>
    <row r="26" spans="1:29" x14ac:dyDescent="0.35">
      <c r="Y26" s="59">
        <v>45614</v>
      </c>
      <c r="Z26" s="57">
        <v>270000</v>
      </c>
      <c r="AA26" s="57">
        <f>SUM(Z$5:Z26)</f>
        <v>5886000</v>
      </c>
      <c r="AB26" s="57">
        <v>79988175</v>
      </c>
      <c r="AC26" s="57">
        <f>SUM(AB$5:AB26)</f>
        <v>1770347159</v>
      </c>
    </row>
    <row r="27" spans="1:29" x14ac:dyDescent="0.35">
      <c r="A27" s="54" t="s">
        <v>153</v>
      </c>
      <c r="U27" s="55"/>
      <c r="W27" s="55"/>
      <c r="X27" s="55"/>
      <c r="Y27" s="59">
        <v>45621</v>
      </c>
      <c r="Z27" s="57">
        <v>270000</v>
      </c>
      <c r="AA27" s="57">
        <f>SUM(Z$5:Z27)</f>
        <v>6156000</v>
      </c>
      <c r="AB27" s="57">
        <v>80358809</v>
      </c>
      <c r="AC27" s="57">
        <f>SUM(AB$5:AB27)</f>
        <v>1850705968</v>
      </c>
    </row>
    <row r="28" spans="1:29" x14ac:dyDescent="0.35">
      <c r="A28" s="55" t="s">
        <v>229</v>
      </c>
      <c r="Y28" s="59">
        <v>45628</v>
      </c>
      <c r="Z28" s="57">
        <v>270000</v>
      </c>
      <c r="AA28" s="57">
        <f>SUM(Z$5:Z28)</f>
        <v>6426000</v>
      </c>
      <c r="AB28" s="57">
        <v>81613618</v>
      </c>
      <c r="AC28" s="57">
        <f>SUM(AB$5:AB28)</f>
        <v>1932319586</v>
      </c>
    </row>
    <row r="29" spans="1:29" x14ac:dyDescent="0.35">
      <c r="A29" s="55" t="s">
        <v>228</v>
      </c>
      <c r="Y29" s="59">
        <v>45635</v>
      </c>
      <c r="Z29" s="57">
        <v>270000</v>
      </c>
      <c r="AA29" s="57">
        <f>SUM(Z$5:Z29)</f>
        <v>6696000</v>
      </c>
      <c r="AB29" s="57">
        <v>82481640</v>
      </c>
      <c r="AC29" s="57">
        <f>SUM(AB$5:AB29)</f>
        <v>2014801226</v>
      </c>
    </row>
    <row r="30" spans="1:29" x14ac:dyDescent="0.35">
      <c r="A30" s="55" t="s">
        <v>227</v>
      </c>
      <c r="U30" s="55"/>
      <c r="W30" s="55"/>
      <c r="X30" s="55"/>
      <c r="Y30" s="59">
        <v>45642</v>
      </c>
      <c r="Z30" s="57">
        <v>270000</v>
      </c>
      <c r="AA30" s="57">
        <f>SUM(Z$5:Z30)</f>
        <v>6966000</v>
      </c>
      <c r="AB30" s="57">
        <v>81340945</v>
      </c>
      <c r="AC30" s="57">
        <f>SUM(AB$5:AB30)</f>
        <v>2096142171</v>
      </c>
    </row>
    <row r="31" spans="1:29" x14ac:dyDescent="0.35">
      <c r="A31" s="55" t="s">
        <v>226</v>
      </c>
      <c r="U31" s="55"/>
      <c r="W31" s="55"/>
      <c r="X31" s="55"/>
      <c r="Y31" s="59">
        <v>45649</v>
      </c>
      <c r="Z31" s="57">
        <v>270000</v>
      </c>
      <c r="AA31" s="57">
        <f>SUM(Z$5:Z31)</f>
        <v>7236000</v>
      </c>
      <c r="AB31" s="57">
        <v>79849222</v>
      </c>
      <c r="AC31" s="57">
        <f>SUM(AB$5:AB31)</f>
        <v>2175991393</v>
      </c>
    </row>
    <row r="32" spans="1:29" x14ac:dyDescent="0.35">
      <c r="A32" s="55" t="s">
        <v>225</v>
      </c>
      <c r="U32" s="55"/>
      <c r="W32" s="55"/>
      <c r="X32" s="55"/>
      <c r="Y32" s="62">
        <v>45656</v>
      </c>
      <c r="Z32" s="63">
        <v>108000</v>
      </c>
      <c r="AA32" s="63">
        <f>SUM(Z$5:Z32)</f>
        <v>7344000</v>
      </c>
      <c r="AB32" s="63">
        <v>31795043</v>
      </c>
      <c r="AC32" s="63">
        <f>SUM(AB$5:AB32)</f>
        <v>2207786436</v>
      </c>
    </row>
    <row r="33" spans="1:32" x14ac:dyDescent="0.35">
      <c r="A33" s="55" t="s">
        <v>224</v>
      </c>
      <c r="U33" s="55"/>
      <c r="W33" s="55"/>
      <c r="X33" s="55"/>
      <c r="Y33" s="59">
        <v>45663</v>
      </c>
      <c r="Z33" s="57">
        <v>162000</v>
      </c>
      <c r="AA33" s="57">
        <f>SUM(Z$5:Z33)</f>
        <v>7506000</v>
      </c>
      <c r="AB33" s="57">
        <v>48012756</v>
      </c>
      <c r="AC33" s="57">
        <f>SUM(AB$5:AB33)</f>
        <v>2255799192</v>
      </c>
    </row>
    <row r="34" spans="1:32" x14ac:dyDescent="0.35">
      <c r="A34" s="55" t="s">
        <v>223</v>
      </c>
      <c r="U34" s="55"/>
      <c r="W34" s="55"/>
      <c r="X34" s="55"/>
      <c r="Y34" s="59">
        <v>45670</v>
      </c>
      <c r="Z34" s="57">
        <v>216000</v>
      </c>
      <c r="AA34" s="57">
        <f>SUM(Z$5:Z34)</f>
        <v>7722000</v>
      </c>
      <c r="AB34" s="57">
        <v>63849681</v>
      </c>
      <c r="AC34" s="57">
        <f>SUM(AB$5:AB34)</f>
        <v>2319648873</v>
      </c>
    </row>
    <row r="35" spans="1:32" x14ac:dyDescent="0.35">
      <c r="A35" s="55" t="s">
        <v>222</v>
      </c>
      <c r="U35" s="55"/>
      <c r="W35" s="55"/>
      <c r="X35" s="55"/>
      <c r="Y35" s="59">
        <v>45677</v>
      </c>
      <c r="Z35" s="57">
        <v>216000</v>
      </c>
      <c r="AA35" s="57">
        <f>SUM(Z$5:Z35)</f>
        <v>7938000</v>
      </c>
      <c r="AB35" s="57">
        <v>63849681</v>
      </c>
      <c r="AC35" s="57">
        <f>SUM(AB$5:AB35)</f>
        <v>2383498554</v>
      </c>
    </row>
    <row r="36" spans="1:32" x14ac:dyDescent="0.35">
      <c r="A36" s="55" t="s">
        <v>221</v>
      </c>
      <c r="U36" s="55"/>
      <c r="W36" s="55"/>
      <c r="X36" s="55"/>
      <c r="Y36" s="59">
        <v>45684</v>
      </c>
      <c r="Z36" s="57">
        <v>270000</v>
      </c>
      <c r="AA36" s="57">
        <f>SUM(Z$5:Z36)</f>
        <v>8208000</v>
      </c>
      <c r="AB36" s="57">
        <v>78829384</v>
      </c>
      <c r="AC36" s="57">
        <f>SUM(AB$5:AB36)</f>
        <v>2462327938</v>
      </c>
      <c r="AF36" s="57"/>
    </row>
    <row r="37" spans="1:32" x14ac:dyDescent="0.35">
      <c r="A37" s="55" t="s">
        <v>220</v>
      </c>
      <c r="U37" s="55"/>
      <c r="W37" s="55"/>
      <c r="X37" s="55"/>
      <c r="Y37" s="59">
        <v>45691</v>
      </c>
      <c r="Z37" s="57">
        <v>270000</v>
      </c>
      <c r="AA37" s="57">
        <f>SUM(Z$5:Z37)</f>
        <v>8478000</v>
      </c>
      <c r="AB37" s="57">
        <v>76193460</v>
      </c>
      <c r="AC37" s="57">
        <f>SUM(AB$5:AB37)</f>
        <v>2538521398</v>
      </c>
      <c r="AF37" s="57"/>
    </row>
    <row r="38" spans="1:32" x14ac:dyDescent="0.35">
      <c r="A38" s="55" t="s">
        <v>219</v>
      </c>
      <c r="U38" s="55"/>
      <c r="W38" s="55"/>
      <c r="X38" s="55"/>
      <c r="Y38" s="59">
        <v>45698</v>
      </c>
      <c r="Z38" s="57">
        <v>270000</v>
      </c>
      <c r="AA38" s="57">
        <f>SUM(Z$5:Z38)</f>
        <v>8748000</v>
      </c>
      <c r="AB38" s="57">
        <v>74747842</v>
      </c>
      <c r="AC38" s="57">
        <f>SUM(AB$5:AB38)</f>
        <v>2613269240</v>
      </c>
      <c r="AF38" s="57"/>
    </row>
    <row r="39" spans="1:32" x14ac:dyDescent="0.35">
      <c r="A39" s="55" t="s">
        <v>218</v>
      </c>
      <c r="U39" s="55"/>
      <c r="W39" s="55"/>
      <c r="X39" s="55"/>
      <c r="Y39" s="59">
        <v>45705</v>
      </c>
      <c r="Z39" s="57">
        <v>270000</v>
      </c>
      <c r="AA39" s="57">
        <f>SUM(Z$5:Z39)</f>
        <v>9018000</v>
      </c>
      <c r="AB39" s="57">
        <v>75819456</v>
      </c>
      <c r="AC39" s="57">
        <f>SUM(AB$5:AB39)</f>
        <v>2689088696</v>
      </c>
    </row>
    <row r="40" spans="1:32" x14ac:dyDescent="0.35">
      <c r="A40" s="55" t="s">
        <v>216</v>
      </c>
      <c r="U40" s="55"/>
      <c r="W40" s="55"/>
      <c r="X40" s="55"/>
      <c r="Y40" s="59">
        <v>45712</v>
      </c>
      <c r="Z40" s="57">
        <v>270000</v>
      </c>
      <c r="AA40" s="57">
        <f>SUM(Z$5:Z40)</f>
        <v>9288000</v>
      </c>
      <c r="AB40" s="57">
        <v>76940674</v>
      </c>
      <c r="AC40" s="57">
        <f>SUM(AB$5:AB40)</f>
        <v>2766029370</v>
      </c>
    </row>
    <row r="41" spans="1:32" x14ac:dyDescent="0.35">
      <c r="A41" s="55" t="s">
        <v>214</v>
      </c>
      <c r="U41" s="55"/>
      <c r="W41" s="55"/>
      <c r="X41" s="55"/>
      <c r="Y41" s="59">
        <v>45719</v>
      </c>
      <c r="Z41" s="57">
        <v>270000</v>
      </c>
      <c r="AA41" s="57">
        <f>SUM(Z5:Z41)</f>
        <v>9558000</v>
      </c>
      <c r="AB41" s="57">
        <v>79742497</v>
      </c>
      <c r="AC41" s="57">
        <f>SUM(AB5:AB41)</f>
        <v>2845771867</v>
      </c>
    </row>
    <row r="42" spans="1:32" x14ac:dyDescent="0.35">
      <c r="A42" s="55" t="s">
        <v>213</v>
      </c>
      <c r="U42" s="55"/>
      <c r="W42" s="55"/>
      <c r="X42" s="55"/>
      <c r="Y42" s="59">
        <v>45726</v>
      </c>
      <c r="Z42" s="57">
        <v>270000</v>
      </c>
      <c r="AA42" s="57">
        <f>SUM(Z5:Z42)</f>
        <v>9828000</v>
      </c>
      <c r="AB42" s="57">
        <v>81121565</v>
      </c>
      <c r="AC42" s="57">
        <f>SUM(AB5:AB42)</f>
        <v>2926893432</v>
      </c>
    </row>
    <row r="43" spans="1:32" x14ac:dyDescent="0.35">
      <c r="A43" s="55" t="s">
        <v>212</v>
      </c>
      <c r="U43" s="55"/>
      <c r="W43" s="55"/>
      <c r="X43" s="55"/>
      <c r="Y43" s="60">
        <v>45733</v>
      </c>
      <c r="Z43" s="57">
        <v>188500</v>
      </c>
      <c r="AA43" s="57">
        <f>SUM(Z5:Z43)</f>
        <v>10016500</v>
      </c>
      <c r="AB43" s="57">
        <v>57682239</v>
      </c>
      <c r="AC43" s="57">
        <f>SUM(AB5:AB43)</f>
        <v>2984575671</v>
      </c>
    </row>
    <row r="44" spans="1:32" x14ac:dyDescent="0.35">
      <c r="A44" s="55" t="s">
        <v>211</v>
      </c>
      <c r="U44" s="55"/>
      <c r="W44" s="55"/>
      <c r="X44" s="55"/>
      <c r="Y44" s="61" t="s">
        <v>186</v>
      </c>
      <c r="Z44" s="61" t="s">
        <v>187</v>
      </c>
      <c r="AA44" s="61" t="s">
        <v>188</v>
      </c>
      <c r="AB44" s="61" t="s">
        <v>189</v>
      </c>
      <c r="AC44" s="61" t="s">
        <v>190</v>
      </c>
    </row>
    <row r="45" spans="1:32" x14ac:dyDescent="0.35">
      <c r="A45" s="55" t="s">
        <v>210</v>
      </c>
      <c r="U45" s="55"/>
      <c r="W45" s="55"/>
      <c r="X45" s="55"/>
      <c r="Y45" s="60">
        <v>45775</v>
      </c>
      <c r="Z45" s="57">
        <v>102990</v>
      </c>
      <c r="AA45" s="57">
        <f>Z45</f>
        <v>102990</v>
      </c>
      <c r="AB45" s="57">
        <v>28160276</v>
      </c>
      <c r="AC45" s="57">
        <f>AB45</f>
        <v>28160276</v>
      </c>
    </row>
    <row r="46" spans="1:32" x14ac:dyDescent="0.35">
      <c r="A46" s="55" t="s">
        <v>208</v>
      </c>
      <c r="U46" s="55"/>
      <c r="W46" s="55"/>
      <c r="X46" s="55"/>
      <c r="Y46" s="59">
        <v>45782</v>
      </c>
      <c r="Z46" s="57">
        <v>207209</v>
      </c>
      <c r="AA46" s="57">
        <f>SUM(Z$45:Z46)</f>
        <v>310199</v>
      </c>
      <c r="AB46" s="57">
        <v>56816910</v>
      </c>
      <c r="AC46" s="57">
        <f>SUM(AB$45:AB46)</f>
        <v>84977186</v>
      </c>
    </row>
    <row r="47" spans="1:32" x14ac:dyDescent="0.35">
      <c r="A47" s="55" t="s">
        <v>207</v>
      </c>
      <c r="U47" s="55"/>
      <c r="W47" s="55"/>
      <c r="X47" s="55"/>
      <c r="Y47" s="59">
        <v>45789</v>
      </c>
      <c r="Z47" s="57">
        <v>259857</v>
      </c>
      <c r="AA47" s="57">
        <f>SUM(Z$45:Z47)</f>
        <v>570056</v>
      </c>
      <c r="AB47" s="57">
        <v>71686947</v>
      </c>
      <c r="AC47" s="57">
        <f>SUM(AB$45:AB47)</f>
        <v>156664133</v>
      </c>
    </row>
    <row r="48" spans="1:32" x14ac:dyDescent="0.35">
      <c r="A48" s="55" t="s">
        <v>206</v>
      </c>
      <c r="U48" s="55"/>
      <c r="W48" s="55"/>
      <c r="X48" s="55"/>
      <c r="Y48" s="59">
        <v>45796</v>
      </c>
      <c r="Z48" s="57">
        <v>268866</v>
      </c>
      <c r="AA48" s="57">
        <f>SUM(Z$45:Z48)</f>
        <v>838922</v>
      </c>
      <c r="AB48" s="57">
        <v>73709071</v>
      </c>
      <c r="AC48" s="57">
        <f>SUM(AB$45:AB48)</f>
        <v>230373204</v>
      </c>
    </row>
    <row r="49" spans="1:29" x14ac:dyDescent="0.35">
      <c r="A49" s="55" t="s">
        <v>205</v>
      </c>
      <c r="U49" s="55"/>
      <c r="W49" s="55"/>
      <c r="X49" s="55"/>
      <c r="Y49" s="59">
        <v>45803</v>
      </c>
      <c r="Z49" s="57">
        <v>251715</v>
      </c>
      <c r="AA49" s="57">
        <f>SUM(Z$45:Z49)</f>
        <v>1090637</v>
      </c>
      <c r="AB49" s="57">
        <v>70641359</v>
      </c>
      <c r="AC49" s="57">
        <f>SUM(AB$45:AB49)</f>
        <v>301014563</v>
      </c>
    </row>
    <row r="50" spans="1:29" x14ac:dyDescent="0.35">
      <c r="A50" s="55" t="s">
        <v>209</v>
      </c>
      <c r="U50" s="55"/>
      <c r="W50" s="55"/>
      <c r="X50" s="55"/>
      <c r="Y50" s="59">
        <v>45810</v>
      </c>
      <c r="Z50" s="57">
        <v>197115</v>
      </c>
      <c r="AA50" s="57">
        <f>SUM(Z$45:Z50)</f>
        <v>1287752</v>
      </c>
      <c r="AB50" s="57">
        <v>55813358</v>
      </c>
      <c r="AC50" s="57">
        <f>SUM(AB$45:AB50)</f>
        <v>356827921</v>
      </c>
    </row>
    <row r="51" spans="1:29" x14ac:dyDescent="0.35">
      <c r="A51" s="55" t="s">
        <v>179</v>
      </c>
      <c r="U51" s="55"/>
      <c r="W51" s="55"/>
      <c r="X51" s="55"/>
      <c r="Y51" s="59">
        <v>45817</v>
      </c>
      <c r="Z51" s="57">
        <v>204612</v>
      </c>
      <c r="AA51" s="57">
        <f>SUM(Z$45:Z51)</f>
        <v>1492364</v>
      </c>
      <c r="AB51" s="57">
        <v>56483154</v>
      </c>
      <c r="AC51" s="57">
        <f>SUM(AB$45:AB51)</f>
        <v>413311075</v>
      </c>
    </row>
    <row r="52" spans="1:29" x14ac:dyDescent="0.35">
      <c r="A52" s="55" t="s">
        <v>192</v>
      </c>
      <c r="Y52" s="59">
        <v>45824</v>
      </c>
      <c r="Z52" s="57">
        <v>316007</v>
      </c>
      <c r="AA52" s="57">
        <f>SUM(Z$45:Z52)</f>
        <v>1808371</v>
      </c>
      <c r="AB52" s="57">
        <v>85301407</v>
      </c>
      <c r="AC52" s="57">
        <f>SUM(AB$45:AB52)</f>
        <v>498612482</v>
      </c>
    </row>
    <row r="53" spans="1:29" x14ac:dyDescent="0.35">
      <c r="A53" s="55" t="s">
        <v>177</v>
      </c>
      <c r="Y53" s="59">
        <v>45831</v>
      </c>
      <c r="Z53" s="57">
        <v>279202</v>
      </c>
      <c r="AA53" s="57">
        <f>SUM(Z$45:Z53)</f>
        <v>2087573</v>
      </c>
      <c r="AB53" s="57">
        <v>73119443</v>
      </c>
      <c r="AC53" s="57">
        <f>SUM(AB$45:AB53)</f>
        <v>571731925</v>
      </c>
    </row>
    <row r="54" spans="1:29" x14ac:dyDescent="0.35">
      <c r="A54" s="55" t="s">
        <v>176</v>
      </c>
      <c r="Y54" s="59">
        <v>45838</v>
      </c>
      <c r="Z54" s="57">
        <v>352192</v>
      </c>
      <c r="AA54" s="57">
        <f>SUM(Z$45:Z54)</f>
        <v>2439765</v>
      </c>
      <c r="AB54" s="57">
        <v>91369669</v>
      </c>
      <c r="AC54" s="57">
        <f>SUM(AB$45:AB54)</f>
        <v>663101594</v>
      </c>
    </row>
    <row r="55" spans="1:29" x14ac:dyDescent="0.35">
      <c r="A55" s="55" t="s">
        <v>178</v>
      </c>
      <c r="Y55" s="59">
        <v>45845</v>
      </c>
      <c r="Z55" s="57">
        <v>313752</v>
      </c>
      <c r="AA55" s="57">
        <f>SUM(Z$45:Z55)</f>
        <v>2753517</v>
      </c>
      <c r="AB55" s="57">
        <v>83251888</v>
      </c>
      <c r="AC55" s="57">
        <f>SUM(AB$45:AB55)</f>
        <v>746353482</v>
      </c>
    </row>
    <row r="56" spans="1:29" x14ac:dyDescent="0.35">
      <c r="A56" s="55" t="s">
        <v>175</v>
      </c>
      <c r="Y56" s="59">
        <v>45852</v>
      </c>
      <c r="Z56" s="57">
        <v>345581</v>
      </c>
      <c r="AA56" s="57">
        <f>SUM(Z$45:Z56)</f>
        <v>3099098</v>
      </c>
      <c r="AB56" s="57">
        <v>91413515</v>
      </c>
      <c r="AC56" s="57">
        <f>SUM(AB$45:AB56)</f>
        <v>837766997</v>
      </c>
    </row>
    <row r="57" spans="1:29" x14ac:dyDescent="0.35">
      <c r="A57" s="55" t="s">
        <v>174</v>
      </c>
      <c r="Y57" s="59">
        <v>45859</v>
      </c>
      <c r="Z57" s="57">
        <v>362255</v>
      </c>
      <c r="AA57" s="57">
        <f>SUM(Z$45:Z57)</f>
        <v>3461353</v>
      </c>
      <c r="AB57" s="57">
        <v>92733079</v>
      </c>
      <c r="AC57" s="57">
        <f>SUM(AB$45:AB57)</f>
        <v>930500076</v>
      </c>
    </row>
    <row r="58" spans="1:29" x14ac:dyDescent="0.35">
      <c r="A58" s="55" t="s">
        <v>172</v>
      </c>
      <c r="Y58" s="59">
        <v>45866</v>
      </c>
      <c r="Z58" s="57">
        <v>375672</v>
      </c>
      <c r="AA58" s="57">
        <f>SUM(Z$45:Z58)</f>
        <v>3837025</v>
      </c>
      <c r="AB58" s="57">
        <v>92409563</v>
      </c>
      <c r="AC58" s="57">
        <f>SUM(AB$45:AB58)</f>
        <v>1022909639</v>
      </c>
    </row>
    <row r="59" spans="1:29" x14ac:dyDescent="0.35">
      <c r="A59" s="55" t="s">
        <v>173</v>
      </c>
      <c r="Y59" s="59">
        <v>45873</v>
      </c>
      <c r="Z59" s="57">
        <v>365756</v>
      </c>
      <c r="AA59" s="57">
        <f>SUM(Z$45:Z59)</f>
        <v>4202781</v>
      </c>
      <c r="AB59" s="57">
        <v>89076060</v>
      </c>
      <c r="AC59" s="57">
        <f>SUM(AB$45:AB59)</f>
        <v>1111985699</v>
      </c>
    </row>
    <row r="60" spans="1:29" x14ac:dyDescent="0.35">
      <c r="A60" s="55" t="s">
        <v>154</v>
      </c>
      <c r="Y60" s="59">
        <v>45880</v>
      </c>
      <c r="Z60" s="57">
        <v>380062</v>
      </c>
      <c r="AA60" s="57">
        <f>SUM(Z$45:Z60)</f>
        <v>4582843</v>
      </c>
      <c r="AB60" s="57">
        <v>92397701</v>
      </c>
      <c r="AC60" s="57">
        <f>SUM(AB$45:AB60)</f>
        <v>1204383400</v>
      </c>
    </row>
    <row r="61" spans="1:29" x14ac:dyDescent="0.35">
      <c r="A61" s="55" t="s">
        <v>155</v>
      </c>
      <c r="Y61" s="59">
        <v>45887</v>
      </c>
      <c r="Z61" s="57">
        <v>376116</v>
      </c>
      <c r="AA61" s="57">
        <f>SUM(Z$45:Z61)</f>
        <v>4958959</v>
      </c>
      <c r="AB61" s="57">
        <v>92464404</v>
      </c>
      <c r="AC61" s="57">
        <f>SUM(AB$45:AB61)</f>
        <v>1296847804</v>
      </c>
    </row>
    <row r="62" spans="1:29" x14ac:dyDescent="0.35">
      <c r="A62" s="55" t="s">
        <v>158</v>
      </c>
      <c r="Y62" s="59">
        <v>45894</v>
      </c>
      <c r="Z62" s="57">
        <v>390489</v>
      </c>
      <c r="AA62" s="57">
        <f>SUM(Z$45:Z62)</f>
        <v>5349448</v>
      </c>
      <c r="AB62" s="57">
        <v>98831454</v>
      </c>
      <c r="AC62" s="57">
        <f>SUM(AB$45:AB62)</f>
        <v>1395679258</v>
      </c>
    </row>
    <row r="63" spans="1:29" x14ac:dyDescent="0.35">
      <c r="A63" s="55" t="s">
        <v>159</v>
      </c>
      <c r="Y63" s="59">
        <v>45901</v>
      </c>
      <c r="Z63" s="57">
        <v>416394</v>
      </c>
      <c r="AA63" s="57">
        <f>SUM(Z$45:Z63)</f>
        <v>5765842</v>
      </c>
      <c r="AB63" s="57">
        <v>106686368</v>
      </c>
      <c r="AC63" s="57">
        <f>SUM(AB$45:AB63)</f>
        <v>1502365626</v>
      </c>
    </row>
    <row r="64" spans="1:29" x14ac:dyDescent="0.35">
      <c r="A64" s="55" t="s">
        <v>160</v>
      </c>
      <c r="Y64" s="59">
        <v>45908</v>
      </c>
      <c r="Z64" s="57">
        <v>387564</v>
      </c>
      <c r="AA64" s="57">
        <f>SUM(Z$45:Z64)</f>
        <v>6153406</v>
      </c>
      <c r="AB64" s="57">
        <v>98866394</v>
      </c>
      <c r="AC64" s="57">
        <f>SUM(AB$45:AB64)</f>
        <v>1601232020</v>
      </c>
    </row>
    <row r="65" spans="1:29" x14ac:dyDescent="0.35">
      <c r="A65" s="55" t="s">
        <v>161</v>
      </c>
      <c r="Y65" s="59">
        <v>45915</v>
      </c>
      <c r="Z65" s="57">
        <v>243717</v>
      </c>
      <c r="AA65" s="57">
        <f>SUM(Z$45:Z65)</f>
        <v>6397123</v>
      </c>
      <c r="AB65" s="57">
        <v>62346848</v>
      </c>
      <c r="AC65" s="57">
        <f>SUM(AB$45:AB65)</f>
        <v>1663578868</v>
      </c>
    </row>
    <row r="66" spans="1:29" x14ac:dyDescent="0.35">
      <c r="A66" s="55" t="s">
        <v>162</v>
      </c>
      <c r="Y66" s="59">
        <v>45922</v>
      </c>
      <c r="Z66" s="57">
        <v>271160</v>
      </c>
      <c r="AA66" s="57">
        <f>SUM(Z$45:Z66)</f>
        <v>6668283</v>
      </c>
      <c r="AB66" s="57">
        <v>66970032</v>
      </c>
      <c r="AC66" s="57">
        <f>SUM(AB$45:AB66)</f>
        <v>1730548900</v>
      </c>
    </row>
    <row r="67" spans="1:29" x14ac:dyDescent="0.35">
      <c r="A67" s="55" t="s">
        <v>163</v>
      </c>
      <c r="Y67" s="59">
        <v>45929</v>
      </c>
      <c r="Z67" s="57">
        <v>293620</v>
      </c>
      <c r="AA67" s="57">
        <f>SUM(Z$45:Z67)</f>
        <v>6961903</v>
      </c>
      <c r="AB67" s="57">
        <v>70784809</v>
      </c>
      <c r="AC67" s="57">
        <f>SUM(AB$45:AB67)</f>
        <v>1801333709</v>
      </c>
    </row>
    <row r="68" spans="1:29" x14ac:dyDescent="0.35">
      <c r="A68" s="55" t="s">
        <v>164</v>
      </c>
      <c r="Y68" s="59">
        <v>45936</v>
      </c>
      <c r="Z68" s="57">
        <v>266241</v>
      </c>
      <c r="AA68" s="57">
        <f>SUM(Z$45:Z68)</f>
        <v>7228144</v>
      </c>
      <c r="AB68" s="57">
        <v>65407817</v>
      </c>
      <c r="AC68" s="57">
        <f>SUM(AB$45:AB68)</f>
        <v>1866741526</v>
      </c>
    </row>
    <row r="69" spans="1:29" x14ac:dyDescent="0.35">
      <c r="A69" s="55" t="s">
        <v>165</v>
      </c>
      <c r="Y69" s="59">
        <v>45943</v>
      </c>
      <c r="Z69" s="57">
        <v>274102</v>
      </c>
      <c r="AA69" s="57">
        <f>SUM(Z$45:Z69)</f>
        <v>7502246</v>
      </c>
      <c r="AB69" s="57">
        <v>68242334</v>
      </c>
      <c r="AC69" s="57">
        <f>SUM(AB$45:AB69)</f>
        <v>1934983860</v>
      </c>
    </row>
    <row r="70" spans="1:29" x14ac:dyDescent="0.35">
      <c r="A70" s="55" t="s">
        <v>204</v>
      </c>
      <c r="Y70" s="59">
        <v>45950</v>
      </c>
      <c r="Z70" s="57">
        <v>249659</v>
      </c>
      <c r="AA70" s="57">
        <f>SUM(Z$45:Z70)</f>
        <v>7751905</v>
      </c>
      <c r="AB70" s="57">
        <v>63722172</v>
      </c>
      <c r="AC70" s="57">
        <f>SUM(AB$45:AB70)</f>
        <v>1998706032</v>
      </c>
    </row>
    <row r="71" spans="1:29" x14ac:dyDescent="0.35">
      <c r="A71" s="55" t="s">
        <v>166</v>
      </c>
      <c r="Y71" s="59">
        <v>45957</v>
      </c>
      <c r="Z71" s="57">
        <v>86370</v>
      </c>
      <c r="AA71" s="57">
        <f>SUM(Z$45:Z71)</f>
        <v>7838275</v>
      </c>
      <c r="AB71" s="57">
        <v>22848513</v>
      </c>
      <c r="AC71" s="57">
        <f>SUM(AB$45:AB71)</f>
        <v>2021554545</v>
      </c>
    </row>
    <row r="72" spans="1:29" x14ac:dyDescent="0.35">
      <c r="A72" s="55" t="s">
        <v>167</v>
      </c>
      <c r="Y72" s="59">
        <v>45964</v>
      </c>
      <c r="Z72" s="57">
        <v>162610</v>
      </c>
      <c r="AA72" s="57">
        <f>SUM(Z$45:Z72)</f>
        <v>8000885</v>
      </c>
      <c r="AB72" s="57">
        <v>42752249</v>
      </c>
      <c r="AC72" s="57">
        <f>SUM(AB$45:AB72)</f>
        <v>2064306794</v>
      </c>
    </row>
    <row r="73" spans="1:29" x14ac:dyDescent="0.35">
      <c r="A73" s="55" t="s">
        <v>168</v>
      </c>
      <c r="Y73" s="59">
        <v>45971</v>
      </c>
      <c r="Z73" s="57">
        <v>215029</v>
      </c>
      <c r="AA73" s="57">
        <f>SUM(Z$45:Z73)</f>
        <v>8215914</v>
      </c>
      <c r="AB73" s="57">
        <v>56294477</v>
      </c>
      <c r="AC73" s="57">
        <f>SUM(AB$45:AB73)</f>
        <v>2120601271</v>
      </c>
    </row>
    <row r="74" spans="1:29" x14ac:dyDescent="0.35">
      <c r="A74" s="55" t="s">
        <v>193</v>
      </c>
      <c r="Y74" s="59">
        <v>45978</v>
      </c>
      <c r="Z74" s="57">
        <v>141656</v>
      </c>
      <c r="AA74" s="57">
        <f>SUM(Z$45:Z74)</f>
        <v>8357570</v>
      </c>
      <c r="AB74" s="57">
        <v>37472121</v>
      </c>
      <c r="AC74" s="57">
        <f>SUM(AB$45:AB74)</f>
        <v>2158073392</v>
      </c>
    </row>
    <row r="75" spans="1:29" x14ac:dyDescent="0.35">
      <c r="A75" s="55" t="s">
        <v>194</v>
      </c>
      <c r="Y75" s="59">
        <v>45985</v>
      </c>
      <c r="Z75" s="57">
        <v>200723</v>
      </c>
      <c r="AA75" s="57">
        <f>SUM(Z$45:Z75)</f>
        <v>8558293</v>
      </c>
      <c r="AB75" s="57">
        <v>51875958</v>
      </c>
      <c r="AC75" s="57">
        <f>SUM(AB$45:AB75)</f>
        <v>2209949350</v>
      </c>
    </row>
    <row r="76" spans="1:29" x14ac:dyDescent="0.35">
      <c r="A76" s="55" t="s">
        <v>195</v>
      </c>
      <c r="Y76" s="59">
        <v>45992</v>
      </c>
      <c r="Z76" s="57">
        <v>186672</v>
      </c>
      <c r="AA76" s="57">
        <f>SUM(Z$45:Z76)</f>
        <v>8744965</v>
      </c>
      <c r="AB76" s="57">
        <v>48812636</v>
      </c>
      <c r="AC76" s="57">
        <f>SUM(AB$45:AB76)</f>
        <v>2258761986</v>
      </c>
    </row>
    <row r="77" spans="1:29" x14ac:dyDescent="0.35">
      <c r="A77" s="55" t="s">
        <v>196</v>
      </c>
      <c r="Y77" s="59">
        <v>45999</v>
      </c>
      <c r="Z77" s="57">
        <v>190572</v>
      </c>
      <c r="AA77" s="57">
        <f>SUM(Z$45:Z77)</f>
        <v>8935537</v>
      </c>
      <c r="AB77" s="57">
        <v>49903186</v>
      </c>
      <c r="AC77" s="57">
        <f>SUM(AB$45:AB77)</f>
        <v>2308665172</v>
      </c>
    </row>
    <row r="78" spans="1:29" x14ac:dyDescent="0.35">
      <c r="A78" s="55" t="s">
        <v>197</v>
      </c>
      <c r="Y78" s="59">
        <v>46006</v>
      </c>
      <c r="Z78" s="57">
        <v>156888</v>
      </c>
      <c r="AA78" s="57">
        <f>SUM(Z$45:Z78)</f>
        <v>9092425</v>
      </c>
      <c r="AB78" s="57">
        <v>40538342</v>
      </c>
      <c r="AC78" s="57">
        <f>SUM(AB$45:AB78)</f>
        <v>2349203514</v>
      </c>
    </row>
    <row r="79" spans="1:29" x14ac:dyDescent="0.35">
      <c r="A79" s="55" t="s">
        <v>198</v>
      </c>
      <c r="Y79" s="59">
        <v>46013</v>
      </c>
      <c r="Z79" s="57">
        <v>73113</v>
      </c>
      <c r="AA79" s="57">
        <f>SUM(Z$45:Z79)</f>
        <v>9165538</v>
      </c>
      <c r="AB79" s="57">
        <v>19398960</v>
      </c>
      <c r="AC79" s="57">
        <f>SUM(AB$45:AB79)</f>
        <v>2368602474</v>
      </c>
    </row>
    <row r="80" spans="1:29" x14ac:dyDescent="0.35">
      <c r="A80" s="55" t="s">
        <v>199</v>
      </c>
      <c r="Y80" s="62">
        <v>46020</v>
      </c>
      <c r="Z80" s="63">
        <v>29421</v>
      </c>
      <c r="AA80" s="63">
        <f>SUM(Z$45:Z80)</f>
        <v>9194959</v>
      </c>
      <c r="AB80" s="63">
        <v>7736120</v>
      </c>
      <c r="AC80" s="63">
        <f>SUM(AB$45:AB80)</f>
        <v>2376338594</v>
      </c>
    </row>
    <row r="81" spans="1:29" x14ac:dyDescent="0.35">
      <c r="A81" s="55" t="s">
        <v>200</v>
      </c>
      <c r="Y81" s="59">
        <v>46027</v>
      </c>
      <c r="Z81" s="57">
        <v>42073</v>
      </c>
      <c r="AA81" s="57">
        <f>SUM(Z$45:Z81)</f>
        <v>9237032</v>
      </c>
      <c r="AB81" s="57">
        <v>11093439</v>
      </c>
      <c r="AC81" s="57">
        <f>SUM(AB$45:AB81)</f>
        <v>2387432033</v>
      </c>
    </row>
    <row r="82" spans="1:29" x14ac:dyDescent="0.35">
      <c r="A82" s="55" t="s">
        <v>203</v>
      </c>
      <c r="Y82" s="59">
        <v>46034</v>
      </c>
      <c r="Z82" s="57">
        <v>57798</v>
      </c>
      <c r="AA82" s="57">
        <f>SUM(Z$45:Z82)</f>
        <v>9294830</v>
      </c>
      <c r="AB82" s="57">
        <v>15093539</v>
      </c>
      <c r="AC82" s="57">
        <f>SUM(AB$45:AB82)</f>
        <v>2402525572</v>
      </c>
    </row>
    <row r="83" spans="1:29" x14ac:dyDescent="0.35">
      <c r="A83" s="55" t="s">
        <v>202</v>
      </c>
      <c r="Y83" s="59">
        <v>46041</v>
      </c>
      <c r="Z83" s="57">
        <v>66186</v>
      </c>
      <c r="AA83" s="57">
        <f>SUM(Z$45:Z83)</f>
        <v>9361016</v>
      </c>
      <c r="AB83" s="57">
        <v>17691908</v>
      </c>
      <c r="AC83" s="57">
        <f>SUM(AB$45:AB83)</f>
        <v>2420217480</v>
      </c>
    </row>
    <row r="84" spans="1:29" x14ac:dyDescent="0.35">
      <c r="A84" s="55" t="s">
        <v>201</v>
      </c>
      <c r="Y84" s="59">
        <v>46048</v>
      </c>
      <c r="Z84" s="57">
        <v>725349</v>
      </c>
      <c r="AA84" s="57">
        <f>SUM(Z$45:Z84)</f>
        <v>10086365</v>
      </c>
      <c r="AB84" s="57">
        <v>184559740</v>
      </c>
      <c r="AC84" s="57">
        <f>SUM(AB$45:AB84)</f>
        <v>2604777220</v>
      </c>
    </row>
    <row r="85" spans="1:29" x14ac:dyDescent="0.35">
      <c r="Y85" s="59">
        <v>46055</v>
      </c>
      <c r="Z85" s="57">
        <v>170916</v>
      </c>
      <c r="AA85" s="57">
        <f>SUM(Z$45:Z85)</f>
        <v>10257281</v>
      </c>
      <c r="AB85" s="57">
        <v>43824616</v>
      </c>
      <c r="AC85" s="57">
        <f>SUM(AB$45:AB85)</f>
        <v>2648601836</v>
      </c>
    </row>
    <row r="86" spans="1:29" x14ac:dyDescent="0.35">
      <c r="Y86" s="59">
        <v>46062</v>
      </c>
      <c r="Z86" s="57">
        <v>69537</v>
      </c>
      <c r="AA86" s="57">
        <f>SUM(Z$45:Z86)</f>
        <v>10326818</v>
      </c>
      <c r="AB86" s="57">
        <v>18760501</v>
      </c>
      <c r="AC86" s="57">
        <f>SUM(AB$45:AB86)</f>
        <v>2667362337</v>
      </c>
    </row>
    <row r="87" spans="1:29" x14ac:dyDescent="0.35">
      <c r="Y87" s="59">
        <v>46069</v>
      </c>
      <c r="Z87" s="57">
        <v>65565</v>
      </c>
      <c r="AA87" s="57">
        <f>SUM(Z$45:Z87)</f>
        <v>10392383</v>
      </c>
      <c r="AB87" s="57">
        <v>18321521</v>
      </c>
      <c r="AC87" s="57">
        <f>SUM(AB$45:AB87)</f>
        <v>2685683858</v>
      </c>
    </row>
    <row r="88" spans="1:29" x14ac:dyDescent="0.35">
      <c r="Y88" s="59">
        <v>46076</v>
      </c>
      <c r="Z88" s="57">
        <v>63292</v>
      </c>
      <c r="AA88" s="57">
        <f>SUM(Z$45:Z88)</f>
        <v>10455675</v>
      </c>
      <c r="AB88" s="57">
        <v>17961487</v>
      </c>
      <c r="AC88" s="57">
        <f>SUM(AB$45:AB88)</f>
        <v>2703645345</v>
      </c>
    </row>
    <row r="89" spans="1:29" x14ac:dyDescent="0.35">
      <c r="Y89" s="59">
        <v>46083</v>
      </c>
      <c r="Z89" s="57">
        <v>212306</v>
      </c>
      <c r="AA89" s="57">
        <f>SUM(Z$45:Z89)</f>
        <v>10667981</v>
      </c>
      <c r="AB89" s="57">
        <v>61108346</v>
      </c>
      <c r="AC89" s="57">
        <f>SUM(AB$45:AB89)</f>
        <v>2764753691</v>
      </c>
    </row>
    <row r="90" spans="1:29" x14ac:dyDescent="0.35">
      <c r="Y90" s="59">
        <v>46090</v>
      </c>
      <c r="Z90" s="57">
        <v>241501</v>
      </c>
      <c r="AA90" s="57">
        <f>SUM(Z$45:Z90)</f>
        <v>10909482</v>
      </c>
      <c r="AB90" s="57">
        <v>65148807</v>
      </c>
      <c r="AC90" s="57">
        <f>SUM(AB$45:AB90)</f>
        <v>2829902498</v>
      </c>
    </row>
    <row r="91" spans="1:29" x14ac:dyDescent="0.35">
      <c r="Y91" s="59">
        <v>46097</v>
      </c>
      <c r="Z91" s="57">
        <v>251239</v>
      </c>
      <c r="AA91" s="57">
        <f>SUM(Z$45:Z91)</f>
        <v>11160721</v>
      </c>
      <c r="AB91" s="57">
        <v>65750677</v>
      </c>
      <c r="AC91" s="57">
        <f>SUM(AB$45:AB91)</f>
        <v>2895653175</v>
      </c>
    </row>
    <row r="92" spans="1:29" x14ac:dyDescent="0.35">
      <c r="Y92" s="60">
        <v>46104</v>
      </c>
      <c r="Z92" s="57">
        <v>406220</v>
      </c>
      <c r="AA92" s="57">
        <f>SUM(Z$45:Z92)</f>
        <v>11566941</v>
      </c>
      <c r="AB92" s="57">
        <v>104347579</v>
      </c>
      <c r="AC92" s="57">
        <f>SUM(AB$45:AB92)</f>
        <v>3000000754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KN122"/>
  <sheetViews>
    <sheetView showGridLines="0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W26" sqref="W26"/>
    </sheetView>
  </sheetViews>
  <sheetFormatPr baseColWidth="10" defaultRowHeight="19" x14ac:dyDescent="0.25"/>
  <cols>
    <col min="1" max="1" width="16.33203125" style="2" bestFit="1" customWidth="1"/>
    <col min="2" max="2" width="12.5" style="3" customWidth="1"/>
    <col min="3" max="3" width="43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1.16406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6" width="10.83203125" style="2"/>
    <col min="37" max="37" width="10.83203125" style="3"/>
    <col min="38" max="47" width="10.83203125" style="2"/>
    <col min="48" max="48" width="14.33203125" style="2" bestFit="1" customWidth="1"/>
    <col min="49" max="49" width="14.5" style="2" bestFit="1" customWidth="1"/>
    <col min="50" max="16384" width="10.83203125" style="2"/>
  </cols>
  <sheetData>
    <row r="1" spans="1:300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AF1" s="1"/>
    </row>
    <row r="3" spans="1:300" x14ac:dyDescent="0.25">
      <c r="A3" s="1" t="s">
        <v>0</v>
      </c>
      <c r="C3" s="2" t="s">
        <v>46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37</v>
      </c>
      <c r="Q3" s="4" t="s">
        <v>31</v>
      </c>
      <c r="R3" s="4" t="s">
        <v>35</v>
      </c>
      <c r="S3" s="4" t="s">
        <v>36</v>
      </c>
      <c r="T3" s="4" t="s">
        <v>136</v>
      </c>
      <c r="U3" s="4" t="s">
        <v>137</v>
      </c>
      <c r="V3" s="4" t="s">
        <v>138</v>
      </c>
      <c r="W3" s="4" t="s">
        <v>139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32</v>
      </c>
      <c r="AE3" s="4" t="s">
        <v>33</v>
      </c>
      <c r="AF3" s="4" t="s">
        <v>34</v>
      </c>
      <c r="AG3" s="4" t="s">
        <v>15</v>
      </c>
      <c r="AH3" s="4" t="s">
        <v>16</v>
      </c>
      <c r="AI3" s="4" t="s">
        <v>17</v>
      </c>
      <c r="AJ3" s="4" t="s">
        <v>18</v>
      </c>
      <c r="AK3" s="5" t="s">
        <v>19</v>
      </c>
      <c r="AL3" s="4" t="s">
        <v>20</v>
      </c>
      <c r="AM3" s="4" t="s">
        <v>21</v>
      </c>
      <c r="AN3" s="4" t="s">
        <v>22</v>
      </c>
      <c r="AO3" s="4" t="s">
        <v>23</v>
      </c>
      <c r="AP3" s="4" t="s">
        <v>24</v>
      </c>
      <c r="AQ3" s="4" t="s">
        <v>25</v>
      </c>
      <c r="AR3" s="4" t="s">
        <v>26</v>
      </c>
      <c r="AS3" s="4" t="s">
        <v>27</v>
      </c>
      <c r="AT3" s="4" t="s">
        <v>28</v>
      </c>
    </row>
    <row r="4" spans="1:300" x14ac:dyDescent="0.25">
      <c r="A4" s="2" t="s">
        <v>1</v>
      </c>
      <c r="B4" s="3">
        <v>263</v>
      </c>
      <c r="C4" s="1" t="s">
        <v>51</v>
      </c>
      <c r="D4" s="9">
        <v>34301</v>
      </c>
      <c r="E4" s="9">
        <v>37929</v>
      </c>
      <c r="F4" s="9">
        <v>40109</v>
      </c>
      <c r="G4" s="9">
        <v>36629</v>
      </c>
      <c r="H4" s="9">
        <v>42926</v>
      </c>
      <c r="I4" s="9">
        <v>43930</v>
      </c>
      <c r="J4" s="9">
        <v>43516</v>
      </c>
      <c r="K4" s="9">
        <v>36625</v>
      </c>
      <c r="L4" s="9">
        <v>34850</v>
      </c>
      <c r="M4" s="9">
        <v>36617</v>
      </c>
      <c r="N4" s="9">
        <v>36274</v>
      </c>
      <c r="O4" s="9">
        <v>37805</v>
      </c>
      <c r="P4" s="9">
        <v>34976</v>
      </c>
      <c r="Q4" s="9">
        <v>34185</v>
      </c>
      <c r="R4" s="9">
        <v>34638</v>
      </c>
      <c r="S4" s="9">
        <v>34695</v>
      </c>
      <c r="T4" s="9">
        <v>33177</v>
      </c>
      <c r="U4" s="9">
        <v>35061</v>
      </c>
      <c r="V4" s="9"/>
      <c r="W4" s="9"/>
      <c r="X4" s="10"/>
      <c r="Y4" s="10"/>
      <c r="Z4" s="9">
        <v>98519</v>
      </c>
      <c r="AA4" s="9">
        <v>101238</v>
      </c>
      <c r="AB4" s="9">
        <v>109265</v>
      </c>
      <c r="AC4" s="9">
        <v>118500</v>
      </c>
      <c r="AD4" s="9">
        <v>128975</v>
      </c>
      <c r="AE4" s="9">
        <v>121752</v>
      </c>
      <c r="AF4" s="9">
        <v>121867</v>
      </c>
      <c r="AG4" s="9">
        <v>156173</v>
      </c>
      <c r="AH4" s="9">
        <v>147147</v>
      </c>
      <c r="AI4" s="9">
        <v>145546</v>
      </c>
      <c r="AJ4" s="9">
        <v>138494</v>
      </c>
      <c r="AK4" s="11">
        <f>AJ4*1</f>
        <v>138494</v>
      </c>
      <c r="AL4" s="9">
        <f>AK4*1.05</f>
        <v>145418.70000000001</v>
      </c>
      <c r="AM4" s="9">
        <f t="shared" ref="AM4:AT4" si="0">AL4*1.05</f>
        <v>152689.63500000001</v>
      </c>
      <c r="AN4" s="9">
        <f t="shared" si="0"/>
        <v>160324.11675000002</v>
      </c>
      <c r="AO4" s="9">
        <f t="shared" si="0"/>
        <v>168340.32258750004</v>
      </c>
      <c r="AP4" s="9">
        <f t="shared" si="0"/>
        <v>176757.33871687503</v>
      </c>
      <c r="AQ4" s="9">
        <f t="shared" si="0"/>
        <v>185595.20565271878</v>
      </c>
      <c r="AR4" s="9">
        <f t="shared" si="0"/>
        <v>194874.96593535473</v>
      </c>
      <c r="AS4" s="9">
        <f t="shared" si="0"/>
        <v>204618.71423212247</v>
      </c>
      <c r="AT4" s="9">
        <f t="shared" si="0"/>
        <v>214849.64994372861</v>
      </c>
    </row>
    <row r="5" spans="1:300" x14ac:dyDescent="0.25">
      <c r="A5" s="2" t="s">
        <v>2</v>
      </c>
      <c r="B5" s="3">
        <v>681.9</v>
      </c>
      <c r="C5" s="2" t="s">
        <v>52</v>
      </c>
      <c r="D5" s="10">
        <v>-26684</v>
      </c>
      <c r="E5" s="10">
        <v>-28704</v>
      </c>
      <c r="F5" s="10">
        <v>-30756</v>
      </c>
      <c r="G5" s="10">
        <v>-26392</v>
      </c>
      <c r="H5" s="10">
        <v>-31340</v>
      </c>
      <c r="I5" s="10">
        <v>-32206</v>
      </c>
      <c r="J5" s="10">
        <v>-31509</v>
      </c>
      <c r="K5" s="10">
        <v>-24905</v>
      </c>
      <c r="L5" s="10">
        <v>-23283</v>
      </c>
      <c r="M5" s="10">
        <v>-24467</v>
      </c>
      <c r="N5" s="10">
        <v>-24448</v>
      </c>
      <c r="O5" s="10">
        <v>-25731</v>
      </c>
      <c r="P5" s="10">
        <v>-23502</v>
      </c>
      <c r="Q5" s="10">
        <v>-22784</v>
      </c>
      <c r="R5" s="10">
        <v>-23065</v>
      </c>
      <c r="S5" s="10">
        <v>-23000</v>
      </c>
      <c r="T5" s="10">
        <v>-22092</v>
      </c>
      <c r="U5" s="10">
        <v>-23616</v>
      </c>
      <c r="V5" s="10"/>
      <c r="W5" s="10"/>
      <c r="X5" s="10"/>
      <c r="Y5" s="10"/>
      <c r="Z5" s="10">
        <f>-71960-267</f>
        <v>-72227</v>
      </c>
      <c r="AA5" s="10">
        <f>-72476-532</f>
        <v>-73008</v>
      </c>
      <c r="AB5" s="10">
        <f>-76899-509</f>
        <v>-77408</v>
      </c>
      <c r="AC5" s="10">
        <f>-85058-1437</f>
        <v>-86495</v>
      </c>
      <c r="AD5" s="10">
        <f>-90876-243</f>
        <v>-91119</v>
      </c>
      <c r="AE5" s="10">
        <f>-82132-181</f>
        <v>-82313</v>
      </c>
      <c r="AF5" s="10">
        <f>-86628-146</f>
        <v>-86774</v>
      </c>
      <c r="AG5" s="10">
        <f>-117046-1899</f>
        <v>-118945</v>
      </c>
      <c r="AH5" s="10">
        <v>-102627</v>
      </c>
      <c r="AI5" s="10">
        <v>-97929</v>
      </c>
      <c r="AJ5" s="10">
        <v>-92351</v>
      </c>
      <c r="AK5" s="12">
        <f>AK4*-0.67</f>
        <v>-92790.98000000001</v>
      </c>
      <c r="AL5" s="10">
        <f t="shared" ref="AL5:AT5" si="1">AL4*-0.67</f>
        <v>-97430.52900000001</v>
      </c>
      <c r="AM5" s="10">
        <f t="shared" si="1"/>
        <v>-102302.05545000001</v>
      </c>
      <c r="AN5" s="10">
        <f t="shared" si="1"/>
        <v>-107417.15822250002</v>
      </c>
      <c r="AO5" s="10">
        <f t="shared" si="1"/>
        <v>-112788.01613362503</v>
      </c>
      <c r="AP5" s="10">
        <f t="shared" si="1"/>
        <v>-118427.41694030628</v>
      </c>
      <c r="AQ5" s="10">
        <f t="shared" si="1"/>
        <v>-124348.78778732159</v>
      </c>
      <c r="AR5" s="10">
        <f t="shared" si="1"/>
        <v>-130566.22717668768</v>
      </c>
      <c r="AS5" s="10">
        <f t="shared" si="1"/>
        <v>-137094.53853552206</v>
      </c>
      <c r="AT5" s="10">
        <f t="shared" si="1"/>
        <v>-143949.26546229818</v>
      </c>
    </row>
    <row r="6" spans="1:300" x14ac:dyDescent="0.25">
      <c r="A6" s="2" t="s">
        <v>47</v>
      </c>
      <c r="B6" s="18">
        <f>B4*B5</f>
        <v>179339.69999999998</v>
      </c>
      <c r="C6" s="2" t="s">
        <v>53</v>
      </c>
      <c r="D6" s="10">
        <f>SUM(D4:D5)</f>
        <v>7617</v>
      </c>
      <c r="E6" s="10">
        <f>SUM(E4:E5)</f>
        <v>9225</v>
      </c>
      <c r="F6" s="10">
        <f>SUM(F4:F5)</f>
        <v>9353</v>
      </c>
      <c r="G6" s="10">
        <f t="shared" ref="G6" si="2">SUM(G4:G5)</f>
        <v>10237</v>
      </c>
      <c r="H6" s="10">
        <f>SUM(H4:H5)</f>
        <v>11586</v>
      </c>
      <c r="I6" s="10">
        <f>SUM(I4:I5)</f>
        <v>11724</v>
      </c>
      <c r="J6" s="10">
        <f>SUM(J4:J5)</f>
        <v>12007</v>
      </c>
      <c r="K6" s="10">
        <f t="shared" ref="K6:S6" si="3">SUM(K4:K5)</f>
        <v>11720</v>
      </c>
      <c r="L6" s="10">
        <f t="shared" si="3"/>
        <v>11567</v>
      </c>
      <c r="M6" s="10">
        <f t="shared" si="3"/>
        <v>12150</v>
      </c>
      <c r="N6" s="10">
        <f t="shared" si="3"/>
        <v>11826</v>
      </c>
      <c r="O6" s="10">
        <f t="shared" si="3"/>
        <v>12074</v>
      </c>
      <c r="P6" s="10">
        <f t="shared" si="3"/>
        <v>11474</v>
      </c>
      <c r="Q6" s="10">
        <f t="shared" si="3"/>
        <v>11401</v>
      </c>
      <c r="R6" s="10">
        <f t="shared" si="3"/>
        <v>11573</v>
      </c>
      <c r="S6" s="10">
        <f t="shared" si="3"/>
        <v>11695</v>
      </c>
      <c r="T6" s="10">
        <f t="shared" ref="T6:U6" si="4">SUM(T4:T5)</f>
        <v>11085</v>
      </c>
      <c r="U6" s="10">
        <f t="shared" si="4"/>
        <v>11445</v>
      </c>
      <c r="V6" s="10"/>
      <c r="W6" s="10"/>
      <c r="X6" s="10"/>
      <c r="Y6" s="10"/>
      <c r="Z6" s="10">
        <f t="shared" ref="Z6:AI6" si="5">SUM(Z4:Z5)</f>
        <v>26292</v>
      </c>
      <c r="AA6" s="10">
        <f t="shared" si="5"/>
        <v>28230</v>
      </c>
      <c r="AB6" s="10">
        <f t="shared" si="5"/>
        <v>31857</v>
      </c>
      <c r="AC6" s="10">
        <f t="shared" si="5"/>
        <v>32005</v>
      </c>
      <c r="AD6" s="10">
        <f t="shared" si="5"/>
        <v>37856</v>
      </c>
      <c r="AE6" s="10">
        <f t="shared" si="5"/>
        <v>39439</v>
      </c>
      <c r="AF6" s="10">
        <f t="shared" si="5"/>
        <v>35093</v>
      </c>
      <c r="AG6" s="10">
        <f t="shared" si="5"/>
        <v>37228</v>
      </c>
      <c r="AH6" s="10">
        <f t="shared" si="5"/>
        <v>44520</v>
      </c>
      <c r="AI6" s="10">
        <f t="shared" si="5"/>
        <v>47617</v>
      </c>
      <c r="AJ6" s="10">
        <f t="shared" ref="AJ6:AT6" si="6">SUM(AJ4:AJ5)</f>
        <v>46143</v>
      </c>
      <c r="AK6" s="12">
        <f t="shared" si="6"/>
        <v>45703.01999999999</v>
      </c>
      <c r="AL6" s="10">
        <f t="shared" si="6"/>
        <v>47988.171000000002</v>
      </c>
      <c r="AM6" s="10">
        <f t="shared" si="6"/>
        <v>50387.579549999995</v>
      </c>
      <c r="AN6" s="10">
        <f t="shared" si="6"/>
        <v>52906.958527499999</v>
      </c>
      <c r="AO6" s="10">
        <f t="shared" si="6"/>
        <v>55552.306453875004</v>
      </c>
      <c r="AP6" s="10">
        <f t="shared" si="6"/>
        <v>58329.92177656875</v>
      </c>
      <c r="AQ6" s="10">
        <f t="shared" si="6"/>
        <v>61246.41786539719</v>
      </c>
      <c r="AR6" s="10">
        <f t="shared" si="6"/>
        <v>64308.738758667052</v>
      </c>
      <c r="AS6" s="10">
        <f t="shared" si="6"/>
        <v>67524.175696600403</v>
      </c>
      <c r="AT6" s="10">
        <f t="shared" si="6"/>
        <v>70900.384481430432</v>
      </c>
    </row>
    <row r="7" spans="1:300" x14ac:dyDescent="0.25">
      <c r="A7" s="2" t="s">
        <v>48</v>
      </c>
      <c r="B7" s="12">
        <f>T43</f>
        <v>10741</v>
      </c>
      <c r="C7" s="2" t="s">
        <v>54</v>
      </c>
      <c r="D7" s="10">
        <v>-5968</v>
      </c>
      <c r="E7" s="10">
        <v>-6585</v>
      </c>
      <c r="F7" s="10">
        <v>-6575</v>
      </c>
      <c r="G7" s="10">
        <v>-6132</v>
      </c>
      <c r="H7" s="10">
        <v>-7143</v>
      </c>
      <c r="I7" s="10">
        <v>-7517</v>
      </c>
      <c r="J7" s="10">
        <v>-8366</v>
      </c>
      <c r="K7" s="10">
        <v>-6874</v>
      </c>
      <c r="L7" s="10">
        <v>-6689</v>
      </c>
      <c r="M7" s="10">
        <v>-6808</v>
      </c>
      <c r="N7" s="10">
        <v>-6735</v>
      </c>
      <c r="O7" s="10">
        <v>-7119</v>
      </c>
      <c r="P7" s="10">
        <v>-6768</v>
      </c>
      <c r="Q7" s="10">
        <v>-6708</v>
      </c>
      <c r="R7" s="10">
        <v>-6517</v>
      </c>
      <c r="S7" s="10">
        <v>-6578</v>
      </c>
      <c r="T7" s="10">
        <v>-6482</v>
      </c>
      <c r="U7" s="10">
        <v>-6760</v>
      </c>
      <c r="V7" s="10"/>
      <c r="W7" s="10"/>
      <c r="X7" s="10"/>
      <c r="Y7" s="10"/>
      <c r="Z7" s="10">
        <f>-16287-519</f>
        <v>-16806</v>
      </c>
      <c r="AA7" s="10">
        <f>-17086-2293</f>
        <v>-19379</v>
      </c>
      <c r="AB7" s="10">
        <f>-19130-346</f>
        <v>-19476</v>
      </c>
      <c r="AC7" s="10">
        <f>-20570+62</f>
        <v>-20508</v>
      </c>
      <c r="AD7" s="10">
        <f>-22319-470</f>
        <v>-22789</v>
      </c>
      <c r="AE7" s="10">
        <f>-22088+122</f>
        <v>-21966</v>
      </c>
      <c r="AF7" s="10">
        <f>-21617+517</f>
        <v>-21100</v>
      </c>
      <c r="AG7" s="10">
        <f>-26107-272</f>
        <v>-26379</v>
      </c>
      <c r="AH7" s="10">
        <v>-25661</v>
      </c>
      <c r="AI7" s="10">
        <v>-27351</v>
      </c>
      <c r="AJ7" s="10">
        <v>-26571</v>
      </c>
      <c r="AK7" s="12">
        <f>AJ7*1.04</f>
        <v>-27633.84</v>
      </c>
      <c r="AL7" s="10">
        <f>AK7*1.05</f>
        <v>-29015.532000000003</v>
      </c>
      <c r="AM7" s="10">
        <f t="shared" ref="AM7:AT7" si="7">AL7*1.05</f>
        <v>-30466.308600000004</v>
      </c>
      <c r="AN7" s="10">
        <f t="shared" si="7"/>
        <v>-31989.624030000006</v>
      </c>
      <c r="AO7" s="10">
        <f t="shared" si="7"/>
        <v>-33589.105231500005</v>
      </c>
      <c r="AP7" s="10">
        <f t="shared" si="7"/>
        <v>-35268.560493075005</v>
      </c>
      <c r="AQ7" s="10">
        <f t="shared" si="7"/>
        <v>-37031.988517728758</v>
      </c>
      <c r="AR7" s="10">
        <f t="shared" si="7"/>
        <v>-38883.587943615195</v>
      </c>
      <c r="AS7" s="10">
        <f t="shared" si="7"/>
        <v>-40827.767340795959</v>
      </c>
      <c r="AT7" s="10">
        <f t="shared" si="7"/>
        <v>-42869.155707835758</v>
      </c>
    </row>
    <row r="8" spans="1:300" x14ac:dyDescent="0.25">
      <c r="A8" s="2" t="s">
        <v>49</v>
      </c>
      <c r="B8" s="12">
        <f>(T50+T55)</f>
        <v>42311</v>
      </c>
      <c r="C8" s="2" t="s">
        <v>55</v>
      </c>
      <c r="D8" s="10">
        <v>14</v>
      </c>
      <c r="E8" s="10">
        <v>10</v>
      </c>
      <c r="F8" s="10">
        <v>6</v>
      </c>
      <c r="G8" s="10">
        <v>7</v>
      </c>
      <c r="H8" s="10">
        <v>2</v>
      </c>
      <c r="I8" s="10">
        <v>8</v>
      </c>
      <c r="J8" s="10">
        <v>22</v>
      </c>
      <c r="K8" s="10">
        <v>7</v>
      </c>
      <c r="L8" s="10">
        <v>2</v>
      </c>
      <c r="M8" s="10">
        <v>56</v>
      </c>
      <c r="N8" s="10">
        <v>0</v>
      </c>
      <c r="O8" s="10">
        <v>14</v>
      </c>
      <c r="P8" s="10">
        <v>0</v>
      </c>
      <c r="Q8" s="10">
        <v>0</v>
      </c>
      <c r="R8" s="10">
        <v>0</v>
      </c>
      <c r="S8" s="10">
        <v>0</v>
      </c>
      <c r="T8" s="10">
        <v>-179</v>
      </c>
      <c r="U8" s="10">
        <v>-581</v>
      </c>
      <c r="V8" s="10"/>
      <c r="W8" s="10"/>
      <c r="X8" s="10"/>
      <c r="Y8" s="10"/>
      <c r="Z8" s="10">
        <v>198</v>
      </c>
      <c r="AA8" s="10">
        <v>157</v>
      </c>
      <c r="AB8" s="10">
        <v>169</v>
      </c>
      <c r="AC8" s="10">
        <v>63</v>
      </c>
      <c r="AD8" s="10">
        <v>60</v>
      </c>
      <c r="AE8" s="10">
        <v>94</v>
      </c>
      <c r="AF8" s="10">
        <v>58</v>
      </c>
      <c r="AG8" s="10">
        <v>38</v>
      </c>
      <c r="AH8" s="10">
        <v>39</v>
      </c>
      <c r="AI8" s="10">
        <v>78</v>
      </c>
      <c r="AJ8" s="10">
        <v>0</v>
      </c>
      <c r="AK8" s="12">
        <f>AJ8*1.03</f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</row>
    <row r="9" spans="1:300" x14ac:dyDescent="0.25">
      <c r="A9" s="6" t="s">
        <v>50</v>
      </c>
      <c r="B9" s="27">
        <f>B6-B7+B8</f>
        <v>210909.69999999998</v>
      </c>
      <c r="C9" s="1" t="s">
        <v>56</v>
      </c>
      <c r="D9" s="9">
        <f>SUM(D6:D8)</f>
        <v>1663</v>
      </c>
      <c r="E9" s="9">
        <f>SUM(E6:E8)</f>
        <v>2650</v>
      </c>
      <c r="F9" s="9">
        <f>SUM(F6:F8)</f>
        <v>2784</v>
      </c>
      <c r="G9" s="9">
        <f t="shared" ref="G9" si="8">SUM(G6:G8)</f>
        <v>4112</v>
      </c>
      <c r="H9" s="9">
        <f>SUM(H6:H8)</f>
        <v>4445</v>
      </c>
      <c r="I9" s="9">
        <f>SUM(I6:I8)</f>
        <v>4215</v>
      </c>
      <c r="J9" s="9">
        <f>SUM(J6:J8)</f>
        <v>3663</v>
      </c>
      <c r="K9" s="9">
        <f t="shared" ref="K9:S9" si="9">SUM(K6:K8)</f>
        <v>4853</v>
      </c>
      <c r="L9" s="9">
        <f t="shared" si="9"/>
        <v>4880</v>
      </c>
      <c r="M9" s="9">
        <f t="shared" si="9"/>
        <v>5398</v>
      </c>
      <c r="N9" s="9">
        <f t="shared" si="9"/>
        <v>5091</v>
      </c>
      <c r="O9" s="9">
        <f t="shared" si="9"/>
        <v>4969</v>
      </c>
      <c r="P9" s="9">
        <f t="shared" si="9"/>
        <v>4706</v>
      </c>
      <c r="Q9" s="9">
        <f t="shared" si="9"/>
        <v>4693</v>
      </c>
      <c r="R9" s="9">
        <f t="shared" si="9"/>
        <v>5056</v>
      </c>
      <c r="S9" s="9">
        <f t="shared" si="9"/>
        <v>5117</v>
      </c>
      <c r="T9" s="9">
        <f t="shared" ref="T9:U9" si="10">SUM(T6:T8)</f>
        <v>4424</v>
      </c>
      <c r="U9" s="9">
        <f t="shared" si="10"/>
        <v>4104</v>
      </c>
      <c r="V9" s="9"/>
      <c r="W9" s="9"/>
      <c r="X9" s="10"/>
      <c r="Y9" s="10"/>
      <c r="Z9" s="9">
        <f t="shared" ref="Z9:AI9" si="11">SUM(Z6:Z8)</f>
        <v>9684</v>
      </c>
      <c r="AA9" s="9">
        <f t="shared" si="11"/>
        <v>9008</v>
      </c>
      <c r="AB9" s="9">
        <f t="shared" si="11"/>
        <v>12550</v>
      </c>
      <c r="AC9" s="9">
        <f t="shared" si="11"/>
        <v>11560</v>
      </c>
      <c r="AD9" s="9">
        <f t="shared" si="11"/>
        <v>15127</v>
      </c>
      <c r="AE9" s="9">
        <f t="shared" si="11"/>
        <v>17567</v>
      </c>
      <c r="AF9" s="9">
        <f t="shared" si="11"/>
        <v>14051</v>
      </c>
      <c r="AG9" s="9">
        <f t="shared" si="11"/>
        <v>10887</v>
      </c>
      <c r="AH9" s="9">
        <f t="shared" si="11"/>
        <v>18898</v>
      </c>
      <c r="AI9" s="9">
        <f t="shared" si="11"/>
        <v>20344</v>
      </c>
      <c r="AJ9" s="9">
        <f t="shared" ref="AJ9:AT9" si="12">SUM(AJ6:AJ8)</f>
        <v>19572</v>
      </c>
      <c r="AK9" s="11">
        <f t="shared" si="12"/>
        <v>18069.179999999989</v>
      </c>
      <c r="AL9" s="9">
        <f t="shared" si="12"/>
        <v>18972.638999999999</v>
      </c>
      <c r="AM9" s="9">
        <f t="shared" si="12"/>
        <v>19921.270949999991</v>
      </c>
      <c r="AN9" s="9">
        <f t="shared" si="12"/>
        <v>20917.334497499993</v>
      </c>
      <c r="AO9" s="9">
        <f t="shared" si="12"/>
        <v>21963.201222374999</v>
      </c>
      <c r="AP9" s="9">
        <f t="shared" si="12"/>
        <v>23061.361283493745</v>
      </c>
      <c r="AQ9" s="9">
        <f t="shared" si="12"/>
        <v>24214.429347668432</v>
      </c>
      <c r="AR9" s="9">
        <f t="shared" si="12"/>
        <v>25425.150815051857</v>
      </c>
      <c r="AS9" s="9">
        <f t="shared" si="12"/>
        <v>26696.408355804444</v>
      </c>
      <c r="AT9" s="9">
        <f t="shared" si="12"/>
        <v>28031.228773594674</v>
      </c>
    </row>
    <row r="10" spans="1:300" x14ac:dyDescent="0.25">
      <c r="C10" s="2" t="s">
        <v>57</v>
      </c>
      <c r="D10" s="10">
        <v>-513</v>
      </c>
      <c r="E10" s="10">
        <v>-283</v>
      </c>
      <c r="F10" s="10">
        <v>-293</v>
      </c>
      <c r="G10" s="10">
        <v>-288</v>
      </c>
      <c r="H10" s="10">
        <v>-286</v>
      </c>
      <c r="I10" s="10">
        <v>-314</v>
      </c>
      <c r="J10" s="10">
        <v>-596</v>
      </c>
      <c r="K10" s="10">
        <v>-270</v>
      </c>
      <c r="L10" s="10">
        <v>-320</v>
      </c>
      <c r="M10" s="10">
        <v>-258</v>
      </c>
      <c r="N10" s="10">
        <v>-262</v>
      </c>
      <c r="O10" s="10">
        <v>-270</v>
      </c>
      <c r="P10" s="10">
        <v>-256</v>
      </c>
      <c r="Q10" s="10">
        <v>-241</v>
      </c>
      <c r="R10" s="10">
        <v>-243</v>
      </c>
      <c r="S10" s="10">
        <v>-232</v>
      </c>
      <c r="T10" s="10">
        <v>-245</v>
      </c>
      <c r="U10" s="10">
        <v>-259</v>
      </c>
      <c r="V10" s="10"/>
      <c r="W10" s="10"/>
      <c r="X10" s="10"/>
      <c r="Y10" s="10"/>
      <c r="Z10" s="10">
        <v>0</v>
      </c>
      <c r="AA10" s="10">
        <v>0</v>
      </c>
      <c r="AB10" s="10">
        <f>-560-85</f>
        <v>-645</v>
      </c>
      <c r="AC10" s="10">
        <f>-732-69</f>
        <v>-801</v>
      </c>
      <c r="AD10" s="10">
        <v>-778</v>
      </c>
      <c r="AE10" s="10">
        <v>-809</v>
      </c>
      <c r="AF10" s="10">
        <v>-852</v>
      </c>
      <c r="AG10" s="10">
        <f>-1116-292</f>
        <v>-1408</v>
      </c>
      <c r="AH10" s="10">
        <v>-1109</v>
      </c>
      <c r="AI10" s="10">
        <v>-1110</v>
      </c>
      <c r="AJ10" s="10">
        <v>-972</v>
      </c>
      <c r="AK10" s="12">
        <f>AJ10*1.01</f>
        <v>-981.72</v>
      </c>
      <c r="AL10" s="10">
        <f t="shared" ref="AL10:AT10" si="13">AK10*1.01</f>
        <v>-991.53719999999998</v>
      </c>
      <c r="AM10" s="10">
        <f t="shared" si="13"/>
        <v>-1001.452572</v>
      </c>
      <c r="AN10" s="10">
        <f t="shared" si="13"/>
        <v>-1011.4670977200001</v>
      </c>
      <c r="AO10" s="10">
        <f t="shared" si="13"/>
        <v>-1021.5817686972001</v>
      </c>
      <c r="AP10" s="10">
        <f t="shared" si="13"/>
        <v>-1031.7975863841721</v>
      </c>
      <c r="AQ10" s="10">
        <f t="shared" si="13"/>
        <v>-1042.1155622480137</v>
      </c>
      <c r="AR10" s="10">
        <f t="shared" si="13"/>
        <v>-1052.5367178704939</v>
      </c>
      <c r="AS10" s="10">
        <f t="shared" si="13"/>
        <v>-1063.0620850491989</v>
      </c>
      <c r="AT10" s="10">
        <f t="shared" si="13"/>
        <v>-1073.692705899691</v>
      </c>
    </row>
    <row r="11" spans="1:300" x14ac:dyDescent="0.25">
      <c r="C11" s="1" t="s">
        <v>58</v>
      </c>
      <c r="D11" s="9">
        <f>SUM(D9:D10)</f>
        <v>1150</v>
      </c>
      <c r="E11" s="9">
        <f>SUM(E9:E10)</f>
        <v>2367</v>
      </c>
      <c r="F11" s="9">
        <f>SUM(F9:F10)</f>
        <v>2491</v>
      </c>
      <c r="G11" s="9">
        <f t="shared" ref="G11" si="14">SUM(G9:G10)</f>
        <v>3824</v>
      </c>
      <c r="H11" s="9">
        <f>SUM(H9:H10)</f>
        <v>4159</v>
      </c>
      <c r="I11" s="9">
        <f>SUM(I9:I10)</f>
        <v>3901</v>
      </c>
      <c r="J11" s="9">
        <f>SUM(J9:J10)</f>
        <v>3067</v>
      </c>
      <c r="K11" s="9">
        <f t="shared" ref="K11:S11" si="15">SUM(K9:K10)</f>
        <v>4583</v>
      </c>
      <c r="L11" s="9">
        <f t="shared" si="15"/>
        <v>4560</v>
      </c>
      <c r="M11" s="9">
        <f t="shared" si="15"/>
        <v>5140</v>
      </c>
      <c r="N11" s="9">
        <f t="shared" si="15"/>
        <v>4829</v>
      </c>
      <c r="O11" s="9">
        <f t="shared" si="15"/>
        <v>4699</v>
      </c>
      <c r="P11" s="9">
        <f t="shared" si="15"/>
        <v>4450</v>
      </c>
      <c r="Q11" s="9">
        <f t="shared" si="15"/>
        <v>4452</v>
      </c>
      <c r="R11" s="9">
        <f t="shared" si="15"/>
        <v>4813</v>
      </c>
      <c r="S11" s="9">
        <f t="shared" si="15"/>
        <v>4885</v>
      </c>
      <c r="T11" s="9">
        <f t="shared" ref="T11:U11" si="16">SUM(T9:T10)</f>
        <v>4179</v>
      </c>
      <c r="U11" s="9">
        <f t="shared" si="16"/>
        <v>3845</v>
      </c>
      <c r="V11" s="9"/>
      <c r="W11" s="9"/>
      <c r="X11" s="9"/>
      <c r="Y11" s="10"/>
      <c r="Z11" s="9">
        <f t="shared" ref="Z11:AI11" si="17">SUM(Z9:Z10)</f>
        <v>9684</v>
      </c>
      <c r="AA11" s="9">
        <f t="shared" si="17"/>
        <v>9008</v>
      </c>
      <c r="AB11" s="9">
        <f t="shared" si="17"/>
        <v>11905</v>
      </c>
      <c r="AC11" s="9">
        <f t="shared" si="17"/>
        <v>10759</v>
      </c>
      <c r="AD11" s="9">
        <f t="shared" si="17"/>
        <v>14349</v>
      </c>
      <c r="AE11" s="9">
        <f t="shared" si="17"/>
        <v>16758</v>
      </c>
      <c r="AF11" s="9">
        <f t="shared" si="17"/>
        <v>13199</v>
      </c>
      <c r="AG11" s="9">
        <f t="shared" si="17"/>
        <v>9479</v>
      </c>
      <c r="AH11" s="9">
        <f t="shared" si="17"/>
        <v>17789</v>
      </c>
      <c r="AI11" s="9">
        <f t="shared" si="17"/>
        <v>19234</v>
      </c>
      <c r="AJ11" s="9">
        <f t="shared" ref="AJ11:AT11" si="18">SUM(AJ9:AJ10)</f>
        <v>18600</v>
      </c>
      <c r="AK11" s="11">
        <f t="shared" si="18"/>
        <v>17087.459999999988</v>
      </c>
      <c r="AL11" s="9">
        <f t="shared" si="18"/>
        <v>17981.1018</v>
      </c>
      <c r="AM11" s="9">
        <f t="shared" si="18"/>
        <v>18919.818377999993</v>
      </c>
      <c r="AN11" s="9">
        <f t="shared" si="18"/>
        <v>19905.867399779992</v>
      </c>
      <c r="AO11" s="9">
        <f t="shared" si="18"/>
        <v>20941.619453677798</v>
      </c>
      <c r="AP11" s="9">
        <f t="shared" si="18"/>
        <v>22029.563697109574</v>
      </c>
      <c r="AQ11" s="9">
        <f t="shared" si="18"/>
        <v>23172.313785420418</v>
      </c>
      <c r="AR11" s="9">
        <f t="shared" si="18"/>
        <v>24372.614097181362</v>
      </c>
      <c r="AS11" s="9">
        <f t="shared" si="18"/>
        <v>25633.346270755246</v>
      </c>
      <c r="AT11" s="9">
        <f t="shared" si="18"/>
        <v>26957.536067694982</v>
      </c>
    </row>
    <row r="12" spans="1:300" x14ac:dyDescent="0.25">
      <c r="A12" s="2" t="s">
        <v>217</v>
      </c>
      <c r="B12" s="66">
        <f>(B8-B7)/AK9</f>
        <v>1.7471739171340381</v>
      </c>
      <c r="C12" s="2" t="s">
        <v>59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-1</v>
      </c>
      <c r="Q12" s="10">
        <v>14</v>
      </c>
      <c r="R12" s="10">
        <v>-4</v>
      </c>
      <c r="S12" s="10">
        <v>5</v>
      </c>
      <c r="T12" s="10">
        <v>-4</v>
      </c>
      <c r="U12" s="10">
        <v>37</v>
      </c>
      <c r="V12" s="10"/>
      <c r="W12" s="10"/>
      <c r="X12" s="10"/>
      <c r="Y12" s="10"/>
      <c r="Z12" s="2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412</v>
      </c>
      <c r="AI12" s="10">
        <v>593</v>
      </c>
      <c r="AJ12" s="10">
        <v>14</v>
      </c>
      <c r="AK12" s="12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</row>
    <row r="13" spans="1:300" x14ac:dyDescent="0.25">
      <c r="C13" s="2" t="s">
        <v>60</v>
      </c>
      <c r="D13" s="10">
        <v>-208</v>
      </c>
      <c r="E13" s="10">
        <v>-224</v>
      </c>
      <c r="F13" s="10">
        <v>-368</v>
      </c>
      <c r="G13" s="10">
        <v>-561</v>
      </c>
      <c r="H13" s="10">
        <v>-655</v>
      </c>
      <c r="I13" s="10">
        <v>-633</v>
      </c>
      <c r="J13" s="10">
        <v>-691</v>
      </c>
      <c r="K13" s="10">
        <v>-499</v>
      </c>
      <c r="L13" s="10">
        <v>-607</v>
      </c>
      <c r="M13" s="10">
        <v>-478</v>
      </c>
      <c r="N13" s="10">
        <v>-430</v>
      </c>
      <c r="O13" s="10">
        <v>-416</v>
      </c>
      <c r="P13" s="10">
        <v>-373</v>
      </c>
      <c r="Q13" s="10">
        <v>-333</v>
      </c>
      <c r="R13" s="10">
        <v>-369</v>
      </c>
      <c r="S13" s="10">
        <v>-309</v>
      </c>
      <c r="T13" s="10">
        <v>-250</v>
      </c>
      <c r="U13" s="10">
        <v>-307</v>
      </c>
      <c r="V13" s="10"/>
      <c r="W13" s="10"/>
      <c r="X13" s="10"/>
      <c r="Y13" s="10"/>
      <c r="Z13" s="10">
        <f>312-1140</f>
        <v>-828</v>
      </c>
      <c r="AA13" s="10">
        <f>202-1037</f>
        <v>-835</v>
      </c>
      <c r="AB13" s="10">
        <f>158-1340</f>
        <v>-1182</v>
      </c>
      <c r="AC13" s="10">
        <f>91-1248</f>
        <v>-1157</v>
      </c>
      <c r="AD13" s="10">
        <f>106-1415</f>
        <v>-1309</v>
      </c>
      <c r="AE13" s="10">
        <f>108-1066</f>
        <v>-958</v>
      </c>
      <c r="AF13" s="10">
        <f>102-764</f>
        <v>-662</v>
      </c>
      <c r="AG13" s="10">
        <f>173-1543</f>
        <v>-1370</v>
      </c>
      <c r="AH13" s="10">
        <v>-2768</v>
      </c>
      <c r="AI13" s="10">
        <v>-2524</v>
      </c>
      <c r="AJ13" s="10">
        <v>-1384</v>
      </c>
      <c r="AK13" s="12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</row>
    <row r="14" spans="1:300" x14ac:dyDescent="0.25">
      <c r="C14" s="2" t="s">
        <v>61</v>
      </c>
      <c r="D14" s="10">
        <f>SUM(D11:D13)</f>
        <v>942</v>
      </c>
      <c r="E14" s="10">
        <f>SUM(E11:E13)</f>
        <v>2143</v>
      </c>
      <c r="F14" s="10">
        <f>SUM(F11:F13)</f>
        <v>2123</v>
      </c>
      <c r="G14" s="10">
        <f t="shared" ref="G14" si="19">SUM(G11:G13)</f>
        <v>3263</v>
      </c>
      <c r="H14" s="10">
        <f>SUM(H11:H13)</f>
        <v>3504</v>
      </c>
      <c r="I14" s="10">
        <f>SUM(I11:I13)</f>
        <v>3268</v>
      </c>
      <c r="J14" s="10">
        <f>SUM(J11:J13)</f>
        <v>2376</v>
      </c>
      <c r="K14" s="10">
        <f t="shared" ref="K14:S14" si="20">SUM(K11:K13)</f>
        <v>4084</v>
      </c>
      <c r="L14" s="10">
        <f t="shared" si="20"/>
        <v>3953</v>
      </c>
      <c r="M14" s="10">
        <f t="shared" si="20"/>
        <v>4662</v>
      </c>
      <c r="N14" s="10">
        <f t="shared" si="20"/>
        <v>4399</v>
      </c>
      <c r="O14" s="10">
        <f t="shared" si="20"/>
        <v>4283</v>
      </c>
      <c r="P14" s="10">
        <f t="shared" si="20"/>
        <v>4076</v>
      </c>
      <c r="Q14" s="10">
        <f t="shared" si="20"/>
        <v>4133</v>
      </c>
      <c r="R14" s="10">
        <f t="shared" si="20"/>
        <v>4440</v>
      </c>
      <c r="S14" s="10">
        <f t="shared" si="20"/>
        <v>4581</v>
      </c>
      <c r="T14" s="10">
        <f t="shared" ref="T14:U14" si="21">SUM(T11:T13)</f>
        <v>3925</v>
      </c>
      <c r="U14" s="10">
        <f t="shared" si="21"/>
        <v>3575</v>
      </c>
      <c r="V14" s="10"/>
      <c r="W14" s="10"/>
      <c r="X14" s="10"/>
      <c r="Y14" s="10"/>
      <c r="Z14" s="10">
        <f t="shared" ref="Z14:AI14" si="22">SUM(Z11:Z13)</f>
        <v>8856</v>
      </c>
      <c r="AA14" s="10">
        <f t="shared" si="22"/>
        <v>8173</v>
      </c>
      <c r="AB14" s="10">
        <f t="shared" si="22"/>
        <v>10723</v>
      </c>
      <c r="AC14" s="10">
        <f t="shared" si="22"/>
        <v>9602</v>
      </c>
      <c r="AD14" s="10">
        <f t="shared" si="22"/>
        <v>13040</v>
      </c>
      <c r="AE14" s="10">
        <f t="shared" si="22"/>
        <v>15800</v>
      </c>
      <c r="AF14" s="10">
        <f t="shared" si="22"/>
        <v>12537</v>
      </c>
      <c r="AG14" s="10">
        <f t="shared" si="22"/>
        <v>8109</v>
      </c>
      <c r="AH14" s="10">
        <f t="shared" si="22"/>
        <v>15433</v>
      </c>
      <c r="AI14" s="10">
        <f t="shared" si="22"/>
        <v>17303</v>
      </c>
      <c r="AJ14" s="10">
        <f t="shared" ref="AJ14:AT14" si="23">SUM(AJ11:AJ13)</f>
        <v>17230</v>
      </c>
      <c r="AK14" s="12">
        <f t="shared" si="23"/>
        <v>17087.459999999988</v>
      </c>
      <c r="AL14" s="10">
        <f t="shared" si="23"/>
        <v>17981.1018</v>
      </c>
      <c r="AM14" s="10">
        <f t="shared" si="23"/>
        <v>18919.818377999993</v>
      </c>
      <c r="AN14" s="10">
        <f t="shared" si="23"/>
        <v>19905.867399779992</v>
      </c>
      <c r="AO14" s="10">
        <f t="shared" si="23"/>
        <v>20941.619453677798</v>
      </c>
      <c r="AP14" s="10">
        <f t="shared" si="23"/>
        <v>22029.563697109574</v>
      </c>
      <c r="AQ14" s="10">
        <f t="shared" si="23"/>
        <v>23172.313785420418</v>
      </c>
      <c r="AR14" s="10">
        <f t="shared" si="23"/>
        <v>24372.614097181362</v>
      </c>
      <c r="AS14" s="10">
        <f t="shared" si="23"/>
        <v>25633.346270755246</v>
      </c>
      <c r="AT14" s="10">
        <f t="shared" si="23"/>
        <v>26957.536067694982</v>
      </c>
    </row>
    <row r="15" spans="1:300" x14ac:dyDescent="0.25">
      <c r="C15" s="2" t="s">
        <v>62</v>
      </c>
      <c r="D15" s="10">
        <v>-421</v>
      </c>
      <c r="E15" s="10">
        <v>-470</v>
      </c>
      <c r="F15" s="10">
        <v>-499</v>
      </c>
      <c r="G15" s="10">
        <v>-736</v>
      </c>
      <c r="H15" s="10">
        <v>-801</v>
      </c>
      <c r="I15" s="10">
        <v>-717</v>
      </c>
      <c r="J15" s="10">
        <v>-725</v>
      </c>
      <c r="K15" s="10">
        <v>-984</v>
      </c>
      <c r="L15" s="10">
        <v>-1050</v>
      </c>
      <c r="M15" s="10">
        <v>-1166</v>
      </c>
      <c r="N15" s="10">
        <v>-1109</v>
      </c>
      <c r="O15" s="10">
        <v>-1106</v>
      </c>
      <c r="P15" s="10">
        <v>-1025</v>
      </c>
      <c r="Q15" s="10">
        <v>-1014</v>
      </c>
      <c r="R15" s="10">
        <v>-1178</v>
      </c>
      <c r="S15" s="10">
        <v>-1226</v>
      </c>
      <c r="T15" s="10">
        <v>-1041</v>
      </c>
      <c r="U15" s="10">
        <v>-883</v>
      </c>
      <c r="V15" s="10"/>
      <c r="W15" s="10"/>
      <c r="X15" s="10"/>
      <c r="Y15" s="10"/>
      <c r="Z15" s="10">
        <v>-2278</v>
      </c>
      <c r="AA15" s="10">
        <v>-3931</v>
      </c>
      <c r="AB15" s="10">
        <v>-1938</v>
      </c>
      <c r="AC15" s="10">
        <v>-1050</v>
      </c>
      <c r="AD15" s="10">
        <v>-2828</v>
      </c>
      <c r="AE15" s="10">
        <v>-4053</v>
      </c>
      <c r="AF15" s="10">
        <v>-2727</v>
      </c>
      <c r="AG15" s="10">
        <v>-2045</v>
      </c>
      <c r="AH15" s="10">
        <v>-3275</v>
      </c>
      <c r="AI15" s="10">
        <v>-4331</v>
      </c>
      <c r="AJ15" s="10">
        <v>-4443</v>
      </c>
      <c r="AK15" s="12">
        <f>AK14*-0.2</f>
        <v>-3417.4919999999979</v>
      </c>
      <c r="AL15" s="10">
        <f t="shared" ref="AL15:AT15" si="24">AL14*-0.2</f>
        <v>-3596.2203600000003</v>
      </c>
      <c r="AM15" s="10">
        <f t="shared" si="24"/>
        <v>-3783.9636755999986</v>
      </c>
      <c r="AN15" s="10">
        <f t="shared" si="24"/>
        <v>-3981.1734799559986</v>
      </c>
      <c r="AO15" s="10">
        <f t="shared" si="24"/>
        <v>-4188.3238907355599</v>
      </c>
      <c r="AP15" s="10">
        <f t="shared" si="24"/>
        <v>-4405.9127394219149</v>
      </c>
      <c r="AQ15" s="10">
        <f t="shared" si="24"/>
        <v>-4634.4627570840839</v>
      </c>
      <c r="AR15" s="10">
        <f t="shared" si="24"/>
        <v>-4874.5228194362726</v>
      </c>
      <c r="AS15" s="10">
        <f t="shared" si="24"/>
        <v>-5126.6692541510492</v>
      </c>
      <c r="AT15" s="10">
        <f t="shared" si="24"/>
        <v>-5391.5072135389964</v>
      </c>
    </row>
    <row r="16" spans="1:300" x14ac:dyDescent="0.25">
      <c r="C16" s="1" t="s">
        <v>63</v>
      </c>
      <c r="D16" s="9">
        <f>SUM(D14:D15)</f>
        <v>521</v>
      </c>
      <c r="E16" s="9">
        <f>SUM(E14:E15)</f>
        <v>1673</v>
      </c>
      <c r="F16" s="9">
        <f>SUM(F14:F15)</f>
        <v>1624</v>
      </c>
      <c r="G16" s="9">
        <f t="shared" ref="G16" si="25">SUM(G14:G15)</f>
        <v>2527</v>
      </c>
      <c r="H16" s="9">
        <f>SUM(H14:H15)</f>
        <v>2703</v>
      </c>
      <c r="I16" s="9">
        <f>SUM(I14:I15)</f>
        <v>2551</v>
      </c>
      <c r="J16" s="9">
        <f>SUM(J14:J15)</f>
        <v>1651</v>
      </c>
      <c r="K16" s="9">
        <f t="shared" ref="K16:S16" si="26">SUM(K14:K15)</f>
        <v>3100</v>
      </c>
      <c r="L16" s="9">
        <f t="shared" si="26"/>
        <v>2903</v>
      </c>
      <c r="M16" s="9">
        <f t="shared" si="26"/>
        <v>3496</v>
      </c>
      <c r="N16" s="9">
        <f t="shared" si="26"/>
        <v>3290</v>
      </c>
      <c r="O16" s="9">
        <f t="shared" si="26"/>
        <v>3177</v>
      </c>
      <c r="P16" s="9">
        <f t="shared" si="26"/>
        <v>3051</v>
      </c>
      <c r="Q16" s="9">
        <f t="shared" si="26"/>
        <v>3119</v>
      </c>
      <c r="R16" s="9">
        <f t="shared" si="26"/>
        <v>3262</v>
      </c>
      <c r="S16" s="9">
        <f t="shared" si="26"/>
        <v>3355</v>
      </c>
      <c r="T16" s="9">
        <f t="shared" ref="T16:U16" si="27">SUM(T14:T15)</f>
        <v>2884</v>
      </c>
      <c r="U16" s="9">
        <f t="shared" si="27"/>
        <v>2692</v>
      </c>
      <c r="V16" s="9"/>
      <c r="W16" s="9"/>
      <c r="X16" s="9"/>
      <c r="Y16" s="10"/>
      <c r="Z16" s="9">
        <f t="shared" ref="Z16:AI16" si="28">SUM(Z14:Z15)</f>
        <v>6578</v>
      </c>
      <c r="AA16" s="9">
        <f t="shared" si="28"/>
        <v>4242</v>
      </c>
      <c r="AB16" s="9">
        <f t="shared" si="28"/>
        <v>8785</v>
      </c>
      <c r="AC16" s="9">
        <f t="shared" si="28"/>
        <v>8552</v>
      </c>
      <c r="AD16" s="9">
        <f t="shared" si="28"/>
        <v>10212</v>
      </c>
      <c r="AE16" s="9">
        <f t="shared" si="28"/>
        <v>11747</v>
      </c>
      <c r="AF16" s="9">
        <f t="shared" si="28"/>
        <v>9810</v>
      </c>
      <c r="AG16" s="9">
        <f t="shared" si="28"/>
        <v>6064</v>
      </c>
      <c r="AH16" s="9">
        <f t="shared" si="28"/>
        <v>12158</v>
      </c>
      <c r="AI16" s="9">
        <f t="shared" si="28"/>
        <v>12972</v>
      </c>
      <c r="AJ16" s="9">
        <f t="shared" ref="AJ16:AT16" si="29">SUM(AJ14:AJ15)</f>
        <v>12787</v>
      </c>
      <c r="AK16" s="11">
        <f t="shared" si="29"/>
        <v>13669.96799999999</v>
      </c>
      <c r="AL16" s="9">
        <f t="shared" si="29"/>
        <v>14384.881440000001</v>
      </c>
      <c r="AM16" s="9">
        <f t="shared" si="29"/>
        <v>15135.854702399994</v>
      </c>
      <c r="AN16" s="9">
        <f t="shared" si="29"/>
        <v>15924.693919823994</v>
      </c>
      <c r="AO16" s="9">
        <f t="shared" si="29"/>
        <v>16753.295562942239</v>
      </c>
      <c r="AP16" s="9">
        <f t="shared" si="29"/>
        <v>17623.65095768766</v>
      </c>
      <c r="AQ16" s="9">
        <f t="shared" si="29"/>
        <v>18537.851028336336</v>
      </c>
      <c r="AR16" s="9">
        <f t="shared" si="29"/>
        <v>19498.09127774509</v>
      </c>
      <c r="AS16" s="9">
        <f t="shared" si="29"/>
        <v>20506.677016604197</v>
      </c>
      <c r="AT16" s="9">
        <f t="shared" si="29"/>
        <v>21566.028854155986</v>
      </c>
      <c r="AU16" s="9">
        <f>AT16*(1+$AW$20)</f>
        <v>21350.368565614426</v>
      </c>
      <c r="AV16" s="9">
        <f t="shared" ref="AV16:DG16" si="30">AU16*(1+$AW$20)</f>
        <v>21136.864879958281</v>
      </c>
      <c r="AW16" s="9">
        <f t="shared" si="30"/>
        <v>20925.496231158697</v>
      </c>
      <c r="AX16" s="9">
        <f t="shared" si="30"/>
        <v>20716.241268847109</v>
      </c>
      <c r="AY16" s="9">
        <f t="shared" si="30"/>
        <v>20509.078856158638</v>
      </c>
      <c r="AZ16" s="9">
        <f t="shared" si="30"/>
        <v>20303.988067597053</v>
      </c>
      <c r="BA16" s="9">
        <f t="shared" si="30"/>
        <v>20100.948186921083</v>
      </c>
      <c r="BB16" s="9">
        <f t="shared" si="30"/>
        <v>19899.938705051871</v>
      </c>
      <c r="BC16" s="9">
        <f t="shared" si="30"/>
        <v>19700.93931800135</v>
      </c>
      <c r="BD16" s="9">
        <f t="shared" si="30"/>
        <v>19503.929924821336</v>
      </c>
      <c r="BE16" s="9">
        <f t="shared" si="30"/>
        <v>19308.890625573124</v>
      </c>
      <c r="BF16" s="9">
        <f t="shared" si="30"/>
        <v>19115.801719317391</v>
      </c>
      <c r="BG16" s="9">
        <f t="shared" si="30"/>
        <v>18924.643702124216</v>
      </c>
      <c r="BH16" s="9">
        <f t="shared" si="30"/>
        <v>18735.397265102973</v>
      </c>
      <c r="BI16" s="9">
        <f t="shared" si="30"/>
        <v>18548.043292451941</v>
      </c>
      <c r="BJ16" s="9">
        <f t="shared" si="30"/>
        <v>18362.562859527421</v>
      </c>
      <c r="BK16" s="9">
        <f t="shared" si="30"/>
        <v>18178.937230932148</v>
      </c>
      <c r="BL16" s="9">
        <f t="shared" si="30"/>
        <v>17997.147858622826</v>
      </c>
      <c r="BM16" s="9">
        <f t="shared" si="30"/>
        <v>17817.176380036599</v>
      </c>
      <c r="BN16" s="9">
        <f t="shared" si="30"/>
        <v>17639.004616236234</v>
      </c>
      <c r="BO16" s="9">
        <f t="shared" si="30"/>
        <v>17462.614570073871</v>
      </c>
      <c r="BP16" s="9">
        <f t="shared" si="30"/>
        <v>17287.988424373132</v>
      </c>
      <c r="BQ16" s="9">
        <f t="shared" si="30"/>
        <v>17115.1085401294</v>
      </c>
      <c r="BR16" s="9">
        <f t="shared" si="30"/>
        <v>16943.957454728104</v>
      </c>
      <c r="BS16" s="9">
        <f t="shared" si="30"/>
        <v>16774.517880180822</v>
      </c>
      <c r="BT16" s="9">
        <f t="shared" si="30"/>
        <v>16606.772701379014</v>
      </c>
      <c r="BU16" s="9">
        <f t="shared" si="30"/>
        <v>16440.704974365224</v>
      </c>
      <c r="BV16" s="9">
        <f t="shared" si="30"/>
        <v>16276.297924621571</v>
      </c>
      <c r="BW16" s="9">
        <f t="shared" si="30"/>
        <v>16113.534945375355</v>
      </c>
      <c r="BX16" s="9">
        <f t="shared" si="30"/>
        <v>15952.399595921601</v>
      </c>
      <c r="BY16" s="9">
        <f t="shared" si="30"/>
        <v>15792.875599962385</v>
      </c>
      <c r="BZ16" s="9">
        <f t="shared" si="30"/>
        <v>15634.94684396276</v>
      </c>
      <c r="CA16" s="9">
        <f t="shared" si="30"/>
        <v>15478.597375523132</v>
      </c>
      <c r="CB16" s="9">
        <f t="shared" si="30"/>
        <v>15323.8114017679</v>
      </c>
      <c r="CC16" s="9">
        <f t="shared" si="30"/>
        <v>15170.573287750221</v>
      </c>
      <c r="CD16" s="9">
        <f t="shared" si="30"/>
        <v>15018.867554872719</v>
      </c>
      <c r="CE16" s="9">
        <f t="shared" si="30"/>
        <v>14868.678879323992</v>
      </c>
      <c r="CF16" s="9">
        <f t="shared" si="30"/>
        <v>14719.992090530752</v>
      </c>
      <c r="CG16" s="9">
        <f t="shared" si="30"/>
        <v>14572.792169625443</v>
      </c>
      <c r="CH16" s="9">
        <f t="shared" si="30"/>
        <v>14427.064247929189</v>
      </c>
      <c r="CI16" s="9">
        <f t="shared" si="30"/>
        <v>14282.793605449897</v>
      </c>
      <c r="CJ16" s="9">
        <f t="shared" si="30"/>
        <v>14139.965669395398</v>
      </c>
      <c r="CK16" s="9">
        <f t="shared" si="30"/>
        <v>13998.566012701443</v>
      </c>
      <c r="CL16" s="9">
        <f t="shared" si="30"/>
        <v>13858.580352574429</v>
      </c>
      <c r="CM16" s="9">
        <f t="shared" si="30"/>
        <v>13719.994549048684</v>
      </c>
      <c r="CN16" s="9">
        <f t="shared" si="30"/>
        <v>13582.794603558197</v>
      </c>
      <c r="CO16" s="9">
        <f t="shared" si="30"/>
        <v>13446.966657522615</v>
      </c>
      <c r="CP16" s="9">
        <f t="shared" si="30"/>
        <v>13312.496990947388</v>
      </c>
      <c r="CQ16" s="9">
        <f t="shared" si="30"/>
        <v>13179.372021037914</v>
      </c>
      <c r="CR16" s="9">
        <f t="shared" si="30"/>
        <v>13047.578300827536</v>
      </c>
      <c r="CS16" s="9">
        <f t="shared" si="30"/>
        <v>12917.102517819259</v>
      </c>
      <c r="CT16" s="9">
        <f t="shared" si="30"/>
        <v>12787.931492641066</v>
      </c>
      <c r="CU16" s="9">
        <f t="shared" si="30"/>
        <v>12660.052177714655</v>
      </c>
      <c r="CV16" s="9">
        <f t="shared" si="30"/>
        <v>12533.451655937508</v>
      </c>
      <c r="CW16" s="9">
        <f t="shared" si="30"/>
        <v>12408.117139378133</v>
      </c>
      <c r="CX16" s="9">
        <f t="shared" si="30"/>
        <v>12284.035967984351</v>
      </c>
      <c r="CY16" s="9">
        <f t="shared" si="30"/>
        <v>12161.195608304508</v>
      </c>
      <c r="CZ16" s="9">
        <f t="shared" si="30"/>
        <v>12039.583652221463</v>
      </c>
      <c r="DA16" s="9">
        <f t="shared" si="30"/>
        <v>11919.187815699248</v>
      </c>
      <c r="DB16" s="9">
        <f t="shared" si="30"/>
        <v>11799.995937542255</v>
      </c>
      <c r="DC16" s="9">
        <f t="shared" si="30"/>
        <v>11681.995978166833</v>
      </c>
      <c r="DD16" s="9">
        <f t="shared" si="30"/>
        <v>11565.176018385164</v>
      </c>
      <c r="DE16" s="9">
        <f t="shared" si="30"/>
        <v>11449.524258201312</v>
      </c>
      <c r="DF16" s="9">
        <f t="shared" si="30"/>
        <v>11335.029015619299</v>
      </c>
      <c r="DG16" s="9">
        <f t="shared" si="30"/>
        <v>11221.678725463105</v>
      </c>
      <c r="DH16" s="9">
        <f t="shared" ref="DH16:FS16" si="31">DG16*(1+$AW$20)</f>
        <v>11109.461938208475</v>
      </c>
      <c r="DI16" s="9">
        <f t="shared" si="31"/>
        <v>10998.367318826389</v>
      </c>
      <c r="DJ16" s="9">
        <f t="shared" si="31"/>
        <v>10888.383645638125</v>
      </c>
      <c r="DK16" s="9">
        <f t="shared" si="31"/>
        <v>10779.499809181743</v>
      </c>
      <c r="DL16" s="9">
        <f t="shared" si="31"/>
        <v>10671.704811089925</v>
      </c>
      <c r="DM16" s="9">
        <f t="shared" si="31"/>
        <v>10564.987762979026</v>
      </c>
      <c r="DN16" s="9">
        <f t="shared" si="31"/>
        <v>10459.337885349236</v>
      </c>
      <c r="DO16" s="9">
        <f t="shared" si="31"/>
        <v>10354.744506495743</v>
      </c>
      <c r="DP16" s="9">
        <f t="shared" si="31"/>
        <v>10251.197061430785</v>
      </c>
      <c r="DQ16" s="9">
        <f t="shared" si="31"/>
        <v>10148.685090816476</v>
      </c>
      <c r="DR16" s="9">
        <f t="shared" si="31"/>
        <v>10047.198239908312</v>
      </c>
      <c r="DS16" s="9">
        <f t="shared" si="31"/>
        <v>9946.7262575092282</v>
      </c>
      <c r="DT16" s="9">
        <f t="shared" si="31"/>
        <v>9847.2589949341364</v>
      </c>
      <c r="DU16" s="9">
        <f t="shared" si="31"/>
        <v>9748.7864049847958</v>
      </c>
      <c r="DV16" s="9">
        <f t="shared" si="31"/>
        <v>9651.2985409349476</v>
      </c>
      <c r="DW16" s="9">
        <f t="shared" si="31"/>
        <v>9554.7855555255974</v>
      </c>
      <c r="DX16" s="9">
        <f t="shared" si="31"/>
        <v>9459.2376999703411</v>
      </c>
      <c r="DY16" s="9">
        <f t="shared" si="31"/>
        <v>9364.6453229706367</v>
      </c>
      <c r="DZ16" s="9">
        <f t="shared" si="31"/>
        <v>9270.9988697409299</v>
      </c>
      <c r="EA16" s="9">
        <f t="shared" si="31"/>
        <v>9178.2888810435197</v>
      </c>
      <c r="EB16" s="9">
        <f t="shared" si="31"/>
        <v>9086.5059922330838</v>
      </c>
      <c r="EC16" s="9">
        <f t="shared" si="31"/>
        <v>8995.6409323107528</v>
      </c>
      <c r="ED16" s="9">
        <f t="shared" si="31"/>
        <v>8905.6845229876453</v>
      </c>
      <c r="EE16" s="9">
        <f t="shared" si="31"/>
        <v>8816.6276777577696</v>
      </c>
      <c r="EF16" s="9">
        <f t="shared" si="31"/>
        <v>8728.4614009801917</v>
      </c>
      <c r="EG16" s="9">
        <f t="shared" si="31"/>
        <v>8641.176786970389</v>
      </c>
      <c r="EH16" s="9">
        <f t="shared" si="31"/>
        <v>8554.7650191006851</v>
      </c>
      <c r="EI16" s="9">
        <f t="shared" si="31"/>
        <v>8469.217368909678</v>
      </c>
      <c r="EJ16" s="9">
        <f t="shared" si="31"/>
        <v>8384.5251952205817</v>
      </c>
      <c r="EK16" s="9">
        <f t="shared" si="31"/>
        <v>8300.6799432683765</v>
      </c>
      <c r="EL16" s="9">
        <f t="shared" si="31"/>
        <v>8217.6731438356928</v>
      </c>
      <c r="EM16" s="9">
        <f t="shared" si="31"/>
        <v>8135.4964123973359</v>
      </c>
      <c r="EN16" s="9">
        <f t="shared" si="31"/>
        <v>8054.1414482733626</v>
      </c>
      <c r="EO16" s="9">
        <f t="shared" si="31"/>
        <v>7973.6000337906289</v>
      </c>
      <c r="EP16" s="9">
        <f t="shared" si="31"/>
        <v>7893.8640334527227</v>
      </c>
      <c r="EQ16" s="9">
        <f t="shared" si="31"/>
        <v>7814.9253931181956</v>
      </c>
      <c r="ER16" s="9">
        <f t="shared" si="31"/>
        <v>7736.7761391870135</v>
      </c>
      <c r="ES16" s="9">
        <f t="shared" si="31"/>
        <v>7659.4083777951437</v>
      </c>
      <c r="ET16" s="9">
        <f t="shared" si="31"/>
        <v>7582.814294017192</v>
      </c>
      <c r="EU16" s="9">
        <f t="shared" si="31"/>
        <v>7506.9861510770197</v>
      </c>
      <c r="EV16" s="9">
        <f t="shared" si="31"/>
        <v>7431.9162895662494</v>
      </c>
      <c r="EW16" s="9">
        <f t="shared" si="31"/>
        <v>7357.5971266705865</v>
      </c>
      <c r="EX16" s="9">
        <f t="shared" si="31"/>
        <v>7284.0211554038806</v>
      </c>
      <c r="EY16" s="9">
        <f t="shared" si="31"/>
        <v>7211.1809438498422</v>
      </c>
      <c r="EZ16" s="9">
        <f t="shared" si="31"/>
        <v>7139.0691344113438</v>
      </c>
      <c r="FA16" s="9">
        <f t="shared" si="31"/>
        <v>7067.6784430672305</v>
      </c>
      <c r="FB16" s="9">
        <f t="shared" si="31"/>
        <v>6997.0016586365582</v>
      </c>
      <c r="FC16" s="9">
        <f t="shared" si="31"/>
        <v>6927.0316420501922</v>
      </c>
      <c r="FD16" s="9">
        <f t="shared" si="31"/>
        <v>6857.76132562969</v>
      </c>
      <c r="FE16" s="9">
        <f t="shared" si="31"/>
        <v>6789.1837123733931</v>
      </c>
      <c r="FF16" s="9">
        <f t="shared" si="31"/>
        <v>6721.2918752496589</v>
      </c>
      <c r="FG16" s="9">
        <f t="shared" si="31"/>
        <v>6654.0789564971619</v>
      </c>
      <c r="FH16" s="9">
        <f t="shared" si="31"/>
        <v>6587.5381669321905</v>
      </c>
      <c r="FI16" s="9">
        <f t="shared" si="31"/>
        <v>6521.662785262869</v>
      </c>
      <c r="FJ16" s="9">
        <f t="shared" si="31"/>
        <v>6456.4461574102406</v>
      </c>
      <c r="FK16" s="9">
        <f t="shared" si="31"/>
        <v>6391.8816958361385</v>
      </c>
      <c r="FL16" s="9">
        <f t="shared" si="31"/>
        <v>6327.9628788777773</v>
      </c>
      <c r="FM16" s="9">
        <f t="shared" si="31"/>
        <v>6264.6832500889996</v>
      </c>
      <c r="FN16" s="9">
        <f t="shared" si="31"/>
        <v>6202.0364175881095</v>
      </c>
      <c r="FO16" s="9">
        <f t="shared" si="31"/>
        <v>6140.0160534122288</v>
      </c>
      <c r="FP16" s="9">
        <f t="shared" si="31"/>
        <v>6078.615892878106</v>
      </c>
      <c r="FQ16" s="9">
        <f t="shared" si="31"/>
        <v>6017.8297339493247</v>
      </c>
      <c r="FR16" s="9">
        <f t="shared" si="31"/>
        <v>5957.6514366098318</v>
      </c>
      <c r="FS16" s="9">
        <f t="shared" si="31"/>
        <v>5898.0749222437335</v>
      </c>
      <c r="FT16" s="9">
        <f t="shared" ref="FT16:IE16" si="32">FS16*(1+$AW$20)</f>
        <v>5839.0941730212962</v>
      </c>
      <c r="FU16" s="9">
        <f t="shared" si="32"/>
        <v>5780.7032312910833</v>
      </c>
      <c r="FV16" s="9">
        <f t="shared" si="32"/>
        <v>5722.8961989781728</v>
      </c>
      <c r="FW16" s="9">
        <f t="shared" si="32"/>
        <v>5665.6672369883909</v>
      </c>
      <c r="FX16" s="9">
        <f t="shared" si="32"/>
        <v>5609.0105646185066</v>
      </c>
      <c r="FY16" s="9">
        <f t="shared" si="32"/>
        <v>5552.9204589723213</v>
      </c>
      <c r="FZ16" s="9">
        <f t="shared" si="32"/>
        <v>5497.3912543825982</v>
      </c>
      <c r="GA16" s="9">
        <f t="shared" si="32"/>
        <v>5442.4173418387718</v>
      </c>
      <c r="GB16" s="9">
        <f t="shared" si="32"/>
        <v>5387.9931684203839</v>
      </c>
      <c r="GC16" s="9">
        <f t="shared" si="32"/>
        <v>5334.1132367361797</v>
      </c>
      <c r="GD16" s="9">
        <f t="shared" si="32"/>
        <v>5280.772104368818</v>
      </c>
      <c r="GE16" s="9">
        <f t="shared" si="32"/>
        <v>5227.9643833251293</v>
      </c>
      <c r="GF16" s="9">
        <f t="shared" si="32"/>
        <v>5175.6847394918777</v>
      </c>
      <c r="GG16" s="9">
        <f t="shared" si="32"/>
        <v>5123.9278920969591</v>
      </c>
      <c r="GH16" s="9">
        <f t="shared" si="32"/>
        <v>5072.6886131759893</v>
      </c>
      <c r="GI16" s="9">
        <f t="shared" si="32"/>
        <v>5021.9617270442295</v>
      </c>
      <c r="GJ16" s="9">
        <f t="shared" si="32"/>
        <v>4971.742109773787</v>
      </c>
      <c r="GK16" s="9">
        <f t="shared" si="32"/>
        <v>4922.0246886760488</v>
      </c>
      <c r="GL16" s="9">
        <f t="shared" si="32"/>
        <v>4872.8044417892879</v>
      </c>
      <c r="GM16" s="9">
        <f t="shared" si="32"/>
        <v>4824.0763973713947</v>
      </c>
      <c r="GN16" s="9">
        <f t="shared" si="32"/>
        <v>4775.8356333976808</v>
      </c>
      <c r="GO16" s="9">
        <f t="shared" si="32"/>
        <v>4728.0772770637041</v>
      </c>
      <c r="GP16" s="9">
        <f t="shared" si="32"/>
        <v>4680.7965042930673</v>
      </c>
      <c r="GQ16" s="9">
        <f t="shared" si="32"/>
        <v>4633.9885392501365</v>
      </c>
      <c r="GR16" s="9">
        <f t="shared" si="32"/>
        <v>4587.6486538576346</v>
      </c>
      <c r="GS16" s="9">
        <f t="shared" si="32"/>
        <v>4541.7721673190581</v>
      </c>
      <c r="GT16" s="9">
        <f t="shared" si="32"/>
        <v>4496.3544456458676</v>
      </c>
      <c r="GU16" s="9">
        <f t="shared" si="32"/>
        <v>4451.3909011894093</v>
      </c>
      <c r="GV16" s="9">
        <f t="shared" si="32"/>
        <v>4406.8769921775156</v>
      </c>
      <c r="GW16" s="9">
        <f t="shared" si="32"/>
        <v>4362.8082222557405</v>
      </c>
      <c r="GX16" s="9">
        <f t="shared" si="32"/>
        <v>4319.1801400331833</v>
      </c>
      <c r="GY16" s="9">
        <f t="shared" si="32"/>
        <v>4275.9883386328511</v>
      </c>
      <c r="GZ16" s="9">
        <f t="shared" si="32"/>
        <v>4233.2284552465226</v>
      </c>
      <c r="HA16" s="9">
        <f t="shared" si="32"/>
        <v>4190.8961706940572</v>
      </c>
      <c r="HB16" s="9">
        <f t="shared" si="32"/>
        <v>4148.9872089871169</v>
      </c>
      <c r="HC16" s="9">
        <f t="shared" si="32"/>
        <v>4107.497336897246</v>
      </c>
      <c r="HD16" s="9">
        <f t="shared" si="32"/>
        <v>4066.4223635282733</v>
      </c>
      <c r="HE16" s="9">
        <f t="shared" si="32"/>
        <v>4025.7581398929906</v>
      </c>
      <c r="HF16" s="9">
        <f t="shared" si="32"/>
        <v>3985.5005584940604</v>
      </c>
      <c r="HG16" s="9">
        <f t="shared" si="32"/>
        <v>3945.6455529091199</v>
      </c>
      <c r="HH16" s="9">
        <f t="shared" si="32"/>
        <v>3906.1890973800287</v>
      </c>
      <c r="HI16" s="9">
        <f t="shared" si="32"/>
        <v>3867.1272064062282</v>
      </c>
      <c r="HJ16" s="9">
        <f t="shared" si="32"/>
        <v>3828.4559343421661</v>
      </c>
      <c r="HK16" s="9">
        <f t="shared" si="32"/>
        <v>3790.1713749987443</v>
      </c>
      <c r="HL16" s="9">
        <f t="shared" si="32"/>
        <v>3752.2696612487571</v>
      </c>
      <c r="HM16" s="9">
        <f t="shared" si="32"/>
        <v>3714.7469646362697</v>
      </c>
      <c r="HN16" s="9">
        <f t="shared" si="32"/>
        <v>3677.5994949899068</v>
      </c>
      <c r="HO16" s="9">
        <f t="shared" si="32"/>
        <v>3640.8235000400077</v>
      </c>
      <c r="HP16" s="9">
        <f t="shared" si="32"/>
        <v>3604.4152650396077</v>
      </c>
      <c r="HQ16" s="9">
        <f t="shared" si="32"/>
        <v>3568.3711123892117</v>
      </c>
      <c r="HR16" s="9">
        <f t="shared" si="32"/>
        <v>3532.6874012653197</v>
      </c>
      <c r="HS16" s="9">
        <f t="shared" si="32"/>
        <v>3497.3605272526665</v>
      </c>
      <c r="HT16" s="9">
        <f t="shared" si="32"/>
        <v>3462.38692198014</v>
      </c>
      <c r="HU16" s="9">
        <f t="shared" si="32"/>
        <v>3427.7630527603387</v>
      </c>
      <c r="HV16" s="9">
        <f t="shared" si="32"/>
        <v>3393.4854222327353</v>
      </c>
      <c r="HW16" s="9">
        <f t="shared" si="32"/>
        <v>3359.5505680104079</v>
      </c>
      <c r="HX16" s="9">
        <f t="shared" si="32"/>
        <v>3325.9550623303039</v>
      </c>
      <c r="HY16" s="9">
        <f t="shared" si="32"/>
        <v>3292.6955117070011</v>
      </c>
      <c r="HZ16" s="9">
        <f t="shared" si="32"/>
        <v>3259.768556589931</v>
      </c>
      <c r="IA16" s="9">
        <f t="shared" si="32"/>
        <v>3227.1708710240318</v>
      </c>
      <c r="IB16" s="9">
        <f t="shared" si="32"/>
        <v>3194.8991623137913</v>
      </c>
      <c r="IC16" s="9">
        <f t="shared" si="32"/>
        <v>3162.9501706906535</v>
      </c>
      <c r="ID16" s="9">
        <f t="shared" si="32"/>
        <v>3131.3206689837471</v>
      </c>
      <c r="IE16" s="9">
        <f t="shared" si="32"/>
        <v>3100.0074622939096</v>
      </c>
      <c r="IF16" s="9">
        <f t="shared" ref="IF16:KN16" si="33">IE16*(1+$AW$20)</f>
        <v>3069.0073876709703</v>
      </c>
      <c r="IG16" s="9">
        <f t="shared" si="33"/>
        <v>3038.3173137942604</v>
      </c>
      <c r="IH16" s="9">
        <f t="shared" si="33"/>
        <v>3007.9341406563176</v>
      </c>
      <c r="II16" s="9">
        <f t="shared" si="33"/>
        <v>2977.8547992497543</v>
      </c>
      <c r="IJ16" s="9">
        <f t="shared" si="33"/>
        <v>2948.0762512572569</v>
      </c>
      <c r="IK16" s="9">
        <f t="shared" si="33"/>
        <v>2918.5954887446842</v>
      </c>
      <c r="IL16" s="9">
        <f t="shared" si="33"/>
        <v>2889.4095338572374</v>
      </c>
      <c r="IM16" s="9">
        <f t="shared" si="33"/>
        <v>2860.5154385186652</v>
      </c>
      <c r="IN16" s="9">
        <f t="shared" si="33"/>
        <v>2831.9102841334784</v>
      </c>
      <c r="IO16" s="9">
        <f t="shared" si="33"/>
        <v>2803.5911812921436</v>
      </c>
      <c r="IP16" s="9">
        <f t="shared" si="33"/>
        <v>2775.5552694792223</v>
      </c>
      <c r="IQ16" s="9">
        <f t="shared" si="33"/>
        <v>2747.7997167844301</v>
      </c>
      <c r="IR16" s="9">
        <f t="shared" si="33"/>
        <v>2720.3217196165856</v>
      </c>
      <c r="IS16" s="9">
        <f t="shared" si="33"/>
        <v>2693.1185024204196</v>
      </c>
      <c r="IT16" s="9">
        <f t="shared" si="33"/>
        <v>2666.1873173962153</v>
      </c>
      <c r="IU16" s="9">
        <f t="shared" si="33"/>
        <v>2639.5254442222531</v>
      </c>
      <c r="IV16" s="9">
        <f t="shared" si="33"/>
        <v>2613.1301897800304</v>
      </c>
      <c r="IW16" s="9">
        <f t="shared" si="33"/>
        <v>2586.9988878822301</v>
      </c>
      <c r="IX16" s="9">
        <f t="shared" si="33"/>
        <v>2561.1288990034077</v>
      </c>
      <c r="IY16" s="9">
        <f t="shared" si="33"/>
        <v>2535.5176100133735</v>
      </c>
      <c r="IZ16" s="9">
        <f t="shared" si="33"/>
        <v>2510.16243391324</v>
      </c>
      <c r="JA16" s="9">
        <f t="shared" si="33"/>
        <v>2485.0608095741077</v>
      </c>
      <c r="JB16" s="9">
        <f t="shared" si="33"/>
        <v>2460.2102014783668</v>
      </c>
      <c r="JC16" s="9">
        <f t="shared" si="33"/>
        <v>2435.6080994635831</v>
      </c>
      <c r="JD16" s="9">
        <f t="shared" si="33"/>
        <v>2411.2520184689474</v>
      </c>
      <c r="JE16" s="9">
        <f t="shared" si="33"/>
        <v>2387.139498284258</v>
      </c>
      <c r="JF16" s="9">
        <f t="shared" si="33"/>
        <v>2363.2681033014155</v>
      </c>
      <c r="JG16" s="9">
        <f t="shared" si="33"/>
        <v>2339.6354222684013</v>
      </c>
      <c r="JH16" s="9">
        <f t="shared" si="33"/>
        <v>2316.2390680457174</v>
      </c>
      <c r="JI16" s="9">
        <f t="shared" si="33"/>
        <v>2293.0766773652604</v>
      </c>
      <c r="JJ16" s="9">
        <f t="shared" si="33"/>
        <v>2270.1459105916078</v>
      </c>
      <c r="JK16" s="9">
        <f t="shared" si="33"/>
        <v>2247.4444514856918</v>
      </c>
      <c r="JL16" s="9">
        <f t="shared" si="33"/>
        <v>2224.9700069708351</v>
      </c>
      <c r="JM16" s="9">
        <f t="shared" si="33"/>
        <v>2202.7203069011266</v>
      </c>
      <c r="JN16" s="9">
        <f t="shared" si="33"/>
        <v>2180.6931038321154</v>
      </c>
      <c r="JO16" s="9">
        <f t="shared" si="33"/>
        <v>2158.8861727937942</v>
      </c>
      <c r="JP16" s="9">
        <f t="shared" si="33"/>
        <v>2137.2973110658563</v>
      </c>
      <c r="JQ16" s="9">
        <f t="shared" si="33"/>
        <v>2115.9243379551976</v>
      </c>
      <c r="JR16" s="9">
        <f t="shared" si="33"/>
        <v>2094.7650945756454</v>
      </c>
      <c r="JS16" s="9">
        <f t="shared" si="33"/>
        <v>2073.8174436298891</v>
      </c>
      <c r="JT16" s="9">
        <f t="shared" si="33"/>
        <v>2053.0792691935903</v>
      </c>
      <c r="JU16" s="9">
        <f t="shared" si="33"/>
        <v>2032.5484765016545</v>
      </c>
      <c r="JV16" s="9">
        <f t="shared" si="33"/>
        <v>2012.2229917366378</v>
      </c>
      <c r="JW16" s="9">
        <f t="shared" si="33"/>
        <v>1992.1007618192714</v>
      </c>
      <c r="JX16" s="9">
        <f t="shared" si="33"/>
        <v>1972.1797542010786</v>
      </c>
      <c r="JY16" s="9">
        <f t="shared" si="33"/>
        <v>1952.4579566590678</v>
      </c>
      <c r="JZ16" s="9">
        <f t="shared" si="33"/>
        <v>1932.933377092477</v>
      </c>
      <c r="KA16" s="9">
        <f t="shared" si="33"/>
        <v>1913.6040433215524</v>
      </c>
      <c r="KB16" s="9">
        <f t="shared" si="33"/>
        <v>1894.4680028883367</v>
      </c>
      <c r="KC16" s="9">
        <f t="shared" si="33"/>
        <v>1875.5233228594534</v>
      </c>
      <c r="KD16" s="9">
        <f t="shared" si="33"/>
        <v>1856.7680896308589</v>
      </c>
      <c r="KE16" s="9">
        <f t="shared" si="33"/>
        <v>1838.2004087345504</v>
      </c>
      <c r="KF16" s="9">
        <f t="shared" si="33"/>
        <v>1819.8184046472049</v>
      </c>
      <c r="KG16" s="9">
        <f t="shared" si="33"/>
        <v>1801.6202206007329</v>
      </c>
      <c r="KH16" s="9">
        <f t="shared" si="33"/>
        <v>1783.6040183947255</v>
      </c>
      <c r="KI16" s="9">
        <f t="shared" si="33"/>
        <v>1765.7679782107782</v>
      </c>
      <c r="KJ16" s="9">
        <f t="shared" si="33"/>
        <v>1748.1102984286704</v>
      </c>
      <c r="KK16" s="9">
        <f t="shared" si="33"/>
        <v>1730.6291954443836</v>
      </c>
      <c r="KL16" s="9">
        <f t="shared" si="33"/>
        <v>1713.3229034899398</v>
      </c>
      <c r="KM16" s="9">
        <f t="shared" si="33"/>
        <v>1696.1896744550404</v>
      </c>
      <c r="KN16" s="9">
        <f t="shared" si="33"/>
        <v>1679.22777771049</v>
      </c>
    </row>
    <row r="17" spans="2:49" x14ac:dyDescent="0.25">
      <c r="C17" s="2" t="s">
        <v>64</v>
      </c>
      <c r="D17" s="2">
        <v>702.3</v>
      </c>
      <c r="E17" s="2">
        <v>702.3</v>
      </c>
      <c r="F17" s="2">
        <v>702.3</v>
      </c>
      <c r="G17" s="2">
        <v>702.3</v>
      </c>
      <c r="H17" s="2">
        <v>702.3</v>
      </c>
      <c r="I17" s="2">
        <v>702.3</v>
      </c>
      <c r="J17" s="2">
        <v>702.3</v>
      </c>
      <c r="K17" s="2">
        <v>702.3</v>
      </c>
      <c r="L17" s="2">
        <v>702.3</v>
      </c>
      <c r="M17" s="2">
        <v>702.3</v>
      </c>
      <c r="N17" s="14">
        <v>700</v>
      </c>
      <c r="O17" s="2">
        <v>696.5</v>
      </c>
      <c r="P17" s="2">
        <v>693.4</v>
      </c>
      <c r="Q17" s="2">
        <v>691.5</v>
      </c>
      <c r="R17" s="2">
        <v>687.4</v>
      </c>
      <c r="S17" s="2">
        <v>683.9</v>
      </c>
      <c r="T17" s="2">
        <v>681.9</v>
      </c>
      <c r="U17" s="14">
        <v>678.587806</v>
      </c>
      <c r="Z17" s="2">
        <v>702.3</v>
      </c>
      <c r="AA17" s="2">
        <v>702.3</v>
      </c>
      <c r="AB17" s="2">
        <v>702.3</v>
      </c>
      <c r="AC17" s="2">
        <v>702.3</v>
      </c>
      <c r="AD17" s="2">
        <v>702.3</v>
      </c>
      <c r="AE17" s="2">
        <v>702.3</v>
      </c>
      <c r="AF17" s="2">
        <v>702.3</v>
      </c>
      <c r="AG17" s="2">
        <v>702.3</v>
      </c>
      <c r="AH17" s="2">
        <v>702.3</v>
      </c>
      <c r="AI17" s="2">
        <v>649.9</v>
      </c>
      <c r="AJ17" s="2">
        <v>683.9</v>
      </c>
      <c r="AK17" s="3">
        <v>681.9</v>
      </c>
      <c r="AL17" s="2">
        <v>681.9</v>
      </c>
      <c r="AM17" s="2">
        <v>681.9</v>
      </c>
      <c r="AN17" s="2">
        <v>681.9</v>
      </c>
      <c r="AO17" s="2">
        <v>681.9</v>
      </c>
      <c r="AP17" s="2">
        <v>681.9</v>
      </c>
      <c r="AQ17" s="2">
        <v>681.9</v>
      </c>
      <c r="AR17" s="2">
        <v>681.9</v>
      </c>
      <c r="AS17" s="2">
        <v>681.9</v>
      </c>
      <c r="AT17" s="2">
        <v>681.9</v>
      </c>
    </row>
    <row r="18" spans="2:49" x14ac:dyDescent="0.25">
      <c r="C18" s="2" t="s">
        <v>65</v>
      </c>
      <c r="D18" s="13">
        <f t="shared" ref="D18:H18" si="34">D16/D17</f>
        <v>0.74184821301438142</v>
      </c>
      <c r="E18" s="13">
        <f t="shared" si="34"/>
        <v>2.3821728606008832</v>
      </c>
      <c r="F18" s="13">
        <f t="shared" si="34"/>
        <v>2.3124021073615264</v>
      </c>
      <c r="G18" s="13">
        <f t="shared" si="34"/>
        <v>3.5981774170582375</v>
      </c>
      <c r="H18" s="13">
        <f t="shared" si="34"/>
        <v>3.8487825715506196</v>
      </c>
      <c r="I18" s="13">
        <f t="shared" ref="I18" si="35">I16/I17</f>
        <v>3.6323508472162898</v>
      </c>
      <c r="J18" s="13">
        <f t="shared" ref="J18:S18" si="36">J16/J17</f>
        <v>2.3508472162893352</v>
      </c>
      <c r="K18" s="13">
        <f t="shared" si="36"/>
        <v>4.4140680620817321</v>
      </c>
      <c r="L18" s="13">
        <f t="shared" si="36"/>
        <v>4.1335611562010541</v>
      </c>
      <c r="M18" s="13">
        <f t="shared" si="36"/>
        <v>4.9779296596895914</v>
      </c>
      <c r="N18" s="13">
        <f t="shared" si="36"/>
        <v>4.7</v>
      </c>
      <c r="O18" s="13">
        <f t="shared" si="36"/>
        <v>4.5613783201722899</v>
      </c>
      <c r="P18" s="13">
        <f t="shared" si="36"/>
        <v>4.4000576867608885</v>
      </c>
      <c r="Q18" s="13">
        <f t="shared" si="36"/>
        <v>4.5104844540853222</v>
      </c>
      <c r="R18" s="13">
        <f t="shared" si="36"/>
        <v>4.7454175152749496</v>
      </c>
      <c r="S18" s="13">
        <f t="shared" si="36"/>
        <v>4.9056879660769122</v>
      </c>
      <c r="T18" s="13">
        <f t="shared" ref="T18:U18" si="37">T16/T17</f>
        <v>4.2293591435694387</v>
      </c>
      <c r="U18" s="13">
        <f t="shared" si="37"/>
        <v>3.9670621490654963</v>
      </c>
      <c r="V18" s="13"/>
      <c r="W18" s="13"/>
      <c r="Z18" s="13">
        <f t="shared" ref="Z18:AJ18" si="38">Z16/Z17</f>
        <v>9.3663676491527852</v>
      </c>
      <c r="AA18" s="13">
        <f t="shared" si="38"/>
        <v>6.0401537804357117</v>
      </c>
      <c r="AB18" s="13">
        <f t="shared" si="38"/>
        <v>12.508899330770326</v>
      </c>
      <c r="AC18" s="13">
        <f t="shared" si="38"/>
        <v>12.177132279652572</v>
      </c>
      <c r="AD18" s="13">
        <f t="shared" si="38"/>
        <v>14.540794532251176</v>
      </c>
      <c r="AE18" s="13">
        <f t="shared" si="38"/>
        <v>16.72647016944326</v>
      </c>
      <c r="AF18" s="13">
        <f t="shared" si="38"/>
        <v>13.968389577103803</v>
      </c>
      <c r="AG18" s="13">
        <f t="shared" si="38"/>
        <v>8.6344866866011678</v>
      </c>
      <c r="AH18" s="13">
        <f t="shared" si="38"/>
        <v>17.3116901608999</v>
      </c>
      <c r="AI18" s="13">
        <f t="shared" si="38"/>
        <v>19.959993845206956</v>
      </c>
      <c r="AJ18" s="13">
        <f t="shared" si="38"/>
        <v>18.697177949992689</v>
      </c>
      <c r="AK18" s="8">
        <f t="shared" ref="AK18:AT18" si="39">AK16/AK17</f>
        <v>20.04688077430707</v>
      </c>
      <c r="AL18" s="13">
        <f t="shared" si="39"/>
        <v>21.095294676638805</v>
      </c>
      <c r="AM18" s="13">
        <f t="shared" si="39"/>
        <v>22.196589972723267</v>
      </c>
      <c r="AN18" s="13">
        <f t="shared" si="39"/>
        <v>23.353415339234484</v>
      </c>
      <c r="AO18" s="13">
        <f t="shared" si="39"/>
        <v>24.568551932750022</v>
      </c>
      <c r="AP18" s="13">
        <f t="shared" si="39"/>
        <v>25.844920014206863</v>
      </c>
      <c r="AQ18" s="13">
        <f t="shared" si="39"/>
        <v>27.185585904584745</v>
      </c>
      <c r="AR18" s="13">
        <f t="shared" si="39"/>
        <v>28.593769288378194</v>
      </c>
      <c r="AS18" s="13">
        <f t="shared" si="39"/>
        <v>30.072850882246954</v>
      </c>
      <c r="AT18" s="13">
        <f t="shared" si="39"/>
        <v>31.62638048710366</v>
      </c>
    </row>
    <row r="19" spans="2:49" x14ac:dyDescent="0.25">
      <c r="AV19" s="2" t="s">
        <v>147</v>
      </c>
      <c r="AW19" s="39">
        <v>0.08</v>
      </c>
    </row>
    <row r="20" spans="2:49" s="69" customFormat="1" x14ac:dyDescent="0.25">
      <c r="B20" s="67"/>
      <c r="C20" s="68" t="s">
        <v>38</v>
      </c>
      <c r="H20" s="68">
        <f t="shared" ref="H20:R20" si="40">(H4-D4)/D4</f>
        <v>0.25145039503221478</v>
      </c>
      <c r="I20" s="68">
        <f t="shared" si="40"/>
        <v>0.15821666798491918</v>
      </c>
      <c r="J20" s="68">
        <f t="shared" si="40"/>
        <v>8.4943528883791669E-2</v>
      </c>
      <c r="K20" s="68">
        <f t="shared" si="40"/>
        <v>-1.0920309044745967E-4</v>
      </c>
      <c r="L20" s="68">
        <f t="shared" si="40"/>
        <v>-0.18813772538787682</v>
      </c>
      <c r="M20" s="68">
        <f t="shared" si="40"/>
        <v>-0.16646938310949239</v>
      </c>
      <c r="N20" s="68">
        <f t="shared" si="40"/>
        <v>-0.16642154609798696</v>
      </c>
      <c r="O20" s="68">
        <f t="shared" si="40"/>
        <v>3.2218430034129691E-2</v>
      </c>
      <c r="P20" s="68">
        <f t="shared" si="40"/>
        <v>3.6154949784791965E-3</v>
      </c>
      <c r="Q20" s="68">
        <f t="shared" si="40"/>
        <v>-6.6417237894966813E-2</v>
      </c>
      <c r="R20" s="68">
        <f t="shared" si="40"/>
        <v>-4.5101174394883391E-2</v>
      </c>
      <c r="S20" s="68">
        <f>(S4-O4)/O4</f>
        <v>-8.2264250760481411E-2</v>
      </c>
      <c r="T20" s="68">
        <f>(T4-P4)/P4</f>
        <v>-5.1435269899359558E-2</v>
      </c>
      <c r="U20" s="68">
        <f>(U4-Q4)/Q4</f>
        <v>2.5625274243089073E-2</v>
      </c>
      <c r="V20" s="68"/>
      <c r="W20" s="68"/>
      <c r="X20" s="68"/>
      <c r="Y20" s="68"/>
      <c r="Z20" s="68"/>
      <c r="AA20" s="68">
        <f t="shared" ref="AA20:AG20" si="41">(AA4-Z4)/Z4</f>
        <v>2.7598737299404177E-2</v>
      </c>
      <c r="AB20" s="68">
        <f t="shared" si="41"/>
        <v>7.9288409490507514E-2</v>
      </c>
      <c r="AC20" s="68">
        <f t="shared" si="41"/>
        <v>8.4519287969615151E-2</v>
      </c>
      <c r="AD20" s="68">
        <f t="shared" si="41"/>
        <v>8.8396624472573834E-2</v>
      </c>
      <c r="AE20" s="68">
        <f t="shared" si="41"/>
        <v>-5.6003101376235702E-2</v>
      </c>
      <c r="AF20" s="68">
        <f t="shared" si="41"/>
        <v>9.4454300545370915E-4</v>
      </c>
      <c r="AG20" s="68">
        <f t="shared" si="41"/>
        <v>0.28150360639057331</v>
      </c>
      <c r="AH20" s="68">
        <f>(AH4-AG4)/AG4</f>
        <v>-5.7794881317513272E-2</v>
      </c>
      <c r="AI20" s="68">
        <f>(AI4-AH4)/AH4</f>
        <v>-1.0880276186398636E-2</v>
      </c>
      <c r="AJ20" s="68">
        <f t="shared" ref="AJ20:AT20" si="42">(AJ4-AI4)/AI4</f>
        <v>-4.8452035782501755E-2</v>
      </c>
      <c r="AK20" s="70">
        <f t="shared" si="42"/>
        <v>0</v>
      </c>
      <c r="AL20" s="68">
        <f t="shared" si="42"/>
        <v>5.0000000000000086E-2</v>
      </c>
      <c r="AM20" s="68">
        <f t="shared" si="42"/>
        <v>4.9999999999999982E-2</v>
      </c>
      <c r="AN20" s="68">
        <f t="shared" si="42"/>
        <v>5.0000000000000037E-2</v>
      </c>
      <c r="AO20" s="68">
        <f t="shared" si="42"/>
        <v>5.0000000000000121E-2</v>
      </c>
      <c r="AP20" s="68">
        <f t="shared" si="42"/>
        <v>4.9999999999999982E-2</v>
      </c>
      <c r="AQ20" s="68">
        <f t="shared" si="42"/>
        <v>4.9999999999999975E-2</v>
      </c>
      <c r="AR20" s="68">
        <f t="shared" si="42"/>
        <v>5.0000000000000065E-2</v>
      </c>
      <c r="AS20" s="68">
        <f t="shared" si="42"/>
        <v>4.9999999999999996E-2</v>
      </c>
      <c r="AT20" s="68">
        <f t="shared" si="42"/>
        <v>5.00000000000001E-2</v>
      </c>
      <c r="AV20" s="69" t="s">
        <v>148</v>
      </c>
      <c r="AW20" s="39">
        <v>-0.01</v>
      </c>
    </row>
    <row r="21" spans="2:49" s="69" customFormat="1" x14ac:dyDescent="0.25">
      <c r="B21" s="67"/>
      <c r="C21" s="68" t="s">
        <v>130</v>
      </c>
      <c r="D21" s="68"/>
      <c r="E21" s="68"/>
      <c r="F21" s="68"/>
      <c r="G21" s="68">
        <v>0.17699999999999999</v>
      </c>
      <c r="H21" s="68">
        <v>0.17199999999999999</v>
      </c>
      <c r="I21" s="68">
        <v>0.128</v>
      </c>
      <c r="J21" s="68">
        <v>4.5999999999999999E-2</v>
      </c>
      <c r="K21" s="68">
        <v>-7.0000000000000001E-3</v>
      </c>
      <c r="L21" s="68">
        <v>-0.04</v>
      </c>
      <c r="M21" s="68">
        <v>-8.9999999999999993E-3</v>
      </c>
      <c r="N21" s="68">
        <v>1.9E-2</v>
      </c>
      <c r="O21" s="68">
        <v>3.9E-2</v>
      </c>
      <c r="P21" s="68">
        <v>2.1000000000000001E-2</v>
      </c>
      <c r="Q21" s="68">
        <v>1.9E-2</v>
      </c>
      <c r="R21" s="68">
        <v>8.9999999999999993E-3</v>
      </c>
      <c r="S21" s="68">
        <v>-1.0999999999999999E-2</v>
      </c>
      <c r="T21" s="68">
        <v>4.0000000000000001E-3</v>
      </c>
      <c r="U21" s="68">
        <v>3.0000000000000001E-3</v>
      </c>
      <c r="V21" s="68"/>
      <c r="W21" s="68"/>
      <c r="X21" s="68"/>
      <c r="Y21" s="68"/>
      <c r="Z21" s="68"/>
      <c r="AA21" s="68"/>
      <c r="AB21" s="68">
        <v>0.1</v>
      </c>
      <c r="AC21" s="68">
        <v>2.5999999999999999E-2</v>
      </c>
      <c r="AD21" s="68">
        <v>4.4999999999999998E-2</v>
      </c>
      <c r="AE21" s="68">
        <v>-1.9E-2</v>
      </c>
      <c r="AF21" s="68">
        <v>3.3000000000000002E-2</v>
      </c>
      <c r="AG21" s="68">
        <v>0.157</v>
      </c>
      <c r="AH21" s="68">
        <v>6.7000000000000004E-2</v>
      </c>
      <c r="AI21" s="68">
        <v>2E-3</v>
      </c>
      <c r="AJ21" s="68"/>
      <c r="AK21" s="70"/>
      <c r="AL21" s="68"/>
      <c r="AM21" s="68"/>
      <c r="AN21" s="68"/>
      <c r="AO21" s="68"/>
      <c r="AP21" s="68"/>
      <c r="AQ21" s="68"/>
      <c r="AR21" s="68"/>
      <c r="AS21" s="68"/>
      <c r="AT21" s="68"/>
      <c r="AV21" s="71" t="s">
        <v>149</v>
      </c>
      <c r="AW21" s="72">
        <f>NPV(AW19,AK16:KN16)</f>
        <v>222698.69451763167</v>
      </c>
    </row>
    <row r="22" spans="2:49" s="69" customFormat="1" x14ac:dyDescent="0.25">
      <c r="B22" s="67"/>
      <c r="C22" s="69" t="s">
        <v>45</v>
      </c>
      <c r="D22" s="69">
        <f t="shared" ref="D22:S22" si="43">D6/D4</f>
        <v>0.22206349669105857</v>
      </c>
      <c r="E22" s="69">
        <f t="shared" si="43"/>
        <v>0.24321759076168631</v>
      </c>
      <c r="F22" s="69">
        <f t="shared" si="43"/>
        <v>0.23318955845321498</v>
      </c>
      <c r="G22" s="69">
        <f t="shared" si="43"/>
        <v>0.27947800922766114</v>
      </c>
      <c r="H22" s="69">
        <f t="shared" si="43"/>
        <v>0.26990635046358852</v>
      </c>
      <c r="I22" s="69">
        <f t="shared" si="43"/>
        <v>0.26687912588208512</v>
      </c>
      <c r="J22" s="69">
        <f t="shared" si="43"/>
        <v>0.2759215001378803</v>
      </c>
      <c r="K22" s="69">
        <f t="shared" si="43"/>
        <v>0.32</v>
      </c>
      <c r="L22" s="69">
        <f t="shared" si="43"/>
        <v>0.33190817790530847</v>
      </c>
      <c r="M22" s="69">
        <f t="shared" si="43"/>
        <v>0.33181309227954231</v>
      </c>
      <c r="N22" s="69">
        <f t="shared" si="43"/>
        <v>0.32601863593758618</v>
      </c>
      <c r="O22" s="69">
        <f t="shared" si="43"/>
        <v>0.31937574394921309</v>
      </c>
      <c r="P22" s="69">
        <f t="shared" si="43"/>
        <v>0.32805352241537056</v>
      </c>
      <c r="Q22" s="69">
        <f t="shared" si="43"/>
        <v>0.33350884891034077</v>
      </c>
      <c r="R22" s="69">
        <f t="shared" si="43"/>
        <v>0.33411282406605464</v>
      </c>
      <c r="S22" s="69">
        <f t="shared" si="43"/>
        <v>0.337080270932411</v>
      </c>
      <c r="T22" s="69">
        <f t="shared" ref="T22:U22" si="44">T6/T4</f>
        <v>0.33411700877113665</v>
      </c>
      <c r="U22" s="69">
        <f t="shared" si="44"/>
        <v>0.32643107726533754</v>
      </c>
      <c r="Z22" s="69">
        <f t="shared" ref="Z22:AT22" si="45">Z6/Z4</f>
        <v>0.26687237994701529</v>
      </c>
      <c r="AA22" s="69">
        <f t="shared" si="45"/>
        <v>0.27884786345048301</v>
      </c>
      <c r="AB22" s="69">
        <f t="shared" si="45"/>
        <v>0.29155722326454031</v>
      </c>
      <c r="AC22" s="69">
        <f t="shared" si="45"/>
        <v>0.270084388185654</v>
      </c>
      <c r="AD22" s="69">
        <f t="shared" si="45"/>
        <v>0.29351424694708278</v>
      </c>
      <c r="AE22" s="69">
        <f t="shared" si="45"/>
        <v>0.32392897036598989</v>
      </c>
      <c r="AF22" s="69">
        <f t="shared" si="45"/>
        <v>0.28796146618854979</v>
      </c>
      <c r="AG22" s="69">
        <f t="shared" si="45"/>
        <v>0.23837667202397342</v>
      </c>
      <c r="AH22" s="69">
        <f t="shared" si="45"/>
        <v>0.30255458826887399</v>
      </c>
      <c r="AI22" s="69">
        <f t="shared" si="45"/>
        <v>0.32716117241284542</v>
      </c>
      <c r="AJ22" s="69">
        <f t="shared" si="45"/>
        <v>0.33317688852946697</v>
      </c>
      <c r="AK22" s="67">
        <f t="shared" si="45"/>
        <v>0.3299999999999999</v>
      </c>
      <c r="AL22" s="69">
        <f t="shared" si="45"/>
        <v>0.33</v>
      </c>
      <c r="AM22" s="69">
        <f t="shared" si="45"/>
        <v>0.32999999999999996</v>
      </c>
      <c r="AN22" s="69">
        <f t="shared" si="45"/>
        <v>0.32999999999999996</v>
      </c>
      <c r="AO22" s="69">
        <f t="shared" si="45"/>
        <v>0.32999999999999996</v>
      </c>
      <c r="AP22" s="69">
        <f t="shared" si="45"/>
        <v>0.32999999999999996</v>
      </c>
      <c r="AQ22" s="69">
        <f t="shared" si="45"/>
        <v>0.32999999999999996</v>
      </c>
      <c r="AR22" s="69">
        <f t="shared" si="45"/>
        <v>0.32999999999999996</v>
      </c>
      <c r="AS22" s="69">
        <f t="shared" si="45"/>
        <v>0.32999999999999996</v>
      </c>
      <c r="AT22" s="69">
        <f t="shared" si="45"/>
        <v>0.32999999999999996</v>
      </c>
      <c r="AV22" s="69" t="s">
        <v>2</v>
      </c>
      <c r="AW22" s="2">
        <v>681.9</v>
      </c>
    </row>
    <row r="23" spans="2:49" s="69" customFormat="1" x14ac:dyDescent="0.25">
      <c r="B23" s="67"/>
      <c r="C23" s="69" t="s">
        <v>131</v>
      </c>
      <c r="D23" s="69">
        <f t="shared" ref="D23:R23" si="46">D9/D4</f>
        <v>4.8482551529109935E-2</v>
      </c>
      <c r="E23" s="69">
        <f t="shared" si="46"/>
        <v>6.9867383796039975E-2</v>
      </c>
      <c r="F23" s="69">
        <f t="shared" si="46"/>
        <v>6.9410855418983272E-2</v>
      </c>
      <c r="G23" s="69">
        <f t="shared" si="46"/>
        <v>0.11226077697998853</v>
      </c>
      <c r="H23" s="69">
        <f t="shared" si="46"/>
        <v>0.10355029585798817</v>
      </c>
      <c r="I23" s="69">
        <f t="shared" si="46"/>
        <v>9.5948099248804916E-2</v>
      </c>
      <c r="J23" s="69">
        <f t="shared" si="46"/>
        <v>8.417593528816987E-2</v>
      </c>
      <c r="K23" s="69">
        <f t="shared" si="46"/>
        <v>0.1325051194539249</v>
      </c>
      <c r="L23" s="69">
        <f t="shared" si="46"/>
        <v>0.14002869440459109</v>
      </c>
      <c r="M23" s="69">
        <f t="shared" si="46"/>
        <v>0.147417866018516</v>
      </c>
      <c r="N23" s="69">
        <f t="shared" si="46"/>
        <v>0.14034845895131498</v>
      </c>
      <c r="O23" s="69">
        <f t="shared" si="46"/>
        <v>0.13143764052374024</v>
      </c>
      <c r="P23" s="69">
        <f t="shared" si="46"/>
        <v>0.1345494053064959</v>
      </c>
      <c r="Q23" s="69">
        <f t="shared" si="46"/>
        <v>0.13728243381600116</v>
      </c>
      <c r="R23" s="69">
        <f t="shared" si="46"/>
        <v>0.14596685720884578</v>
      </c>
      <c r="S23" s="69">
        <f>S9/S4</f>
        <v>0.14748522841908057</v>
      </c>
      <c r="T23" s="69">
        <f>T9/T4</f>
        <v>0.13334538987853031</v>
      </c>
      <c r="U23" s="69">
        <f>U9/U4</f>
        <v>0.11705313596303585</v>
      </c>
      <c r="Z23" s="69">
        <f t="shared" ref="Z23:AT23" si="47">Z9/Z4</f>
        <v>9.8295760208690713E-2</v>
      </c>
      <c r="AA23" s="69">
        <f t="shared" si="47"/>
        <v>8.897844682826607E-2</v>
      </c>
      <c r="AB23" s="69">
        <f t="shared" si="47"/>
        <v>0.11485837184825883</v>
      </c>
      <c r="AC23" s="69">
        <f t="shared" si="47"/>
        <v>9.755274261603375E-2</v>
      </c>
      <c r="AD23" s="69">
        <f t="shared" si="47"/>
        <v>0.11728629579375847</v>
      </c>
      <c r="AE23" s="69">
        <f t="shared" si="47"/>
        <v>0.14428510414613313</v>
      </c>
      <c r="AF23" s="69">
        <f t="shared" si="47"/>
        <v>0.11529782467772244</v>
      </c>
      <c r="AG23" s="69">
        <f t="shared" si="47"/>
        <v>6.9711153656521932E-2</v>
      </c>
      <c r="AH23" s="69">
        <f t="shared" si="47"/>
        <v>0.12842939373551618</v>
      </c>
      <c r="AI23" s="69">
        <f t="shared" si="47"/>
        <v>0.13977711513885643</v>
      </c>
      <c r="AJ23" s="69">
        <f t="shared" si="47"/>
        <v>0.14132020159718112</v>
      </c>
      <c r="AK23" s="67">
        <f t="shared" si="47"/>
        <v>0.13046904559042261</v>
      </c>
      <c r="AL23" s="69">
        <f t="shared" si="47"/>
        <v>0.13046904559042266</v>
      </c>
      <c r="AM23" s="69">
        <f t="shared" si="47"/>
        <v>0.13046904559042263</v>
      </c>
      <c r="AN23" s="69">
        <f t="shared" si="47"/>
        <v>0.13046904559042263</v>
      </c>
      <c r="AO23" s="69">
        <f t="shared" si="47"/>
        <v>0.13046904559042266</v>
      </c>
      <c r="AP23" s="69">
        <f t="shared" si="47"/>
        <v>0.13046904559042263</v>
      </c>
      <c r="AQ23" s="69">
        <f t="shared" si="47"/>
        <v>0.13046904559042263</v>
      </c>
      <c r="AR23" s="69">
        <f t="shared" si="47"/>
        <v>0.13046904559042263</v>
      </c>
      <c r="AS23" s="69">
        <f t="shared" si="47"/>
        <v>0.13046904559042263</v>
      </c>
      <c r="AT23" s="69">
        <f t="shared" si="47"/>
        <v>0.13046904559042263</v>
      </c>
      <c r="AV23" s="69" t="s">
        <v>150</v>
      </c>
      <c r="AW23" s="14">
        <f>AW21/AW22</f>
        <v>326.58556169179013</v>
      </c>
    </row>
    <row r="24" spans="2:49" s="69" customFormat="1" x14ac:dyDescent="0.25">
      <c r="B24" s="67"/>
      <c r="C24" s="69" t="s">
        <v>39</v>
      </c>
      <c r="D24" s="69">
        <f t="shared" ref="D24:S24" si="48">D11/D4</f>
        <v>3.3526719337628644E-2</v>
      </c>
      <c r="E24" s="69">
        <f t="shared" si="48"/>
        <v>6.2406074507632685E-2</v>
      </c>
      <c r="F24" s="69">
        <f t="shared" si="48"/>
        <v>6.2105761799097457E-2</v>
      </c>
      <c r="G24" s="69">
        <f t="shared" si="48"/>
        <v>0.10439815446777144</v>
      </c>
      <c r="H24" s="69">
        <f t="shared" si="48"/>
        <v>9.6887667148115364E-2</v>
      </c>
      <c r="I24" s="69">
        <f t="shared" si="48"/>
        <v>8.8800364215797858E-2</v>
      </c>
      <c r="J24" s="69">
        <f t="shared" si="48"/>
        <v>7.0479823513190556E-2</v>
      </c>
      <c r="K24" s="69">
        <f t="shared" si="48"/>
        <v>0.12513310580204778</v>
      </c>
      <c r="L24" s="69">
        <f t="shared" si="48"/>
        <v>0.1308464849354376</v>
      </c>
      <c r="M24" s="69">
        <f t="shared" si="48"/>
        <v>0.14037195837998745</v>
      </c>
      <c r="N24" s="69">
        <f t="shared" si="48"/>
        <v>0.13312565473893145</v>
      </c>
      <c r="O24" s="69">
        <f t="shared" si="48"/>
        <v>0.12429572807829652</v>
      </c>
      <c r="P24" s="69">
        <f t="shared" si="48"/>
        <v>0.12723010064043916</v>
      </c>
      <c r="Q24" s="69">
        <f t="shared" si="48"/>
        <v>0.13023255813953488</v>
      </c>
      <c r="R24" s="69">
        <f t="shared" si="48"/>
        <v>0.13895144061435419</v>
      </c>
      <c r="S24" s="69">
        <f t="shared" si="48"/>
        <v>0.1407983859345727</v>
      </c>
      <c r="T24" s="69">
        <f t="shared" ref="T24:U24" si="49">T11/T4</f>
        <v>0.12596075594538386</v>
      </c>
      <c r="U24" s="69">
        <f t="shared" si="49"/>
        <v>0.10966601066712302</v>
      </c>
      <c r="Z24" s="69">
        <f t="shared" ref="Z24:AT24" si="50">Z11/Z4</f>
        <v>9.8295760208690713E-2</v>
      </c>
      <c r="AA24" s="69">
        <f t="shared" si="50"/>
        <v>8.897844682826607E-2</v>
      </c>
      <c r="AB24" s="69">
        <f t="shared" si="50"/>
        <v>0.10895529217956344</v>
      </c>
      <c r="AC24" s="69">
        <f t="shared" si="50"/>
        <v>9.0793248945147675E-2</v>
      </c>
      <c r="AD24" s="69">
        <f t="shared" si="50"/>
        <v>0.11125411901531304</v>
      </c>
      <c r="AE24" s="69">
        <f t="shared" si="50"/>
        <v>0.13764044943820225</v>
      </c>
      <c r="AF24" s="69">
        <f t="shared" si="50"/>
        <v>0.10830659653556746</v>
      </c>
      <c r="AG24" s="69">
        <f t="shared" si="50"/>
        <v>6.0695510747696461E-2</v>
      </c>
      <c r="AH24" s="69">
        <f t="shared" si="50"/>
        <v>0.12089271272944742</v>
      </c>
      <c r="AI24" s="69">
        <f t="shared" si="50"/>
        <v>0.13215066027235375</v>
      </c>
      <c r="AJ24" s="69">
        <f t="shared" si="50"/>
        <v>0.13430184701142286</v>
      </c>
      <c r="AK24" s="67">
        <f t="shared" si="50"/>
        <v>0.1233805074588068</v>
      </c>
      <c r="AL24" s="69">
        <f t="shared" si="50"/>
        <v>0.12365054700667795</v>
      </c>
      <c r="AM24" s="69">
        <f t="shared" si="50"/>
        <v>0.1239102993336777</v>
      </c>
      <c r="AN24" s="69">
        <f t="shared" si="50"/>
        <v>0.12416015633393465</v>
      </c>
      <c r="AO24" s="69">
        <f t="shared" si="50"/>
        <v>0.12440049497227706</v>
      </c>
      <c r="AP24" s="69">
        <f t="shared" si="50"/>
        <v>0.12463167785296832</v>
      </c>
      <c r="AQ24" s="69">
        <f t="shared" si="50"/>
        <v>0.12485405376677609</v>
      </c>
      <c r="AR24" s="69">
        <f t="shared" si="50"/>
        <v>0.12506795821720074</v>
      </c>
      <c r="AS24" s="69">
        <f t="shared" si="50"/>
        <v>0.12527371392665679</v>
      </c>
      <c r="AT24" s="69">
        <f t="shared" si="50"/>
        <v>0.12547163132337169</v>
      </c>
      <c r="AV24" s="68" t="s">
        <v>151</v>
      </c>
      <c r="AW24" s="68">
        <f>(AW23-B4)/B4</f>
        <v>0.24177019654673054</v>
      </c>
    </row>
    <row r="25" spans="2:49" s="69" customFormat="1" x14ac:dyDescent="0.25">
      <c r="B25" s="67"/>
      <c r="C25" s="69" t="s">
        <v>146</v>
      </c>
      <c r="Z25" s="69">
        <v>0.29199999999999998</v>
      </c>
      <c r="AA25" s="69">
        <v>0.128</v>
      </c>
      <c r="AB25" s="69">
        <v>0.13900000000000001</v>
      </c>
      <c r="AC25" s="69">
        <v>0.153</v>
      </c>
      <c r="AD25" s="69">
        <v>0.152</v>
      </c>
      <c r="AE25" s="69">
        <v>0.16400000000000001</v>
      </c>
      <c r="AF25" s="69">
        <v>0.16300000000000001</v>
      </c>
      <c r="AG25" s="69">
        <v>8.8999999999999996E-2</v>
      </c>
      <c r="AH25" s="69">
        <v>0.14399999999999999</v>
      </c>
      <c r="AI25" s="69">
        <v>0.16900000000000001</v>
      </c>
      <c r="AK25" s="67"/>
    </row>
    <row r="27" spans="2:49" x14ac:dyDescent="0.25">
      <c r="C27" s="1" t="s">
        <v>66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2:49" x14ac:dyDescent="0.25">
      <c r="C28" s="2" t="s">
        <v>67</v>
      </c>
      <c r="D28" s="10">
        <v>38554</v>
      </c>
      <c r="E28" s="10">
        <v>40524</v>
      </c>
      <c r="F28" s="10">
        <v>45763</v>
      </c>
      <c r="G28" s="10">
        <v>44786</v>
      </c>
      <c r="H28" s="10">
        <v>44964</v>
      </c>
      <c r="I28" s="10">
        <v>47005</v>
      </c>
      <c r="J28" s="10">
        <v>45777</v>
      </c>
      <c r="K28" s="10">
        <v>38337</v>
      </c>
      <c r="L28" s="10">
        <v>41271</v>
      </c>
      <c r="M28" s="10">
        <v>40841</v>
      </c>
      <c r="N28" s="10">
        <v>38769</v>
      </c>
      <c r="O28" s="10">
        <v>41137</v>
      </c>
      <c r="P28" s="10">
        <v>38124</v>
      </c>
      <c r="Q28" s="10">
        <v>37914</v>
      </c>
      <c r="R28" s="10">
        <v>37614</v>
      </c>
      <c r="S28" s="10">
        <v>36861</v>
      </c>
      <c r="T28" s="10">
        <v>38804</v>
      </c>
      <c r="U28" s="10">
        <v>39324</v>
      </c>
      <c r="V28" s="10"/>
      <c r="W28" s="10"/>
      <c r="X28" s="10"/>
      <c r="Z28" s="10">
        <v>15412</v>
      </c>
      <c r="AA28" s="10">
        <v>19253</v>
      </c>
      <c r="AB28" s="10">
        <v>31697</v>
      </c>
      <c r="AC28" s="10">
        <v>33553</v>
      </c>
      <c r="AD28" s="10">
        <v>34581</v>
      </c>
      <c r="AE28" s="10">
        <v>32324</v>
      </c>
      <c r="AF28" s="10">
        <v>37803</v>
      </c>
      <c r="AG28" s="10">
        <v>44786</v>
      </c>
      <c r="AH28" s="10">
        <v>38337</v>
      </c>
      <c r="AI28" s="10">
        <v>41137</v>
      </c>
      <c r="AJ28" s="10">
        <v>36861</v>
      </c>
    </row>
    <row r="29" spans="2:49" x14ac:dyDescent="0.25">
      <c r="C29" s="2" t="s">
        <v>68</v>
      </c>
      <c r="D29" s="10">
        <v>22699</v>
      </c>
      <c r="E29" s="10">
        <v>23118</v>
      </c>
      <c r="F29" s="10">
        <v>25667</v>
      </c>
      <c r="G29" s="10">
        <v>25346</v>
      </c>
      <c r="H29" s="10">
        <v>25713</v>
      </c>
      <c r="I29" s="10">
        <v>26202</v>
      </c>
      <c r="J29" s="10">
        <v>25431</v>
      </c>
      <c r="K29" s="10">
        <v>21345</v>
      </c>
      <c r="L29" s="10">
        <v>21968</v>
      </c>
      <c r="M29" s="10">
        <v>21393</v>
      </c>
      <c r="N29" s="10">
        <v>20679</v>
      </c>
      <c r="O29" s="10">
        <v>20734</v>
      </c>
      <c r="P29" s="10">
        <v>19343</v>
      </c>
      <c r="Q29" s="10">
        <v>19204</v>
      </c>
      <c r="R29" s="10">
        <v>18818</v>
      </c>
      <c r="S29" s="10">
        <v>18273</v>
      </c>
      <c r="T29" s="10">
        <v>19478</v>
      </c>
      <c r="U29" s="10">
        <v>19105</v>
      </c>
      <c r="V29" s="10"/>
      <c r="W29" s="10"/>
      <c r="X29" s="10"/>
      <c r="Z29" s="10">
        <v>7351</v>
      </c>
      <c r="AA29" s="10">
        <v>7665</v>
      </c>
      <c r="AB29" s="10">
        <v>21424</v>
      </c>
      <c r="AC29" s="10">
        <v>21475</v>
      </c>
      <c r="AD29" s="10">
        <v>21182</v>
      </c>
      <c r="AE29" s="10">
        <v>18574</v>
      </c>
      <c r="AF29" s="10">
        <v>21806</v>
      </c>
      <c r="AG29" s="10">
        <v>25346</v>
      </c>
      <c r="AH29" s="10">
        <v>21345</v>
      </c>
      <c r="AI29" s="10">
        <v>20734</v>
      </c>
      <c r="AJ29" s="10">
        <v>18273</v>
      </c>
    </row>
    <row r="30" spans="2:49" x14ac:dyDescent="0.25">
      <c r="C30" s="2" t="s">
        <v>69</v>
      </c>
      <c r="D30" s="10">
        <v>58974</v>
      </c>
      <c r="E30" s="10">
        <v>61540</v>
      </c>
      <c r="F30" s="10">
        <v>63857</v>
      </c>
      <c r="G30" s="10">
        <v>62898</v>
      </c>
      <c r="H30" s="10">
        <v>63583</v>
      </c>
      <c r="I30" s="10">
        <v>66054</v>
      </c>
      <c r="J30" s="10">
        <v>64719</v>
      </c>
      <c r="K30" s="10">
        <v>48843</v>
      </c>
      <c r="L30" s="10">
        <v>47328</v>
      </c>
      <c r="M30" s="10">
        <v>46596</v>
      </c>
      <c r="N30" s="10">
        <v>45478</v>
      </c>
      <c r="O30" s="10">
        <v>48304</v>
      </c>
      <c r="P30" s="10">
        <v>45097</v>
      </c>
      <c r="Q30" s="10">
        <v>45847</v>
      </c>
      <c r="R30" s="10">
        <v>46130</v>
      </c>
      <c r="S30" s="10">
        <v>46308</v>
      </c>
      <c r="T30" s="10">
        <v>48054</v>
      </c>
      <c r="U30" s="10">
        <v>49188</v>
      </c>
      <c r="V30" s="10"/>
      <c r="X30" s="10"/>
      <c r="Z30" s="10">
        <v>42402</v>
      </c>
      <c r="AA30" s="10">
        <v>47494</v>
      </c>
      <c r="AB30" s="10">
        <v>48482</v>
      </c>
      <c r="AC30" s="10">
        <v>51673</v>
      </c>
      <c r="AD30" s="10">
        <v>56900</v>
      </c>
      <c r="AE30" s="10">
        <v>53631</v>
      </c>
      <c r="AF30" s="10">
        <v>58918</v>
      </c>
      <c r="AG30" s="10">
        <v>57471</v>
      </c>
      <c r="AH30" s="10">
        <v>48843</v>
      </c>
      <c r="AI30" s="10">
        <v>48304</v>
      </c>
      <c r="AJ30" s="10">
        <v>46308</v>
      </c>
    </row>
    <row r="31" spans="2:49" x14ac:dyDescent="0.25">
      <c r="C31" s="2" t="s">
        <v>70</v>
      </c>
      <c r="D31" s="10">
        <v>0</v>
      </c>
      <c r="E31" s="10">
        <v>0</v>
      </c>
      <c r="F31" s="10">
        <v>0</v>
      </c>
      <c r="G31" s="2">
        <v>0</v>
      </c>
      <c r="H31" s="10">
        <v>0</v>
      </c>
      <c r="I31" s="10">
        <v>0</v>
      </c>
      <c r="J31" s="10">
        <v>0</v>
      </c>
      <c r="K31" s="2">
        <v>0</v>
      </c>
      <c r="L31" s="10">
        <v>4066</v>
      </c>
      <c r="M31" s="10">
        <v>4040</v>
      </c>
      <c r="N31" s="10">
        <v>3916</v>
      </c>
      <c r="O31" s="10">
        <v>4088</v>
      </c>
      <c r="P31" s="10">
        <v>4055</v>
      </c>
      <c r="Q31" s="10">
        <v>3930</v>
      </c>
      <c r="R31" s="10">
        <v>3807</v>
      </c>
      <c r="S31" s="10">
        <v>3752</v>
      </c>
      <c r="T31" s="10">
        <v>3823</v>
      </c>
      <c r="U31" s="10">
        <v>3834</v>
      </c>
      <c r="V31" s="10"/>
      <c r="W31" s="10"/>
      <c r="X31" s="10"/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5427</v>
      </c>
      <c r="AH31" s="10">
        <v>0</v>
      </c>
      <c r="AI31" s="10">
        <v>4088</v>
      </c>
      <c r="AJ31" s="10">
        <v>3752</v>
      </c>
    </row>
    <row r="32" spans="2:49" x14ac:dyDescent="0.25">
      <c r="C32" s="2" t="s">
        <v>71</v>
      </c>
      <c r="D32" s="10">
        <v>255</v>
      </c>
      <c r="E32" s="10">
        <v>268</v>
      </c>
      <c r="F32" s="10">
        <v>280</v>
      </c>
      <c r="G32" s="10">
        <v>291</v>
      </c>
      <c r="H32" s="10">
        <v>297</v>
      </c>
      <c r="I32" s="10">
        <v>302</v>
      </c>
      <c r="J32" s="10">
        <v>299</v>
      </c>
      <c r="K32" s="10">
        <v>294</v>
      </c>
      <c r="L32" s="10">
        <v>309</v>
      </c>
      <c r="M32" s="10">
        <v>329</v>
      </c>
      <c r="N32" s="10">
        <v>330</v>
      </c>
      <c r="O32" s="10">
        <v>351</v>
      </c>
      <c r="P32" s="10">
        <v>330</v>
      </c>
      <c r="Q32" s="10">
        <v>325</v>
      </c>
      <c r="R32" s="10">
        <v>311</v>
      </c>
      <c r="S32" s="10">
        <v>307</v>
      </c>
      <c r="T32" s="10">
        <v>307</v>
      </c>
      <c r="U32" s="10">
        <v>332</v>
      </c>
      <c r="V32" s="10"/>
      <c r="W32" s="10"/>
      <c r="X32" s="10"/>
      <c r="Z32" s="10">
        <v>1041</v>
      </c>
      <c r="AA32" s="10">
        <v>1096</v>
      </c>
      <c r="AB32" s="10">
        <v>1062</v>
      </c>
      <c r="AC32" s="10">
        <v>777</v>
      </c>
      <c r="AD32" s="10">
        <v>865</v>
      </c>
      <c r="AE32" s="10">
        <v>847</v>
      </c>
      <c r="AF32" s="10">
        <v>239</v>
      </c>
      <c r="AG32" s="10">
        <v>291</v>
      </c>
      <c r="AH32" s="10">
        <v>294</v>
      </c>
      <c r="AI32" s="10">
        <v>351</v>
      </c>
      <c r="AJ32" s="10">
        <v>307</v>
      </c>
    </row>
    <row r="33" spans="3:36" x14ac:dyDescent="0.25">
      <c r="C33" s="2" t="s">
        <v>72</v>
      </c>
      <c r="D33" s="10">
        <v>8</v>
      </c>
      <c r="E33" s="10">
        <v>9</v>
      </c>
      <c r="F33" s="10">
        <v>9</v>
      </c>
      <c r="G33" s="10">
        <v>6</v>
      </c>
      <c r="H33" s="10">
        <v>6</v>
      </c>
      <c r="I33" s="10">
        <v>6</v>
      </c>
      <c r="J33" s="10">
        <v>6</v>
      </c>
      <c r="K33" s="10">
        <v>6</v>
      </c>
      <c r="L33" s="10">
        <v>6</v>
      </c>
      <c r="M33" s="10">
        <v>8</v>
      </c>
      <c r="N33" s="10">
        <v>8</v>
      </c>
      <c r="O33" s="10">
        <v>8</v>
      </c>
      <c r="P33" s="10">
        <v>8</v>
      </c>
      <c r="Q33" s="10">
        <v>8</v>
      </c>
      <c r="R33" s="10">
        <v>8</v>
      </c>
      <c r="S33" s="10">
        <v>8</v>
      </c>
      <c r="T33" s="10">
        <v>8</v>
      </c>
      <c r="U33" s="10">
        <v>8</v>
      </c>
      <c r="V33" s="10"/>
      <c r="W33" s="10"/>
      <c r="X33" s="10"/>
      <c r="Z33" s="10">
        <v>33</v>
      </c>
      <c r="AA33" s="10">
        <v>32</v>
      </c>
      <c r="AB33" s="10">
        <v>32</v>
      </c>
      <c r="AC33" s="10">
        <v>29</v>
      </c>
      <c r="AD33" s="10">
        <v>8</v>
      </c>
      <c r="AE33" s="10">
        <v>1</v>
      </c>
      <c r="AF33" s="10">
        <v>7</v>
      </c>
      <c r="AG33" s="10">
        <v>6</v>
      </c>
      <c r="AH33" s="10">
        <v>6</v>
      </c>
      <c r="AI33" s="10">
        <v>8</v>
      </c>
      <c r="AJ33" s="10">
        <v>8</v>
      </c>
    </row>
    <row r="34" spans="3:36" x14ac:dyDescent="0.25">
      <c r="C34" s="2" t="s">
        <v>73</v>
      </c>
      <c r="D34" s="10">
        <v>1637</v>
      </c>
      <c r="E34" s="10">
        <v>2118</v>
      </c>
      <c r="F34" s="10">
        <v>1876</v>
      </c>
      <c r="G34" s="10">
        <v>1965</v>
      </c>
      <c r="H34" s="10">
        <v>2349</v>
      </c>
      <c r="I34" s="10">
        <v>2845</v>
      </c>
      <c r="J34" s="10">
        <v>2780</v>
      </c>
      <c r="K34" s="10">
        <v>3072</v>
      </c>
      <c r="L34" s="10">
        <v>4012</v>
      </c>
      <c r="M34" s="10">
        <v>3798</v>
      </c>
      <c r="N34" s="10">
        <v>3788</v>
      </c>
      <c r="O34" s="10">
        <v>2475</v>
      </c>
      <c r="P34" s="10">
        <v>2593</v>
      </c>
      <c r="Q34" s="10">
        <v>2688</v>
      </c>
      <c r="R34" s="10">
        <v>3489</v>
      </c>
      <c r="S34" s="10">
        <v>4340</v>
      </c>
      <c r="T34" s="10">
        <v>7811</v>
      </c>
      <c r="U34" s="10">
        <v>9453</v>
      </c>
      <c r="V34" s="10"/>
      <c r="W34" s="10"/>
      <c r="X34" s="10"/>
      <c r="Z34" s="10">
        <v>35</v>
      </c>
      <c r="AA34" s="10">
        <v>335</v>
      </c>
      <c r="AB34" s="10">
        <v>1148</v>
      </c>
      <c r="AC34" s="10">
        <v>1117</v>
      </c>
      <c r="AD34" s="10">
        <v>2841</v>
      </c>
      <c r="AE34" s="10">
        <v>2817</v>
      </c>
      <c r="AF34" s="10">
        <v>1439</v>
      </c>
      <c r="AG34" s="10">
        <v>1965</v>
      </c>
      <c r="AH34" s="10">
        <v>3072</v>
      </c>
      <c r="AI34" s="10">
        <v>2475</v>
      </c>
      <c r="AJ34" s="10">
        <v>4340</v>
      </c>
    </row>
    <row r="35" spans="3:36" x14ac:dyDescent="0.25">
      <c r="C35" s="2" t="s">
        <v>74</v>
      </c>
      <c r="D35" s="10">
        <v>300</v>
      </c>
      <c r="E35" s="10">
        <v>116</v>
      </c>
      <c r="F35" s="10">
        <v>119</v>
      </c>
      <c r="G35" s="10">
        <v>123</v>
      </c>
      <c r="H35" s="10">
        <v>131</v>
      </c>
      <c r="I35" s="10">
        <v>140</v>
      </c>
      <c r="J35" s="10">
        <v>130</v>
      </c>
      <c r="K35" s="10">
        <v>117</v>
      </c>
      <c r="L35" s="10">
        <v>123</v>
      </c>
      <c r="M35" s="10">
        <v>122</v>
      </c>
      <c r="N35" s="10">
        <v>127</v>
      </c>
      <c r="O35" s="10">
        <v>128</v>
      </c>
      <c r="P35" s="10">
        <v>221</v>
      </c>
      <c r="Q35" s="10">
        <v>229</v>
      </c>
      <c r="R35" s="10">
        <v>124</v>
      </c>
      <c r="S35" s="10">
        <v>142</v>
      </c>
      <c r="T35" s="10">
        <v>124</v>
      </c>
      <c r="U35" s="10">
        <v>129</v>
      </c>
      <c r="V35" s="10"/>
      <c r="W35" s="10"/>
      <c r="X35" s="10"/>
      <c r="Z35" s="10">
        <v>728</v>
      </c>
      <c r="AA35" s="10">
        <v>714</v>
      </c>
      <c r="AB35" s="10">
        <v>552</v>
      </c>
      <c r="AC35" s="10">
        <v>634</v>
      </c>
      <c r="AD35" s="10">
        <v>694</v>
      </c>
      <c r="AE35" s="10">
        <v>281</v>
      </c>
      <c r="AF35" s="10">
        <v>412</v>
      </c>
      <c r="AG35" s="10">
        <v>123</v>
      </c>
      <c r="AH35" s="10">
        <v>117</v>
      </c>
      <c r="AI35" s="10">
        <v>128</v>
      </c>
      <c r="AJ35" s="10">
        <v>142</v>
      </c>
    </row>
    <row r="36" spans="3:36" x14ac:dyDescent="0.25">
      <c r="C36" s="2" t="s">
        <v>75</v>
      </c>
      <c r="D36" s="10">
        <v>1999</v>
      </c>
      <c r="E36" s="10">
        <v>2165</v>
      </c>
      <c r="F36" s="10">
        <v>2666</v>
      </c>
      <c r="G36" s="10">
        <v>2545</v>
      </c>
      <c r="H36" s="10">
        <v>2710</v>
      </c>
      <c r="I36" s="10">
        <v>3032</v>
      </c>
      <c r="J36" s="10">
        <v>3071</v>
      </c>
      <c r="K36" s="10">
        <v>2343</v>
      </c>
      <c r="L36" s="10">
        <v>2561</v>
      </c>
      <c r="M36" s="10">
        <v>2394</v>
      </c>
      <c r="N36" s="10">
        <v>2195</v>
      </c>
      <c r="O36" s="10">
        <v>2326</v>
      </c>
      <c r="P36" s="10">
        <v>2203</v>
      </c>
      <c r="Q36" s="10">
        <v>2274</v>
      </c>
      <c r="R36" s="10">
        <v>2279</v>
      </c>
      <c r="S36" s="10">
        <v>2122</v>
      </c>
      <c r="T36" s="10">
        <v>2067</v>
      </c>
      <c r="U36" s="10">
        <v>2185</v>
      </c>
      <c r="V36" s="10"/>
      <c r="W36" s="10"/>
      <c r="X36" s="10"/>
      <c r="Z36" s="10">
        <v>1056</v>
      </c>
      <c r="AA36" s="10">
        <v>1457</v>
      </c>
      <c r="AB36" s="10">
        <v>2232</v>
      </c>
      <c r="AC36" s="10">
        <v>2158</v>
      </c>
      <c r="AD36" s="10">
        <v>2539</v>
      </c>
      <c r="AE36" s="10">
        <v>1823</v>
      </c>
      <c r="AF36" s="10">
        <v>2012</v>
      </c>
      <c r="AG36" s="10">
        <v>2545</v>
      </c>
      <c r="AH36" s="10">
        <v>2343</v>
      </c>
      <c r="AI36" s="10">
        <v>2326</v>
      </c>
      <c r="AJ36" s="10">
        <v>2122</v>
      </c>
    </row>
    <row r="37" spans="3:36" x14ac:dyDescent="0.25">
      <c r="C37" s="2" t="s">
        <v>76</v>
      </c>
      <c r="D37" s="10">
        <v>1625</v>
      </c>
      <c r="E37" s="10">
        <v>2457</v>
      </c>
      <c r="F37" s="10">
        <v>4039</v>
      </c>
      <c r="G37" s="10">
        <v>1620</v>
      </c>
      <c r="H37" s="10">
        <v>989</v>
      </c>
      <c r="I37" s="10">
        <v>952</v>
      </c>
      <c r="J37" s="10">
        <v>884</v>
      </c>
      <c r="K37" s="10">
        <v>745</v>
      </c>
      <c r="L37" s="10">
        <v>778</v>
      </c>
      <c r="M37" s="10">
        <v>778</v>
      </c>
      <c r="N37" s="10">
        <v>746</v>
      </c>
      <c r="O37" s="10">
        <v>824</v>
      </c>
      <c r="P37" s="10">
        <v>728</v>
      </c>
      <c r="Q37" s="10">
        <v>727</v>
      </c>
      <c r="R37" s="10">
        <v>747</v>
      </c>
      <c r="S37" s="10">
        <v>725</v>
      </c>
      <c r="T37" s="10">
        <v>898</v>
      </c>
      <c r="U37" s="10">
        <v>860</v>
      </c>
      <c r="V37" s="10"/>
      <c r="W37" s="10"/>
      <c r="X37" s="10"/>
      <c r="Z37" s="10">
        <v>149</v>
      </c>
      <c r="AA37" s="10">
        <v>241</v>
      </c>
      <c r="AB37" s="10">
        <v>469</v>
      </c>
      <c r="AC37" s="10">
        <v>705</v>
      </c>
      <c r="AD37" s="10">
        <v>704</v>
      </c>
      <c r="AE37" s="10">
        <v>768</v>
      </c>
      <c r="AF37" s="10">
        <v>1411</v>
      </c>
      <c r="AG37" s="10">
        <v>1620</v>
      </c>
      <c r="AH37" s="10">
        <v>745</v>
      </c>
      <c r="AI37" s="10">
        <v>824</v>
      </c>
      <c r="AJ37" s="10">
        <v>725</v>
      </c>
    </row>
    <row r="38" spans="3:36" x14ac:dyDescent="0.25">
      <c r="C38" s="2" t="s">
        <v>77</v>
      </c>
      <c r="D38" s="10">
        <v>20695</v>
      </c>
      <c r="E38" s="10">
        <v>23283</v>
      </c>
      <c r="F38" s="10">
        <v>27127</v>
      </c>
      <c r="G38" s="10">
        <v>28888</v>
      </c>
      <c r="H38" s="10">
        <v>29845</v>
      </c>
      <c r="I38" s="10">
        <v>28027</v>
      </c>
      <c r="J38" s="10">
        <v>24784</v>
      </c>
      <c r="K38" s="10">
        <v>17546</v>
      </c>
      <c r="L38" s="10">
        <v>19031</v>
      </c>
      <c r="M38" s="10">
        <v>19110</v>
      </c>
      <c r="N38" s="10">
        <v>18814</v>
      </c>
      <c r="O38" s="10">
        <v>18914</v>
      </c>
      <c r="P38" s="10">
        <v>18493</v>
      </c>
      <c r="Q38" s="10">
        <v>19258</v>
      </c>
      <c r="R38" s="10">
        <v>19193</v>
      </c>
      <c r="S38" s="10">
        <v>18153</v>
      </c>
      <c r="T38" s="10">
        <v>19395</v>
      </c>
      <c r="U38" s="10">
        <v>20339</v>
      </c>
      <c r="V38" s="10"/>
      <c r="W38" s="10"/>
      <c r="X38" s="10"/>
      <c r="Z38" s="10">
        <v>11229</v>
      </c>
      <c r="AA38" s="10">
        <v>10944</v>
      </c>
      <c r="AB38" s="10">
        <v>13739</v>
      </c>
      <c r="AC38" s="10">
        <v>15234</v>
      </c>
      <c r="AD38" s="10">
        <v>15764</v>
      </c>
      <c r="AE38" s="10">
        <v>16383</v>
      </c>
      <c r="AF38" s="10">
        <v>19339</v>
      </c>
      <c r="AG38" s="10">
        <v>28888</v>
      </c>
      <c r="AH38" s="10">
        <v>17546</v>
      </c>
      <c r="AI38" s="10">
        <v>18914</v>
      </c>
      <c r="AJ38" s="10">
        <v>18153</v>
      </c>
    </row>
    <row r="39" spans="3:36" x14ac:dyDescent="0.25">
      <c r="C39" s="2" t="s">
        <v>78</v>
      </c>
      <c r="D39" s="10">
        <v>21180</v>
      </c>
      <c r="E39" s="10">
        <v>24870</v>
      </c>
      <c r="F39" s="10">
        <v>25996</v>
      </c>
      <c r="G39" s="10">
        <v>25990</v>
      </c>
      <c r="H39" s="10">
        <v>26395</v>
      </c>
      <c r="I39" s="10">
        <v>28444</v>
      </c>
      <c r="J39" s="10">
        <v>26824</v>
      </c>
      <c r="K39" s="10">
        <v>21920</v>
      </c>
      <c r="L39" s="10">
        <v>23686</v>
      </c>
      <c r="M39" s="10">
        <v>23554</v>
      </c>
      <c r="N39" s="10">
        <v>22447</v>
      </c>
      <c r="O39" s="10">
        <v>23538</v>
      </c>
      <c r="P39" s="10">
        <v>22278</v>
      </c>
      <c r="Q39" s="10">
        <v>23137</v>
      </c>
      <c r="R39" s="10">
        <v>22425</v>
      </c>
      <c r="S39" s="10">
        <v>21332</v>
      </c>
      <c r="T39" s="10">
        <v>22689</v>
      </c>
      <c r="U39" s="10">
        <v>23993</v>
      </c>
      <c r="V39" s="10"/>
      <c r="W39" s="10"/>
      <c r="X39" s="10"/>
      <c r="Z39" s="10">
        <v>14806</v>
      </c>
      <c r="AA39" s="10">
        <v>15843</v>
      </c>
      <c r="AB39" s="10">
        <v>17607</v>
      </c>
      <c r="AC39" s="10">
        <v>18687</v>
      </c>
      <c r="AD39" s="10">
        <v>19864</v>
      </c>
      <c r="AE39" s="10">
        <v>17825</v>
      </c>
      <c r="AF39" s="10">
        <v>19871</v>
      </c>
      <c r="AG39" s="10">
        <v>25990</v>
      </c>
      <c r="AH39" s="10">
        <v>21920</v>
      </c>
      <c r="AI39" s="10">
        <v>23538</v>
      </c>
      <c r="AJ39" s="10">
        <v>21332</v>
      </c>
    </row>
    <row r="40" spans="3:36" x14ac:dyDescent="0.25">
      <c r="C40" s="2" t="s">
        <v>79</v>
      </c>
      <c r="D40" s="10">
        <v>1199</v>
      </c>
      <c r="E40" s="10">
        <v>1092</v>
      </c>
      <c r="F40" s="10">
        <v>1294</v>
      </c>
      <c r="G40" s="10">
        <v>1152</v>
      </c>
      <c r="H40" s="10">
        <v>983</v>
      </c>
      <c r="I40" s="10">
        <v>1064</v>
      </c>
      <c r="J40" s="10">
        <v>1159</v>
      </c>
      <c r="K40" s="10">
        <v>1289</v>
      </c>
      <c r="L40" s="10">
        <v>1294</v>
      </c>
      <c r="M40" s="10">
        <v>1281</v>
      </c>
      <c r="N40" s="10">
        <v>1243</v>
      </c>
      <c r="O40" s="10">
        <v>1673</v>
      </c>
      <c r="P40" s="10">
        <v>1446</v>
      </c>
      <c r="Q40" s="10">
        <v>1407</v>
      </c>
      <c r="R40" s="10">
        <v>1373</v>
      </c>
      <c r="S40" s="10">
        <v>1626</v>
      </c>
      <c r="T40" s="10">
        <v>1497</v>
      </c>
      <c r="U40" s="10">
        <v>1531</v>
      </c>
      <c r="V40" s="10"/>
      <c r="W40" s="10"/>
      <c r="X40" s="10"/>
      <c r="Z40" s="10">
        <v>868</v>
      </c>
      <c r="AA40" s="10">
        <v>740</v>
      </c>
      <c r="AB40" s="10">
        <v>85</v>
      </c>
      <c r="AC40" s="10">
        <v>85</v>
      </c>
      <c r="AD40" s="10">
        <v>745</v>
      </c>
      <c r="AE40" s="10">
        <v>760</v>
      </c>
      <c r="AF40" s="10">
        <v>952</v>
      </c>
      <c r="AG40" s="10">
        <v>1152</v>
      </c>
      <c r="AH40" s="10">
        <v>1289</v>
      </c>
      <c r="AI40" s="10">
        <v>1673</v>
      </c>
      <c r="AJ40" s="10">
        <v>1626</v>
      </c>
    </row>
    <row r="41" spans="3:36" x14ac:dyDescent="0.25">
      <c r="C41" s="2" t="s">
        <v>80</v>
      </c>
      <c r="D41" s="10">
        <v>7799</v>
      </c>
      <c r="E41" s="10">
        <v>8343</v>
      </c>
      <c r="F41" s="10">
        <v>11468</v>
      </c>
      <c r="G41" s="10">
        <v>5761</v>
      </c>
      <c r="H41" s="10">
        <v>4487</v>
      </c>
      <c r="I41" s="10">
        <v>5152</v>
      </c>
      <c r="J41" s="10">
        <v>4481</v>
      </c>
      <c r="K41" s="10">
        <v>3391</v>
      </c>
      <c r="L41" s="10">
        <v>3267</v>
      </c>
      <c r="M41" s="10">
        <v>3797</v>
      </c>
      <c r="N41" s="10">
        <v>3860</v>
      </c>
      <c r="O41" s="10">
        <v>4480</v>
      </c>
      <c r="P41" s="10">
        <v>3586</v>
      </c>
      <c r="Q41" s="10">
        <v>3730</v>
      </c>
      <c r="R41" s="10">
        <v>3569</v>
      </c>
      <c r="S41" s="10">
        <v>3414</v>
      </c>
      <c r="T41" s="10">
        <v>3780</v>
      </c>
      <c r="U41" s="10">
        <v>4381</v>
      </c>
      <c r="V41" s="10"/>
      <c r="W41" s="10"/>
      <c r="X41" s="10"/>
      <c r="Z41" s="10">
        <v>2100</v>
      </c>
      <c r="AA41" s="10">
        <v>2333</v>
      </c>
      <c r="AB41" s="10">
        <v>2549</v>
      </c>
      <c r="AC41" s="10">
        <v>2599</v>
      </c>
      <c r="AD41" s="10">
        <v>2113</v>
      </c>
      <c r="AE41" s="10">
        <v>2173</v>
      </c>
      <c r="AF41" s="10">
        <v>5787</v>
      </c>
      <c r="AG41" s="10">
        <v>5761</v>
      </c>
      <c r="AH41" s="10">
        <v>3391</v>
      </c>
      <c r="AI41" s="10">
        <v>4480</v>
      </c>
      <c r="AJ41" s="10">
        <v>3414</v>
      </c>
    </row>
    <row r="42" spans="3:36" x14ac:dyDescent="0.25">
      <c r="C42" s="2" t="s">
        <v>81</v>
      </c>
      <c r="D42" s="10">
        <v>2079</v>
      </c>
      <c r="E42" s="10">
        <v>3483</v>
      </c>
      <c r="F42" s="10">
        <v>4936</v>
      </c>
      <c r="G42" s="10">
        <v>4941</v>
      </c>
      <c r="H42" s="10">
        <v>4396</v>
      </c>
      <c r="I42" s="10">
        <v>5865</v>
      </c>
      <c r="J42" s="10">
        <v>5127</v>
      </c>
      <c r="K42" s="10">
        <v>5259</v>
      </c>
      <c r="L42" s="10">
        <v>5003</v>
      </c>
      <c r="M42" s="10">
        <v>3830</v>
      </c>
      <c r="N42" s="10">
        <v>5166</v>
      </c>
      <c r="O42" s="10">
        <v>5342</v>
      </c>
      <c r="P42" s="10">
        <v>2893</v>
      </c>
      <c r="Q42" s="10">
        <v>2777</v>
      </c>
      <c r="R42" s="10">
        <v>1491</v>
      </c>
      <c r="S42" s="10">
        <v>1266</v>
      </c>
      <c r="T42" s="10">
        <v>1381</v>
      </c>
      <c r="U42" s="10">
        <v>1378</v>
      </c>
      <c r="V42" s="10"/>
      <c r="W42" s="10"/>
      <c r="X42" s="10"/>
      <c r="Z42" s="10">
        <v>776</v>
      </c>
      <c r="AA42" s="10">
        <v>244</v>
      </c>
      <c r="AB42" s="10">
        <v>1105</v>
      </c>
      <c r="AC42" s="10">
        <v>422</v>
      </c>
      <c r="AD42" s="10">
        <v>525</v>
      </c>
      <c r="AE42" s="10">
        <v>993</v>
      </c>
      <c r="AF42" s="10">
        <v>1150</v>
      </c>
      <c r="AG42" s="10">
        <v>4941</v>
      </c>
      <c r="AH42" s="10">
        <v>5259</v>
      </c>
      <c r="AI42" s="10">
        <v>5342</v>
      </c>
      <c r="AJ42" s="10">
        <v>1266</v>
      </c>
    </row>
    <row r="43" spans="3:36" x14ac:dyDescent="0.25">
      <c r="C43" s="2" t="s">
        <v>82</v>
      </c>
      <c r="D43" s="10">
        <v>5273</v>
      </c>
      <c r="E43" s="10">
        <v>4995</v>
      </c>
      <c r="F43" s="10">
        <v>10113</v>
      </c>
      <c r="G43" s="10">
        <v>4288</v>
      </c>
      <c r="H43" s="10">
        <v>8904</v>
      </c>
      <c r="I43" s="10">
        <v>6513</v>
      </c>
      <c r="J43" s="10">
        <v>6391</v>
      </c>
      <c r="K43" s="10">
        <v>5159</v>
      </c>
      <c r="L43" s="10">
        <v>11373</v>
      </c>
      <c r="M43" s="10">
        <v>10442</v>
      </c>
      <c r="N43" s="10">
        <v>11826</v>
      </c>
      <c r="O43" s="10">
        <v>10962</v>
      </c>
      <c r="P43" s="10">
        <v>9769</v>
      </c>
      <c r="Q43" s="10">
        <v>3927</v>
      </c>
      <c r="R43" s="10">
        <v>6229</v>
      </c>
      <c r="S43" s="10">
        <v>8487</v>
      </c>
      <c r="T43" s="10">
        <v>10741</v>
      </c>
      <c r="U43" s="10">
        <v>5495</v>
      </c>
      <c r="V43" s="10"/>
      <c r="W43" s="10"/>
      <c r="X43" s="10"/>
      <c r="Z43" s="10">
        <v>4828</v>
      </c>
      <c r="AA43" s="10">
        <v>4244</v>
      </c>
      <c r="AB43" s="10">
        <v>4107</v>
      </c>
      <c r="AC43" s="10">
        <v>3008</v>
      </c>
      <c r="AD43" s="10">
        <v>2992</v>
      </c>
      <c r="AE43" s="10">
        <v>4982</v>
      </c>
      <c r="AF43" s="10">
        <v>3904</v>
      </c>
      <c r="AG43" s="10">
        <v>4288</v>
      </c>
      <c r="AH43" s="10">
        <v>5159</v>
      </c>
      <c r="AI43" s="10">
        <v>10982</v>
      </c>
      <c r="AJ43" s="10">
        <v>8487</v>
      </c>
    </row>
    <row r="44" spans="3:36" x14ac:dyDescent="0.25">
      <c r="C44" s="1" t="s">
        <v>83</v>
      </c>
      <c r="D44" s="9">
        <f t="shared" ref="D44:R44" si="51">SUM(D28:D43)</f>
        <v>184276</v>
      </c>
      <c r="E44" s="9">
        <f t="shared" si="51"/>
        <v>198381</v>
      </c>
      <c r="F44" s="9">
        <f t="shared" si="51"/>
        <v>225210</v>
      </c>
      <c r="G44" s="9">
        <f t="shared" si="51"/>
        <v>210600</v>
      </c>
      <c r="H44" s="9">
        <f t="shared" si="51"/>
        <v>215752</v>
      </c>
      <c r="I44" s="9">
        <f t="shared" si="51"/>
        <v>221603</v>
      </c>
      <c r="J44" s="9">
        <f t="shared" si="51"/>
        <v>211863</v>
      </c>
      <c r="K44" s="9">
        <f t="shared" si="51"/>
        <v>169666</v>
      </c>
      <c r="L44" s="9">
        <f t="shared" si="51"/>
        <v>186076</v>
      </c>
      <c r="M44" s="9">
        <f t="shared" si="51"/>
        <v>182313</v>
      </c>
      <c r="N44" s="9">
        <f t="shared" si="51"/>
        <v>179392</v>
      </c>
      <c r="O44" s="9">
        <f t="shared" si="51"/>
        <v>185284</v>
      </c>
      <c r="P44" s="9">
        <f t="shared" si="51"/>
        <v>171167</v>
      </c>
      <c r="Q44" s="9">
        <f t="shared" si="51"/>
        <v>167382</v>
      </c>
      <c r="R44" s="9">
        <f t="shared" si="51"/>
        <v>167607</v>
      </c>
      <c r="S44" s="9">
        <f>SUM(S28:S43)</f>
        <v>167116</v>
      </c>
      <c r="T44" s="9">
        <f>SUM(T28:T43)</f>
        <v>180857</v>
      </c>
      <c r="U44" s="9">
        <f>SUM(U28:U43)</f>
        <v>181535</v>
      </c>
      <c r="V44" s="9"/>
      <c r="W44" s="9"/>
      <c r="X44" s="9"/>
      <c r="Z44" s="9">
        <f t="shared" ref="Z44:AI44" si="52">SUM(Z28:Z43)</f>
        <v>102814</v>
      </c>
      <c r="AA44" s="9">
        <f t="shared" si="52"/>
        <v>112635</v>
      </c>
      <c r="AB44" s="9">
        <f t="shared" si="52"/>
        <v>146290</v>
      </c>
      <c r="AC44" s="9">
        <f t="shared" si="52"/>
        <v>152156</v>
      </c>
      <c r="AD44" s="9">
        <f t="shared" si="52"/>
        <v>162317</v>
      </c>
      <c r="AE44" s="9">
        <f t="shared" si="52"/>
        <v>154182</v>
      </c>
      <c r="AF44" s="9">
        <f t="shared" si="52"/>
        <v>175050</v>
      </c>
      <c r="AG44" s="9">
        <f t="shared" si="52"/>
        <v>210600</v>
      </c>
      <c r="AH44" s="9">
        <f t="shared" si="52"/>
        <v>169666</v>
      </c>
      <c r="AI44" s="9">
        <f t="shared" si="52"/>
        <v>185304</v>
      </c>
      <c r="AJ44" s="9">
        <f>SUM(AJ28:AJ43)</f>
        <v>167116</v>
      </c>
    </row>
    <row r="45" spans="3:36" x14ac:dyDescent="0.25">
      <c r="C45" s="2" t="s">
        <v>84</v>
      </c>
      <c r="D45" s="17">
        <v>2350</v>
      </c>
      <c r="E45" s="10">
        <v>2350</v>
      </c>
      <c r="F45" s="10">
        <v>2350</v>
      </c>
      <c r="G45" s="10">
        <v>2350</v>
      </c>
      <c r="H45" s="10">
        <v>2350</v>
      </c>
      <c r="I45" s="10">
        <v>2350</v>
      </c>
      <c r="J45" s="10">
        <v>2350</v>
      </c>
      <c r="K45" s="10">
        <v>2350</v>
      </c>
      <c r="L45" s="10">
        <v>2350</v>
      </c>
      <c r="M45" s="10">
        <v>2350</v>
      </c>
      <c r="N45" s="10">
        <v>2350</v>
      </c>
      <c r="O45" s="10">
        <v>2350</v>
      </c>
      <c r="P45" s="10">
        <v>2350</v>
      </c>
      <c r="Q45" s="10">
        <v>2350</v>
      </c>
      <c r="R45" s="10">
        <v>2350</v>
      </c>
      <c r="S45" s="10">
        <v>2350</v>
      </c>
      <c r="T45" s="10">
        <v>2350</v>
      </c>
      <c r="U45" s="10">
        <v>2350</v>
      </c>
      <c r="V45" s="10"/>
      <c r="W45" s="10"/>
      <c r="X45" s="10"/>
      <c r="Z45" s="10">
        <v>0</v>
      </c>
      <c r="AA45" s="10">
        <v>0</v>
      </c>
      <c r="AB45" s="10">
        <v>2350</v>
      </c>
      <c r="AC45" s="10">
        <v>2350</v>
      </c>
      <c r="AD45" s="10">
        <v>2350</v>
      </c>
      <c r="AE45" s="10">
        <v>2350</v>
      </c>
      <c r="AF45" s="10">
        <v>2350</v>
      </c>
      <c r="AG45" s="10">
        <v>2350</v>
      </c>
      <c r="AH45" s="10">
        <v>2350</v>
      </c>
      <c r="AI45" s="10">
        <v>2350</v>
      </c>
      <c r="AJ45" s="10">
        <v>2350</v>
      </c>
    </row>
    <row r="46" spans="3:36" x14ac:dyDescent="0.25">
      <c r="C46" s="2" t="s">
        <v>184</v>
      </c>
      <c r="D46" s="10">
        <v>9753</v>
      </c>
      <c r="E46" s="10">
        <v>14785</v>
      </c>
      <c r="F46" s="10">
        <v>20339</v>
      </c>
      <c r="G46" s="10">
        <v>11477</v>
      </c>
      <c r="H46" s="10">
        <v>10596</v>
      </c>
      <c r="I46" s="10">
        <v>14299</v>
      </c>
      <c r="J46" s="10">
        <v>13883</v>
      </c>
      <c r="K46" s="10">
        <v>9421</v>
      </c>
      <c r="L46" s="10">
        <v>13685</v>
      </c>
      <c r="M46" s="10">
        <v>12250</v>
      </c>
      <c r="N46" s="10">
        <v>9624</v>
      </c>
      <c r="O46" s="10">
        <v>13224</v>
      </c>
      <c r="P46" s="10">
        <v>6768</v>
      </c>
      <c r="Q46" s="10">
        <v>6495</v>
      </c>
      <c r="R46" s="10">
        <v>6035</v>
      </c>
      <c r="S46" s="10">
        <v>4257</v>
      </c>
      <c r="T46" s="10">
        <v>7490</v>
      </c>
      <c r="U46" s="10">
        <v>9128</v>
      </c>
      <c r="V46" s="10"/>
      <c r="W46" s="10"/>
      <c r="X46" s="10"/>
      <c r="Z46" s="10">
        <v>1501</v>
      </c>
      <c r="AA46" s="10">
        <v>4061</v>
      </c>
      <c r="AB46" s="10">
        <v>3154</v>
      </c>
      <c r="AC46" s="10">
        <v>5003</v>
      </c>
      <c r="AD46" s="10">
        <v>6284</v>
      </c>
      <c r="AE46" s="10">
        <v>581</v>
      </c>
      <c r="AF46" s="10">
        <v>6416</v>
      </c>
      <c r="AG46" s="10">
        <v>11477</v>
      </c>
      <c r="AH46" s="10">
        <v>9421</v>
      </c>
      <c r="AI46" s="10">
        <v>13224</v>
      </c>
      <c r="AJ46" s="10">
        <v>4257</v>
      </c>
    </row>
    <row r="47" spans="3:36" x14ac:dyDescent="0.25">
      <c r="C47" s="2" t="s">
        <v>85</v>
      </c>
      <c r="D47" s="10">
        <v>47520</v>
      </c>
      <c r="E47" s="10">
        <v>49696</v>
      </c>
      <c r="F47" s="10">
        <v>51324</v>
      </c>
      <c r="G47" s="10">
        <v>53519</v>
      </c>
      <c r="H47" s="10">
        <v>51420</v>
      </c>
      <c r="I47" s="10">
        <v>54370</v>
      </c>
      <c r="J47" s="10">
        <v>55951</v>
      </c>
      <c r="K47" s="10">
        <v>59075</v>
      </c>
      <c r="L47" s="10">
        <v>65682</v>
      </c>
      <c r="M47" s="10">
        <v>68809</v>
      </c>
      <c r="N47" s="10">
        <v>71408</v>
      </c>
      <c r="O47" s="10">
        <v>72740</v>
      </c>
      <c r="P47" s="10">
        <v>70175</v>
      </c>
      <c r="Q47" s="10">
        <v>71953</v>
      </c>
      <c r="R47" s="10">
        <v>75181</v>
      </c>
      <c r="S47" s="10">
        <v>79018</v>
      </c>
      <c r="T47" s="10">
        <v>77875</v>
      </c>
      <c r="U47" s="10">
        <v>81284</v>
      </c>
      <c r="V47" s="10"/>
      <c r="W47" s="10"/>
      <c r="X47" s="10"/>
      <c r="Z47" s="10">
        <v>41485</v>
      </c>
      <c r="AA47" s="10">
        <v>29143</v>
      </c>
      <c r="AB47" s="10">
        <v>36785</v>
      </c>
      <c r="AC47" s="10">
        <v>39788</v>
      </c>
      <c r="AD47" s="10">
        <v>45491</v>
      </c>
      <c r="AE47" s="10">
        <v>51421</v>
      </c>
      <c r="AF47" s="10">
        <v>51108</v>
      </c>
      <c r="AG47" s="10">
        <v>53519</v>
      </c>
      <c r="AH47" s="10">
        <v>59075</v>
      </c>
      <c r="AI47" s="10">
        <v>72740</v>
      </c>
      <c r="AJ47" s="10">
        <v>79018</v>
      </c>
    </row>
    <row r="48" spans="3:36" x14ac:dyDescent="0.25">
      <c r="C48" s="2" t="s">
        <v>86</v>
      </c>
      <c r="D48" s="10">
        <v>9103</v>
      </c>
      <c r="E48" s="10">
        <v>9376</v>
      </c>
      <c r="F48" s="10">
        <v>9540</v>
      </c>
      <c r="G48" s="10">
        <v>9218</v>
      </c>
      <c r="H48" s="10">
        <v>9311</v>
      </c>
      <c r="I48" s="10">
        <v>9057</v>
      </c>
      <c r="J48" s="10">
        <v>8935</v>
      </c>
      <c r="K48" s="10">
        <v>8559</v>
      </c>
      <c r="L48" s="10">
        <v>459</v>
      </c>
      <c r="M48" s="10">
        <v>453</v>
      </c>
      <c r="N48" s="10">
        <v>453</v>
      </c>
      <c r="O48" s="10">
        <v>427</v>
      </c>
      <c r="P48" s="10">
        <v>411</v>
      </c>
      <c r="Q48" s="10">
        <v>409</v>
      </c>
      <c r="R48" s="10">
        <v>417</v>
      </c>
      <c r="S48" s="10">
        <v>415</v>
      </c>
      <c r="T48" s="10">
        <v>446</v>
      </c>
      <c r="U48" s="10">
        <v>418</v>
      </c>
      <c r="V48" s="10"/>
      <c r="W48" s="10"/>
      <c r="X48" s="10"/>
      <c r="Z48" s="10">
        <v>5289</v>
      </c>
      <c r="AA48" s="10">
        <v>6376</v>
      </c>
      <c r="AB48" s="10">
        <v>7281</v>
      </c>
      <c r="AC48" s="10">
        <v>7758</v>
      </c>
      <c r="AD48" s="10">
        <v>8676</v>
      </c>
      <c r="AE48" s="10">
        <v>8990</v>
      </c>
      <c r="AF48" s="10">
        <v>8633</v>
      </c>
      <c r="AG48" s="10">
        <v>9218</v>
      </c>
      <c r="AH48" s="10">
        <v>8559</v>
      </c>
      <c r="AI48" s="10">
        <v>427</v>
      </c>
      <c r="AJ48" s="10">
        <v>415</v>
      </c>
    </row>
    <row r="49" spans="3:40" x14ac:dyDescent="0.25">
      <c r="C49" s="7" t="s">
        <v>87</v>
      </c>
      <c r="D49" s="17">
        <f t="shared" ref="D49:R49" si="53">SUM(D45:D48)</f>
        <v>68726</v>
      </c>
      <c r="E49" s="17">
        <f t="shared" si="53"/>
        <v>76207</v>
      </c>
      <c r="F49" s="17">
        <f t="shared" si="53"/>
        <v>83553</v>
      </c>
      <c r="G49" s="17">
        <f t="shared" si="53"/>
        <v>76564</v>
      </c>
      <c r="H49" s="17">
        <f t="shared" si="53"/>
        <v>73677</v>
      </c>
      <c r="I49" s="17">
        <f t="shared" si="53"/>
        <v>80076</v>
      </c>
      <c r="J49" s="17">
        <f t="shared" si="53"/>
        <v>81119</v>
      </c>
      <c r="K49" s="17">
        <f t="shared" si="53"/>
        <v>79405</v>
      </c>
      <c r="L49" s="17">
        <f t="shared" si="53"/>
        <v>82176</v>
      </c>
      <c r="M49" s="17">
        <f t="shared" si="53"/>
        <v>83862</v>
      </c>
      <c r="N49" s="17">
        <f t="shared" si="53"/>
        <v>83835</v>
      </c>
      <c r="O49" s="17">
        <f t="shared" si="53"/>
        <v>88741</v>
      </c>
      <c r="P49" s="17">
        <f t="shared" si="53"/>
        <v>79704</v>
      </c>
      <c r="Q49" s="17">
        <f t="shared" si="53"/>
        <v>81207</v>
      </c>
      <c r="R49" s="17">
        <f t="shared" si="53"/>
        <v>83983</v>
      </c>
      <c r="S49" s="17">
        <f>SUM(S45:S48)</f>
        <v>86040</v>
      </c>
      <c r="T49" s="17">
        <f>SUM(T45:T48)</f>
        <v>88161</v>
      </c>
      <c r="U49" s="17">
        <f>SUM(U45:U48)</f>
        <v>93180</v>
      </c>
      <c r="V49" s="17"/>
      <c r="W49" s="17"/>
      <c r="X49" s="17"/>
      <c r="Y49" s="7"/>
      <c r="Z49" s="17">
        <f t="shared" ref="Z49:AI49" si="54">SUM(Z45:Z48)</f>
        <v>48275</v>
      </c>
      <c r="AA49" s="17">
        <f t="shared" si="54"/>
        <v>39580</v>
      </c>
      <c r="AB49" s="17">
        <f t="shared" si="54"/>
        <v>49570</v>
      </c>
      <c r="AC49" s="17">
        <f t="shared" si="54"/>
        <v>54899</v>
      </c>
      <c r="AD49" s="17">
        <f t="shared" si="54"/>
        <v>62801</v>
      </c>
      <c r="AE49" s="17">
        <f t="shared" si="54"/>
        <v>63342</v>
      </c>
      <c r="AF49" s="17">
        <f t="shared" si="54"/>
        <v>68507</v>
      </c>
      <c r="AG49" s="17">
        <f t="shared" si="54"/>
        <v>76564</v>
      </c>
      <c r="AH49" s="17">
        <f t="shared" si="54"/>
        <v>79405</v>
      </c>
      <c r="AI49" s="17">
        <f t="shared" si="54"/>
        <v>88741</v>
      </c>
      <c r="AJ49" s="17">
        <f>SUM(AJ45:AJ48)</f>
        <v>86040</v>
      </c>
    </row>
    <row r="50" spans="3:40" x14ac:dyDescent="0.25">
      <c r="C50" s="2" t="s">
        <v>88</v>
      </c>
      <c r="D50" s="10">
        <v>50760</v>
      </c>
      <c r="E50" s="10">
        <v>47083</v>
      </c>
      <c r="F50" s="10">
        <v>54420</v>
      </c>
      <c r="G50" s="10">
        <v>58242</v>
      </c>
      <c r="H50" s="10">
        <v>53055</v>
      </c>
      <c r="I50" s="10">
        <v>56054</v>
      </c>
      <c r="J50" s="10">
        <v>54486</v>
      </c>
      <c r="K50" s="10">
        <v>45336</v>
      </c>
      <c r="L50" s="10">
        <v>40332</v>
      </c>
      <c r="M50" s="10">
        <v>40078</v>
      </c>
      <c r="N50" s="10">
        <v>39205</v>
      </c>
      <c r="O50" s="10">
        <v>40674</v>
      </c>
      <c r="P50" s="10">
        <v>38161</v>
      </c>
      <c r="Q50" s="10">
        <v>38953</v>
      </c>
      <c r="R50" s="10">
        <v>32011</v>
      </c>
      <c r="S50" s="10">
        <v>31386</v>
      </c>
      <c r="T50" s="10">
        <v>26331</v>
      </c>
      <c r="U50" s="10">
        <v>25551</v>
      </c>
      <c r="V50" s="10"/>
      <c r="W50" s="10"/>
      <c r="X50" s="10"/>
      <c r="Z50" s="10">
        <v>21463</v>
      </c>
      <c r="AA50" s="10">
        <v>31299</v>
      </c>
      <c r="AB50" s="10">
        <v>47637</v>
      </c>
      <c r="AC50" s="10">
        <v>43500</v>
      </c>
      <c r="AD50" s="10">
        <v>43079</v>
      </c>
      <c r="AE50" s="10">
        <v>38202</v>
      </c>
      <c r="AF50" s="10">
        <v>47443</v>
      </c>
      <c r="AG50" s="10">
        <v>58242</v>
      </c>
      <c r="AH50" s="10">
        <v>45336</v>
      </c>
      <c r="AI50" s="10">
        <v>40674</v>
      </c>
      <c r="AJ50" s="10">
        <v>31386</v>
      </c>
    </row>
    <row r="51" spans="3:40" x14ac:dyDescent="0.25">
      <c r="C51" s="2" t="s">
        <v>89</v>
      </c>
      <c r="D51" s="10">
        <v>3080</v>
      </c>
      <c r="E51" s="10">
        <v>2756</v>
      </c>
      <c r="F51" s="10">
        <v>2589</v>
      </c>
      <c r="G51" s="10">
        <v>2671</v>
      </c>
      <c r="H51" s="10">
        <v>2575</v>
      </c>
      <c r="I51" s="10">
        <v>2517</v>
      </c>
      <c r="J51" s="10">
        <v>2446</v>
      </c>
      <c r="K51" s="10">
        <v>2587</v>
      </c>
      <c r="L51" s="10">
        <v>2537</v>
      </c>
      <c r="M51" s="10">
        <v>2457</v>
      </c>
      <c r="N51" s="10">
        <v>2472</v>
      </c>
      <c r="O51" s="10">
        <v>2578</v>
      </c>
      <c r="P51" s="10">
        <v>1571</v>
      </c>
      <c r="Q51" s="10">
        <v>2457</v>
      </c>
      <c r="R51" s="10">
        <v>2438</v>
      </c>
      <c r="S51" s="10">
        <v>2146</v>
      </c>
      <c r="T51" s="10">
        <v>2284</v>
      </c>
      <c r="U51" s="10">
        <v>2308</v>
      </c>
      <c r="V51" s="10"/>
      <c r="W51" s="10"/>
      <c r="X51" s="10"/>
      <c r="Z51" s="10">
        <v>2919</v>
      </c>
      <c r="AA51" s="10">
        <v>5273</v>
      </c>
      <c r="AB51" s="10">
        <v>4541</v>
      </c>
      <c r="AC51" s="10">
        <v>5258</v>
      </c>
      <c r="AD51" s="10">
        <v>5866</v>
      </c>
      <c r="AE51" s="10">
        <v>5328</v>
      </c>
      <c r="AF51" s="10">
        <v>4149</v>
      </c>
      <c r="AG51" s="10">
        <v>2671</v>
      </c>
      <c r="AH51" s="10">
        <v>2587</v>
      </c>
      <c r="AI51" s="10">
        <v>2578</v>
      </c>
      <c r="AJ51" s="10">
        <v>2146</v>
      </c>
    </row>
    <row r="52" spans="3:40" x14ac:dyDescent="0.25">
      <c r="C52" s="2" t="s">
        <v>90</v>
      </c>
      <c r="D52" s="10">
        <v>8605</v>
      </c>
      <c r="E52" s="10">
        <v>9415</v>
      </c>
      <c r="F52" s="10">
        <v>10998</v>
      </c>
      <c r="G52" s="10">
        <v>8718</v>
      </c>
      <c r="H52" s="10">
        <v>8111</v>
      </c>
      <c r="I52" s="10">
        <v>8570</v>
      </c>
      <c r="J52" s="10">
        <v>8117</v>
      </c>
      <c r="K52" s="10">
        <v>6935</v>
      </c>
      <c r="L52" s="10">
        <v>7108</v>
      </c>
      <c r="M52" s="10">
        <v>7200</v>
      </c>
      <c r="N52" s="10">
        <v>7183</v>
      </c>
      <c r="O52" s="10">
        <v>6978</v>
      </c>
      <c r="P52" s="10">
        <v>6699</v>
      </c>
      <c r="Q52" s="10">
        <v>6487</v>
      </c>
      <c r="R52" s="10">
        <v>6588</v>
      </c>
      <c r="S52" s="10">
        <v>6272</v>
      </c>
      <c r="T52" s="10">
        <v>7194</v>
      </c>
      <c r="U52" s="10">
        <v>7606</v>
      </c>
      <c r="V52" s="10"/>
      <c r="W52" s="10"/>
      <c r="X52" s="10"/>
      <c r="Z52" s="10">
        <v>3756</v>
      </c>
      <c r="AA52" s="10">
        <v>3872</v>
      </c>
      <c r="AB52" s="10">
        <v>7090</v>
      </c>
      <c r="AC52" s="10">
        <v>7272</v>
      </c>
      <c r="AD52" s="10">
        <v>6545</v>
      </c>
      <c r="AE52" s="10">
        <v>6150</v>
      </c>
      <c r="AF52" s="10">
        <v>7574</v>
      </c>
      <c r="AG52" s="10">
        <v>8718</v>
      </c>
      <c r="AH52" s="10">
        <v>6935</v>
      </c>
      <c r="AI52" s="10">
        <v>6978</v>
      </c>
      <c r="AJ52" s="10">
        <v>6272</v>
      </c>
    </row>
    <row r="53" spans="3:40" x14ac:dyDescent="0.25">
      <c r="C53" s="2" t="s">
        <v>91</v>
      </c>
      <c r="D53" s="10">
        <v>394</v>
      </c>
      <c r="E53" s="10">
        <v>423</v>
      </c>
      <c r="F53" s="10">
        <v>501</v>
      </c>
      <c r="G53" s="10">
        <v>491</v>
      </c>
      <c r="H53" s="10">
        <v>523</v>
      </c>
      <c r="I53" s="10">
        <v>374</v>
      </c>
      <c r="J53" s="10">
        <v>395</v>
      </c>
      <c r="K53" s="10">
        <v>466</v>
      </c>
      <c r="L53" s="10">
        <v>433</v>
      </c>
      <c r="M53" s="10">
        <v>465</v>
      </c>
      <c r="N53" s="10">
        <v>511</v>
      </c>
      <c r="O53" s="10">
        <v>507</v>
      </c>
      <c r="P53" s="10">
        <v>400</v>
      </c>
      <c r="Q53" s="10">
        <v>413</v>
      </c>
      <c r="R53" s="10">
        <v>410</v>
      </c>
      <c r="S53" s="10">
        <v>384</v>
      </c>
      <c r="T53" s="10">
        <v>304</v>
      </c>
      <c r="U53" s="10">
        <v>358</v>
      </c>
      <c r="V53" s="10"/>
      <c r="W53" s="10"/>
      <c r="X53" s="10"/>
      <c r="Z53" s="10">
        <v>886</v>
      </c>
      <c r="AA53" s="10">
        <v>1407</v>
      </c>
      <c r="AB53" s="10">
        <v>1481</v>
      </c>
      <c r="AC53" s="10">
        <v>1694</v>
      </c>
      <c r="AD53" s="10">
        <v>386</v>
      </c>
      <c r="AE53" s="10">
        <v>382</v>
      </c>
      <c r="AF53" s="10">
        <v>348</v>
      </c>
      <c r="AG53" s="10">
        <v>491</v>
      </c>
      <c r="AH53" s="10">
        <v>466</v>
      </c>
      <c r="AI53" s="10">
        <v>507</v>
      </c>
      <c r="AJ53" s="10">
        <v>384</v>
      </c>
    </row>
    <row r="54" spans="3:40" x14ac:dyDescent="0.25">
      <c r="C54" s="2" t="s">
        <v>92</v>
      </c>
      <c r="D54" s="10">
        <v>92</v>
      </c>
      <c r="E54" s="10">
        <v>125</v>
      </c>
      <c r="F54" s="10">
        <v>1192</v>
      </c>
      <c r="G54" s="10">
        <v>1196</v>
      </c>
      <c r="H54" s="10">
        <v>1331</v>
      </c>
      <c r="I54" s="10">
        <v>1336</v>
      </c>
      <c r="J54" s="10">
        <v>1187</v>
      </c>
      <c r="K54" s="10">
        <v>1073</v>
      </c>
      <c r="L54" s="10">
        <v>1051</v>
      </c>
      <c r="M54" s="10">
        <v>939</v>
      </c>
      <c r="N54" s="10">
        <v>511</v>
      </c>
      <c r="O54" s="10">
        <v>516</v>
      </c>
      <c r="P54" s="10">
        <v>516</v>
      </c>
      <c r="Q54" s="10">
        <v>513</v>
      </c>
      <c r="R54" s="10">
        <v>101</v>
      </c>
      <c r="S54" s="10">
        <v>92</v>
      </c>
      <c r="T54" s="10">
        <v>58</v>
      </c>
      <c r="U54" s="10">
        <v>47</v>
      </c>
      <c r="V54" s="10"/>
      <c r="W54" s="10"/>
      <c r="X54" s="10"/>
      <c r="Z54" s="10">
        <v>146</v>
      </c>
      <c r="AA54" s="10">
        <v>72</v>
      </c>
      <c r="AB54" s="10">
        <v>79</v>
      </c>
      <c r="AC54" s="10">
        <v>71</v>
      </c>
      <c r="AD54" s="10">
        <v>163</v>
      </c>
      <c r="AE54" s="10">
        <v>105</v>
      </c>
      <c r="AF54" s="10">
        <v>86</v>
      </c>
      <c r="AG54" s="10">
        <v>1196</v>
      </c>
      <c r="AH54" s="10">
        <v>1073</v>
      </c>
      <c r="AI54" s="10">
        <v>516</v>
      </c>
      <c r="AJ54" s="10">
        <v>92</v>
      </c>
    </row>
    <row r="55" spans="3:40" x14ac:dyDescent="0.25">
      <c r="C55" s="2" t="s">
        <v>93</v>
      </c>
      <c r="D55" s="10">
        <v>14772</v>
      </c>
      <c r="E55" s="10">
        <v>20532</v>
      </c>
      <c r="F55" s="10">
        <v>24422</v>
      </c>
      <c r="G55" s="10">
        <v>13273</v>
      </c>
      <c r="H55" s="10">
        <v>22264</v>
      </c>
      <c r="I55" s="10">
        <v>25916</v>
      </c>
      <c r="J55" s="10">
        <v>18129</v>
      </c>
      <c r="K55" s="10">
        <v>15648</v>
      </c>
      <c r="L55" s="10">
        <v>11905</v>
      </c>
      <c r="M55" s="10">
        <v>8871</v>
      </c>
      <c r="N55" s="10">
        <v>8352</v>
      </c>
      <c r="O55" s="10">
        <v>5424</v>
      </c>
      <c r="P55" s="10">
        <v>2516</v>
      </c>
      <c r="Q55" s="10">
        <v>2388</v>
      </c>
      <c r="R55" s="10">
        <v>7190</v>
      </c>
      <c r="S55" s="10">
        <v>7246</v>
      </c>
      <c r="T55" s="10">
        <v>15980</v>
      </c>
      <c r="U55" s="10">
        <v>17058</v>
      </c>
      <c r="V55" s="10"/>
      <c r="W55" s="10"/>
      <c r="X55" s="10"/>
      <c r="Z55" s="10">
        <v>12402</v>
      </c>
      <c r="AA55" s="10">
        <v>5089</v>
      </c>
      <c r="AB55" s="10">
        <v>7201</v>
      </c>
      <c r="AC55" s="10">
        <v>10827</v>
      </c>
      <c r="AD55" s="10">
        <v>8983</v>
      </c>
      <c r="AE55" s="10">
        <v>8688</v>
      </c>
      <c r="AF55" s="10">
        <v>10746</v>
      </c>
      <c r="AG55" s="10">
        <v>13273</v>
      </c>
      <c r="AH55" s="10">
        <v>15648</v>
      </c>
      <c r="AI55" s="10">
        <v>6424</v>
      </c>
      <c r="AJ55" s="10">
        <v>7246</v>
      </c>
    </row>
    <row r="56" spans="3:40" x14ac:dyDescent="0.25">
      <c r="C56" s="2" t="s">
        <v>94</v>
      </c>
      <c r="D56" s="10">
        <v>19512</v>
      </c>
      <c r="E56" s="10">
        <v>21348</v>
      </c>
      <c r="F56" s="10">
        <v>25053</v>
      </c>
      <c r="G56" s="10">
        <v>25644</v>
      </c>
      <c r="H56" s="10">
        <v>24296</v>
      </c>
      <c r="I56" s="10">
        <v>21760</v>
      </c>
      <c r="J56" s="10">
        <v>19529</v>
      </c>
      <c r="K56" s="10">
        <v>15119</v>
      </c>
      <c r="L56" s="10">
        <v>16171</v>
      </c>
      <c r="M56" s="10">
        <v>16552</v>
      </c>
      <c r="N56" s="10">
        <v>16009</v>
      </c>
      <c r="O56" s="10">
        <v>17098</v>
      </c>
      <c r="P56" s="10">
        <v>15675</v>
      </c>
      <c r="Q56" s="10">
        <v>15751</v>
      </c>
      <c r="R56" s="10">
        <v>14672</v>
      </c>
      <c r="S56" s="10">
        <v>14437</v>
      </c>
      <c r="T56" s="10">
        <v>15127</v>
      </c>
      <c r="U56" s="10">
        <v>15734</v>
      </c>
      <c r="V56" s="10"/>
      <c r="W56" s="10"/>
      <c r="X56" s="10"/>
      <c r="Z56" s="10">
        <v>11869</v>
      </c>
      <c r="AA56" s="10">
        <v>12972</v>
      </c>
      <c r="AB56" s="10">
        <v>14748</v>
      </c>
      <c r="AC56" s="10">
        <v>15911</v>
      </c>
      <c r="AD56" s="10">
        <v>15802</v>
      </c>
      <c r="AE56" s="10">
        <v>14791</v>
      </c>
      <c r="AF56" s="10">
        <v>18030</v>
      </c>
      <c r="AG56" s="10">
        <v>25644</v>
      </c>
      <c r="AH56" s="10">
        <v>15119</v>
      </c>
      <c r="AI56" s="10">
        <v>17098</v>
      </c>
      <c r="AJ56" s="10">
        <v>14437</v>
      </c>
    </row>
    <row r="57" spans="3:40" x14ac:dyDescent="0.25">
      <c r="C57" s="2" t="s">
        <v>95</v>
      </c>
      <c r="D57" s="10">
        <v>1207</v>
      </c>
      <c r="E57" s="10">
        <v>1233</v>
      </c>
      <c r="F57" s="10">
        <v>1696</v>
      </c>
      <c r="G57" s="10">
        <v>1589</v>
      </c>
      <c r="H57" s="10">
        <v>1743</v>
      </c>
      <c r="I57" s="10">
        <v>1593</v>
      </c>
      <c r="J57" s="10">
        <v>2353</v>
      </c>
      <c r="K57" s="10">
        <v>2165</v>
      </c>
      <c r="L57" s="10">
        <v>2475</v>
      </c>
      <c r="M57" s="10">
        <v>2028</v>
      </c>
      <c r="N57" s="10">
        <v>2003</v>
      </c>
      <c r="O57" s="10">
        <v>1442</v>
      </c>
      <c r="P57" s="10">
        <v>1364</v>
      </c>
      <c r="Q57" s="10">
        <v>1137</v>
      </c>
      <c r="R57" s="10">
        <v>1501</v>
      </c>
      <c r="S57" s="10">
        <v>1847</v>
      </c>
      <c r="T57" s="10">
        <v>1671</v>
      </c>
      <c r="U57" s="10">
        <v>1444</v>
      </c>
      <c r="V57" s="10"/>
      <c r="W57" s="10"/>
      <c r="X57" s="10"/>
      <c r="Z57" s="10">
        <v>808</v>
      </c>
      <c r="AA57" s="10">
        <v>915</v>
      </c>
      <c r="AB57" s="10">
        <v>553</v>
      </c>
      <c r="AC57" s="10">
        <v>570</v>
      </c>
      <c r="AD57" s="10">
        <v>2432</v>
      </c>
      <c r="AE57" s="10">
        <v>2301</v>
      </c>
      <c r="AF57" s="10">
        <v>1576</v>
      </c>
      <c r="AG57" s="10">
        <v>1589</v>
      </c>
      <c r="AH57" s="10">
        <v>2165</v>
      </c>
      <c r="AI57" s="10">
        <v>1442</v>
      </c>
      <c r="AJ57" s="10">
        <v>1847</v>
      </c>
    </row>
    <row r="58" spans="3:40" x14ac:dyDescent="0.25">
      <c r="C58" s="2" t="s">
        <v>96</v>
      </c>
      <c r="D58" s="10">
        <v>792</v>
      </c>
      <c r="E58" s="10">
        <v>843</v>
      </c>
      <c r="F58" s="10">
        <v>997</v>
      </c>
      <c r="G58" s="10">
        <v>1217</v>
      </c>
      <c r="H58" s="10">
        <v>968</v>
      </c>
      <c r="I58" s="10">
        <v>953</v>
      </c>
      <c r="J58" s="10">
        <v>1328</v>
      </c>
      <c r="K58" s="10">
        <v>1408</v>
      </c>
      <c r="L58" s="10">
        <v>1453</v>
      </c>
      <c r="M58" s="10">
        <v>1058</v>
      </c>
      <c r="N58" s="10">
        <v>1024</v>
      </c>
      <c r="O58" s="10">
        <v>1377</v>
      </c>
      <c r="P58" s="10">
        <v>1211</v>
      </c>
      <c r="Q58" s="10">
        <v>900</v>
      </c>
      <c r="R58" s="10">
        <v>982</v>
      </c>
      <c r="S58" s="10">
        <v>1200</v>
      </c>
      <c r="T58" s="10">
        <v>1016</v>
      </c>
      <c r="U58" s="10">
        <v>1254</v>
      </c>
      <c r="V58" s="10"/>
      <c r="W58" s="10"/>
      <c r="X58" s="10"/>
      <c r="Z58" s="10">
        <v>889</v>
      </c>
      <c r="AA58" s="10">
        <v>1409</v>
      </c>
      <c r="AB58" s="10">
        <v>1547</v>
      </c>
      <c r="AC58" s="10">
        <v>1472</v>
      </c>
      <c r="AD58" s="10">
        <v>1065</v>
      </c>
      <c r="AE58" s="10">
        <v>748</v>
      </c>
      <c r="AF58" s="10">
        <v>736</v>
      </c>
      <c r="AG58" s="10">
        <v>1217</v>
      </c>
      <c r="AH58" s="10">
        <v>1408</v>
      </c>
      <c r="AI58" s="10">
        <v>1377</v>
      </c>
      <c r="AJ58" s="10">
        <v>1200</v>
      </c>
    </row>
    <row r="59" spans="3:40" x14ac:dyDescent="0.25">
      <c r="C59" s="2" t="s">
        <v>97</v>
      </c>
      <c r="D59" s="9">
        <v>16336</v>
      </c>
      <c r="E59" s="10">
        <v>18416</v>
      </c>
      <c r="F59" s="10">
        <v>19789</v>
      </c>
      <c r="G59" s="10">
        <v>20995</v>
      </c>
      <c r="H59" s="10">
        <v>27209</v>
      </c>
      <c r="I59" s="10">
        <v>22454</v>
      </c>
      <c r="J59" s="10">
        <v>22774</v>
      </c>
      <c r="K59" s="10">
        <v>19143</v>
      </c>
      <c r="L59" s="10">
        <v>20435</v>
      </c>
      <c r="M59" s="10">
        <v>18803</v>
      </c>
      <c r="N59" s="10">
        <v>19287</v>
      </c>
      <c r="O59" s="10">
        <v>18949</v>
      </c>
      <c r="P59" s="10">
        <v>23424</v>
      </c>
      <c r="Q59" s="10">
        <v>17208</v>
      </c>
      <c r="R59" s="10">
        <v>17744</v>
      </c>
      <c r="S59" s="10">
        <v>16066</v>
      </c>
      <c r="T59" s="10">
        <v>22731</v>
      </c>
      <c r="U59" s="10">
        <v>16995</v>
      </c>
      <c r="V59" s="10"/>
      <c r="W59" s="10"/>
      <c r="X59" s="10"/>
      <c r="Z59" s="10">
        <v>10745</v>
      </c>
      <c r="AA59" s="10">
        <v>11604</v>
      </c>
      <c r="AB59" s="10">
        <v>12569</v>
      </c>
      <c r="AC59" s="10">
        <v>12792</v>
      </c>
      <c r="AD59" s="10">
        <v>14998</v>
      </c>
      <c r="AE59" s="10">
        <v>14545</v>
      </c>
      <c r="AF59" s="10">
        <v>15807</v>
      </c>
      <c r="AG59" s="10">
        <v>20995</v>
      </c>
      <c r="AH59" s="10">
        <v>19143</v>
      </c>
      <c r="AI59" s="10">
        <v>18949</v>
      </c>
      <c r="AJ59" s="10">
        <v>16066</v>
      </c>
    </row>
    <row r="60" spans="3:40" x14ac:dyDescent="0.25">
      <c r="C60" s="7" t="s">
        <v>98</v>
      </c>
      <c r="D60" s="17">
        <f t="shared" ref="D60:R60" si="55">SUM(D50:D59)</f>
        <v>115550</v>
      </c>
      <c r="E60" s="17">
        <f t="shared" si="55"/>
        <v>122174</v>
      </c>
      <c r="F60" s="17">
        <f t="shared" si="55"/>
        <v>141657</v>
      </c>
      <c r="G60" s="17">
        <f t="shared" si="55"/>
        <v>134036</v>
      </c>
      <c r="H60" s="17">
        <f t="shared" si="55"/>
        <v>142075</v>
      </c>
      <c r="I60" s="17">
        <f t="shared" si="55"/>
        <v>141527</v>
      </c>
      <c r="J60" s="17">
        <f t="shared" si="55"/>
        <v>130744</v>
      </c>
      <c r="K60" s="17">
        <f t="shared" si="55"/>
        <v>109880</v>
      </c>
      <c r="L60" s="17">
        <f t="shared" si="55"/>
        <v>103900</v>
      </c>
      <c r="M60" s="17">
        <f t="shared" si="55"/>
        <v>98451</v>
      </c>
      <c r="N60" s="17">
        <f t="shared" si="55"/>
        <v>96557</v>
      </c>
      <c r="O60" s="17">
        <f t="shared" si="55"/>
        <v>95543</v>
      </c>
      <c r="P60" s="17">
        <f t="shared" si="55"/>
        <v>91537</v>
      </c>
      <c r="Q60" s="17">
        <f t="shared" si="55"/>
        <v>86207</v>
      </c>
      <c r="R60" s="17">
        <f t="shared" si="55"/>
        <v>83637</v>
      </c>
      <c r="S60" s="17">
        <f>SUM(S50:S59)</f>
        <v>81076</v>
      </c>
      <c r="T60" s="17">
        <f>SUM(T50:T59)</f>
        <v>92696</v>
      </c>
      <c r="U60" s="17">
        <f>SUM(U50:U59)</f>
        <v>88355</v>
      </c>
      <c r="V60" s="17"/>
      <c r="W60" s="17"/>
      <c r="X60" s="17"/>
      <c r="Z60" s="17">
        <f t="shared" ref="Z60:AI60" si="56">SUM(Z50:Z59)</f>
        <v>65883</v>
      </c>
      <c r="AA60" s="17">
        <f t="shared" si="56"/>
        <v>73912</v>
      </c>
      <c r="AB60" s="17">
        <f t="shared" si="56"/>
        <v>97446</v>
      </c>
      <c r="AC60" s="17">
        <f t="shared" si="56"/>
        <v>99367</v>
      </c>
      <c r="AD60" s="17">
        <f t="shared" si="56"/>
        <v>99319</v>
      </c>
      <c r="AE60" s="17">
        <f t="shared" si="56"/>
        <v>91240</v>
      </c>
      <c r="AF60" s="17">
        <f t="shared" si="56"/>
        <v>106495</v>
      </c>
      <c r="AG60" s="17">
        <f t="shared" si="56"/>
        <v>134036</v>
      </c>
      <c r="AH60" s="17">
        <f t="shared" si="56"/>
        <v>109880</v>
      </c>
      <c r="AI60" s="17">
        <f t="shared" si="56"/>
        <v>96543</v>
      </c>
      <c r="AJ60" s="17">
        <f>SUM(AJ50:AJ59)</f>
        <v>81076</v>
      </c>
    </row>
    <row r="61" spans="3:40" x14ac:dyDescent="0.25">
      <c r="C61" s="1" t="s">
        <v>99</v>
      </c>
      <c r="D61" s="9">
        <f t="shared" ref="D61:R61" si="57">D49+D60</f>
        <v>184276</v>
      </c>
      <c r="E61" s="9">
        <f t="shared" si="57"/>
        <v>198381</v>
      </c>
      <c r="F61" s="9">
        <f t="shared" si="57"/>
        <v>225210</v>
      </c>
      <c r="G61" s="9">
        <f t="shared" si="57"/>
        <v>210600</v>
      </c>
      <c r="H61" s="9">
        <f t="shared" si="57"/>
        <v>215752</v>
      </c>
      <c r="I61" s="9">
        <f t="shared" si="57"/>
        <v>221603</v>
      </c>
      <c r="J61" s="9">
        <f t="shared" si="57"/>
        <v>211863</v>
      </c>
      <c r="K61" s="9">
        <f t="shared" si="57"/>
        <v>189285</v>
      </c>
      <c r="L61" s="9">
        <f t="shared" si="57"/>
        <v>186076</v>
      </c>
      <c r="M61" s="9">
        <f t="shared" si="57"/>
        <v>182313</v>
      </c>
      <c r="N61" s="9">
        <f t="shared" si="57"/>
        <v>180392</v>
      </c>
      <c r="O61" s="9">
        <f t="shared" si="57"/>
        <v>184284</v>
      </c>
      <c r="P61" s="9">
        <f t="shared" si="57"/>
        <v>171241</v>
      </c>
      <c r="Q61" s="9">
        <f t="shared" si="57"/>
        <v>167414</v>
      </c>
      <c r="R61" s="9">
        <f t="shared" si="57"/>
        <v>167620</v>
      </c>
      <c r="S61" s="9">
        <f>S49+S60</f>
        <v>167116</v>
      </c>
      <c r="T61" s="9">
        <f>T49+T60</f>
        <v>180857</v>
      </c>
      <c r="U61" s="9">
        <f>U49+U60</f>
        <v>181535</v>
      </c>
      <c r="V61" s="9"/>
      <c r="W61" s="9"/>
      <c r="X61" s="9"/>
      <c r="Y61" s="1"/>
      <c r="Z61" s="9">
        <f t="shared" ref="Z61:AI61" si="58">Z49+Z60</f>
        <v>114158</v>
      </c>
      <c r="AA61" s="9">
        <f t="shared" si="58"/>
        <v>113492</v>
      </c>
      <c r="AB61" s="9">
        <f t="shared" si="58"/>
        <v>147016</v>
      </c>
      <c r="AC61" s="9">
        <f t="shared" si="58"/>
        <v>154266</v>
      </c>
      <c r="AD61" s="9">
        <f t="shared" si="58"/>
        <v>162120</v>
      </c>
      <c r="AE61" s="9">
        <f t="shared" si="58"/>
        <v>154582</v>
      </c>
      <c r="AF61" s="9">
        <f t="shared" si="58"/>
        <v>175002</v>
      </c>
      <c r="AG61" s="9">
        <f t="shared" si="58"/>
        <v>210600</v>
      </c>
      <c r="AH61" s="9">
        <f t="shared" si="58"/>
        <v>189285</v>
      </c>
      <c r="AI61" s="9">
        <f t="shared" si="58"/>
        <v>185284</v>
      </c>
      <c r="AJ61" s="9">
        <f>AJ49+AJ60</f>
        <v>167116</v>
      </c>
    </row>
    <row r="62" spans="3:40" x14ac:dyDescent="0.25">
      <c r="X62" s="1"/>
      <c r="Y62" s="1"/>
      <c r="Z62" s="1"/>
      <c r="AA62" s="1"/>
      <c r="AB62" s="1"/>
      <c r="AC62" s="1"/>
    </row>
    <row r="63" spans="3:40" x14ac:dyDescent="0.25">
      <c r="C63" s="1" t="s">
        <v>100</v>
      </c>
      <c r="X63" s="1"/>
      <c r="Y63" s="1"/>
      <c r="Z63" s="1"/>
      <c r="AA63" s="1"/>
      <c r="AB63" s="1"/>
      <c r="AC63" s="1"/>
    </row>
    <row r="64" spans="3:40" x14ac:dyDescent="0.25">
      <c r="C64" s="2" t="s">
        <v>101</v>
      </c>
      <c r="D64" s="10">
        <f t="shared" ref="D64:R64" si="59">D11</f>
        <v>1150</v>
      </c>
      <c r="E64" s="10">
        <f t="shared" si="59"/>
        <v>2367</v>
      </c>
      <c r="F64" s="10">
        <f t="shared" si="59"/>
        <v>2491</v>
      </c>
      <c r="G64" s="10">
        <f t="shared" si="59"/>
        <v>3824</v>
      </c>
      <c r="H64" s="10">
        <f t="shared" si="59"/>
        <v>4159</v>
      </c>
      <c r="I64" s="10">
        <f t="shared" si="59"/>
        <v>3901</v>
      </c>
      <c r="J64" s="10">
        <f t="shared" si="59"/>
        <v>3067</v>
      </c>
      <c r="K64" s="10">
        <f t="shared" si="59"/>
        <v>4583</v>
      </c>
      <c r="L64" s="10">
        <f t="shared" si="59"/>
        <v>4560</v>
      </c>
      <c r="M64" s="10">
        <f t="shared" si="59"/>
        <v>5140</v>
      </c>
      <c r="N64" s="10">
        <f t="shared" si="59"/>
        <v>4829</v>
      </c>
      <c r="O64" s="10">
        <f t="shared" si="59"/>
        <v>4699</v>
      </c>
      <c r="P64" s="10">
        <f t="shared" si="59"/>
        <v>4450</v>
      </c>
      <c r="Q64" s="10">
        <f t="shared" si="59"/>
        <v>4452</v>
      </c>
      <c r="R64" s="10">
        <f t="shared" si="59"/>
        <v>4813</v>
      </c>
      <c r="S64" s="10">
        <f>S11</f>
        <v>4885</v>
      </c>
      <c r="T64" s="10">
        <f>T11</f>
        <v>4179</v>
      </c>
      <c r="U64" s="10">
        <f>U11</f>
        <v>3845</v>
      </c>
      <c r="V64" s="10"/>
      <c r="W64" s="10"/>
      <c r="X64" s="1"/>
      <c r="Y64" s="1"/>
      <c r="Z64" s="10">
        <f t="shared" ref="Z64:AJ64" si="60">Z11</f>
        <v>9684</v>
      </c>
      <c r="AA64" s="10">
        <f t="shared" si="60"/>
        <v>9008</v>
      </c>
      <c r="AB64" s="10">
        <f t="shared" si="60"/>
        <v>11905</v>
      </c>
      <c r="AC64" s="10">
        <f t="shared" si="60"/>
        <v>10759</v>
      </c>
      <c r="AD64" s="10">
        <f t="shared" si="60"/>
        <v>14349</v>
      </c>
      <c r="AE64" s="10">
        <f t="shared" si="60"/>
        <v>16758</v>
      </c>
      <c r="AF64" s="10">
        <f t="shared" si="60"/>
        <v>13199</v>
      </c>
      <c r="AG64" s="10">
        <f t="shared" si="60"/>
        <v>9479</v>
      </c>
      <c r="AH64" s="10">
        <f t="shared" si="60"/>
        <v>17789</v>
      </c>
      <c r="AI64" s="10">
        <f t="shared" si="60"/>
        <v>19234</v>
      </c>
      <c r="AJ64" s="10">
        <f t="shared" si="60"/>
        <v>18600</v>
      </c>
      <c r="AK64" s="12"/>
      <c r="AL64" s="10"/>
      <c r="AM64" s="10"/>
      <c r="AN64" s="10"/>
    </row>
    <row r="65" spans="3:40" x14ac:dyDescent="0.25">
      <c r="C65" s="2" t="s">
        <v>102</v>
      </c>
      <c r="D65" s="10">
        <v>1150</v>
      </c>
      <c r="E65" s="10">
        <v>2367</v>
      </c>
      <c r="F65" s="10">
        <v>2491</v>
      </c>
      <c r="G65" s="10">
        <v>3471</v>
      </c>
      <c r="H65" s="10">
        <v>4085</v>
      </c>
      <c r="I65" s="10">
        <v>3819</v>
      </c>
      <c r="J65" s="10">
        <v>2903</v>
      </c>
      <c r="K65" s="10">
        <v>4341</v>
      </c>
      <c r="L65" s="10">
        <v>4134</v>
      </c>
      <c r="M65" s="10">
        <v>4978</v>
      </c>
      <c r="N65" s="10">
        <v>4868</v>
      </c>
      <c r="O65" s="10">
        <v>4315</v>
      </c>
      <c r="P65" s="10">
        <v>4482</v>
      </c>
      <c r="Q65" s="10">
        <f>8868-P65</f>
        <v>4386</v>
      </c>
      <c r="R65" s="10">
        <f>13777-Q65-P65</f>
        <v>4909</v>
      </c>
      <c r="S65" s="10">
        <f>18531-R65-Q65-P65</f>
        <v>4754</v>
      </c>
      <c r="T65" s="10">
        <v>4196</v>
      </c>
      <c r="U65" s="10">
        <f>8042-T65</f>
        <v>3846</v>
      </c>
      <c r="V65" s="10"/>
      <c r="X65" s="1"/>
      <c r="Y65" s="1"/>
      <c r="Z65" s="10"/>
      <c r="AA65" s="10">
        <v>8173</v>
      </c>
      <c r="AB65" s="10">
        <v>10723</v>
      </c>
      <c r="AC65" s="10">
        <v>9602</v>
      </c>
      <c r="AD65" s="10">
        <v>14349</v>
      </c>
      <c r="AE65" s="10">
        <v>16758</v>
      </c>
      <c r="AF65" s="10">
        <v>13199</v>
      </c>
      <c r="AG65" s="10">
        <v>8491</v>
      </c>
      <c r="AH65" s="10">
        <v>15148</v>
      </c>
      <c r="AI65" s="10">
        <v>18295</v>
      </c>
      <c r="AJ65" s="10">
        <v>18531</v>
      </c>
      <c r="AK65" s="12"/>
      <c r="AL65" s="10"/>
      <c r="AM65" s="10"/>
      <c r="AN65" s="10"/>
    </row>
    <row r="66" spans="3:40" x14ac:dyDescent="0.25">
      <c r="C66" s="2" t="s">
        <v>103</v>
      </c>
      <c r="D66" s="10">
        <v>3531</v>
      </c>
      <c r="E66" s="10">
        <v>2719</v>
      </c>
      <c r="F66" s="10">
        <v>2463</v>
      </c>
      <c r="G66" s="10">
        <v>2628</v>
      </c>
      <c r="H66" s="10">
        <v>1819</v>
      </c>
      <c r="I66" s="10">
        <v>2376</v>
      </c>
      <c r="J66" s="10">
        <v>3653</v>
      </c>
      <c r="K66" s="10">
        <v>1611</v>
      </c>
      <c r="L66" s="10">
        <v>2154</v>
      </c>
      <c r="M66" s="10">
        <v>2026</v>
      </c>
      <c r="N66" s="10">
        <v>1877</v>
      </c>
      <c r="O66" s="10">
        <v>1962</v>
      </c>
      <c r="P66" s="10">
        <v>1875</v>
      </c>
      <c r="Q66" s="10">
        <f>3845-P66</f>
        <v>1970</v>
      </c>
      <c r="R66" s="10">
        <f>5770-Q66-P66</f>
        <v>1925</v>
      </c>
      <c r="S66" s="10">
        <f>7777-R66-Q66-P66</f>
        <v>2007</v>
      </c>
      <c r="T66" s="10">
        <v>1999</v>
      </c>
      <c r="U66" s="10">
        <f>4584-T66</f>
        <v>2585</v>
      </c>
      <c r="V66" s="10"/>
      <c r="W66" s="1"/>
      <c r="X66" s="1"/>
      <c r="Y66" s="1"/>
      <c r="Z66" s="10"/>
      <c r="AA66" s="10">
        <v>6791</v>
      </c>
      <c r="AB66" s="10">
        <v>5717</v>
      </c>
      <c r="AC66" s="10">
        <v>6995</v>
      </c>
      <c r="AD66" s="10">
        <v>8193</v>
      </c>
      <c r="AE66" s="10">
        <v>7812</v>
      </c>
      <c r="AF66" s="10">
        <v>7212</v>
      </c>
      <c r="AG66" s="10">
        <v>9669</v>
      </c>
      <c r="AH66" s="10">
        <v>9459</v>
      </c>
      <c r="AI66" s="10">
        <v>8019</v>
      </c>
      <c r="AJ66" s="10">
        <v>7777</v>
      </c>
      <c r="AK66" s="12"/>
      <c r="AL66" s="10"/>
      <c r="AM66" s="10"/>
      <c r="AN66" s="10"/>
    </row>
    <row r="67" spans="3:40" x14ac:dyDescent="0.25">
      <c r="C67" s="2" t="s">
        <v>104</v>
      </c>
      <c r="D67" s="10">
        <v>0</v>
      </c>
      <c r="E67" s="10">
        <v>0</v>
      </c>
      <c r="F67" s="10">
        <v>0</v>
      </c>
      <c r="G67" s="10">
        <v>0</v>
      </c>
      <c r="H67" s="10">
        <v>-115</v>
      </c>
      <c r="I67" s="10">
        <v>-122</v>
      </c>
      <c r="J67" s="10">
        <v>-125</v>
      </c>
      <c r="K67" s="10">
        <v>-104</v>
      </c>
      <c r="L67" s="10">
        <v>-105</v>
      </c>
      <c r="M67" s="10">
        <v>-119</v>
      </c>
      <c r="N67" s="10">
        <v>-125</v>
      </c>
      <c r="O67" s="10">
        <v>-118</v>
      </c>
      <c r="P67" s="10">
        <v>-118</v>
      </c>
      <c r="Q67" s="10">
        <f>-263-P67</f>
        <v>-145</v>
      </c>
      <c r="R67" s="10">
        <f>-362-Q67-P67</f>
        <v>-99</v>
      </c>
      <c r="S67" s="10">
        <f>-490-R67-Q67-P67</f>
        <v>-128</v>
      </c>
      <c r="T67" s="10">
        <v>-165</v>
      </c>
      <c r="U67" s="10">
        <f>-298-T67</f>
        <v>-133</v>
      </c>
      <c r="V67" s="10"/>
      <c r="W67" s="1"/>
      <c r="X67" s="1"/>
      <c r="Y67" s="1"/>
      <c r="Z67" s="10"/>
      <c r="AA67" s="10">
        <v>0</v>
      </c>
      <c r="AB67" s="10">
        <v>0</v>
      </c>
      <c r="AC67" s="10">
        <v>0</v>
      </c>
      <c r="AD67" s="10">
        <v>0</v>
      </c>
      <c r="AE67" s="9">
        <v>0</v>
      </c>
      <c r="AF67" s="10">
        <v>0</v>
      </c>
      <c r="AG67" s="10">
        <v>-474</v>
      </c>
      <c r="AH67" s="10">
        <v>-466</v>
      </c>
      <c r="AI67" s="10">
        <v>-467</v>
      </c>
      <c r="AJ67" s="10">
        <v>-490</v>
      </c>
      <c r="AK67" s="12"/>
      <c r="AL67" s="10"/>
      <c r="AM67" s="10"/>
      <c r="AN67" s="10"/>
    </row>
    <row r="68" spans="3:40" x14ac:dyDescent="0.25">
      <c r="C68" s="2" t="s">
        <v>105</v>
      </c>
      <c r="D68" s="10">
        <v>-128</v>
      </c>
      <c r="E68" s="10">
        <v>-127</v>
      </c>
      <c r="F68" s="10">
        <v>11</v>
      </c>
      <c r="G68" s="10">
        <v>-294</v>
      </c>
      <c r="H68" s="10">
        <v>-12</v>
      </c>
      <c r="I68" s="10">
        <v>-188</v>
      </c>
      <c r="J68" s="10">
        <v>10</v>
      </c>
      <c r="K68" s="10">
        <v>-13</v>
      </c>
      <c r="L68" s="10">
        <v>-189</v>
      </c>
      <c r="M68" s="10">
        <v>-96</v>
      </c>
      <c r="N68" s="10">
        <v>4</v>
      </c>
      <c r="O68" s="10">
        <v>10</v>
      </c>
      <c r="P68" s="10">
        <v>-143</v>
      </c>
      <c r="Q68" s="10">
        <f>-231-P68</f>
        <v>-88</v>
      </c>
      <c r="R68" s="10">
        <f>-249-Q68-P68</f>
        <v>-18</v>
      </c>
      <c r="S68" s="10">
        <f>-231-R68-Q68-P68</f>
        <v>18</v>
      </c>
      <c r="T68" s="10">
        <v>-271</v>
      </c>
      <c r="U68" s="10">
        <f>-439-T68</f>
        <v>-168</v>
      </c>
      <c r="V68" s="10"/>
      <c r="W68" s="1"/>
      <c r="X68" s="1"/>
      <c r="Y68" s="1"/>
      <c r="Z68" s="10"/>
      <c r="AA68" s="10">
        <v>0</v>
      </c>
      <c r="AB68" s="10">
        <v>0</v>
      </c>
      <c r="AC68" s="10">
        <v>0</v>
      </c>
      <c r="AD68" s="10">
        <v>-1095</v>
      </c>
      <c r="AE68" s="10">
        <v>-1048</v>
      </c>
      <c r="AF68" s="10">
        <v>-594</v>
      </c>
      <c r="AG68" s="10">
        <v>-41</v>
      </c>
      <c r="AH68" s="10">
        <v>-203</v>
      </c>
      <c r="AI68" s="10">
        <v>-271</v>
      </c>
      <c r="AJ68" s="10">
        <v>-231</v>
      </c>
      <c r="AK68" s="12"/>
      <c r="AL68" s="10"/>
      <c r="AM68" s="10"/>
      <c r="AN68" s="10"/>
    </row>
    <row r="69" spans="3:40" x14ac:dyDescent="0.25">
      <c r="C69" s="2" t="s">
        <v>106</v>
      </c>
      <c r="D69" s="10">
        <v>-777</v>
      </c>
      <c r="E69" s="10">
        <v>-1460</v>
      </c>
      <c r="F69" s="10">
        <v>-288</v>
      </c>
      <c r="G69" s="10">
        <v>-1159</v>
      </c>
      <c r="H69" s="10">
        <v>-1506</v>
      </c>
      <c r="I69" s="10">
        <v>-1527</v>
      </c>
      <c r="J69" s="10">
        <v>1541</v>
      </c>
      <c r="K69" s="10">
        <v>2577</v>
      </c>
      <c r="L69" s="10">
        <v>-291</v>
      </c>
      <c r="M69" s="10">
        <v>-1579</v>
      </c>
      <c r="N69" s="10">
        <v>1485</v>
      </c>
      <c r="O69" s="10">
        <v>-23</v>
      </c>
      <c r="P69" s="10">
        <f>-868+301-465</f>
        <v>-1032</v>
      </c>
      <c r="Q69" s="10">
        <f>-1614-693-1362-P69</f>
        <v>-2637</v>
      </c>
      <c r="R69" s="10">
        <f>-1622+79-1726-Q69-P69</f>
        <v>400</v>
      </c>
      <c r="S69" s="10">
        <f>-916+853-2882-R69-Q69-P69</f>
        <v>324</v>
      </c>
      <c r="T69" s="10">
        <v>24</v>
      </c>
      <c r="U69" s="10">
        <f>(-729-1993+1061)-T69</f>
        <v>-1685</v>
      </c>
      <c r="V69" s="10"/>
      <c r="Z69" s="10"/>
      <c r="AA69" s="10">
        <f>1059-298+835</f>
        <v>1596</v>
      </c>
      <c r="AB69" s="10">
        <f>-1703+1522-559</f>
        <v>-740</v>
      </c>
      <c r="AC69" s="10">
        <f>-1017-344+390</f>
        <v>-971</v>
      </c>
      <c r="AD69" s="10">
        <f>-194-1949+2502</f>
        <v>359</v>
      </c>
      <c r="AE69" s="10">
        <f>-2207+53+1344</f>
        <v>-810</v>
      </c>
      <c r="AF69" s="10">
        <f>-1047-2084+2287</f>
        <v>-844</v>
      </c>
      <c r="AG69" s="10">
        <f>-4750-3492+4018</f>
        <v>-4224</v>
      </c>
      <c r="AH69" s="10">
        <f>2505-19-1401</f>
        <v>1085</v>
      </c>
      <c r="AI69" s="10">
        <f>-946-2218+2756</f>
        <v>-408</v>
      </c>
      <c r="AJ69" s="10">
        <v>-2945</v>
      </c>
      <c r="AK69" s="12"/>
      <c r="AL69" s="10"/>
      <c r="AM69" s="10"/>
      <c r="AN69" s="10"/>
    </row>
    <row r="70" spans="3:40" x14ac:dyDescent="0.25">
      <c r="C70" s="2" t="s">
        <v>107</v>
      </c>
      <c r="D70" s="10">
        <v>-265</v>
      </c>
      <c r="E70" s="10">
        <v>-154</v>
      </c>
      <c r="F70" s="10">
        <v>-138</v>
      </c>
      <c r="G70" s="10">
        <v>-254</v>
      </c>
      <c r="H70" s="10">
        <v>-415</v>
      </c>
      <c r="I70" s="10">
        <v>-306</v>
      </c>
      <c r="J70" s="10">
        <v>-343</v>
      </c>
      <c r="K70" s="10">
        <v>-1357</v>
      </c>
      <c r="L70" s="10">
        <v>-951</v>
      </c>
      <c r="M70" s="10">
        <v>-476</v>
      </c>
      <c r="N70" s="10">
        <v>-735</v>
      </c>
      <c r="O70" s="10">
        <v>-311</v>
      </c>
      <c r="P70" s="10">
        <v>-1011</v>
      </c>
      <c r="Q70" s="10">
        <f>-1242-P70</f>
        <v>-231</v>
      </c>
      <c r="R70" s="10">
        <f>-2450-Q70-P70</f>
        <v>-1208</v>
      </c>
      <c r="S70" s="10">
        <f>-2664-R70-Q70-P70</f>
        <v>-214</v>
      </c>
      <c r="T70" s="10">
        <v>-448</v>
      </c>
      <c r="U70" s="10">
        <f>-626-T70</f>
        <v>-178</v>
      </c>
      <c r="V70" s="10"/>
      <c r="Z70" s="10"/>
      <c r="AA70" s="10">
        <v>0</v>
      </c>
      <c r="AB70" s="10">
        <v>0</v>
      </c>
      <c r="AC70" s="10">
        <v>0</v>
      </c>
      <c r="AD70" s="10">
        <v>-1010</v>
      </c>
      <c r="AE70" s="10">
        <v>-872</v>
      </c>
      <c r="AF70" s="10">
        <v>-724</v>
      </c>
      <c r="AG70" s="10">
        <v>-717</v>
      </c>
      <c r="AH70" s="10">
        <v>-2421</v>
      </c>
      <c r="AI70" s="10">
        <v>-2473</v>
      </c>
      <c r="AJ70" s="10">
        <v>-2664</v>
      </c>
      <c r="AK70" s="12"/>
      <c r="AL70" s="10"/>
      <c r="AM70" s="10"/>
      <c r="AN70" s="10"/>
    </row>
    <row r="71" spans="3:40" x14ac:dyDescent="0.25">
      <c r="C71" s="2" t="s">
        <v>108</v>
      </c>
      <c r="D71" s="10">
        <v>25</v>
      </c>
      <c r="E71" s="10">
        <v>29</v>
      </c>
      <c r="F71" s="10">
        <v>48</v>
      </c>
      <c r="G71" s="10">
        <v>69</v>
      </c>
      <c r="H71" s="10">
        <v>62</v>
      </c>
      <c r="I71" s="10">
        <v>82</v>
      </c>
      <c r="J71" s="10">
        <v>118</v>
      </c>
      <c r="K71" s="10">
        <v>148</v>
      </c>
      <c r="L71" s="10">
        <v>113</v>
      </c>
      <c r="M71" s="10">
        <v>161</v>
      </c>
      <c r="N71" s="10">
        <v>153</v>
      </c>
      <c r="O71" s="10">
        <v>142</v>
      </c>
      <c r="P71" s="10">
        <v>117</v>
      </c>
      <c r="Q71" s="10">
        <f>170-P71</f>
        <v>53</v>
      </c>
      <c r="R71" s="10">
        <f>217-Q71-P71</f>
        <v>47</v>
      </c>
      <c r="S71" s="10">
        <f>276-R71-Q71-P71</f>
        <v>59</v>
      </c>
      <c r="T71" s="10">
        <v>57</v>
      </c>
      <c r="U71" s="10">
        <f>110-T71</f>
        <v>53</v>
      </c>
      <c r="V71" s="10"/>
      <c r="Z71" s="10"/>
      <c r="AA71" s="10">
        <v>0</v>
      </c>
      <c r="AB71" s="10">
        <v>0</v>
      </c>
      <c r="AC71" s="10">
        <v>0</v>
      </c>
      <c r="AD71" s="10">
        <v>105</v>
      </c>
      <c r="AE71" s="10">
        <v>101</v>
      </c>
      <c r="AF71" s="10">
        <v>91</v>
      </c>
      <c r="AG71" s="10">
        <v>139</v>
      </c>
      <c r="AH71" s="10">
        <v>410</v>
      </c>
      <c r="AI71" s="10">
        <v>569</v>
      </c>
      <c r="AJ71" s="10">
        <v>276</v>
      </c>
      <c r="AK71" s="12"/>
      <c r="AL71" s="10"/>
      <c r="AM71" s="10"/>
      <c r="AN71" s="10"/>
    </row>
    <row r="72" spans="3:40" x14ac:dyDescent="0.25">
      <c r="C72" s="2" t="s">
        <v>109</v>
      </c>
      <c r="D72" s="10">
        <v>-69</v>
      </c>
      <c r="E72" s="10">
        <v>-79</v>
      </c>
      <c r="F72" s="10">
        <v>-197</v>
      </c>
      <c r="G72" s="10">
        <v>-313</v>
      </c>
      <c r="H72" s="10">
        <v>-760</v>
      </c>
      <c r="I72" s="10">
        <v>-847</v>
      </c>
      <c r="J72" s="10">
        <v>1344</v>
      </c>
      <c r="K72" s="10">
        <v>2434</v>
      </c>
      <c r="L72" s="10">
        <v>-187</v>
      </c>
      <c r="M72" s="10">
        <v>-320</v>
      </c>
      <c r="N72" s="10">
        <v>-37</v>
      </c>
      <c r="O72" s="10">
        <v>-59</v>
      </c>
      <c r="P72" s="10">
        <v>-32</v>
      </c>
      <c r="Q72" s="10">
        <f>-30-P72</f>
        <v>2</v>
      </c>
      <c r="R72" s="10">
        <f>-57-Q72-P72</f>
        <v>-27</v>
      </c>
      <c r="S72" s="10">
        <f>-82-R72-Q72-P72</f>
        <v>-25</v>
      </c>
      <c r="T72" s="10">
        <v>-44</v>
      </c>
      <c r="U72" s="10">
        <f>-76-T72</f>
        <v>-32</v>
      </c>
      <c r="V72" s="10"/>
      <c r="Z72" s="10"/>
      <c r="AA72" s="10">
        <v>0</v>
      </c>
      <c r="AB72" s="10">
        <v>0</v>
      </c>
      <c r="AC72" s="10">
        <v>0</v>
      </c>
      <c r="AD72" s="10">
        <v>-420</v>
      </c>
      <c r="AE72" s="10">
        <v>-205</v>
      </c>
      <c r="AF72" s="10">
        <v>-39</v>
      </c>
      <c r="AG72" s="10">
        <v>-670</v>
      </c>
      <c r="AH72" s="10">
        <v>-320</v>
      </c>
      <c r="AI72" s="10">
        <v>-235</v>
      </c>
      <c r="AJ72" s="10">
        <v>-82</v>
      </c>
      <c r="AK72" s="12"/>
      <c r="AL72" s="10"/>
      <c r="AM72" s="10"/>
      <c r="AN72" s="10"/>
    </row>
    <row r="73" spans="3:40" x14ac:dyDescent="0.25">
      <c r="C73" s="2" t="s">
        <v>110</v>
      </c>
      <c r="D73" s="10">
        <v>-974</v>
      </c>
      <c r="E73" s="10">
        <v>-346</v>
      </c>
      <c r="F73" s="10">
        <v>-523</v>
      </c>
      <c r="G73" s="10">
        <v>-583</v>
      </c>
      <c r="H73" s="10">
        <v>-663</v>
      </c>
      <c r="I73" s="10">
        <v>-973</v>
      </c>
      <c r="J73" s="10">
        <v>-523</v>
      </c>
      <c r="K73" s="10">
        <v>-1456</v>
      </c>
      <c r="L73" s="10">
        <v>-1013</v>
      </c>
      <c r="M73" s="10">
        <v>-1587</v>
      </c>
      <c r="N73" s="10">
        <v>-1073</v>
      </c>
      <c r="O73" s="10">
        <v>-2187</v>
      </c>
      <c r="P73" s="10">
        <v>-1222</v>
      </c>
      <c r="Q73" s="10">
        <f>-2587-P73</f>
        <v>-1365</v>
      </c>
      <c r="R73" s="10">
        <f>-3460-Q73-P73</f>
        <v>-873</v>
      </c>
      <c r="S73" s="10">
        <f>-4713-R73-Q73-P73</f>
        <v>-1253</v>
      </c>
      <c r="T73" s="10">
        <v>-1109</v>
      </c>
      <c r="U73" s="10">
        <f>-2324-T73</f>
        <v>-1215</v>
      </c>
      <c r="V73" s="10"/>
      <c r="Z73" s="10"/>
      <c r="AA73" s="10">
        <v>-3782</v>
      </c>
      <c r="AB73" s="10">
        <v>-2971</v>
      </c>
      <c r="AC73" s="10">
        <v>-2466</v>
      </c>
      <c r="AD73" s="10">
        <v>-1130</v>
      </c>
      <c r="AE73" s="10">
        <v>-3917</v>
      </c>
      <c r="AF73" s="10">
        <v>-3634</v>
      </c>
      <c r="AG73" s="10">
        <v>-2175</v>
      </c>
      <c r="AH73" s="10">
        <v>-3615</v>
      </c>
      <c r="AI73" s="10">
        <v>-5860</v>
      </c>
      <c r="AJ73" s="10">
        <v>-4713</v>
      </c>
      <c r="AK73" s="12"/>
      <c r="AL73" s="10"/>
      <c r="AM73" s="10"/>
      <c r="AN73" s="10"/>
    </row>
    <row r="74" spans="3:40" x14ac:dyDescent="0.25">
      <c r="C74" s="1" t="s">
        <v>111</v>
      </c>
      <c r="D74" s="9">
        <f t="shared" ref="D74:O74" si="61">SUM(D65:D73)</f>
        <v>2493</v>
      </c>
      <c r="E74" s="9">
        <f t="shared" si="61"/>
        <v>2949</v>
      </c>
      <c r="F74" s="9">
        <f t="shared" si="61"/>
        <v>3867</v>
      </c>
      <c r="G74" s="9">
        <f t="shared" si="61"/>
        <v>3565</v>
      </c>
      <c r="H74" s="9">
        <f t="shared" si="61"/>
        <v>2495</v>
      </c>
      <c r="I74" s="9">
        <f t="shared" si="61"/>
        <v>2314</v>
      </c>
      <c r="J74" s="9">
        <f t="shared" si="61"/>
        <v>8578</v>
      </c>
      <c r="K74" s="9">
        <f t="shared" si="61"/>
        <v>8181</v>
      </c>
      <c r="L74" s="9">
        <f t="shared" si="61"/>
        <v>3665</v>
      </c>
      <c r="M74" s="9">
        <f t="shared" si="61"/>
        <v>2988</v>
      </c>
      <c r="N74" s="9">
        <f t="shared" si="61"/>
        <v>6417</v>
      </c>
      <c r="O74" s="9">
        <f t="shared" si="61"/>
        <v>3731</v>
      </c>
      <c r="P74" s="9">
        <f>SUM(P65:P73)</f>
        <v>2916</v>
      </c>
      <c r="Q74" s="9">
        <f t="shared" ref="Q74:S74" si="62">SUM(Q65:Q73)</f>
        <v>1945</v>
      </c>
      <c r="R74" s="9">
        <f t="shared" si="62"/>
        <v>5056</v>
      </c>
      <c r="S74" s="9">
        <f t="shared" si="62"/>
        <v>5542</v>
      </c>
      <c r="T74" s="9">
        <f>SUM(T65:T73)</f>
        <v>4239</v>
      </c>
      <c r="U74" s="9">
        <f>SUM(U65:U73)</f>
        <v>3073</v>
      </c>
      <c r="V74" s="10"/>
      <c r="W74" s="1"/>
      <c r="X74" s="1"/>
      <c r="Y74" s="1"/>
      <c r="Z74" s="9">
        <f t="shared" ref="Z74" si="63">SUM(Z65:Z73)</f>
        <v>0</v>
      </c>
      <c r="AA74" s="9">
        <f t="shared" ref="AA74" si="64">SUM(AA65:AA73)</f>
        <v>12778</v>
      </c>
      <c r="AB74" s="9">
        <f t="shared" ref="AB74" si="65">SUM(AB65:AB73)</f>
        <v>12729</v>
      </c>
      <c r="AC74" s="9">
        <f t="shared" ref="AC74" si="66">SUM(AC65:AC73)</f>
        <v>13160</v>
      </c>
      <c r="AD74" s="9">
        <f t="shared" ref="AD74" si="67">SUM(AD65:AD73)</f>
        <v>19351</v>
      </c>
      <c r="AE74" s="9">
        <f t="shared" ref="AE74" si="68">SUM(AE65:AE73)</f>
        <v>17819</v>
      </c>
      <c r="AF74" s="9">
        <f t="shared" ref="AF74" si="69">SUM(AF65:AF73)</f>
        <v>14667</v>
      </c>
      <c r="AG74" s="9">
        <f t="shared" ref="AG74" si="70">SUM(AG65:AG73)</f>
        <v>9998</v>
      </c>
      <c r="AH74" s="9">
        <f t="shared" ref="AH74" si="71">SUM(AH65:AH73)</f>
        <v>19077</v>
      </c>
      <c r="AI74" s="9">
        <f t="shared" ref="AI74:AJ74" si="72">SUM(AI65:AI73)</f>
        <v>17169</v>
      </c>
      <c r="AJ74" s="9">
        <f t="shared" si="72"/>
        <v>15459</v>
      </c>
      <c r="AK74" s="12"/>
      <c r="AL74" s="10"/>
      <c r="AM74" s="10"/>
      <c r="AN74" s="10"/>
    </row>
    <row r="75" spans="3:40" x14ac:dyDescent="0.25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2"/>
      <c r="AL75" s="10"/>
      <c r="AM75" s="10"/>
      <c r="AN75" s="10"/>
    </row>
    <row r="76" spans="3:40" x14ac:dyDescent="0.25">
      <c r="C76" s="2" t="s">
        <v>112</v>
      </c>
      <c r="D76" s="10">
        <v>-1397</v>
      </c>
      <c r="E76" s="10">
        <v>-1629</v>
      </c>
      <c r="F76" s="10">
        <v>-1785</v>
      </c>
      <c r="G76" s="10">
        <v>-2087</v>
      </c>
      <c r="H76" s="10">
        <v>-1221</v>
      </c>
      <c r="I76" s="10">
        <v>-1520</v>
      </c>
      <c r="J76" s="10">
        <v>-1841</v>
      </c>
      <c r="K76" s="10">
        <v>-2268</v>
      </c>
      <c r="L76" s="10">
        <v>-1399</v>
      </c>
      <c r="M76" s="10">
        <v>-1763</v>
      </c>
      <c r="N76" s="10">
        <v>-1583</v>
      </c>
      <c r="O76" s="10">
        <v>-2651</v>
      </c>
      <c r="P76" s="10">
        <v>-1144</v>
      </c>
      <c r="Q76" s="10">
        <f>-2866-P76</f>
        <v>-1722</v>
      </c>
      <c r="R76" s="10">
        <f>5-4630-Q76-P76</f>
        <v>-1759</v>
      </c>
      <c r="S76" s="10">
        <f>5-7090-R76-Q76-P76</f>
        <v>-2460</v>
      </c>
      <c r="T76" s="10">
        <v>-1253</v>
      </c>
      <c r="U76" s="10">
        <f>-2783-T76</f>
        <v>-1530</v>
      </c>
      <c r="V76" s="10"/>
      <c r="Z76" s="10"/>
      <c r="AA76" s="10">
        <f>-4416+369-6339</f>
        <v>-10386</v>
      </c>
      <c r="AB76" s="10">
        <f>-13070+29-6160</f>
        <v>-19201</v>
      </c>
      <c r="AC76" s="10">
        <f>-461+68-6906</f>
        <v>-7299</v>
      </c>
      <c r="AD76" s="10">
        <f>-143+5-5908</f>
        <v>-6046</v>
      </c>
      <c r="AE76" s="10">
        <f>-668+65-6587</f>
        <v>-7190</v>
      </c>
      <c r="AF76" s="10">
        <f>-4427+16-7301</f>
        <v>-11712</v>
      </c>
      <c r="AG76" s="10">
        <f>-4797-5416</f>
        <v>-10213</v>
      </c>
      <c r="AH76" s="10">
        <f>-178+1234-6850</f>
        <v>-5794</v>
      </c>
      <c r="AI76" s="10">
        <f>-17+17980-7396</f>
        <v>10567</v>
      </c>
      <c r="AJ76" s="10">
        <v>-7085</v>
      </c>
      <c r="AK76" s="12"/>
      <c r="AL76" s="10"/>
      <c r="AM76" s="10"/>
      <c r="AN76" s="10"/>
    </row>
    <row r="77" spans="3:40" x14ac:dyDescent="0.25">
      <c r="C77" s="2" t="s">
        <v>113</v>
      </c>
      <c r="D77" s="10">
        <v>-15</v>
      </c>
      <c r="E77" s="10">
        <v>-12</v>
      </c>
      <c r="F77" s="10">
        <v>-12</v>
      </c>
      <c r="G77" s="10">
        <v>-12</v>
      </c>
      <c r="H77" s="10">
        <v>0</v>
      </c>
      <c r="I77" s="10">
        <v>-3</v>
      </c>
      <c r="J77" s="10">
        <v>-4</v>
      </c>
      <c r="K77" s="10">
        <v>-33</v>
      </c>
      <c r="L77" s="10">
        <v>-11</v>
      </c>
      <c r="M77" s="10">
        <v>-13</v>
      </c>
      <c r="N77" s="10">
        <v>-9</v>
      </c>
      <c r="O77" s="10">
        <v>-6</v>
      </c>
      <c r="P77" s="10">
        <v>-6</v>
      </c>
      <c r="Q77" s="10">
        <v>-2</v>
      </c>
      <c r="R77" s="10">
        <v>-2</v>
      </c>
      <c r="S77" s="10">
        <v>-3</v>
      </c>
      <c r="T77" s="10">
        <v>-5</v>
      </c>
      <c r="U77" s="10">
        <f>-10-T77</f>
        <v>-5</v>
      </c>
      <c r="V77" s="10"/>
      <c r="Z77" s="10"/>
      <c r="AA77" s="10">
        <v>0</v>
      </c>
      <c r="AB77" s="10">
        <v>0</v>
      </c>
      <c r="AC77" s="10">
        <v>0</v>
      </c>
      <c r="AD77" s="10">
        <v>-39</v>
      </c>
      <c r="AE77" s="10">
        <v>-20</v>
      </c>
      <c r="AF77" s="10">
        <v>-57</v>
      </c>
      <c r="AG77" s="10">
        <v>-14</v>
      </c>
      <c r="AH77" s="10">
        <v>-40</v>
      </c>
      <c r="AI77" s="10">
        <v>-39</v>
      </c>
      <c r="AJ77" s="10">
        <v>-13</v>
      </c>
      <c r="AK77" s="12"/>
      <c r="AL77" s="10"/>
      <c r="AM77" s="10"/>
      <c r="AN77" s="10"/>
    </row>
    <row r="78" spans="3:40" x14ac:dyDescent="0.25">
      <c r="C78" s="2" t="s">
        <v>114</v>
      </c>
      <c r="D78" s="10">
        <v>9</v>
      </c>
      <c r="E78" s="10">
        <v>41</v>
      </c>
      <c r="F78" s="10">
        <v>31</v>
      </c>
      <c r="G78" s="10">
        <v>-7</v>
      </c>
      <c r="H78" s="10">
        <v>-5</v>
      </c>
      <c r="I78" s="10">
        <v>22</v>
      </c>
      <c r="J78" s="10">
        <v>11</v>
      </c>
      <c r="K78" s="10">
        <v>43</v>
      </c>
      <c r="L78" s="10">
        <v>1</v>
      </c>
      <c r="M78" s="10">
        <v>28</v>
      </c>
      <c r="N78" s="10">
        <v>26</v>
      </c>
      <c r="O78" s="10">
        <v>48</v>
      </c>
      <c r="P78" s="10">
        <v>17</v>
      </c>
      <c r="Q78" s="10">
        <f>93-17</f>
        <v>76</v>
      </c>
      <c r="R78" s="10">
        <f>202-Q78-P78</f>
        <v>109</v>
      </c>
      <c r="S78" s="10">
        <f>205-R78-Q78-P78</f>
        <v>3</v>
      </c>
      <c r="T78" s="10">
        <v>7</v>
      </c>
      <c r="U78" s="10">
        <f>54-T78</f>
        <v>47</v>
      </c>
      <c r="V78" s="10"/>
      <c r="Z78" s="10"/>
      <c r="AA78" s="10">
        <v>83</v>
      </c>
      <c r="AB78" s="10">
        <v>152</v>
      </c>
      <c r="AC78" s="10">
        <v>134</v>
      </c>
      <c r="AD78" s="10">
        <v>239</v>
      </c>
      <c r="AE78" s="10">
        <v>169</v>
      </c>
      <c r="AF78" s="10">
        <v>54</v>
      </c>
      <c r="AG78" s="10">
        <v>68</v>
      </c>
      <c r="AH78" s="10">
        <v>71</v>
      </c>
      <c r="AI78" s="10">
        <v>103</v>
      </c>
      <c r="AJ78" s="10">
        <v>205</v>
      </c>
      <c r="AK78" s="12"/>
      <c r="AL78" s="10"/>
      <c r="AM78" s="10"/>
      <c r="AN78" s="10"/>
    </row>
    <row r="79" spans="3:40" x14ac:dyDescent="0.25">
      <c r="C79" s="2" t="s">
        <v>115</v>
      </c>
      <c r="D79" s="10">
        <v>-1041</v>
      </c>
      <c r="E79" s="10">
        <v>-1442</v>
      </c>
      <c r="F79" s="10">
        <v>-5229</v>
      </c>
      <c r="G79" s="10">
        <v>87</v>
      </c>
      <c r="H79" s="10">
        <v>-25</v>
      </c>
      <c r="I79" s="10">
        <v>-1116</v>
      </c>
      <c r="J79" s="10">
        <v>755</v>
      </c>
      <c r="K79" s="10">
        <v>96</v>
      </c>
      <c r="L79" s="10">
        <v>17424</v>
      </c>
      <c r="M79" s="10">
        <v>559</v>
      </c>
      <c r="N79" s="10">
        <v>-1464</v>
      </c>
      <c r="O79" s="10">
        <v>220</v>
      </c>
      <c r="P79" s="10">
        <v>2863</v>
      </c>
      <c r="Q79" s="10">
        <f>2938-P79</f>
        <v>75</v>
      </c>
      <c r="R79" s="10">
        <f>3814-Q79-P79</f>
        <v>876</v>
      </c>
      <c r="S79" s="10">
        <f>3672-R79-Q79-P79</f>
        <v>-142</v>
      </c>
      <c r="T79" s="10">
        <v>280</v>
      </c>
      <c r="U79" s="10">
        <f>302-T79</f>
        <v>22</v>
      </c>
      <c r="V79" s="10"/>
      <c r="Z79" s="10"/>
      <c r="AA79" s="10">
        <v>184</v>
      </c>
      <c r="AB79" s="10">
        <v>-287</v>
      </c>
      <c r="AC79" s="10">
        <v>-340</v>
      </c>
      <c r="AD79" s="10">
        <v>-62</v>
      </c>
      <c r="AE79" s="10">
        <v>-54</v>
      </c>
      <c r="AF79" s="10">
        <v>-418</v>
      </c>
      <c r="AG79" s="10">
        <v>-2827</v>
      </c>
      <c r="AH79" s="10">
        <v>-48</v>
      </c>
      <c r="AI79" s="10">
        <v>-1137</v>
      </c>
      <c r="AJ79" s="10">
        <v>3672</v>
      </c>
      <c r="AK79" s="12"/>
      <c r="AL79" s="10"/>
      <c r="AM79" s="10"/>
      <c r="AN79" s="10"/>
    </row>
    <row r="80" spans="3:40" x14ac:dyDescent="0.25">
      <c r="C80" s="1" t="s">
        <v>125</v>
      </c>
      <c r="D80" s="9">
        <f t="shared" ref="D80:O80" si="73">SUM(D76:D79)</f>
        <v>-2444</v>
      </c>
      <c r="E80" s="9">
        <f t="shared" si="73"/>
        <v>-3042</v>
      </c>
      <c r="F80" s="9">
        <f t="shared" si="73"/>
        <v>-6995</v>
      </c>
      <c r="G80" s="9">
        <f t="shared" si="73"/>
        <v>-2019</v>
      </c>
      <c r="H80" s="9">
        <f t="shared" si="73"/>
        <v>-1251</v>
      </c>
      <c r="I80" s="9">
        <f t="shared" si="73"/>
        <v>-2617</v>
      </c>
      <c r="J80" s="9">
        <f t="shared" si="73"/>
        <v>-1079</v>
      </c>
      <c r="K80" s="9">
        <f t="shared" si="73"/>
        <v>-2162</v>
      </c>
      <c r="L80" s="9">
        <f t="shared" si="73"/>
        <v>16015</v>
      </c>
      <c r="M80" s="9">
        <f t="shared" si="73"/>
        <v>-1189</v>
      </c>
      <c r="N80" s="9">
        <f t="shared" si="73"/>
        <v>-3030</v>
      </c>
      <c r="O80" s="9">
        <f t="shared" si="73"/>
        <v>-2389</v>
      </c>
      <c r="P80" s="9">
        <f>SUM(P76:P79)</f>
        <v>1730</v>
      </c>
      <c r="Q80" s="9">
        <f t="shared" ref="Q80:S80" si="74">SUM(Q76:Q79)</f>
        <v>-1573</v>
      </c>
      <c r="R80" s="9">
        <f t="shared" si="74"/>
        <v>-776</v>
      </c>
      <c r="S80" s="9">
        <f t="shared" si="74"/>
        <v>-2602</v>
      </c>
      <c r="T80" s="9">
        <f>SUM(T76:T79)</f>
        <v>-971</v>
      </c>
      <c r="U80" s="9">
        <f>SUM(U76:U79)</f>
        <v>-1466</v>
      </c>
      <c r="V80" s="10"/>
      <c r="W80" s="1"/>
      <c r="X80" s="1"/>
      <c r="Y80" s="1"/>
      <c r="Z80" s="9">
        <f t="shared" ref="Z80" si="75">SUM(Z76:Z79)</f>
        <v>0</v>
      </c>
      <c r="AA80" s="9">
        <f t="shared" ref="AA80" si="76">SUM(AA76:AA79)</f>
        <v>-10119</v>
      </c>
      <c r="AB80" s="9">
        <f t="shared" ref="AB80" si="77">SUM(AB76:AB79)</f>
        <v>-19336</v>
      </c>
      <c r="AC80" s="9">
        <f t="shared" ref="AC80" si="78">SUM(AC76:AC79)</f>
        <v>-7505</v>
      </c>
      <c r="AD80" s="9">
        <f t="shared" ref="AD80" si="79">SUM(AD76:AD79)</f>
        <v>-5908</v>
      </c>
      <c r="AE80" s="9">
        <f t="shared" ref="AE80" si="80">SUM(AE76:AE79)</f>
        <v>-7095</v>
      </c>
      <c r="AF80" s="9">
        <f t="shared" ref="AF80" si="81">SUM(AF76:AF79)</f>
        <v>-12133</v>
      </c>
      <c r="AG80" s="9">
        <f t="shared" ref="AG80" si="82">SUM(AG76:AG79)</f>
        <v>-12986</v>
      </c>
      <c r="AH80" s="9">
        <f t="shared" ref="AH80" si="83">SUM(AH76:AH79)</f>
        <v>-5811</v>
      </c>
      <c r="AI80" s="9">
        <f t="shared" ref="AI80:AJ80" si="84">SUM(AI76:AI79)</f>
        <v>9494</v>
      </c>
      <c r="AJ80" s="9">
        <f t="shared" si="84"/>
        <v>-3221</v>
      </c>
      <c r="AK80" s="12"/>
      <c r="AL80" s="10"/>
      <c r="AM80" s="10"/>
      <c r="AN80" s="10"/>
    </row>
    <row r="81" spans="3:40" x14ac:dyDescent="0.25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2"/>
      <c r="AL81" s="10"/>
      <c r="AM81" s="10"/>
      <c r="AN81" s="10"/>
    </row>
    <row r="82" spans="3:40" x14ac:dyDescent="0.25">
      <c r="C82" s="2" t="s">
        <v>116</v>
      </c>
      <c r="D82" s="10">
        <v>-13</v>
      </c>
      <c r="E82" s="10">
        <v>0</v>
      </c>
      <c r="F82" s="10">
        <v>-1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-51</v>
      </c>
      <c r="P82" s="10">
        <v>0</v>
      </c>
      <c r="Q82" s="10">
        <v>0</v>
      </c>
      <c r="R82" s="10">
        <v>0</v>
      </c>
      <c r="S82" s="10">
        <v>0</v>
      </c>
      <c r="T82" s="10">
        <v>-2994</v>
      </c>
      <c r="U82" s="10">
        <f>(-2994-83)-T82</f>
        <v>-83</v>
      </c>
      <c r="V82" s="10"/>
      <c r="Z82" s="10"/>
      <c r="AA82" s="10">
        <v>435</v>
      </c>
      <c r="AB82" s="10">
        <v>26</v>
      </c>
      <c r="AC82" s="10">
        <v>5</v>
      </c>
      <c r="AD82" s="10">
        <v>4</v>
      </c>
      <c r="AE82" s="10">
        <v>64</v>
      </c>
      <c r="AF82" s="10">
        <f>25-5961</f>
        <v>-5936</v>
      </c>
      <c r="AG82" s="10">
        <v>-14</v>
      </c>
      <c r="AH82" s="10">
        <v>0</v>
      </c>
      <c r="AI82" s="10">
        <v>-51</v>
      </c>
      <c r="AJ82" s="10">
        <v>0</v>
      </c>
      <c r="AK82" s="12"/>
      <c r="AL82" s="10"/>
      <c r="AM82" s="10"/>
      <c r="AN82" s="10"/>
    </row>
    <row r="83" spans="3:40" x14ac:dyDescent="0.25">
      <c r="C83" s="2" t="s">
        <v>117</v>
      </c>
      <c r="D83" s="10">
        <v>10232</v>
      </c>
      <c r="E83" s="10">
        <v>1297</v>
      </c>
      <c r="F83" s="10">
        <v>6758</v>
      </c>
      <c r="G83" s="10">
        <v>-73</v>
      </c>
      <c r="H83" s="10">
        <v>2725</v>
      </c>
      <c r="I83" s="10">
        <v>8567</v>
      </c>
      <c r="J83" s="10">
        <v>6823</v>
      </c>
      <c r="K83" s="10">
        <v>3048</v>
      </c>
      <c r="L83" s="10">
        <v>0</v>
      </c>
      <c r="M83" s="10">
        <v>175</v>
      </c>
      <c r="N83" s="10">
        <v>32</v>
      </c>
      <c r="O83" s="10">
        <v>1190</v>
      </c>
      <c r="P83" s="10">
        <v>42</v>
      </c>
      <c r="Q83" s="10">
        <f>855-P83</f>
        <v>813</v>
      </c>
      <c r="R83" s="10">
        <f>886-Q83-P83</f>
        <v>31</v>
      </c>
      <c r="S83" s="10">
        <f>999-R83-Q83-P83</f>
        <v>113</v>
      </c>
      <c r="T83" s="10">
        <v>1990</v>
      </c>
      <c r="U83" s="10">
        <f>3655-T83</f>
        <v>1665</v>
      </c>
      <c r="V83" s="10"/>
      <c r="Z83" s="10"/>
      <c r="AA83" s="10">
        <v>16148</v>
      </c>
      <c r="AB83" s="10">
        <f>31037</f>
        <v>31037</v>
      </c>
      <c r="AC83" s="10">
        <v>4386</v>
      </c>
      <c r="AD83" s="10">
        <v>2448</v>
      </c>
      <c r="AE83" s="10">
        <v>6474</v>
      </c>
      <c r="AF83" s="10">
        <v>19444</v>
      </c>
      <c r="AG83" s="10">
        <v>32546</v>
      </c>
      <c r="AH83" s="10">
        <v>21163</v>
      </c>
      <c r="AI83" s="10">
        <v>1397</v>
      </c>
      <c r="AJ83" s="10">
        <v>999</v>
      </c>
      <c r="AK83" s="12"/>
      <c r="AL83" s="10"/>
      <c r="AM83" s="10"/>
      <c r="AN83" s="10"/>
    </row>
    <row r="84" spans="3:40" x14ac:dyDescent="0.25">
      <c r="C84" s="2" t="s">
        <v>118</v>
      </c>
      <c r="D84" s="10">
        <v>-4125</v>
      </c>
      <c r="E84" s="10">
        <v>-1615</v>
      </c>
      <c r="F84" s="10">
        <v>1429</v>
      </c>
      <c r="G84" s="10">
        <v>-6804</v>
      </c>
      <c r="H84" s="10">
        <v>-189</v>
      </c>
      <c r="I84" s="10">
        <v>-11492</v>
      </c>
      <c r="J84" s="10">
        <v>-11472</v>
      </c>
      <c r="K84" s="10">
        <v>-3356</v>
      </c>
      <c r="L84" s="10">
        <v>-9993</v>
      </c>
      <c r="M84" s="10">
        <v>140</v>
      </c>
      <c r="N84" s="10">
        <v>-3677</v>
      </c>
      <c r="O84" s="10">
        <v>-1474</v>
      </c>
      <c r="P84" s="10">
        <v>-4227</v>
      </c>
      <c r="Q84" s="10">
        <f>-4262-P84</f>
        <v>-35</v>
      </c>
      <c r="R84" s="10">
        <f>-5056-Q84-P84</f>
        <v>-794</v>
      </c>
      <c r="S84" s="10">
        <f>-5173-R84-Q84-P84</f>
        <v>-117</v>
      </c>
      <c r="T84" s="10">
        <v>-128</v>
      </c>
      <c r="U84" s="10">
        <f>-983-T84</f>
        <v>-855</v>
      </c>
      <c r="V84" s="10"/>
      <c r="Z84" s="10"/>
      <c r="AA84" s="10">
        <v>-15614</v>
      </c>
      <c r="AB84" s="10">
        <v>-25982</v>
      </c>
      <c r="AC84" s="10">
        <v>-6777</v>
      </c>
      <c r="AD84" s="10">
        <v>-11708</v>
      </c>
      <c r="AE84" s="10">
        <v>-10100</v>
      </c>
      <c r="AF84" s="10">
        <v>-12003</v>
      </c>
      <c r="AG84" s="10">
        <v>-18539</v>
      </c>
      <c r="AH84" s="10">
        <v>-26509</v>
      </c>
      <c r="AI84" s="10">
        <v>-15004</v>
      </c>
      <c r="AJ84" s="10">
        <v>-5173</v>
      </c>
      <c r="AK84" s="12"/>
      <c r="AL84" s="10"/>
      <c r="AM84" s="10"/>
      <c r="AN84" s="10"/>
    </row>
    <row r="85" spans="3:40" x14ac:dyDescent="0.25">
      <c r="C85" s="2" t="s">
        <v>119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-1069</v>
      </c>
      <c r="P85" s="10">
        <v>-289</v>
      </c>
      <c r="Q85" s="10">
        <f>-540-P85</f>
        <v>-251</v>
      </c>
      <c r="R85" s="10">
        <f>-816-Q85-P85</f>
        <v>-276</v>
      </c>
      <c r="S85" s="10">
        <f>-1090-R85-Q85-P85</f>
        <v>-274</v>
      </c>
      <c r="T85" s="10">
        <v>-266</v>
      </c>
      <c r="U85" s="10">
        <f>-529-T85</f>
        <v>-263</v>
      </c>
      <c r="V85" s="10"/>
      <c r="Z85" s="10"/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-896</v>
      </c>
      <c r="AH85" s="10">
        <v>-998</v>
      </c>
      <c r="AI85" s="10">
        <v>-1069</v>
      </c>
      <c r="AJ85" s="10">
        <v>-1090</v>
      </c>
      <c r="AK85" s="12"/>
      <c r="AL85" s="10"/>
      <c r="AM85" s="10"/>
      <c r="AN85" s="10"/>
    </row>
    <row r="86" spans="3:40" x14ac:dyDescent="0.25">
      <c r="C86" s="2" t="s">
        <v>120</v>
      </c>
      <c r="D86" s="10">
        <v>33</v>
      </c>
      <c r="E86" s="10">
        <v>1</v>
      </c>
      <c r="F86" s="10">
        <v>0</v>
      </c>
      <c r="G86" s="10">
        <v>1</v>
      </c>
      <c r="H86" s="10">
        <v>899</v>
      </c>
      <c r="I86" s="10">
        <v>5912</v>
      </c>
      <c r="J86" s="10">
        <v>-3014</v>
      </c>
      <c r="K86" s="10">
        <v>-4908</v>
      </c>
      <c r="L86" s="10">
        <v>-12</v>
      </c>
      <c r="M86" s="10">
        <v>-2814</v>
      </c>
      <c r="N86" s="10">
        <v>2817</v>
      </c>
      <c r="O86" s="10">
        <v>90</v>
      </c>
      <c r="P86" s="10">
        <v>-413</v>
      </c>
      <c r="Q86" s="10">
        <f>-724-P86</f>
        <v>-311</v>
      </c>
      <c r="R86" s="10">
        <f>-464-Q86-P86</f>
        <v>260</v>
      </c>
      <c r="S86" s="10">
        <f>-250-R86-Q86-P86</f>
        <v>214</v>
      </c>
      <c r="T86" s="10">
        <v>894</v>
      </c>
      <c r="U86" s="10">
        <f>32-T86</f>
        <v>-862</v>
      </c>
      <c r="V86" s="10"/>
      <c r="Z86" s="10"/>
      <c r="AA86" s="10">
        <v>10403</v>
      </c>
      <c r="AB86" s="10">
        <v>952</v>
      </c>
      <c r="AC86" s="10">
        <v>0</v>
      </c>
      <c r="AD86" s="10">
        <v>0</v>
      </c>
      <c r="AE86" s="10">
        <v>0</v>
      </c>
      <c r="AF86" s="10">
        <v>0</v>
      </c>
      <c r="AG86" s="10">
        <v>-5055</v>
      </c>
      <c r="AH86" s="10">
        <v>-1226</v>
      </c>
      <c r="AI86" s="10">
        <v>93</v>
      </c>
      <c r="AJ86" s="10">
        <v>-250</v>
      </c>
      <c r="AK86" s="12"/>
      <c r="AL86" s="10"/>
      <c r="AM86" s="10"/>
      <c r="AN86" s="10"/>
    </row>
    <row r="87" spans="3:40" x14ac:dyDescent="0.25">
      <c r="C87" s="2" t="s">
        <v>121</v>
      </c>
      <c r="D87" s="10">
        <v>-4916</v>
      </c>
      <c r="E87" s="10">
        <v>0</v>
      </c>
      <c r="F87" s="10">
        <v>0</v>
      </c>
      <c r="G87" s="10">
        <v>0</v>
      </c>
      <c r="H87" s="10">
        <v>0</v>
      </c>
      <c r="I87" s="10">
        <v>-5092</v>
      </c>
      <c r="J87" s="10">
        <v>0</v>
      </c>
      <c r="K87" s="10">
        <v>0</v>
      </c>
      <c r="L87" s="10">
        <v>-5443</v>
      </c>
      <c r="M87" s="10">
        <v>0</v>
      </c>
      <c r="N87" s="10">
        <v>0</v>
      </c>
      <c r="O87" s="10">
        <v>0</v>
      </c>
      <c r="P87" s="10">
        <v>0</v>
      </c>
      <c r="Q87" s="10">
        <v>-5711</v>
      </c>
      <c r="R87" s="10">
        <v>0</v>
      </c>
      <c r="S87" s="10">
        <v>0</v>
      </c>
      <c r="T87" s="10">
        <v>0</v>
      </c>
      <c r="U87" s="10">
        <f>-5956-T87</f>
        <v>-5956</v>
      </c>
      <c r="V87" s="10"/>
      <c r="Z87" s="10"/>
      <c r="AA87" s="10">
        <v>0</v>
      </c>
      <c r="AB87" s="10">
        <v>0</v>
      </c>
      <c r="AC87" s="10">
        <v>-4038</v>
      </c>
      <c r="AD87" s="10">
        <v>-4038</v>
      </c>
      <c r="AE87" s="10">
        <v>0</v>
      </c>
      <c r="AF87" s="10">
        <v>0</v>
      </c>
      <c r="AG87" s="10">
        <v>-4916</v>
      </c>
      <c r="AH87" s="10">
        <v>-5092</v>
      </c>
      <c r="AI87" s="10">
        <v>-5443</v>
      </c>
      <c r="AJ87" s="10">
        <v>-5711</v>
      </c>
      <c r="AK87" s="12"/>
      <c r="AL87" s="10"/>
      <c r="AM87" s="10"/>
      <c r="AN87" s="10"/>
    </row>
    <row r="88" spans="3:40" x14ac:dyDescent="0.25">
      <c r="C88" s="2" t="s">
        <v>122</v>
      </c>
      <c r="D88" s="10">
        <v>-2</v>
      </c>
      <c r="E88" s="10">
        <v>-305</v>
      </c>
      <c r="F88" s="10">
        <v>-82</v>
      </c>
      <c r="G88" s="10">
        <v>-7</v>
      </c>
      <c r="H88" s="10">
        <v>-2</v>
      </c>
      <c r="I88" s="10">
        <v>0</v>
      </c>
      <c r="J88" s="10">
        <v>0</v>
      </c>
      <c r="K88" s="10">
        <v>0</v>
      </c>
      <c r="L88" s="10">
        <v>-1</v>
      </c>
      <c r="M88" s="10">
        <v>0</v>
      </c>
      <c r="N88" s="10">
        <v>0</v>
      </c>
      <c r="O88" s="10">
        <v>-22</v>
      </c>
      <c r="P88" s="10">
        <v>0</v>
      </c>
      <c r="Q88" s="10">
        <v>-4</v>
      </c>
      <c r="R88" s="10">
        <v>-7</v>
      </c>
      <c r="S88" s="10">
        <v>-9</v>
      </c>
      <c r="T88" s="10">
        <v>0</v>
      </c>
      <c r="U88" s="10">
        <f>0-T88</f>
        <v>0</v>
      </c>
      <c r="V88" s="10"/>
      <c r="Z88" s="10"/>
      <c r="AA88" s="10">
        <v>-190</v>
      </c>
      <c r="AB88" s="10">
        <v>-285</v>
      </c>
      <c r="AC88" s="10">
        <v>-397</v>
      </c>
      <c r="AD88" s="10">
        <v>-336</v>
      </c>
      <c r="AE88" s="10">
        <v>-423</v>
      </c>
      <c r="AF88" s="10">
        <v>-571</v>
      </c>
      <c r="AG88" s="10">
        <v>-21</v>
      </c>
      <c r="AH88" s="10">
        <v>-2</v>
      </c>
      <c r="AI88" s="10">
        <v>-23</v>
      </c>
      <c r="AJ88" s="10">
        <v>-20</v>
      </c>
      <c r="AK88" s="12"/>
      <c r="AL88" s="10"/>
      <c r="AM88" s="45"/>
      <c r="AN88" s="10"/>
    </row>
    <row r="89" spans="3:40" x14ac:dyDescent="0.25">
      <c r="C89" s="2" t="s">
        <v>123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-134</v>
      </c>
      <c r="N89" s="10">
        <v>-1074</v>
      </c>
      <c r="O89" s="10">
        <v>-1016</v>
      </c>
      <c r="P89" s="10">
        <v>-776</v>
      </c>
      <c r="Q89" s="10">
        <f>-1458-P89</f>
        <v>-682</v>
      </c>
      <c r="R89" s="10">
        <f>-2605-Q89-P89</f>
        <v>-1147</v>
      </c>
      <c r="S89" s="10">
        <f>-3160-R89-Q89-P89</f>
        <v>-555</v>
      </c>
      <c r="T89" s="10">
        <v>-612</v>
      </c>
      <c r="U89" s="10">
        <f>-1166-T89</f>
        <v>-554</v>
      </c>
      <c r="V89" s="10"/>
      <c r="Z89" s="10"/>
      <c r="AA89" s="10">
        <v>-14571</v>
      </c>
      <c r="AB89" s="10">
        <v>838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-2224</v>
      </c>
      <c r="AJ89" s="10">
        <v>-3160</v>
      </c>
      <c r="AK89" s="12"/>
      <c r="AL89" s="10"/>
      <c r="AM89" s="10"/>
      <c r="AN89" s="10"/>
    </row>
    <row r="90" spans="3:40" x14ac:dyDescent="0.25">
      <c r="C90" s="1" t="s">
        <v>124</v>
      </c>
      <c r="D90" s="9">
        <f t="shared" ref="D90:O90" si="85">SUM(D82:D89)</f>
        <v>1209</v>
      </c>
      <c r="E90" s="9">
        <f t="shared" si="85"/>
        <v>-622</v>
      </c>
      <c r="F90" s="9">
        <f t="shared" si="85"/>
        <v>8104</v>
      </c>
      <c r="G90" s="9">
        <f t="shared" si="85"/>
        <v>-6883</v>
      </c>
      <c r="H90" s="9">
        <f t="shared" si="85"/>
        <v>3433</v>
      </c>
      <c r="I90" s="9">
        <f t="shared" si="85"/>
        <v>-2105</v>
      </c>
      <c r="J90" s="9">
        <f t="shared" si="85"/>
        <v>-7663</v>
      </c>
      <c r="K90" s="9">
        <f t="shared" si="85"/>
        <v>-5216</v>
      </c>
      <c r="L90" s="9">
        <f t="shared" si="85"/>
        <v>-15449</v>
      </c>
      <c r="M90" s="9">
        <f t="shared" si="85"/>
        <v>-2633</v>
      </c>
      <c r="N90" s="9">
        <f t="shared" si="85"/>
        <v>-1902</v>
      </c>
      <c r="O90" s="9">
        <f t="shared" si="85"/>
        <v>-2352</v>
      </c>
      <c r="P90" s="9">
        <f>SUM(P82:P89)</f>
        <v>-5663</v>
      </c>
      <c r="Q90" s="9">
        <f t="shared" ref="Q90:S90" si="86">SUM(Q82:Q89)</f>
        <v>-6181</v>
      </c>
      <c r="R90" s="9">
        <f t="shared" si="86"/>
        <v>-1933</v>
      </c>
      <c r="S90" s="9">
        <f t="shared" si="86"/>
        <v>-628</v>
      </c>
      <c r="T90" s="9">
        <f>SUM(T82:T89)</f>
        <v>-1116</v>
      </c>
      <c r="U90" s="9">
        <f>SUM(U82:U89)</f>
        <v>-6908</v>
      </c>
      <c r="V90" s="10"/>
      <c r="W90" s="1"/>
      <c r="X90" s="1"/>
      <c r="Y90" s="1"/>
      <c r="Z90" s="9">
        <f t="shared" ref="Z90" si="87">SUM(Z82:Z89)</f>
        <v>0</v>
      </c>
      <c r="AA90" s="9">
        <f t="shared" ref="AA90" si="88">SUM(AA82:AA89)</f>
        <v>-3389</v>
      </c>
      <c r="AB90" s="9">
        <f t="shared" ref="AB90" si="89">SUM(AB82:AB89)</f>
        <v>6586</v>
      </c>
      <c r="AC90" s="9">
        <f t="shared" ref="AC90" si="90">SUM(AC82:AC89)</f>
        <v>-6821</v>
      </c>
      <c r="AD90" s="9">
        <f t="shared" ref="AD90" si="91">SUM(AD82:AD89)</f>
        <v>-13630</v>
      </c>
      <c r="AE90" s="9">
        <f t="shared" ref="AE90" si="92">SUM(AE82:AE89)</f>
        <v>-3985</v>
      </c>
      <c r="AF90" s="9">
        <f t="shared" ref="AF90" si="93">SUM(AF82:AF89)</f>
        <v>934</v>
      </c>
      <c r="AG90" s="9">
        <f t="shared" ref="AG90" si="94">SUM(AG82:AG89)</f>
        <v>3105</v>
      </c>
      <c r="AH90" s="9">
        <f t="shared" ref="AH90" si="95">SUM(AH82:AH89)</f>
        <v>-12664</v>
      </c>
      <c r="AI90" s="9">
        <f t="shared" ref="AI90:AJ90" si="96">SUM(AI82:AI89)</f>
        <v>-22324</v>
      </c>
      <c r="AJ90" s="9">
        <f t="shared" si="96"/>
        <v>-14405</v>
      </c>
      <c r="AK90" s="12"/>
      <c r="AL90" s="10"/>
      <c r="AM90" s="10"/>
      <c r="AN90" s="10"/>
    </row>
    <row r="91" spans="3:40" x14ac:dyDescent="0.25"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2"/>
      <c r="AL91" s="10"/>
      <c r="AM91" s="10"/>
      <c r="AN91" s="10"/>
    </row>
    <row r="92" spans="3:40" x14ac:dyDescent="0.25">
      <c r="C92" s="2" t="s">
        <v>126</v>
      </c>
      <c r="D92" s="10">
        <v>111</v>
      </c>
      <c r="E92" s="10">
        <v>437</v>
      </c>
      <c r="F92" s="10">
        <v>142</v>
      </c>
      <c r="G92" s="10">
        <v>-488</v>
      </c>
      <c r="H92" s="10">
        <v>-61</v>
      </c>
      <c r="I92" s="10">
        <v>17</v>
      </c>
      <c r="J92" s="10">
        <v>42</v>
      </c>
      <c r="K92" s="10">
        <v>-267</v>
      </c>
      <c r="L92" s="10">
        <v>215</v>
      </c>
      <c r="M92" s="10">
        <v>-97</v>
      </c>
      <c r="N92" s="10">
        <v>-101</v>
      </c>
      <c r="O92" s="10">
        <v>146</v>
      </c>
      <c r="P92" s="10">
        <v>-178</v>
      </c>
      <c r="Q92" s="10">
        <f>-236-P92</f>
        <v>-58</v>
      </c>
      <c r="R92" s="10">
        <f>-255-Q92-P92</f>
        <v>-19</v>
      </c>
      <c r="S92" s="10">
        <f>-308-R92-Q92-P92</f>
        <v>-53</v>
      </c>
      <c r="T92" s="10">
        <v>102</v>
      </c>
      <c r="U92" s="10">
        <f>157-T92</f>
        <v>55</v>
      </c>
      <c r="V92" s="10"/>
      <c r="Z92" s="10"/>
      <c r="AA92" s="10">
        <v>146</v>
      </c>
      <c r="AB92" s="10">
        <v>-116</v>
      </c>
      <c r="AC92" s="10">
        <v>67</v>
      </c>
      <c r="AD92" s="10">
        <v>107</v>
      </c>
      <c r="AE92" s="10">
        <v>-295</v>
      </c>
      <c r="AF92" s="10">
        <v>195</v>
      </c>
      <c r="AG92" s="10">
        <v>202</v>
      </c>
      <c r="AH92" s="10">
        <v>-269</v>
      </c>
      <c r="AI92" s="10">
        <v>163</v>
      </c>
      <c r="AJ92" s="10">
        <v>-308</v>
      </c>
      <c r="AK92" s="12"/>
      <c r="AL92" s="10"/>
      <c r="AM92" s="10"/>
      <c r="AN92" s="10"/>
    </row>
    <row r="93" spans="3:40" x14ac:dyDescent="0.25"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2"/>
      <c r="AL93" s="10"/>
      <c r="AM93" s="10"/>
      <c r="AN93" s="10"/>
    </row>
    <row r="94" spans="3:40" x14ac:dyDescent="0.25">
      <c r="C94" s="2" t="s">
        <v>127</v>
      </c>
      <c r="D94" s="10">
        <f t="shared" ref="D94:O94" si="97">D74+D80+D90+D92</f>
        <v>1369</v>
      </c>
      <c r="E94" s="10">
        <f t="shared" si="97"/>
        <v>-278</v>
      </c>
      <c r="F94" s="10">
        <f t="shared" si="97"/>
        <v>5118</v>
      </c>
      <c r="G94" s="10">
        <f t="shared" si="97"/>
        <v>-5825</v>
      </c>
      <c r="H94" s="10">
        <f t="shared" si="97"/>
        <v>4616</v>
      </c>
      <c r="I94" s="10">
        <f t="shared" si="97"/>
        <v>-2391</v>
      </c>
      <c r="J94" s="10">
        <f t="shared" si="97"/>
        <v>-122</v>
      </c>
      <c r="K94" s="10">
        <f t="shared" si="97"/>
        <v>536</v>
      </c>
      <c r="L94" s="10">
        <f t="shared" si="97"/>
        <v>4446</v>
      </c>
      <c r="M94" s="10">
        <f t="shared" si="97"/>
        <v>-931</v>
      </c>
      <c r="N94" s="10">
        <f t="shared" si="97"/>
        <v>1384</v>
      </c>
      <c r="O94" s="10">
        <f t="shared" si="97"/>
        <v>-864</v>
      </c>
      <c r="P94" s="10">
        <f>P74+P80+P90+P92</f>
        <v>-1195</v>
      </c>
      <c r="Q94" s="10">
        <f t="shared" ref="Q94:S94" si="98">Q74+Q80+Q90+Q92</f>
        <v>-5867</v>
      </c>
      <c r="R94" s="10">
        <f t="shared" si="98"/>
        <v>2328</v>
      </c>
      <c r="S94" s="10">
        <f t="shared" si="98"/>
        <v>2259</v>
      </c>
      <c r="T94" s="10">
        <f>T74+T80+T90+T92</f>
        <v>2254</v>
      </c>
      <c r="U94" s="10">
        <f>U74+U80+U90+U92</f>
        <v>-5246</v>
      </c>
      <c r="V94" s="10"/>
      <c r="Z94" s="10">
        <f t="shared" ref="Z94:AI94" si="99">Z74+Z80+Z90+Z92</f>
        <v>0</v>
      </c>
      <c r="AA94" s="10">
        <f t="shared" si="99"/>
        <v>-584</v>
      </c>
      <c r="AB94" s="10">
        <f t="shared" si="99"/>
        <v>-137</v>
      </c>
      <c r="AC94" s="10">
        <f t="shared" si="99"/>
        <v>-1099</v>
      </c>
      <c r="AD94" s="10">
        <f t="shared" si="99"/>
        <v>-80</v>
      </c>
      <c r="AE94" s="10">
        <f t="shared" si="99"/>
        <v>6444</v>
      </c>
      <c r="AF94" s="10">
        <f t="shared" si="99"/>
        <v>3663</v>
      </c>
      <c r="AG94" s="10">
        <f t="shared" si="99"/>
        <v>319</v>
      </c>
      <c r="AH94" s="10">
        <f t="shared" si="99"/>
        <v>333</v>
      </c>
      <c r="AI94" s="10">
        <f t="shared" si="99"/>
        <v>4502</v>
      </c>
      <c r="AJ94" s="10">
        <f t="shared" ref="AJ94" si="100">AJ74+AJ80+AJ90+AJ92</f>
        <v>-2475</v>
      </c>
      <c r="AK94" s="12"/>
      <c r="AL94" s="10"/>
      <c r="AM94" s="10"/>
      <c r="AN94" s="10"/>
    </row>
    <row r="95" spans="3:40" x14ac:dyDescent="0.25">
      <c r="C95" s="1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1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2"/>
      <c r="AL95" s="10"/>
      <c r="AM95" s="10"/>
      <c r="AN95" s="10"/>
    </row>
    <row r="96" spans="3:40" x14ac:dyDescent="0.25">
      <c r="C96" s="2" t="s">
        <v>128</v>
      </c>
      <c r="D96" s="10">
        <f t="shared" ref="D96:O96" si="101">D74+D76</f>
        <v>1096</v>
      </c>
      <c r="E96" s="10">
        <f t="shared" si="101"/>
        <v>1320</v>
      </c>
      <c r="F96" s="10">
        <f t="shared" si="101"/>
        <v>2082</v>
      </c>
      <c r="G96" s="10">
        <f t="shared" si="101"/>
        <v>1478</v>
      </c>
      <c r="H96" s="10">
        <f t="shared" si="101"/>
        <v>1274</v>
      </c>
      <c r="I96" s="10">
        <f t="shared" si="101"/>
        <v>794</v>
      </c>
      <c r="J96" s="10">
        <f t="shared" si="101"/>
        <v>6737</v>
      </c>
      <c r="K96" s="10">
        <f t="shared" si="101"/>
        <v>5913</v>
      </c>
      <c r="L96" s="10">
        <f t="shared" si="101"/>
        <v>2266</v>
      </c>
      <c r="M96" s="10">
        <f t="shared" si="101"/>
        <v>1225</v>
      </c>
      <c r="N96" s="10">
        <f t="shared" si="101"/>
        <v>4834</v>
      </c>
      <c r="O96" s="10">
        <f t="shared" si="101"/>
        <v>1080</v>
      </c>
      <c r="P96" s="10">
        <f>P74+P76</f>
        <v>1772</v>
      </c>
      <c r="Q96" s="10">
        <f t="shared" ref="Q96:S96" si="102">Q74+Q76</f>
        <v>223</v>
      </c>
      <c r="R96" s="10">
        <f t="shared" si="102"/>
        <v>3297</v>
      </c>
      <c r="S96" s="10">
        <f t="shared" si="102"/>
        <v>3082</v>
      </c>
      <c r="T96" s="10">
        <f>T74+T76</f>
        <v>2986</v>
      </c>
      <c r="U96" s="10">
        <f>U74+U76</f>
        <v>1543</v>
      </c>
      <c r="V96" s="10"/>
      <c r="Z96" s="10">
        <f t="shared" ref="Z96:AI96" si="103">Z74+Z76</f>
        <v>0</v>
      </c>
      <c r="AA96" s="10">
        <f t="shared" si="103"/>
        <v>2392</v>
      </c>
      <c r="AB96" s="10">
        <f t="shared" si="103"/>
        <v>-6472</v>
      </c>
      <c r="AC96" s="10">
        <f t="shared" si="103"/>
        <v>5861</v>
      </c>
      <c r="AD96" s="10">
        <f t="shared" si="103"/>
        <v>13305</v>
      </c>
      <c r="AE96" s="10">
        <f t="shared" si="103"/>
        <v>10629</v>
      </c>
      <c r="AF96" s="10">
        <f t="shared" si="103"/>
        <v>2955</v>
      </c>
      <c r="AG96" s="10">
        <f t="shared" si="103"/>
        <v>-215</v>
      </c>
      <c r="AH96" s="10">
        <f t="shared" si="103"/>
        <v>13283</v>
      </c>
      <c r="AI96" s="10">
        <f t="shared" si="103"/>
        <v>27736</v>
      </c>
      <c r="AJ96" s="10">
        <f t="shared" ref="AJ96" si="104">AJ74+AJ76</f>
        <v>8374</v>
      </c>
      <c r="AK96" s="12"/>
      <c r="AL96" s="10"/>
      <c r="AM96" s="10"/>
      <c r="AN96" s="10"/>
    </row>
    <row r="97" spans="3:40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17"/>
      <c r="AK97" s="12"/>
      <c r="AL97" s="10"/>
      <c r="AM97" s="10"/>
      <c r="AN97" s="10"/>
    </row>
    <row r="98" spans="3:40" x14ac:dyDescent="0.25">
      <c r="AJ98" s="10"/>
      <c r="AK98" s="12"/>
      <c r="AL98" s="10"/>
      <c r="AM98" s="10"/>
      <c r="AN98" s="10"/>
    </row>
    <row r="100" spans="3:40" x14ac:dyDescent="0.25">
      <c r="AI100" s="10"/>
    </row>
    <row r="108" spans="3:40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21" spans="3:35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3:35" x14ac:dyDescent="0.25">
      <c r="Q122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AB47"/>
  <sheetViews>
    <sheetView showGridLines="0" workbookViewId="0">
      <pane xSplit="2" ySplit="4" topLeftCell="T12" activePane="bottomRight" state="frozen"/>
      <selection pane="topRight" activeCell="C1" sqref="C1"/>
      <selection pane="bottomLeft" activeCell="A5" sqref="A5"/>
      <selection pane="bottomRight" activeCell="X37" sqref="X37"/>
    </sheetView>
  </sheetViews>
  <sheetFormatPr baseColWidth="10" defaultRowHeight="19" x14ac:dyDescent="0.25"/>
  <cols>
    <col min="1" max="1" width="10.83203125" style="2"/>
    <col min="2" max="2" width="22.6640625" style="2" customWidth="1"/>
    <col min="3" max="22" width="10.83203125" style="2"/>
    <col min="23" max="23" width="11.5" style="2" bestFit="1" customWidth="1"/>
    <col min="24" max="16384" width="10.83203125" style="2"/>
  </cols>
  <sheetData>
    <row r="4" spans="2:27" x14ac:dyDescent="0.25">
      <c r="B4" s="2" t="s">
        <v>46</v>
      </c>
      <c r="C4" s="19" t="s">
        <v>3</v>
      </c>
      <c r="D4" s="19" t="s">
        <v>4</v>
      </c>
      <c r="E4" s="19" t="s">
        <v>5</v>
      </c>
      <c r="F4" s="19" t="s">
        <v>6</v>
      </c>
      <c r="G4" s="24">
        <v>2022</v>
      </c>
      <c r="H4" s="19" t="s">
        <v>7</v>
      </c>
      <c r="I4" s="19" t="s">
        <v>8</v>
      </c>
      <c r="J4" s="19" t="s">
        <v>9</v>
      </c>
      <c r="K4" s="19" t="s">
        <v>10</v>
      </c>
      <c r="L4" s="24">
        <v>2023</v>
      </c>
      <c r="M4" s="19" t="s">
        <v>11</v>
      </c>
      <c r="N4" s="19" t="s">
        <v>12</v>
      </c>
      <c r="O4" s="19" t="s">
        <v>13</v>
      </c>
      <c r="P4" s="19" t="s">
        <v>14</v>
      </c>
      <c r="Q4" s="24">
        <v>2024</v>
      </c>
      <c r="R4" s="19" t="s">
        <v>37</v>
      </c>
      <c r="S4" s="19" t="s">
        <v>31</v>
      </c>
      <c r="T4" s="19" t="s">
        <v>35</v>
      </c>
      <c r="U4" s="19" t="s">
        <v>36</v>
      </c>
      <c r="V4" s="22">
        <v>2025</v>
      </c>
      <c r="W4" s="19" t="s">
        <v>136</v>
      </c>
      <c r="X4" s="19" t="s">
        <v>137</v>
      </c>
      <c r="Y4" s="19" t="s">
        <v>138</v>
      </c>
      <c r="Z4" s="19" t="s">
        <v>139</v>
      </c>
      <c r="AA4" s="22">
        <v>2026</v>
      </c>
    </row>
    <row r="5" spans="2:27" x14ac:dyDescent="0.25">
      <c r="B5" s="1" t="s">
        <v>129</v>
      </c>
      <c r="G5" s="22"/>
      <c r="L5" s="22"/>
      <c r="Q5" s="22"/>
      <c r="V5" s="22"/>
      <c r="AA5" s="22"/>
    </row>
    <row r="6" spans="2:27" x14ac:dyDescent="0.25">
      <c r="B6" s="2" t="s">
        <v>51</v>
      </c>
      <c r="G6" s="26">
        <v>25239</v>
      </c>
      <c r="H6" s="10">
        <v>6665</v>
      </c>
      <c r="I6" s="10">
        <v>6905</v>
      </c>
      <c r="J6" s="10">
        <v>7158</v>
      </c>
      <c r="K6" s="10">
        <v>7001</v>
      </c>
      <c r="L6" s="26">
        <f>SUM(H6:K6)</f>
        <v>27729</v>
      </c>
      <c r="M6" s="10">
        <v>6842</v>
      </c>
      <c r="N6" s="10">
        <v>7213</v>
      </c>
      <c r="O6" s="10">
        <v>7127</v>
      </c>
      <c r="P6" s="10">
        <v>7417</v>
      </c>
      <c r="Q6" s="26">
        <f>SUM(M6:P6)</f>
        <v>28599</v>
      </c>
      <c r="R6" s="10">
        <v>6936</v>
      </c>
      <c r="S6" s="10">
        <v>6723</v>
      </c>
      <c r="T6" s="10">
        <v>6883</v>
      </c>
      <c r="U6" s="10">
        <v>6926</v>
      </c>
      <c r="V6" s="26">
        <f>SUM(R6:U6)</f>
        <v>27468</v>
      </c>
      <c r="W6" s="10">
        <v>6499</v>
      </c>
      <c r="X6" s="10">
        <v>6918</v>
      </c>
      <c r="Y6" s="10"/>
      <c r="Z6" s="10"/>
      <c r="AA6" s="26"/>
    </row>
    <row r="7" spans="2:27" x14ac:dyDescent="0.25">
      <c r="B7" s="20" t="s">
        <v>135</v>
      </c>
      <c r="C7" s="20"/>
      <c r="D7" s="20"/>
      <c r="E7" s="20"/>
      <c r="F7" s="20"/>
      <c r="G7" s="23">
        <v>9.6000000000000002E-2</v>
      </c>
      <c r="H7" s="20" t="e">
        <f t="shared" ref="H7:T7" si="0">(H6-C6)/C6</f>
        <v>#DIV/0!</v>
      </c>
      <c r="I7" s="20" t="e">
        <f t="shared" si="0"/>
        <v>#DIV/0!</v>
      </c>
      <c r="J7" s="20" t="e">
        <f t="shared" si="0"/>
        <v>#DIV/0!</v>
      </c>
      <c r="K7" s="20" t="e">
        <f t="shared" si="0"/>
        <v>#DIV/0!</v>
      </c>
      <c r="L7" s="23">
        <f>(L6-G6)/G6</f>
        <v>9.8656840603827414E-2</v>
      </c>
      <c r="M7" s="20">
        <f t="shared" si="0"/>
        <v>2.6556639159789949E-2</v>
      </c>
      <c r="N7" s="20">
        <f t="shared" si="0"/>
        <v>4.4605358435916002E-2</v>
      </c>
      <c r="O7" s="20">
        <f t="shared" si="0"/>
        <v>-4.330818664431405E-3</v>
      </c>
      <c r="P7" s="20">
        <f t="shared" si="0"/>
        <v>5.9420082845307816E-2</v>
      </c>
      <c r="Q7" s="23">
        <f>(Q6-L6)/L6</f>
        <v>3.1375094666233908E-2</v>
      </c>
      <c r="R7" s="20">
        <f t="shared" si="0"/>
        <v>1.3738672902660041E-2</v>
      </c>
      <c r="S7" s="20">
        <f t="shared" si="0"/>
        <v>-6.7932898932483013E-2</v>
      </c>
      <c r="T7" s="20">
        <f t="shared" si="0"/>
        <v>-3.423600392872176E-2</v>
      </c>
      <c r="U7" s="20">
        <f>(U6-P6)/P6</f>
        <v>-6.6199271942834023E-2</v>
      </c>
      <c r="V7" s="23">
        <f>(V6-Q6)/Q6</f>
        <v>-3.9546837302003569E-2</v>
      </c>
      <c r="W7" s="20">
        <f t="shared" ref="W7" si="1">(W6-R6)/R6</f>
        <v>-6.3004613610149945E-2</v>
      </c>
      <c r="X7" s="20">
        <f t="shared" ref="X7" si="2">(X6-S6)/S6</f>
        <v>2.9004908522980811E-2</v>
      </c>
      <c r="Y7" s="20">
        <f t="shared" ref="Y7" si="3">(Y6-T6)/T6</f>
        <v>-1</v>
      </c>
      <c r="Z7" s="20">
        <f>(Z6-U6)/U6</f>
        <v>-1</v>
      </c>
      <c r="AA7" s="23">
        <f>(AA6-V6)/V6</f>
        <v>-1</v>
      </c>
    </row>
    <row r="8" spans="2:27" x14ac:dyDescent="0.25">
      <c r="B8" s="20" t="s">
        <v>130</v>
      </c>
      <c r="C8" s="20"/>
      <c r="D8" s="20"/>
      <c r="E8" s="20"/>
      <c r="F8" s="20"/>
      <c r="G8" s="23">
        <v>7.8E-2</v>
      </c>
      <c r="H8" s="20">
        <v>0.106</v>
      </c>
      <c r="I8" s="20">
        <v>0.08</v>
      </c>
      <c r="J8" s="20">
        <v>5.8000000000000003E-2</v>
      </c>
      <c r="K8" s="20">
        <v>4.2999999999999997E-2</v>
      </c>
      <c r="L8" s="23">
        <v>7.0000000000000007E-2</v>
      </c>
      <c r="M8" s="20">
        <v>2.5999999999999999E-2</v>
      </c>
      <c r="N8" s="20">
        <v>4.4999999999999998E-2</v>
      </c>
      <c r="O8" s="20">
        <v>2.8000000000000001E-2</v>
      </c>
      <c r="P8" s="20">
        <v>5.6000000000000001E-2</v>
      </c>
      <c r="Q8" s="23">
        <v>3.9E-2</v>
      </c>
      <c r="R8" s="20">
        <v>1.7000000000000001E-2</v>
      </c>
      <c r="S8" s="20">
        <v>1E-3</v>
      </c>
      <c r="T8" s="20">
        <v>1.7000000000000001E-2</v>
      </c>
      <c r="U8" s="20">
        <v>7.0000000000000001E-3</v>
      </c>
      <c r="V8" s="23"/>
      <c r="W8" s="20">
        <v>5.0000000000000001E-3</v>
      </c>
      <c r="X8" s="20">
        <v>3.1E-2</v>
      </c>
      <c r="Y8" s="20"/>
      <c r="Z8" s="20"/>
      <c r="AA8" s="23"/>
    </row>
    <row r="9" spans="2:27" x14ac:dyDescent="0.25">
      <c r="B9" s="20" t="s">
        <v>132</v>
      </c>
      <c r="C9" s="20"/>
      <c r="D9" s="20"/>
      <c r="E9" s="20"/>
      <c r="F9" s="20"/>
      <c r="G9" s="23">
        <v>0.36899999999999999</v>
      </c>
      <c r="H9" s="20">
        <v>0.378</v>
      </c>
      <c r="I9" s="20">
        <v>0.39</v>
      </c>
      <c r="J9" s="20">
        <v>0.42</v>
      </c>
      <c r="K9" s="20">
        <v>0.42299999999999999</v>
      </c>
      <c r="L9" s="23">
        <v>0.40300000000000002</v>
      </c>
      <c r="M9" s="20">
        <v>0.45200000000000001</v>
      </c>
      <c r="N9" s="20">
        <v>0.45500000000000002</v>
      </c>
      <c r="O9" s="20">
        <v>0.44700000000000001</v>
      </c>
      <c r="P9" s="20">
        <v>0.441</v>
      </c>
      <c r="Q9" s="23">
        <v>0.44900000000000001</v>
      </c>
      <c r="R9" s="20">
        <v>0.44400000000000001</v>
      </c>
      <c r="S9" s="20">
        <v>0.437</v>
      </c>
      <c r="T9" s="20">
        <v>0.438</v>
      </c>
      <c r="U9" s="20">
        <v>0.442</v>
      </c>
      <c r="V9" s="23"/>
      <c r="W9" s="20">
        <v>0.44900000000000001</v>
      </c>
      <c r="X9" s="20">
        <v>0.44800000000000001</v>
      </c>
      <c r="Y9" s="20"/>
      <c r="Z9" s="20"/>
      <c r="AA9" s="23"/>
    </row>
    <row r="10" spans="2:27" x14ac:dyDescent="0.25">
      <c r="B10" s="2" t="s">
        <v>56</v>
      </c>
      <c r="C10" s="10">
        <v>836</v>
      </c>
      <c r="D10" s="10">
        <v>673</v>
      </c>
      <c r="E10" s="10">
        <v>673</v>
      </c>
      <c r="F10" s="10">
        <v>719</v>
      </c>
      <c r="G10" s="26">
        <f>SUM(C10:F10)</f>
        <v>2901</v>
      </c>
      <c r="H10" s="10">
        <v>777</v>
      </c>
      <c r="I10" s="10">
        <v>947</v>
      </c>
      <c r="J10" s="10">
        <v>1188</v>
      </c>
      <c r="K10" s="10">
        <v>1125</v>
      </c>
      <c r="L10" s="26">
        <f>SUM(H10:K10)</f>
        <v>4037</v>
      </c>
      <c r="M10" s="10">
        <v>1290</v>
      </c>
      <c r="N10" s="10">
        <v>1472</v>
      </c>
      <c r="O10" s="10">
        <v>1386</v>
      </c>
      <c r="P10" s="10">
        <v>1361</v>
      </c>
      <c r="Q10" s="26">
        <f>SUM(M10:P10)</f>
        <v>5509</v>
      </c>
      <c r="R10" s="10">
        <v>1231</v>
      </c>
      <c r="S10" s="10">
        <v>1159</v>
      </c>
      <c r="T10" s="10">
        <v>1260</v>
      </c>
      <c r="U10" s="10">
        <v>1296</v>
      </c>
      <c r="V10" s="26">
        <f>SUM(R10:U10)</f>
        <v>4946</v>
      </c>
      <c r="W10" s="10">
        <v>1193</v>
      </c>
      <c r="X10" s="10">
        <v>1310</v>
      </c>
      <c r="Y10" s="10"/>
      <c r="Z10" s="10"/>
      <c r="AA10" s="26">
        <f>SUM(W10:Z10)</f>
        <v>2503</v>
      </c>
    </row>
    <row r="11" spans="2:27" x14ac:dyDescent="0.25">
      <c r="B11" s="20" t="s">
        <v>131</v>
      </c>
      <c r="C11" s="20"/>
      <c r="D11" s="20"/>
      <c r="E11" s="20"/>
      <c r="F11" s="20"/>
      <c r="G11" s="58">
        <f>G10/G6</f>
        <v>0.11494116248662783</v>
      </c>
      <c r="H11" s="20">
        <v>0.11700000000000001</v>
      </c>
      <c r="I11" s="20">
        <v>0.13700000000000001</v>
      </c>
      <c r="J11" s="20">
        <v>0.16600000000000001</v>
      </c>
      <c r="K11" s="20">
        <v>0.161</v>
      </c>
      <c r="L11" s="58">
        <f>L10/L6</f>
        <v>0.14558765191676584</v>
      </c>
      <c r="M11" s="20">
        <v>0.189</v>
      </c>
      <c r="N11" s="20">
        <v>0.20399999999999999</v>
      </c>
      <c r="O11" s="20">
        <v>0.19400000000000001</v>
      </c>
      <c r="P11" s="20">
        <v>0.183</v>
      </c>
      <c r="Q11" s="58">
        <f>Q10/Q6</f>
        <v>0.19262911290604567</v>
      </c>
      <c r="R11" s="20">
        <v>0.17699999999999999</v>
      </c>
      <c r="S11" s="20">
        <v>0.17199999999999999</v>
      </c>
      <c r="T11" s="20">
        <v>0.183</v>
      </c>
      <c r="U11" s="20">
        <v>0.161</v>
      </c>
      <c r="V11" s="58">
        <f>V10/V6</f>
        <v>0.18006407455948739</v>
      </c>
      <c r="W11" s="20">
        <v>0.184</v>
      </c>
      <c r="X11" s="20">
        <v>0.189</v>
      </c>
      <c r="Y11" s="20"/>
      <c r="Z11" s="20"/>
      <c r="AA11" s="58" t="e">
        <f>AA10/AA6</f>
        <v>#DIV/0!</v>
      </c>
    </row>
    <row r="12" spans="2:27" ht="20" thickBot="1" x14ac:dyDescent="0.3">
      <c r="B12" s="21" t="s">
        <v>146</v>
      </c>
      <c r="C12" s="21"/>
      <c r="D12" s="21"/>
      <c r="E12" s="21"/>
      <c r="F12" s="21"/>
      <c r="G12" s="25"/>
      <c r="H12" s="21"/>
      <c r="I12" s="21"/>
      <c r="J12" s="21"/>
      <c r="K12" s="21"/>
      <c r="L12" s="25"/>
      <c r="M12" s="21">
        <v>0.154</v>
      </c>
      <c r="N12" s="21">
        <v>0.17199999999999999</v>
      </c>
      <c r="O12" s="21">
        <v>0.16500000000000001</v>
      </c>
      <c r="P12" s="21">
        <v>0.161</v>
      </c>
      <c r="Q12" s="25"/>
      <c r="R12" s="21">
        <v>0.14699999999999999</v>
      </c>
      <c r="S12" s="21">
        <v>0.14099999999999999</v>
      </c>
      <c r="T12" s="21">
        <v>0.153</v>
      </c>
      <c r="U12" s="21">
        <v>0.161</v>
      </c>
      <c r="V12" s="25"/>
      <c r="W12" s="21">
        <v>0.14899999999999999</v>
      </c>
      <c r="X12" s="21">
        <v>0.16</v>
      </c>
      <c r="Y12" s="21"/>
      <c r="Z12" s="21"/>
      <c r="AA12" s="25"/>
    </row>
    <row r="13" spans="2:27" x14ac:dyDescent="0.25">
      <c r="B13" s="1" t="s">
        <v>180</v>
      </c>
      <c r="G13" s="49"/>
      <c r="L13" s="49"/>
      <c r="Q13" s="49"/>
      <c r="V13" s="49"/>
      <c r="AA13" s="49"/>
    </row>
    <row r="14" spans="2:27" s="10" customFormat="1" x14ac:dyDescent="0.25">
      <c r="B14" s="10" t="s">
        <v>51</v>
      </c>
      <c r="G14" s="52"/>
      <c r="L14" s="52">
        <f>SUM(H14:K14)</f>
        <v>0</v>
      </c>
      <c r="M14" s="10">
        <v>8090</v>
      </c>
      <c r="N14" s="10">
        <v>8422</v>
      </c>
      <c r="O14" s="10">
        <v>8083</v>
      </c>
      <c r="P14" s="10">
        <v>8411</v>
      </c>
      <c r="Q14" s="52">
        <f>SUM(M14:P14)</f>
        <v>33006</v>
      </c>
      <c r="R14" s="10">
        <v>7984</v>
      </c>
      <c r="S14" s="10">
        <v>7763</v>
      </c>
      <c r="T14" s="10">
        <v>7927</v>
      </c>
      <c r="U14" s="10">
        <v>7884</v>
      </c>
      <c r="V14" s="26">
        <f>SUM(R14:U14)</f>
        <v>31558</v>
      </c>
      <c r="W14" s="10">
        <v>8180</v>
      </c>
      <c r="X14" s="10">
        <v>8815</v>
      </c>
      <c r="AA14" s="26">
        <f>SUM(W14:Z14)</f>
        <v>16995</v>
      </c>
    </row>
    <row r="15" spans="2:27" x14ac:dyDescent="0.25">
      <c r="B15" s="20" t="s">
        <v>135</v>
      </c>
      <c r="G15" s="23"/>
      <c r="H15" s="20" t="e">
        <f t="shared" ref="H15" si="4">(H14-C14)/C14</f>
        <v>#DIV/0!</v>
      </c>
      <c r="I15" s="20" t="e">
        <f t="shared" ref="I15" si="5">(I14-D14)/D14</f>
        <v>#DIV/0!</v>
      </c>
      <c r="J15" s="20" t="e">
        <f t="shared" ref="J15" si="6">(J14-E14)/E14</f>
        <v>#DIV/0!</v>
      </c>
      <c r="K15" s="20" t="e">
        <f t="shared" ref="K15" si="7">(K14-F14)/F14</f>
        <v>#DIV/0!</v>
      </c>
      <c r="L15" s="23" t="e">
        <f>(L14-G14)/G14</f>
        <v>#DIV/0!</v>
      </c>
      <c r="M15" s="20" t="e">
        <f t="shared" ref="M15" si="8">(M14-H14)/H14</f>
        <v>#DIV/0!</v>
      </c>
      <c r="N15" s="20" t="e">
        <f t="shared" ref="N15" si="9">(N14-I14)/I14</f>
        <v>#DIV/0!</v>
      </c>
      <c r="O15" s="20" t="e">
        <f t="shared" ref="O15" si="10">(O14-J14)/J14</f>
        <v>#DIV/0!</v>
      </c>
      <c r="P15" s="20" t="e">
        <f t="shared" ref="P15" si="11">(P14-K14)/K14</f>
        <v>#DIV/0!</v>
      </c>
      <c r="Q15" s="23" t="e">
        <f>(Q14-L14)/L14</f>
        <v>#DIV/0!</v>
      </c>
      <c r="R15" s="20">
        <f t="shared" ref="R15" si="12">(R14-M14)/M14</f>
        <v>-1.3102595797280594E-2</v>
      </c>
      <c r="S15" s="20">
        <f t="shared" ref="S15" si="13">(S14-N14)/N14</f>
        <v>-7.8247447162194256E-2</v>
      </c>
      <c r="T15" s="20">
        <f t="shared" ref="T15" si="14">(T14-O14)/O14</f>
        <v>-1.9299764938760362E-2</v>
      </c>
      <c r="U15" s="20">
        <f>(U14-P14)/P14</f>
        <v>-6.2656045654500059E-2</v>
      </c>
      <c r="V15" s="23">
        <f>(V14-Q14)/Q14</f>
        <v>-4.387081136763013E-2</v>
      </c>
      <c r="W15" s="20">
        <f t="shared" ref="W15" si="15">(W14-R14)/R14</f>
        <v>2.4549098196392786E-2</v>
      </c>
      <c r="X15" s="20">
        <f t="shared" ref="X15" si="16">(X14-S14)/S14</f>
        <v>0.13551462063635192</v>
      </c>
      <c r="Y15" s="20">
        <f t="shared" ref="Y15" si="17">(Y14-T14)/T14</f>
        <v>-1</v>
      </c>
      <c r="Z15" s="20">
        <f>(Z14-U14)/U14</f>
        <v>-1</v>
      </c>
      <c r="AA15" s="23">
        <f>(AA14-V14)/V14</f>
        <v>-0.46146777362317004</v>
      </c>
    </row>
    <row r="16" spans="2:27" s="20" customFormat="1" x14ac:dyDescent="0.25">
      <c r="B16" s="20" t="s">
        <v>130</v>
      </c>
      <c r="G16" s="50"/>
      <c r="L16" s="50"/>
      <c r="M16" s="20">
        <v>2.3E-2</v>
      </c>
      <c r="N16" s="20">
        <v>3.6999999999999998E-2</v>
      </c>
      <c r="O16" s="20">
        <v>4.3999999999999997E-2</v>
      </c>
      <c r="P16" s="20">
        <v>4.8000000000000001E-2</v>
      </c>
      <c r="Q16" s="50"/>
      <c r="R16" s="20">
        <v>0.03</v>
      </c>
      <c r="S16" s="20">
        <v>3.5999999999999997E-2</v>
      </c>
      <c r="T16" s="20">
        <v>4.4999999999999998E-2</v>
      </c>
      <c r="U16" s="20">
        <v>1.4999999999999999E-2</v>
      </c>
      <c r="V16" s="23"/>
      <c r="W16" s="20">
        <v>4.1000000000000002E-2</v>
      </c>
      <c r="X16" s="20">
        <v>3.7999999999999999E-2</v>
      </c>
      <c r="AA16" s="23"/>
    </row>
    <row r="17" spans="2:28" s="20" customFormat="1" x14ac:dyDescent="0.25">
      <c r="B17" s="20" t="s">
        <v>132</v>
      </c>
      <c r="G17" s="50"/>
      <c r="L17" s="50"/>
      <c r="Q17" s="50"/>
      <c r="R17" s="20">
        <v>0.42299999999999999</v>
      </c>
      <c r="V17" s="23"/>
      <c r="W17" s="20">
        <v>0.42499999999999999</v>
      </c>
      <c r="X17" s="20">
        <v>0.39900000000000002</v>
      </c>
      <c r="AA17" s="23"/>
    </row>
    <row r="18" spans="2:28" s="10" customFormat="1" x14ac:dyDescent="0.25">
      <c r="B18" s="10" t="s">
        <v>56</v>
      </c>
      <c r="G18" s="52"/>
      <c r="L18" s="52">
        <f>SUM(H18:K18)</f>
        <v>0</v>
      </c>
      <c r="M18" s="10">
        <v>1214</v>
      </c>
      <c r="N18" s="10">
        <v>1349</v>
      </c>
      <c r="O18" s="10">
        <v>1261</v>
      </c>
      <c r="P18" s="10">
        <v>1221</v>
      </c>
      <c r="Q18" s="52">
        <f>SUM(M18:P18)</f>
        <v>5045</v>
      </c>
      <c r="R18" s="10">
        <v>1198</v>
      </c>
      <c r="S18" s="10">
        <v>1120</v>
      </c>
      <c r="T18" s="10">
        <v>1110</v>
      </c>
      <c r="U18" s="10">
        <v>990</v>
      </c>
      <c r="V18" s="26">
        <f>SUM(R18:U18)</f>
        <v>4418</v>
      </c>
      <c r="W18" s="10">
        <v>1262</v>
      </c>
      <c r="X18" s="10">
        <v>1131</v>
      </c>
      <c r="AA18" s="26">
        <f>SUM(W18:Z18)</f>
        <v>2393</v>
      </c>
      <c r="AB18" s="2"/>
    </row>
    <row r="19" spans="2:28" s="20" customFormat="1" x14ac:dyDescent="0.25">
      <c r="B19" s="20" t="s">
        <v>131</v>
      </c>
      <c r="G19" s="50"/>
      <c r="L19" s="50" t="e">
        <f>L18/L14</f>
        <v>#DIV/0!</v>
      </c>
      <c r="M19" s="20">
        <v>0.15</v>
      </c>
      <c r="N19" s="20">
        <v>0.16</v>
      </c>
      <c r="O19" s="20">
        <v>0.156</v>
      </c>
      <c r="P19" s="20">
        <v>0.14499999999999999</v>
      </c>
      <c r="Q19" s="50">
        <f>Q18/Q14</f>
        <v>0.1528509967884627</v>
      </c>
      <c r="R19" s="20">
        <v>0.15</v>
      </c>
      <c r="S19" s="20">
        <v>0.14399999999999999</v>
      </c>
      <c r="T19" s="20">
        <v>0.14000000000000001</v>
      </c>
      <c r="U19" s="20">
        <v>0.126</v>
      </c>
      <c r="V19" s="58">
        <f>V18/V14</f>
        <v>0.13999619747766018</v>
      </c>
      <c r="W19" s="20">
        <v>0.154</v>
      </c>
      <c r="X19" s="20">
        <v>0.128</v>
      </c>
      <c r="AA19" s="58">
        <f>AA18/AA14</f>
        <v>0.14080611944689614</v>
      </c>
    </row>
    <row r="20" spans="2:28" s="20" customFormat="1" ht="20" thickBot="1" x14ac:dyDescent="0.3">
      <c r="B20" s="21" t="s">
        <v>146</v>
      </c>
      <c r="C20" s="21"/>
      <c r="D20" s="21"/>
      <c r="E20" s="21"/>
      <c r="F20" s="21"/>
      <c r="G20" s="25"/>
      <c r="H20" s="21"/>
      <c r="I20" s="21"/>
      <c r="J20" s="21"/>
      <c r="K20" s="21"/>
      <c r="L20" s="25"/>
      <c r="M20" s="21">
        <v>0.27100000000000002</v>
      </c>
      <c r="N20" s="21">
        <v>0.29299999999999998</v>
      </c>
      <c r="O20" s="21">
        <v>0.28399999999999997</v>
      </c>
      <c r="P20" s="21">
        <v>0.27300000000000002</v>
      </c>
      <c r="Q20" s="25"/>
      <c r="R20" s="21">
        <v>0.26200000000000001</v>
      </c>
      <c r="S20" s="21">
        <v>0.247</v>
      </c>
      <c r="T20" s="21">
        <v>0.24</v>
      </c>
      <c r="U20" s="21">
        <v>0.215</v>
      </c>
      <c r="V20" s="25"/>
      <c r="W20" s="21">
        <v>0.247</v>
      </c>
      <c r="X20" s="21">
        <v>0.19800000000000001</v>
      </c>
      <c r="Y20" s="21"/>
      <c r="Z20" s="21"/>
      <c r="AA20" s="25"/>
    </row>
    <row r="21" spans="2:28" x14ac:dyDescent="0.25">
      <c r="B21" s="1" t="s">
        <v>181</v>
      </c>
      <c r="G21" s="48"/>
      <c r="L21" s="48"/>
      <c r="Q21" s="48"/>
      <c r="V21" s="48"/>
      <c r="AA21" s="48"/>
    </row>
    <row r="22" spans="2:28" s="10" customFormat="1" x14ac:dyDescent="0.25">
      <c r="B22" s="53" t="s">
        <v>51</v>
      </c>
      <c r="G22" s="52"/>
      <c r="L22" s="52">
        <f>SUM(H22:K22)</f>
        <v>0</v>
      </c>
      <c r="M22" s="10">
        <v>11248</v>
      </c>
      <c r="N22" s="10">
        <v>11250</v>
      </c>
      <c r="O22" s="10">
        <v>11327</v>
      </c>
      <c r="P22" s="10">
        <v>12061</v>
      </c>
      <c r="Q22" s="52">
        <f>SUM(M22:P22)</f>
        <v>45886</v>
      </c>
      <c r="R22" s="10">
        <v>11301</v>
      </c>
      <c r="S22" s="10">
        <v>10671</v>
      </c>
      <c r="T22" s="10">
        <v>10656</v>
      </c>
      <c r="U22" s="10">
        <v>10909</v>
      </c>
      <c r="V22" s="26">
        <f>SUM(R22:U22)</f>
        <v>43537</v>
      </c>
      <c r="W22" s="10">
        <v>10356</v>
      </c>
      <c r="X22" s="10">
        <v>10202</v>
      </c>
      <c r="AA22" s="26">
        <f>SUM(W22:Z22)</f>
        <v>20558</v>
      </c>
    </row>
    <row r="23" spans="2:28" x14ac:dyDescent="0.25">
      <c r="B23" s="46" t="s">
        <v>135</v>
      </c>
      <c r="G23" s="49"/>
      <c r="H23" s="20" t="e">
        <f t="shared" ref="H23" si="18">(H22-C22)/C22</f>
        <v>#DIV/0!</v>
      </c>
      <c r="I23" s="20" t="e">
        <f t="shared" ref="I23" si="19">(I22-D22)/D22</f>
        <v>#DIV/0!</v>
      </c>
      <c r="J23" s="20" t="e">
        <f t="shared" ref="J23" si="20">(J22-E22)/E22</f>
        <v>#DIV/0!</v>
      </c>
      <c r="K23" s="20" t="e">
        <f t="shared" ref="K23" si="21">(K22-F22)/F22</f>
        <v>#DIV/0!</v>
      </c>
      <c r="L23" s="23" t="e">
        <f>(L22-G22)/G22</f>
        <v>#DIV/0!</v>
      </c>
      <c r="M23" s="20" t="e">
        <f t="shared" ref="M23" si="22">(M22-H22)/H22</f>
        <v>#DIV/0!</v>
      </c>
      <c r="N23" s="20" t="e">
        <f t="shared" ref="N23" si="23">(N22-I22)/I22</f>
        <v>#DIV/0!</v>
      </c>
      <c r="O23" s="20" t="e">
        <f t="shared" ref="O23" si="24">(O22-J22)/J22</f>
        <v>#DIV/0!</v>
      </c>
      <c r="P23" s="20" t="e">
        <f t="shared" ref="P23" si="25">(P22-K22)/K22</f>
        <v>#DIV/0!</v>
      </c>
      <c r="Q23" s="23" t="e">
        <f>(Q22-L22)/L22</f>
        <v>#DIV/0!</v>
      </c>
      <c r="R23" s="20">
        <f t="shared" ref="R23" si="26">(R22-M22)/M22</f>
        <v>4.711948790896159E-3</v>
      </c>
      <c r="S23" s="20">
        <f t="shared" ref="S23" si="27">(S22-N22)/N22</f>
        <v>-5.1466666666666668E-2</v>
      </c>
      <c r="T23" s="20">
        <f t="shared" ref="T23" si="28">(T22-O22)/O22</f>
        <v>-5.9238986492451663E-2</v>
      </c>
      <c r="U23" s="20">
        <f>(U22-P22)/P22</f>
        <v>-9.5514468120388024E-2</v>
      </c>
      <c r="V23" s="23">
        <f>(V22-Q22)/Q22</f>
        <v>-5.1192084731726449E-2</v>
      </c>
      <c r="W23" s="20">
        <f t="shared" ref="W23" si="29">(W22-R22)/R22</f>
        <v>-8.362091850278737E-2</v>
      </c>
      <c r="X23" s="20">
        <f t="shared" ref="X23" si="30">(X22-S22)/S22</f>
        <v>-4.3950894948926997E-2</v>
      </c>
      <c r="Y23" s="20">
        <f t="shared" ref="Y23" si="31">(Y22-T22)/T22</f>
        <v>-1</v>
      </c>
      <c r="Z23" s="20">
        <f>(Z22-U22)/U22</f>
        <v>-1</v>
      </c>
      <c r="AA23" s="23">
        <f>(AA22-V22)/V22</f>
        <v>-0.52780393688127336</v>
      </c>
    </row>
    <row r="24" spans="2:28" s="20" customFormat="1" x14ac:dyDescent="0.25">
      <c r="B24" s="46" t="s">
        <v>130</v>
      </c>
      <c r="G24" s="50"/>
      <c r="L24" s="50"/>
      <c r="M24" s="20">
        <v>-0.09</v>
      </c>
      <c r="N24" s="20">
        <v>-4.7E-2</v>
      </c>
      <c r="O24" s="20">
        <v>0.02</v>
      </c>
      <c r="P24" s="20">
        <v>4.2999999999999997E-2</v>
      </c>
      <c r="Q24" s="50"/>
      <c r="R24" s="20">
        <v>2.7E-2</v>
      </c>
      <c r="S24" s="20">
        <v>2.9000000000000001E-2</v>
      </c>
      <c r="T24" s="20">
        <v>-1.9E-2</v>
      </c>
      <c r="U24" s="20">
        <v>-4.3999999999999997E-2</v>
      </c>
      <c r="V24" s="23"/>
      <c r="W24" s="20">
        <v>-3.5000000000000003E-2</v>
      </c>
      <c r="X24" s="20">
        <v>-5.2999999999999999E-2</v>
      </c>
      <c r="AA24" s="23"/>
    </row>
    <row r="25" spans="2:28" s="20" customFormat="1" x14ac:dyDescent="0.25">
      <c r="B25" s="46" t="s">
        <v>132</v>
      </c>
      <c r="G25" s="50"/>
      <c r="L25" s="50"/>
      <c r="Q25" s="50"/>
      <c r="R25" s="20">
        <v>0.20499999999999999</v>
      </c>
      <c r="V25" s="23"/>
      <c r="W25" s="20">
        <v>0.20699999999999999</v>
      </c>
      <c r="X25" s="20">
        <v>0.19400000000000001</v>
      </c>
      <c r="AA25" s="23"/>
    </row>
    <row r="26" spans="2:28" s="10" customFormat="1" x14ac:dyDescent="0.25">
      <c r="B26" s="53" t="s">
        <v>56</v>
      </c>
      <c r="G26" s="52"/>
      <c r="L26" s="52">
        <f>SUM(H26:K26)</f>
        <v>0</v>
      </c>
      <c r="M26" s="10">
        <v>1331</v>
      </c>
      <c r="N26" s="10">
        <v>1085</v>
      </c>
      <c r="O26" s="10">
        <v>1024</v>
      </c>
      <c r="P26" s="10">
        <v>1024</v>
      </c>
      <c r="Q26" s="52">
        <f>SUM(M26:P26)</f>
        <v>4464</v>
      </c>
      <c r="R26" s="10">
        <v>1245</v>
      </c>
      <c r="S26" s="10">
        <v>1248</v>
      </c>
      <c r="T26" s="10">
        <v>1252</v>
      </c>
      <c r="U26" s="10">
        <v>1442</v>
      </c>
      <c r="V26" s="26">
        <f>SUM(R26:U26)</f>
        <v>5187</v>
      </c>
      <c r="W26" s="10">
        <v>1112</v>
      </c>
      <c r="X26" s="10">
        <v>988</v>
      </c>
      <c r="AA26" s="26">
        <f>SUM(W26:Z26)</f>
        <v>2100</v>
      </c>
      <c r="AB26" s="2"/>
    </row>
    <row r="27" spans="2:28" s="20" customFormat="1" x14ac:dyDescent="0.25">
      <c r="B27" s="46" t="s">
        <v>131</v>
      </c>
      <c r="G27" s="50"/>
      <c r="L27" s="50" t="e">
        <f>L26/L22</f>
        <v>#DIV/0!</v>
      </c>
      <c r="M27" s="20">
        <v>0.11799999999999999</v>
      </c>
      <c r="N27" s="20">
        <v>9.6000000000000002E-2</v>
      </c>
      <c r="O27" s="20">
        <v>0.09</v>
      </c>
      <c r="P27" s="20">
        <v>8.5000000000000006E-2</v>
      </c>
      <c r="Q27" s="50">
        <f>Q26/Q22</f>
        <v>9.7284574815847971E-2</v>
      </c>
      <c r="R27" s="20">
        <v>0.11</v>
      </c>
      <c r="S27" s="20">
        <v>0.11700000000000001</v>
      </c>
      <c r="T27" s="20">
        <v>0.11700000000000001</v>
      </c>
      <c r="U27" s="20">
        <v>0.13200000000000001</v>
      </c>
      <c r="V27" s="58">
        <f>V26/V22</f>
        <v>0.11914004180352344</v>
      </c>
      <c r="W27" s="20">
        <v>0.107</v>
      </c>
      <c r="X27" s="20">
        <v>9.7000000000000003E-2</v>
      </c>
      <c r="AA27" s="58">
        <f>AA26/AA22</f>
        <v>0.10215001459285923</v>
      </c>
    </row>
    <row r="28" spans="2:28" ht="20" thickBot="1" x14ac:dyDescent="0.3">
      <c r="B28" s="47" t="s">
        <v>146</v>
      </c>
      <c r="C28" s="21"/>
      <c r="D28" s="21"/>
      <c r="E28" s="21"/>
      <c r="F28" s="21"/>
      <c r="G28" s="51"/>
      <c r="H28" s="21"/>
      <c r="I28" s="21"/>
      <c r="J28" s="21"/>
      <c r="K28" s="21"/>
      <c r="L28" s="51"/>
      <c r="M28" s="21">
        <v>0.15</v>
      </c>
      <c r="N28" s="21">
        <v>0.12</v>
      </c>
      <c r="O28" s="21">
        <v>0.115</v>
      </c>
      <c r="P28" s="21">
        <v>0.114</v>
      </c>
      <c r="Q28" s="51"/>
      <c r="R28" s="21">
        <v>0.14099999999999999</v>
      </c>
      <c r="S28" s="21">
        <v>0.14299999999999999</v>
      </c>
      <c r="T28" s="21">
        <v>0.14099999999999999</v>
      </c>
      <c r="U28" s="21">
        <v>0.16400000000000001</v>
      </c>
      <c r="V28" s="25"/>
      <c r="W28" s="21">
        <v>0.128</v>
      </c>
      <c r="X28" s="21">
        <v>0.111</v>
      </c>
      <c r="Y28" s="21"/>
      <c r="Z28" s="21"/>
      <c r="AA28" s="25"/>
    </row>
    <row r="29" spans="2:28" x14ac:dyDescent="0.25">
      <c r="B29" s="1" t="s">
        <v>134</v>
      </c>
      <c r="G29" s="22"/>
      <c r="L29" s="22"/>
      <c r="Q29" s="22"/>
      <c r="V29" s="22"/>
      <c r="AA29" s="22"/>
    </row>
    <row r="30" spans="2:28" x14ac:dyDescent="0.25">
      <c r="B30" s="2" t="s">
        <v>51</v>
      </c>
      <c r="G30" s="26">
        <v>36114</v>
      </c>
      <c r="H30" s="10">
        <v>9422</v>
      </c>
      <c r="I30" s="10">
        <v>10123</v>
      </c>
      <c r="J30" s="10">
        <v>10184</v>
      </c>
      <c r="K30" s="10">
        <v>9752</v>
      </c>
      <c r="L30" s="26">
        <f>SUM(H30:K30)</f>
        <v>39481</v>
      </c>
      <c r="M30" s="10">
        <v>8686</v>
      </c>
      <c r="N30" s="10">
        <v>9729</v>
      </c>
      <c r="O30" s="10">
        <v>9729</v>
      </c>
      <c r="P30" s="10">
        <v>9923</v>
      </c>
      <c r="Q30" s="26">
        <f>SUM(M30:P30)</f>
        <v>38067</v>
      </c>
      <c r="R30" s="10">
        <v>8757</v>
      </c>
      <c r="S30" s="10">
        <v>9003</v>
      </c>
      <c r="T30" s="10">
        <v>9183</v>
      </c>
      <c r="U30" s="10">
        <v>8961</v>
      </c>
      <c r="V30" s="26">
        <f>SUM(R30:U30)</f>
        <v>35904</v>
      </c>
      <c r="W30" s="10">
        <v>8139</v>
      </c>
      <c r="X30" s="10">
        <v>9127</v>
      </c>
      <c r="Y30" s="10"/>
      <c r="Z30" s="10"/>
      <c r="AA30" s="26">
        <f>SUM(W30:Z30)</f>
        <v>17266</v>
      </c>
    </row>
    <row r="31" spans="2:28" x14ac:dyDescent="0.25">
      <c r="B31" s="7" t="s">
        <v>135</v>
      </c>
      <c r="G31" s="23">
        <v>0.25</v>
      </c>
      <c r="H31" s="20" t="e">
        <f t="shared" ref="H31" si="32">(H30-C30)/C30</f>
        <v>#DIV/0!</v>
      </c>
      <c r="I31" s="20" t="e">
        <f t="shared" ref="I31" si="33">(I30-D30)/D30</f>
        <v>#DIV/0!</v>
      </c>
      <c r="J31" s="20" t="e">
        <f t="shared" ref="J31" si="34">(J30-E30)/E30</f>
        <v>#DIV/0!</v>
      </c>
      <c r="K31" s="20" t="e">
        <f t="shared" ref="K31" si="35">(K30-F30)/F30</f>
        <v>#DIV/0!</v>
      </c>
      <c r="L31" s="23">
        <f>(L30-G30)/G30</f>
        <v>9.3232541396688268E-2</v>
      </c>
      <c r="M31" s="20">
        <f t="shared" ref="M31" si="36">(M30-H30)/H30</f>
        <v>-7.8115049883251964E-2</v>
      </c>
      <c r="N31" s="20">
        <f t="shared" ref="N31" si="37">(N30-I30)/I30</f>
        <v>-3.8921268398696036E-2</v>
      </c>
      <c r="O31" s="20">
        <f t="shared" ref="O31" si="38">(O30-J30)/J30</f>
        <v>-4.4677926158680284E-2</v>
      </c>
      <c r="P31" s="20">
        <f t="shared" ref="P31" si="39">(P30-K30)/K30</f>
        <v>1.7534864643150124E-2</v>
      </c>
      <c r="Q31" s="23">
        <f>(Q30-L30)/L30</f>
        <v>-3.5814695676401304E-2</v>
      </c>
      <c r="R31" s="20">
        <f t="shared" ref="R31" si="40">(R30-M30)/M30</f>
        <v>8.1740732212756163E-3</v>
      </c>
      <c r="S31" s="20">
        <f t="shared" ref="S31" si="41">(S30-N30)/N30</f>
        <v>-7.4622263336416902E-2</v>
      </c>
      <c r="T31" s="20">
        <f t="shared" ref="T31" si="42">(T30-O30)/O30</f>
        <v>-5.6120875732346594E-2</v>
      </c>
      <c r="U31" s="20">
        <f>(U30-P30)/P30</f>
        <v>-9.6946487957270983E-2</v>
      </c>
      <c r="V31" s="23">
        <f>(V30-Q30)/Q30</f>
        <v>-5.6820868468752464E-2</v>
      </c>
      <c r="W31" s="20">
        <f t="shared" ref="W31" si="43">(W30-R30)/R30</f>
        <v>-7.0572113737581363E-2</v>
      </c>
      <c r="X31" s="20">
        <f t="shared" ref="X31" si="44">(X30-S30)/S30</f>
        <v>1.3773186715539265E-2</v>
      </c>
      <c r="Y31" s="20">
        <f t="shared" ref="Y31" si="45">(Y30-T30)/T30</f>
        <v>-1</v>
      </c>
      <c r="Z31" s="20">
        <f>(Z30-U30)/U30</f>
        <v>-1</v>
      </c>
      <c r="AA31" s="23">
        <f>(AA30-V30)/V30</f>
        <v>-0.51910650623885923</v>
      </c>
    </row>
    <row r="32" spans="2:28" x14ac:dyDescent="0.25">
      <c r="B32" s="20" t="s">
        <v>130</v>
      </c>
      <c r="C32" s="20"/>
      <c r="D32" s="20"/>
      <c r="E32" s="20"/>
      <c r="F32" s="20"/>
      <c r="G32" s="23">
        <v>0.22900000000000001</v>
      </c>
      <c r="H32" s="20">
        <v>0.22600000000000001</v>
      </c>
      <c r="I32" s="20">
        <v>0.11700000000000001</v>
      </c>
      <c r="J32" s="20">
        <v>5.7000000000000002E-2</v>
      </c>
      <c r="K32" s="20">
        <v>1E-3</v>
      </c>
      <c r="L32" s="23">
        <v>9.0999999999999998E-2</v>
      </c>
      <c r="M32" s="20">
        <v>-6.9000000000000006E-2</v>
      </c>
      <c r="N32" s="20">
        <v>-3.9E-2</v>
      </c>
      <c r="O32" s="20">
        <v>-8.0000000000000002E-3</v>
      </c>
      <c r="P32" s="20">
        <v>1.4E-2</v>
      </c>
      <c r="Q32" s="23">
        <v>-2.5000000000000001E-2</v>
      </c>
      <c r="R32" s="20">
        <v>7.0000000000000001E-3</v>
      </c>
      <c r="S32" s="20">
        <v>6.0000000000000001E-3</v>
      </c>
      <c r="T32" s="20">
        <v>7.0000000000000001E-3</v>
      </c>
      <c r="U32" s="20">
        <v>-8.0000000000000002E-3</v>
      </c>
      <c r="V32" s="23"/>
      <c r="W32" s="20">
        <v>1.9E-2</v>
      </c>
      <c r="X32" s="20">
        <v>2.1000000000000001E-2</v>
      </c>
      <c r="Y32" s="20"/>
      <c r="Z32" s="20"/>
      <c r="AA32" s="23"/>
    </row>
    <row r="33" spans="2:27" x14ac:dyDescent="0.25">
      <c r="B33" s="20" t="s">
        <v>132</v>
      </c>
      <c r="C33" s="20"/>
      <c r="D33" s="20"/>
      <c r="E33" s="20"/>
      <c r="F33" s="20"/>
      <c r="G33" s="23">
        <v>0.23100000000000001</v>
      </c>
      <c r="H33" s="20">
        <v>0.26300000000000001</v>
      </c>
      <c r="I33" s="20">
        <v>0.28100000000000003</v>
      </c>
      <c r="J33" s="20">
        <v>0.30199999999999999</v>
      </c>
      <c r="K33" s="20">
        <v>0.30499999999999999</v>
      </c>
      <c r="L33" s="23">
        <v>0.28799999999999998</v>
      </c>
      <c r="M33" s="20">
        <v>0.29899999999999999</v>
      </c>
      <c r="N33" s="20">
        <v>0.32500000000000001</v>
      </c>
      <c r="O33" s="20">
        <v>0.318</v>
      </c>
      <c r="P33" s="20">
        <v>0.32200000000000001</v>
      </c>
      <c r="Q33" s="23">
        <v>0.317</v>
      </c>
      <c r="R33" s="20">
        <v>0.31</v>
      </c>
      <c r="S33" s="20">
        <v>0.317</v>
      </c>
      <c r="T33" s="20">
        <v>0.32500000000000001</v>
      </c>
      <c r="U33" s="20">
        <v>0.34</v>
      </c>
      <c r="V33" s="23"/>
      <c r="W33" s="20">
        <v>0.313</v>
      </c>
      <c r="X33" s="20">
        <v>0.312</v>
      </c>
      <c r="Y33" s="20"/>
      <c r="Z33" s="20"/>
      <c r="AA33" s="23"/>
    </row>
    <row r="34" spans="2:27" x14ac:dyDescent="0.25">
      <c r="B34" s="10" t="s">
        <v>56</v>
      </c>
      <c r="C34" s="10">
        <v>563</v>
      </c>
      <c r="D34" s="10">
        <v>916</v>
      </c>
      <c r="E34" s="10">
        <v>1096</v>
      </c>
      <c r="F34" s="10">
        <v>1405</v>
      </c>
      <c r="G34" s="26">
        <f>SUM(C34:F34)</f>
        <v>3980</v>
      </c>
      <c r="H34" s="10">
        <v>1288</v>
      </c>
      <c r="I34" s="10">
        <v>1582</v>
      </c>
      <c r="J34" s="10">
        <v>1887</v>
      </c>
      <c r="K34" s="10">
        <v>1531</v>
      </c>
      <c r="L34" s="26">
        <f>SUM(H34:K34)</f>
        <v>6288</v>
      </c>
      <c r="M34" s="10">
        <v>1332</v>
      </c>
      <c r="N34" s="10">
        <v>1868</v>
      </c>
      <c r="O34" s="10">
        <v>1812</v>
      </c>
      <c r="P34" s="10">
        <v>1817</v>
      </c>
      <c r="Q34" s="26">
        <f>SUM(M34:P34)</f>
        <v>6829</v>
      </c>
      <c r="R34" s="10">
        <v>1413</v>
      </c>
      <c r="S34" s="10">
        <v>1525</v>
      </c>
      <c r="T34" s="10">
        <v>1676</v>
      </c>
      <c r="U34" s="10">
        <v>1750</v>
      </c>
      <c r="V34" s="26">
        <f>SUM(R34:U34)</f>
        <v>6364</v>
      </c>
      <c r="W34" s="10">
        <v>1311</v>
      </c>
      <c r="X34" s="10">
        <v>1573</v>
      </c>
      <c r="Y34" s="10"/>
      <c r="Z34" s="10"/>
      <c r="AA34" s="26">
        <f>SUM(W34:Z34)</f>
        <v>2884</v>
      </c>
    </row>
    <row r="35" spans="2:27" x14ac:dyDescent="0.25">
      <c r="B35" s="20" t="s">
        <v>131</v>
      </c>
      <c r="C35" s="20"/>
      <c r="D35" s="20"/>
      <c r="E35" s="20"/>
      <c r="F35" s="20"/>
      <c r="G35" s="58">
        <f>G34/G30</f>
        <v>0.11020656808993742</v>
      </c>
      <c r="H35" s="20">
        <v>0.13700000000000001</v>
      </c>
      <c r="I35" s="20">
        <v>0.156</v>
      </c>
      <c r="J35" s="20">
        <v>0.185</v>
      </c>
      <c r="K35" s="20">
        <v>0.157</v>
      </c>
      <c r="L35" s="58">
        <f>L34/L30</f>
        <v>0.15926648261188928</v>
      </c>
      <c r="M35" s="20">
        <v>0.153</v>
      </c>
      <c r="N35" s="20">
        <v>0.192</v>
      </c>
      <c r="O35" s="20">
        <v>0.186</v>
      </c>
      <c r="P35" s="20">
        <v>0.183</v>
      </c>
      <c r="Q35" s="58">
        <f>Q34/Q30</f>
        <v>0.17939422597000027</v>
      </c>
      <c r="R35" s="20">
        <v>0.161</v>
      </c>
      <c r="S35" s="20">
        <v>0.16900000000000001</v>
      </c>
      <c r="T35" s="20">
        <v>0.183</v>
      </c>
      <c r="U35" s="20">
        <v>0.19500000000000001</v>
      </c>
      <c r="V35" s="58">
        <f>V34/V30</f>
        <v>0.17725044563279857</v>
      </c>
      <c r="W35" s="20">
        <v>0.161</v>
      </c>
      <c r="X35" s="20">
        <v>0.17199999999999999</v>
      </c>
      <c r="Y35" s="20"/>
      <c r="Z35" s="20"/>
      <c r="AA35" s="58">
        <f>AA34/AA30</f>
        <v>0.16703347619599213</v>
      </c>
    </row>
    <row r="36" spans="2:27" s="20" customFormat="1" ht="20" thickBot="1" x14ac:dyDescent="0.3">
      <c r="B36" s="21" t="s">
        <v>146</v>
      </c>
      <c r="C36" s="21"/>
      <c r="D36" s="21"/>
      <c r="E36" s="21"/>
      <c r="F36" s="21"/>
      <c r="G36" s="51"/>
      <c r="H36" s="21"/>
      <c r="I36" s="21"/>
      <c r="J36" s="21"/>
      <c r="K36" s="21"/>
      <c r="L36" s="51"/>
      <c r="M36" s="21">
        <v>0.214</v>
      </c>
      <c r="N36" s="21">
        <v>0.28899999999999998</v>
      </c>
      <c r="O36" s="21">
        <v>0.28699999999999998</v>
      </c>
      <c r="P36" s="21">
        <v>0.28799999999999998</v>
      </c>
      <c r="Q36" s="51"/>
      <c r="R36" s="21">
        <v>0.22</v>
      </c>
      <c r="S36" s="21">
        <v>0.23799999999999999</v>
      </c>
      <c r="T36" s="21">
        <v>0.26200000000000001</v>
      </c>
      <c r="U36" s="21">
        <v>0.27700000000000002</v>
      </c>
      <c r="V36" s="51"/>
      <c r="W36" s="21">
        <v>0.20399999999999999</v>
      </c>
      <c r="X36" s="21">
        <v>0.23499999999999999</v>
      </c>
      <c r="Y36" s="21"/>
      <c r="Z36" s="21"/>
      <c r="AA36" s="51"/>
    </row>
    <row r="41" spans="2:27" x14ac:dyDescent="0.25">
      <c r="B41" s="1" t="s">
        <v>133</v>
      </c>
      <c r="G41" s="22"/>
      <c r="L41" s="22"/>
      <c r="Q41" s="22"/>
      <c r="V41" s="22"/>
      <c r="AA41" s="22"/>
    </row>
    <row r="42" spans="2:27" x14ac:dyDescent="0.25">
      <c r="B42" s="2" t="s">
        <v>51</v>
      </c>
      <c r="G42" s="26">
        <v>94841</v>
      </c>
      <c r="H42" s="10">
        <v>20257</v>
      </c>
      <c r="I42" s="10">
        <v>20056</v>
      </c>
      <c r="J42" s="10">
        <v>19729</v>
      </c>
      <c r="K42" s="10">
        <v>19870</v>
      </c>
      <c r="L42" s="26">
        <f>SUM(H42:K42)</f>
        <v>79912</v>
      </c>
      <c r="M42" s="10">
        <v>19338</v>
      </c>
      <c r="N42" s="10">
        <v>19672</v>
      </c>
      <c r="O42" s="10">
        <v>19410</v>
      </c>
      <c r="P42" s="10">
        <v>20472</v>
      </c>
      <c r="Q42" s="26">
        <f>SUM(M42:P42)</f>
        <v>78892</v>
      </c>
      <c r="R42" s="10">
        <v>19285</v>
      </c>
      <c r="S42" s="10">
        <v>18434</v>
      </c>
      <c r="T42" s="10">
        <v>18583</v>
      </c>
      <c r="U42" s="10">
        <v>18793</v>
      </c>
      <c r="V42" s="26">
        <f>SUM(R42:U42)</f>
        <v>75095</v>
      </c>
      <c r="W42" s="10"/>
      <c r="X42" s="10"/>
      <c r="Y42" s="10"/>
      <c r="Z42" s="10"/>
      <c r="AA42" s="26">
        <f>SUM(W42:Z42)</f>
        <v>0</v>
      </c>
    </row>
    <row r="43" spans="2:27" x14ac:dyDescent="0.25">
      <c r="B43" s="7" t="s">
        <v>135</v>
      </c>
      <c r="G43" s="23">
        <v>0.17499999999999999</v>
      </c>
      <c r="H43" s="20" t="e">
        <f t="shared" ref="H43" si="46">(H42-C42)/C42</f>
        <v>#DIV/0!</v>
      </c>
      <c r="I43" s="20" t="e">
        <f t="shared" ref="I43" si="47">(I42-D42)/D42</f>
        <v>#DIV/0!</v>
      </c>
      <c r="J43" s="20" t="e">
        <f t="shared" ref="J43" si="48">(J42-E42)/E42</f>
        <v>#DIV/0!</v>
      </c>
      <c r="K43" s="20" t="e">
        <f t="shared" ref="K43" si="49">(K42-F42)/F42</f>
        <v>#DIV/0!</v>
      </c>
      <c r="L43" s="23">
        <f>(L42-G42)/G42</f>
        <v>-0.1574108244324712</v>
      </c>
      <c r="M43" s="20">
        <f t="shared" ref="M43" si="50">(M42-H42)/H42</f>
        <v>-4.536703361800859E-2</v>
      </c>
      <c r="N43" s="20">
        <f t="shared" ref="N43" si="51">(N42-I42)/I42</f>
        <v>-1.9146390107698443E-2</v>
      </c>
      <c r="O43" s="20">
        <f t="shared" ref="O43" si="52">(O42-J42)/J42</f>
        <v>-1.6169091185564397E-2</v>
      </c>
      <c r="P43" s="20">
        <f t="shared" ref="P43" si="53">(P42-K42)/K42</f>
        <v>3.0296930045294414E-2</v>
      </c>
      <c r="Q43" s="23">
        <f>(Q42-L42)/L42</f>
        <v>-1.2764040444488938E-2</v>
      </c>
      <c r="R43" s="20">
        <f t="shared" ref="R43" si="54">(R42-M42)/M42</f>
        <v>-2.7407177577826042E-3</v>
      </c>
      <c r="S43" s="20">
        <f t="shared" ref="S43" si="55">(S42-N42)/N42</f>
        <v>-6.2932086213908098E-2</v>
      </c>
      <c r="T43" s="20">
        <f t="shared" ref="T43" si="56">(T42-O42)/O42</f>
        <v>-4.2606903657908292E-2</v>
      </c>
      <c r="U43" s="20">
        <f>(U42-P42)/P42</f>
        <v>-8.2014458772958182E-2</v>
      </c>
      <c r="V43" s="23">
        <f>(V42-Q42)/Q42</f>
        <v>-4.8129087866957361E-2</v>
      </c>
      <c r="W43" s="20">
        <f t="shared" ref="W43" si="57">(W42-R42)/R42</f>
        <v>-1</v>
      </c>
      <c r="X43" s="20">
        <f t="shared" ref="X43" si="58">(X42-S42)/S42</f>
        <v>-1</v>
      </c>
      <c r="Y43" s="20">
        <f t="shared" ref="Y43" si="59">(Y42-T42)/T42</f>
        <v>-1</v>
      </c>
      <c r="Z43" s="20">
        <f>(Z42-U42)/U42</f>
        <v>-1</v>
      </c>
      <c r="AA43" s="23">
        <f>(AA42-V42)/V42</f>
        <v>-1</v>
      </c>
    </row>
    <row r="44" spans="2:27" x14ac:dyDescent="0.25">
      <c r="B44" s="20" t="s">
        <v>130</v>
      </c>
      <c r="C44" s="20"/>
      <c r="D44" s="20"/>
      <c r="E44" s="20"/>
      <c r="F44" s="20"/>
      <c r="G44" s="23">
        <v>0.157</v>
      </c>
      <c r="H44" s="20">
        <v>0.14799999999999999</v>
      </c>
      <c r="I44" s="20">
        <v>5.7000000000000002E-2</v>
      </c>
      <c r="J44" s="20">
        <v>-4.0000000000000001E-3</v>
      </c>
      <c r="K44" s="20">
        <v>-2.8000000000000001E-2</v>
      </c>
      <c r="L44" s="23">
        <v>3.6999999999999998E-2</v>
      </c>
      <c r="M44" s="20">
        <v>-4.8000000000000001E-2</v>
      </c>
      <c r="N44" s="20">
        <v>-1.2999999999999999E-2</v>
      </c>
      <c r="O44" s="20">
        <v>0.03</v>
      </c>
      <c r="P44" s="20">
        <v>4.4999999999999998E-2</v>
      </c>
      <c r="Q44" s="23">
        <v>3.0000000000000001E-3</v>
      </c>
      <c r="R44" s="20">
        <v>2.9000000000000001E-2</v>
      </c>
      <c r="S44" s="20">
        <v>3.2000000000000001E-2</v>
      </c>
      <c r="T44" s="20">
        <v>8.0000000000000002E-3</v>
      </c>
      <c r="U44" s="20">
        <v>-0.02</v>
      </c>
      <c r="V44" s="23"/>
      <c r="W44" s="20"/>
      <c r="X44" s="20"/>
      <c r="Y44" s="20"/>
      <c r="Z44" s="20"/>
      <c r="AA44" s="23"/>
    </row>
    <row r="45" spans="2:27" x14ac:dyDescent="0.25">
      <c r="B45" s="20" t="s">
        <v>132</v>
      </c>
      <c r="C45" s="20"/>
      <c r="D45" s="20"/>
      <c r="E45" s="20"/>
      <c r="F45" s="20"/>
      <c r="G45" s="23">
        <v>0.22600000000000001</v>
      </c>
      <c r="H45" s="20">
        <v>0.26300000000000001</v>
      </c>
      <c r="I45" s="20">
        <v>0.26300000000000001</v>
      </c>
      <c r="J45" s="20">
        <v>0.28299999999999997</v>
      </c>
      <c r="K45" s="20">
        <v>0.29299999999999998</v>
      </c>
      <c r="L45" s="23">
        <v>0.27500000000000002</v>
      </c>
      <c r="M45" s="20">
        <v>0.30399999999999999</v>
      </c>
      <c r="N45" s="20">
        <v>0.28999999999999998</v>
      </c>
      <c r="O45" s="20">
        <v>0.28499999999999998</v>
      </c>
      <c r="P45" s="20">
        <v>0.27500000000000002</v>
      </c>
      <c r="Q45" s="23">
        <v>0.28799999999999998</v>
      </c>
      <c r="R45" s="20">
        <v>0.29499999999999998</v>
      </c>
      <c r="S45" s="20">
        <v>0.30499999999999999</v>
      </c>
      <c r="T45" s="20">
        <v>0.29899999999999999</v>
      </c>
      <c r="U45" s="20">
        <v>0.29699999999999999</v>
      </c>
      <c r="V45" s="23"/>
      <c r="W45" s="20"/>
      <c r="X45" s="20"/>
      <c r="Y45" s="20"/>
      <c r="Z45" s="20"/>
      <c r="AA45" s="23"/>
    </row>
    <row r="46" spans="2:27" x14ac:dyDescent="0.25">
      <c r="B46" s="10" t="s">
        <v>56</v>
      </c>
      <c r="C46" s="10">
        <v>1645</v>
      </c>
      <c r="D46" s="10">
        <v>1861</v>
      </c>
      <c r="E46" s="10">
        <v>1460</v>
      </c>
      <c r="F46" s="10">
        <v>2293</v>
      </c>
      <c r="G46" s="26">
        <f>SUM(C46:F46)</f>
        <v>7259</v>
      </c>
      <c r="H46" s="10">
        <v>2400</v>
      </c>
      <c r="I46" s="10">
        <v>2417</v>
      </c>
      <c r="J46" s="10">
        <v>2395</v>
      </c>
      <c r="K46" s="10">
        <v>2585</v>
      </c>
      <c r="L46" s="26">
        <f>SUM(H46:K46)</f>
        <v>9797</v>
      </c>
      <c r="M46" s="10">
        <v>2545</v>
      </c>
      <c r="N46" s="10">
        <v>2434</v>
      </c>
      <c r="O46" s="10">
        <v>2285</v>
      </c>
      <c r="P46" s="10">
        <v>2245</v>
      </c>
      <c r="Q46" s="26">
        <f>SUM(M46:P46)</f>
        <v>9509</v>
      </c>
      <c r="R46" s="10">
        <v>2443</v>
      </c>
      <c r="S46" s="10">
        <v>2368</v>
      </c>
      <c r="T46" s="10">
        <v>2362</v>
      </c>
      <c r="U46" s="10">
        <v>2432</v>
      </c>
      <c r="V46" s="26">
        <f>SUM(R46:U46)</f>
        <v>9605</v>
      </c>
      <c r="W46" s="10"/>
      <c r="X46" s="10"/>
      <c r="Y46" s="10"/>
      <c r="Z46" s="10"/>
      <c r="AA46" s="26">
        <f>SUM(W46:Z46)</f>
        <v>0</v>
      </c>
    </row>
    <row r="47" spans="2:27" ht="20" thickBot="1" x14ac:dyDescent="0.3">
      <c r="B47" s="21" t="s">
        <v>131</v>
      </c>
      <c r="C47" s="21"/>
      <c r="D47" s="21"/>
      <c r="E47" s="21"/>
      <c r="F47" s="21"/>
      <c r="G47" s="25">
        <f>G46/G42</f>
        <v>7.653862780864816E-2</v>
      </c>
      <c r="H47" s="21">
        <v>0.11799999999999999</v>
      </c>
      <c r="I47" s="21">
        <v>0.121</v>
      </c>
      <c r="J47" s="21">
        <v>0.121</v>
      </c>
      <c r="K47" s="21">
        <v>0.13</v>
      </c>
      <c r="L47" s="25">
        <f>L46/L42</f>
        <v>0.12259735709280208</v>
      </c>
      <c r="M47" s="21">
        <v>0.13200000000000001</v>
      </c>
      <c r="N47" s="21">
        <v>0.124</v>
      </c>
      <c r="O47" s="21">
        <v>0.11799999999999999</v>
      </c>
      <c r="P47" s="21">
        <v>0.11</v>
      </c>
      <c r="Q47" s="25">
        <f>Q46/Q42</f>
        <v>0.12053186634893272</v>
      </c>
      <c r="R47" s="21">
        <v>0.127</v>
      </c>
      <c r="S47" s="21">
        <v>0.128</v>
      </c>
      <c r="T47" s="21">
        <v>0.127</v>
      </c>
      <c r="U47" s="21">
        <v>0.129</v>
      </c>
      <c r="V47" s="25">
        <f>V46/V42</f>
        <v>0.12790465410480059</v>
      </c>
      <c r="W47" s="21"/>
      <c r="X47" s="21"/>
      <c r="Y47" s="21"/>
      <c r="Z47" s="21"/>
      <c r="AA47" s="25" t="e">
        <f>AA46/AA42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AA86-0962-284B-AB06-6FEC823C85AD}">
  <dimension ref="A3:G18"/>
  <sheetViews>
    <sheetView showGridLines="0" zoomScale="90" zoomScaleNormal="90" workbookViewId="0">
      <selection activeCell="D4" sqref="D4"/>
    </sheetView>
  </sheetViews>
  <sheetFormatPr baseColWidth="10" defaultRowHeight="19" x14ac:dyDescent="0.25"/>
  <cols>
    <col min="1" max="1" width="10.83203125" style="2"/>
    <col min="2" max="2" width="32.5" style="2" customWidth="1"/>
    <col min="3" max="3" width="10.83203125" style="2"/>
    <col min="4" max="4" width="16.6640625" style="2" customWidth="1"/>
    <col min="5" max="5" width="17" style="2" customWidth="1"/>
    <col min="6" max="6" width="15.5" style="2" customWidth="1"/>
    <col min="7" max="7" width="18.1640625" style="2" customWidth="1"/>
    <col min="8" max="16384" width="10.83203125" style="2"/>
  </cols>
  <sheetData>
    <row r="3" spans="1:7" x14ac:dyDescent="0.25">
      <c r="D3" s="10"/>
    </row>
    <row r="4" spans="1:7" ht="26" x14ac:dyDescent="0.3">
      <c r="A4" s="64" t="s">
        <v>215</v>
      </c>
      <c r="D4" s="10"/>
    </row>
    <row r="5" spans="1:7" ht="26" x14ac:dyDescent="0.3">
      <c r="A5" s="65">
        <f>Modell!AK9</f>
        <v>18069.179999999989</v>
      </c>
    </row>
    <row r="7" spans="1:7" ht="26" x14ac:dyDescent="0.3">
      <c r="B7" s="30" t="s">
        <v>46</v>
      </c>
      <c r="C7" s="29"/>
      <c r="D7" s="30" t="s">
        <v>140</v>
      </c>
      <c r="E7" s="30" t="s">
        <v>141</v>
      </c>
      <c r="F7" s="30" t="s">
        <v>142</v>
      </c>
      <c r="G7" s="30" t="s">
        <v>143</v>
      </c>
    </row>
    <row r="8" spans="1:7" ht="26" x14ac:dyDescent="0.3">
      <c r="B8" s="30" t="s">
        <v>129</v>
      </c>
      <c r="C8" s="29"/>
      <c r="D8" s="32">
        <v>4800</v>
      </c>
      <c r="E8" s="29">
        <v>14</v>
      </c>
      <c r="F8" s="32">
        <f>D8*E8</f>
        <v>67200</v>
      </c>
      <c r="G8" s="33">
        <f>F8/Modell!$B$5</f>
        <v>98.54817421909371</v>
      </c>
    </row>
    <row r="9" spans="1:7" ht="26" x14ac:dyDescent="0.3">
      <c r="B9" s="30" t="s">
        <v>182</v>
      </c>
      <c r="C9" s="29"/>
      <c r="D9" s="32">
        <v>4600</v>
      </c>
      <c r="E9" s="29">
        <v>12</v>
      </c>
      <c r="F9" s="32">
        <f t="shared" ref="F9:F10" si="0">D9*E9</f>
        <v>55200</v>
      </c>
      <c r="G9" s="33">
        <f>F9/Modell!$B$5</f>
        <v>80.950285965684117</v>
      </c>
    </row>
    <row r="10" spans="1:7" ht="26" x14ac:dyDescent="0.3">
      <c r="B10" s="30" t="s">
        <v>181</v>
      </c>
      <c r="C10" s="29"/>
      <c r="D10" s="32">
        <v>4450</v>
      </c>
      <c r="E10" s="29">
        <v>9</v>
      </c>
      <c r="F10" s="32">
        <f t="shared" si="0"/>
        <v>40050</v>
      </c>
      <c r="G10" s="33">
        <f>F10/Modell!$B$5</f>
        <v>58.732952045754509</v>
      </c>
    </row>
    <row r="11" spans="1:7" ht="26" x14ac:dyDescent="0.3">
      <c r="B11" s="30" t="s">
        <v>134</v>
      </c>
      <c r="C11" s="29"/>
      <c r="D11" s="32">
        <v>5950</v>
      </c>
      <c r="E11" s="29">
        <v>13</v>
      </c>
      <c r="F11" s="32">
        <f t="shared" ref="F11" si="1">D11*E11</f>
        <v>77350</v>
      </c>
      <c r="G11" s="33">
        <f>F11/Modell!$B$5</f>
        <v>113.43305470010266</v>
      </c>
    </row>
    <row r="12" spans="1:7" ht="26" x14ac:dyDescent="0.3">
      <c r="B12" s="31"/>
      <c r="C12" s="31"/>
      <c r="D12" s="31"/>
      <c r="E12" s="31"/>
      <c r="F12" s="31"/>
      <c r="G12" s="31"/>
    </row>
    <row r="13" spans="1:7" ht="26" x14ac:dyDescent="0.3">
      <c r="B13" s="30" t="s">
        <v>156</v>
      </c>
      <c r="C13" s="28"/>
      <c r="D13" s="28"/>
      <c r="E13" s="28"/>
      <c r="F13" s="28"/>
      <c r="G13" s="36">
        <f>SUM(G8:G11)</f>
        <v>351.664466930635</v>
      </c>
    </row>
    <row r="14" spans="1:7" x14ac:dyDescent="0.25">
      <c r="B14" s="44"/>
      <c r="C14" s="44"/>
      <c r="D14" s="44"/>
      <c r="E14" s="44"/>
      <c r="F14" s="44"/>
      <c r="G14" s="44"/>
    </row>
    <row r="15" spans="1:7" ht="26" x14ac:dyDescent="0.3">
      <c r="B15" s="29" t="s">
        <v>144</v>
      </c>
      <c r="C15" s="29"/>
      <c r="D15" s="29"/>
      <c r="E15" s="29"/>
      <c r="F15" s="32">
        <f>Modell!B8</f>
        <v>42311</v>
      </c>
      <c r="G15" s="33">
        <f>-F15/Modell!$B$5</f>
        <v>-62.048687490834432</v>
      </c>
    </row>
    <row r="16" spans="1:7" ht="26" x14ac:dyDescent="0.3">
      <c r="B16" s="29" t="s">
        <v>82</v>
      </c>
      <c r="C16" s="29"/>
      <c r="D16" s="29"/>
      <c r="E16" s="29"/>
      <c r="F16" s="32">
        <f>Modell!B7</f>
        <v>10741</v>
      </c>
      <c r="G16" s="33">
        <f>F16/Modell!$B$5</f>
        <v>15.751576477489369</v>
      </c>
    </row>
    <row r="17" spans="2:7" ht="26" x14ac:dyDescent="0.3">
      <c r="B17" s="31"/>
      <c r="C17" s="31"/>
      <c r="D17" s="31"/>
      <c r="E17" s="31"/>
      <c r="F17" s="31"/>
      <c r="G17" s="31"/>
    </row>
    <row r="18" spans="2:7" ht="26" x14ac:dyDescent="0.3">
      <c r="B18" s="30" t="s">
        <v>157</v>
      </c>
      <c r="C18" s="30"/>
      <c r="D18" s="30"/>
      <c r="E18" s="30"/>
      <c r="F18" s="30"/>
      <c r="G18" s="36">
        <f>SUM(G13:G16)</f>
        <v>305.36735591728996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7"/>
  <sheetViews>
    <sheetView showGridLines="0" workbookViewId="0">
      <selection activeCell="F23" sqref="F23"/>
    </sheetView>
  </sheetViews>
  <sheetFormatPr baseColWidth="10" defaultRowHeight="16" x14ac:dyDescent="0.2"/>
  <cols>
    <col min="3" max="3" width="33.5" customWidth="1"/>
    <col min="4" max="5" width="18.6640625" bestFit="1" customWidth="1"/>
    <col min="6" max="6" width="18.6640625" customWidth="1"/>
    <col min="7" max="7" width="20.6640625" bestFit="1" customWidth="1"/>
  </cols>
  <sheetData>
    <row r="4" spans="3:6" ht="62" x14ac:dyDescent="0.7">
      <c r="C4" s="34"/>
      <c r="D4" s="34">
        <v>2026</v>
      </c>
      <c r="E4" s="34">
        <v>2027</v>
      </c>
      <c r="F4" s="34">
        <v>2028</v>
      </c>
    </row>
    <row r="5" spans="3:6" ht="62" x14ac:dyDescent="0.7">
      <c r="C5" s="34" t="s">
        <v>145</v>
      </c>
      <c r="D5" s="43">
        <f>Modell!$B$9/Modell!AK9</f>
        <v>11.672344843540222</v>
      </c>
      <c r="E5" s="43">
        <f>Modell!$B$9/Modell!AL9</f>
        <v>11.11651889860973</v>
      </c>
      <c r="F5" s="43">
        <f>Modell!$B$9/Modell!AM9</f>
        <v>10.587160855818794</v>
      </c>
    </row>
    <row r="6" spans="3:6" ht="62" x14ac:dyDescent="0.7">
      <c r="C6" s="34" t="s">
        <v>29</v>
      </c>
      <c r="D6" s="35">
        <f>Modell!$B$9/Modell!AK11</f>
        <v>12.342952082989521</v>
      </c>
      <c r="E6" s="43">
        <f>Modell!$B$9/Modell!AL11</f>
        <v>11.729520379001467</v>
      </c>
      <c r="F6" s="43">
        <f>Modell!$B$9/Modell!AM11</f>
        <v>11.147554156505342</v>
      </c>
    </row>
    <row r="7" spans="3:6" ht="62" x14ac:dyDescent="0.7">
      <c r="C7" s="34" t="s">
        <v>30</v>
      </c>
      <c r="D7" s="35">
        <f>Modell!$B$4/Modell!AK18</f>
        <v>13.119247974830675</v>
      </c>
      <c r="E7" s="43">
        <f>Modell!$B$4/Modell!AL18</f>
        <v>12.467235183552544</v>
      </c>
      <c r="F7" s="35">
        <f>Modell!$B$4/Modell!AM18</f>
        <v>11.848666859332578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HQ24"/>
  <sheetViews>
    <sheetView showGridLines="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K30" sqref="K30"/>
    </sheetView>
  </sheetViews>
  <sheetFormatPr baseColWidth="10" defaultRowHeight="19" x14ac:dyDescent="0.25"/>
  <cols>
    <col min="1" max="1" width="10.83203125" style="2"/>
    <col min="2" max="2" width="19" style="3" customWidth="1"/>
    <col min="3" max="3" width="35.33203125" style="2" customWidth="1"/>
    <col min="4" max="13" width="10.83203125" style="2"/>
    <col min="14" max="14" width="10.83203125" style="3"/>
    <col min="15" max="25" width="10.83203125" style="2"/>
    <col min="26" max="26" width="14.33203125" style="2" bestFit="1" customWidth="1"/>
    <col min="27" max="27" width="14.5" style="2" bestFit="1" customWidth="1"/>
    <col min="28" max="16384" width="10.83203125" style="2"/>
  </cols>
  <sheetData>
    <row r="3" spans="1:225" x14ac:dyDescent="0.25">
      <c r="A3" s="1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32</v>
      </c>
      <c r="I3" s="4" t="s">
        <v>33</v>
      </c>
      <c r="J3" s="4" t="s">
        <v>34</v>
      </c>
      <c r="K3" s="4" t="s">
        <v>15</v>
      </c>
      <c r="L3" s="4" t="s">
        <v>16</v>
      </c>
      <c r="M3" s="4" t="s">
        <v>17</v>
      </c>
      <c r="N3" s="5" t="s">
        <v>18</v>
      </c>
      <c r="O3" s="4" t="s">
        <v>19</v>
      </c>
      <c r="P3" s="4" t="s">
        <v>20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28</v>
      </c>
    </row>
    <row r="4" spans="1:225" x14ac:dyDescent="0.25">
      <c r="A4" s="1" t="s">
        <v>152</v>
      </c>
      <c r="C4" s="1" t="s">
        <v>51</v>
      </c>
      <c r="D4" s="9">
        <v>98519</v>
      </c>
      <c r="E4" s="9">
        <v>101238</v>
      </c>
      <c r="F4" s="9">
        <v>109265</v>
      </c>
      <c r="G4" s="9">
        <v>118500</v>
      </c>
      <c r="H4" s="9">
        <v>128975</v>
      </c>
      <c r="I4" s="9">
        <v>121752</v>
      </c>
      <c r="J4" s="9">
        <v>121867</v>
      </c>
      <c r="K4" s="9">
        <v>156173</v>
      </c>
      <c r="L4" s="9">
        <v>147147</v>
      </c>
      <c r="M4" s="9">
        <v>145546</v>
      </c>
      <c r="N4" s="11">
        <v>138494</v>
      </c>
      <c r="O4" s="9">
        <f>N4*1</f>
        <v>138494</v>
      </c>
      <c r="P4" s="9">
        <f t="shared" ref="P4:X4" si="0">O4*1</f>
        <v>138494</v>
      </c>
      <c r="Q4" s="9">
        <f t="shared" si="0"/>
        <v>138494</v>
      </c>
      <c r="R4" s="9">
        <f t="shared" si="0"/>
        <v>138494</v>
      </c>
      <c r="S4" s="9">
        <f t="shared" si="0"/>
        <v>138494</v>
      </c>
      <c r="T4" s="9">
        <f t="shared" si="0"/>
        <v>138494</v>
      </c>
      <c r="U4" s="9">
        <f t="shared" si="0"/>
        <v>138494</v>
      </c>
      <c r="V4" s="9">
        <f t="shared" si="0"/>
        <v>138494</v>
      </c>
      <c r="W4" s="9">
        <f t="shared" si="0"/>
        <v>138494</v>
      </c>
      <c r="X4" s="9">
        <f t="shared" si="0"/>
        <v>138494</v>
      </c>
    </row>
    <row r="5" spans="1:225" x14ac:dyDescent="0.25">
      <c r="A5" s="42">
        <f>AA23</f>
        <v>192.41355433448811</v>
      </c>
      <c r="C5" s="2" t="s">
        <v>52</v>
      </c>
      <c r="D5" s="10">
        <f>-71960-267</f>
        <v>-72227</v>
      </c>
      <c r="E5" s="10">
        <f>-72476-532</f>
        <v>-73008</v>
      </c>
      <c r="F5" s="10">
        <f>-76899-509</f>
        <v>-77408</v>
      </c>
      <c r="G5" s="10">
        <f>-85058-1437</f>
        <v>-86495</v>
      </c>
      <c r="H5" s="10">
        <f>-90876-243</f>
        <v>-91119</v>
      </c>
      <c r="I5" s="10">
        <f>-82132-181</f>
        <v>-82313</v>
      </c>
      <c r="J5" s="10">
        <f>-86628-146</f>
        <v>-86774</v>
      </c>
      <c r="K5" s="10">
        <f>-117046-1899</f>
        <v>-118945</v>
      </c>
      <c r="L5" s="10">
        <v>-102627</v>
      </c>
      <c r="M5" s="10">
        <v>-97929</v>
      </c>
      <c r="N5" s="12">
        <v>-92351</v>
      </c>
      <c r="O5" s="10">
        <f>O4*-0.7</f>
        <v>-96945.799999999988</v>
      </c>
      <c r="P5" s="10">
        <f t="shared" ref="P5:X5" si="1">P4*-0.7</f>
        <v>-96945.799999999988</v>
      </c>
      <c r="Q5" s="10">
        <f t="shared" si="1"/>
        <v>-96945.799999999988</v>
      </c>
      <c r="R5" s="10">
        <f t="shared" si="1"/>
        <v>-96945.799999999988</v>
      </c>
      <c r="S5" s="10">
        <f t="shared" si="1"/>
        <v>-96945.799999999988</v>
      </c>
      <c r="T5" s="10">
        <f t="shared" si="1"/>
        <v>-96945.799999999988</v>
      </c>
      <c r="U5" s="10">
        <f t="shared" si="1"/>
        <v>-96945.799999999988</v>
      </c>
      <c r="V5" s="10">
        <f t="shared" si="1"/>
        <v>-96945.799999999988</v>
      </c>
      <c r="W5" s="10">
        <f t="shared" si="1"/>
        <v>-96945.799999999988</v>
      </c>
      <c r="X5" s="10">
        <f t="shared" si="1"/>
        <v>-96945.799999999988</v>
      </c>
    </row>
    <row r="6" spans="1:225" x14ac:dyDescent="0.25">
      <c r="A6" s="16">
        <f>AA24</f>
        <v>-0.26838952724529236</v>
      </c>
      <c r="C6" s="2" t="s">
        <v>53</v>
      </c>
      <c r="D6" s="10">
        <f t="shared" ref="D6:M6" si="2">SUM(D4:D5)</f>
        <v>26292</v>
      </c>
      <c r="E6" s="10">
        <f t="shared" si="2"/>
        <v>28230</v>
      </c>
      <c r="F6" s="10">
        <f t="shared" si="2"/>
        <v>31857</v>
      </c>
      <c r="G6" s="10">
        <f t="shared" si="2"/>
        <v>32005</v>
      </c>
      <c r="H6" s="10">
        <f t="shared" si="2"/>
        <v>37856</v>
      </c>
      <c r="I6" s="10">
        <f t="shared" si="2"/>
        <v>39439</v>
      </c>
      <c r="J6" s="10">
        <f t="shared" si="2"/>
        <v>35093</v>
      </c>
      <c r="K6" s="10">
        <f t="shared" si="2"/>
        <v>37228</v>
      </c>
      <c r="L6" s="10">
        <f t="shared" si="2"/>
        <v>44520</v>
      </c>
      <c r="M6" s="10">
        <f t="shared" si="2"/>
        <v>47617</v>
      </c>
      <c r="N6" s="12">
        <f t="shared" ref="N6:X6" si="3">SUM(N4:N5)</f>
        <v>46143</v>
      </c>
      <c r="O6" s="10">
        <f t="shared" si="3"/>
        <v>41548.200000000012</v>
      </c>
      <c r="P6" s="10">
        <f t="shared" si="3"/>
        <v>41548.200000000012</v>
      </c>
      <c r="Q6" s="10">
        <f t="shared" si="3"/>
        <v>41548.200000000012</v>
      </c>
      <c r="R6" s="10">
        <f t="shared" si="3"/>
        <v>41548.200000000012</v>
      </c>
      <c r="S6" s="10">
        <f t="shared" si="3"/>
        <v>41548.200000000012</v>
      </c>
      <c r="T6" s="10">
        <f t="shared" si="3"/>
        <v>41548.200000000012</v>
      </c>
      <c r="U6" s="10">
        <f t="shared" si="3"/>
        <v>41548.200000000012</v>
      </c>
      <c r="V6" s="10">
        <f t="shared" si="3"/>
        <v>41548.200000000012</v>
      </c>
      <c r="W6" s="10">
        <f t="shared" si="3"/>
        <v>41548.200000000012</v>
      </c>
      <c r="X6" s="10">
        <f t="shared" si="3"/>
        <v>41548.200000000012</v>
      </c>
    </row>
    <row r="7" spans="1:225" x14ac:dyDescent="0.25">
      <c r="C7" s="2" t="s">
        <v>54</v>
      </c>
      <c r="D7" s="10">
        <f>-16287-519</f>
        <v>-16806</v>
      </c>
      <c r="E7" s="10">
        <f>-17086-2293</f>
        <v>-19379</v>
      </c>
      <c r="F7" s="10">
        <f>-19130-346</f>
        <v>-19476</v>
      </c>
      <c r="G7" s="10">
        <f>-20570+62</f>
        <v>-20508</v>
      </c>
      <c r="H7" s="10">
        <f>-22319-470</f>
        <v>-22789</v>
      </c>
      <c r="I7" s="10">
        <f>-22088+122</f>
        <v>-21966</v>
      </c>
      <c r="J7" s="10">
        <f>-21617+517</f>
        <v>-21100</v>
      </c>
      <c r="K7" s="10">
        <f>-26107-272</f>
        <v>-26379</v>
      </c>
      <c r="L7" s="10">
        <v>-25661</v>
      </c>
      <c r="M7" s="10">
        <v>-27351</v>
      </c>
      <c r="N7" s="12">
        <v>-26571</v>
      </c>
      <c r="O7" s="10">
        <f>N7*1</f>
        <v>-26571</v>
      </c>
      <c r="P7" s="10">
        <f t="shared" ref="P7:X7" si="4">O7*1</f>
        <v>-26571</v>
      </c>
      <c r="Q7" s="10">
        <f t="shared" si="4"/>
        <v>-26571</v>
      </c>
      <c r="R7" s="10">
        <f t="shared" si="4"/>
        <v>-26571</v>
      </c>
      <c r="S7" s="10">
        <f t="shared" si="4"/>
        <v>-26571</v>
      </c>
      <c r="T7" s="10">
        <f t="shared" si="4"/>
        <v>-26571</v>
      </c>
      <c r="U7" s="10">
        <f t="shared" si="4"/>
        <v>-26571</v>
      </c>
      <c r="V7" s="10">
        <f t="shared" si="4"/>
        <v>-26571</v>
      </c>
      <c r="W7" s="10">
        <f t="shared" si="4"/>
        <v>-26571</v>
      </c>
      <c r="X7" s="10">
        <f t="shared" si="4"/>
        <v>-26571</v>
      </c>
    </row>
    <row r="8" spans="1:225" x14ac:dyDescent="0.25">
      <c r="C8" s="2" t="s">
        <v>55</v>
      </c>
      <c r="D8" s="10">
        <v>198</v>
      </c>
      <c r="E8" s="10">
        <v>157</v>
      </c>
      <c r="F8" s="10">
        <v>169</v>
      </c>
      <c r="G8" s="10">
        <v>63</v>
      </c>
      <c r="H8" s="10">
        <v>60</v>
      </c>
      <c r="I8" s="10">
        <v>94</v>
      </c>
      <c r="J8" s="10">
        <v>58</v>
      </c>
      <c r="K8" s="10">
        <v>38</v>
      </c>
      <c r="L8" s="10">
        <v>39</v>
      </c>
      <c r="M8" s="10">
        <v>78</v>
      </c>
      <c r="N8" s="12">
        <v>0</v>
      </c>
      <c r="O8" s="10">
        <f>N8*1.03</f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</row>
    <row r="9" spans="1:225" x14ac:dyDescent="0.25">
      <c r="C9" s="1" t="s">
        <v>56</v>
      </c>
      <c r="D9" s="9">
        <f t="shared" ref="D9:M9" si="5">SUM(D6:D8)</f>
        <v>9684</v>
      </c>
      <c r="E9" s="9">
        <f t="shared" si="5"/>
        <v>9008</v>
      </c>
      <c r="F9" s="9">
        <f t="shared" si="5"/>
        <v>12550</v>
      </c>
      <c r="G9" s="9">
        <f t="shared" si="5"/>
        <v>11560</v>
      </c>
      <c r="H9" s="9">
        <f t="shared" si="5"/>
        <v>15127</v>
      </c>
      <c r="I9" s="9">
        <f t="shared" si="5"/>
        <v>17567</v>
      </c>
      <c r="J9" s="9">
        <f t="shared" si="5"/>
        <v>14051</v>
      </c>
      <c r="K9" s="9">
        <f t="shared" si="5"/>
        <v>10887</v>
      </c>
      <c r="L9" s="9">
        <f t="shared" si="5"/>
        <v>18898</v>
      </c>
      <c r="M9" s="9">
        <f t="shared" si="5"/>
        <v>20344</v>
      </c>
      <c r="N9" s="11">
        <f t="shared" ref="N9:X9" si="6">SUM(N6:N8)</f>
        <v>19572</v>
      </c>
      <c r="O9" s="9">
        <f t="shared" si="6"/>
        <v>14977.200000000012</v>
      </c>
      <c r="P9" s="9">
        <f t="shared" si="6"/>
        <v>14977.200000000012</v>
      </c>
      <c r="Q9" s="9">
        <f t="shared" si="6"/>
        <v>14977.200000000012</v>
      </c>
      <c r="R9" s="9">
        <f t="shared" si="6"/>
        <v>14977.200000000012</v>
      </c>
      <c r="S9" s="9">
        <f t="shared" si="6"/>
        <v>14977.200000000012</v>
      </c>
      <c r="T9" s="9">
        <f t="shared" si="6"/>
        <v>14977.200000000012</v>
      </c>
      <c r="U9" s="9">
        <f t="shared" si="6"/>
        <v>14977.200000000012</v>
      </c>
      <c r="V9" s="9">
        <f t="shared" si="6"/>
        <v>14977.200000000012</v>
      </c>
      <c r="W9" s="9">
        <f t="shared" si="6"/>
        <v>14977.200000000012</v>
      </c>
      <c r="X9" s="9">
        <f t="shared" si="6"/>
        <v>14977.200000000012</v>
      </c>
    </row>
    <row r="10" spans="1:225" x14ac:dyDescent="0.25">
      <c r="C10" s="2" t="s">
        <v>57</v>
      </c>
      <c r="D10" s="10">
        <v>0</v>
      </c>
      <c r="E10" s="10">
        <v>0</v>
      </c>
      <c r="F10" s="10">
        <f>-560-85</f>
        <v>-645</v>
      </c>
      <c r="G10" s="10">
        <f>-732-69</f>
        <v>-801</v>
      </c>
      <c r="H10" s="10">
        <v>-778</v>
      </c>
      <c r="I10" s="10">
        <v>-809</v>
      </c>
      <c r="J10" s="10">
        <v>-852</v>
      </c>
      <c r="K10" s="10">
        <f>-1116-292</f>
        <v>-1408</v>
      </c>
      <c r="L10" s="10">
        <v>-1109</v>
      </c>
      <c r="M10" s="10">
        <v>-1110</v>
      </c>
      <c r="N10" s="12">
        <v>-972</v>
      </c>
      <c r="O10" s="10">
        <f>N10*1.01</f>
        <v>-981.72</v>
      </c>
      <c r="P10" s="10">
        <f t="shared" ref="P10:X10" si="7">O10*1.01</f>
        <v>-991.53719999999998</v>
      </c>
      <c r="Q10" s="10">
        <f t="shared" si="7"/>
        <v>-1001.452572</v>
      </c>
      <c r="R10" s="10">
        <f t="shared" si="7"/>
        <v>-1011.4670977200001</v>
      </c>
      <c r="S10" s="10">
        <f t="shared" si="7"/>
        <v>-1021.5817686972001</v>
      </c>
      <c r="T10" s="10">
        <f t="shared" si="7"/>
        <v>-1031.7975863841721</v>
      </c>
      <c r="U10" s="10">
        <f t="shared" si="7"/>
        <v>-1042.1155622480137</v>
      </c>
      <c r="V10" s="10">
        <f t="shared" si="7"/>
        <v>-1052.5367178704939</v>
      </c>
      <c r="W10" s="10">
        <f t="shared" si="7"/>
        <v>-1063.0620850491989</v>
      </c>
      <c r="X10" s="10">
        <f t="shared" si="7"/>
        <v>-1073.692705899691</v>
      </c>
    </row>
    <row r="11" spans="1:225" x14ac:dyDescent="0.25">
      <c r="C11" s="1" t="s">
        <v>58</v>
      </c>
      <c r="D11" s="9">
        <f t="shared" ref="D11:M11" si="8">SUM(D9:D10)</f>
        <v>9684</v>
      </c>
      <c r="E11" s="9">
        <f t="shared" si="8"/>
        <v>9008</v>
      </c>
      <c r="F11" s="9">
        <f t="shared" si="8"/>
        <v>11905</v>
      </c>
      <c r="G11" s="9">
        <f t="shared" si="8"/>
        <v>10759</v>
      </c>
      <c r="H11" s="9">
        <f t="shared" si="8"/>
        <v>14349</v>
      </c>
      <c r="I11" s="9">
        <f t="shared" si="8"/>
        <v>16758</v>
      </c>
      <c r="J11" s="9">
        <f t="shared" si="8"/>
        <v>13199</v>
      </c>
      <c r="K11" s="9">
        <f t="shared" si="8"/>
        <v>9479</v>
      </c>
      <c r="L11" s="9">
        <f t="shared" si="8"/>
        <v>17789</v>
      </c>
      <c r="M11" s="9">
        <f t="shared" si="8"/>
        <v>19234</v>
      </c>
      <c r="N11" s="11">
        <f t="shared" ref="N11:X11" si="9">SUM(N9:N10)</f>
        <v>18600</v>
      </c>
      <c r="O11" s="9">
        <f t="shared" si="9"/>
        <v>13995.480000000012</v>
      </c>
      <c r="P11" s="9">
        <f t="shared" si="9"/>
        <v>13985.662800000011</v>
      </c>
      <c r="Q11" s="9">
        <f t="shared" si="9"/>
        <v>13975.747428000011</v>
      </c>
      <c r="R11" s="9">
        <f t="shared" si="9"/>
        <v>13965.732902280011</v>
      </c>
      <c r="S11" s="9">
        <f t="shared" si="9"/>
        <v>13955.618231302811</v>
      </c>
      <c r="T11" s="9">
        <f t="shared" si="9"/>
        <v>13945.40241361584</v>
      </c>
      <c r="U11" s="9">
        <f t="shared" si="9"/>
        <v>13935.084437751997</v>
      </c>
      <c r="V11" s="9">
        <f t="shared" si="9"/>
        <v>13924.663282129517</v>
      </c>
      <c r="W11" s="9">
        <f t="shared" si="9"/>
        <v>13914.137914950812</v>
      </c>
      <c r="X11" s="9">
        <f t="shared" si="9"/>
        <v>13903.50729410032</v>
      </c>
    </row>
    <row r="12" spans="1:225" x14ac:dyDescent="0.25">
      <c r="C12" s="2" t="s">
        <v>59</v>
      </c>
      <c r="D12" s="2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412</v>
      </c>
      <c r="M12" s="10">
        <v>593</v>
      </c>
      <c r="N12" s="12">
        <v>14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25" x14ac:dyDescent="0.25">
      <c r="C13" s="2" t="s">
        <v>60</v>
      </c>
      <c r="D13" s="10">
        <f>312-1140</f>
        <v>-828</v>
      </c>
      <c r="E13" s="10">
        <f>202-1037</f>
        <v>-835</v>
      </c>
      <c r="F13" s="10">
        <f>158-1340</f>
        <v>-1182</v>
      </c>
      <c r="G13" s="10">
        <f>91-1248</f>
        <v>-1157</v>
      </c>
      <c r="H13" s="10">
        <f>106-1415</f>
        <v>-1309</v>
      </c>
      <c r="I13" s="10">
        <f>108-1066</f>
        <v>-958</v>
      </c>
      <c r="J13" s="10">
        <f>102-764</f>
        <v>-662</v>
      </c>
      <c r="K13" s="10">
        <f>173-1543</f>
        <v>-1370</v>
      </c>
      <c r="L13" s="10">
        <v>-2768</v>
      </c>
      <c r="M13" s="10">
        <v>-2524</v>
      </c>
      <c r="N13" s="12">
        <v>-1384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25" x14ac:dyDescent="0.25">
      <c r="C14" s="2" t="s">
        <v>61</v>
      </c>
      <c r="D14" s="10">
        <f t="shared" ref="D14:M14" si="10">SUM(D11:D13)</f>
        <v>8856</v>
      </c>
      <c r="E14" s="10">
        <f t="shared" si="10"/>
        <v>8173</v>
      </c>
      <c r="F14" s="10">
        <f t="shared" si="10"/>
        <v>10723</v>
      </c>
      <c r="G14" s="10">
        <f t="shared" si="10"/>
        <v>9602</v>
      </c>
      <c r="H14" s="10">
        <f t="shared" si="10"/>
        <v>13040</v>
      </c>
      <c r="I14" s="10">
        <f t="shared" si="10"/>
        <v>15800</v>
      </c>
      <c r="J14" s="10">
        <f t="shared" si="10"/>
        <v>12537</v>
      </c>
      <c r="K14" s="10">
        <f t="shared" si="10"/>
        <v>8109</v>
      </c>
      <c r="L14" s="10">
        <f t="shared" si="10"/>
        <v>15433</v>
      </c>
      <c r="M14" s="10">
        <f t="shared" si="10"/>
        <v>17303</v>
      </c>
      <c r="N14" s="12">
        <f t="shared" ref="N14:X14" si="11">SUM(N11:N13)</f>
        <v>17230</v>
      </c>
      <c r="O14" s="10">
        <f t="shared" si="11"/>
        <v>13995.480000000012</v>
      </c>
      <c r="P14" s="10">
        <f t="shared" si="11"/>
        <v>13985.662800000011</v>
      </c>
      <c r="Q14" s="10">
        <f t="shared" si="11"/>
        <v>13975.747428000011</v>
      </c>
      <c r="R14" s="10">
        <f t="shared" si="11"/>
        <v>13965.732902280011</v>
      </c>
      <c r="S14" s="10">
        <f t="shared" si="11"/>
        <v>13955.618231302811</v>
      </c>
      <c r="T14" s="10">
        <f t="shared" si="11"/>
        <v>13945.40241361584</v>
      </c>
      <c r="U14" s="10">
        <f t="shared" si="11"/>
        <v>13935.084437751997</v>
      </c>
      <c r="V14" s="10">
        <f t="shared" si="11"/>
        <v>13924.663282129517</v>
      </c>
      <c r="W14" s="10">
        <f t="shared" si="11"/>
        <v>13914.137914950812</v>
      </c>
      <c r="X14" s="10">
        <f t="shared" si="11"/>
        <v>13903.50729410032</v>
      </c>
    </row>
    <row r="15" spans="1:225" x14ac:dyDescent="0.25">
      <c r="C15" s="2" t="s">
        <v>62</v>
      </c>
      <c r="D15" s="10">
        <v>-2278</v>
      </c>
      <c r="E15" s="10">
        <v>-3931</v>
      </c>
      <c r="F15" s="10">
        <v>-1938</v>
      </c>
      <c r="G15" s="10">
        <v>-1050</v>
      </c>
      <c r="H15" s="10">
        <v>-2828</v>
      </c>
      <c r="I15" s="10">
        <v>-4053</v>
      </c>
      <c r="J15" s="10">
        <v>-2727</v>
      </c>
      <c r="K15" s="10">
        <v>-2045</v>
      </c>
      <c r="L15" s="10">
        <v>-3275</v>
      </c>
      <c r="M15" s="10">
        <v>-4331</v>
      </c>
      <c r="N15" s="12">
        <v>-4443</v>
      </c>
      <c r="O15" s="10">
        <f>O14*-0.2</f>
        <v>-2799.0960000000027</v>
      </c>
      <c r="P15" s="10">
        <f t="shared" ref="P15:X15" si="12">P14*-0.2</f>
        <v>-2797.1325600000023</v>
      </c>
      <c r="Q15" s="10">
        <f t="shared" si="12"/>
        <v>-2795.1494856000027</v>
      </c>
      <c r="R15" s="10">
        <f t="shared" si="12"/>
        <v>-2793.1465804560025</v>
      </c>
      <c r="S15" s="10">
        <f t="shared" si="12"/>
        <v>-2791.1236462605625</v>
      </c>
      <c r="T15" s="10">
        <f t="shared" si="12"/>
        <v>-2789.0804827231682</v>
      </c>
      <c r="U15" s="10">
        <f t="shared" si="12"/>
        <v>-2787.0168875503996</v>
      </c>
      <c r="V15" s="10">
        <f t="shared" si="12"/>
        <v>-2784.9326564259036</v>
      </c>
      <c r="W15" s="10">
        <f t="shared" si="12"/>
        <v>-2782.8275829901627</v>
      </c>
      <c r="X15" s="10">
        <f t="shared" si="12"/>
        <v>-2780.7014588200641</v>
      </c>
    </row>
    <row r="16" spans="1:225" x14ac:dyDescent="0.25">
      <c r="C16" s="1" t="s">
        <v>63</v>
      </c>
      <c r="D16" s="9">
        <f t="shared" ref="D16:M16" si="13">SUM(D14:D15)</f>
        <v>6578</v>
      </c>
      <c r="E16" s="9">
        <f t="shared" si="13"/>
        <v>4242</v>
      </c>
      <c r="F16" s="9">
        <f t="shared" si="13"/>
        <v>8785</v>
      </c>
      <c r="G16" s="9">
        <f t="shared" si="13"/>
        <v>8552</v>
      </c>
      <c r="H16" s="9">
        <f t="shared" si="13"/>
        <v>10212</v>
      </c>
      <c r="I16" s="9">
        <f t="shared" si="13"/>
        <v>11747</v>
      </c>
      <c r="J16" s="9">
        <f t="shared" si="13"/>
        <v>9810</v>
      </c>
      <c r="K16" s="9">
        <f t="shared" si="13"/>
        <v>6064</v>
      </c>
      <c r="L16" s="9">
        <f t="shared" si="13"/>
        <v>12158</v>
      </c>
      <c r="M16" s="9">
        <f t="shared" si="13"/>
        <v>12972</v>
      </c>
      <c r="N16" s="11">
        <f t="shared" ref="N16:X16" si="14">SUM(N14:N15)</f>
        <v>12787</v>
      </c>
      <c r="O16" s="9">
        <f t="shared" si="14"/>
        <v>11196.384000000009</v>
      </c>
      <c r="P16" s="9">
        <f t="shared" si="14"/>
        <v>11188.530240000009</v>
      </c>
      <c r="Q16" s="9">
        <f t="shared" si="14"/>
        <v>11180.597942400009</v>
      </c>
      <c r="R16" s="9">
        <f t="shared" si="14"/>
        <v>11172.586321824008</v>
      </c>
      <c r="S16" s="9">
        <f t="shared" si="14"/>
        <v>11164.494585042248</v>
      </c>
      <c r="T16" s="9">
        <f t="shared" si="14"/>
        <v>11156.321930892673</v>
      </c>
      <c r="U16" s="9">
        <f t="shared" si="14"/>
        <v>11148.067550201598</v>
      </c>
      <c r="V16" s="9">
        <f t="shared" si="14"/>
        <v>11139.730625703614</v>
      </c>
      <c r="W16" s="9">
        <f t="shared" si="14"/>
        <v>11131.310331960649</v>
      </c>
      <c r="X16" s="9">
        <f t="shared" si="14"/>
        <v>11122.805835280256</v>
      </c>
      <c r="Y16" s="9">
        <f>X16*(1+$AA$20)</f>
        <v>11011.577776927454</v>
      </c>
      <c r="Z16" s="9">
        <f t="shared" ref="Z16:CK16" si="15">Y16*(1+$AA$20)</f>
        <v>10901.461999158179</v>
      </c>
      <c r="AA16" s="9">
        <f t="shared" si="15"/>
        <v>10792.447379166597</v>
      </c>
      <c r="AB16" s="9">
        <f t="shared" si="15"/>
        <v>10684.52290537493</v>
      </c>
      <c r="AC16" s="9">
        <f t="shared" si="15"/>
        <v>10577.67767632118</v>
      </c>
      <c r="AD16" s="9">
        <f t="shared" si="15"/>
        <v>10471.900899557968</v>
      </c>
      <c r="AE16" s="9">
        <f t="shared" si="15"/>
        <v>10367.181890562388</v>
      </c>
      <c r="AF16" s="9">
        <f t="shared" si="15"/>
        <v>10263.510071656763</v>
      </c>
      <c r="AG16" s="9">
        <f t="shared" si="15"/>
        <v>10160.874970940195</v>
      </c>
      <c r="AH16" s="9">
        <f t="shared" si="15"/>
        <v>10059.266221230793</v>
      </c>
      <c r="AI16" s="9">
        <f t="shared" si="15"/>
        <v>9958.6735590184853</v>
      </c>
      <c r="AJ16" s="9">
        <f t="shared" si="15"/>
        <v>9859.0868234283007</v>
      </c>
      <c r="AK16" s="9">
        <f t="shared" si="15"/>
        <v>9760.4959551940174</v>
      </c>
      <c r="AL16" s="9">
        <f t="shared" si="15"/>
        <v>9662.8909956420775</v>
      </c>
      <c r="AM16" s="9">
        <f t="shared" si="15"/>
        <v>9566.2620856856574</v>
      </c>
      <c r="AN16" s="9">
        <f t="shared" si="15"/>
        <v>9470.5994648288015</v>
      </c>
      <c r="AO16" s="9">
        <f t="shared" si="15"/>
        <v>9375.8934701805138</v>
      </c>
      <c r="AP16" s="9">
        <f t="shared" si="15"/>
        <v>9282.1345354787081</v>
      </c>
      <c r="AQ16" s="9">
        <f t="shared" si="15"/>
        <v>9189.3131901239212</v>
      </c>
      <c r="AR16" s="9">
        <f t="shared" si="15"/>
        <v>9097.4200582226822</v>
      </c>
      <c r="AS16" s="9">
        <f t="shared" si="15"/>
        <v>9006.4458576404559</v>
      </c>
      <c r="AT16" s="9">
        <f t="shared" si="15"/>
        <v>8916.3813990640519</v>
      </c>
      <c r="AU16" s="9">
        <f t="shared" si="15"/>
        <v>8827.2175850734111</v>
      </c>
      <c r="AV16" s="9">
        <f t="shared" si="15"/>
        <v>8738.945409222677</v>
      </c>
      <c r="AW16" s="9">
        <f t="shared" si="15"/>
        <v>8651.5559551304505</v>
      </c>
      <c r="AX16" s="9">
        <f t="shared" si="15"/>
        <v>8565.0403955791462</v>
      </c>
      <c r="AY16" s="9">
        <f t="shared" si="15"/>
        <v>8479.3899916233549</v>
      </c>
      <c r="AZ16" s="9">
        <f t="shared" si="15"/>
        <v>8394.5960917071206</v>
      </c>
      <c r="BA16" s="9">
        <f t="shared" si="15"/>
        <v>8310.6501307900489</v>
      </c>
      <c r="BB16" s="9">
        <f t="shared" si="15"/>
        <v>8227.5436294821484</v>
      </c>
      <c r="BC16" s="9">
        <f t="shared" si="15"/>
        <v>8145.2681931873267</v>
      </c>
      <c r="BD16" s="9">
        <f t="shared" si="15"/>
        <v>8063.8155112554532</v>
      </c>
      <c r="BE16" s="9">
        <f t="shared" si="15"/>
        <v>7983.177356142899</v>
      </c>
      <c r="BF16" s="9">
        <f t="shared" si="15"/>
        <v>7903.3455825814699</v>
      </c>
      <c r="BG16" s="9">
        <f t="shared" si="15"/>
        <v>7824.3121267556553</v>
      </c>
      <c r="BH16" s="9">
        <f t="shared" si="15"/>
        <v>7746.0690054880988</v>
      </c>
      <c r="BI16" s="9">
        <f t="shared" si="15"/>
        <v>7668.6083154332182</v>
      </c>
      <c r="BJ16" s="9">
        <f t="shared" si="15"/>
        <v>7591.9222322788855</v>
      </c>
      <c r="BK16" s="9">
        <f t="shared" si="15"/>
        <v>7516.0030099560963</v>
      </c>
      <c r="BL16" s="9">
        <f t="shared" si="15"/>
        <v>7440.8429798565348</v>
      </c>
      <c r="BM16" s="9">
        <f t="shared" si="15"/>
        <v>7366.4345500579693</v>
      </c>
      <c r="BN16" s="9">
        <f t="shared" si="15"/>
        <v>7292.7702045573897</v>
      </c>
      <c r="BO16" s="9">
        <f t="shared" si="15"/>
        <v>7219.8425025118158</v>
      </c>
      <c r="BP16" s="9">
        <f t="shared" si="15"/>
        <v>7147.6440774866978</v>
      </c>
      <c r="BQ16" s="9">
        <f t="shared" si="15"/>
        <v>7076.1676367118307</v>
      </c>
      <c r="BR16" s="9">
        <f t="shared" si="15"/>
        <v>7005.4059603447122</v>
      </c>
      <c r="BS16" s="9">
        <f t="shared" si="15"/>
        <v>6935.3519007412651</v>
      </c>
      <c r="BT16" s="9">
        <f t="shared" si="15"/>
        <v>6865.9983817338525</v>
      </c>
      <c r="BU16" s="9">
        <f t="shared" si="15"/>
        <v>6797.3383979165137</v>
      </c>
      <c r="BV16" s="9">
        <f t="shared" si="15"/>
        <v>6729.3650139373485</v>
      </c>
      <c r="BW16" s="9">
        <f t="shared" si="15"/>
        <v>6662.0713637979752</v>
      </c>
      <c r="BX16" s="9">
        <f t="shared" si="15"/>
        <v>6595.4506501599953</v>
      </c>
      <c r="BY16" s="9">
        <f t="shared" si="15"/>
        <v>6529.4961436583953</v>
      </c>
      <c r="BZ16" s="9">
        <f t="shared" si="15"/>
        <v>6464.201182221811</v>
      </c>
      <c r="CA16" s="9">
        <f t="shared" si="15"/>
        <v>6399.5591703995924</v>
      </c>
      <c r="CB16" s="9">
        <f t="shared" si="15"/>
        <v>6335.5635786955963</v>
      </c>
      <c r="CC16" s="9">
        <f t="shared" si="15"/>
        <v>6272.2079429086407</v>
      </c>
      <c r="CD16" s="9">
        <f t="shared" si="15"/>
        <v>6209.4858634795546</v>
      </c>
      <c r="CE16" s="9">
        <f t="shared" si="15"/>
        <v>6147.3910048447588</v>
      </c>
      <c r="CF16" s="9">
        <f t="shared" si="15"/>
        <v>6085.9170947963112</v>
      </c>
      <c r="CG16" s="9">
        <f t="shared" si="15"/>
        <v>6025.0579238483479</v>
      </c>
      <c r="CH16" s="9">
        <f t="shared" si="15"/>
        <v>5964.8073446098642</v>
      </c>
      <c r="CI16" s="9">
        <f t="shared" si="15"/>
        <v>5905.1592711637659</v>
      </c>
      <c r="CJ16" s="9">
        <f t="shared" si="15"/>
        <v>5846.1076784521283</v>
      </c>
      <c r="CK16" s="9">
        <f t="shared" si="15"/>
        <v>5787.6466016676068</v>
      </c>
      <c r="CL16" s="9">
        <f t="shared" ref="CL16:EW16" si="16">CK16*(1+$AA$20)</f>
        <v>5729.7701356509306</v>
      </c>
      <c r="CM16" s="9">
        <f t="shared" si="16"/>
        <v>5672.472434294421</v>
      </c>
      <c r="CN16" s="9">
        <f t="shared" si="16"/>
        <v>5615.7477099514763</v>
      </c>
      <c r="CO16" s="9">
        <f t="shared" si="16"/>
        <v>5559.5902328519614</v>
      </c>
      <c r="CP16" s="9">
        <f t="shared" si="16"/>
        <v>5503.9943305234419</v>
      </c>
      <c r="CQ16" s="9">
        <f t="shared" si="16"/>
        <v>5448.9543872182076</v>
      </c>
      <c r="CR16" s="9">
        <f t="shared" si="16"/>
        <v>5394.4648433460252</v>
      </c>
      <c r="CS16" s="9">
        <f t="shared" si="16"/>
        <v>5340.5201949125649</v>
      </c>
      <c r="CT16" s="9">
        <f t="shared" si="16"/>
        <v>5287.1149929634394</v>
      </c>
      <c r="CU16" s="9">
        <f t="shared" si="16"/>
        <v>5234.2438430338052</v>
      </c>
      <c r="CV16" s="9">
        <f t="shared" si="16"/>
        <v>5181.9014046034672</v>
      </c>
      <c r="CW16" s="9">
        <f t="shared" si="16"/>
        <v>5130.0823905574325</v>
      </c>
      <c r="CX16" s="9">
        <f t="shared" si="16"/>
        <v>5078.7815666518582</v>
      </c>
      <c r="CY16" s="9">
        <f t="shared" si="16"/>
        <v>5027.9937509853398</v>
      </c>
      <c r="CZ16" s="9">
        <f t="shared" si="16"/>
        <v>4977.7138134754859</v>
      </c>
      <c r="DA16" s="9">
        <f t="shared" si="16"/>
        <v>4927.9366753407312</v>
      </c>
      <c r="DB16" s="9">
        <f t="shared" si="16"/>
        <v>4878.6573085873242</v>
      </c>
      <c r="DC16" s="9">
        <f t="shared" si="16"/>
        <v>4829.8707355014512</v>
      </c>
      <c r="DD16" s="9">
        <f t="shared" si="16"/>
        <v>4781.5720281464364</v>
      </c>
      <c r="DE16" s="9">
        <f t="shared" si="16"/>
        <v>4733.7563078649719</v>
      </c>
      <c r="DF16" s="9">
        <f t="shared" si="16"/>
        <v>4686.4187447863223</v>
      </c>
      <c r="DG16" s="9">
        <f t="shared" si="16"/>
        <v>4639.5545573384588</v>
      </c>
      <c r="DH16" s="9">
        <f t="shared" si="16"/>
        <v>4593.159011765074</v>
      </c>
      <c r="DI16" s="9">
        <f t="shared" si="16"/>
        <v>4547.2274216474234</v>
      </c>
      <c r="DJ16" s="9">
        <f t="shared" si="16"/>
        <v>4501.7551474309494</v>
      </c>
      <c r="DK16" s="9">
        <f t="shared" si="16"/>
        <v>4456.7375959566398</v>
      </c>
      <c r="DL16" s="9">
        <f t="shared" si="16"/>
        <v>4412.1702199970732</v>
      </c>
      <c r="DM16" s="9">
        <f t="shared" si="16"/>
        <v>4368.0485177971022</v>
      </c>
      <c r="DN16" s="9">
        <f t="shared" si="16"/>
        <v>4324.3680326191316</v>
      </c>
      <c r="DO16" s="9">
        <f t="shared" si="16"/>
        <v>4281.1243522929399</v>
      </c>
      <c r="DP16" s="9">
        <f t="shared" si="16"/>
        <v>4238.3131087700103</v>
      </c>
      <c r="DQ16" s="9">
        <f t="shared" si="16"/>
        <v>4195.92997768231</v>
      </c>
      <c r="DR16" s="9">
        <f t="shared" si="16"/>
        <v>4153.9706779054868</v>
      </c>
      <c r="DS16" s="9">
        <f t="shared" si="16"/>
        <v>4112.4309711264323</v>
      </c>
      <c r="DT16" s="9">
        <f t="shared" si="16"/>
        <v>4071.306661415168</v>
      </c>
      <c r="DU16" s="9">
        <f t="shared" si="16"/>
        <v>4030.5935948010165</v>
      </c>
      <c r="DV16" s="9">
        <f t="shared" si="16"/>
        <v>3990.2876588530062</v>
      </c>
      <c r="DW16" s="9">
        <f t="shared" si="16"/>
        <v>3950.3847822644761</v>
      </c>
      <c r="DX16" s="9">
        <f t="shared" si="16"/>
        <v>3910.8809344418314</v>
      </c>
      <c r="DY16" s="9">
        <f t="shared" si="16"/>
        <v>3871.7721250974132</v>
      </c>
      <c r="DZ16" s="9">
        <f t="shared" si="16"/>
        <v>3833.0544038464391</v>
      </c>
      <c r="EA16" s="9">
        <f t="shared" si="16"/>
        <v>3794.7238598079748</v>
      </c>
      <c r="EB16" s="9">
        <f t="shared" si="16"/>
        <v>3756.776621209895</v>
      </c>
      <c r="EC16" s="9">
        <f t="shared" si="16"/>
        <v>3719.2088549977962</v>
      </c>
      <c r="ED16" s="9">
        <f t="shared" si="16"/>
        <v>3682.0167664478181</v>
      </c>
      <c r="EE16" s="9">
        <f t="shared" si="16"/>
        <v>3645.1965987833401</v>
      </c>
      <c r="EF16" s="9">
        <f t="shared" si="16"/>
        <v>3608.7446327955067</v>
      </c>
      <c r="EG16" s="9">
        <f t="shared" si="16"/>
        <v>3572.6571864675516</v>
      </c>
      <c r="EH16" s="9">
        <f t="shared" si="16"/>
        <v>3536.9306146028762</v>
      </c>
      <c r="EI16" s="9">
        <f t="shared" si="16"/>
        <v>3501.5613084568472</v>
      </c>
      <c r="EJ16" s="9">
        <f t="shared" si="16"/>
        <v>3466.5456953722787</v>
      </c>
      <c r="EK16" s="9">
        <f t="shared" si="16"/>
        <v>3431.880238418556</v>
      </c>
      <c r="EL16" s="9">
        <f t="shared" si="16"/>
        <v>3397.5614360343702</v>
      </c>
      <c r="EM16" s="9">
        <f t="shared" si="16"/>
        <v>3363.5858216740266</v>
      </c>
      <c r="EN16" s="9">
        <f t="shared" si="16"/>
        <v>3329.9499634572862</v>
      </c>
      <c r="EO16" s="9">
        <f t="shared" si="16"/>
        <v>3296.6504638227134</v>
      </c>
      <c r="EP16" s="9">
        <f t="shared" si="16"/>
        <v>3263.6839591844864</v>
      </c>
      <c r="EQ16" s="9">
        <f t="shared" si="16"/>
        <v>3231.0471195926416</v>
      </c>
      <c r="ER16" s="9">
        <f t="shared" si="16"/>
        <v>3198.7366483967153</v>
      </c>
      <c r="ES16" s="9">
        <f t="shared" si="16"/>
        <v>3166.7492819127483</v>
      </c>
      <c r="ET16" s="9">
        <f t="shared" si="16"/>
        <v>3135.081789093621</v>
      </c>
      <c r="EU16" s="9">
        <f t="shared" si="16"/>
        <v>3103.7309712026849</v>
      </c>
      <c r="EV16" s="9">
        <f t="shared" si="16"/>
        <v>3072.6936614906581</v>
      </c>
      <c r="EW16" s="9">
        <f t="shared" si="16"/>
        <v>3041.9667248757514</v>
      </c>
      <c r="EX16" s="9">
        <f t="shared" ref="EX16:HI16" si="17">EW16*(1+$AA$20)</f>
        <v>3011.547057626994</v>
      </c>
      <c r="EY16" s="9">
        <f t="shared" si="17"/>
        <v>2981.4315870507239</v>
      </c>
      <c r="EZ16" s="9">
        <f t="shared" si="17"/>
        <v>2951.6172711802164</v>
      </c>
      <c r="FA16" s="9">
        <f t="shared" si="17"/>
        <v>2922.1010984684144</v>
      </c>
      <c r="FB16" s="9">
        <f t="shared" si="17"/>
        <v>2892.8800874837302</v>
      </c>
      <c r="FC16" s="9">
        <f t="shared" si="17"/>
        <v>2863.951286608893</v>
      </c>
      <c r="FD16" s="9">
        <f t="shared" si="17"/>
        <v>2835.3117737428042</v>
      </c>
      <c r="FE16" s="9">
        <f t="shared" si="17"/>
        <v>2806.9586560053763</v>
      </c>
      <c r="FF16" s="9">
        <f t="shared" si="17"/>
        <v>2778.8890694453225</v>
      </c>
      <c r="FG16" s="9">
        <f t="shared" si="17"/>
        <v>2751.1001787508694</v>
      </c>
      <c r="FH16" s="9">
        <f t="shared" si="17"/>
        <v>2723.5891769633608</v>
      </c>
      <c r="FI16" s="9">
        <f t="shared" si="17"/>
        <v>2696.3532851937271</v>
      </c>
      <c r="FJ16" s="9">
        <f t="shared" si="17"/>
        <v>2669.38975234179</v>
      </c>
      <c r="FK16" s="9">
        <f t="shared" si="17"/>
        <v>2642.695854818372</v>
      </c>
      <c r="FL16" s="9">
        <f t="shared" si="17"/>
        <v>2616.2688962701882</v>
      </c>
      <c r="FM16" s="9">
        <f t="shared" si="17"/>
        <v>2590.1062073074863</v>
      </c>
      <c r="FN16" s="9">
        <f t="shared" si="17"/>
        <v>2564.2051452344112</v>
      </c>
      <c r="FO16" s="9">
        <f t="shared" si="17"/>
        <v>2538.563093782067</v>
      </c>
      <c r="FP16" s="9">
        <f t="shared" si="17"/>
        <v>2513.1774628442463</v>
      </c>
      <c r="FQ16" s="9">
        <f t="shared" si="17"/>
        <v>2488.0456882158037</v>
      </c>
      <c r="FR16" s="9">
        <f t="shared" si="17"/>
        <v>2463.1652313336458</v>
      </c>
      <c r="FS16" s="9">
        <f t="shared" si="17"/>
        <v>2438.5335790203094</v>
      </c>
      <c r="FT16" s="9">
        <f t="shared" si="17"/>
        <v>2414.1482432301063</v>
      </c>
      <c r="FU16" s="9">
        <f t="shared" si="17"/>
        <v>2390.0067607978053</v>
      </c>
      <c r="FV16" s="9">
        <f t="shared" si="17"/>
        <v>2366.1066931898272</v>
      </c>
      <c r="FW16" s="9">
        <f t="shared" si="17"/>
        <v>2342.4456262579288</v>
      </c>
      <c r="FX16" s="9">
        <f t="shared" si="17"/>
        <v>2319.0211699953493</v>
      </c>
      <c r="FY16" s="9">
        <f t="shared" si="17"/>
        <v>2295.8309582953957</v>
      </c>
      <c r="FZ16" s="9">
        <f t="shared" si="17"/>
        <v>2272.8726487124418</v>
      </c>
      <c r="GA16" s="9">
        <f t="shared" si="17"/>
        <v>2250.1439222253175</v>
      </c>
      <c r="GB16" s="9">
        <f t="shared" si="17"/>
        <v>2227.6424830030642</v>
      </c>
      <c r="GC16" s="9">
        <f t="shared" si="17"/>
        <v>2205.3660581730337</v>
      </c>
      <c r="GD16" s="9">
        <f t="shared" si="17"/>
        <v>2183.3123975913031</v>
      </c>
      <c r="GE16" s="9">
        <f t="shared" si="17"/>
        <v>2161.47927361539</v>
      </c>
      <c r="GF16" s="9">
        <f t="shared" si="17"/>
        <v>2139.864480879236</v>
      </c>
      <c r="GG16" s="9">
        <f t="shared" si="17"/>
        <v>2118.4658360704434</v>
      </c>
      <c r="GH16" s="9">
        <f t="shared" si="17"/>
        <v>2097.281177709739</v>
      </c>
      <c r="GI16" s="9">
        <f t="shared" si="17"/>
        <v>2076.3083659326417</v>
      </c>
      <c r="GJ16" s="9">
        <f t="shared" si="17"/>
        <v>2055.545282273315</v>
      </c>
      <c r="GK16" s="9">
        <f t="shared" si="17"/>
        <v>2034.989829450582</v>
      </c>
      <c r="GL16" s="9">
        <f t="shared" si="17"/>
        <v>2014.639931156076</v>
      </c>
      <c r="GM16" s="9">
        <f t="shared" si="17"/>
        <v>1994.4935318445152</v>
      </c>
      <c r="GN16" s="9">
        <f t="shared" si="17"/>
        <v>1974.54859652607</v>
      </c>
      <c r="GO16" s="9">
        <f t="shared" si="17"/>
        <v>1954.8031105608093</v>
      </c>
      <c r="GP16" s="9">
        <f t="shared" si="17"/>
        <v>1935.2550794552012</v>
      </c>
      <c r="GQ16" s="9">
        <f t="shared" si="17"/>
        <v>1915.9025286606493</v>
      </c>
      <c r="GR16" s="9">
        <f t="shared" si="17"/>
        <v>1896.7435033740428</v>
      </c>
      <c r="GS16" s="9">
        <f t="shared" si="17"/>
        <v>1877.7760683403023</v>
      </c>
      <c r="GT16" s="9">
        <f t="shared" si="17"/>
        <v>1858.9983076568992</v>
      </c>
      <c r="GU16" s="9">
        <f t="shared" si="17"/>
        <v>1840.4083245803301</v>
      </c>
      <c r="GV16" s="9">
        <f t="shared" si="17"/>
        <v>1822.0042413345268</v>
      </c>
      <c r="GW16" s="9">
        <f t="shared" si="17"/>
        <v>1803.7841989211815</v>
      </c>
      <c r="GX16" s="9">
        <f t="shared" si="17"/>
        <v>1785.7463569319698</v>
      </c>
      <c r="GY16" s="9">
        <f t="shared" si="17"/>
        <v>1767.8888933626502</v>
      </c>
      <c r="GZ16" s="9">
        <f t="shared" si="17"/>
        <v>1750.2100044290237</v>
      </c>
      <c r="HA16" s="9">
        <f t="shared" si="17"/>
        <v>1732.7079043847334</v>
      </c>
      <c r="HB16" s="9">
        <f t="shared" si="17"/>
        <v>1715.3808253408861</v>
      </c>
      <c r="HC16" s="9">
        <f t="shared" si="17"/>
        <v>1698.2270170874772</v>
      </c>
      <c r="HD16" s="9">
        <f t="shared" si="17"/>
        <v>1681.2447469166025</v>
      </c>
      <c r="HE16" s="9">
        <f t="shared" si="17"/>
        <v>1664.4322994474364</v>
      </c>
      <c r="HF16" s="9">
        <f t="shared" si="17"/>
        <v>1647.7879764529621</v>
      </c>
      <c r="HG16" s="9">
        <f t="shared" si="17"/>
        <v>1631.3100966884324</v>
      </c>
      <c r="HH16" s="9">
        <f t="shared" si="17"/>
        <v>1614.996995721548</v>
      </c>
      <c r="HI16" s="9">
        <f t="shared" si="17"/>
        <v>1598.8470257643326</v>
      </c>
      <c r="HJ16" s="9">
        <f t="shared" ref="HJ16:HQ16" si="18">HI16*(1+$AA$20)</f>
        <v>1582.8585555066893</v>
      </c>
      <c r="HK16" s="9">
        <f t="shared" si="18"/>
        <v>1567.0299699516224</v>
      </c>
      <c r="HL16" s="9">
        <f t="shared" si="18"/>
        <v>1551.3596702521063</v>
      </c>
      <c r="HM16" s="9">
        <f t="shared" si="18"/>
        <v>1535.8460735495853</v>
      </c>
      <c r="HN16" s="9">
        <f t="shared" si="18"/>
        <v>1520.4876128140895</v>
      </c>
      <c r="HO16" s="9">
        <f t="shared" si="18"/>
        <v>1505.2827366859485</v>
      </c>
      <c r="HP16" s="9">
        <f t="shared" si="18"/>
        <v>1490.2299093190891</v>
      </c>
      <c r="HQ16" s="9">
        <f t="shared" si="18"/>
        <v>1475.3276102258981</v>
      </c>
    </row>
    <row r="17" spans="3:27" x14ac:dyDescent="0.25">
      <c r="C17" s="2" t="s">
        <v>64</v>
      </c>
      <c r="D17" s="2">
        <v>702.3</v>
      </c>
      <c r="E17" s="2">
        <v>702.3</v>
      </c>
      <c r="F17" s="2">
        <v>702.3</v>
      </c>
      <c r="G17" s="2">
        <v>702.3</v>
      </c>
      <c r="H17" s="2">
        <v>702.3</v>
      </c>
      <c r="I17" s="2">
        <v>702.3</v>
      </c>
      <c r="J17" s="2">
        <v>702.3</v>
      </c>
      <c r="K17" s="2">
        <v>702.3</v>
      </c>
      <c r="L17" s="2">
        <v>702.3</v>
      </c>
      <c r="M17" s="2">
        <v>649.9</v>
      </c>
      <c r="N17" s="3">
        <v>683.9</v>
      </c>
      <c r="O17" s="2">
        <v>683.9</v>
      </c>
      <c r="P17" s="2">
        <v>683.9</v>
      </c>
      <c r="Q17" s="2">
        <v>683.9</v>
      </c>
      <c r="R17" s="2">
        <v>683.9</v>
      </c>
      <c r="S17" s="2">
        <v>683.9</v>
      </c>
      <c r="T17" s="2">
        <v>683.9</v>
      </c>
      <c r="U17" s="2">
        <v>683.9</v>
      </c>
      <c r="V17" s="2">
        <v>683.9</v>
      </c>
      <c r="W17" s="2">
        <v>683.9</v>
      </c>
      <c r="X17" s="2">
        <v>683.9</v>
      </c>
    </row>
    <row r="18" spans="3:27" x14ac:dyDescent="0.25">
      <c r="C18" s="2" t="s">
        <v>65</v>
      </c>
      <c r="D18" s="13">
        <f t="shared" ref="D18:N18" si="19">D16/D17</f>
        <v>9.3663676491527852</v>
      </c>
      <c r="E18" s="13">
        <f t="shared" si="19"/>
        <v>6.0401537804357117</v>
      </c>
      <c r="F18" s="13">
        <f t="shared" si="19"/>
        <v>12.508899330770326</v>
      </c>
      <c r="G18" s="13">
        <f t="shared" si="19"/>
        <v>12.177132279652572</v>
      </c>
      <c r="H18" s="13">
        <f t="shared" si="19"/>
        <v>14.540794532251176</v>
      </c>
      <c r="I18" s="13">
        <f t="shared" si="19"/>
        <v>16.72647016944326</v>
      </c>
      <c r="J18" s="13">
        <f t="shared" si="19"/>
        <v>13.968389577103803</v>
      </c>
      <c r="K18" s="13">
        <f t="shared" si="19"/>
        <v>8.6344866866011678</v>
      </c>
      <c r="L18" s="13">
        <f t="shared" si="19"/>
        <v>17.3116901608999</v>
      </c>
      <c r="M18" s="13">
        <f t="shared" si="19"/>
        <v>19.959993845206956</v>
      </c>
      <c r="N18" s="8">
        <f t="shared" si="19"/>
        <v>18.697177949992689</v>
      </c>
      <c r="O18" s="13">
        <f t="shared" ref="O18:X18" si="20">O16/O17</f>
        <v>16.371375932153839</v>
      </c>
      <c r="P18" s="13">
        <f t="shared" si="20"/>
        <v>16.359892147974865</v>
      </c>
      <c r="Q18" s="13">
        <f t="shared" si="20"/>
        <v>16.348293525954102</v>
      </c>
      <c r="R18" s="13">
        <f t="shared" si="20"/>
        <v>16.33657891771313</v>
      </c>
      <c r="S18" s="13">
        <f t="shared" si="20"/>
        <v>16.324747163389748</v>
      </c>
      <c r="T18" s="13">
        <f t="shared" si="20"/>
        <v>16.312797091523137</v>
      </c>
      <c r="U18" s="13">
        <f t="shared" si="20"/>
        <v>16.300727518937855</v>
      </c>
      <c r="V18" s="13">
        <f t="shared" si="20"/>
        <v>16.288537250626721</v>
      </c>
      <c r="W18" s="13">
        <f t="shared" si="20"/>
        <v>16.276225079632475</v>
      </c>
      <c r="X18" s="13">
        <f t="shared" si="20"/>
        <v>16.263789786928289</v>
      </c>
    </row>
    <row r="19" spans="3:27" x14ac:dyDescent="0.25">
      <c r="Z19" s="2" t="s">
        <v>147</v>
      </c>
      <c r="AA19" s="39">
        <v>0.08</v>
      </c>
    </row>
    <row r="20" spans="3:27" x14ac:dyDescent="0.25">
      <c r="C20" s="1" t="s">
        <v>38</v>
      </c>
      <c r="D20" s="16"/>
      <c r="E20" s="16">
        <f t="shared" ref="E20:J20" si="21">(E4-D4)/D4</f>
        <v>2.7598737299404177E-2</v>
      </c>
      <c r="F20" s="16">
        <f t="shared" si="21"/>
        <v>7.9288409490507514E-2</v>
      </c>
      <c r="G20" s="16">
        <f t="shared" si="21"/>
        <v>8.4519287969615151E-2</v>
      </c>
      <c r="H20" s="16">
        <f t="shared" si="21"/>
        <v>8.8396624472573834E-2</v>
      </c>
      <c r="I20" s="16">
        <f t="shared" si="21"/>
        <v>-5.6003101376235702E-2</v>
      </c>
      <c r="J20" s="16">
        <f t="shared" si="21"/>
        <v>9.4454300545370915E-4</v>
      </c>
      <c r="K20" s="16">
        <f>(K4-J4)/J4</f>
        <v>0.28150360639057331</v>
      </c>
      <c r="L20" s="16">
        <f>(L4-K4)/K4</f>
        <v>-5.7794881317513272E-2</v>
      </c>
      <c r="M20" s="16">
        <f t="shared" ref="M20:W20" si="22">(M4-L4)/L4</f>
        <v>-1.0880276186398636E-2</v>
      </c>
      <c r="N20" s="41">
        <f t="shared" si="22"/>
        <v>-4.8452035782501755E-2</v>
      </c>
      <c r="O20" s="16">
        <f t="shared" si="22"/>
        <v>0</v>
      </c>
      <c r="P20" s="16">
        <f t="shared" si="22"/>
        <v>0</v>
      </c>
      <c r="Q20" s="16">
        <f t="shared" si="22"/>
        <v>0</v>
      </c>
      <c r="R20" s="16">
        <f t="shared" si="22"/>
        <v>0</v>
      </c>
      <c r="S20" s="16">
        <f t="shared" si="22"/>
        <v>0</v>
      </c>
      <c r="T20" s="16">
        <f t="shared" si="22"/>
        <v>0</v>
      </c>
      <c r="U20" s="16">
        <f t="shared" si="22"/>
        <v>0</v>
      </c>
      <c r="V20" s="16">
        <f t="shared" si="22"/>
        <v>0</v>
      </c>
      <c r="W20" s="16">
        <f t="shared" si="22"/>
        <v>0</v>
      </c>
      <c r="X20" s="16">
        <f t="shared" ref="X20" si="23">(X4-W4)/W4</f>
        <v>0</v>
      </c>
      <c r="Z20" s="2" t="s">
        <v>148</v>
      </c>
      <c r="AA20" s="39">
        <v>-0.01</v>
      </c>
    </row>
    <row r="21" spans="3:27" x14ac:dyDescent="0.25">
      <c r="C21" s="2" t="s">
        <v>45</v>
      </c>
      <c r="D21" s="15">
        <f t="shared" ref="D21:J21" si="24">D6/D4</f>
        <v>0.26687237994701529</v>
      </c>
      <c r="E21" s="15">
        <f t="shared" si="24"/>
        <v>0.27884786345048301</v>
      </c>
      <c r="F21" s="15">
        <f t="shared" si="24"/>
        <v>0.29155722326454031</v>
      </c>
      <c r="G21" s="15">
        <f t="shared" si="24"/>
        <v>0.270084388185654</v>
      </c>
      <c r="H21" s="15">
        <f t="shared" si="24"/>
        <v>0.29351424694708278</v>
      </c>
      <c r="I21" s="15">
        <f t="shared" si="24"/>
        <v>0.32392897036598989</v>
      </c>
      <c r="J21" s="15">
        <f t="shared" si="24"/>
        <v>0.28796146618854979</v>
      </c>
      <c r="K21" s="15">
        <f>K6/K4</f>
        <v>0.23837667202397342</v>
      </c>
      <c r="L21" s="15">
        <f>L6/L4</f>
        <v>0.30255458826887399</v>
      </c>
      <c r="M21" s="15">
        <f t="shared" ref="M21:W21" si="25">M6/M4</f>
        <v>0.32716117241284542</v>
      </c>
      <c r="N21" s="37">
        <f t="shared" si="25"/>
        <v>0.33317688852946697</v>
      </c>
      <c r="O21" s="15">
        <f t="shared" si="25"/>
        <v>0.3000000000000001</v>
      </c>
      <c r="P21" s="15">
        <f t="shared" si="25"/>
        <v>0.3000000000000001</v>
      </c>
      <c r="Q21" s="15">
        <f t="shared" si="25"/>
        <v>0.3000000000000001</v>
      </c>
      <c r="R21" s="15">
        <f t="shared" si="25"/>
        <v>0.3000000000000001</v>
      </c>
      <c r="S21" s="15">
        <f t="shared" si="25"/>
        <v>0.3000000000000001</v>
      </c>
      <c r="T21" s="15">
        <f t="shared" si="25"/>
        <v>0.3000000000000001</v>
      </c>
      <c r="U21" s="15">
        <f t="shared" si="25"/>
        <v>0.3000000000000001</v>
      </c>
      <c r="V21" s="15">
        <f t="shared" si="25"/>
        <v>0.3000000000000001</v>
      </c>
      <c r="W21" s="15">
        <f t="shared" si="25"/>
        <v>0.3000000000000001</v>
      </c>
      <c r="X21" s="15">
        <f t="shared" ref="X21" si="26">X6/X4</f>
        <v>0.3000000000000001</v>
      </c>
      <c r="Z21" s="38" t="s">
        <v>149</v>
      </c>
      <c r="AA21" s="40">
        <f>NPV(AA19,O16:JR16)</f>
        <v>131591.62980935641</v>
      </c>
    </row>
    <row r="22" spans="3:27" x14ac:dyDescent="0.25">
      <c r="C22" s="2" t="s">
        <v>39</v>
      </c>
      <c r="D22" s="15">
        <f t="shared" ref="D22:J22" si="27">D11/D4</f>
        <v>9.8295760208690713E-2</v>
      </c>
      <c r="E22" s="15">
        <f t="shared" si="27"/>
        <v>8.897844682826607E-2</v>
      </c>
      <c r="F22" s="15">
        <f t="shared" si="27"/>
        <v>0.10895529217956344</v>
      </c>
      <c r="G22" s="15">
        <f t="shared" si="27"/>
        <v>9.0793248945147675E-2</v>
      </c>
      <c r="H22" s="15">
        <f t="shared" si="27"/>
        <v>0.11125411901531304</v>
      </c>
      <c r="I22" s="15">
        <f t="shared" si="27"/>
        <v>0.13764044943820225</v>
      </c>
      <c r="J22" s="15">
        <f t="shared" si="27"/>
        <v>0.10830659653556746</v>
      </c>
      <c r="K22" s="15">
        <f>K11/K4</f>
        <v>6.0695510747696461E-2</v>
      </c>
      <c r="L22" s="15">
        <f>L11/L4</f>
        <v>0.12089271272944742</v>
      </c>
      <c r="M22" s="15">
        <f t="shared" ref="M22:W22" si="28">M11/M4</f>
        <v>0.13215066027235375</v>
      </c>
      <c r="N22" s="37">
        <f t="shared" si="28"/>
        <v>0.13430184701142286</v>
      </c>
      <c r="O22" s="15">
        <f t="shared" si="28"/>
        <v>0.10105477493609841</v>
      </c>
      <c r="P22" s="15">
        <f t="shared" si="28"/>
        <v>0.10098388955478224</v>
      </c>
      <c r="Q22" s="15">
        <f t="shared" si="28"/>
        <v>0.10091229531965291</v>
      </c>
      <c r="R22" s="15">
        <f t="shared" si="28"/>
        <v>0.10083998514217231</v>
      </c>
      <c r="S22" s="15">
        <f t="shared" si="28"/>
        <v>0.10076695186291688</v>
      </c>
      <c r="T22" s="15">
        <f t="shared" si="28"/>
        <v>0.10069318825086893</v>
      </c>
      <c r="U22" s="15">
        <f t="shared" si="28"/>
        <v>0.10061868700270046</v>
      </c>
      <c r="V22" s="15">
        <f t="shared" si="28"/>
        <v>0.10054344074205032</v>
      </c>
      <c r="W22" s="15">
        <f t="shared" si="28"/>
        <v>0.10046744201879368</v>
      </c>
      <c r="X22" s="15">
        <f t="shared" ref="X22" si="29">X11/X4</f>
        <v>0.10039068330830447</v>
      </c>
      <c r="Z22" s="2" t="s">
        <v>2</v>
      </c>
      <c r="AA22" s="2">
        <v>683.9</v>
      </c>
    </row>
    <row r="23" spans="3:27" x14ac:dyDescent="0.25">
      <c r="Z23" s="2" t="s">
        <v>150</v>
      </c>
      <c r="AA23" s="14">
        <f>AA21/AA22</f>
        <v>192.41355433448811</v>
      </c>
    </row>
    <row r="24" spans="3:27" x14ac:dyDescent="0.25">
      <c r="Z24" s="1" t="s">
        <v>151</v>
      </c>
      <c r="AA24" s="16">
        <f>(AA23-Modell!B4)/Modell!B4</f>
        <v>-0.26838952724529236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2026-09-28T19:26:48Z</dcterms:modified>
</cp:coreProperties>
</file>