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EC454B9-A640-5145-B418-1F9698CDFA64}" xr6:coauthVersionLast="47" xr6:coauthVersionMax="47" xr10:uidLastSave="{00000000-0000-0000-0000-000000000000}"/>
  <bookViews>
    <workbookView xWindow="24000" yWindow="500" windowWidth="27200" windowHeight="26740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SOTP!$B$8:$B$17</definedName>
    <definedName name="_xlchart.v1.1" hidden="1">SOTP!$G$8:$G$17</definedName>
    <definedName name="_xlchart.v1.10" hidden="1">SOTP!$G$8:$G$17</definedName>
    <definedName name="_xlchart.v1.2" hidden="1">SOTP!$B$8:$B$17</definedName>
    <definedName name="_xlchart.v1.3" hidden="1">SOTP!$G$8:$G$17</definedName>
    <definedName name="_xlchart.v1.4" hidden="1">SOTP!$B$8:$B$17</definedName>
    <definedName name="_xlchart.v1.5" hidden="1">SOTP!$G$8:$G$17</definedName>
    <definedName name="_xlchart.v1.6" hidden="1">SOTP!$B$8:$B$17</definedName>
    <definedName name="_xlchart.v1.7" hidden="1">SOTP!$G$8:$G$17</definedName>
    <definedName name="_xlchart.v1.8" hidden="1">SOTP!$G$8:$G$17</definedName>
    <definedName name="_xlchart.v1.9" hidden="1">SOTP!$B$8:$B$17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6" l="1"/>
  <c r="G12" i="6"/>
  <c r="G14" i="6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AA76" i="2"/>
  <c r="AA69" i="2"/>
  <c r="AB83" i="2"/>
  <c r="AB90" i="2" s="1"/>
  <c r="AB76" i="2"/>
  <c r="AB80" i="2" s="1"/>
  <c r="AB69" i="2"/>
  <c r="AB74" i="2" s="1"/>
  <c r="AB96" i="2" s="1"/>
  <c r="AC76" i="2"/>
  <c r="AC69" i="2"/>
  <c r="AD76" i="2"/>
  <c r="AD69" i="2"/>
  <c r="AE76" i="2"/>
  <c r="AE69" i="2"/>
  <c r="AF82" i="2"/>
  <c r="AF90" i="2" s="1"/>
  <c r="AF76" i="2"/>
  <c r="AF80" i="2" s="1"/>
  <c r="AF69" i="2"/>
  <c r="AF74" i="2" s="1"/>
  <c r="AF96" i="2" s="1"/>
  <c r="AG76" i="2"/>
  <c r="AG80" i="2" s="1"/>
  <c r="AG69" i="2"/>
  <c r="AH76" i="2"/>
  <c r="AH69" i="2"/>
  <c r="AI76" i="2"/>
  <c r="AI80" i="2" s="1"/>
  <c r="AI69" i="2"/>
  <c r="AI90" i="2"/>
  <c r="AH90" i="2"/>
  <c r="AG90" i="2"/>
  <c r="AE90" i="2"/>
  <c r="AD90" i="2"/>
  <c r="AC90" i="2"/>
  <c r="AA90" i="2"/>
  <c r="Z90" i="2"/>
  <c r="AH80" i="2"/>
  <c r="AE80" i="2"/>
  <c r="AD80" i="2"/>
  <c r="AC80" i="2"/>
  <c r="AA80" i="2"/>
  <c r="Z80" i="2"/>
  <c r="AI74" i="2"/>
  <c r="AH74" i="2"/>
  <c r="AH96" i="2" s="1"/>
  <c r="AG74" i="2"/>
  <c r="AE74" i="2"/>
  <c r="AD74" i="2"/>
  <c r="AD96" i="2" s="1"/>
  <c r="AC74" i="2"/>
  <c r="AC96" i="2" s="1"/>
  <c r="AA74" i="2"/>
  <c r="AA96" i="2" s="1"/>
  <c r="Z74" i="2"/>
  <c r="Z96" i="2" s="1"/>
  <c r="S69" i="2"/>
  <c r="R86" i="2"/>
  <c r="S86" i="2" s="1"/>
  <c r="R85" i="2"/>
  <c r="S85" i="2" s="1"/>
  <c r="R79" i="2"/>
  <c r="S79" i="2" s="1"/>
  <c r="R72" i="2"/>
  <c r="S72" i="2" s="1"/>
  <c r="R71" i="2"/>
  <c r="S71" i="2" s="1"/>
  <c r="R69" i="2"/>
  <c r="R68" i="2"/>
  <c r="S68" i="2" s="1"/>
  <c r="Q92" i="2"/>
  <c r="R92" i="2" s="1"/>
  <c r="S92" i="2" s="1"/>
  <c r="Q89" i="2"/>
  <c r="R89" i="2" s="1"/>
  <c r="S89" i="2" s="1"/>
  <c r="Q86" i="2"/>
  <c r="Q85" i="2"/>
  <c r="Q84" i="2"/>
  <c r="R84" i="2" s="1"/>
  <c r="S84" i="2" s="1"/>
  <c r="Q83" i="2"/>
  <c r="R83" i="2" s="1"/>
  <c r="Q79" i="2"/>
  <c r="Q78" i="2"/>
  <c r="R78" i="2" s="1"/>
  <c r="S78" i="2" s="1"/>
  <c r="Q76" i="2"/>
  <c r="R76" i="2" s="1"/>
  <c r="Q73" i="2"/>
  <c r="R73" i="2" s="1"/>
  <c r="S73" i="2" s="1"/>
  <c r="Q72" i="2"/>
  <c r="Q71" i="2"/>
  <c r="Q70" i="2"/>
  <c r="R70" i="2" s="1"/>
  <c r="S70" i="2" s="1"/>
  <c r="Q68" i="2"/>
  <c r="Q67" i="2"/>
  <c r="R67" i="2" s="1"/>
  <c r="S67" i="2" s="1"/>
  <c r="Q66" i="2"/>
  <c r="R66" i="2" s="1"/>
  <c r="S66" i="2" s="1"/>
  <c r="Q65" i="2"/>
  <c r="R65" i="2" s="1"/>
  <c r="S65" i="2" s="1"/>
  <c r="O74" i="2"/>
  <c r="O94" i="2" s="1"/>
  <c r="N74" i="2"/>
  <c r="N96" i="2" s="1"/>
  <c r="M74" i="2"/>
  <c r="M96" i="2" s="1"/>
  <c r="L74" i="2"/>
  <c r="L96" i="2" s="1"/>
  <c r="K74" i="2"/>
  <c r="K96" i="2" s="1"/>
  <c r="J74" i="2"/>
  <c r="J96" i="2" s="1"/>
  <c r="I74" i="2"/>
  <c r="H74" i="2"/>
  <c r="H96" i="2" s="1"/>
  <c r="G74" i="2"/>
  <c r="G94" i="2" s="1"/>
  <c r="F74" i="2"/>
  <c r="F96" i="2" s="1"/>
  <c r="E74" i="2"/>
  <c r="E96" i="2" s="1"/>
  <c r="D74" i="2"/>
  <c r="D96" i="2" s="1"/>
  <c r="O80" i="2"/>
  <c r="N80" i="2"/>
  <c r="M80" i="2"/>
  <c r="L80" i="2"/>
  <c r="K80" i="2"/>
  <c r="J80" i="2"/>
  <c r="I80" i="2"/>
  <c r="H80" i="2"/>
  <c r="G80" i="2"/>
  <c r="F80" i="2"/>
  <c r="E80" i="2"/>
  <c r="D80" i="2"/>
  <c r="O90" i="2"/>
  <c r="N90" i="2"/>
  <c r="M90" i="2"/>
  <c r="L90" i="2"/>
  <c r="L94" i="2" s="1"/>
  <c r="K90" i="2"/>
  <c r="J90" i="2"/>
  <c r="I90" i="2"/>
  <c r="H90" i="2"/>
  <c r="G90" i="2"/>
  <c r="F90" i="2"/>
  <c r="E90" i="2"/>
  <c r="D90" i="2"/>
  <c r="I96" i="2"/>
  <c r="G96" i="2"/>
  <c r="P90" i="2"/>
  <c r="P80" i="2"/>
  <c r="P74" i="2"/>
  <c r="P96" i="2" s="1"/>
  <c r="P69" i="2"/>
  <c r="Q69" i="2" s="1"/>
  <c r="G6" i="2"/>
  <c r="G9" i="2" s="1"/>
  <c r="G11" i="2" s="1"/>
  <c r="K6" i="2"/>
  <c r="K9" i="2" s="1"/>
  <c r="K11" i="2" s="1"/>
  <c r="D64" i="2"/>
  <c r="E64" i="2"/>
  <c r="F64" i="2"/>
  <c r="H64" i="2"/>
  <c r="I64" i="2"/>
  <c r="J64" i="2"/>
  <c r="M64" i="2"/>
  <c r="P44" i="2"/>
  <c r="A5" i="5"/>
  <c r="P5" i="5"/>
  <c r="Q5" i="5"/>
  <c r="R5" i="5"/>
  <c r="S5" i="5"/>
  <c r="T5" i="5"/>
  <c r="U5" i="5"/>
  <c r="V5" i="5"/>
  <c r="W5" i="5"/>
  <c r="X5" i="5"/>
  <c r="O5" i="5"/>
  <c r="P7" i="5"/>
  <c r="Q7" i="5" s="1"/>
  <c r="R7" i="5" s="1"/>
  <c r="S7" i="5" s="1"/>
  <c r="T7" i="5" s="1"/>
  <c r="U7" i="5" s="1"/>
  <c r="V7" i="5" s="1"/>
  <c r="W7" i="5" s="1"/>
  <c r="X7" i="5" s="1"/>
  <c r="O7" i="5"/>
  <c r="P4" i="5"/>
  <c r="Q4" i="5" s="1"/>
  <c r="R4" i="5" s="1"/>
  <c r="S4" i="5" s="1"/>
  <c r="T4" i="5" s="1"/>
  <c r="U4" i="5" s="1"/>
  <c r="V4" i="5" s="1"/>
  <c r="W4" i="5" s="1"/>
  <c r="X4" i="5" s="1"/>
  <c r="O4" i="5"/>
  <c r="N22" i="5"/>
  <c r="M22" i="5"/>
  <c r="L22" i="5"/>
  <c r="K22" i="5"/>
  <c r="J22" i="5"/>
  <c r="I22" i="5"/>
  <c r="H22" i="5"/>
  <c r="G22" i="5"/>
  <c r="F22" i="5"/>
  <c r="E22" i="5"/>
  <c r="D22" i="5"/>
  <c r="N21" i="5"/>
  <c r="M21" i="5"/>
  <c r="L21" i="5"/>
  <c r="K21" i="5"/>
  <c r="J21" i="5"/>
  <c r="I21" i="5"/>
  <c r="H21" i="5"/>
  <c r="G21" i="5"/>
  <c r="F21" i="5"/>
  <c r="E21" i="5"/>
  <c r="D21" i="5"/>
  <c r="O20" i="5"/>
  <c r="N20" i="5"/>
  <c r="M20" i="5"/>
  <c r="L20" i="5"/>
  <c r="K20" i="5"/>
  <c r="J20" i="5"/>
  <c r="I20" i="5"/>
  <c r="H20" i="5"/>
  <c r="G20" i="5"/>
  <c r="F20" i="5"/>
  <c r="E20" i="5"/>
  <c r="K13" i="5"/>
  <c r="J13" i="5"/>
  <c r="I13" i="5"/>
  <c r="H13" i="5"/>
  <c r="G13" i="5"/>
  <c r="F13" i="5"/>
  <c r="E13" i="5"/>
  <c r="D13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K10" i="5"/>
  <c r="G10" i="5"/>
  <c r="F10" i="5"/>
  <c r="O8" i="5"/>
  <c r="K7" i="5"/>
  <c r="J7" i="5"/>
  <c r="I7" i="5"/>
  <c r="H7" i="5"/>
  <c r="G7" i="5"/>
  <c r="F7" i="5"/>
  <c r="E7" i="5"/>
  <c r="D7" i="5"/>
  <c r="N6" i="5"/>
  <c r="N9" i="5" s="1"/>
  <c r="N11" i="5" s="1"/>
  <c r="N14" i="5" s="1"/>
  <c r="N16" i="5" s="1"/>
  <c r="N18" i="5" s="1"/>
  <c r="M6" i="5"/>
  <c r="M9" i="5" s="1"/>
  <c r="M11" i="5" s="1"/>
  <c r="M14" i="5" s="1"/>
  <c r="M16" i="5" s="1"/>
  <c r="M18" i="5" s="1"/>
  <c r="L6" i="5"/>
  <c r="L9" i="5" s="1"/>
  <c r="L11" i="5" s="1"/>
  <c r="L14" i="5" s="1"/>
  <c r="L16" i="5" s="1"/>
  <c r="L18" i="5" s="1"/>
  <c r="E6" i="5"/>
  <c r="E9" i="5" s="1"/>
  <c r="E11" i="5" s="1"/>
  <c r="E14" i="5" s="1"/>
  <c r="E16" i="5" s="1"/>
  <c r="E18" i="5" s="1"/>
  <c r="D6" i="5"/>
  <c r="D9" i="5" s="1"/>
  <c r="D11" i="5" s="1"/>
  <c r="D14" i="5" s="1"/>
  <c r="D16" i="5" s="1"/>
  <c r="D18" i="5" s="1"/>
  <c r="K5" i="5"/>
  <c r="K6" i="5" s="1"/>
  <c r="K9" i="5" s="1"/>
  <c r="K11" i="5" s="1"/>
  <c r="K14" i="5" s="1"/>
  <c r="K16" i="5" s="1"/>
  <c r="K18" i="5" s="1"/>
  <c r="J5" i="5"/>
  <c r="J6" i="5" s="1"/>
  <c r="J9" i="5" s="1"/>
  <c r="J11" i="5" s="1"/>
  <c r="J14" i="5" s="1"/>
  <c r="J16" i="5" s="1"/>
  <c r="J18" i="5" s="1"/>
  <c r="I5" i="5"/>
  <c r="I6" i="5" s="1"/>
  <c r="I9" i="5" s="1"/>
  <c r="I11" i="5" s="1"/>
  <c r="I14" i="5" s="1"/>
  <c r="I16" i="5" s="1"/>
  <c r="I18" i="5" s="1"/>
  <c r="H5" i="5"/>
  <c r="H6" i="5" s="1"/>
  <c r="H9" i="5" s="1"/>
  <c r="H11" i="5" s="1"/>
  <c r="H14" i="5" s="1"/>
  <c r="H16" i="5" s="1"/>
  <c r="H18" i="5" s="1"/>
  <c r="G5" i="5"/>
  <c r="G6" i="5" s="1"/>
  <c r="G9" i="5" s="1"/>
  <c r="G11" i="5" s="1"/>
  <c r="G14" i="5" s="1"/>
  <c r="G16" i="5" s="1"/>
  <c r="G18" i="5" s="1"/>
  <c r="F5" i="5"/>
  <c r="F6" i="5" s="1"/>
  <c r="F9" i="5" s="1"/>
  <c r="F11" i="5" s="1"/>
  <c r="F14" i="5" s="1"/>
  <c r="F16" i="5" s="1"/>
  <c r="F18" i="5" s="1"/>
  <c r="E5" i="5"/>
  <c r="D5" i="5"/>
  <c r="O6" i="5"/>
  <c r="O9" i="5" s="1"/>
  <c r="O11" i="5" s="1"/>
  <c r="O14" i="5" s="1"/>
  <c r="AK10" i="2"/>
  <c r="AL10" i="2" s="1"/>
  <c r="AM10" i="2" s="1"/>
  <c r="AN10" i="2" s="1"/>
  <c r="AO10" i="2" s="1"/>
  <c r="AP10" i="2" s="1"/>
  <c r="AQ10" i="2" s="1"/>
  <c r="AR10" i="2" s="1"/>
  <c r="AS10" i="2" s="1"/>
  <c r="AT10" i="2" s="1"/>
  <c r="AK8" i="2"/>
  <c r="AK7" i="2"/>
  <c r="AL7" i="2" s="1"/>
  <c r="AM7" i="2" s="1"/>
  <c r="AN7" i="2" s="1"/>
  <c r="AO7" i="2" s="1"/>
  <c r="AP7" i="2" s="1"/>
  <c r="AQ7" i="2" s="1"/>
  <c r="AR7" i="2" s="1"/>
  <c r="AS7" i="2" s="1"/>
  <c r="AT7" i="2" s="1"/>
  <c r="AK5" i="2"/>
  <c r="AK6" i="2" s="1"/>
  <c r="AK4" i="2"/>
  <c r="AL4" i="2" s="1"/>
  <c r="AL5" i="2" s="1"/>
  <c r="L6" i="2"/>
  <c r="L9" i="2" s="1"/>
  <c r="L11" i="2" s="1"/>
  <c r="L14" i="2" s="1"/>
  <c r="L16" i="2" s="1"/>
  <c r="L18" i="2" s="1"/>
  <c r="P6" i="2"/>
  <c r="P9" i="2" s="1"/>
  <c r="P11" i="2" s="1"/>
  <c r="P14" i="2" s="1"/>
  <c r="P16" i="2" s="1"/>
  <c r="P18" i="2" s="1"/>
  <c r="M6" i="2"/>
  <c r="M9" i="2" s="1"/>
  <c r="M11" i="2" s="1"/>
  <c r="M14" i="2" s="1"/>
  <c r="M16" i="2" s="1"/>
  <c r="M18" i="2" s="1"/>
  <c r="Q6" i="2"/>
  <c r="Q9" i="2" s="1"/>
  <c r="Q11" i="2" s="1"/>
  <c r="Q14" i="2" s="1"/>
  <c r="Q16" i="2" s="1"/>
  <c r="Q18" i="2" s="1"/>
  <c r="R44" i="2"/>
  <c r="AJ20" i="2"/>
  <c r="N6" i="2"/>
  <c r="N9" i="2" s="1"/>
  <c r="N11" i="2" s="1"/>
  <c r="N14" i="2" s="1"/>
  <c r="N16" i="2" s="1"/>
  <c r="N18" i="2" s="1"/>
  <c r="R6" i="2"/>
  <c r="R9" i="2" s="1"/>
  <c r="R11" i="2" s="1"/>
  <c r="R14" i="2" s="1"/>
  <c r="R16" i="2" s="1"/>
  <c r="R18" i="2" s="1"/>
  <c r="AJ6" i="2"/>
  <c r="AJ9" i="2" s="1"/>
  <c r="AJ11" i="2" s="1"/>
  <c r="AJ14" i="2" s="1"/>
  <c r="AJ16" i="2" s="1"/>
  <c r="AJ18" i="2" s="1"/>
  <c r="Z13" i="2"/>
  <c r="Z7" i="2"/>
  <c r="Z5" i="2"/>
  <c r="Z6" i="2" s="1"/>
  <c r="AA13" i="2"/>
  <c r="AA7" i="2"/>
  <c r="AA5" i="2"/>
  <c r="AA6" i="2" s="1"/>
  <c r="AA9" i="2" s="1"/>
  <c r="AA11" i="2" s="1"/>
  <c r="AB13" i="2"/>
  <c r="AB10" i="2"/>
  <c r="AB7" i="2"/>
  <c r="AB5" i="2"/>
  <c r="AB6" i="2" s="1"/>
  <c r="AC13" i="2"/>
  <c r="AC10" i="2"/>
  <c r="AC7" i="2"/>
  <c r="AC5" i="2"/>
  <c r="AC6" i="2" s="1"/>
  <c r="AC9" i="2" s="1"/>
  <c r="AD13" i="2"/>
  <c r="AD7" i="2"/>
  <c r="AD5" i="2"/>
  <c r="AD6" i="2" s="1"/>
  <c r="AE13" i="2"/>
  <c r="AE7" i="2"/>
  <c r="AE5" i="2"/>
  <c r="AE6" i="2" s="1"/>
  <c r="AF13" i="2"/>
  <c r="AF7" i="2"/>
  <c r="AF5" i="2"/>
  <c r="AF6" i="2"/>
  <c r="AG13" i="2"/>
  <c r="AG10" i="2"/>
  <c r="AG7" i="2"/>
  <c r="AG5" i="2"/>
  <c r="AG6" i="2" s="1"/>
  <c r="F10" i="6"/>
  <c r="F9" i="6"/>
  <c r="F8" i="6"/>
  <c r="S83" i="2" l="1"/>
  <c r="S90" i="2" s="1"/>
  <c r="R90" i="2"/>
  <c r="S74" i="2"/>
  <c r="R80" i="2"/>
  <c r="S76" i="2"/>
  <c r="S80" i="2" s="1"/>
  <c r="Z94" i="2"/>
  <c r="AI96" i="2"/>
  <c r="P94" i="2"/>
  <c r="O96" i="2"/>
  <c r="AC11" i="2"/>
  <c r="AA14" i="2"/>
  <c r="AA16" i="2" s="1"/>
  <c r="AA18" i="2" s="1"/>
  <c r="AK20" i="2"/>
  <c r="AA64" i="2"/>
  <c r="AG96" i="2"/>
  <c r="AE96" i="2"/>
  <c r="AE94" i="2"/>
  <c r="AG94" i="2"/>
  <c r="AF94" i="2"/>
  <c r="AH94" i="2"/>
  <c r="AA94" i="2"/>
  <c r="AI94" i="2"/>
  <c r="AB94" i="2"/>
  <c r="AC94" i="2"/>
  <c r="AD94" i="2"/>
  <c r="R74" i="2"/>
  <c r="L64" i="2"/>
  <c r="N94" i="2"/>
  <c r="R96" i="2"/>
  <c r="F94" i="2"/>
  <c r="AL20" i="2"/>
  <c r="Q80" i="2"/>
  <c r="AJ22" i="2"/>
  <c r="R64" i="2"/>
  <c r="AL6" i="2"/>
  <c r="AL9" i="2" s="1"/>
  <c r="AL11" i="2" s="1"/>
  <c r="AL14" i="2" s="1"/>
  <c r="AL15" i="2" s="1"/>
  <c r="AL16" i="2" s="1"/>
  <c r="AL18" i="2" s="1"/>
  <c r="E7" i="3" s="1"/>
  <c r="AM4" i="2"/>
  <c r="Q64" i="2"/>
  <c r="P64" i="2"/>
  <c r="N64" i="2"/>
  <c r="H94" i="2"/>
  <c r="E94" i="2"/>
  <c r="Q90" i="2"/>
  <c r="Q74" i="2"/>
  <c r="D94" i="2"/>
  <c r="I94" i="2"/>
  <c r="J94" i="2"/>
  <c r="M94" i="2"/>
  <c r="K94" i="2"/>
  <c r="G14" i="2"/>
  <c r="G16" i="2" s="1"/>
  <c r="G18" i="2" s="1"/>
  <c r="G64" i="2"/>
  <c r="K14" i="2"/>
  <c r="K16" i="2" s="1"/>
  <c r="K18" i="2" s="1"/>
  <c r="K64" i="2"/>
  <c r="O21" i="5"/>
  <c r="O22" i="5"/>
  <c r="O15" i="5"/>
  <c r="O16" i="5"/>
  <c r="O18" i="5" s="1"/>
  <c r="P20" i="5"/>
  <c r="AK9" i="2"/>
  <c r="AK11" i="2" s="1"/>
  <c r="AK14" i="2" s="1"/>
  <c r="AL24" i="2"/>
  <c r="AL22" i="2"/>
  <c r="AK24" i="2"/>
  <c r="AK22" i="2"/>
  <c r="AJ24" i="2"/>
  <c r="AD9" i="2"/>
  <c r="AD11" i="2" s="1"/>
  <c r="AG9" i="2"/>
  <c r="AG11" i="2" s="1"/>
  <c r="AE9" i="2"/>
  <c r="AE11" i="2" s="1"/>
  <c r="Z9" i="2"/>
  <c r="Z11" i="2" s="1"/>
  <c r="AF9" i="2"/>
  <c r="AF11" i="2" s="1"/>
  <c r="AB9" i="2"/>
  <c r="AB11" i="2" s="1"/>
  <c r="G9" i="6"/>
  <c r="G10" i="6"/>
  <c r="G8" i="6"/>
  <c r="B8" i="2"/>
  <c r="F14" i="6" s="1"/>
  <c r="B7" i="2"/>
  <c r="F15" i="6" s="1"/>
  <c r="G15" i="6" s="1"/>
  <c r="AA24" i="4"/>
  <c r="Z21" i="4"/>
  <c r="Y21" i="4"/>
  <c r="X21" i="4"/>
  <c r="W21" i="4"/>
  <c r="AA20" i="4"/>
  <c r="AA21" i="4" s="1"/>
  <c r="AA17" i="4"/>
  <c r="AA18" i="4" s="1"/>
  <c r="Z14" i="4"/>
  <c r="Y14" i="4"/>
  <c r="X14" i="4"/>
  <c r="W14" i="4"/>
  <c r="AA13" i="4"/>
  <c r="AA14" i="4" s="1"/>
  <c r="AA10" i="4"/>
  <c r="AA11" i="4" s="1"/>
  <c r="AA7" i="4"/>
  <c r="Z7" i="4"/>
  <c r="Y7" i="4"/>
  <c r="X7" i="4"/>
  <c r="W7" i="4"/>
  <c r="G10" i="4"/>
  <c r="G11" i="4" s="1"/>
  <c r="G6" i="4"/>
  <c r="G17" i="4"/>
  <c r="G18" i="4" s="1"/>
  <c r="G13" i="4"/>
  <c r="G24" i="4"/>
  <c r="G25" i="4" s="1"/>
  <c r="G20" i="4"/>
  <c r="L24" i="4"/>
  <c r="L20" i="4"/>
  <c r="L21" i="4" s="1"/>
  <c r="L17" i="4"/>
  <c r="L13" i="4"/>
  <c r="L10" i="4"/>
  <c r="L6" i="4"/>
  <c r="L7" i="4" s="1"/>
  <c r="Q10" i="4"/>
  <c r="Q11" i="4" s="1"/>
  <c r="Q6" i="4"/>
  <c r="V7" i="4" s="1"/>
  <c r="Q17" i="4"/>
  <c r="Q18" i="4" s="1"/>
  <c r="Q13" i="4"/>
  <c r="Q24" i="4"/>
  <c r="Q25" i="4" s="1"/>
  <c r="Q20" i="4"/>
  <c r="V24" i="4"/>
  <c r="V25" i="4" s="1"/>
  <c r="V20" i="4"/>
  <c r="V21" i="4" s="1"/>
  <c r="V17" i="4"/>
  <c r="V18" i="4" s="1"/>
  <c r="V13" i="4"/>
  <c r="V14" i="4" s="1"/>
  <c r="V11" i="4"/>
  <c r="V10" i="4"/>
  <c r="V6" i="4"/>
  <c r="U21" i="4"/>
  <c r="T21" i="4"/>
  <c r="S21" i="4"/>
  <c r="R21" i="4"/>
  <c r="P21" i="4"/>
  <c r="O21" i="4"/>
  <c r="N21" i="4"/>
  <c r="M21" i="4"/>
  <c r="K21" i="4"/>
  <c r="J21" i="4"/>
  <c r="I21" i="4"/>
  <c r="H21" i="4"/>
  <c r="U14" i="4"/>
  <c r="T14" i="4"/>
  <c r="S14" i="4"/>
  <c r="R14" i="4"/>
  <c r="P14" i="4"/>
  <c r="O14" i="4"/>
  <c r="N14" i="4"/>
  <c r="M14" i="4"/>
  <c r="K14" i="4"/>
  <c r="J14" i="4"/>
  <c r="I14" i="4"/>
  <c r="H14" i="4"/>
  <c r="H7" i="4"/>
  <c r="I7" i="4"/>
  <c r="J7" i="4"/>
  <c r="K7" i="4"/>
  <c r="M7" i="4"/>
  <c r="N7" i="4"/>
  <c r="O7" i="4"/>
  <c r="P7" i="4"/>
  <c r="R7" i="4"/>
  <c r="S7" i="4"/>
  <c r="T7" i="4"/>
  <c r="U7" i="4"/>
  <c r="AC24" i="2"/>
  <c r="AA24" i="2"/>
  <c r="AG22" i="2"/>
  <c r="AF22" i="2"/>
  <c r="AE22" i="2"/>
  <c r="AD22" i="2"/>
  <c r="AC22" i="2"/>
  <c r="AB22" i="2"/>
  <c r="AA22" i="2"/>
  <c r="Z22" i="2"/>
  <c r="AG20" i="2"/>
  <c r="AF20" i="2"/>
  <c r="AE20" i="2"/>
  <c r="AD20" i="2"/>
  <c r="AC20" i="2"/>
  <c r="AB20" i="2"/>
  <c r="AA20" i="2"/>
  <c r="AI20" i="2"/>
  <c r="AH20" i="2"/>
  <c r="AH6" i="2"/>
  <c r="AH9" i="2" s="1"/>
  <c r="AH11" i="2" s="1"/>
  <c r="AI6" i="2"/>
  <c r="AI9" i="2" s="1"/>
  <c r="AI11" i="2" s="1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S60" i="2"/>
  <c r="S49" i="2"/>
  <c r="Q44" i="2"/>
  <c r="O44" i="2"/>
  <c r="N44" i="2"/>
  <c r="M44" i="2"/>
  <c r="L44" i="2"/>
  <c r="K44" i="2"/>
  <c r="J44" i="2"/>
  <c r="I44" i="2"/>
  <c r="H44" i="2"/>
  <c r="G44" i="2"/>
  <c r="F44" i="2"/>
  <c r="E44" i="2"/>
  <c r="D44" i="2"/>
  <c r="S44" i="2"/>
  <c r="H20" i="2"/>
  <c r="I20" i="2"/>
  <c r="J20" i="2"/>
  <c r="K20" i="2"/>
  <c r="L20" i="2"/>
  <c r="M20" i="2"/>
  <c r="N20" i="2"/>
  <c r="O20" i="2"/>
  <c r="P20" i="2"/>
  <c r="Q20" i="2"/>
  <c r="R20" i="2"/>
  <c r="D22" i="2"/>
  <c r="E22" i="2"/>
  <c r="F22" i="2"/>
  <c r="G22" i="2"/>
  <c r="H22" i="2"/>
  <c r="I22" i="2"/>
  <c r="J22" i="2"/>
  <c r="K22" i="2"/>
  <c r="L22" i="2"/>
  <c r="M22" i="2"/>
  <c r="N22" i="2"/>
  <c r="P22" i="2"/>
  <c r="Q22" i="2"/>
  <c r="R22" i="2"/>
  <c r="D24" i="2"/>
  <c r="E24" i="2"/>
  <c r="F24" i="2"/>
  <c r="G24" i="2"/>
  <c r="H24" i="2"/>
  <c r="I24" i="2"/>
  <c r="J24" i="2"/>
  <c r="K24" i="2"/>
  <c r="L24" i="2"/>
  <c r="M24" i="2"/>
  <c r="N24" i="2"/>
  <c r="P24" i="2"/>
  <c r="Q24" i="2"/>
  <c r="R24" i="2"/>
  <c r="S20" i="2"/>
  <c r="O6" i="2"/>
  <c r="O9" i="2" s="1"/>
  <c r="O11" i="2" s="1"/>
  <c r="S6" i="2"/>
  <c r="S9" i="2" s="1"/>
  <c r="S11" i="2" s="1"/>
  <c r="B6" i="2"/>
  <c r="AB14" i="2" l="1"/>
  <c r="AB64" i="2"/>
  <c r="AF14" i="2"/>
  <c r="AF16" i="2" s="1"/>
  <c r="AF18" i="2" s="1"/>
  <c r="AF64" i="2"/>
  <c r="AI14" i="2"/>
  <c r="AI16" i="2" s="1"/>
  <c r="AI18" i="2" s="1"/>
  <c r="AI64" i="2"/>
  <c r="K61" i="2"/>
  <c r="AH14" i="2"/>
  <c r="AH16" i="2" s="1"/>
  <c r="AH18" i="2" s="1"/>
  <c r="AH64" i="2"/>
  <c r="AE14" i="2"/>
  <c r="AE16" i="2" s="1"/>
  <c r="AE18" i="2" s="1"/>
  <c r="AE64" i="2"/>
  <c r="S96" i="2"/>
  <c r="AG14" i="2"/>
  <c r="AG16" i="2" s="1"/>
  <c r="AG18" i="2" s="1"/>
  <c r="AG64" i="2"/>
  <c r="R94" i="2"/>
  <c r="AC14" i="2"/>
  <c r="AC16" i="2" s="1"/>
  <c r="AC18" i="2" s="1"/>
  <c r="AC64" i="2"/>
  <c r="Z14" i="2"/>
  <c r="Z16" i="2" s="1"/>
  <c r="Z18" i="2" s="1"/>
  <c r="Z64" i="2"/>
  <c r="G61" i="2"/>
  <c r="AF24" i="2"/>
  <c r="AD14" i="2"/>
  <c r="AD16" i="2" s="1"/>
  <c r="AD18" i="2" s="1"/>
  <c r="AD64" i="2"/>
  <c r="S94" i="2"/>
  <c r="E61" i="2"/>
  <c r="Z24" i="2"/>
  <c r="F61" i="2"/>
  <c r="AK15" i="2"/>
  <c r="AK16" i="2" s="1"/>
  <c r="AK18" i="2" s="1"/>
  <c r="D7" i="3" s="1"/>
  <c r="AN4" i="2"/>
  <c r="AM5" i="2"/>
  <c r="AM6" i="2"/>
  <c r="AM20" i="2"/>
  <c r="H61" i="2"/>
  <c r="AD24" i="2"/>
  <c r="AE24" i="2"/>
  <c r="O14" i="2"/>
  <c r="O16" i="2" s="1"/>
  <c r="O18" i="2" s="1"/>
  <c r="O64" i="2"/>
  <c r="AG24" i="2"/>
  <c r="Q94" i="2"/>
  <c r="Q96" i="2"/>
  <c r="M61" i="2"/>
  <c r="L61" i="2"/>
  <c r="P61" i="2"/>
  <c r="Q20" i="5"/>
  <c r="P6" i="5"/>
  <c r="N61" i="2"/>
  <c r="S22" i="2"/>
  <c r="D61" i="2"/>
  <c r="S61" i="2"/>
  <c r="AI24" i="2"/>
  <c r="AI22" i="2"/>
  <c r="S24" i="2"/>
  <c r="S14" i="2"/>
  <c r="S16" i="2" s="1"/>
  <c r="S18" i="2" s="1"/>
  <c r="S64" i="2"/>
  <c r="O22" i="2"/>
  <c r="AB24" i="2"/>
  <c r="O24" i="2"/>
  <c r="I61" i="2"/>
  <c r="Q61" i="2"/>
  <c r="AH22" i="2"/>
  <c r="J61" i="2"/>
  <c r="R61" i="2"/>
  <c r="AH24" i="2"/>
  <c r="AB16" i="2"/>
  <c r="AB18" i="2" s="1"/>
  <c r="AA25" i="4"/>
  <c r="L25" i="4"/>
  <c r="L18" i="4"/>
  <c r="L11" i="4"/>
  <c r="L14" i="4"/>
  <c r="Q21" i="4"/>
  <c r="Q14" i="4"/>
  <c r="Q7" i="4"/>
  <c r="O61" i="2"/>
  <c r="B9" i="2"/>
  <c r="AM9" i="2" l="1"/>
  <c r="AM11" i="2" s="1"/>
  <c r="AM22" i="2"/>
  <c r="AN5" i="2"/>
  <c r="AN6" i="2"/>
  <c r="AN20" i="2"/>
  <c r="AO4" i="2"/>
  <c r="F6" i="3"/>
  <c r="D6" i="3"/>
  <c r="E6" i="3"/>
  <c r="D5" i="3"/>
  <c r="E5" i="3"/>
  <c r="F5" i="3"/>
  <c r="P9" i="5"/>
  <c r="P11" i="5" s="1"/>
  <c r="P21" i="5"/>
  <c r="R20" i="5"/>
  <c r="Q6" i="5"/>
  <c r="AO5" i="2" l="1"/>
  <c r="AO6" i="2"/>
  <c r="AO20" i="2"/>
  <c r="AP4" i="2"/>
  <c r="AN22" i="2"/>
  <c r="AN9" i="2"/>
  <c r="AN11" i="2" s="1"/>
  <c r="AM14" i="2"/>
  <c r="AM15" i="2" s="1"/>
  <c r="AM16" i="2" s="1"/>
  <c r="AM18" i="2" s="1"/>
  <c r="F7" i="3" s="1"/>
  <c r="AM24" i="2"/>
  <c r="Q9" i="5"/>
  <c r="Q11" i="5" s="1"/>
  <c r="Q21" i="5"/>
  <c r="P14" i="5"/>
  <c r="P15" i="5" s="1"/>
  <c r="P16" i="5" s="1"/>
  <c r="P22" i="5"/>
  <c r="S20" i="5"/>
  <c r="R6" i="5"/>
  <c r="AP5" i="2" l="1"/>
  <c r="AP6" i="2"/>
  <c r="AP20" i="2"/>
  <c r="AQ4" i="2"/>
  <c r="AO9" i="2"/>
  <c r="AO11" i="2" s="1"/>
  <c r="AO22" i="2"/>
  <c r="AN14" i="2"/>
  <c r="AN15" i="2" s="1"/>
  <c r="AN16" i="2" s="1"/>
  <c r="AN18" i="2" s="1"/>
  <c r="AN24" i="2"/>
  <c r="R9" i="5"/>
  <c r="R11" i="5" s="1"/>
  <c r="R21" i="5"/>
  <c r="P18" i="5"/>
  <c r="Q14" i="5"/>
  <c r="Q15" i="5" s="1"/>
  <c r="Q16" i="5" s="1"/>
  <c r="Q18" i="5" s="1"/>
  <c r="Q22" i="5"/>
  <c r="S6" i="5"/>
  <c r="T20" i="5"/>
  <c r="AO14" i="2" l="1"/>
  <c r="AO15" i="2" s="1"/>
  <c r="AO16" i="2" s="1"/>
  <c r="AO18" i="2" s="1"/>
  <c r="AO24" i="2"/>
  <c r="AQ5" i="2"/>
  <c r="AQ20" i="2"/>
  <c r="AQ6" i="2"/>
  <c r="AR4" i="2"/>
  <c r="AP9" i="2"/>
  <c r="AP11" i="2" s="1"/>
  <c r="AP22" i="2"/>
  <c r="S9" i="5"/>
  <c r="S11" i="5" s="1"/>
  <c r="S21" i="5"/>
  <c r="R14" i="5"/>
  <c r="R15" i="5" s="1"/>
  <c r="R16" i="5" s="1"/>
  <c r="R22" i="5"/>
  <c r="T6" i="5"/>
  <c r="U20" i="5"/>
  <c r="AP14" i="2" l="1"/>
  <c r="AP15" i="2" s="1"/>
  <c r="AP16" i="2" s="1"/>
  <c r="AP18" i="2" s="1"/>
  <c r="AP24" i="2"/>
  <c r="AR5" i="2"/>
  <c r="AR20" i="2"/>
  <c r="AS4" i="2"/>
  <c r="AR6" i="2"/>
  <c r="AQ9" i="2"/>
  <c r="AQ11" i="2" s="1"/>
  <c r="AQ22" i="2"/>
  <c r="T9" i="5"/>
  <c r="T11" i="5" s="1"/>
  <c r="T21" i="5"/>
  <c r="R18" i="5"/>
  <c r="S14" i="5"/>
  <c r="S15" i="5" s="1"/>
  <c r="S16" i="5" s="1"/>
  <c r="S18" i="5" s="1"/>
  <c r="S22" i="5"/>
  <c r="V20" i="5"/>
  <c r="U6" i="5"/>
  <c r="AQ14" i="2" l="1"/>
  <c r="AQ15" i="2" s="1"/>
  <c r="AQ16" i="2" s="1"/>
  <c r="AQ18" i="2" s="1"/>
  <c r="AQ24" i="2"/>
  <c r="AR22" i="2"/>
  <c r="AR9" i="2"/>
  <c r="AR11" i="2" s="1"/>
  <c r="AS5" i="2"/>
  <c r="AS20" i="2"/>
  <c r="AS6" i="2"/>
  <c r="AT4" i="2"/>
  <c r="U9" i="5"/>
  <c r="U11" i="5" s="1"/>
  <c r="U21" i="5"/>
  <c r="T14" i="5"/>
  <c r="T15" i="5" s="1"/>
  <c r="T16" i="5" s="1"/>
  <c r="T22" i="5"/>
  <c r="W20" i="5"/>
  <c r="V6" i="5"/>
  <c r="AT5" i="2" l="1"/>
  <c r="AT6" i="2"/>
  <c r="AT20" i="2"/>
  <c r="AS9" i="2"/>
  <c r="AS11" i="2" s="1"/>
  <c r="AS22" i="2"/>
  <c r="AR14" i="2"/>
  <c r="AR15" i="2" s="1"/>
  <c r="AR16" i="2" s="1"/>
  <c r="AR18" i="2" s="1"/>
  <c r="AR24" i="2"/>
  <c r="U14" i="5"/>
  <c r="U15" i="5" s="1"/>
  <c r="U16" i="5" s="1"/>
  <c r="U18" i="5" s="1"/>
  <c r="U22" i="5"/>
  <c r="V9" i="5"/>
  <c r="V11" i="5" s="1"/>
  <c r="V21" i="5"/>
  <c r="T18" i="5"/>
  <c r="W6" i="5"/>
  <c r="X20" i="5"/>
  <c r="AS24" i="2" l="1"/>
  <c r="AS14" i="2"/>
  <c r="AS15" i="2" s="1"/>
  <c r="AS16" i="2" s="1"/>
  <c r="AS18" i="2" s="1"/>
  <c r="AT9" i="2"/>
  <c r="AT11" i="2" s="1"/>
  <c r="AT22" i="2"/>
  <c r="W9" i="5"/>
  <c r="W11" i="5" s="1"/>
  <c r="W21" i="5"/>
  <c r="V14" i="5"/>
  <c r="V15" i="5" s="1"/>
  <c r="V16" i="5" s="1"/>
  <c r="V22" i="5"/>
  <c r="X6" i="5"/>
  <c r="AT24" i="2" l="1"/>
  <c r="AT14" i="2"/>
  <c r="AT15" i="2" s="1"/>
  <c r="AT16" i="2" s="1"/>
  <c r="AT18" i="2" s="1"/>
  <c r="X9" i="5"/>
  <c r="X11" i="5" s="1"/>
  <c r="X21" i="5"/>
  <c r="V18" i="5"/>
  <c r="W14" i="5"/>
  <c r="W22" i="5"/>
  <c r="AU16" i="2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GF16" i="2" s="1"/>
  <c r="GG16" i="2" s="1"/>
  <c r="GH16" i="2" s="1"/>
  <c r="GI16" i="2" s="1"/>
  <c r="GJ16" i="2" s="1"/>
  <c r="GK16" i="2" s="1"/>
  <c r="GL16" i="2" s="1"/>
  <c r="GM16" i="2" s="1"/>
  <c r="GN16" i="2" s="1"/>
  <c r="GO16" i="2" s="1"/>
  <c r="GP16" i="2" s="1"/>
  <c r="GQ16" i="2" s="1"/>
  <c r="GR16" i="2" s="1"/>
  <c r="GS16" i="2" s="1"/>
  <c r="GT16" i="2" s="1"/>
  <c r="GU16" i="2" s="1"/>
  <c r="GV16" i="2" s="1"/>
  <c r="GW16" i="2" s="1"/>
  <c r="GX16" i="2" s="1"/>
  <c r="GY16" i="2" s="1"/>
  <c r="GZ16" i="2" s="1"/>
  <c r="HA16" i="2" s="1"/>
  <c r="HB16" i="2" s="1"/>
  <c r="HC16" i="2" s="1"/>
  <c r="HD16" i="2" s="1"/>
  <c r="HE16" i="2" s="1"/>
  <c r="HF16" i="2" s="1"/>
  <c r="HG16" i="2" s="1"/>
  <c r="HH16" i="2" s="1"/>
  <c r="HI16" i="2" s="1"/>
  <c r="HJ16" i="2" s="1"/>
  <c r="HK16" i="2" s="1"/>
  <c r="HL16" i="2" s="1"/>
  <c r="HM16" i="2" s="1"/>
  <c r="HN16" i="2" s="1"/>
  <c r="HO16" i="2" s="1"/>
  <c r="HP16" i="2" s="1"/>
  <c r="HQ16" i="2" s="1"/>
  <c r="HR16" i="2" s="1"/>
  <c r="HS16" i="2" s="1"/>
  <c r="HT16" i="2" s="1"/>
  <c r="HU16" i="2" s="1"/>
  <c r="HV16" i="2" s="1"/>
  <c r="HW16" i="2" s="1"/>
  <c r="HX16" i="2" s="1"/>
  <c r="HY16" i="2" s="1"/>
  <c r="HZ16" i="2" s="1"/>
  <c r="IA16" i="2" s="1"/>
  <c r="IB16" i="2" s="1"/>
  <c r="IC16" i="2" s="1"/>
  <c r="ID16" i="2" s="1"/>
  <c r="IE16" i="2" s="1"/>
  <c r="IF16" i="2" s="1"/>
  <c r="IG16" i="2" s="1"/>
  <c r="IH16" i="2" s="1"/>
  <c r="II16" i="2" s="1"/>
  <c r="IJ16" i="2" s="1"/>
  <c r="IK16" i="2" s="1"/>
  <c r="IL16" i="2" s="1"/>
  <c r="IM16" i="2" s="1"/>
  <c r="IN16" i="2" s="1"/>
  <c r="IO16" i="2" s="1"/>
  <c r="IP16" i="2" s="1"/>
  <c r="IQ16" i="2" s="1"/>
  <c r="IR16" i="2" s="1"/>
  <c r="IS16" i="2" s="1"/>
  <c r="IT16" i="2" s="1"/>
  <c r="IU16" i="2" s="1"/>
  <c r="IV16" i="2" s="1"/>
  <c r="IW16" i="2" s="1"/>
  <c r="IX16" i="2" s="1"/>
  <c r="IY16" i="2" s="1"/>
  <c r="IZ16" i="2" s="1"/>
  <c r="JA16" i="2" s="1"/>
  <c r="JB16" i="2" s="1"/>
  <c r="JC16" i="2" s="1"/>
  <c r="JD16" i="2" s="1"/>
  <c r="JE16" i="2" s="1"/>
  <c r="JF16" i="2" s="1"/>
  <c r="JG16" i="2" s="1"/>
  <c r="JH16" i="2" s="1"/>
  <c r="JI16" i="2" s="1"/>
  <c r="JJ16" i="2" s="1"/>
  <c r="JK16" i="2" s="1"/>
  <c r="JL16" i="2" s="1"/>
  <c r="JM16" i="2" s="1"/>
  <c r="JN16" i="2" s="1"/>
  <c r="JO16" i="2" s="1"/>
  <c r="JP16" i="2" s="1"/>
  <c r="JQ16" i="2" s="1"/>
  <c r="JR16" i="2" s="1"/>
  <c r="JS16" i="2" s="1"/>
  <c r="JT16" i="2" s="1"/>
  <c r="JU16" i="2" s="1"/>
  <c r="JV16" i="2" s="1"/>
  <c r="JW16" i="2" s="1"/>
  <c r="JX16" i="2" s="1"/>
  <c r="JY16" i="2" s="1"/>
  <c r="JZ16" i="2" s="1"/>
  <c r="KA16" i="2" s="1"/>
  <c r="KB16" i="2" s="1"/>
  <c r="KC16" i="2" s="1"/>
  <c r="KD16" i="2" s="1"/>
  <c r="KE16" i="2" s="1"/>
  <c r="KF16" i="2" s="1"/>
  <c r="KG16" i="2" s="1"/>
  <c r="KH16" i="2" s="1"/>
  <c r="KI16" i="2" s="1"/>
  <c r="KJ16" i="2" s="1"/>
  <c r="KK16" i="2" s="1"/>
  <c r="KL16" i="2" s="1"/>
  <c r="KM16" i="2" s="1"/>
  <c r="KN16" i="2" s="1"/>
  <c r="AW21" i="2" s="1"/>
  <c r="AW23" i="2" s="1"/>
  <c r="AW24" i="2" s="1"/>
  <c r="W15" i="5" l="1"/>
  <c r="W16" i="5" s="1"/>
  <c r="X14" i="5"/>
  <c r="X15" i="5" s="1"/>
  <c r="X16" i="5" s="1"/>
  <c r="X22" i="5"/>
  <c r="W18" i="5" l="1"/>
  <c r="X18" i="5"/>
  <c r="Y16" i="5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EY16" i="5" s="1"/>
  <c r="EZ16" i="5" s="1"/>
  <c r="FA16" i="5" s="1"/>
  <c r="FB16" i="5" s="1"/>
  <c r="FC16" i="5" s="1"/>
  <c r="FD16" i="5" s="1"/>
  <c r="FE16" i="5" s="1"/>
  <c r="FF16" i="5" s="1"/>
  <c r="FG16" i="5" s="1"/>
  <c r="FH16" i="5" s="1"/>
  <c r="FI16" i="5" s="1"/>
  <c r="FJ16" i="5" s="1"/>
  <c r="FK16" i="5" s="1"/>
  <c r="FL16" i="5" s="1"/>
  <c r="FM16" i="5" s="1"/>
  <c r="FN16" i="5" s="1"/>
  <c r="FO16" i="5" s="1"/>
  <c r="FP16" i="5" s="1"/>
  <c r="FQ16" i="5" s="1"/>
  <c r="FR16" i="5" s="1"/>
  <c r="FS16" i="5" s="1"/>
  <c r="FT16" i="5" s="1"/>
  <c r="FU16" i="5" s="1"/>
  <c r="FV16" i="5" s="1"/>
  <c r="FW16" i="5" s="1"/>
  <c r="FX16" i="5" s="1"/>
  <c r="FY16" i="5" s="1"/>
  <c r="FZ16" i="5" s="1"/>
  <c r="GA16" i="5" s="1"/>
  <c r="GB16" i="5" s="1"/>
  <c r="GC16" i="5" s="1"/>
  <c r="GD16" i="5" s="1"/>
  <c r="GE16" i="5" s="1"/>
  <c r="GF16" i="5" s="1"/>
  <c r="GG16" i="5" s="1"/>
  <c r="GH16" i="5" s="1"/>
  <c r="GI16" i="5" s="1"/>
  <c r="GJ16" i="5" s="1"/>
  <c r="GK16" i="5" s="1"/>
  <c r="GL16" i="5" s="1"/>
  <c r="GM16" i="5" s="1"/>
  <c r="GN16" i="5" s="1"/>
  <c r="GO16" i="5" s="1"/>
  <c r="GP16" i="5" s="1"/>
  <c r="GQ16" i="5" s="1"/>
  <c r="GR16" i="5" s="1"/>
  <c r="GS16" i="5" s="1"/>
  <c r="GT16" i="5" s="1"/>
  <c r="GU16" i="5" s="1"/>
  <c r="GV16" i="5" s="1"/>
  <c r="GW16" i="5" s="1"/>
  <c r="GX16" i="5" s="1"/>
  <c r="GY16" i="5" s="1"/>
  <c r="GZ16" i="5" s="1"/>
  <c r="HA16" i="5" s="1"/>
  <c r="HB16" i="5" s="1"/>
  <c r="HC16" i="5" s="1"/>
  <c r="HD16" i="5" s="1"/>
  <c r="HE16" i="5" s="1"/>
  <c r="HF16" i="5" s="1"/>
  <c r="HG16" i="5" s="1"/>
  <c r="HH16" i="5" s="1"/>
  <c r="HI16" i="5" s="1"/>
  <c r="HJ16" i="5" s="1"/>
  <c r="HK16" i="5" s="1"/>
  <c r="HL16" i="5" s="1"/>
  <c r="HM16" i="5" s="1"/>
  <c r="HN16" i="5" s="1"/>
  <c r="HO16" i="5" s="1"/>
  <c r="HP16" i="5" s="1"/>
  <c r="HQ16" i="5" s="1"/>
  <c r="AA21" i="5" s="1"/>
  <c r="AA23" i="5" s="1"/>
  <c r="AA24" i="5" s="1"/>
  <c r="A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tc={1301B477-C5DA-B746-BCE6-F26A31ED90CD}</author>
  </authors>
  <commentList>
    <comment ref="AI76" authorId="0" shapeId="0" xr:uid="{1301B477-C5DA-B746-BCE6-F26A31ED90C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Divestment of group comp 17 980</t>
      </text>
    </comment>
  </commentList>
</comments>
</file>

<file path=xl/sharedStrings.xml><?xml version="1.0" encoding="utf-8"?>
<sst xmlns="http://schemas.openxmlformats.org/spreadsheetml/2006/main" count="247" uniqueCount="159">
  <si>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</si>
  <si>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</si>
  <si>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</si>
  <si>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</si>
  <si>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</si>
  <si>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</si>
  <si>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</si>
  <si>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</si>
  <si>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</si>
  <si>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</si>
  <si>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</si>
  <si>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</si>
  <si>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</si>
  <si>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</si>
  <si>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</si>
  <si>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</si>
  <si>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</si>
  <si>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</si>
  <si>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</si>
  <si>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</si>
  <si>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</si>
  <si>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</si>
  <si>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</si>
  <si>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</si>
  <si>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</si>
  <si>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</si>
  <si>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</si>
  <si>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</si>
  <si>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</si>
  <si>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</si>
  <si>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</si>
  <si>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</si>
  <si>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</si>
  <si>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</si>
  <si>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</si>
  <si>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</si>
  <si>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</si>
  <si>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</si>
  <si>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</si>
  <si>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</si>
  <si>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</si>
  <si>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</si>
  <si>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</si>
  <si>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</si>
  <si>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</si>
  <si>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</si>
  <si>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SEKm</t>
  </si>
  <si>
    <t>MC SEKm</t>
  </si>
  <si>
    <t>Cash SEKm</t>
  </si>
  <si>
    <t>Debt SEKm</t>
  </si>
  <si>
    <t>EV SEKm</t>
  </si>
  <si>
    <t>Revenue</t>
  </si>
  <si>
    <t>COGS</t>
  </si>
  <si>
    <t>Gross profit</t>
  </si>
  <si>
    <t>Sales, general and admin costs</t>
  </si>
  <si>
    <t>share of profits of associates and JV</t>
  </si>
  <si>
    <t>EBITA</t>
  </si>
  <si>
    <t>Amortization</t>
  </si>
  <si>
    <t>Operating profit (EBIT)</t>
  </si>
  <si>
    <t>Shares of profit from assoc and JV</t>
  </si>
  <si>
    <t>Financial items</t>
  </si>
  <si>
    <t>PTP</t>
  </si>
  <si>
    <t>Tax</t>
  </si>
  <si>
    <t>Net income</t>
  </si>
  <si>
    <t xml:space="preserve">Shares </t>
  </si>
  <si>
    <t>EPS</t>
  </si>
  <si>
    <t>Balanse SEKm</t>
  </si>
  <si>
    <t>Goodwill</t>
  </si>
  <si>
    <t>Intangible assets</t>
  </si>
  <si>
    <t>PP&amp;E</t>
  </si>
  <si>
    <t>Right of use assets</t>
  </si>
  <si>
    <t>Investments in associates and JV</t>
  </si>
  <si>
    <t>Shares and participations</t>
  </si>
  <si>
    <t>Surplus in funded pension plans</t>
  </si>
  <si>
    <t>Non-current financial assets</t>
  </si>
  <si>
    <t>Deferred assets</t>
  </si>
  <si>
    <t>Other non-current assets</t>
  </si>
  <si>
    <t>Inventories</t>
  </si>
  <si>
    <t>Trade receivables</t>
  </si>
  <si>
    <t>Current tax assets</t>
  </si>
  <si>
    <t>Other current receivables</t>
  </si>
  <si>
    <t>Current financial assets</t>
  </si>
  <si>
    <t>Cash</t>
  </si>
  <si>
    <t>Total assets</t>
  </si>
  <si>
    <t>Share capital</t>
  </si>
  <si>
    <t>Reservess</t>
  </si>
  <si>
    <t>Retained earnings</t>
  </si>
  <si>
    <t>Non-controllings interests</t>
  </si>
  <si>
    <t>Total Equity</t>
  </si>
  <si>
    <t>Non-current financial liabilities</t>
  </si>
  <si>
    <t>Provisons for pensions</t>
  </si>
  <si>
    <t>Deferred tax liabilities</t>
  </si>
  <si>
    <t>Other non-current provisions</t>
  </si>
  <si>
    <t>Other non-current liabilities</t>
  </si>
  <si>
    <t>Current financial liabilities</t>
  </si>
  <si>
    <t>Trade payables</t>
  </si>
  <si>
    <t>Current tax liabilities</t>
  </si>
  <si>
    <t>Current provisions</t>
  </si>
  <si>
    <t>Other current liabilities</t>
  </si>
  <si>
    <t>Total debt</t>
  </si>
  <si>
    <t>Total E/D</t>
  </si>
  <si>
    <t xml:space="preserve">Cash flow SEKm </t>
  </si>
  <si>
    <t>Model OP</t>
  </si>
  <si>
    <t>Reported OP</t>
  </si>
  <si>
    <t>Adjustment for non-cash</t>
  </si>
  <si>
    <t>Capitalized expenditures</t>
  </si>
  <si>
    <t>Change in provisions</t>
  </si>
  <si>
    <t>WC</t>
  </si>
  <si>
    <t>Interest paid</t>
  </si>
  <si>
    <t>Interest received</t>
  </si>
  <si>
    <t>Other financial items</t>
  </si>
  <si>
    <t>Income taxes paid</t>
  </si>
  <si>
    <t>CFFO</t>
  </si>
  <si>
    <t>Capex</t>
  </si>
  <si>
    <t>Paid interest capitalized</t>
  </si>
  <si>
    <t>Sale of PP&amp;E</t>
  </si>
  <si>
    <t>Purchase/sale of financial assets</t>
  </si>
  <si>
    <t>Acquisition of non-controlling interests</t>
  </si>
  <si>
    <t>Proceeds from borrowing</t>
  </si>
  <si>
    <t>Repayment of borrowings</t>
  </si>
  <si>
    <t>Payment of lease liabilities</t>
  </si>
  <si>
    <t>Change in borrowings with short maturities</t>
  </si>
  <si>
    <t>Dividend</t>
  </si>
  <si>
    <t>Dividend to non-controlling</t>
  </si>
  <si>
    <t>Buybacks</t>
  </si>
  <si>
    <t>CFFF</t>
  </si>
  <si>
    <t>CFFI</t>
  </si>
  <si>
    <t>FX</t>
  </si>
  <si>
    <t>CIC</t>
  </si>
  <si>
    <t>FCF</t>
  </si>
  <si>
    <t>Health &amp; medical</t>
  </si>
  <si>
    <t>Organic growth</t>
  </si>
  <si>
    <t>EBITA margin</t>
  </si>
  <si>
    <t>Gross profit margin</t>
  </si>
  <si>
    <t>Consumer goods</t>
  </si>
  <si>
    <t>Professional Hygiene</t>
  </si>
  <si>
    <t>y/y</t>
  </si>
  <si>
    <t>Q126</t>
  </si>
  <si>
    <t>Q226</t>
  </si>
  <si>
    <t>Q326</t>
  </si>
  <si>
    <t>Q426</t>
  </si>
  <si>
    <t>EBITA 26E</t>
  </si>
  <si>
    <t>Multippel</t>
  </si>
  <si>
    <t>Value</t>
  </si>
  <si>
    <t>Per/share</t>
  </si>
  <si>
    <t>Debt</t>
  </si>
  <si>
    <t>EV/EBITA</t>
  </si>
  <si>
    <t>ROCE</t>
  </si>
  <si>
    <t>Discount</t>
  </si>
  <si>
    <t>TV</t>
  </si>
  <si>
    <t>NPV</t>
  </si>
  <si>
    <t>NPV/Share</t>
  </si>
  <si>
    <t>Opp/Nedside</t>
  </si>
  <si>
    <t>Nullvekst og ned på marginer</t>
  </si>
  <si>
    <t>Press releases:</t>
  </si>
  <si>
    <t>26.01.26: Essity kjøper tilbake 725 349 B-aksjer</t>
  </si>
  <si>
    <t>19.01.26: Essity kjøper tilbake 66 186 B-aksjer</t>
  </si>
  <si>
    <t>Enterprise value</t>
  </si>
  <si>
    <t>Implied value/Share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</si>
</sst>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kr&quot;\ #,##0.00_);[Red]\(&quot;kr&quot;\ #,##0.00\)"/>
    <numFmt numFmtId="164" formatCode="0.0"/>
    <numFmt numFmtId="165" formatCode="#,##0.0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0" fontId="4" fillId="0" borderId="0" xfId="0" applyFont="1"/>
    <xf numFmtId="0" fontId="4" fillId="0" borderId="1" xfId="0" applyFont="1" applyBorder="1"/>
    <xf numFmtId="2" fontId="2" fillId="0" borderId="1" xfId="0" applyNumberFormat="1" applyFont="1" applyBorder="1"/>
    <xf numFmtId="3" fontId="1" fillId="0" borderId="0" xfId="0" applyNumberFormat="1" applyFont="1"/>
    <xf numFmtId="3" fontId="2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2" fontId="2" fillId="0" borderId="0" xfId="0" applyNumberFormat="1" applyFont="1"/>
    <xf numFmtId="164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65" fontId="2" fillId="0" borderId="1" xfId="0" applyNumberFormat="1" applyFont="1" applyBorder="1"/>
    <xf numFmtId="0" fontId="8" fillId="0" borderId="0" xfId="0" applyFont="1" applyAlignment="1">
      <alignment horizontal="right"/>
    </xf>
    <xf numFmtId="10" fontId="4" fillId="0" borderId="0" xfId="0" applyNumberFormat="1" applyFont="1"/>
    <xf numFmtId="10" fontId="4" fillId="0" borderId="2" xfId="0" applyNumberFormat="1" applyFont="1" applyBorder="1"/>
    <xf numFmtId="0" fontId="1" fillId="0" borderId="4" xfId="0" applyFont="1" applyBorder="1"/>
    <xf numFmtId="10" fontId="3" fillId="0" borderId="4" xfId="0" applyNumberFormat="1" applyFont="1" applyBorder="1"/>
    <xf numFmtId="0" fontId="9" fillId="0" borderId="4" xfId="0" applyFont="1" applyBorder="1" applyAlignment="1">
      <alignment horizontal="right"/>
    </xf>
    <xf numFmtId="10" fontId="1" fillId="0" borderId="3" xfId="0" applyNumberFormat="1" applyFont="1" applyBorder="1"/>
    <xf numFmtId="3" fontId="1" fillId="0" borderId="4" xfId="0" applyNumberFormat="1" applyFont="1" applyBorder="1"/>
    <xf numFmtId="165" fontId="3" fillId="0" borderId="1" xfId="0" applyNumberFormat="1" applyFont="1" applyBorder="1"/>
    <xf numFmtId="0" fontId="2" fillId="0" borderId="5" xfId="0" applyFont="1" applyBorder="1"/>
    <xf numFmtId="0" fontId="10" fillId="0" borderId="5" xfId="0" applyFont="1" applyBorder="1"/>
    <xf numFmtId="0" fontId="11" fillId="0" borderId="5" xfId="0" applyFont="1" applyBorder="1"/>
    <xf numFmtId="0" fontId="10" fillId="2" borderId="5" xfId="0" applyFont="1" applyFill="1" applyBorder="1"/>
    <xf numFmtId="3" fontId="10" fillId="0" borderId="5" xfId="0" applyNumberFormat="1" applyFont="1" applyBorder="1"/>
    <xf numFmtId="1" fontId="10" fillId="0" borderId="5" xfId="0" applyNumberFormat="1" applyFont="1" applyBorder="1"/>
    <xf numFmtId="0" fontId="5" fillId="0" borderId="5" xfId="0" applyFont="1" applyBorder="1"/>
    <xf numFmtId="0" fontId="6" fillId="0" borderId="5" xfId="0" applyFont="1" applyBorder="1"/>
    <xf numFmtId="1" fontId="11" fillId="0" borderId="5" xfId="0" applyNumberFormat="1" applyFont="1" applyBorder="1"/>
    <xf numFmtId="10" fontId="2" fillId="0" borderId="1" xfId="0" applyNumberFormat="1" applyFont="1" applyBorder="1"/>
    <xf numFmtId="0" fontId="2" fillId="0" borderId="6" xfId="0" applyFont="1" applyBorder="1"/>
    <xf numFmtId="9" fontId="2" fillId="0" borderId="0" xfId="0" applyNumberFormat="1" applyFont="1"/>
    <xf numFmtId="8" fontId="2" fillId="0" borderId="6" xfId="0" applyNumberFormat="1" applyFont="1" applyBorder="1"/>
    <xf numFmtId="10" fontId="1" fillId="0" borderId="1" xfId="0" applyNumberFormat="1" applyFont="1" applyBorder="1"/>
    <xf numFmtId="164" fontId="1" fillId="0" borderId="0" xfId="0" applyNumberFormat="1" applyFont="1"/>
    <xf numFmtId="164" fontId="6" fillId="0" borderId="5" xfId="0" applyNumberFormat="1" applyFont="1" applyBorder="1"/>
    <xf numFmtId="1" fontId="2" fillId="0" borderId="0" xfId="0" applyNumberFormat="1" applyFont="1"/>
    <xf numFmtId="0" fontId="2" fillId="0" borderId="0" xfId="0" applyFont="1" applyBorder="1"/>
    <xf numFmtId="0" fontId="2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SOTP ESSITY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ESSITY</a:t>
          </a:r>
        </a:p>
      </cx:txPr>
    </cx:title>
    <cx:plotArea>
      <cx:plotAreaRegion>
        <cx:series layoutId="waterfall" uniqueId="{1C829D83-050A-2348-960F-3CBEB9D87759}">
          <cx:dataPt idx="4"/>
          <cx:dataPt idx="6">
            <cx:spPr>
              <a:solidFill>
                <a:srgbClr val="FF0000"/>
              </a:solidFill>
            </cx:spPr>
          </cx:dataPt>
          <cx:dataPt idx="9"/>
          <cx:dataLabels pos="outEnd">
            <cx:visibility seriesName="0" categoryName="0" value="1"/>
          </cx:dataLabels>
          <cx:dataId val="0"/>
          <cx:layoutPr>
            <cx:subtotals>
              <cx:idx val="4"/>
              <cx:idx val="9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1"/>
            </a:pPr>
            <a:endParaRPr lang="nb-NO" sz="10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SEK/Aksje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381000</xdr:colOff>
      <xdr:row>22</xdr:row>
      <xdr:rowOff>123162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AD7BDFE-F065-74B5-29D2-01557B729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83000" cy="5431762"/>
        </a:xfrm>
        <a:prstGeom prst="rect">
          <a:avLst/>
        </a:prstGeom>
      </xdr:spPr>
    </xdr:pic>
    <xdr:clientData/>
  </xdr:twoCellAnchor>
  <xdr:twoCellAnchor editAs="oneCell">
    <xdr:from>
      <xdr:col>4</xdr:col>
      <xdr:colOff>368300</xdr:colOff>
      <xdr:row>0</xdr:row>
      <xdr:rowOff>0</xdr:rowOff>
    </xdr:from>
    <xdr:to>
      <xdr:col>15</xdr:col>
      <xdr:colOff>41088</xdr:colOff>
      <xdr:row>15</xdr:row>
      <xdr:rowOff>215900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7A89301-0C2E-4D82-D976-C114C3316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70300" y="0"/>
          <a:ext cx="9362888" cy="3835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203200</xdr:colOff>
      <xdr:row>7</xdr:row>
      <xdr:rowOff>12700</xdr:rowOff>
    </xdr:from>
    <xdr:to>
      <xdr:col>25</xdr:col>
      <xdr:colOff>95526</xdr:colOff>
      <xdr:row>43</xdr:row>
      <xdr:rowOff>83378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55F2E7F-575D-04AB-F4C1-D091EA3AB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95300" y="1701800"/>
          <a:ext cx="8147326" cy="8757478"/>
        </a:xfrm>
        <a:prstGeom prst="rect">
          <a:avLst/>
        </a:prstGeom>
      </xdr:spPr>
    </xdr:pic>
    <xdr:clientData/>
  </xdr:twoCellAnchor>
  <xdr:twoCellAnchor editAs="oneCell">
    <xdr:from>
      <xdr:col>15</xdr:col>
      <xdr:colOff>190499</xdr:colOff>
      <xdr:row>0</xdr:row>
      <xdr:rowOff>50800</xdr:rowOff>
    </xdr:from>
    <xdr:to>
      <xdr:col>25</xdr:col>
      <xdr:colOff>262282</xdr:colOff>
      <xdr:row>7</xdr:row>
      <xdr:rowOff>12700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DDE4A1ED-1F77-E6DF-3CA2-9A3982AEE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182599" y="50800"/>
          <a:ext cx="8326783" cy="1651000"/>
        </a:xfrm>
        <a:prstGeom prst="rect">
          <a:avLst/>
        </a:prstGeom>
      </xdr:spPr>
    </xdr:pic>
    <xdr:clientData/>
  </xdr:twoCellAnchor>
  <xdr:twoCellAnchor editAs="oneCell">
    <xdr:from>
      <xdr:col>25</xdr:col>
      <xdr:colOff>317500</xdr:colOff>
      <xdr:row>0</xdr:row>
      <xdr:rowOff>0</xdr:rowOff>
    </xdr:from>
    <xdr:to>
      <xdr:col>33</xdr:col>
      <xdr:colOff>254000</xdr:colOff>
      <xdr:row>7</xdr:row>
      <xdr:rowOff>119963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C3F48B1C-60F3-7EFE-6BFA-C1869EEB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558250" y="0"/>
          <a:ext cx="6540500" cy="1786838"/>
        </a:xfrm>
        <a:prstGeom prst="rect">
          <a:avLst/>
        </a:prstGeom>
      </xdr:spPr>
    </xdr:pic>
    <xdr:clientData/>
  </xdr:twoCellAnchor>
  <xdr:twoCellAnchor editAs="oneCell">
    <xdr:from>
      <xdr:col>25</xdr:col>
      <xdr:colOff>127000</xdr:colOff>
      <xdr:row>7</xdr:row>
      <xdr:rowOff>63499</xdr:rowOff>
    </xdr:from>
    <xdr:to>
      <xdr:col>33</xdr:col>
      <xdr:colOff>675000</xdr:colOff>
      <xdr:row>37</xdr:row>
      <xdr:rowOff>15874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A08D5F36-1623-7411-18B4-F401F6AF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1367750" y="1730374"/>
          <a:ext cx="7152000" cy="7096125"/>
        </a:xfrm>
        <a:prstGeom prst="rect">
          <a:avLst/>
        </a:prstGeom>
      </xdr:spPr>
    </xdr:pic>
    <xdr:clientData/>
  </xdr:twoCellAnchor>
  <xdr:twoCellAnchor editAs="oneCell">
    <xdr:from>
      <xdr:col>33</xdr:col>
      <xdr:colOff>823736</xdr:colOff>
      <xdr:row>7</xdr:row>
      <xdr:rowOff>37040</xdr:rowOff>
    </xdr:from>
    <xdr:to>
      <xdr:col>44</xdr:col>
      <xdr:colOff>268110</xdr:colOff>
      <xdr:row>37</xdr:row>
      <xdr:rowOff>77348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7C78CE3-8619-B053-35D0-9376E4FFA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8904847" y="1716262"/>
          <a:ext cx="8602485" cy="7236975"/>
        </a:xfrm>
        <a:prstGeom prst="rect">
          <a:avLst/>
        </a:prstGeom>
      </xdr:spPr>
    </xdr:pic>
    <xdr:clientData/>
  </xdr:twoCellAnchor>
  <xdr:twoCellAnchor editAs="oneCell">
    <xdr:from>
      <xdr:col>33</xdr:col>
      <xdr:colOff>587375</xdr:colOff>
      <xdr:row>0</xdr:row>
      <xdr:rowOff>222250</xdr:rowOff>
    </xdr:from>
    <xdr:to>
      <xdr:col>44</xdr:col>
      <xdr:colOff>414929</xdr:colOff>
      <xdr:row>6</xdr:row>
      <xdr:rowOff>95250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A8BD50C1-0CCA-D7BE-9573-B1543D136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432125" y="222250"/>
          <a:ext cx="8908054" cy="1301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18</xdr:row>
      <xdr:rowOff>69850</xdr:rowOff>
    </xdr:from>
    <xdr:to>
      <xdr:col>7</xdr:col>
      <xdr:colOff>76200</xdr:colOff>
      <xdr:row>43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 2">
              <a:extLst>
                <a:ext uri="{FF2B5EF4-FFF2-40B4-BE49-F238E27FC236}">
                  <a16:creationId xmlns:a16="http://schemas.microsoft.com/office/drawing/2014/main" id="{9A1A6686-34F7-6891-CC08-676D4B877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950" y="5302250"/>
              <a:ext cx="8464550" cy="5975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91CEA3F7-963F-5B4D-986D-9BB90025F39F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I76" dT="2026-01-26T19:51:14.01" personId="{91CEA3F7-963F-5B4D-986D-9BB90025F39F}" id="{1301B477-C5DA-B746-BCE6-F26A31ED90CD}">
    <text>Divestment of group comp 17 980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29"/>
  <sheetViews>
    <sheetView showGridLines="0" tabSelected="1" zoomScale="90" zoomScaleNormal="90" workbookViewId="0">
      <selection activeCell="I26" sqref="I26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  <row r="27" spans="1:1" x14ac:dyDescent="0.25">
      <c r="A27" s="1" t="s">
        <v>154</v>
      </c>
    </row>
    <row r="28" spans="1:1" x14ac:dyDescent="0.25">
      <c r="A28" s="2" t="s">
        <v>155</v>
      </c>
    </row>
    <row r="29" spans="1:1" x14ac:dyDescent="0.25">
      <c r="A29" s="2" t="s">
        <v>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KN122"/>
  <sheetViews>
    <sheetView showGridLines="0" workbookViewId="0">
      <pane xSplit="3" ySplit="3" topLeftCell="O4" activePane="bottomRight" state="frozen"/>
      <selection pane="topRight" activeCell="D1" sqref="D1"/>
      <selection pane="bottomLeft" activeCell="A4" sqref="A4"/>
      <selection pane="bottomRight" activeCell="AN29" sqref="AN29"/>
    </sheetView>
  </sheetViews>
  <sheetFormatPr baseColWidth="10" defaultRowHeight="19" x14ac:dyDescent="0.25"/>
  <cols>
    <col min="1" max="1" width="16.33203125" style="2" bestFit="1" customWidth="1"/>
    <col min="2" max="2" width="12.5" style="3" customWidth="1"/>
    <col min="3" max="3" width="37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5" width="10.83203125" style="2"/>
    <col min="36" max="36" width="10.83203125" style="3"/>
    <col min="37" max="47" width="10.83203125" style="2"/>
    <col min="48" max="48" width="14.33203125" style="2" bestFit="1" customWidth="1"/>
    <col min="49" max="49" width="14.5" style="2" bestFit="1" customWidth="1"/>
    <col min="50" max="16384" width="10.83203125" style="2"/>
  </cols>
  <sheetData>
    <row r="1" spans="1:300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F1" s="1"/>
    </row>
    <row r="3" spans="1:300" x14ac:dyDescent="0.25">
      <c r="A3" s="1" t="s">
        <v>0</v>
      </c>
      <c r="C3" s="2" t="s">
        <v>46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37</v>
      </c>
      <c r="Q3" s="4" t="s">
        <v>31</v>
      </c>
      <c r="R3" s="4" t="s">
        <v>35</v>
      </c>
      <c r="S3" s="4" t="s">
        <v>36</v>
      </c>
      <c r="T3" s="4" t="s">
        <v>137</v>
      </c>
      <c r="U3" s="4" t="s">
        <v>138</v>
      </c>
      <c r="V3" s="4" t="s">
        <v>139</v>
      </c>
      <c r="W3" s="4" t="s">
        <v>140</v>
      </c>
      <c r="Z3" s="4" t="s">
        <v>41</v>
      </c>
      <c r="AA3" s="4" t="s">
        <v>42</v>
      </c>
      <c r="AB3" s="4" t="s">
        <v>43</v>
      </c>
      <c r="AC3" s="4" t="s">
        <v>44</v>
      </c>
      <c r="AD3" s="4" t="s">
        <v>32</v>
      </c>
      <c r="AE3" s="4" t="s">
        <v>33</v>
      </c>
      <c r="AF3" s="4" t="s">
        <v>34</v>
      </c>
      <c r="AG3" s="4" t="s">
        <v>15</v>
      </c>
      <c r="AH3" s="4" t="s">
        <v>16</v>
      </c>
      <c r="AI3" s="4" t="s">
        <v>17</v>
      </c>
      <c r="AJ3" s="5" t="s">
        <v>18</v>
      </c>
      <c r="AK3" s="4" t="s">
        <v>19</v>
      </c>
      <c r="AL3" s="4" t="s">
        <v>20</v>
      </c>
      <c r="AM3" s="4" t="s">
        <v>21</v>
      </c>
      <c r="AN3" s="4" t="s">
        <v>22</v>
      </c>
      <c r="AO3" s="4" t="s">
        <v>23</v>
      </c>
      <c r="AP3" s="4" t="s">
        <v>24</v>
      </c>
      <c r="AQ3" s="4" t="s">
        <v>25</v>
      </c>
      <c r="AR3" s="4" t="s">
        <v>26</v>
      </c>
      <c r="AS3" s="4" t="s">
        <v>27</v>
      </c>
      <c r="AT3" s="4" t="s">
        <v>28</v>
      </c>
    </row>
    <row r="4" spans="1:300" x14ac:dyDescent="0.25">
      <c r="A4" s="2" t="s">
        <v>1</v>
      </c>
      <c r="B4" s="3">
        <v>253</v>
      </c>
      <c r="C4" s="1" t="s">
        <v>51</v>
      </c>
      <c r="D4" s="10"/>
      <c r="E4" s="10"/>
      <c r="F4" s="10"/>
      <c r="G4" s="10">
        <v>36629</v>
      </c>
      <c r="H4" s="10"/>
      <c r="I4" s="10"/>
      <c r="J4" s="10"/>
      <c r="K4" s="10">
        <v>36625</v>
      </c>
      <c r="L4" s="10">
        <v>34850</v>
      </c>
      <c r="M4" s="10">
        <v>36617</v>
      </c>
      <c r="N4" s="10">
        <v>36274</v>
      </c>
      <c r="O4" s="10">
        <v>37805</v>
      </c>
      <c r="P4" s="10">
        <v>34976</v>
      </c>
      <c r="Q4" s="10">
        <v>34185</v>
      </c>
      <c r="R4" s="10">
        <v>34638</v>
      </c>
      <c r="S4" s="10">
        <v>34695</v>
      </c>
      <c r="U4" s="10"/>
      <c r="V4" s="10"/>
      <c r="W4" s="10"/>
      <c r="X4" s="11"/>
      <c r="Y4" s="11"/>
      <c r="Z4" s="10">
        <v>98519</v>
      </c>
      <c r="AA4" s="10">
        <v>101238</v>
      </c>
      <c r="AB4" s="10">
        <v>109265</v>
      </c>
      <c r="AC4" s="10">
        <v>118500</v>
      </c>
      <c r="AD4" s="10">
        <v>128975</v>
      </c>
      <c r="AE4" s="10">
        <v>121752</v>
      </c>
      <c r="AF4" s="10">
        <v>121867</v>
      </c>
      <c r="AG4" s="10">
        <v>156173</v>
      </c>
      <c r="AH4" s="10">
        <v>147147</v>
      </c>
      <c r="AI4" s="10">
        <v>145546</v>
      </c>
      <c r="AJ4" s="12">
        <v>138494</v>
      </c>
      <c r="AK4" s="10">
        <f>AJ4*1.03</f>
        <v>142648.82</v>
      </c>
      <c r="AL4" s="10">
        <f>AK4*1.05</f>
        <v>149781.26100000003</v>
      </c>
      <c r="AM4" s="10">
        <f t="shared" ref="AM4:AT4" si="0">AL4*1.05</f>
        <v>157270.32405000002</v>
      </c>
      <c r="AN4" s="10">
        <f t="shared" si="0"/>
        <v>165133.84025250003</v>
      </c>
      <c r="AO4" s="10">
        <f t="shared" si="0"/>
        <v>173390.53226512505</v>
      </c>
      <c r="AP4" s="10">
        <f t="shared" si="0"/>
        <v>182060.0588783813</v>
      </c>
      <c r="AQ4" s="10">
        <f t="shared" si="0"/>
        <v>191163.06182230037</v>
      </c>
      <c r="AR4" s="10">
        <f t="shared" si="0"/>
        <v>200721.2149134154</v>
      </c>
      <c r="AS4" s="10">
        <f t="shared" si="0"/>
        <v>210757.27565908618</v>
      </c>
      <c r="AT4" s="10">
        <f t="shared" si="0"/>
        <v>221295.1394420405</v>
      </c>
    </row>
    <row r="5" spans="1:300" x14ac:dyDescent="0.25">
      <c r="A5" s="2" t="s">
        <v>2</v>
      </c>
      <c r="B5" s="3">
        <v>683.9</v>
      </c>
      <c r="C5" s="2" t="s">
        <v>52</v>
      </c>
      <c r="D5" s="11"/>
      <c r="E5" s="11"/>
      <c r="F5" s="11"/>
      <c r="G5" s="11">
        <v>-26392</v>
      </c>
      <c r="H5" s="11"/>
      <c r="I5" s="11"/>
      <c r="J5" s="11"/>
      <c r="K5" s="11">
        <v>-24905</v>
      </c>
      <c r="L5" s="11">
        <v>-23283</v>
      </c>
      <c r="M5" s="11">
        <v>-24467</v>
      </c>
      <c r="N5" s="11">
        <v>-24448</v>
      </c>
      <c r="O5" s="11">
        <v>-25731</v>
      </c>
      <c r="P5" s="11">
        <v>-23502</v>
      </c>
      <c r="Q5" s="11">
        <v>-22784</v>
      </c>
      <c r="R5" s="11">
        <v>-23065</v>
      </c>
      <c r="S5" s="11">
        <v>-23000</v>
      </c>
      <c r="U5" s="11"/>
      <c r="V5" s="11"/>
      <c r="W5" s="11"/>
      <c r="X5" s="11"/>
      <c r="Y5" s="11"/>
      <c r="Z5" s="11">
        <f>-71960-267</f>
        <v>-72227</v>
      </c>
      <c r="AA5" s="11">
        <f>-72476-532</f>
        <v>-73008</v>
      </c>
      <c r="AB5" s="11">
        <f>-76899-509</f>
        <v>-77408</v>
      </c>
      <c r="AC5" s="11">
        <f>-85058-1437</f>
        <v>-86495</v>
      </c>
      <c r="AD5" s="11">
        <f>-90876-243</f>
        <v>-91119</v>
      </c>
      <c r="AE5" s="11">
        <f>-82132-181</f>
        <v>-82313</v>
      </c>
      <c r="AF5" s="11">
        <f>-86628-146</f>
        <v>-86774</v>
      </c>
      <c r="AG5" s="11">
        <f>-117046-1899</f>
        <v>-118945</v>
      </c>
      <c r="AH5" s="11">
        <v>-102627</v>
      </c>
      <c r="AI5" s="11">
        <v>-97929</v>
      </c>
      <c r="AJ5" s="13">
        <v>-92351</v>
      </c>
      <c r="AK5" s="11">
        <f>AK4*-0.67</f>
        <v>-95574.709400000007</v>
      </c>
      <c r="AL5" s="11">
        <f t="shared" ref="AL5:AT5" si="1">AL4*-0.67</f>
        <v>-100353.44487000002</v>
      </c>
      <c r="AM5" s="11">
        <f t="shared" si="1"/>
        <v>-105371.11711350002</v>
      </c>
      <c r="AN5" s="11">
        <f t="shared" si="1"/>
        <v>-110639.67296917502</v>
      </c>
      <c r="AO5" s="11">
        <f t="shared" si="1"/>
        <v>-116171.65661763379</v>
      </c>
      <c r="AP5" s="11">
        <f t="shared" si="1"/>
        <v>-121980.23944851548</v>
      </c>
      <c r="AQ5" s="11">
        <f t="shared" si="1"/>
        <v>-128079.25142094126</v>
      </c>
      <c r="AR5" s="11">
        <f t="shared" si="1"/>
        <v>-134483.21399198833</v>
      </c>
      <c r="AS5" s="11">
        <f t="shared" si="1"/>
        <v>-141207.37469158776</v>
      </c>
      <c r="AT5" s="11">
        <f t="shared" si="1"/>
        <v>-148267.74342616714</v>
      </c>
    </row>
    <row r="6" spans="1:300" x14ac:dyDescent="0.25">
      <c r="A6" s="2" t="s">
        <v>47</v>
      </c>
      <c r="B6" s="19">
        <f>B4*B5</f>
        <v>173026.69999999998</v>
      </c>
      <c r="C6" s="2" t="s">
        <v>53</v>
      </c>
      <c r="D6" s="11"/>
      <c r="E6" s="11"/>
      <c r="F6" s="11"/>
      <c r="G6" s="11">
        <f t="shared" ref="G6" si="2">SUM(G4:G5)</f>
        <v>10237</v>
      </c>
      <c r="H6" s="11"/>
      <c r="I6" s="11"/>
      <c r="J6" s="11"/>
      <c r="K6" s="11">
        <f t="shared" ref="K6:S6" si="3">SUM(K4:K5)</f>
        <v>11720</v>
      </c>
      <c r="L6" s="11">
        <f t="shared" si="3"/>
        <v>11567</v>
      </c>
      <c r="M6" s="11">
        <f t="shared" si="3"/>
        <v>12150</v>
      </c>
      <c r="N6" s="11">
        <f t="shared" si="3"/>
        <v>11826</v>
      </c>
      <c r="O6" s="11">
        <f t="shared" si="3"/>
        <v>12074</v>
      </c>
      <c r="P6" s="11">
        <f t="shared" si="3"/>
        <v>11474</v>
      </c>
      <c r="Q6" s="11">
        <f t="shared" si="3"/>
        <v>11401</v>
      </c>
      <c r="R6" s="11">
        <f t="shared" si="3"/>
        <v>11573</v>
      </c>
      <c r="S6" s="11">
        <f t="shared" si="3"/>
        <v>11695</v>
      </c>
      <c r="U6" s="11"/>
      <c r="V6" s="11"/>
      <c r="W6" s="11"/>
      <c r="X6" s="11"/>
      <c r="Y6" s="11"/>
      <c r="Z6" s="11">
        <f t="shared" ref="Z6:AI6" si="4">SUM(Z4:Z5)</f>
        <v>26292</v>
      </c>
      <c r="AA6" s="11">
        <f t="shared" si="4"/>
        <v>28230</v>
      </c>
      <c r="AB6" s="11">
        <f t="shared" si="4"/>
        <v>31857</v>
      </c>
      <c r="AC6" s="11">
        <f t="shared" si="4"/>
        <v>32005</v>
      </c>
      <c r="AD6" s="11">
        <f t="shared" si="4"/>
        <v>37856</v>
      </c>
      <c r="AE6" s="11">
        <f t="shared" si="4"/>
        <v>39439</v>
      </c>
      <c r="AF6" s="11">
        <f t="shared" si="4"/>
        <v>35093</v>
      </c>
      <c r="AG6" s="11">
        <f t="shared" si="4"/>
        <v>37228</v>
      </c>
      <c r="AH6" s="11">
        <f t="shared" si="4"/>
        <v>44520</v>
      </c>
      <c r="AI6" s="11">
        <f t="shared" si="4"/>
        <v>47617</v>
      </c>
      <c r="AJ6" s="13">
        <f t="shared" ref="AJ6:AT6" si="5">SUM(AJ4:AJ5)</f>
        <v>46143</v>
      </c>
      <c r="AK6" s="11">
        <f t="shared" si="5"/>
        <v>47074.1106</v>
      </c>
      <c r="AL6" s="11">
        <f t="shared" si="5"/>
        <v>49427.816130000007</v>
      </c>
      <c r="AM6" s="11">
        <f t="shared" si="5"/>
        <v>51899.206936500006</v>
      </c>
      <c r="AN6" s="11">
        <f t="shared" si="5"/>
        <v>54494.167283325005</v>
      </c>
      <c r="AO6" s="11">
        <f t="shared" si="5"/>
        <v>57218.875647491252</v>
      </c>
      <c r="AP6" s="11">
        <f t="shared" si="5"/>
        <v>60079.81942986582</v>
      </c>
      <c r="AQ6" s="11">
        <f t="shared" si="5"/>
        <v>63083.810401359107</v>
      </c>
      <c r="AR6" s="11">
        <f t="shared" si="5"/>
        <v>66238.000921427069</v>
      </c>
      <c r="AS6" s="11">
        <f t="shared" si="5"/>
        <v>69549.900967498426</v>
      </c>
      <c r="AT6" s="11">
        <f t="shared" si="5"/>
        <v>73027.396015873353</v>
      </c>
    </row>
    <row r="7" spans="1:300" x14ac:dyDescent="0.25">
      <c r="A7" s="2" t="s">
        <v>48</v>
      </c>
      <c r="B7" s="13">
        <f>S43</f>
        <v>8487</v>
      </c>
      <c r="C7" s="2" t="s">
        <v>54</v>
      </c>
      <c r="D7" s="11"/>
      <c r="E7" s="11"/>
      <c r="F7" s="11"/>
      <c r="G7" s="11">
        <v>-6132</v>
      </c>
      <c r="H7" s="11"/>
      <c r="I7" s="11"/>
      <c r="J7" s="11"/>
      <c r="K7" s="11">
        <v>-6874</v>
      </c>
      <c r="L7" s="11">
        <v>-6689</v>
      </c>
      <c r="M7" s="11">
        <v>-6808</v>
      </c>
      <c r="N7" s="11">
        <v>-6735</v>
      </c>
      <c r="O7" s="11">
        <v>-7119</v>
      </c>
      <c r="P7" s="11">
        <v>-6768</v>
      </c>
      <c r="Q7" s="11">
        <v>-6708</v>
      </c>
      <c r="R7" s="11">
        <v>-6517</v>
      </c>
      <c r="S7" s="11">
        <v>-6578</v>
      </c>
      <c r="U7" s="11"/>
      <c r="V7" s="11"/>
      <c r="W7" s="11"/>
      <c r="X7" s="11"/>
      <c r="Y7" s="11"/>
      <c r="Z7" s="11">
        <f>-16287-519</f>
        <v>-16806</v>
      </c>
      <c r="AA7" s="11">
        <f>-17086-2293</f>
        <v>-19379</v>
      </c>
      <c r="AB7" s="11">
        <f>-19130-346</f>
        <v>-19476</v>
      </c>
      <c r="AC7" s="11">
        <f>-20570+62</f>
        <v>-20508</v>
      </c>
      <c r="AD7" s="11">
        <f>-22319-470</f>
        <v>-22789</v>
      </c>
      <c r="AE7" s="11">
        <f>-22088+122</f>
        <v>-21966</v>
      </c>
      <c r="AF7" s="11">
        <f>-21617+517</f>
        <v>-21100</v>
      </c>
      <c r="AG7" s="11">
        <f>-26107-272</f>
        <v>-26379</v>
      </c>
      <c r="AH7" s="11">
        <v>-25661</v>
      </c>
      <c r="AI7" s="11">
        <v>-27351</v>
      </c>
      <c r="AJ7" s="13">
        <v>-26571</v>
      </c>
      <c r="AK7" s="11">
        <f>AJ7*1.03</f>
        <v>-27368.13</v>
      </c>
      <c r="AL7" s="11">
        <f>AK7*1.05</f>
        <v>-28736.536500000002</v>
      </c>
      <c r="AM7" s="11">
        <f t="shared" ref="AM7:AT7" si="6">AL7*1.05</f>
        <v>-30173.363325000002</v>
      </c>
      <c r="AN7" s="11">
        <f t="shared" si="6"/>
        <v>-31682.031491250003</v>
      </c>
      <c r="AO7" s="11">
        <f t="shared" si="6"/>
        <v>-33266.133065812508</v>
      </c>
      <c r="AP7" s="11">
        <f t="shared" si="6"/>
        <v>-34929.439719103138</v>
      </c>
      <c r="AQ7" s="11">
        <f t="shared" si="6"/>
        <v>-36675.911705058294</v>
      </c>
      <c r="AR7" s="11">
        <f t="shared" si="6"/>
        <v>-38509.707290311213</v>
      </c>
      <c r="AS7" s="11">
        <f t="shared" si="6"/>
        <v>-40435.192654826773</v>
      </c>
      <c r="AT7" s="11">
        <f t="shared" si="6"/>
        <v>-42456.952287568114</v>
      </c>
    </row>
    <row r="8" spans="1:300" x14ac:dyDescent="0.25">
      <c r="A8" s="2" t="s">
        <v>49</v>
      </c>
      <c r="B8" s="13">
        <f>(S50+S55)</f>
        <v>38632</v>
      </c>
      <c r="C8" s="2" t="s">
        <v>55</v>
      </c>
      <c r="D8" s="11"/>
      <c r="E8" s="11"/>
      <c r="F8" s="11"/>
      <c r="G8" s="11">
        <v>7</v>
      </c>
      <c r="H8" s="11"/>
      <c r="I8" s="11"/>
      <c r="J8" s="11"/>
      <c r="K8" s="11">
        <v>7</v>
      </c>
      <c r="L8" s="11">
        <v>2</v>
      </c>
      <c r="M8" s="11">
        <v>56</v>
      </c>
      <c r="N8" s="11">
        <v>0</v>
      </c>
      <c r="O8" s="11">
        <v>14</v>
      </c>
      <c r="P8" s="11">
        <v>0</v>
      </c>
      <c r="Q8" s="11">
        <v>0</v>
      </c>
      <c r="R8" s="11">
        <v>0</v>
      </c>
      <c r="S8" s="11">
        <v>0</v>
      </c>
      <c r="U8" s="11"/>
      <c r="V8" s="11"/>
      <c r="W8" s="11"/>
      <c r="X8" s="11"/>
      <c r="Y8" s="11"/>
      <c r="Z8" s="11">
        <v>198</v>
      </c>
      <c r="AA8" s="11">
        <v>157</v>
      </c>
      <c r="AB8" s="11">
        <v>169</v>
      </c>
      <c r="AC8" s="11">
        <v>63</v>
      </c>
      <c r="AD8" s="11">
        <v>60</v>
      </c>
      <c r="AE8" s="11">
        <v>94</v>
      </c>
      <c r="AF8" s="11">
        <v>58</v>
      </c>
      <c r="AG8" s="11">
        <v>38</v>
      </c>
      <c r="AH8" s="11">
        <v>39</v>
      </c>
      <c r="AI8" s="11">
        <v>78</v>
      </c>
      <c r="AJ8" s="13">
        <v>0</v>
      </c>
      <c r="AK8" s="11">
        <f>AJ8*1.03</f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</row>
    <row r="9" spans="1:300" x14ac:dyDescent="0.25">
      <c r="A9" s="6" t="s">
        <v>50</v>
      </c>
      <c r="B9" s="28">
        <f>B6-B7+B8</f>
        <v>203171.69999999998</v>
      </c>
      <c r="C9" s="1" t="s">
        <v>56</v>
      </c>
      <c r="D9" s="10"/>
      <c r="E9" s="10"/>
      <c r="F9" s="10"/>
      <c r="G9" s="10">
        <f t="shared" ref="G9" si="7">SUM(G6:G8)</f>
        <v>4112</v>
      </c>
      <c r="H9" s="10"/>
      <c r="I9" s="10"/>
      <c r="J9" s="10"/>
      <c r="K9" s="10">
        <f t="shared" ref="K9:S9" si="8">SUM(K6:K8)</f>
        <v>4853</v>
      </c>
      <c r="L9" s="10">
        <f t="shared" si="8"/>
        <v>4880</v>
      </c>
      <c r="M9" s="10">
        <f t="shared" si="8"/>
        <v>5398</v>
      </c>
      <c r="N9" s="10">
        <f t="shared" si="8"/>
        <v>5091</v>
      </c>
      <c r="O9" s="10">
        <f t="shared" si="8"/>
        <v>4969</v>
      </c>
      <c r="P9" s="10">
        <f t="shared" si="8"/>
        <v>4706</v>
      </c>
      <c r="Q9" s="10">
        <f t="shared" si="8"/>
        <v>4693</v>
      </c>
      <c r="R9" s="10">
        <f t="shared" si="8"/>
        <v>5056</v>
      </c>
      <c r="S9" s="10">
        <f t="shared" si="8"/>
        <v>5117</v>
      </c>
      <c r="U9" s="10"/>
      <c r="V9" s="10"/>
      <c r="W9" s="10"/>
      <c r="X9" s="10"/>
      <c r="Y9" s="11"/>
      <c r="Z9" s="10">
        <f t="shared" ref="Z9:AI9" si="9">SUM(Z6:Z8)</f>
        <v>9684</v>
      </c>
      <c r="AA9" s="10">
        <f t="shared" si="9"/>
        <v>9008</v>
      </c>
      <c r="AB9" s="10">
        <f t="shared" si="9"/>
        <v>12550</v>
      </c>
      <c r="AC9" s="10">
        <f t="shared" si="9"/>
        <v>11560</v>
      </c>
      <c r="AD9" s="10">
        <f t="shared" si="9"/>
        <v>15127</v>
      </c>
      <c r="AE9" s="10">
        <f t="shared" si="9"/>
        <v>17567</v>
      </c>
      <c r="AF9" s="10">
        <f t="shared" si="9"/>
        <v>14051</v>
      </c>
      <c r="AG9" s="10">
        <f t="shared" si="9"/>
        <v>10887</v>
      </c>
      <c r="AH9" s="10">
        <f t="shared" si="9"/>
        <v>18898</v>
      </c>
      <c r="AI9" s="10">
        <f t="shared" si="9"/>
        <v>20344</v>
      </c>
      <c r="AJ9" s="12">
        <f t="shared" ref="AJ9:AT9" si="10">SUM(AJ6:AJ8)</f>
        <v>19572</v>
      </c>
      <c r="AK9" s="10">
        <f t="shared" si="10"/>
        <v>19705.980599999999</v>
      </c>
      <c r="AL9" s="10">
        <f t="shared" si="10"/>
        <v>20691.279630000005</v>
      </c>
      <c r="AM9" s="10">
        <f t="shared" si="10"/>
        <v>21725.843611500004</v>
      </c>
      <c r="AN9" s="10">
        <f t="shared" si="10"/>
        <v>22812.135792075002</v>
      </c>
      <c r="AO9" s="10">
        <f t="shared" si="10"/>
        <v>23952.742581678744</v>
      </c>
      <c r="AP9" s="10">
        <f t="shared" si="10"/>
        <v>25150.379710762681</v>
      </c>
      <c r="AQ9" s="10">
        <f t="shared" si="10"/>
        <v>26407.898696300814</v>
      </c>
      <c r="AR9" s="10">
        <f t="shared" si="10"/>
        <v>27728.293631115856</v>
      </c>
      <c r="AS9" s="10">
        <f t="shared" si="10"/>
        <v>29114.708312671653</v>
      </c>
      <c r="AT9" s="10">
        <f t="shared" si="10"/>
        <v>30570.443728305239</v>
      </c>
    </row>
    <row r="10" spans="1:300" x14ac:dyDescent="0.25">
      <c r="C10" s="2" t="s">
        <v>57</v>
      </c>
      <c r="D10" s="11"/>
      <c r="E10" s="11"/>
      <c r="F10" s="11"/>
      <c r="G10" s="11">
        <v>-288</v>
      </c>
      <c r="H10" s="11"/>
      <c r="I10" s="11"/>
      <c r="J10" s="11"/>
      <c r="K10" s="11">
        <v>-270</v>
      </c>
      <c r="L10" s="11">
        <v>-320</v>
      </c>
      <c r="M10" s="11">
        <v>-258</v>
      </c>
      <c r="N10" s="11">
        <v>-262</v>
      </c>
      <c r="O10" s="11">
        <v>-270</v>
      </c>
      <c r="P10" s="11">
        <v>-256</v>
      </c>
      <c r="Q10" s="11">
        <v>-241</v>
      </c>
      <c r="R10" s="11">
        <v>-243</v>
      </c>
      <c r="S10" s="11">
        <v>-232</v>
      </c>
      <c r="U10" s="11"/>
      <c r="V10" s="11"/>
      <c r="W10" s="11"/>
      <c r="X10" s="11"/>
      <c r="Y10" s="11"/>
      <c r="Z10" s="11">
        <v>0</v>
      </c>
      <c r="AA10" s="11">
        <v>0</v>
      </c>
      <c r="AB10" s="11">
        <f>-560-85</f>
        <v>-645</v>
      </c>
      <c r="AC10" s="11">
        <f>-732-69</f>
        <v>-801</v>
      </c>
      <c r="AD10" s="11">
        <v>-778</v>
      </c>
      <c r="AE10" s="11">
        <v>-809</v>
      </c>
      <c r="AF10" s="11">
        <v>-852</v>
      </c>
      <c r="AG10" s="11">
        <f>-1116-292</f>
        <v>-1408</v>
      </c>
      <c r="AH10" s="11">
        <v>-1109</v>
      </c>
      <c r="AI10" s="11">
        <v>-1110</v>
      </c>
      <c r="AJ10" s="13">
        <v>-972</v>
      </c>
      <c r="AK10" s="11">
        <f>AJ10*1.01</f>
        <v>-981.72</v>
      </c>
      <c r="AL10" s="11">
        <f t="shared" ref="AL10:AT10" si="11">AK10*1.01</f>
        <v>-991.53719999999998</v>
      </c>
      <c r="AM10" s="11">
        <f t="shared" si="11"/>
        <v>-1001.452572</v>
      </c>
      <c r="AN10" s="11">
        <f t="shared" si="11"/>
        <v>-1011.4670977200001</v>
      </c>
      <c r="AO10" s="11">
        <f t="shared" si="11"/>
        <v>-1021.5817686972001</v>
      </c>
      <c r="AP10" s="11">
        <f t="shared" si="11"/>
        <v>-1031.7975863841721</v>
      </c>
      <c r="AQ10" s="11">
        <f t="shared" si="11"/>
        <v>-1042.1155622480137</v>
      </c>
      <c r="AR10" s="11">
        <f t="shared" si="11"/>
        <v>-1052.5367178704939</v>
      </c>
      <c r="AS10" s="11">
        <f t="shared" si="11"/>
        <v>-1063.0620850491989</v>
      </c>
      <c r="AT10" s="11">
        <f t="shared" si="11"/>
        <v>-1073.692705899691</v>
      </c>
    </row>
    <row r="11" spans="1:300" x14ac:dyDescent="0.25">
      <c r="C11" s="1" t="s">
        <v>58</v>
      </c>
      <c r="D11" s="10"/>
      <c r="E11" s="10"/>
      <c r="F11" s="10"/>
      <c r="G11" s="10">
        <f t="shared" ref="G11" si="12">SUM(G9:G10)</f>
        <v>3824</v>
      </c>
      <c r="H11" s="10"/>
      <c r="I11" s="10"/>
      <c r="J11" s="10"/>
      <c r="K11" s="10">
        <f t="shared" ref="K11:S11" si="13">SUM(K9:K10)</f>
        <v>4583</v>
      </c>
      <c r="L11" s="10">
        <f t="shared" si="13"/>
        <v>4560</v>
      </c>
      <c r="M11" s="10">
        <f t="shared" si="13"/>
        <v>5140</v>
      </c>
      <c r="N11" s="10">
        <f t="shared" si="13"/>
        <v>4829</v>
      </c>
      <c r="O11" s="10">
        <f t="shared" si="13"/>
        <v>4699</v>
      </c>
      <c r="P11" s="10">
        <f t="shared" si="13"/>
        <v>4450</v>
      </c>
      <c r="Q11" s="10">
        <f t="shared" si="13"/>
        <v>4452</v>
      </c>
      <c r="R11" s="10">
        <f t="shared" si="13"/>
        <v>4813</v>
      </c>
      <c r="S11" s="10">
        <f t="shared" si="13"/>
        <v>4885</v>
      </c>
      <c r="U11" s="10"/>
      <c r="V11" s="10"/>
      <c r="W11" s="10"/>
      <c r="X11" s="10"/>
      <c r="Y11" s="11"/>
      <c r="Z11" s="10">
        <f t="shared" ref="Z11:AI11" si="14">SUM(Z9:Z10)</f>
        <v>9684</v>
      </c>
      <c r="AA11" s="10">
        <f t="shared" si="14"/>
        <v>9008</v>
      </c>
      <c r="AB11" s="10">
        <f t="shared" si="14"/>
        <v>11905</v>
      </c>
      <c r="AC11" s="10">
        <f t="shared" si="14"/>
        <v>10759</v>
      </c>
      <c r="AD11" s="10">
        <f t="shared" si="14"/>
        <v>14349</v>
      </c>
      <c r="AE11" s="10">
        <f t="shared" si="14"/>
        <v>16758</v>
      </c>
      <c r="AF11" s="10">
        <f t="shared" si="14"/>
        <v>13199</v>
      </c>
      <c r="AG11" s="10">
        <f t="shared" si="14"/>
        <v>9479</v>
      </c>
      <c r="AH11" s="10">
        <f t="shared" si="14"/>
        <v>17789</v>
      </c>
      <c r="AI11" s="10">
        <f t="shared" si="14"/>
        <v>19234</v>
      </c>
      <c r="AJ11" s="12">
        <f t="shared" ref="AJ11:AT11" si="15">SUM(AJ9:AJ10)</f>
        <v>18600</v>
      </c>
      <c r="AK11" s="10">
        <f t="shared" si="15"/>
        <v>18724.260599999998</v>
      </c>
      <c r="AL11" s="10">
        <f t="shared" si="15"/>
        <v>19699.742430000006</v>
      </c>
      <c r="AM11" s="10">
        <f t="shared" si="15"/>
        <v>20724.391039500006</v>
      </c>
      <c r="AN11" s="10">
        <f t="shared" si="15"/>
        <v>21800.668694355001</v>
      </c>
      <c r="AO11" s="10">
        <f t="shared" si="15"/>
        <v>22931.160812981543</v>
      </c>
      <c r="AP11" s="10">
        <f t="shared" si="15"/>
        <v>24118.58212437851</v>
      </c>
      <c r="AQ11" s="10">
        <f t="shared" si="15"/>
        <v>25365.783134052799</v>
      </c>
      <c r="AR11" s="10">
        <f t="shared" si="15"/>
        <v>26675.756913245361</v>
      </c>
      <c r="AS11" s="10">
        <f t="shared" si="15"/>
        <v>28051.646227622456</v>
      </c>
      <c r="AT11" s="10">
        <f t="shared" si="15"/>
        <v>29496.751022405548</v>
      </c>
    </row>
    <row r="12" spans="1:300" x14ac:dyDescent="0.25">
      <c r="C12" s="2" t="s">
        <v>59</v>
      </c>
      <c r="D12" s="11"/>
      <c r="E12" s="11"/>
      <c r="F12" s="11"/>
      <c r="G12" s="11">
        <v>0</v>
      </c>
      <c r="H12" s="11"/>
      <c r="I12" s="11"/>
      <c r="J12" s="11"/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-1</v>
      </c>
      <c r="Q12" s="11">
        <v>14</v>
      </c>
      <c r="R12" s="11">
        <v>-4</v>
      </c>
      <c r="S12" s="11">
        <v>5</v>
      </c>
      <c r="U12" s="11"/>
      <c r="V12" s="11"/>
      <c r="W12" s="11"/>
      <c r="X12" s="11"/>
      <c r="Y12" s="11"/>
      <c r="Z12" s="2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412</v>
      </c>
      <c r="AI12" s="11">
        <v>593</v>
      </c>
      <c r="AJ12" s="13">
        <v>14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</row>
    <row r="13" spans="1:300" x14ac:dyDescent="0.25">
      <c r="C13" s="2" t="s">
        <v>60</v>
      </c>
      <c r="D13" s="11"/>
      <c r="E13" s="11"/>
      <c r="F13" s="11"/>
      <c r="G13" s="11">
        <v>-561</v>
      </c>
      <c r="H13" s="11"/>
      <c r="I13" s="11"/>
      <c r="J13" s="11"/>
      <c r="K13" s="11">
        <v>-499</v>
      </c>
      <c r="L13" s="11">
        <v>-607</v>
      </c>
      <c r="M13" s="11">
        <v>-478</v>
      </c>
      <c r="N13" s="11">
        <v>-430</v>
      </c>
      <c r="O13" s="11">
        <v>-416</v>
      </c>
      <c r="P13" s="11">
        <v>-373</v>
      </c>
      <c r="Q13" s="11">
        <v>-333</v>
      </c>
      <c r="R13" s="11">
        <v>-369</v>
      </c>
      <c r="S13" s="11">
        <v>-309</v>
      </c>
      <c r="U13" s="11"/>
      <c r="V13" s="11"/>
      <c r="W13" s="11"/>
      <c r="X13" s="11"/>
      <c r="Y13" s="11"/>
      <c r="Z13" s="11">
        <f>312-1140</f>
        <v>-828</v>
      </c>
      <c r="AA13" s="11">
        <f>202-1037</f>
        <v>-835</v>
      </c>
      <c r="AB13" s="11">
        <f>158-1340</f>
        <v>-1182</v>
      </c>
      <c r="AC13" s="11">
        <f>91-1248</f>
        <v>-1157</v>
      </c>
      <c r="AD13" s="11">
        <f>106-1415</f>
        <v>-1309</v>
      </c>
      <c r="AE13" s="11">
        <f>108-1066</f>
        <v>-958</v>
      </c>
      <c r="AF13" s="11">
        <f>102-764</f>
        <v>-662</v>
      </c>
      <c r="AG13" s="11">
        <f>173-1543</f>
        <v>-1370</v>
      </c>
      <c r="AH13" s="11">
        <v>-2768</v>
      </c>
      <c r="AI13" s="11">
        <v>-2524</v>
      </c>
      <c r="AJ13" s="13">
        <v>-1384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</row>
    <row r="14" spans="1:300" x14ac:dyDescent="0.25">
      <c r="C14" s="2" t="s">
        <v>61</v>
      </c>
      <c r="D14" s="11"/>
      <c r="E14" s="11"/>
      <c r="F14" s="11"/>
      <c r="G14" s="11">
        <f t="shared" ref="G14" si="16">SUM(G11:G13)</f>
        <v>3263</v>
      </c>
      <c r="H14" s="11"/>
      <c r="I14" s="11"/>
      <c r="J14" s="11"/>
      <c r="K14" s="11">
        <f t="shared" ref="K14:S14" si="17">SUM(K11:K13)</f>
        <v>4084</v>
      </c>
      <c r="L14" s="11">
        <f t="shared" si="17"/>
        <v>3953</v>
      </c>
      <c r="M14" s="11">
        <f t="shared" si="17"/>
        <v>4662</v>
      </c>
      <c r="N14" s="11">
        <f t="shared" si="17"/>
        <v>4399</v>
      </c>
      <c r="O14" s="11">
        <f t="shared" si="17"/>
        <v>4283</v>
      </c>
      <c r="P14" s="11">
        <f t="shared" si="17"/>
        <v>4076</v>
      </c>
      <c r="Q14" s="11">
        <f t="shared" si="17"/>
        <v>4133</v>
      </c>
      <c r="R14" s="11">
        <f t="shared" si="17"/>
        <v>4440</v>
      </c>
      <c r="S14" s="11">
        <f t="shared" si="17"/>
        <v>4581</v>
      </c>
      <c r="U14" s="11"/>
      <c r="V14" s="11"/>
      <c r="W14" s="11"/>
      <c r="X14" s="11"/>
      <c r="Y14" s="11"/>
      <c r="Z14" s="11">
        <f t="shared" ref="Z14:AI14" si="18">SUM(Z11:Z13)</f>
        <v>8856</v>
      </c>
      <c r="AA14" s="11">
        <f t="shared" si="18"/>
        <v>8173</v>
      </c>
      <c r="AB14" s="11">
        <f t="shared" si="18"/>
        <v>10723</v>
      </c>
      <c r="AC14" s="11">
        <f t="shared" si="18"/>
        <v>9602</v>
      </c>
      <c r="AD14" s="11">
        <f t="shared" si="18"/>
        <v>13040</v>
      </c>
      <c r="AE14" s="11">
        <f t="shared" si="18"/>
        <v>15800</v>
      </c>
      <c r="AF14" s="11">
        <f t="shared" si="18"/>
        <v>12537</v>
      </c>
      <c r="AG14" s="11">
        <f t="shared" si="18"/>
        <v>8109</v>
      </c>
      <c r="AH14" s="11">
        <f t="shared" si="18"/>
        <v>15433</v>
      </c>
      <c r="AI14" s="11">
        <f t="shared" si="18"/>
        <v>17303</v>
      </c>
      <c r="AJ14" s="13">
        <f t="shared" ref="AJ14:AT14" si="19">SUM(AJ11:AJ13)</f>
        <v>17230</v>
      </c>
      <c r="AK14" s="11">
        <f t="shared" si="19"/>
        <v>18724.260599999998</v>
      </c>
      <c r="AL14" s="11">
        <f t="shared" si="19"/>
        <v>19699.742430000006</v>
      </c>
      <c r="AM14" s="11">
        <f t="shared" si="19"/>
        <v>20724.391039500006</v>
      </c>
      <c r="AN14" s="11">
        <f t="shared" si="19"/>
        <v>21800.668694355001</v>
      </c>
      <c r="AO14" s="11">
        <f t="shared" si="19"/>
        <v>22931.160812981543</v>
      </c>
      <c r="AP14" s="11">
        <f t="shared" si="19"/>
        <v>24118.58212437851</v>
      </c>
      <c r="AQ14" s="11">
        <f t="shared" si="19"/>
        <v>25365.783134052799</v>
      </c>
      <c r="AR14" s="11">
        <f t="shared" si="19"/>
        <v>26675.756913245361</v>
      </c>
      <c r="AS14" s="11">
        <f t="shared" si="19"/>
        <v>28051.646227622456</v>
      </c>
      <c r="AT14" s="11">
        <f t="shared" si="19"/>
        <v>29496.751022405548</v>
      </c>
    </row>
    <row r="15" spans="1:300" x14ac:dyDescent="0.25">
      <c r="C15" s="2" t="s">
        <v>62</v>
      </c>
      <c r="D15" s="11"/>
      <c r="E15" s="11"/>
      <c r="F15" s="11"/>
      <c r="G15" s="11">
        <v>-736</v>
      </c>
      <c r="H15" s="11"/>
      <c r="I15" s="11"/>
      <c r="J15" s="11"/>
      <c r="K15" s="11">
        <v>-984</v>
      </c>
      <c r="L15" s="11">
        <v>-1050</v>
      </c>
      <c r="M15" s="11">
        <v>-1166</v>
      </c>
      <c r="N15" s="11">
        <v>-1109</v>
      </c>
      <c r="O15" s="11">
        <v>-1106</v>
      </c>
      <c r="P15" s="11">
        <v>-1025</v>
      </c>
      <c r="Q15" s="11">
        <v>-1014</v>
      </c>
      <c r="R15" s="11">
        <v>-1178</v>
      </c>
      <c r="S15" s="11">
        <v>-1226</v>
      </c>
      <c r="U15" s="11"/>
      <c r="V15" s="11"/>
      <c r="W15" s="11"/>
      <c r="X15" s="11"/>
      <c r="Y15" s="11"/>
      <c r="Z15" s="11">
        <v>-2278</v>
      </c>
      <c r="AA15" s="11">
        <v>-3931</v>
      </c>
      <c r="AB15" s="11">
        <v>-1938</v>
      </c>
      <c r="AC15" s="11">
        <v>-1050</v>
      </c>
      <c r="AD15" s="11">
        <v>-2828</v>
      </c>
      <c r="AE15" s="11">
        <v>-4053</v>
      </c>
      <c r="AF15" s="11">
        <v>-2727</v>
      </c>
      <c r="AG15" s="11">
        <v>-2045</v>
      </c>
      <c r="AH15" s="11">
        <v>-3275</v>
      </c>
      <c r="AI15" s="11">
        <v>-4331</v>
      </c>
      <c r="AJ15" s="13">
        <v>-4443</v>
      </c>
      <c r="AK15" s="11">
        <f>AK14*-0.2</f>
        <v>-3744.8521199999996</v>
      </c>
      <c r="AL15" s="11">
        <f t="shared" ref="AL15:AT15" si="20">AL14*-0.2</f>
        <v>-3939.9484860000011</v>
      </c>
      <c r="AM15" s="11">
        <f t="shared" si="20"/>
        <v>-4144.8782079000011</v>
      </c>
      <c r="AN15" s="11">
        <f t="shared" si="20"/>
        <v>-4360.1337388710008</v>
      </c>
      <c r="AO15" s="11">
        <f t="shared" si="20"/>
        <v>-4586.2321625963086</v>
      </c>
      <c r="AP15" s="11">
        <f t="shared" si="20"/>
        <v>-4823.7164248757026</v>
      </c>
      <c r="AQ15" s="11">
        <f t="shared" si="20"/>
        <v>-5073.1566268105598</v>
      </c>
      <c r="AR15" s="11">
        <f t="shared" si="20"/>
        <v>-5335.1513826490727</v>
      </c>
      <c r="AS15" s="11">
        <f t="shared" si="20"/>
        <v>-5610.3292455244919</v>
      </c>
      <c r="AT15" s="11">
        <f t="shared" si="20"/>
        <v>-5899.3502044811103</v>
      </c>
    </row>
    <row r="16" spans="1:300" x14ac:dyDescent="0.25">
      <c r="C16" s="1" t="s">
        <v>63</v>
      </c>
      <c r="D16" s="10"/>
      <c r="E16" s="10"/>
      <c r="F16" s="10"/>
      <c r="G16" s="10">
        <f t="shared" ref="G16" si="21">SUM(G14:G15)</f>
        <v>2527</v>
      </c>
      <c r="H16" s="10"/>
      <c r="I16" s="10"/>
      <c r="J16" s="10"/>
      <c r="K16" s="10">
        <f t="shared" ref="K16:S16" si="22">SUM(K14:K15)</f>
        <v>3100</v>
      </c>
      <c r="L16" s="10">
        <f t="shared" si="22"/>
        <v>2903</v>
      </c>
      <c r="M16" s="10">
        <f t="shared" si="22"/>
        <v>3496</v>
      </c>
      <c r="N16" s="10">
        <f t="shared" si="22"/>
        <v>3290</v>
      </c>
      <c r="O16" s="10">
        <f t="shared" si="22"/>
        <v>3177</v>
      </c>
      <c r="P16" s="10">
        <f t="shared" si="22"/>
        <v>3051</v>
      </c>
      <c r="Q16" s="10">
        <f t="shared" si="22"/>
        <v>3119</v>
      </c>
      <c r="R16" s="10">
        <f t="shared" si="22"/>
        <v>3262</v>
      </c>
      <c r="S16" s="10">
        <f t="shared" si="22"/>
        <v>3355</v>
      </c>
      <c r="U16" s="10"/>
      <c r="V16" s="10"/>
      <c r="W16" s="10"/>
      <c r="X16" s="10"/>
      <c r="Y16" s="11"/>
      <c r="Z16" s="10">
        <f t="shared" ref="Z16:AI16" si="23">SUM(Z14:Z15)</f>
        <v>6578</v>
      </c>
      <c r="AA16" s="10">
        <f t="shared" si="23"/>
        <v>4242</v>
      </c>
      <c r="AB16" s="10">
        <f t="shared" si="23"/>
        <v>8785</v>
      </c>
      <c r="AC16" s="10">
        <f t="shared" si="23"/>
        <v>8552</v>
      </c>
      <c r="AD16" s="10">
        <f t="shared" si="23"/>
        <v>10212</v>
      </c>
      <c r="AE16" s="10">
        <f t="shared" si="23"/>
        <v>11747</v>
      </c>
      <c r="AF16" s="10">
        <f t="shared" si="23"/>
        <v>9810</v>
      </c>
      <c r="AG16" s="10">
        <f t="shared" si="23"/>
        <v>6064</v>
      </c>
      <c r="AH16" s="10">
        <f t="shared" si="23"/>
        <v>12158</v>
      </c>
      <c r="AI16" s="10">
        <f t="shared" si="23"/>
        <v>12972</v>
      </c>
      <c r="AJ16" s="12">
        <f t="shared" ref="AJ16:AT16" si="24">SUM(AJ14:AJ15)</f>
        <v>12787</v>
      </c>
      <c r="AK16" s="10">
        <f t="shared" si="24"/>
        <v>14979.408479999998</v>
      </c>
      <c r="AL16" s="10">
        <f t="shared" si="24"/>
        <v>15759.793944000005</v>
      </c>
      <c r="AM16" s="10">
        <f t="shared" si="24"/>
        <v>16579.512831600005</v>
      </c>
      <c r="AN16" s="10">
        <f t="shared" si="24"/>
        <v>17440.534955484</v>
      </c>
      <c r="AO16" s="10">
        <f t="shared" si="24"/>
        <v>18344.928650385235</v>
      </c>
      <c r="AP16" s="10">
        <f t="shared" si="24"/>
        <v>19294.865699502807</v>
      </c>
      <c r="AQ16" s="10">
        <f t="shared" si="24"/>
        <v>20292.626507242239</v>
      </c>
      <c r="AR16" s="10">
        <f t="shared" si="24"/>
        <v>21340.605530596287</v>
      </c>
      <c r="AS16" s="10">
        <f t="shared" si="24"/>
        <v>22441.316982097964</v>
      </c>
      <c r="AT16" s="10">
        <f t="shared" si="24"/>
        <v>23597.400817924437</v>
      </c>
      <c r="AU16" s="10">
        <f>AT16*(1+$AW$20)</f>
        <v>23361.426809745193</v>
      </c>
      <c r="AV16" s="10">
        <f t="shared" ref="AV16:DG16" si="25">AU16*(1+$AW$20)</f>
        <v>23127.812541647741</v>
      </c>
      <c r="AW16" s="10">
        <f t="shared" si="25"/>
        <v>22896.534416231265</v>
      </c>
      <c r="AX16" s="10">
        <f t="shared" si="25"/>
        <v>22667.569072068953</v>
      </c>
      <c r="AY16" s="10">
        <f t="shared" si="25"/>
        <v>22440.893381348262</v>
      </c>
      <c r="AZ16" s="10">
        <f t="shared" si="25"/>
        <v>22216.484447534778</v>
      </c>
      <c r="BA16" s="10">
        <f t="shared" si="25"/>
        <v>21994.31960305943</v>
      </c>
      <c r="BB16" s="10">
        <f t="shared" si="25"/>
        <v>21774.376407028834</v>
      </c>
      <c r="BC16" s="10">
        <f t="shared" si="25"/>
        <v>21556.632642958546</v>
      </c>
      <c r="BD16" s="10">
        <f t="shared" si="25"/>
        <v>21341.066316528959</v>
      </c>
      <c r="BE16" s="10">
        <f t="shared" si="25"/>
        <v>21127.655653363669</v>
      </c>
      <c r="BF16" s="10">
        <f t="shared" si="25"/>
        <v>20916.379096830031</v>
      </c>
      <c r="BG16" s="10">
        <f t="shared" si="25"/>
        <v>20707.21530586173</v>
      </c>
      <c r="BH16" s="10">
        <f t="shared" si="25"/>
        <v>20500.143152803113</v>
      </c>
      <c r="BI16" s="10">
        <f t="shared" si="25"/>
        <v>20295.141721275082</v>
      </c>
      <c r="BJ16" s="10">
        <f t="shared" si="25"/>
        <v>20092.190304062333</v>
      </c>
      <c r="BK16" s="10">
        <f t="shared" si="25"/>
        <v>19891.268401021709</v>
      </c>
      <c r="BL16" s="10">
        <f t="shared" si="25"/>
        <v>19692.355717011491</v>
      </c>
      <c r="BM16" s="10">
        <f t="shared" si="25"/>
        <v>19495.432159841377</v>
      </c>
      <c r="BN16" s="10">
        <f t="shared" si="25"/>
        <v>19300.477838242965</v>
      </c>
      <c r="BO16" s="10">
        <f t="shared" si="25"/>
        <v>19107.473059860535</v>
      </c>
      <c r="BP16" s="10">
        <f t="shared" si="25"/>
        <v>18916.39832926193</v>
      </c>
      <c r="BQ16" s="10">
        <f t="shared" si="25"/>
        <v>18727.234345969311</v>
      </c>
      <c r="BR16" s="10">
        <f t="shared" si="25"/>
        <v>18539.962002509619</v>
      </c>
      <c r="BS16" s="10">
        <f t="shared" si="25"/>
        <v>18354.562382484524</v>
      </c>
      <c r="BT16" s="10">
        <f t="shared" si="25"/>
        <v>18171.01675865968</v>
      </c>
      <c r="BU16" s="10">
        <f t="shared" si="25"/>
        <v>17989.306591073084</v>
      </c>
      <c r="BV16" s="10">
        <f t="shared" si="25"/>
        <v>17809.413525162352</v>
      </c>
      <c r="BW16" s="10">
        <f t="shared" si="25"/>
        <v>17631.319389910728</v>
      </c>
      <c r="BX16" s="10">
        <f t="shared" si="25"/>
        <v>17455.006196011622</v>
      </c>
      <c r="BY16" s="10">
        <f t="shared" si="25"/>
        <v>17280.456134051507</v>
      </c>
      <c r="BZ16" s="10">
        <f t="shared" si="25"/>
        <v>17107.651572710991</v>
      </c>
      <c r="CA16" s="10">
        <f t="shared" si="25"/>
        <v>16936.575056983882</v>
      </c>
      <c r="CB16" s="10">
        <f t="shared" si="25"/>
        <v>16767.209306414043</v>
      </c>
      <c r="CC16" s="10">
        <f t="shared" si="25"/>
        <v>16599.5372133499</v>
      </c>
      <c r="CD16" s="10">
        <f t="shared" si="25"/>
        <v>16433.5418412164</v>
      </c>
      <c r="CE16" s="10">
        <f t="shared" si="25"/>
        <v>16269.206422804236</v>
      </c>
      <c r="CF16" s="10">
        <f t="shared" si="25"/>
        <v>16106.514358576194</v>
      </c>
      <c r="CG16" s="10">
        <f t="shared" si="25"/>
        <v>15945.449214990433</v>
      </c>
      <c r="CH16" s="10">
        <f t="shared" si="25"/>
        <v>15785.994722840529</v>
      </c>
      <c r="CI16" s="10">
        <f t="shared" si="25"/>
        <v>15628.134775612123</v>
      </c>
      <c r="CJ16" s="10">
        <f t="shared" si="25"/>
        <v>15471.853427856002</v>
      </c>
      <c r="CK16" s="10">
        <f t="shared" si="25"/>
        <v>15317.134893577442</v>
      </c>
      <c r="CL16" s="10">
        <f t="shared" si="25"/>
        <v>15163.963544641667</v>
      </c>
      <c r="CM16" s="10">
        <f t="shared" si="25"/>
        <v>15012.323909195251</v>
      </c>
      <c r="CN16" s="10">
        <f t="shared" si="25"/>
        <v>14862.200670103299</v>
      </c>
      <c r="CO16" s="10">
        <f t="shared" si="25"/>
        <v>14713.578663402266</v>
      </c>
      <c r="CP16" s="10">
        <f t="shared" si="25"/>
        <v>14566.442876768244</v>
      </c>
      <c r="CQ16" s="10">
        <f t="shared" si="25"/>
        <v>14420.778448000561</v>
      </c>
      <c r="CR16" s="10">
        <f t="shared" si="25"/>
        <v>14276.570663520555</v>
      </c>
      <c r="CS16" s="10">
        <f t="shared" si="25"/>
        <v>14133.804956885349</v>
      </c>
      <c r="CT16" s="10">
        <f t="shared" si="25"/>
        <v>13992.466907316495</v>
      </c>
      <c r="CU16" s="10">
        <f t="shared" si="25"/>
        <v>13852.54223824333</v>
      </c>
      <c r="CV16" s="10">
        <f t="shared" si="25"/>
        <v>13714.016815860896</v>
      </c>
      <c r="CW16" s="10">
        <f t="shared" si="25"/>
        <v>13576.876647702287</v>
      </c>
      <c r="CX16" s="10">
        <f t="shared" si="25"/>
        <v>13441.107881225264</v>
      </c>
      <c r="CY16" s="10">
        <f t="shared" si="25"/>
        <v>13306.696802413011</v>
      </c>
      <c r="CZ16" s="10">
        <f t="shared" si="25"/>
        <v>13173.629834388881</v>
      </c>
      <c r="DA16" s="10">
        <f t="shared" si="25"/>
        <v>13041.893536044992</v>
      </c>
      <c r="DB16" s="10">
        <f t="shared" si="25"/>
        <v>12911.474600684542</v>
      </c>
      <c r="DC16" s="10">
        <f t="shared" si="25"/>
        <v>12782.359854677696</v>
      </c>
      <c r="DD16" s="10">
        <f t="shared" si="25"/>
        <v>12654.536256130919</v>
      </c>
      <c r="DE16" s="10">
        <f t="shared" si="25"/>
        <v>12527.990893569609</v>
      </c>
      <c r="DF16" s="10">
        <f t="shared" si="25"/>
        <v>12402.710984633914</v>
      </c>
      <c r="DG16" s="10">
        <f t="shared" si="25"/>
        <v>12278.683874787574</v>
      </c>
      <c r="DH16" s="10">
        <f t="shared" ref="DH16:FS16" si="26">DG16*(1+$AW$20)</f>
        <v>12155.897036039698</v>
      </c>
      <c r="DI16" s="10">
        <f t="shared" si="26"/>
        <v>12034.338065679302</v>
      </c>
      <c r="DJ16" s="10">
        <f t="shared" si="26"/>
        <v>11913.994685022508</v>
      </c>
      <c r="DK16" s="10">
        <f t="shared" si="26"/>
        <v>11794.854738172282</v>
      </c>
      <c r="DL16" s="10">
        <f t="shared" si="26"/>
        <v>11676.90619079056</v>
      </c>
      <c r="DM16" s="10">
        <f t="shared" si="26"/>
        <v>11560.137128882654</v>
      </c>
      <c r="DN16" s="10">
        <f t="shared" si="26"/>
        <v>11444.535757593827</v>
      </c>
      <c r="DO16" s="10">
        <f t="shared" si="26"/>
        <v>11330.090400017889</v>
      </c>
      <c r="DP16" s="10">
        <f t="shared" si="26"/>
        <v>11216.789496017709</v>
      </c>
      <c r="DQ16" s="10">
        <f t="shared" si="26"/>
        <v>11104.621601057532</v>
      </c>
      <c r="DR16" s="10">
        <f t="shared" si="26"/>
        <v>10993.575385046955</v>
      </c>
      <c r="DS16" s="10">
        <f t="shared" si="26"/>
        <v>10883.639631196485</v>
      </c>
      <c r="DT16" s="10">
        <f t="shared" si="26"/>
        <v>10774.803234884521</v>
      </c>
      <c r="DU16" s="10">
        <f t="shared" si="26"/>
        <v>10667.055202535676</v>
      </c>
      <c r="DV16" s="10">
        <f t="shared" si="26"/>
        <v>10560.384650510319</v>
      </c>
      <c r="DW16" s="10">
        <f t="shared" si="26"/>
        <v>10454.780804005217</v>
      </c>
      <c r="DX16" s="10">
        <f t="shared" si="26"/>
        <v>10350.232995965165</v>
      </c>
      <c r="DY16" s="10">
        <f t="shared" si="26"/>
        <v>10246.730666005513</v>
      </c>
      <c r="DZ16" s="10">
        <f t="shared" si="26"/>
        <v>10144.263359345458</v>
      </c>
      <c r="EA16" s="10">
        <f t="shared" si="26"/>
        <v>10042.820725752003</v>
      </c>
      <c r="EB16" s="10">
        <f t="shared" si="26"/>
        <v>9942.3925184944819</v>
      </c>
      <c r="EC16" s="10">
        <f t="shared" si="26"/>
        <v>9842.968593309537</v>
      </c>
      <c r="ED16" s="10">
        <f t="shared" si="26"/>
        <v>9744.5389073764418</v>
      </c>
      <c r="EE16" s="10">
        <f t="shared" si="26"/>
        <v>9647.0935183026777</v>
      </c>
      <c r="EF16" s="10">
        <f t="shared" si="26"/>
        <v>9550.6225831196516</v>
      </c>
      <c r="EG16" s="10">
        <f t="shared" si="26"/>
        <v>9455.1163572884543</v>
      </c>
      <c r="EH16" s="10">
        <f t="shared" si="26"/>
        <v>9360.565193715569</v>
      </c>
      <c r="EI16" s="10">
        <f t="shared" si="26"/>
        <v>9266.959541778413</v>
      </c>
      <c r="EJ16" s="10">
        <f t="shared" si="26"/>
        <v>9174.2899463606282</v>
      </c>
      <c r="EK16" s="10">
        <f t="shared" si="26"/>
        <v>9082.5470468970216</v>
      </c>
      <c r="EL16" s="10">
        <f t="shared" si="26"/>
        <v>8991.7215764280518</v>
      </c>
      <c r="EM16" s="10">
        <f t="shared" si="26"/>
        <v>8901.8043606637711</v>
      </c>
      <c r="EN16" s="10">
        <f t="shared" si="26"/>
        <v>8812.7863170571327</v>
      </c>
      <c r="EO16" s="10">
        <f t="shared" si="26"/>
        <v>8724.6584538865609</v>
      </c>
      <c r="EP16" s="10">
        <f t="shared" si="26"/>
        <v>8637.4118693476958</v>
      </c>
      <c r="EQ16" s="10">
        <f t="shared" si="26"/>
        <v>8551.0377506542191</v>
      </c>
      <c r="ER16" s="10">
        <f t="shared" si="26"/>
        <v>8465.5273731476773</v>
      </c>
      <c r="ES16" s="10">
        <f t="shared" si="26"/>
        <v>8380.8720994162013</v>
      </c>
      <c r="ET16" s="10">
        <f t="shared" si="26"/>
        <v>8297.063378422039</v>
      </c>
      <c r="EU16" s="10">
        <f t="shared" si="26"/>
        <v>8214.0927446378191</v>
      </c>
      <c r="EV16" s="10">
        <f t="shared" si="26"/>
        <v>8131.9518171914406</v>
      </c>
      <c r="EW16" s="10">
        <f t="shared" si="26"/>
        <v>8050.6322990195258</v>
      </c>
      <c r="EX16" s="10">
        <f t="shared" si="26"/>
        <v>7970.1259760293306</v>
      </c>
      <c r="EY16" s="10">
        <f t="shared" si="26"/>
        <v>7890.4247162690372</v>
      </c>
      <c r="EZ16" s="10">
        <f t="shared" si="26"/>
        <v>7811.5204691063464</v>
      </c>
      <c r="FA16" s="10">
        <f t="shared" si="26"/>
        <v>7733.4052644152825</v>
      </c>
      <c r="FB16" s="10">
        <f t="shared" si="26"/>
        <v>7656.07121177113</v>
      </c>
      <c r="FC16" s="10">
        <f t="shared" si="26"/>
        <v>7579.5104996534183</v>
      </c>
      <c r="FD16" s="10">
        <f t="shared" si="26"/>
        <v>7503.7153946568842</v>
      </c>
      <c r="FE16" s="10">
        <f t="shared" si="26"/>
        <v>7428.6782407103155</v>
      </c>
      <c r="FF16" s="10">
        <f t="shared" si="26"/>
        <v>7354.3914583032119</v>
      </c>
      <c r="FG16" s="10">
        <f t="shared" si="26"/>
        <v>7280.8475437201796</v>
      </c>
      <c r="FH16" s="10">
        <f t="shared" si="26"/>
        <v>7208.0390682829775</v>
      </c>
      <c r="FI16" s="10">
        <f t="shared" si="26"/>
        <v>7135.9586776001479</v>
      </c>
      <c r="FJ16" s="10">
        <f t="shared" si="26"/>
        <v>7064.5990908241465</v>
      </c>
      <c r="FK16" s="10">
        <f t="shared" si="26"/>
        <v>6993.9530999159051</v>
      </c>
      <c r="FL16" s="10">
        <f t="shared" si="26"/>
        <v>6924.0135689167464</v>
      </c>
      <c r="FM16" s="10">
        <f t="shared" si="26"/>
        <v>6854.7734332275786</v>
      </c>
      <c r="FN16" s="10">
        <f t="shared" si="26"/>
        <v>6786.2256988953031</v>
      </c>
      <c r="FO16" s="10">
        <f t="shared" si="26"/>
        <v>6718.3634419063501</v>
      </c>
      <c r="FP16" s="10">
        <f t="shared" si="26"/>
        <v>6651.1798074872868</v>
      </c>
      <c r="FQ16" s="10">
        <f t="shared" si="26"/>
        <v>6584.668009412414</v>
      </c>
      <c r="FR16" s="10">
        <f t="shared" si="26"/>
        <v>6518.8213293182898</v>
      </c>
      <c r="FS16" s="10">
        <f t="shared" si="26"/>
        <v>6453.6331160251066</v>
      </c>
      <c r="FT16" s="10">
        <f t="shared" ref="FT16:IE16" si="27">FS16*(1+$AW$20)</f>
        <v>6389.0967848648552</v>
      </c>
      <c r="FU16" s="10">
        <f t="shared" si="27"/>
        <v>6325.2058170162063</v>
      </c>
      <c r="FV16" s="10">
        <f t="shared" si="27"/>
        <v>6261.9537588460444</v>
      </c>
      <c r="FW16" s="10">
        <f t="shared" si="27"/>
        <v>6199.3342212575835</v>
      </c>
      <c r="FX16" s="10">
        <f t="shared" si="27"/>
        <v>6137.3408790450076</v>
      </c>
      <c r="FY16" s="10">
        <f t="shared" si="27"/>
        <v>6075.9674702545572</v>
      </c>
      <c r="FZ16" s="10">
        <f t="shared" si="27"/>
        <v>6015.2077955520117</v>
      </c>
      <c r="GA16" s="10">
        <f t="shared" si="27"/>
        <v>5955.0557175964914</v>
      </c>
      <c r="GB16" s="10">
        <f t="shared" si="27"/>
        <v>5895.5051604205264</v>
      </c>
      <c r="GC16" s="10">
        <f t="shared" si="27"/>
        <v>5836.550108816321</v>
      </c>
      <c r="GD16" s="10">
        <f t="shared" si="27"/>
        <v>5778.184607728158</v>
      </c>
      <c r="GE16" s="10">
        <f t="shared" si="27"/>
        <v>5720.4027616508765</v>
      </c>
      <c r="GF16" s="10">
        <f t="shared" si="27"/>
        <v>5663.1987340343676</v>
      </c>
      <c r="GG16" s="10">
        <f t="shared" si="27"/>
        <v>5606.566746694024</v>
      </c>
      <c r="GH16" s="10">
        <f t="shared" si="27"/>
        <v>5550.5010792270841</v>
      </c>
      <c r="GI16" s="10">
        <f t="shared" si="27"/>
        <v>5494.9960684348134</v>
      </c>
      <c r="GJ16" s="10">
        <f t="shared" si="27"/>
        <v>5440.0461077504651</v>
      </c>
      <c r="GK16" s="10">
        <f t="shared" si="27"/>
        <v>5385.6456466729605</v>
      </c>
      <c r="GL16" s="10">
        <f t="shared" si="27"/>
        <v>5331.7891902062311</v>
      </c>
      <c r="GM16" s="10">
        <f t="shared" si="27"/>
        <v>5278.4712983041691</v>
      </c>
      <c r="GN16" s="10">
        <f t="shared" si="27"/>
        <v>5225.6865853211275</v>
      </c>
      <c r="GO16" s="10">
        <f t="shared" si="27"/>
        <v>5173.4297194679166</v>
      </c>
      <c r="GP16" s="10">
        <f t="shared" si="27"/>
        <v>5121.6954222732375</v>
      </c>
      <c r="GQ16" s="10">
        <f t="shared" si="27"/>
        <v>5070.4784680505054</v>
      </c>
      <c r="GR16" s="10">
        <f t="shared" si="27"/>
        <v>5019.7736833700001</v>
      </c>
      <c r="GS16" s="10">
        <f t="shared" si="27"/>
        <v>4969.5759465362999</v>
      </c>
      <c r="GT16" s="10">
        <f t="shared" si="27"/>
        <v>4919.8801870709367</v>
      </c>
      <c r="GU16" s="10">
        <f t="shared" si="27"/>
        <v>4870.6813852002269</v>
      </c>
      <c r="GV16" s="10">
        <f t="shared" si="27"/>
        <v>4821.9745713482243</v>
      </c>
      <c r="GW16" s="10">
        <f t="shared" si="27"/>
        <v>4773.7548256347418</v>
      </c>
      <c r="GX16" s="10">
        <f t="shared" si="27"/>
        <v>4726.0172773783943</v>
      </c>
      <c r="GY16" s="10">
        <f t="shared" si="27"/>
        <v>4678.7571046046105</v>
      </c>
      <c r="GZ16" s="10">
        <f t="shared" si="27"/>
        <v>4631.9695335585648</v>
      </c>
      <c r="HA16" s="10">
        <f t="shared" si="27"/>
        <v>4585.6498382229793</v>
      </c>
      <c r="HB16" s="10">
        <f t="shared" si="27"/>
        <v>4539.7933398407495</v>
      </c>
      <c r="HC16" s="10">
        <f t="shared" si="27"/>
        <v>4494.3954064423415</v>
      </c>
      <c r="HD16" s="10">
        <f t="shared" si="27"/>
        <v>4449.451452377918</v>
      </c>
      <c r="HE16" s="10">
        <f t="shared" si="27"/>
        <v>4404.9569378541391</v>
      </c>
      <c r="HF16" s="10">
        <f t="shared" si="27"/>
        <v>4360.9073684755977</v>
      </c>
      <c r="HG16" s="10">
        <f t="shared" si="27"/>
        <v>4317.2982947908413</v>
      </c>
      <c r="HH16" s="10">
        <f t="shared" si="27"/>
        <v>4274.1253118429331</v>
      </c>
      <c r="HI16" s="10">
        <f t="shared" si="27"/>
        <v>4231.384058724504</v>
      </c>
      <c r="HJ16" s="10">
        <f t="shared" si="27"/>
        <v>4189.070218137259</v>
      </c>
      <c r="HK16" s="10">
        <f t="shared" si="27"/>
        <v>4147.179515955886</v>
      </c>
      <c r="HL16" s="10">
        <f t="shared" si="27"/>
        <v>4105.7077207963275</v>
      </c>
      <c r="HM16" s="10">
        <f t="shared" si="27"/>
        <v>4064.6506435883643</v>
      </c>
      <c r="HN16" s="10">
        <f t="shared" si="27"/>
        <v>4024.0041371524808</v>
      </c>
      <c r="HO16" s="10">
        <f t="shared" si="27"/>
        <v>3983.7640957809558</v>
      </c>
      <c r="HP16" s="10">
        <f t="shared" si="27"/>
        <v>3943.9264548231463</v>
      </c>
      <c r="HQ16" s="10">
        <f t="shared" si="27"/>
        <v>3904.4871902749146</v>
      </c>
      <c r="HR16" s="10">
        <f t="shared" si="27"/>
        <v>3865.4423183721656</v>
      </c>
      <c r="HS16" s="10">
        <f t="shared" si="27"/>
        <v>3826.7878951884441</v>
      </c>
      <c r="HT16" s="10">
        <f t="shared" si="27"/>
        <v>3788.5200162365595</v>
      </c>
      <c r="HU16" s="10">
        <f t="shared" si="27"/>
        <v>3750.6348160741941</v>
      </c>
      <c r="HV16" s="10">
        <f t="shared" si="27"/>
        <v>3713.1284679134519</v>
      </c>
      <c r="HW16" s="10">
        <f t="shared" si="27"/>
        <v>3675.9971832343172</v>
      </c>
      <c r="HX16" s="10">
        <f t="shared" si="27"/>
        <v>3639.237211401974</v>
      </c>
      <c r="HY16" s="10">
        <f t="shared" si="27"/>
        <v>3602.8448392879541</v>
      </c>
      <c r="HZ16" s="10">
        <f t="shared" si="27"/>
        <v>3566.8163908950746</v>
      </c>
      <c r="IA16" s="10">
        <f t="shared" si="27"/>
        <v>3531.148226986124</v>
      </c>
      <c r="IB16" s="10">
        <f t="shared" si="27"/>
        <v>3495.8367447162627</v>
      </c>
      <c r="IC16" s="10">
        <f t="shared" si="27"/>
        <v>3460.8783772690999</v>
      </c>
      <c r="ID16" s="10">
        <f t="shared" si="27"/>
        <v>3426.269593496409</v>
      </c>
      <c r="IE16" s="10">
        <f t="shared" si="27"/>
        <v>3392.0068975614449</v>
      </c>
      <c r="IF16" s="10">
        <f t="shared" ref="IF16:KN16" si="28">IE16*(1+$AW$20)</f>
        <v>3358.0868285858305</v>
      </c>
      <c r="IG16" s="10">
        <f t="shared" si="28"/>
        <v>3324.5059602999722</v>
      </c>
      <c r="IH16" s="10">
        <f t="shared" si="28"/>
        <v>3291.2609006969724</v>
      </c>
      <c r="II16" s="10">
        <f t="shared" si="28"/>
        <v>3258.3482916900025</v>
      </c>
      <c r="IJ16" s="10">
        <f t="shared" si="28"/>
        <v>3225.7648087731022</v>
      </c>
      <c r="IK16" s="10">
        <f t="shared" si="28"/>
        <v>3193.5071606853712</v>
      </c>
      <c r="IL16" s="10">
        <f t="shared" si="28"/>
        <v>3161.5720890785174</v>
      </c>
      <c r="IM16" s="10">
        <f t="shared" si="28"/>
        <v>3129.9563681877321</v>
      </c>
      <c r="IN16" s="10">
        <f t="shared" si="28"/>
        <v>3098.6568045058548</v>
      </c>
      <c r="IO16" s="10">
        <f t="shared" si="28"/>
        <v>3067.6702364607963</v>
      </c>
      <c r="IP16" s="10">
        <f t="shared" si="28"/>
        <v>3036.9935340961883</v>
      </c>
      <c r="IQ16" s="10">
        <f t="shared" si="28"/>
        <v>3006.6235987552263</v>
      </c>
      <c r="IR16" s="10">
        <f t="shared" si="28"/>
        <v>2976.557362767674</v>
      </c>
      <c r="IS16" s="10">
        <f t="shared" si="28"/>
        <v>2946.791789139997</v>
      </c>
      <c r="IT16" s="10">
        <f t="shared" si="28"/>
        <v>2917.3238712485972</v>
      </c>
      <c r="IU16" s="10">
        <f t="shared" si="28"/>
        <v>2888.1506325361111</v>
      </c>
      <c r="IV16" s="10">
        <f t="shared" si="28"/>
        <v>2859.2691262107501</v>
      </c>
      <c r="IW16" s="10">
        <f t="shared" si="28"/>
        <v>2830.6764349486425</v>
      </c>
      <c r="IX16" s="10">
        <f t="shared" si="28"/>
        <v>2802.3696705991561</v>
      </c>
      <c r="IY16" s="10">
        <f t="shared" si="28"/>
        <v>2774.3459738931647</v>
      </c>
      <c r="IZ16" s="10">
        <f t="shared" si="28"/>
        <v>2746.6025141542332</v>
      </c>
      <c r="JA16" s="10">
        <f t="shared" si="28"/>
        <v>2719.1364890126906</v>
      </c>
      <c r="JB16" s="10">
        <f t="shared" si="28"/>
        <v>2691.9451241225638</v>
      </c>
      <c r="JC16" s="10">
        <f t="shared" si="28"/>
        <v>2665.0256728813383</v>
      </c>
      <c r="JD16" s="10">
        <f t="shared" si="28"/>
        <v>2638.3754161525248</v>
      </c>
      <c r="JE16" s="10">
        <f t="shared" si="28"/>
        <v>2611.9916619909995</v>
      </c>
      <c r="JF16" s="10">
        <f t="shared" si="28"/>
        <v>2585.8717453710897</v>
      </c>
      <c r="JG16" s="10">
        <f t="shared" si="28"/>
        <v>2560.0130279173786</v>
      </c>
      <c r="JH16" s="10">
        <f t="shared" si="28"/>
        <v>2534.4128976382049</v>
      </c>
      <c r="JI16" s="10">
        <f t="shared" si="28"/>
        <v>2509.068768661823</v>
      </c>
      <c r="JJ16" s="10">
        <f t="shared" si="28"/>
        <v>2483.9780809752046</v>
      </c>
      <c r="JK16" s="10">
        <f t="shared" si="28"/>
        <v>2459.1383001654526</v>
      </c>
      <c r="JL16" s="10">
        <f t="shared" si="28"/>
        <v>2434.5469171637983</v>
      </c>
      <c r="JM16" s="10">
        <f t="shared" si="28"/>
        <v>2410.2014479921604</v>
      </c>
      <c r="JN16" s="10">
        <f t="shared" si="28"/>
        <v>2386.0994335122386</v>
      </c>
      <c r="JO16" s="10">
        <f t="shared" si="28"/>
        <v>2362.2384391771161</v>
      </c>
      <c r="JP16" s="10">
        <f t="shared" si="28"/>
        <v>2338.6160547853451</v>
      </c>
      <c r="JQ16" s="10">
        <f t="shared" si="28"/>
        <v>2315.2298942374919</v>
      </c>
      <c r="JR16" s="10">
        <f t="shared" si="28"/>
        <v>2292.0775952951171</v>
      </c>
      <c r="JS16" s="10">
        <f t="shared" si="28"/>
        <v>2269.1568193421658</v>
      </c>
      <c r="JT16" s="10">
        <f t="shared" si="28"/>
        <v>2246.4652511487443</v>
      </c>
      <c r="JU16" s="10">
        <f t="shared" si="28"/>
        <v>2224.0005986372566</v>
      </c>
      <c r="JV16" s="10">
        <f t="shared" si="28"/>
        <v>2201.7605926508841</v>
      </c>
      <c r="JW16" s="10">
        <f t="shared" si="28"/>
        <v>2179.742986724375</v>
      </c>
      <c r="JX16" s="10">
        <f t="shared" si="28"/>
        <v>2157.9455568571311</v>
      </c>
      <c r="JY16" s="10">
        <f t="shared" si="28"/>
        <v>2136.36610128856</v>
      </c>
      <c r="JZ16" s="10">
        <f t="shared" si="28"/>
        <v>2115.0024402756744</v>
      </c>
      <c r="KA16" s="10">
        <f t="shared" si="28"/>
        <v>2093.8524158729178</v>
      </c>
      <c r="KB16" s="10">
        <f t="shared" si="28"/>
        <v>2072.9138917141886</v>
      </c>
      <c r="KC16" s="10">
        <f t="shared" si="28"/>
        <v>2052.1847527970467</v>
      </c>
      <c r="KD16" s="10">
        <f t="shared" si="28"/>
        <v>2031.6629052690762</v>
      </c>
      <c r="KE16" s="10">
        <f t="shared" si="28"/>
        <v>2011.3462762163854</v>
      </c>
      <c r="KF16" s="10">
        <f t="shared" si="28"/>
        <v>1991.2328134542215</v>
      </c>
      <c r="KG16" s="10">
        <f t="shared" si="28"/>
        <v>1971.3204853196794</v>
      </c>
      <c r="KH16" s="10">
        <f t="shared" si="28"/>
        <v>1951.6072804664825</v>
      </c>
      <c r="KI16" s="10">
        <f t="shared" si="28"/>
        <v>1932.0912076618176</v>
      </c>
      <c r="KJ16" s="10">
        <f t="shared" si="28"/>
        <v>1912.7702955851994</v>
      </c>
      <c r="KK16" s="10">
        <f t="shared" si="28"/>
        <v>1893.6425926293473</v>
      </c>
      <c r="KL16" s="10">
        <f t="shared" si="28"/>
        <v>1874.7061667030539</v>
      </c>
      <c r="KM16" s="10">
        <f t="shared" si="28"/>
        <v>1855.9591050360234</v>
      </c>
      <c r="KN16" s="10">
        <f t="shared" si="28"/>
        <v>1837.3995139856631</v>
      </c>
    </row>
    <row r="17" spans="3:49" x14ac:dyDescent="0.25">
      <c r="C17" s="2" t="s">
        <v>64</v>
      </c>
      <c r="G17" s="2">
        <v>702.3</v>
      </c>
      <c r="K17" s="2">
        <v>702.3</v>
      </c>
      <c r="L17" s="2">
        <v>702.3</v>
      </c>
      <c r="M17" s="2">
        <v>702.3</v>
      </c>
      <c r="N17" s="2">
        <v>700</v>
      </c>
      <c r="O17" s="2">
        <v>696.5</v>
      </c>
      <c r="P17" s="2">
        <v>693.4</v>
      </c>
      <c r="Q17" s="2">
        <v>691.5</v>
      </c>
      <c r="R17" s="2">
        <v>687.4</v>
      </c>
      <c r="S17" s="2">
        <v>683.9</v>
      </c>
      <c r="Z17" s="2">
        <v>702.3</v>
      </c>
      <c r="AA17" s="2">
        <v>702.3</v>
      </c>
      <c r="AB17" s="2">
        <v>702.3</v>
      </c>
      <c r="AC17" s="2">
        <v>702.3</v>
      </c>
      <c r="AD17" s="2">
        <v>702.3</v>
      </c>
      <c r="AE17" s="2">
        <v>702.3</v>
      </c>
      <c r="AF17" s="2">
        <v>702.3</v>
      </c>
      <c r="AG17" s="2">
        <v>702.3</v>
      </c>
      <c r="AH17" s="2">
        <v>702.3</v>
      </c>
      <c r="AI17" s="2">
        <v>649.9</v>
      </c>
      <c r="AJ17" s="3">
        <v>683.9</v>
      </c>
      <c r="AK17" s="2">
        <v>683.9</v>
      </c>
      <c r="AL17" s="2">
        <v>683.9</v>
      </c>
      <c r="AM17" s="2">
        <v>683.9</v>
      </c>
      <c r="AN17" s="2">
        <v>683.9</v>
      </c>
      <c r="AO17" s="2">
        <v>683.9</v>
      </c>
      <c r="AP17" s="2">
        <v>683.9</v>
      </c>
      <c r="AQ17" s="2">
        <v>683.9</v>
      </c>
      <c r="AR17" s="2">
        <v>683.9</v>
      </c>
      <c r="AS17" s="2">
        <v>683.9</v>
      </c>
      <c r="AT17" s="2">
        <v>683.9</v>
      </c>
    </row>
    <row r="18" spans="3:49" x14ac:dyDescent="0.25">
      <c r="C18" s="2" t="s">
        <v>65</v>
      </c>
      <c r="G18" s="14">
        <f t="shared" ref="G18" si="29">G16/G17</f>
        <v>3.5981774170582375</v>
      </c>
      <c r="K18" s="14">
        <f t="shared" ref="K18:S18" si="30">K16/K17</f>
        <v>4.4140680620817321</v>
      </c>
      <c r="L18" s="14">
        <f t="shared" si="30"/>
        <v>4.1335611562010541</v>
      </c>
      <c r="M18" s="14">
        <f t="shared" si="30"/>
        <v>4.9779296596895914</v>
      </c>
      <c r="N18" s="14">
        <f t="shared" si="30"/>
        <v>4.7</v>
      </c>
      <c r="O18" s="14">
        <f t="shared" si="30"/>
        <v>4.5613783201722899</v>
      </c>
      <c r="P18" s="14">
        <f t="shared" si="30"/>
        <v>4.4000576867608885</v>
      </c>
      <c r="Q18" s="14">
        <f t="shared" si="30"/>
        <v>4.5104844540853222</v>
      </c>
      <c r="R18" s="14">
        <f t="shared" si="30"/>
        <v>4.7454175152749496</v>
      </c>
      <c r="S18" s="14">
        <f t="shared" si="30"/>
        <v>4.9056879660769122</v>
      </c>
      <c r="U18" s="14"/>
      <c r="V18" s="14"/>
      <c r="W18" s="14"/>
      <c r="Z18" s="14">
        <f t="shared" ref="Z18:AJ18" si="31">Z16/Z17</f>
        <v>9.3663676491527852</v>
      </c>
      <c r="AA18" s="14">
        <f t="shared" si="31"/>
        <v>6.0401537804357117</v>
      </c>
      <c r="AB18" s="14">
        <f t="shared" si="31"/>
        <v>12.508899330770326</v>
      </c>
      <c r="AC18" s="14">
        <f t="shared" si="31"/>
        <v>12.177132279652572</v>
      </c>
      <c r="AD18" s="14">
        <f t="shared" si="31"/>
        <v>14.540794532251176</v>
      </c>
      <c r="AE18" s="14">
        <f t="shared" si="31"/>
        <v>16.72647016944326</v>
      </c>
      <c r="AF18" s="14">
        <f t="shared" si="31"/>
        <v>13.968389577103803</v>
      </c>
      <c r="AG18" s="14">
        <f t="shared" si="31"/>
        <v>8.6344866866011678</v>
      </c>
      <c r="AH18" s="14">
        <f t="shared" si="31"/>
        <v>17.3116901608999</v>
      </c>
      <c r="AI18" s="14">
        <f t="shared" si="31"/>
        <v>19.959993845206956</v>
      </c>
      <c r="AJ18" s="9">
        <f t="shared" si="31"/>
        <v>18.697177949992689</v>
      </c>
      <c r="AK18" s="14">
        <f t="shared" ref="AK18:AT18" si="32">AK16/AK17</f>
        <v>21.902922181605497</v>
      </c>
      <c r="AL18" s="14">
        <f t="shared" si="32"/>
        <v>23.044003427401673</v>
      </c>
      <c r="AM18" s="14">
        <f t="shared" si="32"/>
        <v>24.242598086854812</v>
      </c>
      <c r="AN18" s="14">
        <f t="shared" si="32"/>
        <v>25.501586424161427</v>
      </c>
      <c r="AO18" s="14">
        <f t="shared" si="32"/>
        <v>26.823992762663014</v>
      </c>
      <c r="AP18" s="14">
        <f t="shared" si="32"/>
        <v>28.212992688262624</v>
      </c>
      <c r="AQ18" s="14">
        <f t="shared" si="32"/>
        <v>29.671920613016873</v>
      </c>
      <c r="AR18" s="14">
        <f t="shared" si="32"/>
        <v>31.204277716912252</v>
      </c>
      <c r="AS18" s="14">
        <f t="shared" si="32"/>
        <v>32.813740286734848</v>
      </c>
      <c r="AT18" s="14">
        <f t="shared" si="32"/>
        <v>34.504168471888342</v>
      </c>
    </row>
    <row r="19" spans="3:49" x14ac:dyDescent="0.25">
      <c r="AV19" s="2" t="s">
        <v>148</v>
      </c>
      <c r="AW19" s="40">
        <v>0.08</v>
      </c>
    </row>
    <row r="20" spans="3:49" x14ac:dyDescent="0.25">
      <c r="C20" s="1" t="s">
        <v>38</v>
      </c>
      <c r="D20" s="16"/>
      <c r="E20" s="16"/>
      <c r="F20" s="16"/>
      <c r="G20" s="16"/>
      <c r="H20" s="17" t="e">
        <f t="shared" ref="H20:R20" si="33">(H4-D4)/D4</f>
        <v>#DIV/0!</v>
      </c>
      <c r="I20" s="17" t="e">
        <f t="shared" si="33"/>
        <v>#DIV/0!</v>
      </c>
      <c r="J20" s="17" t="e">
        <f t="shared" si="33"/>
        <v>#DIV/0!</v>
      </c>
      <c r="K20" s="17">
        <f t="shared" si="33"/>
        <v>-1.0920309044745967E-4</v>
      </c>
      <c r="L20" s="17" t="e">
        <f t="shared" si="33"/>
        <v>#DIV/0!</v>
      </c>
      <c r="M20" s="17" t="e">
        <f t="shared" si="33"/>
        <v>#DIV/0!</v>
      </c>
      <c r="N20" s="17" t="e">
        <f t="shared" si="33"/>
        <v>#DIV/0!</v>
      </c>
      <c r="O20" s="17">
        <f t="shared" si="33"/>
        <v>3.2218430034129691E-2</v>
      </c>
      <c r="P20" s="17">
        <f t="shared" si="33"/>
        <v>3.6154949784791965E-3</v>
      </c>
      <c r="Q20" s="17">
        <f t="shared" si="33"/>
        <v>-6.6417237894966813E-2</v>
      </c>
      <c r="R20" s="17">
        <f t="shared" si="33"/>
        <v>-4.5101174394883391E-2</v>
      </c>
      <c r="S20" s="17">
        <f>(S4-O4)/O4</f>
        <v>-8.2264250760481411E-2</v>
      </c>
      <c r="T20" s="17"/>
      <c r="U20" s="17"/>
      <c r="V20" s="17"/>
      <c r="W20" s="17"/>
      <c r="X20" s="17"/>
      <c r="Y20" s="17"/>
      <c r="Z20" s="17"/>
      <c r="AA20" s="17">
        <f t="shared" ref="AA20:AG20" si="34">(AA4-Z4)/Z4</f>
        <v>2.7598737299404177E-2</v>
      </c>
      <c r="AB20" s="17">
        <f t="shared" si="34"/>
        <v>7.9288409490507514E-2</v>
      </c>
      <c r="AC20" s="17">
        <f t="shared" si="34"/>
        <v>8.4519287969615151E-2</v>
      </c>
      <c r="AD20" s="17">
        <f t="shared" si="34"/>
        <v>8.8396624472573834E-2</v>
      </c>
      <c r="AE20" s="17">
        <f t="shared" si="34"/>
        <v>-5.6003101376235702E-2</v>
      </c>
      <c r="AF20" s="17">
        <f t="shared" si="34"/>
        <v>9.4454300545370915E-4</v>
      </c>
      <c r="AG20" s="17">
        <f t="shared" si="34"/>
        <v>0.28150360639057331</v>
      </c>
      <c r="AH20" s="17">
        <f>(AH4-AG4)/AG4</f>
        <v>-5.7794881317513272E-2</v>
      </c>
      <c r="AI20" s="17">
        <f>(AI4-AH4)/AH4</f>
        <v>-1.0880276186398636E-2</v>
      </c>
      <c r="AJ20" s="42">
        <f t="shared" ref="AJ20:AT20" si="35">(AJ4-AI4)/AI4</f>
        <v>-4.8452035782501755E-2</v>
      </c>
      <c r="AK20" s="17">
        <f t="shared" si="35"/>
        <v>3.0000000000000051E-2</v>
      </c>
      <c r="AL20" s="17">
        <f t="shared" si="35"/>
        <v>5.0000000000000142E-2</v>
      </c>
      <c r="AM20" s="17">
        <f t="shared" si="35"/>
        <v>4.9999999999999968E-2</v>
      </c>
      <c r="AN20" s="17">
        <f t="shared" si="35"/>
        <v>5.000000000000001E-2</v>
      </c>
      <c r="AO20" s="17">
        <f t="shared" si="35"/>
        <v>5.0000000000000107E-2</v>
      </c>
      <c r="AP20" s="17">
        <f t="shared" si="35"/>
        <v>5.000000000000001E-2</v>
      </c>
      <c r="AQ20" s="17">
        <f t="shared" si="35"/>
        <v>5.0000000000000024E-2</v>
      </c>
      <c r="AR20" s="17">
        <f t="shared" si="35"/>
        <v>5.0000000000000079E-2</v>
      </c>
      <c r="AS20" s="17">
        <f t="shared" si="35"/>
        <v>5.0000000000000051E-2</v>
      </c>
      <c r="AT20" s="17">
        <f t="shared" si="35"/>
        <v>5.0000000000000031E-2</v>
      </c>
      <c r="AV20" s="2" t="s">
        <v>149</v>
      </c>
      <c r="AW20" s="40">
        <v>-0.01</v>
      </c>
    </row>
    <row r="21" spans="3:49" x14ac:dyDescent="0.25">
      <c r="C21" s="1" t="s">
        <v>131</v>
      </c>
      <c r="D21" s="17"/>
      <c r="E21" s="17"/>
      <c r="F21" s="17"/>
      <c r="G21" s="17">
        <v>0.17699999999999999</v>
      </c>
      <c r="H21" s="17">
        <v>0.17199999999999999</v>
      </c>
      <c r="I21" s="17">
        <v>0.128</v>
      </c>
      <c r="J21" s="17">
        <v>4.5999999999999999E-2</v>
      </c>
      <c r="K21" s="17">
        <v>-7.0000000000000001E-3</v>
      </c>
      <c r="L21" s="17">
        <v>-0.04</v>
      </c>
      <c r="M21" s="17">
        <v>-8.9999999999999993E-3</v>
      </c>
      <c r="N21" s="17">
        <v>1.9E-2</v>
      </c>
      <c r="O21" s="17">
        <v>3.9E-2</v>
      </c>
      <c r="P21" s="17">
        <v>2.1000000000000001E-2</v>
      </c>
      <c r="Q21" s="17">
        <v>1.9E-2</v>
      </c>
      <c r="R21" s="17">
        <v>8.9999999999999993E-3</v>
      </c>
      <c r="S21" s="17">
        <v>-1.0999999999999999E-2</v>
      </c>
      <c r="T21" s="17"/>
      <c r="U21" s="17"/>
      <c r="V21" s="17"/>
      <c r="W21" s="17"/>
      <c r="X21" s="17"/>
      <c r="Y21" s="17"/>
      <c r="Z21" s="17"/>
      <c r="AA21" s="17"/>
      <c r="AB21" s="17">
        <v>0.1</v>
      </c>
      <c r="AC21" s="17">
        <v>2.5999999999999999E-2</v>
      </c>
      <c r="AD21" s="17">
        <v>4.4999999999999998E-2</v>
      </c>
      <c r="AE21" s="17">
        <v>-1.9E-2</v>
      </c>
      <c r="AF21" s="17">
        <v>3.3000000000000002E-2</v>
      </c>
      <c r="AG21" s="17">
        <v>0.157</v>
      </c>
      <c r="AH21" s="17">
        <v>6.7000000000000004E-2</v>
      </c>
      <c r="AI21" s="17">
        <v>2E-3</v>
      </c>
      <c r="AJ21" s="42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V21" s="39" t="s">
        <v>150</v>
      </c>
      <c r="AW21" s="41">
        <f>NPV(AW19,AK16:KN16)</f>
        <v>243764.67214313347</v>
      </c>
    </row>
    <row r="22" spans="3:49" x14ac:dyDescent="0.25">
      <c r="C22" s="2" t="s">
        <v>45</v>
      </c>
      <c r="D22" s="16" t="e">
        <f>D6/D4</f>
        <v>#DIV/0!</v>
      </c>
      <c r="E22" s="16" t="e">
        <f>E6/E4</f>
        <v>#DIV/0!</v>
      </c>
      <c r="F22" s="16" t="e">
        <f>F6/F4</f>
        <v>#DIV/0!</v>
      </c>
      <c r="G22" s="16">
        <f>G6/G4</f>
        <v>0.27947800922766114</v>
      </c>
      <c r="H22" s="16" t="e">
        <f>H6/H4</f>
        <v>#DIV/0!</v>
      </c>
      <c r="I22" s="16" t="e">
        <f>I6/I4</f>
        <v>#DIV/0!</v>
      </c>
      <c r="J22" s="16" t="e">
        <f>J6/J4</f>
        <v>#DIV/0!</v>
      </c>
      <c r="K22" s="16">
        <f>K6/K4</f>
        <v>0.32</v>
      </c>
      <c r="L22" s="16">
        <f>L6/L4</f>
        <v>0.33190817790530847</v>
      </c>
      <c r="M22" s="16">
        <f>M6/M4</f>
        <v>0.33181309227954231</v>
      </c>
      <c r="N22" s="16">
        <f>N6/N4</f>
        <v>0.32601863593758618</v>
      </c>
      <c r="O22" s="16">
        <f>O6/O4</f>
        <v>0.31937574394921309</v>
      </c>
      <c r="P22" s="16">
        <f>P6/P4</f>
        <v>0.32805352241537056</v>
      </c>
      <c r="Q22" s="16">
        <f>Q6/Q4</f>
        <v>0.33350884891034077</v>
      </c>
      <c r="R22" s="16">
        <f>R6/R4</f>
        <v>0.33411282406605464</v>
      </c>
      <c r="S22" s="16">
        <f>S6/S4</f>
        <v>0.337080270932411</v>
      </c>
      <c r="T22" s="16"/>
      <c r="U22" s="16"/>
      <c r="V22" s="16"/>
      <c r="W22" s="16"/>
      <c r="X22" s="16"/>
      <c r="Y22" s="16"/>
      <c r="Z22" s="16">
        <f>Z6/Z4</f>
        <v>0.26687237994701529</v>
      </c>
      <c r="AA22" s="16">
        <f>AA6/AA4</f>
        <v>0.27884786345048301</v>
      </c>
      <c r="AB22" s="16">
        <f>AB6/AB4</f>
        <v>0.29155722326454031</v>
      </c>
      <c r="AC22" s="16">
        <f>AC6/AC4</f>
        <v>0.270084388185654</v>
      </c>
      <c r="AD22" s="16">
        <f>AD6/AD4</f>
        <v>0.29351424694708278</v>
      </c>
      <c r="AE22" s="16">
        <f>AE6/AE4</f>
        <v>0.32392897036598989</v>
      </c>
      <c r="AF22" s="16">
        <f>AF6/AF4</f>
        <v>0.28796146618854979</v>
      </c>
      <c r="AG22" s="16">
        <f>AG6/AG4</f>
        <v>0.23837667202397342</v>
      </c>
      <c r="AH22" s="16">
        <f>AH6/AH4</f>
        <v>0.30255458826887399</v>
      </c>
      <c r="AI22" s="16">
        <f>AI6/AI4</f>
        <v>0.32716117241284542</v>
      </c>
      <c r="AJ22" s="38">
        <f>AJ6/AJ4</f>
        <v>0.33317688852946697</v>
      </c>
      <c r="AK22" s="16">
        <f>AK6/AK4</f>
        <v>0.32999999999999996</v>
      </c>
      <c r="AL22" s="16">
        <f>AL6/AL4</f>
        <v>0.32999999999999996</v>
      </c>
      <c r="AM22" s="16">
        <f>AM6/AM4</f>
        <v>0.32999999999999996</v>
      </c>
      <c r="AN22" s="16">
        <f>AN6/AN4</f>
        <v>0.32999999999999996</v>
      </c>
      <c r="AO22" s="16">
        <f>AO6/AO4</f>
        <v>0.3299999999999999</v>
      </c>
      <c r="AP22" s="16">
        <f>AP6/AP4</f>
        <v>0.32999999999999996</v>
      </c>
      <c r="AQ22" s="16">
        <f>AQ6/AQ4</f>
        <v>0.3299999999999999</v>
      </c>
      <c r="AR22" s="16">
        <f>AR6/AR4</f>
        <v>0.3299999999999999</v>
      </c>
      <c r="AS22" s="16">
        <f>AS6/AS4</f>
        <v>0.32999999999999996</v>
      </c>
      <c r="AT22" s="16">
        <f>AT6/AT4</f>
        <v>0.32999999999999996</v>
      </c>
      <c r="AV22" s="2" t="s">
        <v>2</v>
      </c>
      <c r="AW22" s="2">
        <v>683.9</v>
      </c>
    </row>
    <row r="23" spans="3:49" x14ac:dyDescent="0.25">
      <c r="C23" s="2" t="s">
        <v>132</v>
      </c>
      <c r="D23" s="16" t="e">
        <f t="shared" ref="D23:R23" si="36">D9/D4</f>
        <v>#DIV/0!</v>
      </c>
      <c r="E23" s="16" t="e">
        <f t="shared" si="36"/>
        <v>#DIV/0!</v>
      </c>
      <c r="F23" s="16" t="e">
        <f t="shared" si="36"/>
        <v>#DIV/0!</v>
      </c>
      <c r="G23" s="16">
        <f t="shared" si="36"/>
        <v>0.11226077697998853</v>
      </c>
      <c r="H23" s="16" t="e">
        <f t="shared" si="36"/>
        <v>#DIV/0!</v>
      </c>
      <c r="I23" s="16" t="e">
        <f t="shared" si="36"/>
        <v>#DIV/0!</v>
      </c>
      <c r="J23" s="16" t="e">
        <f t="shared" si="36"/>
        <v>#DIV/0!</v>
      </c>
      <c r="K23" s="16">
        <f t="shared" si="36"/>
        <v>0.1325051194539249</v>
      </c>
      <c r="L23" s="16">
        <f t="shared" si="36"/>
        <v>0.14002869440459109</v>
      </c>
      <c r="M23" s="16">
        <f t="shared" si="36"/>
        <v>0.147417866018516</v>
      </c>
      <c r="N23" s="16">
        <f t="shared" si="36"/>
        <v>0.14034845895131498</v>
      </c>
      <c r="O23" s="16">
        <f t="shared" si="36"/>
        <v>0.13143764052374024</v>
      </c>
      <c r="P23" s="16">
        <f t="shared" si="36"/>
        <v>0.1345494053064959</v>
      </c>
      <c r="Q23" s="16">
        <f t="shared" si="36"/>
        <v>0.13728243381600116</v>
      </c>
      <c r="R23" s="16">
        <f t="shared" si="36"/>
        <v>0.14596685720884578</v>
      </c>
      <c r="S23" s="16">
        <f>S9/S4</f>
        <v>0.14748522841908057</v>
      </c>
      <c r="T23" s="16"/>
      <c r="U23" s="16"/>
      <c r="V23" s="16"/>
      <c r="W23" s="16"/>
      <c r="X23" s="16"/>
      <c r="Y23" s="16"/>
      <c r="Z23" s="16">
        <f t="shared" ref="Z23:AT23" si="37">Z9/Z4</f>
        <v>9.8295760208690713E-2</v>
      </c>
      <c r="AA23" s="16">
        <f t="shared" si="37"/>
        <v>8.897844682826607E-2</v>
      </c>
      <c r="AB23" s="16">
        <f t="shared" si="37"/>
        <v>0.11485837184825883</v>
      </c>
      <c r="AC23" s="16">
        <f t="shared" si="37"/>
        <v>9.755274261603375E-2</v>
      </c>
      <c r="AD23" s="16">
        <f t="shared" si="37"/>
        <v>0.11728629579375847</v>
      </c>
      <c r="AE23" s="16">
        <f t="shared" si="37"/>
        <v>0.14428510414613313</v>
      </c>
      <c r="AF23" s="16">
        <f t="shared" si="37"/>
        <v>0.11529782467772244</v>
      </c>
      <c r="AG23" s="16">
        <f t="shared" si="37"/>
        <v>6.9711153656521932E-2</v>
      </c>
      <c r="AH23" s="16">
        <f t="shared" si="37"/>
        <v>0.12842939373551618</v>
      </c>
      <c r="AI23" s="16">
        <f t="shared" si="37"/>
        <v>0.13977711513885643</v>
      </c>
      <c r="AJ23" s="38">
        <f t="shared" si="37"/>
        <v>0.14132020159718112</v>
      </c>
      <c r="AK23" s="16">
        <f t="shared" si="37"/>
        <v>0.1381433130677141</v>
      </c>
      <c r="AL23" s="16">
        <f t="shared" si="37"/>
        <v>0.13814331306771413</v>
      </c>
      <c r="AM23" s="16">
        <f t="shared" si="37"/>
        <v>0.13814331306771413</v>
      </c>
      <c r="AN23" s="16">
        <f t="shared" si="37"/>
        <v>0.1381433130677141</v>
      </c>
      <c r="AO23" s="16">
        <f t="shared" si="37"/>
        <v>0.13814331306771405</v>
      </c>
      <c r="AP23" s="16">
        <f t="shared" si="37"/>
        <v>0.13814331306771405</v>
      </c>
      <c r="AQ23" s="16">
        <f t="shared" si="37"/>
        <v>0.13814331306771405</v>
      </c>
      <c r="AR23" s="16">
        <f t="shared" si="37"/>
        <v>0.13814331306771405</v>
      </c>
      <c r="AS23" s="16">
        <f t="shared" si="37"/>
        <v>0.13814331306771405</v>
      </c>
      <c r="AT23" s="16">
        <f t="shared" si="37"/>
        <v>0.13814331306771407</v>
      </c>
      <c r="AV23" s="2" t="s">
        <v>151</v>
      </c>
      <c r="AW23" s="45">
        <f>AW21/AW22</f>
        <v>356.43320974284762</v>
      </c>
    </row>
    <row r="24" spans="3:49" x14ac:dyDescent="0.25">
      <c r="C24" s="2" t="s">
        <v>39</v>
      </c>
      <c r="D24" s="16" t="e">
        <f>D11/D4</f>
        <v>#DIV/0!</v>
      </c>
      <c r="E24" s="16" t="e">
        <f>E11/E4</f>
        <v>#DIV/0!</v>
      </c>
      <c r="F24" s="16" t="e">
        <f>F11/F4</f>
        <v>#DIV/0!</v>
      </c>
      <c r="G24" s="16">
        <f>G11/G4</f>
        <v>0.10439815446777144</v>
      </c>
      <c r="H24" s="16" t="e">
        <f>H11/H4</f>
        <v>#DIV/0!</v>
      </c>
      <c r="I24" s="16" t="e">
        <f>I11/I4</f>
        <v>#DIV/0!</v>
      </c>
      <c r="J24" s="16" t="e">
        <f>J11/J4</f>
        <v>#DIV/0!</v>
      </c>
      <c r="K24" s="16">
        <f>K11/K4</f>
        <v>0.12513310580204778</v>
      </c>
      <c r="L24" s="16">
        <f>L11/L4</f>
        <v>0.1308464849354376</v>
      </c>
      <c r="M24" s="16">
        <f>M11/M4</f>
        <v>0.14037195837998745</v>
      </c>
      <c r="N24" s="16">
        <f>N11/N4</f>
        <v>0.13312565473893145</v>
      </c>
      <c r="O24" s="16">
        <f>O11/O4</f>
        <v>0.12429572807829652</v>
      </c>
      <c r="P24" s="16">
        <f>P11/P4</f>
        <v>0.12723010064043916</v>
      </c>
      <c r="Q24" s="16">
        <f>Q11/Q4</f>
        <v>0.13023255813953488</v>
      </c>
      <c r="R24" s="16">
        <f>R11/R4</f>
        <v>0.13895144061435419</v>
      </c>
      <c r="S24" s="16">
        <f>S11/S4</f>
        <v>0.1407983859345727</v>
      </c>
      <c r="T24" s="16"/>
      <c r="U24" s="16"/>
      <c r="V24" s="16"/>
      <c r="W24" s="16"/>
      <c r="X24" s="16"/>
      <c r="Y24" s="16"/>
      <c r="Z24" s="16">
        <f>Z11/Z4</f>
        <v>9.8295760208690713E-2</v>
      </c>
      <c r="AA24" s="16">
        <f>AA11/AA4</f>
        <v>8.897844682826607E-2</v>
      </c>
      <c r="AB24" s="16">
        <f>AB11/AB4</f>
        <v>0.10895529217956344</v>
      </c>
      <c r="AC24" s="16">
        <f>AC11/AC4</f>
        <v>9.0793248945147675E-2</v>
      </c>
      <c r="AD24" s="16">
        <f>AD11/AD4</f>
        <v>0.11125411901531304</v>
      </c>
      <c r="AE24" s="16">
        <f>AE11/AE4</f>
        <v>0.13764044943820225</v>
      </c>
      <c r="AF24" s="16">
        <f>AF11/AF4</f>
        <v>0.10830659653556746</v>
      </c>
      <c r="AG24" s="16">
        <f>AG11/AG4</f>
        <v>6.0695510747696461E-2</v>
      </c>
      <c r="AH24" s="16">
        <f>AH11/AH4</f>
        <v>0.12089271272944742</v>
      </c>
      <c r="AI24" s="16">
        <f>AI11/AI4</f>
        <v>0.13215066027235375</v>
      </c>
      <c r="AJ24" s="38">
        <f>AJ11/AJ4</f>
        <v>0.13430184701142286</v>
      </c>
      <c r="AK24" s="16">
        <f>AK11/AK4</f>
        <v>0.13126123721177643</v>
      </c>
      <c r="AL24" s="16">
        <f>AL11/AL4</f>
        <v>0.13152341153009789</v>
      </c>
      <c r="AM24" s="16">
        <f>AM11/AM4</f>
        <v>0.13177559825534041</v>
      </c>
      <c r="AN24" s="16">
        <f>AN11/AN4</f>
        <v>0.13201817786724035</v>
      </c>
      <c r="AO24" s="16">
        <f>AO11/AO4</f>
        <v>0.13225151635106785</v>
      </c>
      <c r="AP24" s="16">
        <f>AP11/AP4</f>
        <v>0.13247596574979725</v>
      </c>
      <c r="AQ24" s="16">
        <f>AQ11/AQ4</f>
        <v>0.13269186469524166</v>
      </c>
      <c r="AR24" s="16">
        <f>AR11/AR4</f>
        <v>0.1328995389189549</v>
      </c>
      <c r="AS24" s="16">
        <f>AS11/AS4</f>
        <v>0.13309930174366957</v>
      </c>
      <c r="AT24" s="16">
        <f>AT11/AT4</f>
        <v>0.13329145455601413</v>
      </c>
      <c r="AV24" s="1" t="s">
        <v>152</v>
      </c>
      <c r="AW24" s="17">
        <f>(AW23-B4)/B4</f>
        <v>0.40882691597963489</v>
      </c>
    </row>
    <row r="25" spans="3:49" x14ac:dyDescent="0.25">
      <c r="C25" s="16" t="s">
        <v>147</v>
      </c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>
        <v>0.29199999999999998</v>
      </c>
      <c r="AA25" s="16">
        <v>0.128</v>
      </c>
      <c r="AB25" s="16">
        <v>0.13900000000000001</v>
      </c>
      <c r="AC25" s="16">
        <v>0.153</v>
      </c>
      <c r="AD25" s="16">
        <v>0.152</v>
      </c>
      <c r="AE25" s="16">
        <v>0.16400000000000001</v>
      </c>
      <c r="AF25" s="16">
        <v>0.16300000000000001</v>
      </c>
      <c r="AG25" s="16">
        <v>8.8999999999999996E-2</v>
      </c>
      <c r="AH25" s="16">
        <v>0.14399999999999999</v>
      </c>
      <c r="AI25" s="16">
        <v>0.16900000000000001</v>
      </c>
      <c r="AJ25" s="38"/>
    </row>
    <row r="27" spans="3:49" x14ac:dyDescent="0.25">
      <c r="C27" s="1" t="s">
        <v>66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</row>
    <row r="28" spans="3:49" x14ac:dyDescent="0.25">
      <c r="C28" s="2" t="s">
        <v>67</v>
      </c>
      <c r="D28" s="11"/>
      <c r="E28" s="11"/>
      <c r="F28" s="11"/>
      <c r="G28" s="11"/>
      <c r="H28" s="11"/>
      <c r="I28" s="11"/>
      <c r="J28" s="11"/>
      <c r="K28" s="11"/>
      <c r="L28" s="11">
        <v>41271</v>
      </c>
      <c r="M28" s="11">
        <v>40841</v>
      </c>
      <c r="N28" s="11">
        <v>38769</v>
      </c>
      <c r="O28" s="11">
        <v>41137</v>
      </c>
      <c r="P28" s="11">
        <v>38124</v>
      </c>
      <c r="Q28" s="11">
        <v>37914</v>
      </c>
      <c r="R28" s="11">
        <v>37614</v>
      </c>
      <c r="S28" s="11">
        <v>36861</v>
      </c>
      <c r="T28" s="11"/>
      <c r="U28" s="11"/>
      <c r="V28" s="11"/>
      <c r="W28" s="11"/>
      <c r="X28" s="11"/>
      <c r="AI28" s="10"/>
    </row>
    <row r="29" spans="3:49" x14ac:dyDescent="0.25">
      <c r="C29" s="2" t="s">
        <v>68</v>
      </c>
      <c r="D29" s="11"/>
      <c r="E29" s="11"/>
      <c r="F29" s="11"/>
      <c r="G29" s="11"/>
      <c r="H29" s="11"/>
      <c r="I29" s="11"/>
      <c r="J29" s="11"/>
      <c r="K29" s="11"/>
      <c r="L29" s="11">
        <v>21968</v>
      </c>
      <c r="M29" s="11">
        <v>21393</v>
      </c>
      <c r="N29" s="11">
        <v>20679</v>
      </c>
      <c r="O29" s="11">
        <v>20734</v>
      </c>
      <c r="P29" s="11">
        <v>19343</v>
      </c>
      <c r="Q29" s="11">
        <v>19204</v>
      </c>
      <c r="R29" s="11">
        <v>18818</v>
      </c>
      <c r="S29" s="11">
        <v>18273</v>
      </c>
      <c r="T29" s="11"/>
      <c r="U29" s="11"/>
      <c r="V29" s="11"/>
      <c r="W29" s="11"/>
      <c r="X29" s="11"/>
      <c r="AI29" s="10"/>
    </row>
    <row r="30" spans="3:49" x14ac:dyDescent="0.25">
      <c r="C30" s="2" t="s">
        <v>69</v>
      </c>
      <c r="D30" s="11"/>
      <c r="E30" s="11"/>
      <c r="F30" s="11"/>
      <c r="G30" s="11"/>
      <c r="H30" s="11"/>
      <c r="I30" s="11"/>
      <c r="J30" s="11"/>
      <c r="K30" s="11"/>
      <c r="L30" s="11">
        <v>47328</v>
      </c>
      <c r="M30" s="11">
        <v>46596</v>
      </c>
      <c r="N30" s="11">
        <v>45478</v>
      </c>
      <c r="O30" s="11">
        <v>48304</v>
      </c>
      <c r="P30" s="11">
        <v>45097</v>
      </c>
      <c r="Q30" s="11">
        <v>45847</v>
      </c>
      <c r="R30" s="11">
        <v>46130</v>
      </c>
      <c r="S30" s="11">
        <v>46308</v>
      </c>
      <c r="T30" s="11"/>
      <c r="U30" s="11"/>
      <c r="V30" s="11"/>
      <c r="W30" s="11"/>
      <c r="X30" s="11"/>
      <c r="AI30" s="10"/>
    </row>
    <row r="31" spans="3:49" x14ac:dyDescent="0.25">
      <c r="C31" s="2" t="s">
        <v>70</v>
      </c>
      <c r="D31" s="11"/>
      <c r="E31" s="11"/>
      <c r="F31" s="11"/>
      <c r="G31" s="11"/>
      <c r="H31" s="11"/>
      <c r="I31" s="11"/>
      <c r="J31" s="11"/>
      <c r="K31" s="11"/>
      <c r="L31" s="11">
        <v>4066</v>
      </c>
      <c r="M31" s="11">
        <v>4040</v>
      </c>
      <c r="N31" s="11">
        <v>3916</v>
      </c>
      <c r="O31" s="11">
        <v>4088</v>
      </c>
      <c r="P31" s="11">
        <v>4055</v>
      </c>
      <c r="Q31" s="11">
        <v>3930</v>
      </c>
      <c r="R31" s="11">
        <v>3807</v>
      </c>
      <c r="S31" s="11">
        <v>3752</v>
      </c>
      <c r="T31" s="11"/>
      <c r="U31" s="11"/>
      <c r="V31" s="11"/>
      <c r="W31" s="11"/>
      <c r="X31" s="11"/>
      <c r="AI31" s="10"/>
    </row>
    <row r="32" spans="3:49" x14ac:dyDescent="0.25">
      <c r="C32" s="2" t="s">
        <v>71</v>
      </c>
      <c r="D32" s="11"/>
      <c r="E32" s="11"/>
      <c r="F32" s="11"/>
      <c r="G32" s="11"/>
      <c r="H32" s="11"/>
      <c r="I32" s="11"/>
      <c r="J32" s="11"/>
      <c r="K32" s="11"/>
      <c r="L32" s="11">
        <v>309</v>
      </c>
      <c r="M32" s="11">
        <v>329</v>
      </c>
      <c r="N32" s="11">
        <v>330</v>
      </c>
      <c r="O32" s="11">
        <v>351</v>
      </c>
      <c r="P32" s="11">
        <v>330</v>
      </c>
      <c r="Q32" s="11">
        <v>325</v>
      </c>
      <c r="R32" s="11">
        <v>311</v>
      </c>
      <c r="S32" s="11">
        <v>307</v>
      </c>
      <c r="T32" s="11"/>
      <c r="U32" s="11"/>
      <c r="V32" s="11"/>
      <c r="W32" s="11"/>
      <c r="X32" s="11"/>
      <c r="AI32" s="10"/>
    </row>
    <row r="33" spans="3:35" x14ac:dyDescent="0.25">
      <c r="C33" s="2" t="s">
        <v>72</v>
      </c>
      <c r="D33" s="11"/>
      <c r="E33" s="11"/>
      <c r="F33" s="11"/>
      <c r="G33" s="11"/>
      <c r="H33" s="11"/>
      <c r="I33" s="11"/>
      <c r="J33" s="11"/>
      <c r="K33" s="11"/>
      <c r="L33" s="11">
        <v>6</v>
      </c>
      <c r="M33" s="11">
        <v>8</v>
      </c>
      <c r="N33" s="11">
        <v>8</v>
      </c>
      <c r="O33" s="11">
        <v>8</v>
      </c>
      <c r="P33" s="11">
        <v>8</v>
      </c>
      <c r="Q33" s="11">
        <v>8</v>
      </c>
      <c r="R33" s="11">
        <v>8</v>
      </c>
      <c r="S33" s="11">
        <v>8</v>
      </c>
      <c r="T33" s="11"/>
      <c r="U33" s="11"/>
      <c r="V33" s="11"/>
      <c r="W33" s="11"/>
      <c r="X33" s="11"/>
      <c r="AI33" s="10"/>
    </row>
    <row r="34" spans="3:35" x14ac:dyDescent="0.25">
      <c r="C34" s="2" t="s">
        <v>73</v>
      </c>
      <c r="D34" s="11"/>
      <c r="E34" s="11"/>
      <c r="F34" s="11"/>
      <c r="G34" s="11"/>
      <c r="H34" s="11"/>
      <c r="I34" s="11"/>
      <c r="J34" s="11"/>
      <c r="K34" s="11"/>
      <c r="L34" s="11">
        <v>4012</v>
      </c>
      <c r="M34" s="11">
        <v>3798</v>
      </c>
      <c r="N34" s="11">
        <v>3788</v>
      </c>
      <c r="O34" s="11">
        <v>2475</v>
      </c>
      <c r="P34" s="11">
        <v>2593</v>
      </c>
      <c r="Q34" s="11">
        <v>2688</v>
      </c>
      <c r="R34" s="11">
        <v>3489</v>
      </c>
      <c r="S34" s="11">
        <v>4340</v>
      </c>
      <c r="T34" s="11"/>
      <c r="U34" s="11"/>
      <c r="V34" s="11"/>
      <c r="W34" s="11"/>
      <c r="X34" s="11"/>
      <c r="AI34" s="10"/>
    </row>
    <row r="35" spans="3:35" x14ac:dyDescent="0.25">
      <c r="C35" s="2" t="s">
        <v>74</v>
      </c>
      <c r="D35" s="11"/>
      <c r="E35" s="11"/>
      <c r="F35" s="11"/>
      <c r="G35" s="11"/>
      <c r="H35" s="11"/>
      <c r="I35" s="11"/>
      <c r="J35" s="11"/>
      <c r="K35" s="11"/>
      <c r="L35" s="11">
        <v>123</v>
      </c>
      <c r="M35" s="11">
        <v>122</v>
      </c>
      <c r="N35" s="11">
        <v>127</v>
      </c>
      <c r="O35" s="11">
        <v>128</v>
      </c>
      <c r="P35" s="11">
        <v>221</v>
      </c>
      <c r="Q35" s="11">
        <v>229</v>
      </c>
      <c r="R35" s="11">
        <v>124</v>
      </c>
      <c r="S35" s="11">
        <v>142</v>
      </c>
      <c r="T35" s="11"/>
      <c r="U35" s="11"/>
      <c r="V35" s="11"/>
      <c r="W35" s="11"/>
      <c r="X35" s="11"/>
      <c r="AI35" s="10"/>
    </row>
    <row r="36" spans="3:35" x14ac:dyDescent="0.25">
      <c r="C36" s="2" t="s">
        <v>75</v>
      </c>
      <c r="D36" s="11"/>
      <c r="E36" s="11"/>
      <c r="F36" s="11"/>
      <c r="G36" s="11"/>
      <c r="H36" s="11"/>
      <c r="I36" s="11"/>
      <c r="J36" s="11"/>
      <c r="K36" s="11"/>
      <c r="L36" s="11">
        <v>2561</v>
      </c>
      <c r="M36" s="11">
        <v>2394</v>
      </c>
      <c r="N36" s="11">
        <v>2195</v>
      </c>
      <c r="O36" s="11">
        <v>2326</v>
      </c>
      <c r="P36" s="11">
        <v>2203</v>
      </c>
      <c r="Q36" s="11">
        <v>2274</v>
      </c>
      <c r="R36" s="11">
        <v>2279</v>
      </c>
      <c r="S36" s="11">
        <v>2122</v>
      </c>
      <c r="T36" s="11"/>
      <c r="U36" s="11"/>
      <c r="V36" s="11"/>
      <c r="W36" s="11"/>
      <c r="X36" s="11"/>
      <c r="AI36" s="10"/>
    </row>
    <row r="37" spans="3:35" x14ac:dyDescent="0.25">
      <c r="C37" s="2" t="s">
        <v>76</v>
      </c>
      <c r="D37" s="11"/>
      <c r="E37" s="11"/>
      <c r="F37" s="11"/>
      <c r="G37" s="11"/>
      <c r="H37" s="11"/>
      <c r="I37" s="11"/>
      <c r="J37" s="11"/>
      <c r="K37" s="11"/>
      <c r="L37" s="11">
        <v>778</v>
      </c>
      <c r="M37" s="11">
        <v>778</v>
      </c>
      <c r="N37" s="11">
        <v>746</v>
      </c>
      <c r="O37" s="11">
        <v>824</v>
      </c>
      <c r="P37" s="11">
        <v>728</v>
      </c>
      <c r="Q37" s="11">
        <v>727</v>
      </c>
      <c r="R37" s="11">
        <v>747</v>
      </c>
      <c r="S37" s="11">
        <v>725</v>
      </c>
      <c r="T37" s="11"/>
      <c r="U37" s="11"/>
      <c r="V37" s="11"/>
      <c r="W37" s="11"/>
      <c r="X37" s="11"/>
      <c r="AI37" s="10"/>
    </row>
    <row r="38" spans="3:35" x14ac:dyDescent="0.25">
      <c r="C38" s="2" t="s">
        <v>77</v>
      </c>
      <c r="D38" s="11"/>
      <c r="E38" s="11"/>
      <c r="F38" s="11"/>
      <c r="G38" s="11"/>
      <c r="H38" s="11"/>
      <c r="I38" s="11"/>
      <c r="J38" s="11"/>
      <c r="K38" s="11"/>
      <c r="L38" s="11">
        <v>19031</v>
      </c>
      <c r="M38" s="11">
        <v>19110</v>
      </c>
      <c r="N38" s="11">
        <v>18814</v>
      </c>
      <c r="O38" s="11">
        <v>18914</v>
      </c>
      <c r="P38" s="11">
        <v>18493</v>
      </c>
      <c r="Q38" s="11">
        <v>19258</v>
      </c>
      <c r="R38" s="11">
        <v>19193</v>
      </c>
      <c r="S38" s="11">
        <v>18153</v>
      </c>
      <c r="T38" s="11"/>
      <c r="U38" s="11"/>
      <c r="V38" s="11"/>
      <c r="W38" s="11"/>
      <c r="X38" s="11"/>
      <c r="AI38" s="10"/>
    </row>
    <row r="39" spans="3:35" x14ac:dyDescent="0.25">
      <c r="C39" s="2" t="s">
        <v>78</v>
      </c>
      <c r="D39" s="11"/>
      <c r="E39" s="11"/>
      <c r="F39" s="11"/>
      <c r="G39" s="11"/>
      <c r="H39" s="11"/>
      <c r="I39" s="11"/>
      <c r="J39" s="11"/>
      <c r="K39" s="11"/>
      <c r="L39" s="11">
        <v>23686</v>
      </c>
      <c r="M39" s="11">
        <v>23554</v>
      </c>
      <c r="N39" s="11">
        <v>22447</v>
      </c>
      <c r="O39" s="11">
        <v>23538</v>
      </c>
      <c r="P39" s="11">
        <v>22278</v>
      </c>
      <c r="Q39" s="11">
        <v>23137</v>
      </c>
      <c r="R39" s="11">
        <v>22425</v>
      </c>
      <c r="S39" s="11">
        <v>21332</v>
      </c>
      <c r="T39" s="11"/>
      <c r="U39" s="11"/>
      <c r="V39" s="11"/>
      <c r="W39" s="11"/>
      <c r="X39" s="11"/>
      <c r="AI39" s="10"/>
    </row>
    <row r="40" spans="3:35" x14ac:dyDescent="0.25">
      <c r="C40" s="2" t="s">
        <v>79</v>
      </c>
      <c r="D40" s="11"/>
      <c r="E40" s="11"/>
      <c r="F40" s="11"/>
      <c r="G40" s="11"/>
      <c r="H40" s="11"/>
      <c r="I40" s="11"/>
      <c r="J40" s="11"/>
      <c r="K40" s="11"/>
      <c r="L40" s="11">
        <v>1294</v>
      </c>
      <c r="M40" s="11">
        <v>1281</v>
      </c>
      <c r="N40" s="11">
        <v>1243</v>
      </c>
      <c r="O40" s="11">
        <v>1673</v>
      </c>
      <c r="P40" s="11">
        <v>1446</v>
      </c>
      <c r="Q40" s="11">
        <v>1407</v>
      </c>
      <c r="R40" s="11">
        <v>1373</v>
      </c>
      <c r="S40" s="11">
        <v>1626</v>
      </c>
      <c r="T40" s="11"/>
      <c r="U40" s="11"/>
      <c r="V40" s="11"/>
      <c r="W40" s="11"/>
      <c r="X40" s="11"/>
      <c r="AI40" s="10"/>
    </row>
    <row r="41" spans="3:35" x14ac:dyDescent="0.25">
      <c r="C41" s="2" t="s">
        <v>80</v>
      </c>
      <c r="D41" s="11"/>
      <c r="E41" s="11"/>
      <c r="F41" s="11"/>
      <c r="G41" s="11"/>
      <c r="H41" s="11"/>
      <c r="I41" s="11"/>
      <c r="J41" s="11"/>
      <c r="K41" s="11"/>
      <c r="L41" s="11">
        <v>3267</v>
      </c>
      <c r="M41" s="11">
        <v>3797</v>
      </c>
      <c r="N41" s="11">
        <v>3860</v>
      </c>
      <c r="O41" s="11">
        <v>4480</v>
      </c>
      <c r="P41" s="11">
        <v>3586</v>
      </c>
      <c r="Q41" s="11">
        <v>3730</v>
      </c>
      <c r="R41" s="11">
        <v>3569</v>
      </c>
      <c r="S41" s="11">
        <v>3414</v>
      </c>
      <c r="T41" s="11"/>
      <c r="U41" s="11"/>
      <c r="V41" s="11"/>
      <c r="W41" s="11"/>
      <c r="X41" s="11"/>
      <c r="AI41" s="10"/>
    </row>
    <row r="42" spans="3:35" x14ac:dyDescent="0.25">
      <c r="C42" s="2" t="s">
        <v>81</v>
      </c>
      <c r="D42" s="11"/>
      <c r="E42" s="11"/>
      <c r="F42" s="11"/>
      <c r="G42" s="11"/>
      <c r="H42" s="11"/>
      <c r="I42" s="11"/>
      <c r="J42" s="11"/>
      <c r="K42" s="11"/>
      <c r="L42" s="11">
        <v>5003</v>
      </c>
      <c r="M42" s="11">
        <v>3830</v>
      </c>
      <c r="N42" s="11">
        <v>5166</v>
      </c>
      <c r="O42" s="11">
        <v>5342</v>
      </c>
      <c r="P42" s="11">
        <v>2893</v>
      </c>
      <c r="Q42" s="11">
        <v>2777</v>
      </c>
      <c r="R42" s="11">
        <v>1491</v>
      </c>
      <c r="S42" s="11">
        <v>1266</v>
      </c>
      <c r="T42" s="11"/>
      <c r="U42" s="11"/>
      <c r="V42" s="11"/>
      <c r="W42" s="11"/>
      <c r="X42" s="11"/>
      <c r="AI42" s="10"/>
    </row>
    <row r="43" spans="3:35" x14ac:dyDescent="0.25">
      <c r="C43" s="2" t="s">
        <v>82</v>
      </c>
      <c r="D43" s="11"/>
      <c r="E43" s="11"/>
      <c r="F43" s="11"/>
      <c r="G43" s="11"/>
      <c r="H43" s="11"/>
      <c r="I43" s="11"/>
      <c r="J43" s="11"/>
      <c r="K43" s="11"/>
      <c r="L43" s="11">
        <v>11373</v>
      </c>
      <c r="M43" s="11">
        <v>10442</v>
      </c>
      <c r="N43" s="11">
        <v>11826</v>
      </c>
      <c r="O43" s="11">
        <v>10962</v>
      </c>
      <c r="P43" s="11">
        <v>9769</v>
      </c>
      <c r="Q43" s="11">
        <v>3927</v>
      </c>
      <c r="R43" s="11">
        <v>6229</v>
      </c>
      <c r="S43" s="11">
        <v>8487</v>
      </c>
      <c r="T43" s="11"/>
      <c r="U43" s="11"/>
      <c r="V43" s="11"/>
      <c r="W43" s="11"/>
      <c r="X43" s="11"/>
    </row>
    <row r="44" spans="3:35" x14ac:dyDescent="0.25">
      <c r="C44" s="1" t="s">
        <v>83</v>
      </c>
      <c r="D44" s="10">
        <f t="shared" ref="D44:R44" si="38">SUM(D28:D43)</f>
        <v>0</v>
      </c>
      <c r="E44" s="10">
        <f t="shared" si="38"/>
        <v>0</v>
      </c>
      <c r="F44" s="10">
        <f t="shared" si="38"/>
        <v>0</v>
      </c>
      <c r="G44" s="10">
        <f t="shared" si="38"/>
        <v>0</v>
      </c>
      <c r="H44" s="10">
        <f t="shared" si="38"/>
        <v>0</v>
      </c>
      <c r="I44" s="10">
        <f t="shared" si="38"/>
        <v>0</v>
      </c>
      <c r="J44" s="10">
        <f t="shared" si="38"/>
        <v>0</v>
      </c>
      <c r="K44" s="10">
        <f t="shared" si="38"/>
        <v>0</v>
      </c>
      <c r="L44" s="10">
        <f t="shared" si="38"/>
        <v>186076</v>
      </c>
      <c r="M44" s="10">
        <f t="shared" si="38"/>
        <v>182313</v>
      </c>
      <c r="N44" s="10">
        <f t="shared" si="38"/>
        <v>179392</v>
      </c>
      <c r="O44" s="10">
        <f t="shared" si="38"/>
        <v>185284</v>
      </c>
      <c r="P44" s="10">
        <f t="shared" si="38"/>
        <v>171167</v>
      </c>
      <c r="Q44" s="10">
        <f t="shared" si="38"/>
        <v>167382</v>
      </c>
      <c r="R44" s="10">
        <f t="shared" si="38"/>
        <v>167607</v>
      </c>
      <c r="S44" s="10">
        <f>SUM(S28:S43)</f>
        <v>167116</v>
      </c>
      <c r="T44" s="10"/>
      <c r="U44" s="10"/>
      <c r="V44" s="10"/>
      <c r="W44" s="10"/>
      <c r="X44" s="10"/>
    </row>
    <row r="45" spans="3:35" x14ac:dyDescent="0.25">
      <c r="C45" s="2" t="s">
        <v>84</v>
      </c>
      <c r="D45" s="18"/>
      <c r="E45" s="11"/>
      <c r="F45" s="11"/>
      <c r="G45" s="11"/>
      <c r="H45" s="11"/>
      <c r="I45" s="11"/>
      <c r="J45" s="11"/>
      <c r="K45" s="11"/>
      <c r="L45" s="11">
        <v>2350</v>
      </c>
      <c r="M45" s="11">
        <v>2350</v>
      </c>
      <c r="N45" s="11">
        <v>2350</v>
      </c>
      <c r="O45" s="11">
        <v>2350</v>
      </c>
      <c r="P45" s="11">
        <v>2350</v>
      </c>
      <c r="Q45" s="11">
        <v>2350</v>
      </c>
      <c r="R45" s="11">
        <v>2350</v>
      </c>
      <c r="S45" s="11">
        <v>2350</v>
      </c>
      <c r="T45" s="11"/>
      <c r="U45" s="11"/>
      <c r="V45" s="11"/>
      <c r="W45" s="11"/>
      <c r="X45" s="11"/>
    </row>
    <row r="46" spans="3:35" x14ac:dyDescent="0.25">
      <c r="C46" s="2" t="s">
        <v>85</v>
      </c>
      <c r="D46" s="11"/>
      <c r="E46" s="11"/>
      <c r="F46" s="11"/>
      <c r="G46" s="11"/>
      <c r="H46" s="11"/>
      <c r="I46" s="11"/>
      <c r="J46" s="11"/>
      <c r="K46" s="11"/>
      <c r="L46" s="11">
        <v>13685</v>
      </c>
      <c r="M46" s="11">
        <v>12250</v>
      </c>
      <c r="N46" s="11">
        <v>9624</v>
      </c>
      <c r="O46" s="11">
        <v>13224</v>
      </c>
      <c r="P46" s="11">
        <v>6768</v>
      </c>
      <c r="Q46" s="11">
        <v>6495</v>
      </c>
      <c r="R46" s="11">
        <v>6035</v>
      </c>
      <c r="S46" s="11">
        <v>4257</v>
      </c>
      <c r="T46" s="11"/>
      <c r="U46" s="11"/>
      <c r="V46" s="11"/>
      <c r="W46" s="11"/>
      <c r="X46" s="11"/>
    </row>
    <row r="47" spans="3:35" x14ac:dyDescent="0.25">
      <c r="C47" s="2" t="s">
        <v>86</v>
      </c>
      <c r="D47" s="11"/>
      <c r="E47" s="11"/>
      <c r="F47" s="11"/>
      <c r="G47" s="11"/>
      <c r="H47" s="11"/>
      <c r="I47" s="11"/>
      <c r="J47" s="11"/>
      <c r="K47" s="11"/>
      <c r="L47" s="11">
        <v>65682</v>
      </c>
      <c r="M47" s="11">
        <v>68809</v>
      </c>
      <c r="N47" s="11">
        <v>71408</v>
      </c>
      <c r="O47" s="11">
        <v>72740</v>
      </c>
      <c r="P47" s="11">
        <v>70175</v>
      </c>
      <c r="Q47" s="11">
        <v>71953</v>
      </c>
      <c r="R47" s="11">
        <v>75181</v>
      </c>
      <c r="S47" s="11">
        <v>79018</v>
      </c>
      <c r="T47" s="11"/>
      <c r="U47" s="11"/>
      <c r="V47" s="11"/>
      <c r="W47" s="11"/>
      <c r="X47" s="11"/>
    </row>
    <row r="48" spans="3:35" x14ac:dyDescent="0.25">
      <c r="C48" s="2" t="s">
        <v>87</v>
      </c>
      <c r="D48" s="11"/>
      <c r="E48" s="11"/>
      <c r="F48" s="11"/>
      <c r="G48" s="11"/>
      <c r="H48" s="11"/>
      <c r="I48" s="11"/>
      <c r="J48" s="11"/>
      <c r="K48" s="11"/>
      <c r="L48" s="11">
        <v>459</v>
      </c>
      <c r="M48" s="11">
        <v>453</v>
      </c>
      <c r="N48" s="11">
        <v>453</v>
      </c>
      <c r="O48" s="11">
        <v>427</v>
      </c>
      <c r="P48" s="11">
        <v>411</v>
      </c>
      <c r="Q48" s="11">
        <v>409</v>
      </c>
      <c r="R48" s="11">
        <v>417</v>
      </c>
      <c r="S48" s="11">
        <v>415</v>
      </c>
      <c r="T48" s="11"/>
      <c r="U48" s="11"/>
      <c r="V48" s="11"/>
      <c r="W48" s="11"/>
      <c r="X48" s="11"/>
    </row>
    <row r="49" spans="3:35" x14ac:dyDescent="0.25">
      <c r="C49" s="7" t="s">
        <v>88</v>
      </c>
      <c r="D49" s="18">
        <f t="shared" ref="D49:R49" si="39">SUM(D45:D48)</f>
        <v>0</v>
      </c>
      <c r="E49" s="18">
        <f t="shared" si="39"/>
        <v>0</v>
      </c>
      <c r="F49" s="18">
        <f t="shared" si="39"/>
        <v>0</v>
      </c>
      <c r="G49" s="18">
        <f t="shared" si="39"/>
        <v>0</v>
      </c>
      <c r="H49" s="18">
        <f t="shared" si="39"/>
        <v>0</v>
      </c>
      <c r="I49" s="18">
        <f t="shared" si="39"/>
        <v>0</v>
      </c>
      <c r="J49" s="18">
        <f t="shared" si="39"/>
        <v>0</v>
      </c>
      <c r="K49" s="18">
        <f t="shared" si="39"/>
        <v>0</v>
      </c>
      <c r="L49" s="18">
        <f t="shared" si="39"/>
        <v>82176</v>
      </c>
      <c r="M49" s="18">
        <f t="shared" si="39"/>
        <v>83862</v>
      </c>
      <c r="N49" s="18">
        <f t="shared" si="39"/>
        <v>83835</v>
      </c>
      <c r="O49" s="18">
        <f t="shared" si="39"/>
        <v>88741</v>
      </c>
      <c r="P49" s="18">
        <f t="shared" si="39"/>
        <v>79704</v>
      </c>
      <c r="Q49" s="18">
        <f t="shared" si="39"/>
        <v>81207</v>
      </c>
      <c r="R49" s="18">
        <f t="shared" si="39"/>
        <v>83983</v>
      </c>
      <c r="S49" s="18">
        <f>SUM(S45:S48)</f>
        <v>86040</v>
      </c>
      <c r="T49" s="18"/>
      <c r="U49" s="18"/>
      <c r="V49" s="18"/>
      <c r="W49" s="18"/>
      <c r="X49" s="18"/>
      <c r="Y49" s="7"/>
    </row>
    <row r="50" spans="3:35" x14ac:dyDescent="0.25">
      <c r="C50" s="2" t="s">
        <v>89</v>
      </c>
      <c r="D50" s="11"/>
      <c r="E50" s="11"/>
      <c r="F50" s="11"/>
      <c r="G50" s="11"/>
      <c r="H50" s="11"/>
      <c r="I50" s="11"/>
      <c r="J50" s="11"/>
      <c r="K50" s="11"/>
      <c r="L50" s="11">
        <v>40332</v>
      </c>
      <c r="M50" s="11">
        <v>40078</v>
      </c>
      <c r="N50" s="11">
        <v>39205</v>
      </c>
      <c r="O50" s="11">
        <v>40674</v>
      </c>
      <c r="P50" s="11">
        <v>38161</v>
      </c>
      <c r="Q50" s="11">
        <v>38953</v>
      </c>
      <c r="R50" s="11">
        <v>32011</v>
      </c>
      <c r="S50" s="11">
        <v>31386</v>
      </c>
      <c r="T50" s="11"/>
      <c r="U50" s="11"/>
      <c r="V50" s="11"/>
      <c r="W50" s="11"/>
      <c r="X50" s="11"/>
    </row>
    <row r="51" spans="3:35" x14ac:dyDescent="0.25">
      <c r="C51" s="2" t="s">
        <v>90</v>
      </c>
      <c r="D51" s="11"/>
      <c r="E51" s="11"/>
      <c r="F51" s="11"/>
      <c r="G51" s="11"/>
      <c r="H51" s="11"/>
      <c r="I51" s="11"/>
      <c r="J51" s="11"/>
      <c r="K51" s="11"/>
      <c r="L51" s="11">
        <v>2537</v>
      </c>
      <c r="M51" s="11">
        <v>2457</v>
      </c>
      <c r="N51" s="11">
        <v>2472</v>
      </c>
      <c r="O51" s="11">
        <v>2578</v>
      </c>
      <c r="P51" s="11">
        <v>1571</v>
      </c>
      <c r="Q51" s="11">
        <v>2457</v>
      </c>
      <c r="R51" s="11">
        <v>2438</v>
      </c>
      <c r="S51" s="11">
        <v>2146</v>
      </c>
      <c r="T51" s="11"/>
      <c r="U51" s="11"/>
      <c r="V51" s="11"/>
      <c r="W51" s="11"/>
      <c r="X51" s="11"/>
    </row>
    <row r="52" spans="3:35" x14ac:dyDescent="0.25">
      <c r="C52" s="2" t="s">
        <v>91</v>
      </c>
      <c r="D52" s="11"/>
      <c r="E52" s="11"/>
      <c r="F52" s="11"/>
      <c r="G52" s="11"/>
      <c r="H52" s="11"/>
      <c r="I52" s="11"/>
      <c r="J52" s="11"/>
      <c r="K52" s="11"/>
      <c r="L52" s="11">
        <v>7108</v>
      </c>
      <c r="M52" s="11">
        <v>7200</v>
      </c>
      <c r="N52" s="11">
        <v>7183</v>
      </c>
      <c r="O52" s="11">
        <v>6978</v>
      </c>
      <c r="P52" s="11">
        <v>6699</v>
      </c>
      <c r="Q52" s="11">
        <v>6487</v>
      </c>
      <c r="R52" s="11">
        <v>6588</v>
      </c>
      <c r="S52" s="11">
        <v>6272</v>
      </c>
      <c r="T52" s="11"/>
      <c r="U52" s="11"/>
      <c r="V52" s="11"/>
      <c r="W52" s="11"/>
      <c r="X52" s="11"/>
    </row>
    <row r="53" spans="3:35" x14ac:dyDescent="0.25">
      <c r="C53" s="2" t="s">
        <v>92</v>
      </c>
      <c r="D53" s="11"/>
      <c r="E53" s="11"/>
      <c r="F53" s="11"/>
      <c r="G53" s="11"/>
      <c r="H53" s="11"/>
      <c r="I53" s="11"/>
      <c r="J53" s="11"/>
      <c r="K53" s="11"/>
      <c r="L53" s="11">
        <v>433</v>
      </c>
      <c r="M53" s="11">
        <v>465</v>
      </c>
      <c r="N53" s="11">
        <v>511</v>
      </c>
      <c r="O53" s="11">
        <v>507</v>
      </c>
      <c r="P53" s="11">
        <v>400</v>
      </c>
      <c r="Q53" s="11">
        <v>413</v>
      </c>
      <c r="R53" s="11">
        <v>410</v>
      </c>
      <c r="S53" s="11">
        <v>384</v>
      </c>
      <c r="T53" s="11"/>
      <c r="U53" s="11"/>
      <c r="V53" s="11"/>
      <c r="W53" s="11"/>
      <c r="X53" s="11"/>
    </row>
    <row r="54" spans="3:35" x14ac:dyDescent="0.25">
      <c r="C54" s="2" t="s">
        <v>93</v>
      </c>
      <c r="D54" s="11"/>
      <c r="E54" s="11"/>
      <c r="F54" s="11"/>
      <c r="G54" s="11"/>
      <c r="H54" s="11"/>
      <c r="I54" s="11"/>
      <c r="J54" s="11"/>
      <c r="K54" s="11"/>
      <c r="L54" s="11">
        <v>1051</v>
      </c>
      <c r="M54" s="11">
        <v>939</v>
      </c>
      <c r="N54" s="11">
        <v>511</v>
      </c>
      <c r="O54" s="11">
        <v>516</v>
      </c>
      <c r="P54" s="11">
        <v>516</v>
      </c>
      <c r="Q54" s="11">
        <v>513</v>
      </c>
      <c r="R54" s="11">
        <v>101</v>
      </c>
      <c r="S54" s="11">
        <v>92</v>
      </c>
      <c r="T54" s="11"/>
      <c r="U54" s="11"/>
      <c r="V54" s="11"/>
      <c r="W54" s="11"/>
      <c r="X54" s="11"/>
      <c r="AD54" s="1"/>
      <c r="AE54" s="1"/>
      <c r="AF54" s="1"/>
      <c r="AG54" s="1"/>
      <c r="AH54" s="1"/>
      <c r="AI54" s="1"/>
    </row>
    <row r="55" spans="3:35" x14ac:dyDescent="0.25">
      <c r="C55" s="2" t="s">
        <v>94</v>
      </c>
      <c r="D55" s="11"/>
      <c r="E55" s="11"/>
      <c r="F55" s="11"/>
      <c r="G55" s="11"/>
      <c r="H55" s="11"/>
      <c r="I55" s="11"/>
      <c r="J55" s="11"/>
      <c r="K55" s="11"/>
      <c r="L55" s="11">
        <v>11905</v>
      </c>
      <c r="M55" s="11">
        <v>8871</v>
      </c>
      <c r="N55" s="11">
        <v>8352</v>
      </c>
      <c r="O55" s="11">
        <v>5424</v>
      </c>
      <c r="P55" s="11">
        <v>2516</v>
      </c>
      <c r="Q55" s="11">
        <v>2388</v>
      </c>
      <c r="R55" s="11">
        <v>7190</v>
      </c>
      <c r="S55" s="11">
        <v>7246</v>
      </c>
      <c r="T55" s="11"/>
      <c r="U55" s="11"/>
      <c r="V55" s="11"/>
      <c r="W55" s="11"/>
      <c r="X55" s="11"/>
    </row>
    <row r="56" spans="3:35" x14ac:dyDescent="0.25">
      <c r="C56" s="2" t="s">
        <v>95</v>
      </c>
      <c r="D56" s="11"/>
      <c r="E56" s="11"/>
      <c r="F56" s="11"/>
      <c r="G56" s="11"/>
      <c r="H56" s="11"/>
      <c r="I56" s="11"/>
      <c r="J56" s="11"/>
      <c r="K56" s="11"/>
      <c r="L56" s="11">
        <v>16171</v>
      </c>
      <c r="M56" s="11">
        <v>16552</v>
      </c>
      <c r="N56" s="11">
        <v>16009</v>
      </c>
      <c r="O56" s="11">
        <v>17098</v>
      </c>
      <c r="P56" s="11">
        <v>15675</v>
      </c>
      <c r="Q56" s="11">
        <v>15751</v>
      </c>
      <c r="R56" s="11">
        <v>14672</v>
      </c>
      <c r="S56" s="11">
        <v>14437</v>
      </c>
      <c r="T56" s="11"/>
      <c r="U56" s="11"/>
      <c r="V56" s="11"/>
      <c r="W56" s="11"/>
      <c r="X56" s="11"/>
    </row>
    <row r="57" spans="3:35" x14ac:dyDescent="0.25">
      <c r="C57" s="2" t="s">
        <v>96</v>
      </c>
      <c r="D57" s="11"/>
      <c r="E57" s="11"/>
      <c r="F57" s="11"/>
      <c r="G57" s="11"/>
      <c r="H57" s="11"/>
      <c r="I57" s="11"/>
      <c r="J57" s="11"/>
      <c r="K57" s="11"/>
      <c r="L57" s="11">
        <v>2475</v>
      </c>
      <c r="M57" s="11">
        <v>2028</v>
      </c>
      <c r="N57" s="11">
        <v>2003</v>
      </c>
      <c r="O57" s="11">
        <v>1442</v>
      </c>
      <c r="P57" s="11">
        <v>1364</v>
      </c>
      <c r="Q57" s="11">
        <v>1137</v>
      </c>
      <c r="R57" s="11">
        <v>1501</v>
      </c>
      <c r="S57" s="11">
        <v>1847</v>
      </c>
      <c r="T57" s="11"/>
      <c r="U57" s="11"/>
      <c r="V57" s="11"/>
      <c r="W57" s="11"/>
      <c r="X57" s="11"/>
    </row>
    <row r="58" spans="3:35" x14ac:dyDescent="0.25">
      <c r="C58" s="2" t="s">
        <v>97</v>
      </c>
      <c r="D58" s="11"/>
      <c r="E58" s="11"/>
      <c r="F58" s="11"/>
      <c r="G58" s="11"/>
      <c r="H58" s="11"/>
      <c r="I58" s="11"/>
      <c r="J58" s="11"/>
      <c r="K58" s="11"/>
      <c r="L58" s="11">
        <v>1453</v>
      </c>
      <c r="M58" s="11">
        <v>1058</v>
      </c>
      <c r="N58" s="11">
        <v>1024</v>
      </c>
      <c r="O58" s="11">
        <v>1377</v>
      </c>
      <c r="P58" s="11">
        <v>1211</v>
      </c>
      <c r="Q58" s="11">
        <v>900</v>
      </c>
      <c r="R58" s="11">
        <v>982</v>
      </c>
      <c r="S58" s="11">
        <v>1200</v>
      </c>
      <c r="T58" s="11"/>
      <c r="U58" s="11"/>
      <c r="V58" s="11"/>
      <c r="W58" s="11"/>
      <c r="X58" s="11"/>
      <c r="AD58" s="1"/>
      <c r="AE58" s="1"/>
      <c r="AF58" s="1"/>
      <c r="AG58" s="1"/>
      <c r="AH58" s="1"/>
      <c r="AI58" s="1"/>
    </row>
    <row r="59" spans="3:35" x14ac:dyDescent="0.25">
      <c r="C59" s="2" t="s">
        <v>98</v>
      </c>
      <c r="D59" s="10"/>
      <c r="E59" s="11"/>
      <c r="F59" s="11"/>
      <c r="G59" s="11"/>
      <c r="H59" s="11"/>
      <c r="I59" s="11"/>
      <c r="J59" s="11"/>
      <c r="K59" s="11"/>
      <c r="L59" s="11">
        <v>20435</v>
      </c>
      <c r="M59" s="11">
        <v>18803</v>
      </c>
      <c r="N59" s="11">
        <v>19287</v>
      </c>
      <c r="O59" s="11">
        <v>18949</v>
      </c>
      <c r="P59" s="11">
        <v>23424</v>
      </c>
      <c r="Q59" s="11">
        <v>17208</v>
      </c>
      <c r="R59" s="11">
        <v>17744</v>
      </c>
      <c r="S59" s="11">
        <v>16066</v>
      </c>
      <c r="T59" s="11"/>
      <c r="U59" s="11"/>
      <c r="V59" s="11"/>
      <c r="W59" s="11"/>
      <c r="X59" s="11"/>
    </row>
    <row r="60" spans="3:35" x14ac:dyDescent="0.25">
      <c r="C60" s="7" t="s">
        <v>99</v>
      </c>
      <c r="D60" s="18">
        <f t="shared" ref="D60:R60" si="40">SUM(D50:D59)</f>
        <v>0</v>
      </c>
      <c r="E60" s="18">
        <f t="shared" si="40"/>
        <v>0</v>
      </c>
      <c r="F60" s="18">
        <f t="shared" si="40"/>
        <v>0</v>
      </c>
      <c r="G60" s="18">
        <f t="shared" si="40"/>
        <v>0</v>
      </c>
      <c r="H60" s="18">
        <f t="shared" si="40"/>
        <v>0</v>
      </c>
      <c r="I60" s="18">
        <f t="shared" si="40"/>
        <v>0</v>
      </c>
      <c r="J60" s="18">
        <f t="shared" si="40"/>
        <v>0</v>
      </c>
      <c r="K60" s="18">
        <f t="shared" si="40"/>
        <v>0</v>
      </c>
      <c r="L60" s="18">
        <f t="shared" si="40"/>
        <v>103900</v>
      </c>
      <c r="M60" s="18">
        <f t="shared" si="40"/>
        <v>98451</v>
      </c>
      <c r="N60" s="18">
        <f t="shared" si="40"/>
        <v>96557</v>
      </c>
      <c r="O60" s="18">
        <f t="shared" si="40"/>
        <v>95543</v>
      </c>
      <c r="P60" s="18">
        <f t="shared" si="40"/>
        <v>91537</v>
      </c>
      <c r="Q60" s="18">
        <f t="shared" si="40"/>
        <v>86207</v>
      </c>
      <c r="R60" s="18">
        <f t="shared" si="40"/>
        <v>83637</v>
      </c>
      <c r="S60" s="18">
        <f>SUM(S50:S59)</f>
        <v>81076</v>
      </c>
      <c r="T60" s="18"/>
      <c r="U60" s="18"/>
      <c r="V60" s="18"/>
      <c r="W60" s="18"/>
      <c r="X60" s="18"/>
    </row>
    <row r="61" spans="3:35" x14ac:dyDescent="0.25">
      <c r="C61" s="1" t="s">
        <v>100</v>
      </c>
      <c r="D61" s="10">
        <f t="shared" ref="D61:R61" si="41">D49+D60</f>
        <v>0</v>
      </c>
      <c r="E61" s="10">
        <f t="shared" si="41"/>
        <v>0</v>
      </c>
      <c r="F61" s="10">
        <f t="shared" si="41"/>
        <v>0</v>
      </c>
      <c r="G61" s="10">
        <f t="shared" si="41"/>
        <v>0</v>
      </c>
      <c r="H61" s="10">
        <f t="shared" si="41"/>
        <v>0</v>
      </c>
      <c r="I61" s="10">
        <f t="shared" si="41"/>
        <v>0</v>
      </c>
      <c r="J61" s="10">
        <f t="shared" si="41"/>
        <v>0</v>
      </c>
      <c r="K61" s="10">
        <f t="shared" si="41"/>
        <v>0</v>
      </c>
      <c r="L61" s="10">
        <f t="shared" si="41"/>
        <v>186076</v>
      </c>
      <c r="M61" s="10">
        <f t="shared" si="41"/>
        <v>182313</v>
      </c>
      <c r="N61" s="10">
        <f t="shared" si="41"/>
        <v>180392</v>
      </c>
      <c r="O61" s="10">
        <f t="shared" si="41"/>
        <v>184284</v>
      </c>
      <c r="P61" s="10">
        <f t="shared" si="41"/>
        <v>171241</v>
      </c>
      <c r="Q61" s="10">
        <f t="shared" si="41"/>
        <v>167414</v>
      </c>
      <c r="R61" s="10">
        <f t="shared" si="41"/>
        <v>167620</v>
      </c>
      <c r="S61" s="10">
        <f>S49+S60</f>
        <v>167116</v>
      </c>
      <c r="T61" s="10"/>
      <c r="U61" s="10"/>
      <c r="V61" s="10"/>
      <c r="W61" s="10"/>
      <c r="X61" s="10"/>
      <c r="Y61" s="1"/>
    </row>
    <row r="62" spans="3:35" x14ac:dyDescent="0.25">
      <c r="X62" s="1"/>
      <c r="Y62" s="1"/>
      <c r="Z62" s="1"/>
      <c r="AA62" s="1"/>
      <c r="AB62" s="1"/>
      <c r="AC62" s="1"/>
    </row>
    <row r="63" spans="3:35" x14ac:dyDescent="0.25">
      <c r="C63" s="1" t="s">
        <v>101</v>
      </c>
      <c r="X63" s="1"/>
      <c r="Y63" s="1"/>
      <c r="Z63" s="1"/>
      <c r="AA63" s="1"/>
      <c r="AB63" s="1"/>
      <c r="AC63" s="1"/>
    </row>
    <row r="64" spans="3:35" x14ac:dyDescent="0.25">
      <c r="C64" s="2" t="s">
        <v>102</v>
      </c>
      <c r="D64" s="11">
        <f t="shared" ref="D64:R64" si="42">D11</f>
        <v>0</v>
      </c>
      <c r="E64" s="11">
        <f t="shared" si="42"/>
        <v>0</v>
      </c>
      <c r="F64" s="11">
        <f t="shared" si="42"/>
        <v>0</v>
      </c>
      <c r="G64" s="11">
        <f t="shared" si="42"/>
        <v>3824</v>
      </c>
      <c r="H64" s="11">
        <f t="shared" si="42"/>
        <v>0</v>
      </c>
      <c r="I64" s="11">
        <f t="shared" si="42"/>
        <v>0</v>
      </c>
      <c r="J64" s="11">
        <f t="shared" si="42"/>
        <v>0</v>
      </c>
      <c r="K64" s="11">
        <f t="shared" si="42"/>
        <v>4583</v>
      </c>
      <c r="L64" s="11">
        <f t="shared" si="42"/>
        <v>4560</v>
      </c>
      <c r="M64" s="11">
        <f t="shared" si="42"/>
        <v>5140</v>
      </c>
      <c r="N64" s="11">
        <f t="shared" si="42"/>
        <v>4829</v>
      </c>
      <c r="O64" s="11">
        <f t="shared" si="42"/>
        <v>4699</v>
      </c>
      <c r="P64" s="11">
        <f t="shared" si="42"/>
        <v>4450</v>
      </c>
      <c r="Q64" s="11">
        <f t="shared" si="42"/>
        <v>4452</v>
      </c>
      <c r="R64" s="11">
        <f t="shared" si="42"/>
        <v>4813</v>
      </c>
      <c r="S64" s="11">
        <f>S11</f>
        <v>4885</v>
      </c>
      <c r="T64" s="11"/>
      <c r="U64" s="11"/>
      <c r="V64" s="11"/>
      <c r="W64" s="11"/>
      <c r="X64" s="1"/>
      <c r="Y64" s="1"/>
      <c r="Z64" s="11">
        <f t="shared" ref="Z64:AI64" si="43">Z11</f>
        <v>9684</v>
      </c>
      <c r="AA64" s="11">
        <f t="shared" si="43"/>
        <v>9008</v>
      </c>
      <c r="AB64" s="11">
        <f t="shared" si="43"/>
        <v>11905</v>
      </c>
      <c r="AC64" s="11">
        <f t="shared" si="43"/>
        <v>10759</v>
      </c>
      <c r="AD64" s="11">
        <f t="shared" si="43"/>
        <v>14349</v>
      </c>
      <c r="AE64" s="11">
        <f t="shared" si="43"/>
        <v>16758</v>
      </c>
      <c r="AF64" s="11">
        <f t="shared" si="43"/>
        <v>13199</v>
      </c>
      <c r="AG64" s="11">
        <f t="shared" si="43"/>
        <v>9479</v>
      </c>
      <c r="AH64" s="11">
        <f t="shared" si="43"/>
        <v>17789</v>
      </c>
      <c r="AI64" s="11">
        <f t="shared" si="43"/>
        <v>19234</v>
      </c>
    </row>
    <row r="65" spans="3:35" x14ac:dyDescent="0.25">
      <c r="C65" s="2" t="s">
        <v>103</v>
      </c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>
        <v>4482</v>
      </c>
      <c r="Q65" s="11">
        <f>8868-P65</f>
        <v>4386</v>
      </c>
      <c r="R65" s="11">
        <f>13777-Q65-P65</f>
        <v>4909</v>
      </c>
      <c r="S65" s="11">
        <f>18531-R65-Q65-P65</f>
        <v>4754</v>
      </c>
      <c r="X65" s="1"/>
      <c r="Y65" s="1"/>
      <c r="Z65" s="11"/>
      <c r="AA65" s="11">
        <v>8173</v>
      </c>
      <c r="AB65" s="11">
        <v>10723</v>
      </c>
      <c r="AC65" s="11">
        <v>9602</v>
      </c>
      <c r="AD65" s="11">
        <v>14349</v>
      </c>
      <c r="AE65" s="11">
        <v>16758</v>
      </c>
      <c r="AF65" s="11">
        <v>13199</v>
      </c>
      <c r="AG65" s="11">
        <v>8491</v>
      </c>
      <c r="AH65" s="11">
        <v>15148</v>
      </c>
      <c r="AI65" s="11">
        <v>18295</v>
      </c>
    </row>
    <row r="66" spans="3:35" x14ac:dyDescent="0.25">
      <c r="C66" s="2" t="s">
        <v>104</v>
      </c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>
        <v>1875</v>
      </c>
      <c r="Q66" s="11">
        <f>3845-P66</f>
        <v>1970</v>
      </c>
      <c r="R66" s="11">
        <f>5770-Q66-P66</f>
        <v>1925</v>
      </c>
      <c r="S66" s="11">
        <f>7777-R66-Q66-P66</f>
        <v>2007</v>
      </c>
      <c r="T66" s="1"/>
      <c r="U66" s="1"/>
      <c r="V66" s="1"/>
      <c r="W66" s="1"/>
      <c r="X66" s="1"/>
      <c r="Y66" s="1"/>
      <c r="Z66" s="11"/>
      <c r="AA66" s="11">
        <v>6791</v>
      </c>
      <c r="AB66" s="11">
        <v>5717</v>
      </c>
      <c r="AC66" s="11">
        <v>6995</v>
      </c>
      <c r="AD66" s="11">
        <v>8193</v>
      </c>
      <c r="AE66" s="11">
        <v>7812</v>
      </c>
      <c r="AF66" s="11">
        <v>7212</v>
      </c>
      <c r="AG66" s="11">
        <v>9669</v>
      </c>
      <c r="AH66" s="11">
        <v>9459</v>
      </c>
      <c r="AI66" s="11">
        <v>8019</v>
      </c>
    </row>
    <row r="67" spans="3:35" x14ac:dyDescent="0.25">
      <c r="C67" s="2" t="s">
        <v>105</v>
      </c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>
        <v>-118</v>
      </c>
      <c r="Q67" s="11">
        <f>-263-P67</f>
        <v>-145</v>
      </c>
      <c r="R67" s="11">
        <f>-362-Q67-P67</f>
        <v>-99</v>
      </c>
      <c r="S67" s="11">
        <f>-490-R67-Q67-P67</f>
        <v>-128</v>
      </c>
      <c r="T67" s="1"/>
      <c r="U67" s="1"/>
      <c r="V67" s="1"/>
      <c r="W67" s="1"/>
      <c r="X67" s="1"/>
      <c r="Y67" s="1"/>
      <c r="Z67" s="11"/>
      <c r="AA67" s="11">
        <v>0</v>
      </c>
      <c r="AB67" s="11">
        <v>0</v>
      </c>
      <c r="AC67" s="11">
        <v>0</v>
      </c>
      <c r="AD67" s="11">
        <v>0</v>
      </c>
      <c r="AE67" s="10">
        <v>0</v>
      </c>
      <c r="AF67" s="11">
        <v>0</v>
      </c>
      <c r="AG67" s="11">
        <v>-474</v>
      </c>
      <c r="AH67" s="11">
        <v>-466</v>
      </c>
      <c r="AI67" s="11">
        <v>-467</v>
      </c>
    </row>
    <row r="68" spans="3:35" x14ac:dyDescent="0.25">
      <c r="C68" s="2" t="s">
        <v>106</v>
      </c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>
        <v>-143</v>
      </c>
      <c r="Q68" s="11">
        <f>-231-P68</f>
        <v>-88</v>
      </c>
      <c r="R68" s="11">
        <f>-249-Q68-P68</f>
        <v>-18</v>
      </c>
      <c r="S68" s="11">
        <f>-231-R68-Q68-P68</f>
        <v>18</v>
      </c>
      <c r="T68" s="1"/>
      <c r="U68" s="1"/>
      <c r="V68" s="1"/>
      <c r="W68" s="1"/>
      <c r="X68" s="1"/>
      <c r="Y68" s="1"/>
      <c r="Z68" s="11"/>
      <c r="AA68" s="11">
        <v>0</v>
      </c>
      <c r="AB68" s="11">
        <v>0</v>
      </c>
      <c r="AC68" s="11">
        <v>0</v>
      </c>
      <c r="AD68" s="11">
        <v>-1095</v>
      </c>
      <c r="AE68" s="11">
        <v>-1048</v>
      </c>
      <c r="AF68" s="11">
        <v>-594</v>
      </c>
      <c r="AG68" s="11">
        <v>-41</v>
      </c>
      <c r="AH68" s="11">
        <v>-203</v>
      </c>
      <c r="AI68" s="11">
        <v>-271</v>
      </c>
    </row>
    <row r="69" spans="3:35" x14ac:dyDescent="0.25">
      <c r="C69" s="2" t="s">
        <v>107</v>
      </c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>
        <f>-868+301-465</f>
        <v>-1032</v>
      </c>
      <c r="Q69" s="11">
        <f>-1614-693-1362-P69</f>
        <v>-2637</v>
      </c>
      <c r="R69" s="11">
        <f>-1622+79-1726-Q69-P69</f>
        <v>400</v>
      </c>
      <c r="S69" s="11">
        <f>-916+853-2882-R69-Q69-P69</f>
        <v>324</v>
      </c>
      <c r="Z69" s="11"/>
      <c r="AA69" s="11">
        <f>1059-298+835</f>
        <v>1596</v>
      </c>
      <c r="AB69" s="11">
        <f>-1703+1522-559</f>
        <v>-740</v>
      </c>
      <c r="AC69" s="11">
        <f>-1017-344+390</f>
        <v>-971</v>
      </c>
      <c r="AD69" s="11">
        <f>-194-1949+2502</f>
        <v>359</v>
      </c>
      <c r="AE69" s="11">
        <f>-2207+53+1344</f>
        <v>-810</v>
      </c>
      <c r="AF69" s="11">
        <f>-1047-2084+2287</f>
        <v>-844</v>
      </c>
      <c r="AG69" s="11">
        <f>-4750-3492+4018</f>
        <v>-4224</v>
      </c>
      <c r="AH69" s="11">
        <f>2505-19-1401</f>
        <v>1085</v>
      </c>
      <c r="AI69" s="11">
        <f>-946-2218+2756</f>
        <v>-408</v>
      </c>
    </row>
    <row r="70" spans="3:35" x14ac:dyDescent="0.25">
      <c r="C70" s="2" t="s">
        <v>108</v>
      </c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>
        <v>-1011</v>
      </c>
      <c r="Q70" s="11">
        <f>-1242-P70</f>
        <v>-231</v>
      </c>
      <c r="R70" s="11">
        <f>-2450-Q70-P70</f>
        <v>-1208</v>
      </c>
      <c r="S70" s="11">
        <f>-2664-R70-Q70-P70</f>
        <v>-214</v>
      </c>
      <c r="Z70" s="11"/>
      <c r="AA70" s="11">
        <v>0</v>
      </c>
      <c r="AB70" s="11">
        <v>0</v>
      </c>
      <c r="AC70" s="11">
        <v>0</v>
      </c>
      <c r="AD70" s="11">
        <v>-1010</v>
      </c>
      <c r="AE70" s="11">
        <v>-872</v>
      </c>
      <c r="AF70" s="11">
        <v>-724</v>
      </c>
      <c r="AG70" s="11">
        <v>-717</v>
      </c>
      <c r="AH70" s="11">
        <v>-2421</v>
      </c>
      <c r="AI70" s="11">
        <v>-2473</v>
      </c>
    </row>
    <row r="71" spans="3:35" x14ac:dyDescent="0.25">
      <c r="C71" s="2" t="s">
        <v>109</v>
      </c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>
        <v>117</v>
      </c>
      <c r="Q71" s="11">
        <f>170-P71</f>
        <v>53</v>
      </c>
      <c r="R71" s="11">
        <f>217-Q71-P71</f>
        <v>47</v>
      </c>
      <c r="S71" s="11">
        <f>276-R71-Q71-P71</f>
        <v>59</v>
      </c>
      <c r="Z71" s="11"/>
      <c r="AA71" s="11">
        <v>0</v>
      </c>
      <c r="AB71" s="11">
        <v>0</v>
      </c>
      <c r="AC71" s="11">
        <v>0</v>
      </c>
      <c r="AD71" s="11">
        <v>105</v>
      </c>
      <c r="AE71" s="11">
        <v>101</v>
      </c>
      <c r="AF71" s="11">
        <v>91</v>
      </c>
      <c r="AG71" s="11">
        <v>139</v>
      </c>
      <c r="AH71" s="11">
        <v>410</v>
      </c>
      <c r="AI71" s="11">
        <v>569</v>
      </c>
    </row>
    <row r="72" spans="3:35" x14ac:dyDescent="0.25">
      <c r="C72" s="2" t="s">
        <v>110</v>
      </c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>
        <v>-32</v>
      </c>
      <c r="Q72" s="11">
        <f>-30-P72</f>
        <v>2</v>
      </c>
      <c r="R72" s="11">
        <f>-57-Q72-P72</f>
        <v>-27</v>
      </c>
      <c r="S72" s="11">
        <f>-82-R72-Q72-P72</f>
        <v>-25</v>
      </c>
      <c r="Z72" s="11"/>
      <c r="AA72" s="11">
        <v>0</v>
      </c>
      <c r="AB72" s="11">
        <v>0</v>
      </c>
      <c r="AC72" s="11">
        <v>0</v>
      </c>
      <c r="AD72" s="11">
        <v>-420</v>
      </c>
      <c r="AE72" s="11">
        <v>-205</v>
      </c>
      <c r="AF72" s="11">
        <v>-39</v>
      </c>
      <c r="AG72" s="11">
        <v>-670</v>
      </c>
      <c r="AH72" s="11">
        <v>-320</v>
      </c>
      <c r="AI72" s="11">
        <v>-235</v>
      </c>
    </row>
    <row r="73" spans="3:35" x14ac:dyDescent="0.25">
      <c r="C73" s="2" t="s">
        <v>111</v>
      </c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>
        <v>-1222</v>
      </c>
      <c r="Q73" s="11">
        <f>-2587-P73</f>
        <v>-1365</v>
      </c>
      <c r="R73" s="11">
        <f>-3460-Q73-P73</f>
        <v>-873</v>
      </c>
      <c r="S73" s="11">
        <f>-4713-R73-Q73-P73</f>
        <v>-1253</v>
      </c>
      <c r="Z73" s="11"/>
      <c r="AA73" s="11">
        <v>-3782</v>
      </c>
      <c r="AB73" s="11">
        <v>-2971</v>
      </c>
      <c r="AC73" s="11">
        <v>-2466</v>
      </c>
      <c r="AD73" s="11">
        <v>-1130</v>
      </c>
      <c r="AE73" s="11">
        <v>-3917</v>
      </c>
      <c r="AF73" s="11">
        <v>-3634</v>
      </c>
      <c r="AG73" s="11">
        <v>-2175</v>
      </c>
      <c r="AH73" s="11">
        <v>-3615</v>
      </c>
      <c r="AI73" s="11">
        <v>-5860</v>
      </c>
    </row>
    <row r="74" spans="3:35" x14ac:dyDescent="0.25">
      <c r="C74" s="1" t="s">
        <v>112</v>
      </c>
      <c r="D74" s="10">
        <f t="shared" ref="D74:O74" si="44">SUM(D65:D73)</f>
        <v>0</v>
      </c>
      <c r="E74" s="10">
        <f t="shared" si="44"/>
        <v>0</v>
      </c>
      <c r="F74" s="10">
        <f t="shared" si="44"/>
        <v>0</v>
      </c>
      <c r="G74" s="10">
        <f t="shared" si="44"/>
        <v>0</v>
      </c>
      <c r="H74" s="10">
        <f t="shared" si="44"/>
        <v>0</v>
      </c>
      <c r="I74" s="10">
        <f t="shared" si="44"/>
        <v>0</v>
      </c>
      <c r="J74" s="10">
        <f t="shared" si="44"/>
        <v>0</v>
      </c>
      <c r="K74" s="10">
        <f t="shared" si="44"/>
        <v>0</v>
      </c>
      <c r="L74" s="10">
        <f t="shared" si="44"/>
        <v>0</v>
      </c>
      <c r="M74" s="10">
        <f t="shared" si="44"/>
        <v>0</v>
      </c>
      <c r="N74" s="10">
        <f t="shared" si="44"/>
        <v>0</v>
      </c>
      <c r="O74" s="10">
        <f t="shared" si="44"/>
        <v>0</v>
      </c>
      <c r="P74" s="10">
        <f>SUM(P65:P73)</f>
        <v>2916</v>
      </c>
      <c r="Q74" s="10">
        <f t="shared" ref="Q74:S74" si="45">SUM(Q65:Q73)</f>
        <v>1945</v>
      </c>
      <c r="R74" s="10">
        <f t="shared" si="45"/>
        <v>5056</v>
      </c>
      <c r="S74" s="10">
        <f t="shared" si="45"/>
        <v>5542</v>
      </c>
      <c r="T74" s="1"/>
      <c r="U74" s="10"/>
      <c r="V74" s="1"/>
      <c r="W74" s="1"/>
      <c r="X74" s="1"/>
      <c r="Y74" s="1"/>
      <c r="Z74" s="10">
        <f t="shared" ref="Z74" si="46">SUM(Z65:Z73)</f>
        <v>0</v>
      </c>
      <c r="AA74" s="10">
        <f t="shared" ref="AA74" si="47">SUM(AA65:AA73)</f>
        <v>12778</v>
      </c>
      <c r="AB74" s="10">
        <f t="shared" ref="AB74" si="48">SUM(AB65:AB73)</f>
        <v>12729</v>
      </c>
      <c r="AC74" s="10">
        <f t="shared" ref="AC74" si="49">SUM(AC65:AC73)</f>
        <v>13160</v>
      </c>
      <c r="AD74" s="10">
        <f t="shared" ref="AD74" si="50">SUM(AD65:AD73)</f>
        <v>19351</v>
      </c>
      <c r="AE74" s="10">
        <f t="shared" ref="AE74" si="51">SUM(AE65:AE73)</f>
        <v>17819</v>
      </c>
      <c r="AF74" s="10">
        <f t="shared" ref="AF74" si="52">SUM(AF65:AF73)</f>
        <v>14667</v>
      </c>
      <c r="AG74" s="10">
        <f t="shared" ref="AG74" si="53">SUM(AG65:AG73)</f>
        <v>9998</v>
      </c>
      <c r="AH74" s="10">
        <f t="shared" ref="AH74" si="54">SUM(AH65:AH73)</f>
        <v>19077</v>
      </c>
      <c r="AI74" s="10">
        <f t="shared" ref="AI74" si="55">SUM(AI65:AI73)</f>
        <v>17169</v>
      </c>
    </row>
    <row r="75" spans="3:35" x14ac:dyDescent="0.25"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 spans="3:35" x14ac:dyDescent="0.25">
      <c r="C76" s="2" t="s">
        <v>113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>
        <v>-1144</v>
      </c>
      <c r="Q76" s="11">
        <f>-2866-P76</f>
        <v>-1722</v>
      </c>
      <c r="R76" s="11">
        <f>5-4630-Q76-P76</f>
        <v>-1759</v>
      </c>
      <c r="S76" s="11">
        <f>5-7090-R76-Q76-P76</f>
        <v>-2460</v>
      </c>
      <c r="Z76" s="11"/>
      <c r="AA76" s="11">
        <f>-4416+369-6339</f>
        <v>-10386</v>
      </c>
      <c r="AB76" s="11">
        <f>-13070+29-6160</f>
        <v>-19201</v>
      </c>
      <c r="AC76" s="11">
        <f>-461+68-6906</f>
        <v>-7299</v>
      </c>
      <c r="AD76" s="11">
        <f>-143+5-5908</f>
        <v>-6046</v>
      </c>
      <c r="AE76" s="11">
        <f>-668+65-6587</f>
        <v>-7190</v>
      </c>
      <c r="AF76" s="11">
        <f>-4427+16-7301</f>
        <v>-11712</v>
      </c>
      <c r="AG76" s="11">
        <f>-4797-5416</f>
        <v>-10213</v>
      </c>
      <c r="AH76" s="11">
        <f>-178+1234-6850</f>
        <v>-5794</v>
      </c>
      <c r="AI76" s="11">
        <f>-17+17980-7396</f>
        <v>10567</v>
      </c>
    </row>
    <row r="77" spans="3:35" x14ac:dyDescent="0.25">
      <c r="C77" s="2" t="s">
        <v>114</v>
      </c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>
        <v>-6</v>
      </c>
      <c r="Q77" s="11">
        <v>-2</v>
      </c>
      <c r="R77" s="11">
        <v>-2</v>
      </c>
      <c r="S77" s="11">
        <v>-3</v>
      </c>
      <c r="Z77" s="11"/>
      <c r="AA77" s="11">
        <v>0</v>
      </c>
      <c r="AB77" s="11">
        <v>0</v>
      </c>
      <c r="AC77" s="11">
        <v>0</v>
      </c>
      <c r="AD77" s="11">
        <v>-39</v>
      </c>
      <c r="AE77" s="11">
        <v>-20</v>
      </c>
      <c r="AF77" s="11">
        <v>-57</v>
      </c>
      <c r="AG77" s="11">
        <v>-14</v>
      </c>
      <c r="AH77" s="11">
        <v>-40</v>
      </c>
      <c r="AI77" s="11">
        <v>-39</v>
      </c>
    </row>
    <row r="78" spans="3:35" x14ac:dyDescent="0.25">
      <c r="C78" s="2" t="s">
        <v>115</v>
      </c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>
        <v>17</v>
      </c>
      <c r="Q78" s="11">
        <f>93-17</f>
        <v>76</v>
      </c>
      <c r="R78" s="11">
        <f>202-Q78-P78</f>
        <v>109</v>
      </c>
      <c r="S78" s="11">
        <f>205-R78-Q78-P78</f>
        <v>3</v>
      </c>
      <c r="Z78" s="11"/>
      <c r="AA78" s="11">
        <v>83</v>
      </c>
      <c r="AB78" s="11">
        <v>152</v>
      </c>
      <c r="AC78" s="11">
        <v>134</v>
      </c>
      <c r="AD78" s="11">
        <v>239</v>
      </c>
      <c r="AE78" s="11">
        <v>169</v>
      </c>
      <c r="AF78" s="11">
        <v>54</v>
      </c>
      <c r="AG78" s="11">
        <v>68</v>
      </c>
      <c r="AH78" s="11">
        <v>71</v>
      </c>
      <c r="AI78" s="11">
        <v>103</v>
      </c>
    </row>
    <row r="79" spans="3:35" x14ac:dyDescent="0.25">
      <c r="C79" s="2" t="s">
        <v>116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>
        <v>2863</v>
      </c>
      <c r="Q79" s="11">
        <f>2938-P79</f>
        <v>75</v>
      </c>
      <c r="R79" s="11">
        <f>3814-Q79-P79</f>
        <v>876</v>
      </c>
      <c r="S79" s="11">
        <f>3672-R79-Q79-P79</f>
        <v>-142</v>
      </c>
      <c r="Z79" s="11"/>
      <c r="AA79" s="11">
        <v>184</v>
      </c>
      <c r="AB79" s="11">
        <v>-287</v>
      </c>
      <c r="AC79" s="11">
        <v>-340</v>
      </c>
      <c r="AD79" s="11">
        <v>-62</v>
      </c>
      <c r="AE79" s="11">
        <v>-54</v>
      </c>
      <c r="AF79" s="11">
        <v>-418</v>
      </c>
      <c r="AG79" s="11">
        <v>-2827</v>
      </c>
      <c r="AH79" s="11">
        <v>-48</v>
      </c>
      <c r="AI79" s="11">
        <v>-1137</v>
      </c>
    </row>
    <row r="80" spans="3:35" x14ac:dyDescent="0.25">
      <c r="C80" s="1" t="s">
        <v>126</v>
      </c>
      <c r="D80" s="10">
        <f t="shared" ref="D80:O80" si="56">SUM(D76:D79)</f>
        <v>0</v>
      </c>
      <c r="E80" s="10">
        <f t="shared" si="56"/>
        <v>0</v>
      </c>
      <c r="F80" s="10">
        <f t="shared" si="56"/>
        <v>0</v>
      </c>
      <c r="G80" s="10">
        <f t="shared" si="56"/>
        <v>0</v>
      </c>
      <c r="H80" s="10">
        <f t="shared" si="56"/>
        <v>0</v>
      </c>
      <c r="I80" s="10">
        <f t="shared" si="56"/>
        <v>0</v>
      </c>
      <c r="J80" s="10">
        <f t="shared" si="56"/>
        <v>0</v>
      </c>
      <c r="K80" s="10">
        <f t="shared" si="56"/>
        <v>0</v>
      </c>
      <c r="L80" s="10">
        <f t="shared" si="56"/>
        <v>0</v>
      </c>
      <c r="M80" s="10">
        <f t="shared" si="56"/>
        <v>0</v>
      </c>
      <c r="N80" s="10">
        <f t="shared" si="56"/>
        <v>0</v>
      </c>
      <c r="O80" s="10">
        <f t="shared" si="56"/>
        <v>0</v>
      </c>
      <c r="P80" s="10">
        <f>SUM(P76:P79)</f>
        <v>1730</v>
      </c>
      <c r="Q80" s="10">
        <f t="shared" ref="Q80:S80" si="57">SUM(Q76:Q79)</f>
        <v>-1573</v>
      </c>
      <c r="R80" s="10">
        <f t="shared" si="57"/>
        <v>-776</v>
      </c>
      <c r="S80" s="10">
        <f t="shared" si="57"/>
        <v>-2602</v>
      </c>
      <c r="T80" s="1"/>
      <c r="U80" s="1"/>
      <c r="V80" s="1"/>
      <c r="W80" s="1"/>
      <c r="X80" s="1"/>
      <c r="Y80" s="1"/>
      <c r="Z80" s="10">
        <f t="shared" ref="Z80" si="58">SUM(Z76:Z79)</f>
        <v>0</v>
      </c>
      <c r="AA80" s="10">
        <f t="shared" ref="AA80" si="59">SUM(AA76:AA79)</f>
        <v>-10119</v>
      </c>
      <c r="AB80" s="10">
        <f t="shared" ref="AB80" si="60">SUM(AB76:AB79)</f>
        <v>-19336</v>
      </c>
      <c r="AC80" s="10">
        <f t="shared" ref="AC80" si="61">SUM(AC76:AC79)</f>
        <v>-7505</v>
      </c>
      <c r="AD80" s="10">
        <f t="shared" ref="AD80" si="62">SUM(AD76:AD79)</f>
        <v>-5908</v>
      </c>
      <c r="AE80" s="10">
        <f t="shared" ref="AE80" si="63">SUM(AE76:AE79)</f>
        <v>-7095</v>
      </c>
      <c r="AF80" s="10">
        <f t="shared" ref="AF80" si="64">SUM(AF76:AF79)</f>
        <v>-12133</v>
      </c>
      <c r="AG80" s="10">
        <f t="shared" ref="AG80" si="65">SUM(AG76:AG79)</f>
        <v>-12986</v>
      </c>
      <c r="AH80" s="10">
        <f t="shared" ref="AH80" si="66">SUM(AH76:AH79)</f>
        <v>-5811</v>
      </c>
      <c r="AI80" s="10">
        <f t="shared" ref="AI80" si="67">SUM(AI76:AI79)</f>
        <v>9494</v>
      </c>
    </row>
    <row r="81" spans="3:35" x14ac:dyDescent="0.25"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 spans="3:35" x14ac:dyDescent="0.25">
      <c r="C82" s="2" t="s">
        <v>117</v>
      </c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>
        <v>0</v>
      </c>
      <c r="Q82" s="11">
        <v>0</v>
      </c>
      <c r="R82" s="11">
        <v>0</v>
      </c>
      <c r="S82" s="11">
        <v>0</v>
      </c>
      <c r="Z82" s="11"/>
      <c r="AA82" s="11">
        <v>435</v>
      </c>
      <c r="AB82" s="11">
        <v>26</v>
      </c>
      <c r="AC82" s="11">
        <v>5</v>
      </c>
      <c r="AD82" s="11">
        <v>4</v>
      </c>
      <c r="AE82" s="11">
        <v>64</v>
      </c>
      <c r="AF82" s="11">
        <f>25-5961</f>
        <v>-5936</v>
      </c>
      <c r="AG82" s="11">
        <v>-14</v>
      </c>
      <c r="AH82" s="11">
        <v>0</v>
      </c>
      <c r="AI82" s="11">
        <v>-51</v>
      </c>
    </row>
    <row r="83" spans="3:35" x14ac:dyDescent="0.25">
      <c r="C83" s="2" t="s">
        <v>118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>
        <v>42</v>
      </c>
      <c r="Q83" s="11">
        <f>855-P83</f>
        <v>813</v>
      </c>
      <c r="R83" s="11">
        <f>886-Q83-P83</f>
        <v>31</v>
      </c>
      <c r="S83" s="11">
        <f>999-R83-Q83-P83</f>
        <v>113</v>
      </c>
      <c r="Z83" s="11"/>
      <c r="AA83" s="11">
        <v>16148</v>
      </c>
      <c r="AB83" s="11">
        <f>31037</f>
        <v>31037</v>
      </c>
      <c r="AC83" s="11">
        <v>4386</v>
      </c>
      <c r="AD83" s="11">
        <v>2448</v>
      </c>
      <c r="AE83" s="11">
        <v>6474</v>
      </c>
      <c r="AF83" s="11">
        <v>19444</v>
      </c>
      <c r="AG83" s="11">
        <v>32546</v>
      </c>
      <c r="AH83" s="11">
        <v>21163</v>
      </c>
      <c r="AI83" s="11">
        <v>1397</v>
      </c>
    </row>
    <row r="84" spans="3:35" x14ac:dyDescent="0.25">
      <c r="C84" s="2" t="s">
        <v>119</v>
      </c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>
        <v>-4227</v>
      </c>
      <c r="Q84" s="11">
        <f>-4262-P84</f>
        <v>-35</v>
      </c>
      <c r="R84" s="11">
        <f>-5056-Q84-P84</f>
        <v>-794</v>
      </c>
      <c r="S84" s="11">
        <f>-5173-R84-Q84-P84</f>
        <v>-117</v>
      </c>
      <c r="Z84" s="11"/>
      <c r="AA84" s="11">
        <v>-15614</v>
      </c>
      <c r="AB84" s="11">
        <v>-25982</v>
      </c>
      <c r="AC84" s="11">
        <v>-6777</v>
      </c>
      <c r="AD84" s="11">
        <v>-11708</v>
      </c>
      <c r="AE84" s="11">
        <v>-10100</v>
      </c>
      <c r="AF84" s="11">
        <v>-12003</v>
      </c>
      <c r="AG84" s="11">
        <v>-18539</v>
      </c>
      <c r="AH84" s="11">
        <v>-26509</v>
      </c>
      <c r="AI84" s="11">
        <v>-15004</v>
      </c>
    </row>
    <row r="85" spans="3:35" x14ac:dyDescent="0.25">
      <c r="C85" s="2" t="s">
        <v>120</v>
      </c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>
        <v>-289</v>
      </c>
      <c r="Q85" s="11">
        <f>-540-P85</f>
        <v>-251</v>
      </c>
      <c r="R85" s="11">
        <f>-816-Q85-P85</f>
        <v>-276</v>
      </c>
      <c r="S85" s="11">
        <f>-1090-R85-Q85-P85</f>
        <v>-274</v>
      </c>
      <c r="Z85" s="11"/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-896</v>
      </c>
      <c r="AH85" s="11">
        <v>-998</v>
      </c>
      <c r="AI85" s="11">
        <v>-1069</v>
      </c>
    </row>
    <row r="86" spans="3:35" x14ac:dyDescent="0.25">
      <c r="C86" s="2" t="s">
        <v>121</v>
      </c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>
        <v>-413</v>
      </c>
      <c r="Q86" s="11">
        <f>-724-P86</f>
        <v>-311</v>
      </c>
      <c r="R86" s="11">
        <f>-464-Q86-P86</f>
        <v>260</v>
      </c>
      <c r="S86" s="11">
        <f>-250-R86-Q86-P86</f>
        <v>214</v>
      </c>
      <c r="Z86" s="11"/>
      <c r="AA86" s="11">
        <v>10403</v>
      </c>
      <c r="AB86" s="11">
        <v>952</v>
      </c>
      <c r="AC86" s="11">
        <v>0</v>
      </c>
      <c r="AD86" s="11">
        <v>0</v>
      </c>
      <c r="AE86" s="11">
        <v>0</v>
      </c>
      <c r="AF86" s="11">
        <v>0</v>
      </c>
      <c r="AG86" s="11">
        <v>-5055</v>
      </c>
      <c r="AH86" s="11">
        <v>-1226</v>
      </c>
      <c r="AI86" s="11">
        <v>93</v>
      </c>
    </row>
    <row r="87" spans="3:35" x14ac:dyDescent="0.25">
      <c r="C87" s="2" t="s">
        <v>122</v>
      </c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>
        <v>0</v>
      </c>
      <c r="Q87" s="11">
        <v>-5711</v>
      </c>
      <c r="R87" s="11">
        <v>0</v>
      </c>
      <c r="S87" s="11">
        <v>0</v>
      </c>
      <c r="Z87" s="11"/>
      <c r="AA87" s="11">
        <v>0</v>
      </c>
      <c r="AB87" s="11">
        <v>0</v>
      </c>
      <c r="AC87" s="11">
        <v>-4038</v>
      </c>
      <c r="AD87" s="11">
        <v>-4038</v>
      </c>
      <c r="AE87" s="11">
        <v>0</v>
      </c>
      <c r="AF87" s="11">
        <v>0</v>
      </c>
      <c r="AG87" s="11">
        <v>-4916</v>
      </c>
      <c r="AH87" s="11">
        <v>-5092</v>
      </c>
      <c r="AI87" s="11">
        <v>-5443</v>
      </c>
    </row>
    <row r="88" spans="3:35" x14ac:dyDescent="0.25">
      <c r="C88" s="2" t="s">
        <v>123</v>
      </c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>
        <v>0</v>
      </c>
      <c r="Q88" s="11">
        <v>-4</v>
      </c>
      <c r="R88" s="11">
        <v>-7</v>
      </c>
      <c r="S88" s="11">
        <v>-9</v>
      </c>
      <c r="Z88" s="11"/>
      <c r="AA88" s="11">
        <v>-190</v>
      </c>
      <c r="AB88" s="11">
        <v>-285</v>
      </c>
      <c r="AC88" s="11">
        <v>-397</v>
      </c>
      <c r="AD88" s="11">
        <v>-336</v>
      </c>
      <c r="AE88" s="11">
        <v>-423</v>
      </c>
      <c r="AF88" s="11">
        <v>-571</v>
      </c>
      <c r="AG88" s="11">
        <v>-21</v>
      </c>
      <c r="AH88" s="11">
        <v>-2</v>
      </c>
      <c r="AI88" s="11">
        <v>-23</v>
      </c>
    </row>
    <row r="89" spans="3:35" x14ac:dyDescent="0.25">
      <c r="C89" s="2" t="s">
        <v>124</v>
      </c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>
        <v>-776</v>
      </c>
      <c r="Q89" s="11">
        <f>-1458-P89</f>
        <v>-682</v>
      </c>
      <c r="R89" s="11">
        <f>-2605-Q89-P89</f>
        <v>-1147</v>
      </c>
      <c r="S89" s="11">
        <f>-3160-R89-Q89-P89</f>
        <v>-555</v>
      </c>
      <c r="Z89" s="11"/>
      <c r="AA89" s="11">
        <v>-14571</v>
      </c>
      <c r="AB89" s="11">
        <v>838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-2224</v>
      </c>
    </row>
    <row r="90" spans="3:35" x14ac:dyDescent="0.25">
      <c r="C90" s="1" t="s">
        <v>125</v>
      </c>
      <c r="D90" s="10">
        <f t="shared" ref="D90:O90" si="68">SUM(D82:D89)</f>
        <v>0</v>
      </c>
      <c r="E90" s="10">
        <f t="shared" si="68"/>
        <v>0</v>
      </c>
      <c r="F90" s="10">
        <f t="shared" si="68"/>
        <v>0</v>
      </c>
      <c r="G90" s="10">
        <f t="shared" si="68"/>
        <v>0</v>
      </c>
      <c r="H90" s="10">
        <f t="shared" si="68"/>
        <v>0</v>
      </c>
      <c r="I90" s="10">
        <f t="shared" si="68"/>
        <v>0</v>
      </c>
      <c r="J90" s="10">
        <f t="shared" si="68"/>
        <v>0</v>
      </c>
      <c r="K90" s="10">
        <f t="shared" si="68"/>
        <v>0</v>
      </c>
      <c r="L90" s="10">
        <f t="shared" si="68"/>
        <v>0</v>
      </c>
      <c r="M90" s="10">
        <f t="shared" si="68"/>
        <v>0</v>
      </c>
      <c r="N90" s="10">
        <f t="shared" si="68"/>
        <v>0</v>
      </c>
      <c r="O90" s="10">
        <f t="shared" si="68"/>
        <v>0</v>
      </c>
      <c r="P90" s="10">
        <f>SUM(P82:P89)</f>
        <v>-5663</v>
      </c>
      <c r="Q90" s="10">
        <f t="shared" ref="Q90:S90" si="69">SUM(Q82:Q89)</f>
        <v>-6181</v>
      </c>
      <c r="R90" s="10">
        <f t="shared" si="69"/>
        <v>-1933</v>
      </c>
      <c r="S90" s="10">
        <f t="shared" si="69"/>
        <v>-628</v>
      </c>
      <c r="T90" s="1"/>
      <c r="U90" s="1"/>
      <c r="V90" s="1"/>
      <c r="W90" s="1"/>
      <c r="X90" s="1"/>
      <c r="Y90" s="1"/>
      <c r="Z90" s="10">
        <f t="shared" ref="Z90" si="70">SUM(Z82:Z89)</f>
        <v>0</v>
      </c>
      <c r="AA90" s="10">
        <f t="shared" ref="AA90" si="71">SUM(AA82:AA89)</f>
        <v>-3389</v>
      </c>
      <c r="AB90" s="10">
        <f t="shared" ref="AB90" si="72">SUM(AB82:AB89)</f>
        <v>6586</v>
      </c>
      <c r="AC90" s="10">
        <f t="shared" ref="AC90" si="73">SUM(AC82:AC89)</f>
        <v>-6821</v>
      </c>
      <c r="AD90" s="10">
        <f t="shared" ref="AD90" si="74">SUM(AD82:AD89)</f>
        <v>-13630</v>
      </c>
      <c r="AE90" s="10">
        <f t="shared" ref="AE90" si="75">SUM(AE82:AE89)</f>
        <v>-3985</v>
      </c>
      <c r="AF90" s="10">
        <f t="shared" ref="AF90" si="76">SUM(AF82:AF89)</f>
        <v>934</v>
      </c>
      <c r="AG90" s="10">
        <f t="shared" ref="AG90" si="77">SUM(AG82:AG89)</f>
        <v>3105</v>
      </c>
      <c r="AH90" s="10">
        <f t="shared" ref="AH90" si="78">SUM(AH82:AH89)</f>
        <v>-12664</v>
      </c>
      <c r="AI90" s="10">
        <f t="shared" ref="AI90" si="79">SUM(AI82:AI89)</f>
        <v>-22324</v>
      </c>
    </row>
    <row r="91" spans="3:35" x14ac:dyDescent="0.25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 spans="3:35" x14ac:dyDescent="0.25">
      <c r="C92" s="2" t="s">
        <v>127</v>
      </c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>
        <v>-178</v>
      </c>
      <c r="Q92" s="11">
        <f>-236-P92</f>
        <v>-58</v>
      </c>
      <c r="R92" s="11">
        <f>-255-Q92-P92</f>
        <v>-19</v>
      </c>
      <c r="S92" s="11">
        <f>-308-R92-Q92-P92</f>
        <v>-53</v>
      </c>
      <c r="Z92" s="11"/>
      <c r="AA92" s="11">
        <v>146</v>
      </c>
      <c r="AB92" s="11">
        <v>-116</v>
      </c>
      <c r="AC92" s="11">
        <v>67</v>
      </c>
      <c r="AD92" s="11">
        <v>107</v>
      </c>
      <c r="AE92" s="11">
        <v>-295</v>
      </c>
      <c r="AF92" s="11">
        <v>195</v>
      </c>
      <c r="AG92" s="11">
        <v>202</v>
      </c>
      <c r="AH92" s="11">
        <v>-269</v>
      </c>
      <c r="AI92" s="11">
        <v>163</v>
      </c>
    </row>
    <row r="93" spans="3:35" x14ac:dyDescent="0.25"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 spans="3:35" x14ac:dyDescent="0.25">
      <c r="C94" s="2" t="s">
        <v>128</v>
      </c>
      <c r="D94" s="11">
        <f t="shared" ref="D94:O94" si="80">D74+D80+D90+D92</f>
        <v>0</v>
      </c>
      <c r="E94" s="11">
        <f t="shared" si="80"/>
        <v>0</v>
      </c>
      <c r="F94" s="11">
        <f t="shared" si="80"/>
        <v>0</v>
      </c>
      <c r="G94" s="11">
        <f t="shared" si="80"/>
        <v>0</v>
      </c>
      <c r="H94" s="11">
        <f t="shared" si="80"/>
        <v>0</v>
      </c>
      <c r="I94" s="11">
        <f t="shared" si="80"/>
        <v>0</v>
      </c>
      <c r="J94" s="11">
        <f t="shared" si="80"/>
        <v>0</v>
      </c>
      <c r="K94" s="11">
        <f t="shared" si="80"/>
        <v>0</v>
      </c>
      <c r="L94" s="11">
        <f t="shared" si="80"/>
        <v>0</v>
      </c>
      <c r="M94" s="11">
        <f t="shared" si="80"/>
        <v>0</v>
      </c>
      <c r="N94" s="11">
        <f t="shared" si="80"/>
        <v>0</v>
      </c>
      <c r="O94" s="11">
        <f t="shared" si="80"/>
        <v>0</v>
      </c>
      <c r="P94" s="11">
        <f>P74+P80+P90+P92</f>
        <v>-1195</v>
      </c>
      <c r="Q94" s="11">
        <f t="shared" ref="Q94:S94" si="81">Q74+Q80+Q90+Q92</f>
        <v>-5867</v>
      </c>
      <c r="R94" s="11">
        <f t="shared" si="81"/>
        <v>2328</v>
      </c>
      <c r="S94" s="11">
        <f t="shared" si="81"/>
        <v>2259</v>
      </c>
      <c r="Z94" s="11">
        <f t="shared" ref="Z94:AI94" si="82">Z74+Z80+Z90+Z92</f>
        <v>0</v>
      </c>
      <c r="AA94" s="11">
        <f t="shared" si="82"/>
        <v>-584</v>
      </c>
      <c r="AB94" s="11">
        <f t="shared" si="82"/>
        <v>-137</v>
      </c>
      <c r="AC94" s="11">
        <f t="shared" si="82"/>
        <v>-1099</v>
      </c>
      <c r="AD94" s="11">
        <f t="shared" si="82"/>
        <v>-80</v>
      </c>
      <c r="AE94" s="11">
        <f t="shared" si="82"/>
        <v>6444</v>
      </c>
      <c r="AF94" s="11">
        <f t="shared" si="82"/>
        <v>3663</v>
      </c>
      <c r="AG94" s="11">
        <f t="shared" si="82"/>
        <v>319</v>
      </c>
      <c r="AH94" s="11">
        <f t="shared" si="82"/>
        <v>333</v>
      </c>
      <c r="AI94" s="11">
        <f t="shared" si="82"/>
        <v>4502</v>
      </c>
    </row>
    <row r="95" spans="3:35" x14ac:dyDescent="0.25">
      <c r="C95" s="1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"/>
      <c r="U95" s="1"/>
      <c r="V95" s="1"/>
      <c r="W95" s="1"/>
      <c r="Z95" s="10"/>
      <c r="AA95" s="10"/>
      <c r="AB95" s="10"/>
      <c r="AC95" s="10"/>
      <c r="AD95" s="10"/>
      <c r="AE95" s="10"/>
      <c r="AF95" s="10"/>
      <c r="AG95" s="10"/>
      <c r="AH95" s="10"/>
      <c r="AI95" s="10"/>
    </row>
    <row r="96" spans="3:35" x14ac:dyDescent="0.25">
      <c r="C96" s="2" t="s">
        <v>129</v>
      </c>
      <c r="D96" s="11">
        <f t="shared" ref="D96:O96" si="83">D74+D76</f>
        <v>0</v>
      </c>
      <c r="E96" s="11">
        <f t="shared" si="83"/>
        <v>0</v>
      </c>
      <c r="F96" s="11">
        <f t="shared" si="83"/>
        <v>0</v>
      </c>
      <c r="G96" s="11">
        <f t="shared" si="83"/>
        <v>0</v>
      </c>
      <c r="H96" s="11">
        <f t="shared" si="83"/>
        <v>0</v>
      </c>
      <c r="I96" s="11">
        <f t="shared" si="83"/>
        <v>0</v>
      </c>
      <c r="J96" s="11">
        <f t="shared" si="83"/>
        <v>0</v>
      </c>
      <c r="K96" s="11">
        <f t="shared" si="83"/>
        <v>0</v>
      </c>
      <c r="L96" s="11">
        <f t="shared" si="83"/>
        <v>0</v>
      </c>
      <c r="M96" s="11">
        <f t="shared" si="83"/>
        <v>0</v>
      </c>
      <c r="N96" s="11">
        <f t="shared" si="83"/>
        <v>0</v>
      </c>
      <c r="O96" s="11">
        <f t="shared" si="83"/>
        <v>0</v>
      </c>
      <c r="P96" s="11">
        <f>P74+P76</f>
        <v>1772</v>
      </c>
      <c r="Q96" s="11">
        <f t="shared" ref="Q96:S96" si="84">Q74+Q76</f>
        <v>223</v>
      </c>
      <c r="R96" s="11">
        <f t="shared" si="84"/>
        <v>3297</v>
      </c>
      <c r="S96" s="11">
        <f t="shared" si="84"/>
        <v>3082</v>
      </c>
      <c r="Z96" s="11">
        <f t="shared" ref="Z96:AI96" si="85">Z74+Z76</f>
        <v>0</v>
      </c>
      <c r="AA96" s="11">
        <f t="shared" si="85"/>
        <v>2392</v>
      </c>
      <c r="AB96" s="11">
        <f t="shared" si="85"/>
        <v>-6472</v>
      </c>
      <c r="AC96" s="11">
        <f t="shared" si="85"/>
        <v>5861</v>
      </c>
      <c r="AD96" s="11">
        <f t="shared" si="85"/>
        <v>13305</v>
      </c>
      <c r="AE96" s="11">
        <f t="shared" si="85"/>
        <v>10629</v>
      </c>
      <c r="AF96" s="11">
        <f t="shared" si="85"/>
        <v>2955</v>
      </c>
      <c r="AG96" s="11">
        <f t="shared" si="85"/>
        <v>-215</v>
      </c>
      <c r="AH96" s="11">
        <f t="shared" si="85"/>
        <v>13283</v>
      </c>
      <c r="AI96" s="11">
        <f t="shared" si="85"/>
        <v>27736</v>
      </c>
    </row>
    <row r="97" spans="3:36" x14ac:dyDescent="0.25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8"/>
    </row>
    <row r="108" spans="3:36" x14ac:dyDescent="0.2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</row>
    <row r="121" spans="3:35" x14ac:dyDescent="0.25"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</row>
    <row r="122" spans="3:35" x14ac:dyDescent="0.25">
      <c r="Q122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AA25"/>
  <sheetViews>
    <sheetView showGridLines="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M36" sqref="M36"/>
    </sheetView>
  </sheetViews>
  <sheetFormatPr baseColWidth="10" defaultRowHeight="19" x14ac:dyDescent="0.25"/>
  <cols>
    <col min="1" max="1" width="10.83203125" style="2"/>
    <col min="2" max="2" width="22.6640625" style="2" customWidth="1"/>
    <col min="3" max="16384" width="10.83203125" style="2"/>
  </cols>
  <sheetData>
    <row r="4" spans="2:27" x14ac:dyDescent="0.25">
      <c r="B4" s="2" t="s">
        <v>46</v>
      </c>
      <c r="C4" s="20" t="s">
        <v>3</v>
      </c>
      <c r="D4" s="20" t="s">
        <v>4</v>
      </c>
      <c r="E4" s="20" t="s">
        <v>5</v>
      </c>
      <c r="F4" s="20" t="s">
        <v>6</v>
      </c>
      <c r="G4" s="25">
        <v>2022</v>
      </c>
      <c r="H4" s="20" t="s">
        <v>7</v>
      </c>
      <c r="I4" s="20" t="s">
        <v>8</v>
      </c>
      <c r="J4" s="20" t="s">
        <v>9</v>
      </c>
      <c r="K4" s="20" t="s">
        <v>10</v>
      </c>
      <c r="L4" s="25">
        <v>2023</v>
      </c>
      <c r="M4" s="20" t="s">
        <v>11</v>
      </c>
      <c r="N4" s="20" t="s">
        <v>12</v>
      </c>
      <c r="O4" s="20" t="s">
        <v>13</v>
      </c>
      <c r="P4" s="20" t="s">
        <v>14</v>
      </c>
      <c r="Q4" s="25">
        <v>2024</v>
      </c>
      <c r="R4" s="20" t="s">
        <v>37</v>
      </c>
      <c r="S4" s="20" t="s">
        <v>31</v>
      </c>
      <c r="T4" s="20" t="s">
        <v>35</v>
      </c>
      <c r="U4" s="20" t="s">
        <v>36</v>
      </c>
      <c r="V4" s="23">
        <v>2025</v>
      </c>
      <c r="W4" s="20" t="s">
        <v>137</v>
      </c>
      <c r="X4" s="20" t="s">
        <v>138</v>
      </c>
      <c r="Y4" s="20" t="s">
        <v>139</v>
      </c>
      <c r="Z4" s="20" t="s">
        <v>140</v>
      </c>
      <c r="AA4" s="23">
        <v>2026</v>
      </c>
    </row>
    <row r="5" spans="2:27" x14ac:dyDescent="0.25">
      <c r="B5" s="1" t="s">
        <v>130</v>
      </c>
      <c r="G5" s="23"/>
      <c r="L5" s="23"/>
      <c r="Q5" s="23"/>
      <c r="V5" s="23"/>
      <c r="AA5" s="23"/>
    </row>
    <row r="6" spans="2:27" x14ac:dyDescent="0.25">
      <c r="B6" s="2" t="s">
        <v>51</v>
      </c>
      <c r="G6" s="27">
        <f>SUM(C6:F6)</f>
        <v>0</v>
      </c>
      <c r="H6" s="11">
        <v>6665</v>
      </c>
      <c r="I6" s="11">
        <v>6905</v>
      </c>
      <c r="J6" s="11">
        <v>7158</v>
      </c>
      <c r="K6" s="11">
        <v>7001</v>
      </c>
      <c r="L6" s="27">
        <f>SUM(H6:K6)</f>
        <v>27729</v>
      </c>
      <c r="M6" s="11">
        <v>6842</v>
      </c>
      <c r="N6" s="11">
        <v>7213</v>
      </c>
      <c r="O6" s="11">
        <v>7127</v>
      </c>
      <c r="P6" s="11">
        <v>7417</v>
      </c>
      <c r="Q6" s="27">
        <f>SUM(M6:P6)</f>
        <v>28599</v>
      </c>
      <c r="R6" s="11">
        <v>6936</v>
      </c>
      <c r="S6" s="11">
        <v>6723</v>
      </c>
      <c r="T6" s="11">
        <v>6883</v>
      </c>
      <c r="U6" s="11">
        <v>6926</v>
      </c>
      <c r="V6" s="27">
        <f>SUM(R6:U6)</f>
        <v>27468</v>
      </c>
      <c r="W6" s="11"/>
      <c r="X6" s="11"/>
      <c r="Y6" s="11"/>
      <c r="Z6" s="11"/>
      <c r="AA6" s="27"/>
    </row>
    <row r="7" spans="2:27" x14ac:dyDescent="0.25">
      <c r="B7" s="21" t="s">
        <v>136</v>
      </c>
      <c r="C7" s="21"/>
      <c r="D7" s="21"/>
      <c r="E7" s="21"/>
      <c r="F7" s="21"/>
      <c r="G7" s="24"/>
      <c r="H7" s="21" t="e">
        <f t="shared" ref="H7:T7" si="0">(H6-C6)/C6</f>
        <v>#DIV/0!</v>
      </c>
      <c r="I7" s="21" t="e">
        <f t="shared" si="0"/>
        <v>#DIV/0!</v>
      </c>
      <c r="J7" s="21" t="e">
        <f t="shared" si="0"/>
        <v>#DIV/0!</v>
      </c>
      <c r="K7" s="21" t="e">
        <f t="shared" si="0"/>
        <v>#DIV/0!</v>
      </c>
      <c r="L7" s="24" t="e">
        <f>(L6-G6)/G6</f>
        <v>#DIV/0!</v>
      </c>
      <c r="M7" s="21">
        <f t="shared" si="0"/>
        <v>2.6556639159789949E-2</v>
      </c>
      <c r="N7" s="21">
        <f t="shared" si="0"/>
        <v>4.4605358435916002E-2</v>
      </c>
      <c r="O7" s="21">
        <f t="shared" si="0"/>
        <v>-4.330818664431405E-3</v>
      </c>
      <c r="P7" s="21">
        <f t="shared" si="0"/>
        <v>5.9420082845307816E-2</v>
      </c>
      <c r="Q7" s="24">
        <f>(Q6-L6)/L6</f>
        <v>3.1375094666233908E-2</v>
      </c>
      <c r="R7" s="21">
        <f t="shared" si="0"/>
        <v>1.3738672902660041E-2</v>
      </c>
      <c r="S7" s="21">
        <f t="shared" si="0"/>
        <v>-6.7932898932483013E-2</v>
      </c>
      <c r="T7" s="21">
        <f t="shared" si="0"/>
        <v>-3.423600392872176E-2</v>
      </c>
      <c r="U7" s="21">
        <f>(U6-P6)/P6</f>
        <v>-6.6199271942834023E-2</v>
      </c>
      <c r="V7" s="24">
        <f>(V6-Q6)/Q6</f>
        <v>-3.9546837302003569E-2</v>
      </c>
      <c r="W7" s="21">
        <f t="shared" ref="W7" si="1">(W6-R6)/R6</f>
        <v>-1</v>
      </c>
      <c r="X7" s="21">
        <f t="shared" ref="X7" si="2">(X6-S6)/S6</f>
        <v>-1</v>
      </c>
      <c r="Y7" s="21">
        <f t="shared" ref="Y7" si="3">(Y6-T6)/T6</f>
        <v>-1</v>
      </c>
      <c r="Z7" s="21">
        <f>(Z6-U6)/U6</f>
        <v>-1</v>
      </c>
      <c r="AA7" s="24">
        <f>(AA6-V6)/V6</f>
        <v>-1</v>
      </c>
    </row>
    <row r="8" spans="2:27" x14ac:dyDescent="0.25">
      <c r="B8" s="21" t="s">
        <v>131</v>
      </c>
      <c r="C8" s="21"/>
      <c r="D8" s="21"/>
      <c r="E8" s="21"/>
      <c r="F8" s="21"/>
      <c r="G8" s="24"/>
      <c r="H8" s="21">
        <v>0.106</v>
      </c>
      <c r="I8" s="21">
        <v>0.08</v>
      </c>
      <c r="J8" s="21">
        <v>5.8000000000000003E-2</v>
      </c>
      <c r="K8" s="21">
        <v>4.2999999999999997E-2</v>
      </c>
      <c r="L8" s="24"/>
      <c r="M8" s="21">
        <v>2.5999999999999999E-2</v>
      </c>
      <c r="N8" s="21">
        <v>4.4999999999999998E-2</v>
      </c>
      <c r="O8" s="21">
        <v>2.8000000000000001E-2</v>
      </c>
      <c r="P8" s="21">
        <v>5.6000000000000001E-2</v>
      </c>
      <c r="Q8" s="24"/>
      <c r="R8" s="21">
        <v>1.7000000000000001E-2</v>
      </c>
      <c r="S8" s="21">
        <v>1E-3</v>
      </c>
      <c r="T8" s="21">
        <v>1.7000000000000001E-2</v>
      </c>
      <c r="U8" s="21">
        <v>7.0000000000000001E-3</v>
      </c>
      <c r="V8" s="24"/>
      <c r="W8" s="21"/>
      <c r="X8" s="21"/>
      <c r="Y8" s="21"/>
      <c r="Z8" s="21"/>
      <c r="AA8" s="24"/>
    </row>
    <row r="9" spans="2:27" x14ac:dyDescent="0.25">
      <c r="B9" s="21" t="s">
        <v>133</v>
      </c>
      <c r="C9" s="21"/>
      <c r="D9" s="21"/>
      <c r="E9" s="21"/>
      <c r="F9" s="21"/>
      <c r="G9" s="24"/>
      <c r="H9" s="21">
        <v>0.378</v>
      </c>
      <c r="I9" s="21">
        <v>0.39</v>
      </c>
      <c r="J9" s="21">
        <v>0.42</v>
      </c>
      <c r="K9" s="21">
        <v>0.42299999999999999</v>
      </c>
      <c r="L9" s="24"/>
      <c r="M9" s="21">
        <v>0.45200000000000001</v>
      </c>
      <c r="N9" s="21">
        <v>0.45500000000000002</v>
      </c>
      <c r="O9" s="21">
        <v>0.44700000000000001</v>
      </c>
      <c r="P9" s="21">
        <v>0.441</v>
      </c>
      <c r="Q9" s="24"/>
      <c r="R9" s="21">
        <v>0.44400000000000001</v>
      </c>
      <c r="S9" s="21">
        <v>0.437</v>
      </c>
      <c r="T9" s="21">
        <v>0.438</v>
      </c>
      <c r="U9" s="21">
        <v>0.442</v>
      </c>
      <c r="V9" s="24"/>
      <c r="W9" s="21"/>
      <c r="X9" s="21"/>
      <c r="Y9" s="21"/>
      <c r="Z9" s="21"/>
      <c r="AA9" s="24"/>
    </row>
    <row r="10" spans="2:27" x14ac:dyDescent="0.25">
      <c r="B10" s="2" t="s">
        <v>56</v>
      </c>
      <c r="C10" s="11">
        <v>836</v>
      </c>
      <c r="D10" s="11">
        <v>673</v>
      </c>
      <c r="E10" s="11">
        <v>673</v>
      </c>
      <c r="F10" s="11">
        <v>719</v>
      </c>
      <c r="G10" s="27">
        <f>SUM(C10:F10)</f>
        <v>2901</v>
      </c>
      <c r="H10" s="11">
        <v>777</v>
      </c>
      <c r="I10" s="11">
        <v>947</v>
      </c>
      <c r="J10" s="11">
        <v>1188</v>
      </c>
      <c r="K10" s="11">
        <v>1125</v>
      </c>
      <c r="L10" s="27">
        <f>SUM(H10:K10)</f>
        <v>4037</v>
      </c>
      <c r="M10" s="11">
        <v>1290</v>
      </c>
      <c r="N10" s="11">
        <v>1472</v>
      </c>
      <c r="O10" s="11">
        <v>1386</v>
      </c>
      <c r="P10" s="11">
        <v>1361</v>
      </c>
      <c r="Q10" s="27">
        <f>SUM(M10:P10)</f>
        <v>5509</v>
      </c>
      <c r="R10" s="11">
        <v>1231</v>
      </c>
      <c r="S10" s="11">
        <v>1159</v>
      </c>
      <c r="T10" s="11">
        <v>1260</v>
      </c>
      <c r="U10" s="11">
        <v>1296</v>
      </c>
      <c r="V10" s="27">
        <f>SUM(R10:U10)</f>
        <v>4946</v>
      </c>
      <c r="W10" s="11"/>
      <c r="X10" s="11"/>
      <c r="Y10" s="11"/>
      <c r="Z10" s="11"/>
      <c r="AA10" s="27">
        <f>SUM(W10:Z10)</f>
        <v>0</v>
      </c>
    </row>
    <row r="11" spans="2:27" ht="20" thickBot="1" x14ac:dyDescent="0.3">
      <c r="B11" s="22" t="s">
        <v>132</v>
      </c>
      <c r="C11" s="22"/>
      <c r="D11" s="22"/>
      <c r="E11" s="22"/>
      <c r="F11" s="22"/>
      <c r="G11" s="26" t="e">
        <f>G10/G6</f>
        <v>#DIV/0!</v>
      </c>
      <c r="H11" s="22">
        <v>0.11700000000000001</v>
      </c>
      <c r="I11" s="22">
        <v>0.13700000000000001</v>
      </c>
      <c r="J11" s="22">
        <v>0.16600000000000001</v>
      </c>
      <c r="K11" s="22">
        <v>0.161</v>
      </c>
      <c r="L11" s="26">
        <f>L10/L6</f>
        <v>0.14558765191676584</v>
      </c>
      <c r="M11" s="22">
        <v>0.189</v>
      </c>
      <c r="N11" s="22">
        <v>0.20399999999999999</v>
      </c>
      <c r="O11" s="22">
        <v>0.19400000000000001</v>
      </c>
      <c r="P11" s="22">
        <v>0.183</v>
      </c>
      <c r="Q11" s="26">
        <f>Q10/Q6</f>
        <v>0.19262911290604567</v>
      </c>
      <c r="R11" s="22">
        <v>0.17699999999999999</v>
      </c>
      <c r="S11" s="22">
        <v>0.17199999999999999</v>
      </c>
      <c r="T11" s="22">
        <v>0.183</v>
      </c>
      <c r="U11" s="22">
        <v>0.161</v>
      </c>
      <c r="V11" s="26">
        <f>V10/V6</f>
        <v>0.18006407455948739</v>
      </c>
      <c r="W11" s="22"/>
      <c r="X11" s="22"/>
      <c r="Y11" s="22"/>
      <c r="Z11" s="22"/>
      <c r="AA11" s="26" t="e">
        <f>AA10/AA6</f>
        <v>#DIV/0!</v>
      </c>
    </row>
    <row r="12" spans="2:27" x14ac:dyDescent="0.25">
      <c r="B12" s="1" t="s">
        <v>134</v>
      </c>
      <c r="G12" s="23"/>
      <c r="L12" s="23"/>
      <c r="Q12" s="23"/>
      <c r="V12" s="23"/>
      <c r="AA12" s="23"/>
    </row>
    <row r="13" spans="2:27" x14ac:dyDescent="0.25">
      <c r="B13" s="2" t="s">
        <v>51</v>
      </c>
      <c r="G13" s="27">
        <f>SUM(C13:F13)</f>
        <v>0</v>
      </c>
      <c r="H13" s="11">
        <v>20257</v>
      </c>
      <c r="I13" s="11">
        <v>20056</v>
      </c>
      <c r="J13" s="11">
        <v>19729</v>
      </c>
      <c r="K13" s="11">
        <v>19870</v>
      </c>
      <c r="L13" s="27">
        <f>SUM(H13:K13)</f>
        <v>79912</v>
      </c>
      <c r="M13" s="11">
        <v>19338</v>
      </c>
      <c r="N13" s="11">
        <v>19672</v>
      </c>
      <c r="O13" s="11">
        <v>19410</v>
      </c>
      <c r="P13" s="11">
        <v>20472</v>
      </c>
      <c r="Q13" s="27">
        <f>SUM(M13:P13)</f>
        <v>78892</v>
      </c>
      <c r="R13" s="11">
        <v>19285</v>
      </c>
      <c r="S13" s="11">
        <v>18434</v>
      </c>
      <c r="T13" s="11">
        <v>18583</v>
      </c>
      <c r="U13" s="11">
        <v>18793</v>
      </c>
      <c r="V13" s="27">
        <f>SUM(R13:U13)</f>
        <v>75095</v>
      </c>
      <c r="W13" s="11"/>
      <c r="X13" s="11"/>
      <c r="Y13" s="11"/>
      <c r="Z13" s="11"/>
      <c r="AA13" s="27">
        <f>SUM(W13:Z13)</f>
        <v>0</v>
      </c>
    </row>
    <row r="14" spans="2:27" x14ac:dyDescent="0.25">
      <c r="B14" s="7" t="s">
        <v>136</v>
      </c>
      <c r="G14" s="24"/>
      <c r="H14" s="21" t="e">
        <f t="shared" ref="H14" si="4">(H13-C13)/C13</f>
        <v>#DIV/0!</v>
      </c>
      <c r="I14" s="21" t="e">
        <f t="shared" ref="I14" si="5">(I13-D13)/D13</f>
        <v>#DIV/0!</v>
      </c>
      <c r="J14" s="21" t="e">
        <f t="shared" ref="J14" si="6">(J13-E13)/E13</f>
        <v>#DIV/0!</v>
      </c>
      <c r="K14" s="21" t="e">
        <f t="shared" ref="K14" si="7">(K13-F13)/F13</f>
        <v>#DIV/0!</v>
      </c>
      <c r="L14" s="24" t="e">
        <f>(L13-G13)/G13</f>
        <v>#DIV/0!</v>
      </c>
      <c r="M14" s="21">
        <f t="shared" ref="M14" si="8">(M13-H13)/H13</f>
        <v>-4.536703361800859E-2</v>
      </c>
      <c r="N14" s="21">
        <f t="shared" ref="N14" si="9">(N13-I13)/I13</f>
        <v>-1.9146390107698443E-2</v>
      </c>
      <c r="O14" s="21">
        <f t="shared" ref="O14" si="10">(O13-J13)/J13</f>
        <v>-1.6169091185564397E-2</v>
      </c>
      <c r="P14" s="21">
        <f t="shared" ref="P14" si="11">(P13-K13)/K13</f>
        <v>3.0296930045294414E-2</v>
      </c>
      <c r="Q14" s="24">
        <f>(Q13-L13)/L13</f>
        <v>-1.2764040444488938E-2</v>
      </c>
      <c r="R14" s="21">
        <f t="shared" ref="R14" si="12">(R13-M13)/M13</f>
        <v>-2.7407177577826042E-3</v>
      </c>
      <c r="S14" s="21">
        <f t="shared" ref="S14" si="13">(S13-N13)/N13</f>
        <v>-6.2932086213908098E-2</v>
      </c>
      <c r="T14" s="21">
        <f t="shared" ref="T14" si="14">(T13-O13)/O13</f>
        <v>-4.2606903657908292E-2</v>
      </c>
      <c r="U14" s="21">
        <f>(U13-P13)/P13</f>
        <v>-8.2014458772958182E-2</v>
      </c>
      <c r="V14" s="24">
        <f>(V13-Q13)/Q13</f>
        <v>-4.8129087866957361E-2</v>
      </c>
      <c r="W14" s="21">
        <f t="shared" ref="W14" si="15">(W13-R13)/R13</f>
        <v>-1</v>
      </c>
      <c r="X14" s="21">
        <f t="shared" ref="X14" si="16">(X13-S13)/S13</f>
        <v>-1</v>
      </c>
      <c r="Y14" s="21">
        <f t="shared" ref="Y14" si="17">(Y13-T13)/T13</f>
        <v>-1</v>
      </c>
      <c r="Z14" s="21">
        <f>(Z13-U13)/U13</f>
        <v>-1</v>
      </c>
      <c r="AA14" s="24">
        <f>(AA13-V13)/V13</f>
        <v>-1</v>
      </c>
    </row>
    <row r="15" spans="2:27" x14ac:dyDescent="0.25">
      <c r="B15" s="21" t="s">
        <v>131</v>
      </c>
      <c r="C15" s="21"/>
      <c r="D15" s="21"/>
      <c r="E15" s="21"/>
      <c r="F15" s="21"/>
      <c r="G15" s="24"/>
      <c r="H15" s="21">
        <v>0.14799999999999999</v>
      </c>
      <c r="I15" s="21">
        <v>5.7000000000000002E-2</v>
      </c>
      <c r="J15" s="21">
        <v>-4.0000000000000001E-3</v>
      </c>
      <c r="K15" s="21">
        <v>-2.8000000000000001E-2</v>
      </c>
      <c r="L15" s="24"/>
      <c r="M15" s="21">
        <v>-4.8000000000000001E-2</v>
      </c>
      <c r="N15" s="21">
        <v>-1.2999999999999999E-2</v>
      </c>
      <c r="O15" s="21">
        <v>0.03</v>
      </c>
      <c r="P15" s="21">
        <v>4.4999999999999998E-2</v>
      </c>
      <c r="Q15" s="24"/>
      <c r="R15" s="21">
        <v>2.9000000000000001E-2</v>
      </c>
      <c r="S15" s="21">
        <v>3.2000000000000001E-2</v>
      </c>
      <c r="T15" s="21">
        <v>8.0000000000000002E-3</v>
      </c>
      <c r="U15" s="21">
        <v>-0.02</v>
      </c>
      <c r="V15" s="24"/>
      <c r="W15" s="21"/>
      <c r="X15" s="21"/>
      <c r="Y15" s="21"/>
      <c r="Z15" s="21"/>
      <c r="AA15" s="24"/>
    </row>
    <row r="16" spans="2:27" x14ac:dyDescent="0.25">
      <c r="B16" s="21" t="s">
        <v>133</v>
      </c>
      <c r="C16" s="21"/>
      <c r="D16" s="21"/>
      <c r="E16" s="21"/>
      <c r="F16" s="21"/>
      <c r="G16" s="24"/>
      <c r="H16" s="21">
        <v>0.26300000000000001</v>
      </c>
      <c r="I16" s="21">
        <v>0.26300000000000001</v>
      </c>
      <c r="J16" s="21">
        <v>0.28299999999999997</v>
      </c>
      <c r="K16" s="21">
        <v>0.29299999999999998</v>
      </c>
      <c r="L16" s="24"/>
      <c r="M16" s="21">
        <v>0.30399999999999999</v>
      </c>
      <c r="N16" s="21">
        <v>0.28999999999999998</v>
      </c>
      <c r="O16" s="21">
        <v>0.28499999999999998</v>
      </c>
      <c r="P16" s="21">
        <v>0.27500000000000002</v>
      </c>
      <c r="Q16" s="24"/>
      <c r="R16" s="21">
        <v>0.29499999999999998</v>
      </c>
      <c r="S16" s="21">
        <v>0.30499999999999999</v>
      </c>
      <c r="T16" s="21">
        <v>0.29899999999999999</v>
      </c>
      <c r="U16" s="21">
        <v>0.29699999999999999</v>
      </c>
      <c r="V16" s="24"/>
      <c r="W16" s="21"/>
      <c r="X16" s="21"/>
      <c r="Y16" s="21"/>
      <c r="Z16" s="21"/>
      <c r="AA16" s="24"/>
    </row>
    <row r="17" spans="2:27" x14ac:dyDescent="0.25">
      <c r="B17" s="11" t="s">
        <v>56</v>
      </c>
      <c r="C17" s="11">
        <v>1645</v>
      </c>
      <c r="D17" s="11">
        <v>1861</v>
      </c>
      <c r="E17" s="11">
        <v>1460</v>
      </c>
      <c r="F17" s="11">
        <v>2293</v>
      </c>
      <c r="G17" s="27">
        <f>SUM(C17:F17)</f>
        <v>7259</v>
      </c>
      <c r="H17" s="11">
        <v>2400</v>
      </c>
      <c r="I17" s="11">
        <v>2417</v>
      </c>
      <c r="J17" s="11">
        <v>2395</v>
      </c>
      <c r="K17" s="11">
        <v>2585</v>
      </c>
      <c r="L17" s="27">
        <f>SUM(H17:K17)</f>
        <v>9797</v>
      </c>
      <c r="M17" s="11">
        <v>2545</v>
      </c>
      <c r="N17" s="11">
        <v>2434</v>
      </c>
      <c r="O17" s="11">
        <v>2285</v>
      </c>
      <c r="P17" s="11">
        <v>2245</v>
      </c>
      <c r="Q17" s="27">
        <f>SUM(M17:P17)</f>
        <v>9509</v>
      </c>
      <c r="R17" s="11">
        <v>2443</v>
      </c>
      <c r="S17" s="11">
        <v>2368</v>
      </c>
      <c r="T17" s="11">
        <v>2362</v>
      </c>
      <c r="U17" s="11">
        <v>2432</v>
      </c>
      <c r="V17" s="27">
        <f>SUM(R17:U17)</f>
        <v>9605</v>
      </c>
      <c r="W17" s="11"/>
      <c r="X17" s="11"/>
      <c r="Y17" s="11"/>
      <c r="Z17" s="11"/>
      <c r="AA17" s="27">
        <f>SUM(W17:Z17)</f>
        <v>0</v>
      </c>
    </row>
    <row r="18" spans="2:27" ht="20" thickBot="1" x14ac:dyDescent="0.3">
      <c r="B18" s="22" t="s">
        <v>132</v>
      </c>
      <c r="C18" s="22"/>
      <c r="D18" s="22"/>
      <c r="E18" s="22"/>
      <c r="F18" s="22"/>
      <c r="G18" s="26" t="e">
        <f>G17/G13</f>
        <v>#DIV/0!</v>
      </c>
      <c r="H18" s="22">
        <v>0.11799999999999999</v>
      </c>
      <c r="I18" s="22">
        <v>0.121</v>
      </c>
      <c r="J18" s="22">
        <v>0.121</v>
      </c>
      <c r="K18" s="22">
        <v>0.13</v>
      </c>
      <c r="L18" s="26">
        <f>L17/L13</f>
        <v>0.12259735709280208</v>
      </c>
      <c r="M18" s="22">
        <v>0.13200000000000001</v>
      </c>
      <c r="N18" s="22">
        <v>0.124</v>
      </c>
      <c r="O18" s="22">
        <v>0.11799999999999999</v>
      </c>
      <c r="P18" s="22">
        <v>0.11</v>
      </c>
      <c r="Q18" s="26">
        <f>Q17/Q13</f>
        <v>0.12053186634893272</v>
      </c>
      <c r="R18" s="22">
        <v>0.127</v>
      </c>
      <c r="S18" s="22">
        <v>0.128</v>
      </c>
      <c r="T18" s="22">
        <v>0.127</v>
      </c>
      <c r="U18" s="22">
        <v>0.129</v>
      </c>
      <c r="V18" s="26">
        <f>V17/V13</f>
        <v>0.12790465410480059</v>
      </c>
      <c r="W18" s="22"/>
      <c r="X18" s="22"/>
      <c r="Y18" s="22"/>
      <c r="Z18" s="22"/>
      <c r="AA18" s="26" t="e">
        <f>AA17/AA13</f>
        <v>#DIV/0!</v>
      </c>
    </row>
    <row r="19" spans="2:27" x14ac:dyDescent="0.25">
      <c r="B19" s="1" t="s">
        <v>135</v>
      </c>
      <c r="G19" s="23"/>
      <c r="L19" s="23"/>
      <c r="Q19" s="23"/>
      <c r="V19" s="23"/>
      <c r="AA19" s="23"/>
    </row>
    <row r="20" spans="2:27" x14ac:dyDescent="0.25">
      <c r="B20" s="2" t="s">
        <v>51</v>
      </c>
      <c r="G20" s="27">
        <f>SUM(C20:F20)</f>
        <v>0</v>
      </c>
      <c r="H20" s="11">
        <v>9422</v>
      </c>
      <c r="I20" s="11">
        <v>10123</v>
      </c>
      <c r="J20" s="11">
        <v>10184</v>
      </c>
      <c r="K20" s="11">
        <v>9752</v>
      </c>
      <c r="L20" s="27">
        <f>SUM(H20:K20)</f>
        <v>39481</v>
      </c>
      <c r="M20" s="11">
        <v>8686</v>
      </c>
      <c r="N20" s="11">
        <v>9729</v>
      </c>
      <c r="O20" s="11">
        <v>9729</v>
      </c>
      <c r="P20" s="11">
        <v>9923</v>
      </c>
      <c r="Q20" s="27">
        <f>SUM(M20:P20)</f>
        <v>38067</v>
      </c>
      <c r="R20" s="11">
        <v>8757</v>
      </c>
      <c r="S20" s="11">
        <v>9003</v>
      </c>
      <c r="T20" s="11">
        <v>9183</v>
      </c>
      <c r="U20" s="11">
        <v>8961</v>
      </c>
      <c r="V20" s="27">
        <f>SUM(R20:U20)</f>
        <v>35904</v>
      </c>
      <c r="W20" s="11"/>
      <c r="X20" s="11"/>
      <c r="Y20" s="11"/>
      <c r="Z20" s="11"/>
      <c r="AA20" s="27">
        <f>SUM(W20:Z20)</f>
        <v>0</v>
      </c>
    </row>
    <row r="21" spans="2:27" x14ac:dyDescent="0.25">
      <c r="B21" s="7" t="s">
        <v>136</v>
      </c>
      <c r="G21" s="24"/>
      <c r="H21" s="21" t="e">
        <f t="shared" ref="H21" si="18">(H20-C20)/C20</f>
        <v>#DIV/0!</v>
      </c>
      <c r="I21" s="21" t="e">
        <f t="shared" ref="I21" si="19">(I20-D20)/D20</f>
        <v>#DIV/0!</v>
      </c>
      <c r="J21" s="21" t="e">
        <f t="shared" ref="J21" si="20">(J20-E20)/E20</f>
        <v>#DIV/0!</v>
      </c>
      <c r="K21" s="21" t="e">
        <f t="shared" ref="K21" si="21">(K20-F20)/F20</f>
        <v>#DIV/0!</v>
      </c>
      <c r="L21" s="24" t="e">
        <f>(L20-G20)/G20</f>
        <v>#DIV/0!</v>
      </c>
      <c r="M21" s="21">
        <f t="shared" ref="M21" si="22">(M20-H20)/H20</f>
        <v>-7.8115049883251964E-2</v>
      </c>
      <c r="N21" s="21">
        <f t="shared" ref="N21" si="23">(N20-I20)/I20</f>
        <v>-3.8921268398696036E-2</v>
      </c>
      <c r="O21" s="21">
        <f t="shared" ref="O21" si="24">(O20-J20)/J20</f>
        <v>-4.4677926158680284E-2</v>
      </c>
      <c r="P21" s="21">
        <f t="shared" ref="P21" si="25">(P20-K20)/K20</f>
        <v>1.7534864643150124E-2</v>
      </c>
      <c r="Q21" s="24">
        <f>(Q20-L20)/L20</f>
        <v>-3.5814695676401304E-2</v>
      </c>
      <c r="R21" s="21">
        <f t="shared" ref="R21" si="26">(R20-M20)/M20</f>
        <v>8.1740732212756163E-3</v>
      </c>
      <c r="S21" s="21">
        <f t="shared" ref="S21" si="27">(S20-N20)/N20</f>
        <v>-7.4622263336416902E-2</v>
      </c>
      <c r="T21" s="21">
        <f t="shared" ref="T21" si="28">(T20-O20)/O20</f>
        <v>-5.6120875732346594E-2</v>
      </c>
      <c r="U21" s="21">
        <f>(U20-P20)/P20</f>
        <v>-9.6946487957270983E-2</v>
      </c>
      <c r="V21" s="24">
        <f>(V20-Q20)/Q20</f>
        <v>-5.6820868468752464E-2</v>
      </c>
      <c r="W21" s="21">
        <f t="shared" ref="W21" si="29">(W20-R20)/R20</f>
        <v>-1</v>
      </c>
      <c r="X21" s="21">
        <f t="shared" ref="X21" si="30">(X20-S20)/S20</f>
        <v>-1</v>
      </c>
      <c r="Y21" s="21">
        <f t="shared" ref="Y21" si="31">(Y20-T20)/T20</f>
        <v>-1</v>
      </c>
      <c r="Z21" s="21">
        <f>(Z20-U20)/U20</f>
        <v>-1</v>
      </c>
      <c r="AA21" s="24">
        <f>(AA20-V20)/V20</f>
        <v>-1</v>
      </c>
    </row>
    <row r="22" spans="2:27" x14ac:dyDescent="0.25">
      <c r="B22" s="21" t="s">
        <v>131</v>
      </c>
      <c r="C22" s="21"/>
      <c r="D22" s="21"/>
      <c r="E22" s="21"/>
      <c r="F22" s="21"/>
      <c r="G22" s="24"/>
      <c r="H22" s="21">
        <v>0.22600000000000001</v>
      </c>
      <c r="I22" s="21">
        <v>0.11700000000000001</v>
      </c>
      <c r="J22" s="21">
        <v>5.7000000000000002E-2</v>
      </c>
      <c r="K22" s="21">
        <v>1E-3</v>
      </c>
      <c r="L22" s="24"/>
      <c r="M22" s="21">
        <v>-6.9000000000000006E-2</v>
      </c>
      <c r="N22" s="21">
        <v>-3.9E-2</v>
      </c>
      <c r="O22" s="21">
        <v>-8.0000000000000002E-3</v>
      </c>
      <c r="P22" s="21">
        <v>1.4E-2</v>
      </c>
      <c r="Q22" s="24"/>
      <c r="R22" s="21">
        <v>7.0000000000000001E-3</v>
      </c>
      <c r="S22" s="21">
        <v>6.0000000000000001E-3</v>
      </c>
      <c r="T22" s="21">
        <v>7.0000000000000001E-3</v>
      </c>
      <c r="U22" s="21">
        <v>-8.0000000000000002E-3</v>
      </c>
      <c r="V22" s="24"/>
      <c r="W22" s="21"/>
      <c r="X22" s="21"/>
      <c r="Y22" s="21"/>
      <c r="Z22" s="21"/>
      <c r="AA22" s="24"/>
    </row>
    <row r="23" spans="2:27" x14ac:dyDescent="0.25">
      <c r="B23" s="21" t="s">
        <v>133</v>
      </c>
      <c r="C23" s="21"/>
      <c r="D23" s="21"/>
      <c r="E23" s="21"/>
      <c r="F23" s="21"/>
      <c r="G23" s="24"/>
      <c r="H23" s="21">
        <v>0.26300000000000001</v>
      </c>
      <c r="I23" s="21">
        <v>0.28100000000000003</v>
      </c>
      <c r="J23" s="21">
        <v>0.30199999999999999</v>
      </c>
      <c r="K23" s="21">
        <v>0.30499999999999999</v>
      </c>
      <c r="L23" s="24"/>
      <c r="M23" s="21">
        <v>0.29899999999999999</v>
      </c>
      <c r="N23" s="21">
        <v>0.32500000000000001</v>
      </c>
      <c r="O23" s="21">
        <v>0.318</v>
      </c>
      <c r="P23" s="21">
        <v>0.32200000000000001</v>
      </c>
      <c r="Q23" s="24"/>
      <c r="R23" s="21">
        <v>0.31</v>
      </c>
      <c r="S23" s="21">
        <v>0.317</v>
      </c>
      <c r="T23" s="21">
        <v>0.32500000000000001</v>
      </c>
      <c r="U23" s="21">
        <v>0.34</v>
      </c>
      <c r="V23" s="24"/>
      <c r="W23" s="21"/>
      <c r="X23" s="21"/>
      <c r="Y23" s="21"/>
      <c r="Z23" s="21"/>
      <c r="AA23" s="24"/>
    </row>
    <row r="24" spans="2:27" x14ac:dyDescent="0.25">
      <c r="B24" s="11" t="s">
        <v>56</v>
      </c>
      <c r="C24" s="11">
        <v>563</v>
      </c>
      <c r="D24" s="11">
        <v>916</v>
      </c>
      <c r="E24" s="11">
        <v>1096</v>
      </c>
      <c r="F24" s="11">
        <v>1405</v>
      </c>
      <c r="G24" s="27">
        <f>SUM(C24:F24)</f>
        <v>3980</v>
      </c>
      <c r="H24" s="11">
        <v>1288</v>
      </c>
      <c r="I24" s="11">
        <v>1582</v>
      </c>
      <c r="J24" s="11">
        <v>1887</v>
      </c>
      <c r="K24" s="11">
        <v>1531</v>
      </c>
      <c r="L24" s="27">
        <f>SUM(H24:K24)</f>
        <v>6288</v>
      </c>
      <c r="M24" s="11">
        <v>1332</v>
      </c>
      <c r="N24" s="11">
        <v>1868</v>
      </c>
      <c r="O24" s="11">
        <v>1812</v>
      </c>
      <c r="P24" s="11">
        <v>1817</v>
      </c>
      <c r="Q24" s="27">
        <f>SUM(M24:P24)</f>
        <v>6829</v>
      </c>
      <c r="R24" s="11">
        <v>1413</v>
      </c>
      <c r="S24" s="11">
        <v>1525</v>
      </c>
      <c r="T24" s="11">
        <v>1676</v>
      </c>
      <c r="U24" s="11">
        <v>1750</v>
      </c>
      <c r="V24" s="27">
        <f>SUM(R24:U24)</f>
        <v>6364</v>
      </c>
      <c r="W24" s="11"/>
      <c r="X24" s="11"/>
      <c r="Y24" s="11"/>
      <c r="Z24" s="11"/>
      <c r="AA24" s="27">
        <f>SUM(W24:Z24)</f>
        <v>0</v>
      </c>
    </row>
    <row r="25" spans="2:27" ht="20" thickBot="1" x14ac:dyDescent="0.3">
      <c r="B25" s="22" t="s">
        <v>132</v>
      </c>
      <c r="C25" s="22"/>
      <c r="D25" s="22"/>
      <c r="E25" s="22"/>
      <c r="F25" s="22"/>
      <c r="G25" s="26" t="e">
        <f>G24/G20</f>
        <v>#DIV/0!</v>
      </c>
      <c r="H25" s="22">
        <v>0.13700000000000001</v>
      </c>
      <c r="I25" s="22">
        <v>0.156</v>
      </c>
      <c r="J25" s="22">
        <v>0.185</v>
      </c>
      <c r="K25" s="22">
        <v>0.157</v>
      </c>
      <c r="L25" s="26">
        <f>L24/L20</f>
        <v>0.15926648261188928</v>
      </c>
      <c r="M25" s="22">
        <v>0.153</v>
      </c>
      <c r="N25" s="22">
        <v>0.192</v>
      </c>
      <c r="O25" s="22">
        <v>0.186</v>
      </c>
      <c r="P25" s="22">
        <v>0.183</v>
      </c>
      <c r="Q25" s="26">
        <f>Q24/Q20</f>
        <v>0.17939422597000027</v>
      </c>
      <c r="R25" s="22">
        <v>0.161</v>
      </c>
      <c r="S25" s="22">
        <v>0.16900000000000001</v>
      </c>
      <c r="T25" s="22">
        <v>0.183</v>
      </c>
      <c r="U25" s="22">
        <v>0.19500000000000001</v>
      </c>
      <c r="V25" s="26">
        <f>V24/V20</f>
        <v>0.17725044563279857</v>
      </c>
      <c r="W25" s="22"/>
      <c r="X25" s="22"/>
      <c r="Y25" s="22"/>
      <c r="Z25" s="22"/>
      <c r="AA25" s="26" t="e">
        <f>AA24/AA20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AA86-0962-284B-AB06-6FEC823C85AD}">
  <dimension ref="B7:I18"/>
  <sheetViews>
    <sheetView showGridLines="0" topLeftCell="A5" workbookViewId="0">
      <selection activeCell="K16" sqref="K16"/>
    </sheetView>
  </sheetViews>
  <sheetFormatPr baseColWidth="10" defaultRowHeight="19" x14ac:dyDescent="0.25"/>
  <cols>
    <col min="1" max="1" width="10.83203125" style="2"/>
    <col min="2" max="2" width="32.5" style="2" customWidth="1"/>
    <col min="3" max="3" width="10.83203125" style="2"/>
    <col min="4" max="4" width="16.6640625" style="2" customWidth="1"/>
    <col min="5" max="5" width="17" style="2" customWidth="1"/>
    <col min="6" max="6" width="15.5" style="2" customWidth="1"/>
    <col min="7" max="7" width="18.1640625" style="2" customWidth="1"/>
    <col min="8" max="16384" width="10.83203125" style="2"/>
  </cols>
  <sheetData>
    <row r="7" spans="2:7" ht="26" x14ac:dyDescent="0.3">
      <c r="B7" s="31" t="s">
        <v>46</v>
      </c>
      <c r="C7" s="30"/>
      <c r="D7" s="31" t="s">
        <v>141</v>
      </c>
      <c r="E7" s="31" t="s">
        <v>142</v>
      </c>
      <c r="F7" s="31" t="s">
        <v>143</v>
      </c>
      <c r="G7" s="31" t="s">
        <v>144</v>
      </c>
    </row>
    <row r="8" spans="2:7" ht="26" x14ac:dyDescent="0.3">
      <c r="B8" s="31" t="s">
        <v>130</v>
      </c>
      <c r="C8" s="30"/>
      <c r="D8" s="33">
        <v>5000</v>
      </c>
      <c r="E8" s="30">
        <v>14</v>
      </c>
      <c r="F8" s="33">
        <f>D8*E8</f>
        <v>70000</v>
      </c>
      <c r="G8" s="34">
        <f>F8/Modell!$B$5</f>
        <v>102.35414534288638</v>
      </c>
    </row>
    <row r="9" spans="2:7" ht="26" x14ac:dyDescent="0.3">
      <c r="B9" s="31" t="s">
        <v>134</v>
      </c>
      <c r="C9" s="30"/>
      <c r="D9" s="33">
        <v>10000</v>
      </c>
      <c r="E9" s="30">
        <v>10</v>
      </c>
      <c r="F9" s="33">
        <f t="shared" ref="F9:F10" si="0">D9*E9</f>
        <v>100000</v>
      </c>
      <c r="G9" s="34">
        <f>F9/Modell!$B$5</f>
        <v>146.22020763269484</v>
      </c>
    </row>
    <row r="10" spans="2:7" ht="26" x14ac:dyDescent="0.3">
      <c r="B10" s="31" t="s">
        <v>135</v>
      </c>
      <c r="C10" s="30"/>
      <c r="D10" s="33">
        <v>6300</v>
      </c>
      <c r="E10" s="30">
        <v>14</v>
      </c>
      <c r="F10" s="33">
        <f t="shared" si="0"/>
        <v>88200</v>
      </c>
      <c r="G10" s="34">
        <f>F10/Modell!$B$5</f>
        <v>128.96622313203684</v>
      </c>
    </row>
    <row r="11" spans="2:7" ht="26" x14ac:dyDescent="0.3">
      <c r="B11" s="32"/>
      <c r="C11" s="32"/>
      <c r="D11" s="32"/>
      <c r="E11" s="32"/>
      <c r="F11" s="32"/>
      <c r="G11" s="32"/>
    </row>
    <row r="12" spans="2:7" ht="26" x14ac:dyDescent="0.3">
      <c r="B12" s="31" t="s">
        <v>157</v>
      </c>
      <c r="C12" s="29"/>
      <c r="D12" s="29"/>
      <c r="E12" s="29"/>
      <c r="F12" s="29"/>
      <c r="G12" s="37">
        <f>SUM(G8:G10)</f>
        <v>377.54057610761811</v>
      </c>
    </row>
    <row r="13" spans="2:7" x14ac:dyDescent="0.25">
      <c r="B13" s="47"/>
      <c r="C13" s="47"/>
      <c r="D13" s="47"/>
      <c r="E13" s="47"/>
      <c r="F13" s="47"/>
      <c r="G13" s="47"/>
    </row>
    <row r="14" spans="2:7" ht="26" x14ac:dyDescent="0.3">
      <c r="B14" s="30" t="s">
        <v>145</v>
      </c>
      <c r="C14" s="30"/>
      <c r="D14" s="30"/>
      <c r="E14" s="30"/>
      <c r="F14" s="33">
        <f>Modell!B8</f>
        <v>38632</v>
      </c>
      <c r="G14" s="34">
        <f>-F14/Modell!$B$5</f>
        <v>-56.487790612662671</v>
      </c>
    </row>
    <row r="15" spans="2:7" ht="26" x14ac:dyDescent="0.3">
      <c r="B15" s="30" t="s">
        <v>82</v>
      </c>
      <c r="C15" s="30"/>
      <c r="D15" s="30"/>
      <c r="E15" s="30"/>
      <c r="F15" s="33">
        <f>Modell!B7</f>
        <v>8487</v>
      </c>
      <c r="G15" s="34">
        <f>F15/Modell!$B$5</f>
        <v>12.409709021786812</v>
      </c>
    </row>
    <row r="16" spans="2:7" ht="26" x14ac:dyDescent="0.3">
      <c r="B16" s="32"/>
      <c r="C16" s="32"/>
      <c r="D16" s="32"/>
      <c r="E16" s="32"/>
      <c r="F16" s="32"/>
      <c r="G16" s="32"/>
    </row>
    <row r="17" spans="2:9" ht="26" x14ac:dyDescent="0.3">
      <c r="B17" s="31" t="s">
        <v>158</v>
      </c>
      <c r="C17" s="31"/>
      <c r="D17" s="31"/>
      <c r="E17" s="31"/>
      <c r="F17" s="31"/>
      <c r="G17" s="37">
        <f>SUM(G12:G15)</f>
        <v>333.46249451674225</v>
      </c>
    </row>
    <row r="18" spans="2:9" x14ac:dyDescent="0.25">
      <c r="I18" s="46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I23" sqref="I23"/>
    </sheetView>
  </sheetViews>
  <sheetFormatPr baseColWidth="10" defaultRowHeight="16" x14ac:dyDescent="0.2"/>
  <cols>
    <col min="3" max="3" width="33.5" customWidth="1"/>
    <col min="4" max="5" width="18.6640625" bestFit="1" customWidth="1"/>
    <col min="6" max="6" width="18.6640625" customWidth="1"/>
    <col min="7" max="7" width="20.6640625" bestFit="1" customWidth="1"/>
  </cols>
  <sheetData>
    <row r="4" spans="3:6" ht="62" x14ac:dyDescent="0.7">
      <c r="C4" s="35"/>
      <c r="D4" s="35">
        <v>2026</v>
      </c>
      <c r="E4" s="35">
        <v>2027</v>
      </c>
      <c r="F4" s="35">
        <v>2028</v>
      </c>
    </row>
    <row r="5" spans="3:6" ht="62" x14ac:dyDescent="0.7">
      <c r="C5" s="35" t="s">
        <v>146</v>
      </c>
      <c r="D5" s="36">
        <f>Modell!$B$9/Modell!AK9</f>
        <v>10.310154268598032</v>
      </c>
      <c r="E5" s="44">
        <f>Modell!$B$9/Modell!AL9</f>
        <v>9.8191945415219326</v>
      </c>
      <c r="F5" s="44">
        <f>Modell!$B$9/Modell!AM9</f>
        <v>9.3516138490685066</v>
      </c>
    </row>
    <row r="6" spans="3:6" ht="62" x14ac:dyDescent="0.7">
      <c r="C6" s="35" t="s">
        <v>29</v>
      </c>
      <c r="D6" s="36">
        <f>Modell!$B$9/Modell!AK11</f>
        <v>10.850719520534765</v>
      </c>
      <c r="E6" s="36">
        <f>Modell!$B$9/Modell!AL11</f>
        <v>10.313419107987796</v>
      </c>
      <c r="F6" s="36">
        <f>Modell!$B$9/Modell!AM11</f>
        <v>9.8035063907432267</v>
      </c>
    </row>
    <row r="7" spans="3:6" ht="62" x14ac:dyDescent="0.7">
      <c r="C7" s="35" t="s">
        <v>30</v>
      </c>
      <c r="D7" s="36">
        <f>Modell!$B$4/Modell!AK18</f>
        <v>11.55097013550431</v>
      </c>
      <c r="E7" s="44">
        <f>Modell!$B$4/Modell!AL18</f>
        <v>10.978995069023343</v>
      </c>
      <c r="F7" s="36">
        <f>Modell!$B$4/Modell!AM18</f>
        <v>10.43617516132421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Q24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W26" sqref="W26"/>
    </sheetView>
  </sheetViews>
  <sheetFormatPr baseColWidth="10" defaultRowHeight="19" x14ac:dyDescent="0.25"/>
  <cols>
    <col min="1" max="1" width="10.83203125" style="2"/>
    <col min="2" max="2" width="19" style="3" customWidth="1"/>
    <col min="3" max="3" width="35.33203125" style="2" customWidth="1"/>
    <col min="4" max="13" width="10.83203125" style="2"/>
    <col min="14" max="14" width="10.83203125" style="3"/>
    <col min="15" max="25" width="10.83203125" style="2"/>
    <col min="26" max="26" width="14.33203125" style="2" bestFit="1" customWidth="1"/>
    <col min="27" max="27" width="14.5" style="2" bestFit="1" customWidth="1"/>
    <col min="28" max="16384" width="10.83203125" style="2"/>
  </cols>
  <sheetData>
    <row r="3" spans="1:225" x14ac:dyDescent="0.25">
      <c r="A3" s="1" t="s">
        <v>40</v>
      </c>
      <c r="D3" s="4" t="s">
        <v>41</v>
      </c>
      <c r="E3" s="4" t="s">
        <v>42</v>
      </c>
      <c r="F3" s="4" t="s">
        <v>43</v>
      </c>
      <c r="G3" s="4" t="s">
        <v>44</v>
      </c>
      <c r="H3" s="4" t="s">
        <v>32</v>
      </c>
      <c r="I3" s="4" t="s">
        <v>33</v>
      </c>
      <c r="J3" s="4" t="s">
        <v>34</v>
      </c>
      <c r="K3" s="4" t="s">
        <v>15</v>
      </c>
      <c r="L3" s="4" t="s">
        <v>16</v>
      </c>
      <c r="M3" s="4" t="s">
        <v>17</v>
      </c>
      <c r="N3" s="5" t="s">
        <v>18</v>
      </c>
      <c r="O3" s="4" t="s">
        <v>19</v>
      </c>
      <c r="P3" s="4" t="s">
        <v>20</v>
      </c>
      <c r="Q3" s="4" t="s">
        <v>21</v>
      </c>
      <c r="R3" s="4" t="s">
        <v>22</v>
      </c>
      <c r="S3" s="4" t="s">
        <v>23</v>
      </c>
      <c r="T3" s="4" t="s">
        <v>24</v>
      </c>
      <c r="U3" s="4" t="s">
        <v>25</v>
      </c>
      <c r="V3" s="4" t="s">
        <v>26</v>
      </c>
      <c r="W3" s="4" t="s">
        <v>27</v>
      </c>
      <c r="X3" s="4" t="s">
        <v>28</v>
      </c>
    </row>
    <row r="4" spans="1:225" x14ac:dyDescent="0.25">
      <c r="A4" s="1" t="s">
        <v>153</v>
      </c>
      <c r="C4" s="1" t="s">
        <v>51</v>
      </c>
      <c r="D4" s="10">
        <v>98519</v>
      </c>
      <c r="E4" s="10">
        <v>101238</v>
      </c>
      <c r="F4" s="10">
        <v>109265</v>
      </c>
      <c r="G4" s="10">
        <v>118500</v>
      </c>
      <c r="H4" s="10">
        <v>128975</v>
      </c>
      <c r="I4" s="10">
        <v>121752</v>
      </c>
      <c r="J4" s="10">
        <v>121867</v>
      </c>
      <c r="K4" s="10">
        <v>156173</v>
      </c>
      <c r="L4" s="10">
        <v>147147</v>
      </c>
      <c r="M4" s="10">
        <v>145546</v>
      </c>
      <c r="N4" s="12">
        <v>138494</v>
      </c>
      <c r="O4" s="10">
        <f>N4*1</f>
        <v>138494</v>
      </c>
      <c r="P4" s="10">
        <f t="shared" ref="P4:X4" si="0">O4*1</f>
        <v>138494</v>
      </c>
      <c r="Q4" s="10">
        <f t="shared" si="0"/>
        <v>138494</v>
      </c>
      <c r="R4" s="10">
        <f t="shared" si="0"/>
        <v>138494</v>
      </c>
      <c r="S4" s="10">
        <f t="shared" si="0"/>
        <v>138494</v>
      </c>
      <c r="T4" s="10">
        <f t="shared" si="0"/>
        <v>138494</v>
      </c>
      <c r="U4" s="10">
        <f t="shared" si="0"/>
        <v>138494</v>
      </c>
      <c r="V4" s="10">
        <f t="shared" si="0"/>
        <v>138494</v>
      </c>
      <c r="W4" s="10">
        <f t="shared" si="0"/>
        <v>138494</v>
      </c>
      <c r="X4" s="10">
        <f t="shared" si="0"/>
        <v>138494</v>
      </c>
    </row>
    <row r="5" spans="1:225" x14ac:dyDescent="0.25">
      <c r="A5" s="43">
        <f>AA23</f>
        <v>192.41355433448811</v>
      </c>
      <c r="C5" s="2" t="s">
        <v>52</v>
      </c>
      <c r="D5" s="11">
        <f>-71960-267</f>
        <v>-72227</v>
      </c>
      <c r="E5" s="11">
        <f>-72476-532</f>
        <v>-73008</v>
      </c>
      <c r="F5" s="11">
        <f>-76899-509</f>
        <v>-77408</v>
      </c>
      <c r="G5" s="11">
        <f>-85058-1437</f>
        <v>-86495</v>
      </c>
      <c r="H5" s="11">
        <f>-90876-243</f>
        <v>-91119</v>
      </c>
      <c r="I5" s="11">
        <f>-82132-181</f>
        <v>-82313</v>
      </c>
      <c r="J5" s="11">
        <f>-86628-146</f>
        <v>-86774</v>
      </c>
      <c r="K5" s="11">
        <f>-117046-1899</f>
        <v>-118945</v>
      </c>
      <c r="L5" s="11">
        <v>-102627</v>
      </c>
      <c r="M5" s="11">
        <v>-97929</v>
      </c>
      <c r="N5" s="13">
        <v>-92351</v>
      </c>
      <c r="O5" s="11">
        <f>O4*-0.7</f>
        <v>-96945.799999999988</v>
      </c>
      <c r="P5" s="11">
        <f t="shared" ref="P5:X5" si="1">P4*-0.7</f>
        <v>-96945.799999999988</v>
      </c>
      <c r="Q5" s="11">
        <f t="shared" si="1"/>
        <v>-96945.799999999988</v>
      </c>
      <c r="R5" s="11">
        <f t="shared" si="1"/>
        <v>-96945.799999999988</v>
      </c>
      <c r="S5" s="11">
        <f t="shared" si="1"/>
        <v>-96945.799999999988</v>
      </c>
      <c r="T5" s="11">
        <f t="shared" si="1"/>
        <v>-96945.799999999988</v>
      </c>
      <c r="U5" s="11">
        <f t="shared" si="1"/>
        <v>-96945.799999999988</v>
      </c>
      <c r="V5" s="11">
        <f t="shared" si="1"/>
        <v>-96945.799999999988</v>
      </c>
      <c r="W5" s="11">
        <f t="shared" si="1"/>
        <v>-96945.799999999988</v>
      </c>
      <c r="X5" s="11">
        <f t="shared" si="1"/>
        <v>-96945.799999999988</v>
      </c>
    </row>
    <row r="6" spans="1:225" x14ac:dyDescent="0.25">
      <c r="A6" s="17">
        <f>AA24</f>
        <v>-0.23947211725498771</v>
      </c>
      <c r="C6" s="2" t="s">
        <v>53</v>
      </c>
      <c r="D6" s="11">
        <f t="shared" ref="D6:M6" si="2">SUM(D4:D5)</f>
        <v>26292</v>
      </c>
      <c r="E6" s="11">
        <f t="shared" si="2"/>
        <v>28230</v>
      </c>
      <c r="F6" s="11">
        <f t="shared" si="2"/>
        <v>31857</v>
      </c>
      <c r="G6" s="11">
        <f t="shared" si="2"/>
        <v>32005</v>
      </c>
      <c r="H6" s="11">
        <f t="shared" si="2"/>
        <v>37856</v>
      </c>
      <c r="I6" s="11">
        <f t="shared" si="2"/>
        <v>39439</v>
      </c>
      <c r="J6" s="11">
        <f t="shared" si="2"/>
        <v>35093</v>
      </c>
      <c r="K6" s="11">
        <f t="shared" si="2"/>
        <v>37228</v>
      </c>
      <c r="L6" s="11">
        <f t="shared" si="2"/>
        <v>44520</v>
      </c>
      <c r="M6" s="11">
        <f t="shared" si="2"/>
        <v>47617</v>
      </c>
      <c r="N6" s="13">
        <f t="shared" ref="N6:X6" si="3">SUM(N4:N5)</f>
        <v>46143</v>
      </c>
      <c r="O6" s="11">
        <f t="shared" si="3"/>
        <v>41548.200000000012</v>
      </c>
      <c r="P6" s="11">
        <f t="shared" si="3"/>
        <v>41548.200000000012</v>
      </c>
      <c r="Q6" s="11">
        <f t="shared" si="3"/>
        <v>41548.200000000012</v>
      </c>
      <c r="R6" s="11">
        <f t="shared" si="3"/>
        <v>41548.200000000012</v>
      </c>
      <c r="S6" s="11">
        <f t="shared" si="3"/>
        <v>41548.200000000012</v>
      </c>
      <c r="T6" s="11">
        <f t="shared" si="3"/>
        <v>41548.200000000012</v>
      </c>
      <c r="U6" s="11">
        <f t="shared" si="3"/>
        <v>41548.200000000012</v>
      </c>
      <c r="V6" s="11">
        <f t="shared" si="3"/>
        <v>41548.200000000012</v>
      </c>
      <c r="W6" s="11">
        <f t="shared" si="3"/>
        <v>41548.200000000012</v>
      </c>
      <c r="X6" s="11">
        <f t="shared" si="3"/>
        <v>41548.200000000012</v>
      </c>
    </row>
    <row r="7" spans="1:225" x14ac:dyDescent="0.25">
      <c r="C7" s="2" t="s">
        <v>54</v>
      </c>
      <c r="D7" s="11">
        <f>-16287-519</f>
        <v>-16806</v>
      </c>
      <c r="E7" s="11">
        <f>-17086-2293</f>
        <v>-19379</v>
      </c>
      <c r="F7" s="11">
        <f>-19130-346</f>
        <v>-19476</v>
      </c>
      <c r="G7" s="11">
        <f>-20570+62</f>
        <v>-20508</v>
      </c>
      <c r="H7" s="11">
        <f>-22319-470</f>
        <v>-22789</v>
      </c>
      <c r="I7" s="11">
        <f>-22088+122</f>
        <v>-21966</v>
      </c>
      <c r="J7" s="11">
        <f>-21617+517</f>
        <v>-21100</v>
      </c>
      <c r="K7" s="11">
        <f>-26107-272</f>
        <v>-26379</v>
      </c>
      <c r="L7" s="11">
        <v>-25661</v>
      </c>
      <c r="M7" s="11">
        <v>-27351</v>
      </c>
      <c r="N7" s="13">
        <v>-26571</v>
      </c>
      <c r="O7" s="11">
        <f>N7*1</f>
        <v>-26571</v>
      </c>
      <c r="P7" s="11">
        <f t="shared" ref="P7:X7" si="4">O7*1</f>
        <v>-26571</v>
      </c>
      <c r="Q7" s="11">
        <f t="shared" si="4"/>
        <v>-26571</v>
      </c>
      <c r="R7" s="11">
        <f t="shared" si="4"/>
        <v>-26571</v>
      </c>
      <c r="S7" s="11">
        <f t="shared" si="4"/>
        <v>-26571</v>
      </c>
      <c r="T7" s="11">
        <f t="shared" si="4"/>
        <v>-26571</v>
      </c>
      <c r="U7" s="11">
        <f t="shared" si="4"/>
        <v>-26571</v>
      </c>
      <c r="V7" s="11">
        <f t="shared" si="4"/>
        <v>-26571</v>
      </c>
      <c r="W7" s="11">
        <f t="shared" si="4"/>
        <v>-26571</v>
      </c>
      <c r="X7" s="11">
        <f t="shared" si="4"/>
        <v>-26571</v>
      </c>
    </row>
    <row r="8" spans="1:225" x14ac:dyDescent="0.25">
      <c r="C8" s="2" t="s">
        <v>55</v>
      </c>
      <c r="D8" s="11">
        <v>198</v>
      </c>
      <c r="E8" s="11">
        <v>157</v>
      </c>
      <c r="F8" s="11">
        <v>169</v>
      </c>
      <c r="G8" s="11">
        <v>63</v>
      </c>
      <c r="H8" s="11">
        <v>60</v>
      </c>
      <c r="I8" s="11">
        <v>94</v>
      </c>
      <c r="J8" s="11">
        <v>58</v>
      </c>
      <c r="K8" s="11">
        <v>38</v>
      </c>
      <c r="L8" s="11">
        <v>39</v>
      </c>
      <c r="M8" s="11">
        <v>78</v>
      </c>
      <c r="N8" s="13">
        <v>0</v>
      </c>
      <c r="O8" s="11">
        <f>N8*1.03</f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</row>
    <row r="9" spans="1:225" x14ac:dyDescent="0.25">
      <c r="C9" s="1" t="s">
        <v>56</v>
      </c>
      <c r="D9" s="10">
        <f t="shared" ref="D9:M9" si="5">SUM(D6:D8)</f>
        <v>9684</v>
      </c>
      <c r="E9" s="10">
        <f t="shared" si="5"/>
        <v>9008</v>
      </c>
      <c r="F9" s="10">
        <f t="shared" si="5"/>
        <v>12550</v>
      </c>
      <c r="G9" s="10">
        <f t="shared" si="5"/>
        <v>11560</v>
      </c>
      <c r="H9" s="10">
        <f t="shared" si="5"/>
        <v>15127</v>
      </c>
      <c r="I9" s="10">
        <f t="shared" si="5"/>
        <v>17567</v>
      </c>
      <c r="J9" s="10">
        <f t="shared" si="5"/>
        <v>14051</v>
      </c>
      <c r="K9" s="10">
        <f t="shared" si="5"/>
        <v>10887</v>
      </c>
      <c r="L9" s="10">
        <f t="shared" si="5"/>
        <v>18898</v>
      </c>
      <c r="M9" s="10">
        <f t="shared" si="5"/>
        <v>20344</v>
      </c>
      <c r="N9" s="12">
        <f t="shared" ref="N9:X9" si="6">SUM(N6:N8)</f>
        <v>19572</v>
      </c>
      <c r="O9" s="10">
        <f t="shared" si="6"/>
        <v>14977.200000000012</v>
      </c>
      <c r="P9" s="10">
        <f t="shared" si="6"/>
        <v>14977.200000000012</v>
      </c>
      <c r="Q9" s="10">
        <f t="shared" si="6"/>
        <v>14977.200000000012</v>
      </c>
      <c r="R9" s="10">
        <f t="shared" si="6"/>
        <v>14977.200000000012</v>
      </c>
      <c r="S9" s="10">
        <f t="shared" si="6"/>
        <v>14977.200000000012</v>
      </c>
      <c r="T9" s="10">
        <f t="shared" si="6"/>
        <v>14977.200000000012</v>
      </c>
      <c r="U9" s="10">
        <f t="shared" si="6"/>
        <v>14977.200000000012</v>
      </c>
      <c r="V9" s="10">
        <f t="shared" si="6"/>
        <v>14977.200000000012</v>
      </c>
      <c r="W9" s="10">
        <f t="shared" si="6"/>
        <v>14977.200000000012</v>
      </c>
      <c r="X9" s="10">
        <f t="shared" si="6"/>
        <v>14977.200000000012</v>
      </c>
    </row>
    <row r="10" spans="1:225" x14ac:dyDescent="0.25">
      <c r="C10" s="2" t="s">
        <v>57</v>
      </c>
      <c r="D10" s="11">
        <v>0</v>
      </c>
      <c r="E10" s="11">
        <v>0</v>
      </c>
      <c r="F10" s="11">
        <f>-560-85</f>
        <v>-645</v>
      </c>
      <c r="G10" s="11">
        <f>-732-69</f>
        <v>-801</v>
      </c>
      <c r="H10" s="11">
        <v>-778</v>
      </c>
      <c r="I10" s="11">
        <v>-809</v>
      </c>
      <c r="J10" s="11">
        <v>-852</v>
      </c>
      <c r="K10" s="11">
        <f>-1116-292</f>
        <v>-1408</v>
      </c>
      <c r="L10" s="11">
        <v>-1109</v>
      </c>
      <c r="M10" s="11">
        <v>-1110</v>
      </c>
      <c r="N10" s="13">
        <v>-972</v>
      </c>
      <c r="O10" s="11">
        <f>N10*1.01</f>
        <v>-981.72</v>
      </c>
      <c r="P10" s="11">
        <f t="shared" ref="P10:X10" si="7">O10*1.01</f>
        <v>-991.53719999999998</v>
      </c>
      <c r="Q10" s="11">
        <f t="shared" si="7"/>
        <v>-1001.452572</v>
      </c>
      <c r="R10" s="11">
        <f t="shared" si="7"/>
        <v>-1011.4670977200001</v>
      </c>
      <c r="S10" s="11">
        <f t="shared" si="7"/>
        <v>-1021.5817686972001</v>
      </c>
      <c r="T10" s="11">
        <f t="shared" si="7"/>
        <v>-1031.7975863841721</v>
      </c>
      <c r="U10" s="11">
        <f t="shared" si="7"/>
        <v>-1042.1155622480137</v>
      </c>
      <c r="V10" s="11">
        <f t="shared" si="7"/>
        <v>-1052.5367178704939</v>
      </c>
      <c r="W10" s="11">
        <f t="shared" si="7"/>
        <v>-1063.0620850491989</v>
      </c>
      <c r="X10" s="11">
        <f t="shared" si="7"/>
        <v>-1073.692705899691</v>
      </c>
    </row>
    <row r="11" spans="1:225" x14ac:dyDescent="0.25">
      <c r="C11" s="1" t="s">
        <v>58</v>
      </c>
      <c r="D11" s="10">
        <f t="shared" ref="D11:M11" si="8">SUM(D9:D10)</f>
        <v>9684</v>
      </c>
      <c r="E11" s="10">
        <f t="shared" si="8"/>
        <v>9008</v>
      </c>
      <c r="F11" s="10">
        <f t="shared" si="8"/>
        <v>11905</v>
      </c>
      <c r="G11" s="10">
        <f t="shared" si="8"/>
        <v>10759</v>
      </c>
      <c r="H11" s="10">
        <f t="shared" si="8"/>
        <v>14349</v>
      </c>
      <c r="I11" s="10">
        <f t="shared" si="8"/>
        <v>16758</v>
      </c>
      <c r="J11" s="10">
        <f t="shared" si="8"/>
        <v>13199</v>
      </c>
      <c r="K11" s="10">
        <f t="shared" si="8"/>
        <v>9479</v>
      </c>
      <c r="L11" s="10">
        <f t="shared" si="8"/>
        <v>17789</v>
      </c>
      <c r="M11" s="10">
        <f t="shared" si="8"/>
        <v>19234</v>
      </c>
      <c r="N11" s="12">
        <f t="shared" ref="N11:X11" si="9">SUM(N9:N10)</f>
        <v>18600</v>
      </c>
      <c r="O11" s="10">
        <f t="shared" si="9"/>
        <v>13995.480000000012</v>
      </c>
      <c r="P11" s="10">
        <f t="shared" si="9"/>
        <v>13985.662800000011</v>
      </c>
      <c r="Q11" s="10">
        <f t="shared" si="9"/>
        <v>13975.747428000011</v>
      </c>
      <c r="R11" s="10">
        <f t="shared" si="9"/>
        <v>13965.732902280011</v>
      </c>
      <c r="S11" s="10">
        <f t="shared" si="9"/>
        <v>13955.618231302811</v>
      </c>
      <c r="T11" s="10">
        <f t="shared" si="9"/>
        <v>13945.40241361584</v>
      </c>
      <c r="U11" s="10">
        <f t="shared" si="9"/>
        <v>13935.084437751997</v>
      </c>
      <c r="V11" s="10">
        <f t="shared" si="9"/>
        <v>13924.663282129517</v>
      </c>
      <c r="W11" s="10">
        <f t="shared" si="9"/>
        <v>13914.137914950812</v>
      </c>
      <c r="X11" s="10">
        <f t="shared" si="9"/>
        <v>13903.50729410032</v>
      </c>
    </row>
    <row r="12" spans="1:225" x14ac:dyDescent="0.25">
      <c r="C12" s="2" t="s">
        <v>59</v>
      </c>
      <c r="D12" s="2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412</v>
      </c>
      <c r="M12" s="11">
        <v>593</v>
      </c>
      <c r="N12" s="13">
        <v>14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</row>
    <row r="13" spans="1:225" x14ac:dyDescent="0.25">
      <c r="C13" s="2" t="s">
        <v>60</v>
      </c>
      <c r="D13" s="11">
        <f>312-1140</f>
        <v>-828</v>
      </c>
      <c r="E13" s="11">
        <f>202-1037</f>
        <v>-835</v>
      </c>
      <c r="F13" s="11">
        <f>158-1340</f>
        <v>-1182</v>
      </c>
      <c r="G13" s="11">
        <f>91-1248</f>
        <v>-1157</v>
      </c>
      <c r="H13" s="11">
        <f>106-1415</f>
        <v>-1309</v>
      </c>
      <c r="I13" s="11">
        <f>108-1066</f>
        <v>-958</v>
      </c>
      <c r="J13" s="11">
        <f>102-764</f>
        <v>-662</v>
      </c>
      <c r="K13" s="11">
        <f>173-1543</f>
        <v>-1370</v>
      </c>
      <c r="L13" s="11">
        <v>-2768</v>
      </c>
      <c r="M13" s="11">
        <v>-2524</v>
      </c>
      <c r="N13" s="13">
        <v>-1384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</row>
    <row r="14" spans="1:225" x14ac:dyDescent="0.25">
      <c r="C14" s="2" t="s">
        <v>61</v>
      </c>
      <c r="D14" s="11">
        <f t="shared" ref="D14:M14" si="10">SUM(D11:D13)</f>
        <v>8856</v>
      </c>
      <c r="E14" s="11">
        <f t="shared" si="10"/>
        <v>8173</v>
      </c>
      <c r="F14" s="11">
        <f t="shared" si="10"/>
        <v>10723</v>
      </c>
      <c r="G14" s="11">
        <f t="shared" si="10"/>
        <v>9602</v>
      </c>
      <c r="H14" s="11">
        <f t="shared" si="10"/>
        <v>13040</v>
      </c>
      <c r="I14" s="11">
        <f t="shared" si="10"/>
        <v>15800</v>
      </c>
      <c r="J14" s="11">
        <f t="shared" si="10"/>
        <v>12537</v>
      </c>
      <c r="K14" s="11">
        <f t="shared" si="10"/>
        <v>8109</v>
      </c>
      <c r="L14" s="11">
        <f t="shared" si="10"/>
        <v>15433</v>
      </c>
      <c r="M14" s="11">
        <f t="shared" si="10"/>
        <v>17303</v>
      </c>
      <c r="N14" s="13">
        <f t="shared" ref="N14:X14" si="11">SUM(N11:N13)</f>
        <v>17230</v>
      </c>
      <c r="O14" s="11">
        <f t="shared" si="11"/>
        <v>13995.480000000012</v>
      </c>
      <c r="P14" s="11">
        <f t="shared" si="11"/>
        <v>13985.662800000011</v>
      </c>
      <c r="Q14" s="11">
        <f t="shared" si="11"/>
        <v>13975.747428000011</v>
      </c>
      <c r="R14" s="11">
        <f t="shared" si="11"/>
        <v>13965.732902280011</v>
      </c>
      <c r="S14" s="11">
        <f t="shared" si="11"/>
        <v>13955.618231302811</v>
      </c>
      <c r="T14" s="11">
        <f t="shared" si="11"/>
        <v>13945.40241361584</v>
      </c>
      <c r="U14" s="11">
        <f t="shared" si="11"/>
        <v>13935.084437751997</v>
      </c>
      <c r="V14" s="11">
        <f t="shared" si="11"/>
        <v>13924.663282129517</v>
      </c>
      <c r="W14" s="11">
        <f t="shared" si="11"/>
        <v>13914.137914950812</v>
      </c>
      <c r="X14" s="11">
        <f t="shared" si="11"/>
        <v>13903.50729410032</v>
      </c>
    </row>
    <row r="15" spans="1:225" x14ac:dyDescent="0.25">
      <c r="C15" s="2" t="s">
        <v>62</v>
      </c>
      <c r="D15" s="11">
        <v>-2278</v>
      </c>
      <c r="E15" s="11">
        <v>-3931</v>
      </c>
      <c r="F15" s="11">
        <v>-1938</v>
      </c>
      <c r="G15" s="11">
        <v>-1050</v>
      </c>
      <c r="H15" s="11">
        <v>-2828</v>
      </c>
      <c r="I15" s="11">
        <v>-4053</v>
      </c>
      <c r="J15" s="11">
        <v>-2727</v>
      </c>
      <c r="K15" s="11">
        <v>-2045</v>
      </c>
      <c r="L15" s="11">
        <v>-3275</v>
      </c>
      <c r="M15" s="11">
        <v>-4331</v>
      </c>
      <c r="N15" s="13">
        <v>-4443</v>
      </c>
      <c r="O15" s="11">
        <f>O14*-0.2</f>
        <v>-2799.0960000000027</v>
      </c>
      <c r="P15" s="11">
        <f t="shared" ref="P15:X15" si="12">P14*-0.2</f>
        <v>-2797.1325600000023</v>
      </c>
      <c r="Q15" s="11">
        <f t="shared" si="12"/>
        <v>-2795.1494856000027</v>
      </c>
      <c r="R15" s="11">
        <f t="shared" si="12"/>
        <v>-2793.1465804560025</v>
      </c>
      <c r="S15" s="11">
        <f t="shared" si="12"/>
        <v>-2791.1236462605625</v>
      </c>
      <c r="T15" s="11">
        <f t="shared" si="12"/>
        <v>-2789.0804827231682</v>
      </c>
      <c r="U15" s="11">
        <f t="shared" si="12"/>
        <v>-2787.0168875503996</v>
      </c>
      <c r="V15" s="11">
        <f t="shared" si="12"/>
        <v>-2784.9326564259036</v>
      </c>
      <c r="W15" s="11">
        <f t="shared" si="12"/>
        <v>-2782.8275829901627</v>
      </c>
      <c r="X15" s="11">
        <f t="shared" si="12"/>
        <v>-2780.7014588200641</v>
      </c>
    </row>
    <row r="16" spans="1:225" x14ac:dyDescent="0.25">
      <c r="C16" s="1" t="s">
        <v>63</v>
      </c>
      <c r="D16" s="10">
        <f t="shared" ref="D16:M16" si="13">SUM(D14:D15)</f>
        <v>6578</v>
      </c>
      <c r="E16" s="10">
        <f t="shared" si="13"/>
        <v>4242</v>
      </c>
      <c r="F16" s="10">
        <f t="shared" si="13"/>
        <v>8785</v>
      </c>
      <c r="G16" s="10">
        <f t="shared" si="13"/>
        <v>8552</v>
      </c>
      <c r="H16" s="10">
        <f t="shared" si="13"/>
        <v>10212</v>
      </c>
      <c r="I16" s="10">
        <f t="shared" si="13"/>
        <v>11747</v>
      </c>
      <c r="J16" s="10">
        <f t="shared" si="13"/>
        <v>9810</v>
      </c>
      <c r="K16" s="10">
        <f t="shared" si="13"/>
        <v>6064</v>
      </c>
      <c r="L16" s="10">
        <f t="shared" si="13"/>
        <v>12158</v>
      </c>
      <c r="M16" s="10">
        <f t="shared" si="13"/>
        <v>12972</v>
      </c>
      <c r="N16" s="12">
        <f t="shared" ref="N16:X16" si="14">SUM(N14:N15)</f>
        <v>12787</v>
      </c>
      <c r="O16" s="10">
        <f t="shared" si="14"/>
        <v>11196.384000000009</v>
      </c>
      <c r="P16" s="10">
        <f t="shared" si="14"/>
        <v>11188.530240000009</v>
      </c>
      <c r="Q16" s="10">
        <f t="shared" si="14"/>
        <v>11180.597942400009</v>
      </c>
      <c r="R16" s="10">
        <f t="shared" si="14"/>
        <v>11172.586321824008</v>
      </c>
      <c r="S16" s="10">
        <f t="shared" si="14"/>
        <v>11164.494585042248</v>
      </c>
      <c r="T16" s="10">
        <f t="shared" si="14"/>
        <v>11156.321930892673</v>
      </c>
      <c r="U16" s="10">
        <f t="shared" si="14"/>
        <v>11148.067550201598</v>
      </c>
      <c r="V16" s="10">
        <f t="shared" si="14"/>
        <v>11139.730625703614</v>
      </c>
      <c r="W16" s="10">
        <f t="shared" si="14"/>
        <v>11131.310331960649</v>
      </c>
      <c r="X16" s="10">
        <f t="shared" si="14"/>
        <v>11122.805835280256</v>
      </c>
      <c r="Y16" s="10">
        <f>X16*(1+$AA$20)</f>
        <v>11011.577776927454</v>
      </c>
      <c r="Z16" s="10">
        <f t="shared" ref="Z16:CK16" si="15">Y16*(1+$AA$20)</f>
        <v>10901.461999158179</v>
      </c>
      <c r="AA16" s="10">
        <f t="shared" si="15"/>
        <v>10792.447379166597</v>
      </c>
      <c r="AB16" s="10">
        <f t="shared" si="15"/>
        <v>10684.52290537493</v>
      </c>
      <c r="AC16" s="10">
        <f t="shared" si="15"/>
        <v>10577.67767632118</v>
      </c>
      <c r="AD16" s="10">
        <f t="shared" si="15"/>
        <v>10471.900899557968</v>
      </c>
      <c r="AE16" s="10">
        <f t="shared" si="15"/>
        <v>10367.181890562388</v>
      </c>
      <c r="AF16" s="10">
        <f t="shared" si="15"/>
        <v>10263.510071656763</v>
      </c>
      <c r="AG16" s="10">
        <f t="shared" si="15"/>
        <v>10160.874970940195</v>
      </c>
      <c r="AH16" s="10">
        <f t="shared" si="15"/>
        <v>10059.266221230793</v>
      </c>
      <c r="AI16" s="10">
        <f t="shared" si="15"/>
        <v>9958.6735590184853</v>
      </c>
      <c r="AJ16" s="10">
        <f t="shared" si="15"/>
        <v>9859.0868234283007</v>
      </c>
      <c r="AK16" s="10">
        <f t="shared" si="15"/>
        <v>9760.4959551940174</v>
      </c>
      <c r="AL16" s="10">
        <f t="shared" si="15"/>
        <v>9662.8909956420775</v>
      </c>
      <c r="AM16" s="10">
        <f t="shared" si="15"/>
        <v>9566.2620856856574</v>
      </c>
      <c r="AN16" s="10">
        <f t="shared" si="15"/>
        <v>9470.5994648288015</v>
      </c>
      <c r="AO16" s="10">
        <f t="shared" si="15"/>
        <v>9375.8934701805138</v>
      </c>
      <c r="AP16" s="10">
        <f t="shared" si="15"/>
        <v>9282.1345354787081</v>
      </c>
      <c r="AQ16" s="10">
        <f t="shared" si="15"/>
        <v>9189.3131901239212</v>
      </c>
      <c r="AR16" s="10">
        <f t="shared" si="15"/>
        <v>9097.4200582226822</v>
      </c>
      <c r="AS16" s="10">
        <f t="shared" si="15"/>
        <v>9006.4458576404559</v>
      </c>
      <c r="AT16" s="10">
        <f t="shared" si="15"/>
        <v>8916.3813990640519</v>
      </c>
      <c r="AU16" s="10">
        <f t="shared" si="15"/>
        <v>8827.2175850734111</v>
      </c>
      <c r="AV16" s="10">
        <f t="shared" si="15"/>
        <v>8738.945409222677</v>
      </c>
      <c r="AW16" s="10">
        <f t="shared" si="15"/>
        <v>8651.5559551304505</v>
      </c>
      <c r="AX16" s="10">
        <f t="shared" si="15"/>
        <v>8565.0403955791462</v>
      </c>
      <c r="AY16" s="10">
        <f t="shared" si="15"/>
        <v>8479.3899916233549</v>
      </c>
      <c r="AZ16" s="10">
        <f t="shared" si="15"/>
        <v>8394.5960917071206</v>
      </c>
      <c r="BA16" s="10">
        <f t="shared" si="15"/>
        <v>8310.6501307900489</v>
      </c>
      <c r="BB16" s="10">
        <f t="shared" si="15"/>
        <v>8227.5436294821484</v>
      </c>
      <c r="BC16" s="10">
        <f t="shared" si="15"/>
        <v>8145.2681931873267</v>
      </c>
      <c r="BD16" s="10">
        <f t="shared" si="15"/>
        <v>8063.8155112554532</v>
      </c>
      <c r="BE16" s="10">
        <f t="shared" si="15"/>
        <v>7983.177356142899</v>
      </c>
      <c r="BF16" s="10">
        <f t="shared" si="15"/>
        <v>7903.3455825814699</v>
      </c>
      <c r="BG16" s="10">
        <f t="shared" si="15"/>
        <v>7824.3121267556553</v>
      </c>
      <c r="BH16" s="10">
        <f t="shared" si="15"/>
        <v>7746.0690054880988</v>
      </c>
      <c r="BI16" s="10">
        <f t="shared" si="15"/>
        <v>7668.6083154332182</v>
      </c>
      <c r="BJ16" s="10">
        <f t="shared" si="15"/>
        <v>7591.9222322788855</v>
      </c>
      <c r="BK16" s="10">
        <f t="shared" si="15"/>
        <v>7516.0030099560963</v>
      </c>
      <c r="BL16" s="10">
        <f t="shared" si="15"/>
        <v>7440.8429798565348</v>
      </c>
      <c r="BM16" s="10">
        <f t="shared" si="15"/>
        <v>7366.4345500579693</v>
      </c>
      <c r="BN16" s="10">
        <f t="shared" si="15"/>
        <v>7292.7702045573897</v>
      </c>
      <c r="BO16" s="10">
        <f t="shared" si="15"/>
        <v>7219.8425025118158</v>
      </c>
      <c r="BP16" s="10">
        <f t="shared" si="15"/>
        <v>7147.6440774866978</v>
      </c>
      <c r="BQ16" s="10">
        <f t="shared" si="15"/>
        <v>7076.1676367118307</v>
      </c>
      <c r="BR16" s="10">
        <f t="shared" si="15"/>
        <v>7005.4059603447122</v>
      </c>
      <c r="BS16" s="10">
        <f t="shared" si="15"/>
        <v>6935.3519007412651</v>
      </c>
      <c r="BT16" s="10">
        <f t="shared" si="15"/>
        <v>6865.9983817338525</v>
      </c>
      <c r="BU16" s="10">
        <f t="shared" si="15"/>
        <v>6797.3383979165137</v>
      </c>
      <c r="BV16" s="10">
        <f t="shared" si="15"/>
        <v>6729.3650139373485</v>
      </c>
      <c r="BW16" s="10">
        <f t="shared" si="15"/>
        <v>6662.0713637979752</v>
      </c>
      <c r="BX16" s="10">
        <f t="shared" si="15"/>
        <v>6595.4506501599953</v>
      </c>
      <c r="BY16" s="10">
        <f t="shared" si="15"/>
        <v>6529.4961436583953</v>
      </c>
      <c r="BZ16" s="10">
        <f t="shared" si="15"/>
        <v>6464.201182221811</v>
      </c>
      <c r="CA16" s="10">
        <f t="shared" si="15"/>
        <v>6399.5591703995924</v>
      </c>
      <c r="CB16" s="10">
        <f t="shared" si="15"/>
        <v>6335.5635786955963</v>
      </c>
      <c r="CC16" s="10">
        <f t="shared" si="15"/>
        <v>6272.2079429086407</v>
      </c>
      <c r="CD16" s="10">
        <f t="shared" si="15"/>
        <v>6209.4858634795546</v>
      </c>
      <c r="CE16" s="10">
        <f t="shared" si="15"/>
        <v>6147.3910048447588</v>
      </c>
      <c r="CF16" s="10">
        <f t="shared" si="15"/>
        <v>6085.9170947963112</v>
      </c>
      <c r="CG16" s="10">
        <f t="shared" si="15"/>
        <v>6025.0579238483479</v>
      </c>
      <c r="CH16" s="10">
        <f t="shared" si="15"/>
        <v>5964.8073446098642</v>
      </c>
      <c r="CI16" s="10">
        <f t="shared" si="15"/>
        <v>5905.1592711637659</v>
      </c>
      <c r="CJ16" s="10">
        <f t="shared" si="15"/>
        <v>5846.1076784521283</v>
      </c>
      <c r="CK16" s="10">
        <f t="shared" si="15"/>
        <v>5787.6466016676068</v>
      </c>
      <c r="CL16" s="10">
        <f t="shared" ref="CL16:EW16" si="16">CK16*(1+$AA$20)</f>
        <v>5729.7701356509306</v>
      </c>
      <c r="CM16" s="10">
        <f t="shared" si="16"/>
        <v>5672.472434294421</v>
      </c>
      <c r="CN16" s="10">
        <f t="shared" si="16"/>
        <v>5615.7477099514763</v>
      </c>
      <c r="CO16" s="10">
        <f t="shared" si="16"/>
        <v>5559.5902328519614</v>
      </c>
      <c r="CP16" s="10">
        <f t="shared" si="16"/>
        <v>5503.9943305234419</v>
      </c>
      <c r="CQ16" s="10">
        <f t="shared" si="16"/>
        <v>5448.9543872182076</v>
      </c>
      <c r="CR16" s="10">
        <f t="shared" si="16"/>
        <v>5394.4648433460252</v>
      </c>
      <c r="CS16" s="10">
        <f t="shared" si="16"/>
        <v>5340.5201949125649</v>
      </c>
      <c r="CT16" s="10">
        <f t="shared" si="16"/>
        <v>5287.1149929634394</v>
      </c>
      <c r="CU16" s="10">
        <f t="shared" si="16"/>
        <v>5234.2438430338052</v>
      </c>
      <c r="CV16" s="10">
        <f t="shared" si="16"/>
        <v>5181.9014046034672</v>
      </c>
      <c r="CW16" s="10">
        <f t="shared" si="16"/>
        <v>5130.0823905574325</v>
      </c>
      <c r="CX16" s="10">
        <f t="shared" si="16"/>
        <v>5078.7815666518582</v>
      </c>
      <c r="CY16" s="10">
        <f t="shared" si="16"/>
        <v>5027.9937509853398</v>
      </c>
      <c r="CZ16" s="10">
        <f t="shared" si="16"/>
        <v>4977.7138134754859</v>
      </c>
      <c r="DA16" s="10">
        <f t="shared" si="16"/>
        <v>4927.9366753407312</v>
      </c>
      <c r="DB16" s="10">
        <f t="shared" si="16"/>
        <v>4878.6573085873242</v>
      </c>
      <c r="DC16" s="10">
        <f t="shared" si="16"/>
        <v>4829.8707355014512</v>
      </c>
      <c r="DD16" s="10">
        <f t="shared" si="16"/>
        <v>4781.5720281464364</v>
      </c>
      <c r="DE16" s="10">
        <f t="shared" si="16"/>
        <v>4733.7563078649719</v>
      </c>
      <c r="DF16" s="10">
        <f t="shared" si="16"/>
        <v>4686.4187447863223</v>
      </c>
      <c r="DG16" s="10">
        <f t="shared" si="16"/>
        <v>4639.5545573384588</v>
      </c>
      <c r="DH16" s="10">
        <f t="shared" si="16"/>
        <v>4593.159011765074</v>
      </c>
      <c r="DI16" s="10">
        <f t="shared" si="16"/>
        <v>4547.2274216474234</v>
      </c>
      <c r="DJ16" s="10">
        <f t="shared" si="16"/>
        <v>4501.7551474309494</v>
      </c>
      <c r="DK16" s="10">
        <f t="shared" si="16"/>
        <v>4456.7375959566398</v>
      </c>
      <c r="DL16" s="10">
        <f t="shared" si="16"/>
        <v>4412.1702199970732</v>
      </c>
      <c r="DM16" s="10">
        <f t="shared" si="16"/>
        <v>4368.0485177971022</v>
      </c>
      <c r="DN16" s="10">
        <f t="shared" si="16"/>
        <v>4324.3680326191316</v>
      </c>
      <c r="DO16" s="10">
        <f t="shared" si="16"/>
        <v>4281.1243522929399</v>
      </c>
      <c r="DP16" s="10">
        <f t="shared" si="16"/>
        <v>4238.3131087700103</v>
      </c>
      <c r="DQ16" s="10">
        <f t="shared" si="16"/>
        <v>4195.92997768231</v>
      </c>
      <c r="DR16" s="10">
        <f t="shared" si="16"/>
        <v>4153.9706779054868</v>
      </c>
      <c r="DS16" s="10">
        <f t="shared" si="16"/>
        <v>4112.4309711264323</v>
      </c>
      <c r="DT16" s="10">
        <f t="shared" si="16"/>
        <v>4071.306661415168</v>
      </c>
      <c r="DU16" s="10">
        <f t="shared" si="16"/>
        <v>4030.5935948010165</v>
      </c>
      <c r="DV16" s="10">
        <f t="shared" si="16"/>
        <v>3990.2876588530062</v>
      </c>
      <c r="DW16" s="10">
        <f t="shared" si="16"/>
        <v>3950.3847822644761</v>
      </c>
      <c r="DX16" s="10">
        <f t="shared" si="16"/>
        <v>3910.8809344418314</v>
      </c>
      <c r="DY16" s="10">
        <f t="shared" si="16"/>
        <v>3871.7721250974132</v>
      </c>
      <c r="DZ16" s="10">
        <f t="shared" si="16"/>
        <v>3833.0544038464391</v>
      </c>
      <c r="EA16" s="10">
        <f t="shared" si="16"/>
        <v>3794.7238598079748</v>
      </c>
      <c r="EB16" s="10">
        <f t="shared" si="16"/>
        <v>3756.776621209895</v>
      </c>
      <c r="EC16" s="10">
        <f t="shared" si="16"/>
        <v>3719.2088549977962</v>
      </c>
      <c r="ED16" s="10">
        <f t="shared" si="16"/>
        <v>3682.0167664478181</v>
      </c>
      <c r="EE16" s="10">
        <f t="shared" si="16"/>
        <v>3645.1965987833401</v>
      </c>
      <c r="EF16" s="10">
        <f t="shared" si="16"/>
        <v>3608.7446327955067</v>
      </c>
      <c r="EG16" s="10">
        <f t="shared" si="16"/>
        <v>3572.6571864675516</v>
      </c>
      <c r="EH16" s="10">
        <f t="shared" si="16"/>
        <v>3536.9306146028762</v>
      </c>
      <c r="EI16" s="10">
        <f t="shared" si="16"/>
        <v>3501.5613084568472</v>
      </c>
      <c r="EJ16" s="10">
        <f t="shared" si="16"/>
        <v>3466.5456953722787</v>
      </c>
      <c r="EK16" s="10">
        <f t="shared" si="16"/>
        <v>3431.880238418556</v>
      </c>
      <c r="EL16" s="10">
        <f t="shared" si="16"/>
        <v>3397.5614360343702</v>
      </c>
      <c r="EM16" s="10">
        <f t="shared" si="16"/>
        <v>3363.5858216740266</v>
      </c>
      <c r="EN16" s="10">
        <f t="shared" si="16"/>
        <v>3329.9499634572862</v>
      </c>
      <c r="EO16" s="10">
        <f t="shared" si="16"/>
        <v>3296.6504638227134</v>
      </c>
      <c r="EP16" s="10">
        <f t="shared" si="16"/>
        <v>3263.6839591844864</v>
      </c>
      <c r="EQ16" s="10">
        <f t="shared" si="16"/>
        <v>3231.0471195926416</v>
      </c>
      <c r="ER16" s="10">
        <f t="shared" si="16"/>
        <v>3198.7366483967153</v>
      </c>
      <c r="ES16" s="10">
        <f t="shared" si="16"/>
        <v>3166.7492819127483</v>
      </c>
      <c r="ET16" s="10">
        <f t="shared" si="16"/>
        <v>3135.081789093621</v>
      </c>
      <c r="EU16" s="10">
        <f t="shared" si="16"/>
        <v>3103.7309712026849</v>
      </c>
      <c r="EV16" s="10">
        <f t="shared" si="16"/>
        <v>3072.6936614906581</v>
      </c>
      <c r="EW16" s="10">
        <f t="shared" si="16"/>
        <v>3041.9667248757514</v>
      </c>
      <c r="EX16" s="10">
        <f t="shared" ref="EX16:HI16" si="17">EW16*(1+$AA$20)</f>
        <v>3011.547057626994</v>
      </c>
      <c r="EY16" s="10">
        <f t="shared" si="17"/>
        <v>2981.4315870507239</v>
      </c>
      <c r="EZ16" s="10">
        <f t="shared" si="17"/>
        <v>2951.6172711802164</v>
      </c>
      <c r="FA16" s="10">
        <f t="shared" si="17"/>
        <v>2922.1010984684144</v>
      </c>
      <c r="FB16" s="10">
        <f t="shared" si="17"/>
        <v>2892.8800874837302</v>
      </c>
      <c r="FC16" s="10">
        <f t="shared" si="17"/>
        <v>2863.951286608893</v>
      </c>
      <c r="FD16" s="10">
        <f t="shared" si="17"/>
        <v>2835.3117737428042</v>
      </c>
      <c r="FE16" s="10">
        <f t="shared" si="17"/>
        <v>2806.9586560053763</v>
      </c>
      <c r="FF16" s="10">
        <f t="shared" si="17"/>
        <v>2778.8890694453225</v>
      </c>
      <c r="FG16" s="10">
        <f t="shared" si="17"/>
        <v>2751.1001787508694</v>
      </c>
      <c r="FH16" s="10">
        <f t="shared" si="17"/>
        <v>2723.5891769633608</v>
      </c>
      <c r="FI16" s="10">
        <f t="shared" si="17"/>
        <v>2696.3532851937271</v>
      </c>
      <c r="FJ16" s="10">
        <f t="shared" si="17"/>
        <v>2669.38975234179</v>
      </c>
      <c r="FK16" s="10">
        <f t="shared" si="17"/>
        <v>2642.695854818372</v>
      </c>
      <c r="FL16" s="10">
        <f t="shared" si="17"/>
        <v>2616.2688962701882</v>
      </c>
      <c r="FM16" s="10">
        <f t="shared" si="17"/>
        <v>2590.1062073074863</v>
      </c>
      <c r="FN16" s="10">
        <f t="shared" si="17"/>
        <v>2564.2051452344112</v>
      </c>
      <c r="FO16" s="10">
        <f t="shared" si="17"/>
        <v>2538.563093782067</v>
      </c>
      <c r="FP16" s="10">
        <f t="shared" si="17"/>
        <v>2513.1774628442463</v>
      </c>
      <c r="FQ16" s="10">
        <f t="shared" si="17"/>
        <v>2488.0456882158037</v>
      </c>
      <c r="FR16" s="10">
        <f t="shared" si="17"/>
        <v>2463.1652313336458</v>
      </c>
      <c r="FS16" s="10">
        <f t="shared" si="17"/>
        <v>2438.5335790203094</v>
      </c>
      <c r="FT16" s="10">
        <f t="shared" si="17"/>
        <v>2414.1482432301063</v>
      </c>
      <c r="FU16" s="10">
        <f t="shared" si="17"/>
        <v>2390.0067607978053</v>
      </c>
      <c r="FV16" s="10">
        <f t="shared" si="17"/>
        <v>2366.1066931898272</v>
      </c>
      <c r="FW16" s="10">
        <f t="shared" si="17"/>
        <v>2342.4456262579288</v>
      </c>
      <c r="FX16" s="10">
        <f t="shared" si="17"/>
        <v>2319.0211699953493</v>
      </c>
      <c r="FY16" s="10">
        <f t="shared" si="17"/>
        <v>2295.8309582953957</v>
      </c>
      <c r="FZ16" s="10">
        <f t="shared" si="17"/>
        <v>2272.8726487124418</v>
      </c>
      <c r="GA16" s="10">
        <f t="shared" si="17"/>
        <v>2250.1439222253175</v>
      </c>
      <c r="GB16" s="10">
        <f t="shared" si="17"/>
        <v>2227.6424830030642</v>
      </c>
      <c r="GC16" s="10">
        <f t="shared" si="17"/>
        <v>2205.3660581730337</v>
      </c>
      <c r="GD16" s="10">
        <f t="shared" si="17"/>
        <v>2183.3123975913031</v>
      </c>
      <c r="GE16" s="10">
        <f t="shared" si="17"/>
        <v>2161.47927361539</v>
      </c>
      <c r="GF16" s="10">
        <f t="shared" si="17"/>
        <v>2139.864480879236</v>
      </c>
      <c r="GG16" s="10">
        <f t="shared" si="17"/>
        <v>2118.4658360704434</v>
      </c>
      <c r="GH16" s="10">
        <f t="shared" si="17"/>
        <v>2097.281177709739</v>
      </c>
      <c r="GI16" s="10">
        <f t="shared" si="17"/>
        <v>2076.3083659326417</v>
      </c>
      <c r="GJ16" s="10">
        <f t="shared" si="17"/>
        <v>2055.545282273315</v>
      </c>
      <c r="GK16" s="10">
        <f t="shared" si="17"/>
        <v>2034.989829450582</v>
      </c>
      <c r="GL16" s="10">
        <f t="shared" si="17"/>
        <v>2014.639931156076</v>
      </c>
      <c r="GM16" s="10">
        <f t="shared" si="17"/>
        <v>1994.4935318445152</v>
      </c>
      <c r="GN16" s="10">
        <f t="shared" si="17"/>
        <v>1974.54859652607</v>
      </c>
      <c r="GO16" s="10">
        <f t="shared" si="17"/>
        <v>1954.8031105608093</v>
      </c>
      <c r="GP16" s="10">
        <f t="shared" si="17"/>
        <v>1935.2550794552012</v>
      </c>
      <c r="GQ16" s="10">
        <f t="shared" si="17"/>
        <v>1915.9025286606493</v>
      </c>
      <c r="GR16" s="10">
        <f t="shared" si="17"/>
        <v>1896.7435033740428</v>
      </c>
      <c r="GS16" s="10">
        <f t="shared" si="17"/>
        <v>1877.7760683403023</v>
      </c>
      <c r="GT16" s="10">
        <f t="shared" si="17"/>
        <v>1858.9983076568992</v>
      </c>
      <c r="GU16" s="10">
        <f t="shared" si="17"/>
        <v>1840.4083245803301</v>
      </c>
      <c r="GV16" s="10">
        <f t="shared" si="17"/>
        <v>1822.0042413345268</v>
      </c>
      <c r="GW16" s="10">
        <f t="shared" si="17"/>
        <v>1803.7841989211815</v>
      </c>
      <c r="GX16" s="10">
        <f t="shared" si="17"/>
        <v>1785.7463569319698</v>
      </c>
      <c r="GY16" s="10">
        <f t="shared" si="17"/>
        <v>1767.8888933626502</v>
      </c>
      <c r="GZ16" s="10">
        <f t="shared" si="17"/>
        <v>1750.2100044290237</v>
      </c>
      <c r="HA16" s="10">
        <f t="shared" si="17"/>
        <v>1732.7079043847334</v>
      </c>
      <c r="HB16" s="10">
        <f t="shared" si="17"/>
        <v>1715.3808253408861</v>
      </c>
      <c r="HC16" s="10">
        <f t="shared" si="17"/>
        <v>1698.2270170874772</v>
      </c>
      <c r="HD16" s="10">
        <f t="shared" si="17"/>
        <v>1681.2447469166025</v>
      </c>
      <c r="HE16" s="10">
        <f t="shared" si="17"/>
        <v>1664.4322994474364</v>
      </c>
      <c r="HF16" s="10">
        <f t="shared" si="17"/>
        <v>1647.7879764529621</v>
      </c>
      <c r="HG16" s="10">
        <f t="shared" si="17"/>
        <v>1631.3100966884324</v>
      </c>
      <c r="HH16" s="10">
        <f t="shared" si="17"/>
        <v>1614.996995721548</v>
      </c>
      <c r="HI16" s="10">
        <f t="shared" si="17"/>
        <v>1598.8470257643326</v>
      </c>
      <c r="HJ16" s="10">
        <f t="shared" ref="HJ16:HQ16" si="18">HI16*(1+$AA$20)</f>
        <v>1582.8585555066893</v>
      </c>
      <c r="HK16" s="10">
        <f t="shared" si="18"/>
        <v>1567.0299699516224</v>
      </c>
      <c r="HL16" s="10">
        <f t="shared" si="18"/>
        <v>1551.3596702521063</v>
      </c>
      <c r="HM16" s="10">
        <f t="shared" si="18"/>
        <v>1535.8460735495853</v>
      </c>
      <c r="HN16" s="10">
        <f t="shared" si="18"/>
        <v>1520.4876128140895</v>
      </c>
      <c r="HO16" s="10">
        <f t="shared" si="18"/>
        <v>1505.2827366859485</v>
      </c>
      <c r="HP16" s="10">
        <f t="shared" si="18"/>
        <v>1490.2299093190891</v>
      </c>
      <c r="HQ16" s="10">
        <f t="shared" si="18"/>
        <v>1475.3276102258981</v>
      </c>
    </row>
    <row r="17" spans="3:27" x14ac:dyDescent="0.25">
      <c r="C17" s="2" t="s">
        <v>64</v>
      </c>
      <c r="D17" s="2">
        <v>702.3</v>
      </c>
      <c r="E17" s="2">
        <v>702.3</v>
      </c>
      <c r="F17" s="2">
        <v>702.3</v>
      </c>
      <c r="G17" s="2">
        <v>702.3</v>
      </c>
      <c r="H17" s="2">
        <v>702.3</v>
      </c>
      <c r="I17" s="2">
        <v>702.3</v>
      </c>
      <c r="J17" s="2">
        <v>702.3</v>
      </c>
      <c r="K17" s="2">
        <v>702.3</v>
      </c>
      <c r="L17" s="2">
        <v>702.3</v>
      </c>
      <c r="M17" s="2">
        <v>649.9</v>
      </c>
      <c r="N17" s="3">
        <v>683.9</v>
      </c>
      <c r="O17" s="2">
        <v>683.9</v>
      </c>
      <c r="P17" s="2">
        <v>683.9</v>
      </c>
      <c r="Q17" s="2">
        <v>683.9</v>
      </c>
      <c r="R17" s="2">
        <v>683.9</v>
      </c>
      <c r="S17" s="2">
        <v>683.9</v>
      </c>
      <c r="T17" s="2">
        <v>683.9</v>
      </c>
      <c r="U17" s="2">
        <v>683.9</v>
      </c>
      <c r="V17" s="2">
        <v>683.9</v>
      </c>
      <c r="W17" s="2">
        <v>683.9</v>
      </c>
      <c r="X17" s="2">
        <v>683.9</v>
      </c>
    </row>
    <row r="18" spans="3:27" x14ac:dyDescent="0.25">
      <c r="C18" s="2" t="s">
        <v>65</v>
      </c>
      <c r="D18" s="14">
        <f t="shared" ref="D18:N18" si="19">D16/D17</f>
        <v>9.3663676491527852</v>
      </c>
      <c r="E18" s="14">
        <f t="shared" si="19"/>
        <v>6.0401537804357117</v>
      </c>
      <c r="F18" s="14">
        <f t="shared" si="19"/>
        <v>12.508899330770326</v>
      </c>
      <c r="G18" s="14">
        <f t="shared" si="19"/>
        <v>12.177132279652572</v>
      </c>
      <c r="H18" s="14">
        <f t="shared" si="19"/>
        <v>14.540794532251176</v>
      </c>
      <c r="I18" s="14">
        <f t="shared" si="19"/>
        <v>16.72647016944326</v>
      </c>
      <c r="J18" s="14">
        <f t="shared" si="19"/>
        <v>13.968389577103803</v>
      </c>
      <c r="K18" s="14">
        <f t="shared" si="19"/>
        <v>8.6344866866011678</v>
      </c>
      <c r="L18" s="14">
        <f t="shared" si="19"/>
        <v>17.3116901608999</v>
      </c>
      <c r="M18" s="14">
        <f t="shared" si="19"/>
        <v>19.959993845206956</v>
      </c>
      <c r="N18" s="9">
        <f t="shared" si="19"/>
        <v>18.697177949992689</v>
      </c>
      <c r="O18" s="14">
        <f t="shared" ref="O18:X18" si="20">O16/O17</f>
        <v>16.371375932153839</v>
      </c>
      <c r="P18" s="14">
        <f t="shared" si="20"/>
        <v>16.359892147974865</v>
      </c>
      <c r="Q18" s="14">
        <f t="shared" si="20"/>
        <v>16.348293525954102</v>
      </c>
      <c r="R18" s="14">
        <f t="shared" si="20"/>
        <v>16.33657891771313</v>
      </c>
      <c r="S18" s="14">
        <f t="shared" si="20"/>
        <v>16.324747163389748</v>
      </c>
      <c r="T18" s="14">
        <f t="shared" si="20"/>
        <v>16.312797091523137</v>
      </c>
      <c r="U18" s="14">
        <f t="shared" si="20"/>
        <v>16.300727518937855</v>
      </c>
      <c r="V18" s="14">
        <f t="shared" si="20"/>
        <v>16.288537250626721</v>
      </c>
      <c r="W18" s="14">
        <f t="shared" si="20"/>
        <v>16.276225079632475</v>
      </c>
      <c r="X18" s="14">
        <f t="shared" si="20"/>
        <v>16.263789786928289</v>
      </c>
    </row>
    <row r="19" spans="3:27" x14ac:dyDescent="0.25">
      <c r="Z19" s="2" t="s">
        <v>148</v>
      </c>
      <c r="AA19" s="40">
        <v>0.08</v>
      </c>
    </row>
    <row r="20" spans="3:27" x14ac:dyDescent="0.25">
      <c r="C20" s="1" t="s">
        <v>38</v>
      </c>
      <c r="D20" s="17"/>
      <c r="E20" s="17">
        <f t="shared" ref="E20:J20" si="21">(E4-D4)/D4</f>
        <v>2.7598737299404177E-2</v>
      </c>
      <c r="F20" s="17">
        <f t="shared" si="21"/>
        <v>7.9288409490507514E-2</v>
      </c>
      <c r="G20" s="17">
        <f t="shared" si="21"/>
        <v>8.4519287969615151E-2</v>
      </c>
      <c r="H20" s="17">
        <f t="shared" si="21"/>
        <v>8.8396624472573834E-2</v>
      </c>
      <c r="I20" s="17">
        <f t="shared" si="21"/>
        <v>-5.6003101376235702E-2</v>
      </c>
      <c r="J20" s="17">
        <f t="shared" si="21"/>
        <v>9.4454300545370915E-4</v>
      </c>
      <c r="K20" s="17">
        <f>(K4-J4)/J4</f>
        <v>0.28150360639057331</v>
      </c>
      <c r="L20" s="17">
        <f>(L4-K4)/K4</f>
        <v>-5.7794881317513272E-2</v>
      </c>
      <c r="M20" s="17">
        <f t="shared" ref="M20:W20" si="22">(M4-L4)/L4</f>
        <v>-1.0880276186398636E-2</v>
      </c>
      <c r="N20" s="42">
        <f t="shared" si="22"/>
        <v>-4.8452035782501755E-2</v>
      </c>
      <c r="O20" s="17">
        <f t="shared" si="22"/>
        <v>0</v>
      </c>
      <c r="P20" s="17">
        <f t="shared" si="22"/>
        <v>0</v>
      </c>
      <c r="Q20" s="17">
        <f t="shared" si="22"/>
        <v>0</v>
      </c>
      <c r="R20" s="17">
        <f t="shared" si="22"/>
        <v>0</v>
      </c>
      <c r="S20" s="17">
        <f t="shared" si="22"/>
        <v>0</v>
      </c>
      <c r="T20" s="17">
        <f t="shared" si="22"/>
        <v>0</v>
      </c>
      <c r="U20" s="17">
        <f t="shared" si="22"/>
        <v>0</v>
      </c>
      <c r="V20" s="17">
        <f t="shared" si="22"/>
        <v>0</v>
      </c>
      <c r="W20" s="17">
        <f t="shared" si="22"/>
        <v>0</v>
      </c>
      <c r="X20" s="17">
        <f t="shared" ref="X20" si="23">(X4-W4)/W4</f>
        <v>0</v>
      </c>
      <c r="Z20" s="2" t="s">
        <v>149</v>
      </c>
      <c r="AA20" s="40">
        <v>-0.01</v>
      </c>
    </row>
    <row r="21" spans="3:27" x14ac:dyDescent="0.25">
      <c r="C21" s="2" t="s">
        <v>45</v>
      </c>
      <c r="D21" s="16">
        <f t="shared" ref="D21:J21" si="24">D6/D4</f>
        <v>0.26687237994701529</v>
      </c>
      <c r="E21" s="16">
        <f t="shared" si="24"/>
        <v>0.27884786345048301</v>
      </c>
      <c r="F21" s="16">
        <f t="shared" si="24"/>
        <v>0.29155722326454031</v>
      </c>
      <c r="G21" s="16">
        <f t="shared" si="24"/>
        <v>0.270084388185654</v>
      </c>
      <c r="H21" s="16">
        <f t="shared" si="24"/>
        <v>0.29351424694708278</v>
      </c>
      <c r="I21" s="16">
        <f t="shared" si="24"/>
        <v>0.32392897036598989</v>
      </c>
      <c r="J21" s="16">
        <f t="shared" si="24"/>
        <v>0.28796146618854979</v>
      </c>
      <c r="K21" s="16">
        <f>K6/K4</f>
        <v>0.23837667202397342</v>
      </c>
      <c r="L21" s="16">
        <f>L6/L4</f>
        <v>0.30255458826887399</v>
      </c>
      <c r="M21" s="16">
        <f t="shared" ref="M21:W21" si="25">M6/M4</f>
        <v>0.32716117241284542</v>
      </c>
      <c r="N21" s="38">
        <f t="shared" si="25"/>
        <v>0.33317688852946697</v>
      </c>
      <c r="O21" s="16">
        <f t="shared" si="25"/>
        <v>0.3000000000000001</v>
      </c>
      <c r="P21" s="16">
        <f t="shared" si="25"/>
        <v>0.3000000000000001</v>
      </c>
      <c r="Q21" s="16">
        <f t="shared" si="25"/>
        <v>0.3000000000000001</v>
      </c>
      <c r="R21" s="16">
        <f t="shared" si="25"/>
        <v>0.3000000000000001</v>
      </c>
      <c r="S21" s="16">
        <f t="shared" si="25"/>
        <v>0.3000000000000001</v>
      </c>
      <c r="T21" s="16">
        <f t="shared" si="25"/>
        <v>0.3000000000000001</v>
      </c>
      <c r="U21" s="16">
        <f t="shared" si="25"/>
        <v>0.3000000000000001</v>
      </c>
      <c r="V21" s="16">
        <f t="shared" si="25"/>
        <v>0.3000000000000001</v>
      </c>
      <c r="W21" s="16">
        <f t="shared" si="25"/>
        <v>0.3000000000000001</v>
      </c>
      <c r="X21" s="16">
        <f t="shared" ref="X21" si="26">X6/X4</f>
        <v>0.3000000000000001</v>
      </c>
      <c r="Z21" s="39" t="s">
        <v>150</v>
      </c>
      <c r="AA21" s="41">
        <f>NPV(AA19,O16:JR16)</f>
        <v>131591.62980935641</v>
      </c>
    </row>
    <row r="22" spans="3:27" x14ac:dyDescent="0.25">
      <c r="C22" s="2" t="s">
        <v>39</v>
      </c>
      <c r="D22" s="16">
        <f t="shared" ref="D22:J22" si="27">D11/D4</f>
        <v>9.8295760208690713E-2</v>
      </c>
      <c r="E22" s="16">
        <f t="shared" si="27"/>
        <v>8.897844682826607E-2</v>
      </c>
      <c r="F22" s="16">
        <f t="shared" si="27"/>
        <v>0.10895529217956344</v>
      </c>
      <c r="G22" s="16">
        <f t="shared" si="27"/>
        <v>9.0793248945147675E-2</v>
      </c>
      <c r="H22" s="16">
        <f t="shared" si="27"/>
        <v>0.11125411901531304</v>
      </c>
      <c r="I22" s="16">
        <f t="shared" si="27"/>
        <v>0.13764044943820225</v>
      </c>
      <c r="J22" s="16">
        <f t="shared" si="27"/>
        <v>0.10830659653556746</v>
      </c>
      <c r="K22" s="16">
        <f>K11/K4</f>
        <v>6.0695510747696461E-2</v>
      </c>
      <c r="L22" s="16">
        <f>L11/L4</f>
        <v>0.12089271272944742</v>
      </c>
      <c r="M22" s="16">
        <f t="shared" ref="M22:W22" si="28">M11/M4</f>
        <v>0.13215066027235375</v>
      </c>
      <c r="N22" s="38">
        <f t="shared" si="28"/>
        <v>0.13430184701142286</v>
      </c>
      <c r="O22" s="16">
        <f t="shared" si="28"/>
        <v>0.10105477493609841</v>
      </c>
      <c r="P22" s="16">
        <f t="shared" si="28"/>
        <v>0.10098388955478224</v>
      </c>
      <c r="Q22" s="16">
        <f t="shared" si="28"/>
        <v>0.10091229531965291</v>
      </c>
      <c r="R22" s="16">
        <f t="shared" si="28"/>
        <v>0.10083998514217231</v>
      </c>
      <c r="S22" s="16">
        <f t="shared" si="28"/>
        <v>0.10076695186291688</v>
      </c>
      <c r="T22" s="16">
        <f t="shared" si="28"/>
        <v>0.10069318825086893</v>
      </c>
      <c r="U22" s="16">
        <f t="shared" si="28"/>
        <v>0.10061868700270046</v>
      </c>
      <c r="V22" s="16">
        <f t="shared" si="28"/>
        <v>0.10054344074205032</v>
      </c>
      <c r="W22" s="16">
        <f t="shared" si="28"/>
        <v>0.10046744201879368</v>
      </c>
      <c r="X22" s="16">
        <f t="shared" ref="X22" si="29">X11/X4</f>
        <v>0.10039068330830447</v>
      </c>
      <c r="Z22" s="2" t="s">
        <v>2</v>
      </c>
      <c r="AA22" s="2">
        <v>683.9</v>
      </c>
    </row>
    <row r="23" spans="3:27" x14ac:dyDescent="0.25">
      <c r="Z23" s="2" t="s">
        <v>151</v>
      </c>
      <c r="AA23" s="15">
        <f>AA21/AA22</f>
        <v>192.41355433448811</v>
      </c>
    </row>
    <row r="24" spans="3:27" x14ac:dyDescent="0.25">
      <c r="Z24" s="1" t="s">
        <v>152</v>
      </c>
      <c r="AA24" s="17">
        <f>(AA23-Modell!B4)/Modell!B4</f>
        <v>-0.23947211725498771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2026-01-27T15:06:02Z</dcterms:modified>
</cp:coreProperties>
</file>