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86603F01-6B2C-F145-9D4D-8D87BB74E577}" xr6:coauthVersionLast="47" xr6:coauthVersionMax="47" xr10:uidLastSave="{00000000-0000-0000-0000-000000000000}"/>
  <bookViews>
    <workbookView xWindow="24040" yWindow="500" windowWidth="27160" windowHeight="26740" activeTab="4" xr2:uid="{5AE0DF26-B7DD-1242-A60E-253C73A930AF}"/>
  </bookViews>
  <sheets>
    <sheet name="Info" sheetId="1" r:id="rId1"/>
    <sheet name="Modell" sheetId="2" r:id="rId2"/>
    <sheet name="Segementer" sheetId="4" r:id="rId3"/>
    <sheet name="SOTP" sheetId="6" r:id="rId4"/>
    <sheet name="Nøkkeltall" sheetId="3" r:id="rId5"/>
    <sheet name="Nedsideberegning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G13" i="6" s="1"/>
  <c r="H13" i="6" s="1"/>
  <c r="AC10" i="2"/>
  <c r="AC9" i="2"/>
  <c r="AC8" i="2"/>
  <c r="AC7" i="2"/>
  <c r="AC4" i="2"/>
  <c r="G14" i="6"/>
  <c r="H14" i="6" s="1"/>
  <c r="G8" i="6"/>
  <c r="H8" i="6" s="1"/>
  <c r="G9" i="6"/>
  <c r="H9" i="6" s="1"/>
  <c r="G10" i="6"/>
  <c r="H10" i="6" s="1"/>
  <c r="G7" i="6"/>
  <c r="G11" i="6" s="1"/>
  <c r="U26" i="4"/>
  <c r="T26" i="4"/>
  <c r="S26" i="4"/>
  <c r="U18" i="4"/>
  <c r="T18" i="4"/>
  <c r="S18" i="4"/>
  <c r="U10" i="4"/>
  <c r="T10" i="4"/>
  <c r="S10" i="4"/>
  <c r="R26" i="4"/>
  <c r="R18" i="4"/>
  <c r="R10" i="4"/>
  <c r="P28" i="2"/>
  <c r="Q28" i="2"/>
  <c r="R28" i="2"/>
  <c r="S28" i="2"/>
  <c r="H7" i="6" l="1"/>
  <c r="H11" i="6" s="1"/>
  <c r="H16" i="6" s="1"/>
  <c r="AB70" i="2"/>
  <c r="AB62" i="2"/>
  <c r="AB63" i="2"/>
  <c r="AB64" i="2"/>
  <c r="AB65" i="2"/>
  <c r="AB66" i="2"/>
  <c r="AB67" i="2"/>
  <c r="AB61" i="2"/>
  <c r="AB68" i="2" s="1"/>
  <c r="AB55" i="2"/>
  <c r="AB52" i="2"/>
  <c r="AB53" i="2"/>
  <c r="AB54" i="2"/>
  <c r="AB51" i="2"/>
  <c r="AC72" i="2"/>
  <c r="AC74" i="2"/>
  <c r="AC68" i="2"/>
  <c r="AC59" i="2"/>
  <c r="AC56" i="2"/>
  <c r="K8" i="5"/>
  <c r="K9" i="5"/>
  <c r="K10" i="5"/>
  <c r="L10" i="5" s="1"/>
  <c r="M10" i="5" s="1"/>
  <c r="N10" i="5" s="1"/>
  <c r="O10" i="5" s="1"/>
  <c r="P10" i="5" s="1"/>
  <c r="Q10" i="5" s="1"/>
  <c r="R10" i="5" s="1"/>
  <c r="S10" i="5" s="1"/>
  <c r="T10" i="5" s="1"/>
  <c r="K7" i="5"/>
  <c r="L7" i="5" s="1"/>
  <c r="M7" i="5" s="1"/>
  <c r="N7" i="5" s="1"/>
  <c r="O7" i="5" s="1"/>
  <c r="P7" i="5" s="1"/>
  <c r="Q7" i="5" s="1"/>
  <c r="R7" i="5" s="1"/>
  <c r="S7" i="5" s="1"/>
  <c r="T7" i="5" s="1"/>
  <c r="Q26" i="4"/>
  <c r="P26" i="4"/>
  <c r="O26" i="4"/>
  <c r="N26" i="4"/>
  <c r="M26" i="4"/>
  <c r="L26" i="4"/>
  <c r="K26" i="4"/>
  <c r="J26" i="4"/>
  <c r="I26" i="4"/>
  <c r="H26" i="4"/>
  <c r="Q18" i="4"/>
  <c r="P18" i="4"/>
  <c r="O18" i="4"/>
  <c r="N18" i="4"/>
  <c r="M18" i="4"/>
  <c r="L18" i="4"/>
  <c r="K18" i="4"/>
  <c r="J18" i="4"/>
  <c r="I18" i="4"/>
  <c r="H18" i="4"/>
  <c r="V31" i="4"/>
  <c r="V29" i="4"/>
  <c r="V23" i="4"/>
  <c r="V21" i="4"/>
  <c r="V15" i="4"/>
  <c r="V13" i="4"/>
  <c r="V10" i="4"/>
  <c r="V7" i="4"/>
  <c r="V5" i="4"/>
  <c r="Q10" i="4"/>
  <c r="H10" i="4"/>
  <c r="I10" i="4"/>
  <c r="J10" i="4"/>
  <c r="K10" i="4"/>
  <c r="L10" i="4"/>
  <c r="M10" i="4"/>
  <c r="N10" i="4"/>
  <c r="O10" i="4"/>
  <c r="P10" i="4"/>
  <c r="H28" i="2"/>
  <c r="I28" i="2"/>
  <c r="J28" i="2"/>
  <c r="K28" i="2"/>
  <c r="L28" i="2"/>
  <c r="M28" i="2"/>
  <c r="N28" i="2"/>
  <c r="O28" i="2"/>
  <c r="L8" i="5"/>
  <c r="M8" i="5" s="1"/>
  <c r="N8" i="5" s="1"/>
  <c r="O8" i="5" s="1"/>
  <c r="P8" i="5" s="1"/>
  <c r="Q8" i="5" s="1"/>
  <c r="R8" i="5" s="1"/>
  <c r="S8" i="5" s="1"/>
  <c r="T8" i="5" s="1"/>
  <c r="L9" i="5"/>
  <c r="M9" i="5" s="1"/>
  <c r="N9" i="5" s="1"/>
  <c r="O9" i="5" s="1"/>
  <c r="P9" i="5" s="1"/>
  <c r="Q9" i="5" s="1"/>
  <c r="R9" i="5" s="1"/>
  <c r="S9" i="5" s="1"/>
  <c r="T9" i="5" s="1"/>
  <c r="T4" i="5"/>
  <c r="L4" i="5"/>
  <c r="M4" i="5"/>
  <c r="N4" i="5"/>
  <c r="O4" i="5"/>
  <c r="P4" i="5"/>
  <c r="Q4" i="5"/>
  <c r="R4" i="5"/>
  <c r="S4" i="5"/>
  <c r="K4" i="5"/>
  <c r="I22" i="5"/>
  <c r="H22" i="5"/>
  <c r="J21" i="5"/>
  <c r="G21" i="5"/>
  <c r="F21" i="5"/>
  <c r="J20" i="5"/>
  <c r="I20" i="5"/>
  <c r="H20" i="5"/>
  <c r="G20" i="5"/>
  <c r="F20" i="5"/>
  <c r="E20" i="5"/>
  <c r="J18" i="5"/>
  <c r="J16" i="5"/>
  <c r="G14" i="5"/>
  <c r="G16" i="5" s="1"/>
  <c r="G18" i="5" s="1"/>
  <c r="F14" i="5"/>
  <c r="F16" i="5" s="1"/>
  <c r="F18" i="5" s="1"/>
  <c r="M13" i="5"/>
  <c r="N13" i="5" s="1"/>
  <c r="O13" i="5" s="1"/>
  <c r="P13" i="5" s="1"/>
  <c r="Q13" i="5" s="1"/>
  <c r="R13" i="5" s="1"/>
  <c r="S13" i="5" s="1"/>
  <c r="T13" i="5" s="1"/>
  <c r="K13" i="5"/>
  <c r="L13" i="5" s="1"/>
  <c r="I13" i="5"/>
  <c r="H13" i="5"/>
  <c r="G13" i="5"/>
  <c r="J12" i="5"/>
  <c r="J14" i="5" s="1"/>
  <c r="G12" i="5"/>
  <c r="G23" i="5" s="1"/>
  <c r="F12" i="5"/>
  <c r="F23" i="5" s="1"/>
  <c r="J11" i="5"/>
  <c r="I11" i="5"/>
  <c r="H11" i="5"/>
  <c r="G11" i="5"/>
  <c r="F11" i="5"/>
  <c r="E11" i="5"/>
  <c r="E12" i="5" s="1"/>
  <c r="D11" i="5"/>
  <c r="D12" i="5" s="1"/>
  <c r="D23" i="5" s="1"/>
  <c r="J6" i="5"/>
  <c r="J22" i="5" s="1"/>
  <c r="I6" i="5"/>
  <c r="H6" i="5"/>
  <c r="G6" i="5"/>
  <c r="G22" i="5" s="1"/>
  <c r="F6" i="5"/>
  <c r="F22" i="5" s="1"/>
  <c r="E6" i="5"/>
  <c r="E22" i="5" s="1"/>
  <c r="D6" i="5"/>
  <c r="D22" i="5" s="1"/>
  <c r="K5" i="5"/>
  <c r="AD7" i="2"/>
  <c r="AE7" i="2" s="1"/>
  <c r="AF7" i="2" s="1"/>
  <c r="AG7" i="2" s="1"/>
  <c r="AH7" i="2" s="1"/>
  <c r="AI7" i="2" s="1"/>
  <c r="AJ7" i="2" s="1"/>
  <c r="AK7" i="2" s="1"/>
  <c r="AL7" i="2" s="1"/>
  <c r="AB56" i="2" l="1"/>
  <c r="V16" i="4"/>
  <c r="V24" i="4"/>
  <c r="V8" i="4"/>
  <c r="V32" i="4"/>
  <c r="E23" i="5"/>
  <c r="E14" i="5"/>
  <c r="E16" i="5" s="1"/>
  <c r="E18" i="5" s="1"/>
  <c r="L5" i="5"/>
  <c r="L11" i="5" s="1"/>
  <c r="L12" i="5" s="1"/>
  <c r="L6" i="5"/>
  <c r="L22" i="5" s="1"/>
  <c r="K11" i="5"/>
  <c r="K21" i="5" s="1"/>
  <c r="E21" i="5"/>
  <c r="D14" i="5"/>
  <c r="D16" i="5" s="1"/>
  <c r="D18" i="5" s="1"/>
  <c r="L20" i="5"/>
  <c r="K6" i="5"/>
  <c r="K22" i="5" s="1"/>
  <c r="K20" i="5"/>
  <c r="H21" i="5"/>
  <c r="H12" i="5"/>
  <c r="I21" i="5"/>
  <c r="J23" i="5"/>
  <c r="I12" i="5"/>
  <c r="AD8" i="2"/>
  <c r="AE8" i="2" s="1"/>
  <c r="AF8" i="2" s="1"/>
  <c r="AG8" i="2" s="1"/>
  <c r="AH8" i="2" s="1"/>
  <c r="AI8" i="2" s="1"/>
  <c r="AJ8" i="2" s="1"/>
  <c r="AK8" i="2" s="1"/>
  <c r="AL8" i="2" s="1"/>
  <c r="AD9" i="2"/>
  <c r="AE9" i="2" s="1"/>
  <c r="AF9" i="2" s="1"/>
  <c r="AG9" i="2" s="1"/>
  <c r="AH9" i="2" s="1"/>
  <c r="AI9" i="2" s="1"/>
  <c r="AJ9" i="2" s="1"/>
  <c r="AK9" i="2" s="1"/>
  <c r="AL9" i="2" s="1"/>
  <c r="AD10" i="2"/>
  <c r="AE10" i="2" s="1"/>
  <c r="AF10" i="2" s="1"/>
  <c r="AG10" i="2" s="1"/>
  <c r="AH10" i="2" s="1"/>
  <c r="AI10" i="2" s="1"/>
  <c r="AJ10" i="2" s="1"/>
  <c r="AK10" i="2" s="1"/>
  <c r="AL10" i="2" s="1"/>
  <c r="O68" i="2"/>
  <c r="P68" i="2"/>
  <c r="Q68" i="2"/>
  <c r="R68" i="2"/>
  <c r="S68" i="2"/>
  <c r="O59" i="2"/>
  <c r="P59" i="2"/>
  <c r="Q59" i="2"/>
  <c r="R59" i="2"/>
  <c r="S59" i="2"/>
  <c r="O56" i="2"/>
  <c r="P56" i="2"/>
  <c r="Q56" i="2"/>
  <c r="Q74" i="2" s="1"/>
  <c r="R56" i="2"/>
  <c r="R74" i="2" s="1"/>
  <c r="S56" i="2"/>
  <c r="S74" i="2" s="1"/>
  <c r="O46" i="2"/>
  <c r="O47" i="2" s="1"/>
  <c r="P46" i="2"/>
  <c r="P47" i="2" s="1"/>
  <c r="Q46" i="2"/>
  <c r="Q47" i="2" s="1"/>
  <c r="R46" i="2"/>
  <c r="R47" i="2" s="1"/>
  <c r="S46" i="2"/>
  <c r="S47" i="2" s="1"/>
  <c r="O38" i="2"/>
  <c r="P38" i="2"/>
  <c r="Q38" i="2"/>
  <c r="R38" i="2"/>
  <c r="S38" i="2"/>
  <c r="O20" i="2"/>
  <c r="P20" i="2"/>
  <c r="Q20" i="2"/>
  <c r="R20" i="2"/>
  <c r="S20" i="2"/>
  <c r="O11" i="2"/>
  <c r="O12" i="2" s="1"/>
  <c r="P11" i="2"/>
  <c r="P12" i="2" s="1"/>
  <c r="P50" i="2" s="1"/>
  <c r="Q11" i="2"/>
  <c r="Q12" i="2" s="1"/>
  <c r="Q24" i="2" s="1"/>
  <c r="R11" i="2"/>
  <c r="R12" i="2" s="1"/>
  <c r="S11" i="2"/>
  <c r="S12" i="2" s="1"/>
  <c r="O6" i="2"/>
  <c r="O23" i="2" s="1"/>
  <c r="P6" i="2"/>
  <c r="P23" i="2" s="1"/>
  <c r="Q6" i="2"/>
  <c r="Q23" i="2" s="1"/>
  <c r="R6" i="2"/>
  <c r="R23" i="2" s="1"/>
  <c r="S6" i="2"/>
  <c r="S23" i="2" s="1"/>
  <c r="AC13" i="2"/>
  <c r="AD13" i="2" s="1"/>
  <c r="Q31" i="4"/>
  <c r="Q29" i="4"/>
  <c r="V30" i="4" s="1"/>
  <c r="Q23" i="4"/>
  <c r="Q21" i="4"/>
  <c r="V22" i="4" s="1"/>
  <c r="Q15" i="4"/>
  <c r="Q13" i="4"/>
  <c r="Q7" i="4"/>
  <c r="Q5" i="4"/>
  <c r="V6" i="4" s="1"/>
  <c r="L31" i="4"/>
  <c r="L29" i="4"/>
  <c r="L23" i="4"/>
  <c r="L21" i="4"/>
  <c r="L15" i="4"/>
  <c r="L13" i="4"/>
  <c r="L7" i="4"/>
  <c r="L5" i="4"/>
  <c r="G31" i="4"/>
  <c r="G29" i="4"/>
  <c r="G23" i="4"/>
  <c r="G21" i="4"/>
  <c r="G15" i="4"/>
  <c r="G13" i="4"/>
  <c r="G7" i="4"/>
  <c r="G5" i="4"/>
  <c r="J30" i="4"/>
  <c r="O30" i="4"/>
  <c r="J22" i="4"/>
  <c r="O22" i="4"/>
  <c r="J14" i="4"/>
  <c r="O14" i="4"/>
  <c r="J6" i="4"/>
  <c r="O6" i="4"/>
  <c r="H6" i="4"/>
  <c r="U30" i="4"/>
  <c r="T30" i="4"/>
  <c r="S30" i="4"/>
  <c r="R30" i="4"/>
  <c r="P30" i="4"/>
  <c r="N30" i="4"/>
  <c r="M30" i="4"/>
  <c r="K30" i="4"/>
  <c r="I30" i="4"/>
  <c r="H30" i="4"/>
  <c r="U22" i="4"/>
  <c r="T22" i="4"/>
  <c r="S22" i="4"/>
  <c r="R22" i="4"/>
  <c r="P22" i="4"/>
  <c r="N22" i="4"/>
  <c r="M22" i="4"/>
  <c r="K22" i="4"/>
  <c r="I22" i="4"/>
  <c r="H22" i="4"/>
  <c r="U14" i="4"/>
  <c r="T14" i="4"/>
  <c r="S14" i="4"/>
  <c r="R14" i="4"/>
  <c r="P14" i="4"/>
  <c r="N14" i="4"/>
  <c r="M14" i="4"/>
  <c r="K14" i="4"/>
  <c r="I14" i="4"/>
  <c r="H14" i="4"/>
  <c r="I6" i="4"/>
  <c r="K6" i="4"/>
  <c r="M6" i="4"/>
  <c r="N6" i="4"/>
  <c r="P6" i="4"/>
  <c r="S6" i="4"/>
  <c r="T6" i="4"/>
  <c r="U6" i="4"/>
  <c r="R6" i="4"/>
  <c r="AD4" i="2"/>
  <c r="AD5" i="2" s="1"/>
  <c r="AB6" i="2"/>
  <c r="AB23" i="2" s="1"/>
  <c r="AB20" i="2"/>
  <c r="K68" i="2"/>
  <c r="K38" i="2"/>
  <c r="D68" i="2"/>
  <c r="E68" i="2"/>
  <c r="G68" i="2"/>
  <c r="H68" i="2"/>
  <c r="L68" i="2"/>
  <c r="I68" i="2"/>
  <c r="V58" i="2"/>
  <c r="V55" i="2"/>
  <c r="W67" i="2"/>
  <c r="W58" i="2"/>
  <c r="W55" i="2"/>
  <c r="V11" i="2"/>
  <c r="V12" i="2" s="1"/>
  <c r="V14" i="2" s="1"/>
  <c r="V16" i="2" s="1"/>
  <c r="V18" i="2" s="1"/>
  <c r="V6" i="2"/>
  <c r="W11" i="2"/>
  <c r="W12" i="2" s="1"/>
  <c r="W14" i="2" s="1"/>
  <c r="W16" i="2" s="1"/>
  <c r="W18" i="2" s="1"/>
  <c r="W6" i="2"/>
  <c r="X67" i="2"/>
  <c r="X58" i="2"/>
  <c r="X55" i="2"/>
  <c r="Y67" i="2"/>
  <c r="Y58" i="2"/>
  <c r="Y55" i="2"/>
  <c r="X11" i="2"/>
  <c r="X12" i="2" s="1"/>
  <c r="X14" i="2" s="1"/>
  <c r="X16" i="2" s="1"/>
  <c r="X18" i="2" s="1"/>
  <c r="X6" i="2"/>
  <c r="Y13" i="2"/>
  <c r="Y11" i="2"/>
  <c r="Y12" i="2" s="1"/>
  <c r="Y6" i="2"/>
  <c r="Q14" i="4" l="1"/>
  <c r="L6" i="4"/>
  <c r="G8" i="4"/>
  <c r="L24" i="4"/>
  <c r="Q24" i="4"/>
  <c r="L32" i="4"/>
  <c r="Q32" i="4"/>
  <c r="V14" i="4"/>
  <c r="G32" i="4"/>
  <c r="L30" i="4"/>
  <c r="Q30" i="4"/>
  <c r="L8" i="4"/>
  <c r="Q16" i="4"/>
  <c r="Q6" i="4"/>
  <c r="G16" i="4"/>
  <c r="L14" i="4"/>
  <c r="L16" i="4"/>
  <c r="G24" i="4"/>
  <c r="L22" i="4"/>
  <c r="Q22" i="4"/>
  <c r="Q8" i="4"/>
  <c r="P72" i="2"/>
  <c r="Y14" i="2"/>
  <c r="Y16" i="2" s="1"/>
  <c r="Y18" i="2" s="1"/>
  <c r="S50" i="2"/>
  <c r="S24" i="2"/>
  <c r="S14" i="2"/>
  <c r="S16" i="2" s="1"/>
  <c r="S18" i="2" s="1"/>
  <c r="R50" i="2"/>
  <c r="R24" i="2"/>
  <c r="R14" i="2"/>
  <c r="R16" i="2" s="1"/>
  <c r="R18" i="2" s="1"/>
  <c r="P74" i="2"/>
  <c r="S72" i="2"/>
  <c r="R72" i="2"/>
  <c r="Q72" i="2"/>
  <c r="Q50" i="2"/>
  <c r="P14" i="2"/>
  <c r="P16" i="2" s="1"/>
  <c r="P18" i="2" s="1"/>
  <c r="P24" i="2"/>
  <c r="Q14" i="2"/>
  <c r="Q16" i="2" s="1"/>
  <c r="Q18" i="2" s="1"/>
  <c r="K12" i="5"/>
  <c r="K23" i="5" s="1"/>
  <c r="M20" i="5"/>
  <c r="M5" i="5"/>
  <c r="M11" i="5" s="1"/>
  <c r="M21" i="5" s="1"/>
  <c r="M6" i="5"/>
  <c r="M22" i="5" s="1"/>
  <c r="L14" i="5"/>
  <c r="L23" i="5"/>
  <c r="L21" i="5"/>
  <c r="H23" i="5"/>
  <c r="H14" i="5"/>
  <c r="H16" i="5" s="1"/>
  <c r="H18" i="5" s="1"/>
  <c r="I23" i="5"/>
  <c r="I14" i="5"/>
  <c r="I16" i="5" s="1"/>
  <c r="I18" i="5" s="1"/>
  <c r="AD11" i="2"/>
  <c r="AD12" i="2" s="1"/>
  <c r="AD14" i="2" s="1"/>
  <c r="AE13" i="2"/>
  <c r="AF13" i="2" s="1"/>
  <c r="AG13" i="2" s="1"/>
  <c r="AH13" i="2" s="1"/>
  <c r="AI13" i="2" s="1"/>
  <c r="AJ13" i="2" s="1"/>
  <c r="AK13" i="2" s="1"/>
  <c r="AL13" i="2" s="1"/>
  <c r="AC5" i="2"/>
  <c r="AC11" i="2" s="1"/>
  <c r="AC12" i="2" s="1"/>
  <c r="AC50" i="2" s="1"/>
  <c r="O72" i="2"/>
  <c r="O74" i="2"/>
  <c r="O50" i="2"/>
  <c r="O14" i="2"/>
  <c r="O16" i="2" s="1"/>
  <c r="O18" i="2" s="1"/>
  <c r="S22" i="2"/>
  <c r="O24" i="2"/>
  <c r="AC20" i="2"/>
  <c r="AE4" i="2"/>
  <c r="AD6" i="2"/>
  <c r="AD23" i="2" s="1"/>
  <c r="AD20" i="2"/>
  <c r="AB11" i="2"/>
  <c r="Z67" i="2"/>
  <c r="Z68" i="2" s="1"/>
  <c r="Z58" i="2"/>
  <c r="Z59" i="2" s="1"/>
  <c r="Z55" i="2"/>
  <c r="Z56" i="2" s="1"/>
  <c r="Y68" i="2"/>
  <c r="X68" i="2"/>
  <c r="W68" i="2"/>
  <c r="V68" i="2"/>
  <c r="AA66" i="2"/>
  <c r="AA68" i="2" s="1"/>
  <c r="Y59" i="2"/>
  <c r="X59" i="2"/>
  <c r="W59" i="2"/>
  <c r="V59" i="2"/>
  <c r="AA58" i="2"/>
  <c r="AA59" i="2" s="1"/>
  <c r="Y56" i="2"/>
  <c r="Y74" i="2" s="1"/>
  <c r="X56" i="2"/>
  <c r="W56" i="2"/>
  <c r="V56" i="2"/>
  <c r="V74" i="2" s="1"/>
  <c r="AA55" i="2"/>
  <c r="AA56" i="2" s="1"/>
  <c r="V50" i="2"/>
  <c r="W50" i="2"/>
  <c r="X50" i="2"/>
  <c r="Y50" i="2"/>
  <c r="W22" i="2"/>
  <c r="X22" i="2"/>
  <c r="Y22" i="2"/>
  <c r="W20" i="2"/>
  <c r="X20" i="2"/>
  <c r="Y20" i="2"/>
  <c r="Z20" i="2"/>
  <c r="AA20" i="2"/>
  <c r="Y24" i="2"/>
  <c r="X24" i="2"/>
  <c r="W24" i="2"/>
  <c r="V24" i="2"/>
  <c r="Y23" i="2"/>
  <c r="X23" i="2"/>
  <c r="W23" i="2"/>
  <c r="V23" i="2"/>
  <c r="Z13" i="2"/>
  <c r="Z11" i="2"/>
  <c r="Z12" i="2" s="1"/>
  <c r="Z6" i="2"/>
  <c r="Z23" i="2" s="1"/>
  <c r="AA13" i="2"/>
  <c r="AA11" i="2"/>
  <c r="AA12" i="2" s="1"/>
  <c r="AA50" i="2" s="1"/>
  <c r="AA6" i="2"/>
  <c r="AA23" i="2" s="1"/>
  <c r="J68" i="2"/>
  <c r="N68" i="2"/>
  <c r="J58" i="2"/>
  <c r="J59" i="2" s="1"/>
  <c r="F68" i="2"/>
  <c r="M68" i="2"/>
  <c r="D56" i="2"/>
  <c r="D74" i="2" s="1"/>
  <c r="E56" i="2"/>
  <c r="E74" i="2" s="1"/>
  <c r="F56" i="2"/>
  <c r="F74" i="2" s="1"/>
  <c r="G56" i="2"/>
  <c r="G74" i="2" s="1"/>
  <c r="H56" i="2"/>
  <c r="H74" i="2" s="1"/>
  <c r="I56" i="2"/>
  <c r="I74" i="2" s="1"/>
  <c r="J56" i="2"/>
  <c r="K56" i="2"/>
  <c r="L56" i="2"/>
  <c r="M56" i="2"/>
  <c r="M74" i="2" s="1"/>
  <c r="D59" i="2"/>
  <c r="E59" i="2"/>
  <c r="F59" i="2"/>
  <c r="G59" i="2"/>
  <c r="H59" i="2"/>
  <c r="I59" i="2"/>
  <c r="K59" i="2"/>
  <c r="L59" i="2"/>
  <c r="M59" i="2"/>
  <c r="N58" i="2"/>
  <c r="N56" i="2"/>
  <c r="J38" i="2"/>
  <c r="D38" i="2"/>
  <c r="E38" i="2"/>
  <c r="F38" i="2"/>
  <c r="G38" i="2"/>
  <c r="H38" i="2"/>
  <c r="I38" i="2"/>
  <c r="L38" i="2"/>
  <c r="M38" i="2"/>
  <c r="M46" i="2"/>
  <c r="M47" i="2" s="1"/>
  <c r="L46" i="2"/>
  <c r="L47" i="2" s="1"/>
  <c r="K46" i="2"/>
  <c r="K47" i="2" s="1"/>
  <c r="J46" i="2"/>
  <c r="J47" i="2" s="1"/>
  <c r="I46" i="2"/>
  <c r="I47" i="2" s="1"/>
  <c r="H46" i="2"/>
  <c r="H47" i="2" s="1"/>
  <c r="G46" i="2"/>
  <c r="G47" i="2" s="1"/>
  <c r="F46" i="2"/>
  <c r="F47" i="2" s="1"/>
  <c r="E46" i="2"/>
  <c r="E47" i="2" s="1"/>
  <c r="D46" i="2"/>
  <c r="D47" i="2" s="1"/>
  <c r="N46" i="2"/>
  <c r="N47" i="2" s="1"/>
  <c r="N38" i="2"/>
  <c r="H20" i="2"/>
  <c r="I20" i="2"/>
  <c r="J20" i="2"/>
  <c r="K20" i="2"/>
  <c r="L20" i="2"/>
  <c r="M20" i="2"/>
  <c r="N20" i="2"/>
  <c r="D11" i="2"/>
  <c r="D12" i="2" s="1"/>
  <c r="E11" i="2"/>
  <c r="E12" i="2" s="1"/>
  <c r="F11" i="2"/>
  <c r="F12" i="2" s="1"/>
  <c r="F50" i="2" s="1"/>
  <c r="G11" i="2"/>
  <c r="G12" i="2" s="1"/>
  <c r="G24" i="2" s="1"/>
  <c r="H11" i="2"/>
  <c r="H12" i="2" s="1"/>
  <c r="H24" i="2" s="1"/>
  <c r="I11" i="2"/>
  <c r="I12" i="2" s="1"/>
  <c r="I14" i="2" s="1"/>
  <c r="I16" i="2" s="1"/>
  <c r="I18" i="2" s="1"/>
  <c r="J11" i="2"/>
  <c r="J12" i="2" s="1"/>
  <c r="J14" i="2" s="1"/>
  <c r="J16" i="2" s="1"/>
  <c r="J18" i="2" s="1"/>
  <c r="K11" i="2"/>
  <c r="K12" i="2" s="1"/>
  <c r="L11" i="2"/>
  <c r="P22" i="2" s="1"/>
  <c r="M11" i="2"/>
  <c r="Q22" i="2" s="1"/>
  <c r="D6" i="2"/>
  <c r="D23" i="2" s="1"/>
  <c r="E6" i="2"/>
  <c r="E23" i="2" s="1"/>
  <c r="F6" i="2"/>
  <c r="F23" i="2" s="1"/>
  <c r="G6" i="2"/>
  <c r="G23" i="2" s="1"/>
  <c r="H6" i="2"/>
  <c r="H23" i="2" s="1"/>
  <c r="I6" i="2"/>
  <c r="I23" i="2" s="1"/>
  <c r="J6" i="2"/>
  <c r="J23" i="2" s="1"/>
  <c r="K6" i="2"/>
  <c r="K23" i="2" s="1"/>
  <c r="L6" i="2"/>
  <c r="L23" i="2" s="1"/>
  <c r="M6" i="2"/>
  <c r="M23" i="2" s="1"/>
  <c r="N11" i="2"/>
  <c r="N12" i="2" s="1"/>
  <c r="N6" i="2"/>
  <c r="N23" i="2" s="1"/>
  <c r="B6" i="2"/>
  <c r="B9" i="2" s="1"/>
  <c r="AC6" i="2" l="1"/>
  <c r="AC23" i="2" s="1"/>
  <c r="N59" i="2"/>
  <c r="AB58" i="2"/>
  <c r="O22" i="2"/>
  <c r="K14" i="5"/>
  <c r="M12" i="5"/>
  <c r="M23" i="5" s="1"/>
  <c r="Z14" i="2"/>
  <c r="Z16" i="2" s="1"/>
  <c r="Z18" i="2" s="1"/>
  <c r="R22" i="2"/>
  <c r="AA74" i="2"/>
  <c r="L15" i="5"/>
  <c r="L16" i="5"/>
  <c r="L18" i="5" s="1"/>
  <c r="K15" i="5"/>
  <c r="K16" i="5" s="1"/>
  <c r="N20" i="5"/>
  <c r="N5" i="5"/>
  <c r="N11" i="5" s="1"/>
  <c r="N21" i="5" s="1"/>
  <c r="AD15" i="2"/>
  <c r="AD16" i="2" s="1"/>
  <c r="AD18" i="2" s="1"/>
  <c r="E6" i="3" s="1"/>
  <c r="AA14" i="2"/>
  <c r="AA16" i="2" s="1"/>
  <c r="AA18" i="2" s="1"/>
  <c r="D5" i="3"/>
  <c r="E5" i="3"/>
  <c r="AE20" i="2"/>
  <c r="AE5" i="2"/>
  <c r="AE11" i="2" s="1"/>
  <c r="AF4" i="2"/>
  <c r="AD22" i="2"/>
  <c r="AC14" i="2"/>
  <c r="AC24" i="2"/>
  <c r="AB12" i="2"/>
  <c r="AB50" i="2" s="1"/>
  <c r="AB22" i="2"/>
  <c r="AC22" i="2"/>
  <c r="AA24" i="2"/>
  <c r="AA72" i="2"/>
  <c r="Z50" i="2"/>
  <c r="Z74" i="2"/>
  <c r="Z24" i="2"/>
  <c r="N22" i="2"/>
  <c r="K72" i="2"/>
  <c r="AA22" i="2"/>
  <c r="N72" i="2"/>
  <c r="J72" i="2"/>
  <c r="Z22" i="2"/>
  <c r="Z72" i="2"/>
  <c r="L72" i="2"/>
  <c r="M72" i="2"/>
  <c r="M22" i="2"/>
  <c r="I50" i="2"/>
  <c r="I24" i="2"/>
  <c r="W72" i="2"/>
  <c r="V72" i="2"/>
  <c r="W74" i="2"/>
  <c r="X72" i="2"/>
  <c r="X74" i="2"/>
  <c r="Y72" i="2"/>
  <c r="H14" i="2"/>
  <c r="H16" i="2" s="1"/>
  <c r="H18" i="2" s="1"/>
  <c r="G14" i="2"/>
  <c r="G16" i="2" s="1"/>
  <c r="G18" i="2" s="1"/>
  <c r="H50" i="2"/>
  <c r="D72" i="2"/>
  <c r="G50" i="2"/>
  <c r="E72" i="2"/>
  <c r="L22" i="2"/>
  <c r="N74" i="2"/>
  <c r="J50" i="2"/>
  <c r="E50" i="2"/>
  <c r="E24" i="2"/>
  <c r="E14" i="2"/>
  <c r="E16" i="2" s="1"/>
  <c r="E18" i="2" s="1"/>
  <c r="D50" i="2"/>
  <c r="D24" i="2"/>
  <c r="D14" i="2"/>
  <c r="D16" i="2" s="1"/>
  <c r="D18" i="2" s="1"/>
  <c r="N50" i="2"/>
  <c r="N14" i="2"/>
  <c r="N16" i="2" s="1"/>
  <c r="N18" i="2" s="1"/>
  <c r="N24" i="2"/>
  <c r="K14" i="2"/>
  <c r="K16" i="2" s="1"/>
  <c r="K18" i="2" s="1"/>
  <c r="K24" i="2"/>
  <c r="K50" i="2"/>
  <c r="M12" i="2"/>
  <c r="L74" i="2"/>
  <c r="L12" i="2"/>
  <c r="K22" i="2"/>
  <c r="F14" i="2"/>
  <c r="F16" i="2" s="1"/>
  <c r="F18" i="2" s="1"/>
  <c r="F24" i="2"/>
  <c r="K74" i="2"/>
  <c r="J22" i="2"/>
  <c r="I22" i="2"/>
  <c r="H22" i="2"/>
  <c r="J24" i="2"/>
  <c r="J74" i="2"/>
  <c r="I72" i="2"/>
  <c r="H72" i="2"/>
  <c r="G72" i="2"/>
  <c r="F72" i="2"/>
  <c r="AB59" i="2" l="1"/>
  <c r="AB72" i="2" s="1"/>
  <c r="AB74" i="2"/>
  <c r="M14" i="5"/>
  <c r="M15" i="5"/>
  <c r="M16" i="5"/>
  <c r="M18" i="5" s="1"/>
  <c r="K18" i="5"/>
  <c r="N6" i="5"/>
  <c r="N22" i="5" s="1"/>
  <c r="N12" i="5"/>
  <c r="O20" i="5"/>
  <c r="O5" i="5"/>
  <c r="O11" i="5" s="1"/>
  <c r="O21" i="5" s="1"/>
  <c r="AD24" i="2"/>
  <c r="AE22" i="2"/>
  <c r="AE12" i="2"/>
  <c r="F5" i="3" s="1"/>
  <c r="AG4" i="2"/>
  <c r="AF5" i="2"/>
  <c r="AF20" i="2"/>
  <c r="AC15" i="2"/>
  <c r="AC16" i="2" s="1"/>
  <c r="AE6" i="2"/>
  <c r="AE23" i="2" s="1"/>
  <c r="AB24" i="2"/>
  <c r="AB14" i="2"/>
  <c r="L50" i="2"/>
  <c r="L14" i="2"/>
  <c r="L16" i="2" s="1"/>
  <c r="L18" i="2" s="1"/>
  <c r="L24" i="2"/>
  <c r="M50" i="2"/>
  <c r="M14" i="2"/>
  <c r="M16" i="2" s="1"/>
  <c r="M18" i="2" s="1"/>
  <c r="M24" i="2"/>
  <c r="N23" i="5" l="1"/>
  <c r="N14" i="5"/>
  <c r="O12" i="5"/>
  <c r="O6" i="5"/>
  <c r="O22" i="5" s="1"/>
  <c r="P20" i="5"/>
  <c r="P5" i="5"/>
  <c r="P11" i="5" s="1"/>
  <c r="P21" i="5" s="1"/>
  <c r="AB16" i="2"/>
  <c r="AB25" i="2" s="1"/>
  <c r="AC18" i="2"/>
  <c r="D6" i="3" s="1"/>
  <c r="AF6" i="2"/>
  <c r="AF23" i="2" s="1"/>
  <c r="AF11" i="2"/>
  <c r="AH4" i="2"/>
  <c r="AG20" i="2"/>
  <c r="AG5" i="2"/>
  <c r="AE14" i="2"/>
  <c r="AE24" i="2"/>
  <c r="AB18" i="2" l="1"/>
  <c r="Q20" i="5"/>
  <c r="Q5" i="5"/>
  <c r="Q11" i="5" s="1"/>
  <c r="Q21" i="5" s="1"/>
  <c r="Q6" i="5"/>
  <c r="Q22" i="5" s="1"/>
  <c r="P12" i="5"/>
  <c r="O23" i="5"/>
  <c r="O14" i="5"/>
  <c r="N15" i="5"/>
  <c r="N16" i="5" s="1"/>
  <c r="P6" i="5"/>
  <c r="P22" i="5" s="1"/>
  <c r="AG6" i="2"/>
  <c r="AG23" i="2" s="1"/>
  <c r="AG11" i="2"/>
  <c r="AH5" i="2"/>
  <c r="AH11" i="2" s="1"/>
  <c r="AH6" i="2"/>
  <c r="AH23" i="2" s="1"/>
  <c r="AH20" i="2"/>
  <c r="AI4" i="2"/>
  <c r="AF12" i="2"/>
  <c r="AF22" i="2"/>
  <c r="AE15" i="2"/>
  <c r="AE16" i="2" s="1"/>
  <c r="N18" i="5" l="1"/>
  <c r="O15" i="5"/>
  <c r="O16" i="5" s="1"/>
  <c r="P23" i="5"/>
  <c r="P14" i="5"/>
  <c r="R20" i="5"/>
  <c r="R5" i="5"/>
  <c r="R11" i="5" s="1"/>
  <c r="R21" i="5" s="1"/>
  <c r="Q12" i="5"/>
  <c r="AH22" i="2"/>
  <c r="AH12" i="2"/>
  <c r="AH24" i="2" s="1"/>
  <c r="AE18" i="2"/>
  <c r="F6" i="3" s="1"/>
  <c r="AF14" i="2"/>
  <c r="AF24" i="2"/>
  <c r="AH14" i="2"/>
  <c r="AI5" i="2"/>
  <c r="AI11" i="2" s="1"/>
  <c r="AI22" i="2" s="1"/>
  <c r="AI20" i="2"/>
  <c r="AJ4" i="2"/>
  <c r="AG22" i="2"/>
  <c r="AG12" i="2"/>
  <c r="R6" i="5" l="1"/>
  <c r="R22" i="5" s="1"/>
  <c r="O18" i="5"/>
  <c r="P15" i="5"/>
  <c r="P16" i="5" s="1"/>
  <c r="Q14" i="5"/>
  <c r="Q23" i="5"/>
  <c r="S20" i="5"/>
  <c r="S5" i="5"/>
  <c r="S11" i="5" s="1"/>
  <c r="S21" i="5" s="1"/>
  <c r="R12" i="5"/>
  <c r="AG14" i="2"/>
  <c r="AG24" i="2"/>
  <c r="AI12" i="2"/>
  <c r="AF15" i="2"/>
  <c r="AF16" i="2" s="1"/>
  <c r="AH15" i="2"/>
  <c r="AH16" i="2" s="1"/>
  <c r="AH18" i="2" s="1"/>
  <c r="AJ5" i="2"/>
  <c r="AJ11" i="2" s="1"/>
  <c r="AJ22" i="2" s="1"/>
  <c r="AK4" i="2"/>
  <c r="AJ20" i="2"/>
  <c r="AI6" i="2"/>
  <c r="AI23" i="2" s="1"/>
  <c r="S6" i="5" l="1"/>
  <c r="S22" i="5" s="1"/>
  <c r="P18" i="5"/>
  <c r="Q15" i="5"/>
  <c r="Q16" i="5"/>
  <c r="Q18" i="5" s="1"/>
  <c r="R14" i="5"/>
  <c r="R23" i="5"/>
  <c r="T5" i="5"/>
  <c r="T11" i="5" s="1"/>
  <c r="T21" i="5" s="1"/>
  <c r="T20" i="5"/>
  <c r="S12" i="5"/>
  <c r="AF18" i="2"/>
  <c r="AJ12" i="2"/>
  <c r="AJ6" i="2"/>
  <c r="AJ23" i="2" s="1"/>
  <c r="AI14" i="2"/>
  <c r="AI24" i="2"/>
  <c r="AK5" i="2"/>
  <c r="AK11" i="2" s="1"/>
  <c r="AK22" i="2" s="1"/>
  <c r="AK20" i="2"/>
  <c r="AL4" i="2"/>
  <c r="AG15" i="2"/>
  <c r="AG16" i="2" s="1"/>
  <c r="T12" i="5" l="1"/>
  <c r="R15" i="5"/>
  <c r="R16" i="5" s="1"/>
  <c r="R18" i="5" s="1"/>
  <c r="S14" i="5"/>
  <c r="S23" i="5"/>
  <c r="T6" i="5"/>
  <c r="T22" i="5" s="1"/>
  <c r="AG18" i="2"/>
  <c r="AI15" i="2"/>
  <c r="AI16" i="2" s="1"/>
  <c r="AK12" i="2"/>
  <c r="AJ14" i="2"/>
  <c r="AJ24" i="2"/>
  <c r="AL5" i="2"/>
  <c r="AL11" i="2" s="1"/>
  <c r="AL22" i="2" s="1"/>
  <c r="AL20" i="2"/>
  <c r="AK6" i="2"/>
  <c r="AK23" i="2" s="1"/>
  <c r="S15" i="5" l="1"/>
  <c r="S16" i="5"/>
  <c r="S18" i="5" s="1"/>
  <c r="T23" i="5"/>
  <c r="T14" i="5"/>
  <c r="AI18" i="2"/>
  <c r="AK14" i="2"/>
  <c r="AK24" i="2"/>
  <c r="AL6" i="2"/>
  <c r="AL23" i="2" s="1"/>
  <c r="AJ15" i="2"/>
  <c r="AJ16" i="2" s="1"/>
  <c r="AJ18" i="2" s="1"/>
  <c r="AL12" i="2"/>
  <c r="T15" i="5" l="1"/>
  <c r="T16" i="5"/>
  <c r="U16" i="5" s="1"/>
  <c r="V16" i="5" s="1"/>
  <c r="W16" i="5" s="1"/>
  <c r="X16" i="5" s="1"/>
  <c r="Y16" i="5" s="1"/>
  <c r="Z16" i="5" s="1"/>
  <c r="AA16" i="5" s="1"/>
  <c r="AB16" i="5" s="1"/>
  <c r="AC16" i="5" s="1"/>
  <c r="AD16" i="5" s="1"/>
  <c r="AE16" i="5" s="1"/>
  <c r="AF16" i="5" s="1"/>
  <c r="AG16" i="5" s="1"/>
  <c r="AH16" i="5" s="1"/>
  <c r="AI16" i="5" s="1"/>
  <c r="AJ16" i="5" s="1"/>
  <c r="AK16" i="5" s="1"/>
  <c r="AL16" i="5" s="1"/>
  <c r="AM16" i="5" s="1"/>
  <c r="AN16" i="5" s="1"/>
  <c r="AO16" i="5" s="1"/>
  <c r="AP16" i="5" s="1"/>
  <c r="AQ16" i="5" s="1"/>
  <c r="AR16" i="5" s="1"/>
  <c r="AS16" i="5" s="1"/>
  <c r="AT16" i="5" s="1"/>
  <c r="AU16" i="5" s="1"/>
  <c r="AV16" i="5" s="1"/>
  <c r="AW16" i="5" s="1"/>
  <c r="AX16" i="5" s="1"/>
  <c r="AY16" i="5" s="1"/>
  <c r="AZ16" i="5" s="1"/>
  <c r="BA16" i="5" s="1"/>
  <c r="BB16" i="5" s="1"/>
  <c r="BC16" i="5" s="1"/>
  <c r="BD16" i="5" s="1"/>
  <c r="BE16" i="5" s="1"/>
  <c r="BF16" i="5" s="1"/>
  <c r="BG16" i="5" s="1"/>
  <c r="BH16" i="5" s="1"/>
  <c r="BI16" i="5" s="1"/>
  <c r="BJ16" i="5" s="1"/>
  <c r="BK16" i="5" s="1"/>
  <c r="BL16" i="5" s="1"/>
  <c r="BM16" i="5" s="1"/>
  <c r="BN16" i="5" s="1"/>
  <c r="BO16" i="5" s="1"/>
  <c r="BP16" i="5" s="1"/>
  <c r="BQ16" i="5" s="1"/>
  <c r="BR16" i="5" s="1"/>
  <c r="BS16" i="5" s="1"/>
  <c r="BT16" i="5" s="1"/>
  <c r="BU16" i="5" s="1"/>
  <c r="BV16" i="5" s="1"/>
  <c r="BW16" i="5" s="1"/>
  <c r="BX16" i="5" s="1"/>
  <c r="BY16" i="5" s="1"/>
  <c r="BZ16" i="5" s="1"/>
  <c r="CA16" i="5" s="1"/>
  <c r="CB16" i="5" s="1"/>
  <c r="CC16" i="5" s="1"/>
  <c r="CD16" i="5" s="1"/>
  <c r="CE16" i="5" s="1"/>
  <c r="CF16" i="5" s="1"/>
  <c r="CG16" i="5" s="1"/>
  <c r="CH16" i="5" s="1"/>
  <c r="CI16" i="5" s="1"/>
  <c r="CJ16" i="5" s="1"/>
  <c r="CK16" i="5" s="1"/>
  <c r="CL16" i="5" s="1"/>
  <c r="CM16" i="5" s="1"/>
  <c r="CN16" i="5" s="1"/>
  <c r="CO16" i="5" s="1"/>
  <c r="CP16" i="5" s="1"/>
  <c r="CQ16" i="5" s="1"/>
  <c r="CR16" i="5" s="1"/>
  <c r="CS16" i="5" s="1"/>
  <c r="CT16" i="5" s="1"/>
  <c r="CU16" i="5" s="1"/>
  <c r="CV16" i="5" s="1"/>
  <c r="CW16" i="5" s="1"/>
  <c r="CX16" i="5" s="1"/>
  <c r="CY16" i="5" s="1"/>
  <c r="CZ16" i="5" s="1"/>
  <c r="DA16" i="5" s="1"/>
  <c r="DB16" i="5" s="1"/>
  <c r="DC16" i="5" s="1"/>
  <c r="DD16" i="5" s="1"/>
  <c r="DE16" i="5" s="1"/>
  <c r="DF16" i="5" s="1"/>
  <c r="DG16" i="5" s="1"/>
  <c r="DH16" i="5" s="1"/>
  <c r="DI16" i="5" s="1"/>
  <c r="DJ16" i="5" s="1"/>
  <c r="DK16" i="5" s="1"/>
  <c r="DL16" i="5" s="1"/>
  <c r="DM16" i="5" s="1"/>
  <c r="DN16" i="5" s="1"/>
  <c r="DO16" i="5" s="1"/>
  <c r="DP16" i="5" s="1"/>
  <c r="DQ16" i="5" s="1"/>
  <c r="DR16" i="5" s="1"/>
  <c r="DS16" i="5" s="1"/>
  <c r="DT16" i="5" s="1"/>
  <c r="DU16" i="5" s="1"/>
  <c r="DV16" i="5" s="1"/>
  <c r="DW16" i="5" s="1"/>
  <c r="DX16" i="5" s="1"/>
  <c r="DY16" i="5" s="1"/>
  <c r="DZ16" i="5" s="1"/>
  <c r="EA16" i="5" s="1"/>
  <c r="EB16" i="5" s="1"/>
  <c r="EC16" i="5" s="1"/>
  <c r="ED16" i="5" s="1"/>
  <c r="EE16" i="5" s="1"/>
  <c r="EF16" i="5" s="1"/>
  <c r="EG16" i="5" s="1"/>
  <c r="EH16" i="5" s="1"/>
  <c r="EI16" i="5" s="1"/>
  <c r="EJ16" i="5" s="1"/>
  <c r="EK16" i="5" s="1"/>
  <c r="EL16" i="5" s="1"/>
  <c r="EM16" i="5" s="1"/>
  <c r="EN16" i="5" s="1"/>
  <c r="EO16" i="5" s="1"/>
  <c r="EP16" i="5" s="1"/>
  <c r="EQ16" i="5" s="1"/>
  <c r="ER16" i="5" s="1"/>
  <c r="ES16" i="5" s="1"/>
  <c r="ET16" i="5" s="1"/>
  <c r="EU16" i="5" s="1"/>
  <c r="EV16" i="5" s="1"/>
  <c r="EW16" i="5" s="1"/>
  <c r="EX16" i="5" s="1"/>
  <c r="AK15" i="2"/>
  <c r="AK16" i="2" s="1"/>
  <c r="AK18" i="2" s="1"/>
  <c r="AL24" i="2"/>
  <c r="AL14" i="2"/>
  <c r="W21" i="5" l="1"/>
  <c r="W23" i="5" s="1"/>
  <c r="T18" i="5"/>
  <c r="AL15" i="2"/>
  <c r="AL16" i="2" s="1"/>
  <c r="W24" i="5" l="1"/>
  <c r="A6" i="5" s="1"/>
  <c r="A5" i="5"/>
  <c r="AL18" i="2"/>
  <c r="AM16" i="2"/>
  <c r="AN16" i="2" s="1"/>
  <c r="AO16" i="2" s="1"/>
  <c r="AP16" i="2" s="1"/>
  <c r="AQ16" i="2" s="1"/>
  <c r="AR16" i="2" s="1"/>
  <c r="AS16" i="2" s="1"/>
  <c r="AT16" i="2" s="1"/>
  <c r="AU16" i="2" s="1"/>
  <c r="AV16" i="2" s="1"/>
  <c r="AW16" i="2" s="1"/>
  <c r="AX16" i="2" s="1"/>
  <c r="AY16" i="2" s="1"/>
  <c r="AZ16" i="2" s="1"/>
  <c r="BA16" i="2" s="1"/>
  <c r="BB16" i="2" s="1"/>
  <c r="BC16" i="2" s="1"/>
  <c r="BD16" i="2" s="1"/>
  <c r="BE16" i="2" s="1"/>
  <c r="BF16" i="2" s="1"/>
  <c r="BG16" i="2" s="1"/>
  <c r="BH16" i="2" s="1"/>
  <c r="BI16" i="2" s="1"/>
  <c r="BJ16" i="2" s="1"/>
  <c r="BK16" i="2" s="1"/>
  <c r="BL16" i="2" s="1"/>
  <c r="BM16" i="2" s="1"/>
  <c r="BN16" i="2" s="1"/>
  <c r="BO16" i="2" s="1"/>
  <c r="BP16" i="2" s="1"/>
  <c r="BQ16" i="2" s="1"/>
  <c r="BR16" i="2" s="1"/>
  <c r="BS16" i="2" s="1"/>
  <c r="BT16" i="2" s="1"/>
  <c r="BU16" i="2" s="1"/>
  <c r="BV16" i="2" s="1"/>
  <c r="BW16" i="2" s="1"/>
  <c r="BX16" i="2" s="1"/>
  <c r="BY16" i="2" s="1"/>
  <c r="BZ16" i="2" s="1"/>
  <c r="CA16" i="2" s="1"/>
  <c r="CB16" i="2" s="1"/>
  <c r="CC16" i="2" s="1"/>
  <c r="CD16" i="2" s="1"/>
  <c r="CE16" i="2" s="1"/>
  <c r="CF16" i="2" s="1"/>
  <c r="CG16" i="2" s="1"/>
  <c r="CH16" i="2" s="1"/>
  <c r="CI16" i="2" s="1"/>
  <c r="CJ16" i="2" s="1"/>
  <c r="CK16" i="2" s="1"/>
  <c r="CL16" i="2" s="1"/>
  <c r="CM16" i="2" s="1"/>
  <c r="CN16" i="2" s="1"/>
  <c r="CO16" i="2" s="1"/>
  <c r="CP16" i="2" s="1"/>
  <c r="CQ16" i="2" s="1"/>
  <c r="CR16" i="2" s="1"/>
  <c r="CS16" i="2" s="1"/>
  <c r="CT16" i="2" s="1"/>
  <c r="CU16" i="2" s="1"/>
  <c r="CV16" i="2" s="1"/>
  <c r="CW16" i="2" s="1"/>
  <c r="CX16" i="2" s="1"/>
  <c r="CY16" i="2" s="1"/>
  <c r="CZ16" i="2" s="1"/>
  <c r="DA16" i="2" s="1"/>
  <c r="DB16" i="2" s="1"/>
  <c r="DC16" i="2" s="1"/>
  <c r="DD16" i="2" s="1"/>
  <c r="DE16" i="2" s="1"/>
  <c r="DF16" i="2" s="1"/>
  <c r="DG16" i="2" s="1"/>
  <c r="DH16" i="2" s="1"/>
  <c r="DI16" i="2" s="1"/>
  <c r="DJ16" i="2" s="1"/>
  <c r="DK16" i="2" s="1"/>
  <c r="DL16" i="2" s="1"/>
  <c r="DM16" i="2" s="1"/>
  <c r="DN16" i="2" s="1"/>
  <c r="DO16" i="2" s="1"/>
  <c r="DP16" i="2" s="1"/>
  <c r="DQ16" i="2" s="1"/>
  <c r="DR16" i="2" s="1"/>
  <c r="DS16" i="2" s="1"/>
  <c r="DT16" i="2" s="1"/>
  <c r="DU16" i="2" s="1"/>
  <c r="DV16" i="2" s="1"/>
  <c r="DW16" i="2" s="1"/>
  <c r="DX16" i="2" s="1"/>
  <c r="DY16" i="2" s="1"/>
  <c r="DZ16" i="2" s="1"/>
  <c r="EA16" i="2" s="1"/>
  <c r="EB16" i="2" s="1"/>
  <c r="EC16" i="2" s="1"/>
  <c r="ED16" i="2" s="1"/>
  <c r="EE16" i="2" s="1"/>
  <c r="EF16" i="2" s="1"/>
  <c r="EG16" i="2" s="1"/>
  <c r="EH16" i="2" s="1"/>
  <c r="EI16" i="2" s="1"/>
  <c r="EJ16" i="2" s="1"/>
  <c r="EK16" i="2" s="1"/>
  <c r="EL16" i="2" s="1"/>
  <c r="EM16" i="2" s="1"/>
  <c r="EN16" i="2" s="1"/>
  <c r="EO16" i="2" s="1"/>
  <c r="EP16" i="2" s="1"/>
  <c r="EQ16" i="2" s="1"/>
  <c r="ER16" i="2" s="1"/>
  <c r="ES16" i="2" s="1"/>
  <c r="ET16" i="2" s="1"/>
  <c r="EU16" i="2" s="1"/>
  <c r="EV16" i="2" s="1"/>
  <c r="EW16" i="2" s="1"/>
  <c r="EX16" i="2" s="1"/>
  <c r="EY16" i="2" s="1"/>
  <c r="EZ16" i="2" s="1"/>
  <c r="FA16" i="2" s="1"/>
  <c r="FB16" i="2" s="1"/>
  <c r="FC16" i="2" s="1"/>
  <c r="FD16" i="2" s="1"/>
  <c r="FE16" i="2" s="1"/>
  <c r="FF16" i="2" s="1"/>
  <c r="FG16" i="2" s="1"/>
  <c r="FH16" i="2" s="1"/>
  <c r="FI16" i="2" s="1"/>
  <c r="FJ16" i="2" s="1"/>
  <c r="FK16" i="2" s="1"/>
  <c r="FL16" i="2" s="1"/>
  <c r="FM16" i="2" s="1"/>
  <c r="FN16" i="2" s="1"/>
  <c r="FO16" i="2" s="1"/>
  <c r="FP16" i="2" s="1"/>
  <c r="AO21" i="2" s="1"/>
  <c r="AO23" i="2" s="1"/>
  <c r="AO24" i="2" s="1"/>
</calcChain>
</file>

<file path=xl/sharedStrings.xml><?xml version="1.0" encoding="utf-8"?>
<sst xmlns="http://schemas.openxmlformats.org/spreadsheetml/2006/main" count="227" uniqueCount="137">
  <si>
    <t>Kapitalstruktur</t>
  </si>
  <si>
    <t>Price</t>
  </si>
  <si>
    <t>S/O</t>
  </si>
  <si>
    <t>Revenue y/y</t>
  </si>
  <si>
    <t>EBIT margin</t>
  </si>
  <si>
    <t>EV/EBIT</t>
  </si>
  <si>
    <t>P/E</t>
  </si>
  <si>
    <t>SEK million</t>
  </si>
  <si>
    <t>MC SEKm</t>
  </si>
  <si>
    <t>Cash SEKm</t>
  </si>
  <si>
    <t>Debt SEKm</t>
  </si>
  <si>
    <t>EV SEKm</t>
  </si>
  <si>
    <t>Balanse SEKm</t>
  </si>
  <si>
    <t>Cash flow SEKm</t>
  </si>
  <si>
    <t>Revenue</t>
  </si>
  <si>
    <t>Gross profit</t>
  </si>
  <si>
    <t>Total opex</t>
  </si>
  <si>
    <t>Operating income (EBIT)</t>
  </si>
  <si>
    <t>Net financial items</t>
  </si>
  <si>
    <t>PTP</t>
  </si>
  <si>
    <t>Net income</t>
  </si>
  <si>
    <t>Share</t>
  </si>
  <si>
    <t>EPS</t>
  </si>
  <si>
    <t>Gross margin</t>
  </si>
  <si>
    <t>Current receivables</t>
  </si>
  <si>
    <t>Cash</t>
  </si>
  <si>
    <t>Total assets</t>
  </si>
  <si>
    <t>Other current liabilities</t>
  </si>
  <si>
    <t>Total debt</t>
  </si>
  <si>
    <t>Total E/D</t>
  </si>
  <si>
    <t>Model EBIT</t>
  </si>
  <si>
    <t>Reported EBIT</t>
  </si>
  <si>
    <t>Tax paid</t>
  </si>
  <si>
    <t>WC</t>
  </si>
  <si>
    <t>CFFO</t>
  </si>
  <si>
    <t>Capex</t>
  </si>
  <si>
    <t>CFFI</t>
  </si>
  <si>
    <t>CFFF</t>
  </si>
  <si>
    <t>FX</t>
  </si>
  <si>
    <t>CIC</t>
  </si>
  <si>
    <t>FCF</t>
  </si>
  <si>
    <t>Avvikende regnskapsår:</t>
  </si>
  <si>
    <t>Q1: 1. juli - 30. september</t>
  </si>
  <si>
    <t>Q2: 1. oktober - 31. desember</t>
  </si>
  <si>
    <t>Q3: 1. januar - 31. mars</t>
  </si>
  <si>
    <t>Q4: 1. april- 30. juni</t>
  </si>
  <si>
    <t>Cost of service</t>
  </si>
  <si>
    <t>Other external expenses</t>
  </si>
  <si>
    <t>Personnel expenses</t>
  </si>
  <si>
    <t>D/A</t>
  </si>
  <si>
    <t>Items affecting comparability</t>
  </si>
  <si>
    <t>Tax</t>
  </si>
  <si>
    <t>Opex y/y</t>
  </si>
  <si>
    <t>Q3 24/25</t>
  </si>
  <si>
    <t>Q4 24/25</t>
  </si>
  <si>
    <t>Q2 24/25</t>
  </si>
  <si>
    <t>Q1 24/25</t>
  </si>
  <si>
    <t>Q4 23/24</t>
  </si>
  <si>
    <t>Q3 23/24</t>
  </si>
  <si>
    <t>Q2 23/24</t>
  </si>
  <si>
    <t>Q1 23/24</t>
  </si>
  <si>
    <t>Intangible non-current assets</t>
  </si>
  <si>
    <t>Buildings</t>
  </si>
  <si>
    <t>Right-of-use assets</t>
  </si>
  <si>
    <t>Other PP&amp;E</t>
  </si>
  <si>
    <t>Other non-current assets</t>
  </si>
  <si>
    <t>Total Equity</t>
  </si>
  <si>
    <t>Non-current liabilities to banks</t>
  </si>
  <si>
    <t>Long-term lease liabilities</t>
  </si>
  <si>
    <t>Provisions and other non-current lia</t>
  </si>
  <si>
    <t>Current IB liabilities</t>
  </si>
  <si>
    <t>Short-term lease liabilities</t>
  </si>
  <si>
    <t>Non-cash items</t>
  </si>
  <si>
    <t>Interest received/paid</t>
  </si>
  <si>
    <t>Interest paid, lease liabilities</t>
  </si>
  <si>
    <t>Dividend paid</t>
  </si>
  <si>
    <t>New share issue</t>
  </si>
  <si>
    <t>Issue of warrents</t>
  </si>
  <si>
    <t>Increae/decrease IB debt</t>
  </si>
  <si>
    <t>Repayment of lease liabiliteis</t>
  </si>
  <si>
    <t>FY 23/24</t>
  </si>
  <si>
    <t>FY 22/23</t>
  </si>
  <si>
    <t>FY 21/22</t>
  </si>
  <si>
    <t>FY 20/21</t>
  </si>
  <si>
    <t>FY 19/20</t>
  </si>
  <si>
    <t>FY 18/19</t>
  </si>
  <si>
    <t>FY 24/25</t>
  </si>
  <si>
    <t>FY 25/26</t>
  </si>
  <si>
    <t>FY 26/27</t>
  </si>
  <si>
    <t>FY 27/28</t>
  </si>
  <si>
    <t>FY 28/29</t>
  </si>
  <si>
    <t>FY 29/30</t>
  </si>
  <si>
    <t>FY 30/31</t>
  </si>
  <si>
    <t>FY 31/32</t>
  </si>
  <si>
    <t>FY 32/33</t>
  </si>
  <si>
    <t>FY 33/34</t>
  </si>
  <si>
    <t>FY 34/35</t>
  </si>
  <si>
    <t>Q4 22/23</t>
  </si>
  <si>
    <t>Q3 22/23</t>
  </si>
  <si>
    <t>Q2 22/23</t>
  </si>
  <si>
    <t>Q1 22/23</t>
  </si>
  <si>
    <t>Q1 25/26</t>
  </si>
  <si>
    <t>Q2 25/26</t>
  </si>
  <si>
    <t>Q3 25/26</t>
  </si>
  <si>
    <t>Q4 25/26</t>
  </si>
  <si>
    <t> </t>
  </si>
  <si>
    <t>Discount</t>
  </si>
  <si>
    <t>TV</t>
  </si>
  <si>
    <t>NPV</t>
  </si>
  <si>
    <t>NPV/Share</t>
  </si>
  <si>
    <t>Opp/nedside</t>
  </si>
  <si>
    <t>25/26</t>
  </si>
  <si>
    <t>26/27</t>
  </si>
  <si>
    <t>ROE</t>
  </si>
  <si>
    <t>Growth %</t>
  </si>
  <si>
    <t>Childen and students</t>
  </si>
  <si>
    <t>Number of units</t>
  </si>
  <si>
    <t>Compulsory school</t>
  </si>
  <si>
    <t>Upper secondary school</t>
  </si>
  <si>
    <t>Adult education</t>
  </si>
  <si>
    <t>Nedside</t>
  </si>
  <si>
    <t>Number of children and students</t>
  </si>
  <si>
    <t>y/y</t>
  </si>
  <si>
    <t>Nullvekst og konstante marginer</t>
  </si>
  <si>
    <t>27/28</t>
  </si>
  <si>
    <t>Organic growth</t>
  </si>
  <si>
    <t>EBITA</t>
  </si>
  <si>
    <t>EBITA margin %</t>
  </si>
  <si>
    <t>Preschool and international</t>
  </si>
  <si>
    <t>EBITA 25/26E</t>
  </si>
  <si>
    <t>EV/EBITA</t>
  </si>
  <si>
    <t>Value</t>
  </si>
  <si>
    <t>SEK/Share</t>
  </si>
  <si>
    <t>SEKm</t>
  </si>
  <si>
    <t>Enterprise value</t>
  </si>
  <si>
    <t>Debt (Ex lease)</t>
  </si>
  <si>
    <t>Equity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</si>
</sst>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kr&quot;\ #,##0.00_);[Red]\(&quot;kr&quot;\ #,##0.00\)"/>
    <numFmt numFmtId="164" formatCode="#,##0.0"/>
    <numFmt numFmtId="165" formatCode="0.0"/>
    <numFmt numFmtId="166" formatCode="0.0\ %"/>
    <numFmt numFmtId="167" formatCode="&quot;kr&quot;\ #,##0.0_);[Red]\(&quot;kr&quot;\ #,##0.0\)"/>
  </numFmts>
  <fonts count="10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0" fontId="2" fillId="0" borderId="0" xfId="0" applyFont="1" applyAlignment="1">
      <alignment horizontal="righ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3" fontId="1" fillId="0" borderId="0" xfId="0" applyNumberFormat="1" applyFont="1"/>
    <xf numFmtId="3" fontId="1" fillId="0" borderId="1" xfId="0" applyNumberFormat="1" applyFont="1" applyBorder="1"/>
    <xf numFmtId="3" fontId="2" fillId="0" borderId="0" xfId="0" applyNumberFormat="1" applyFont="1"/>
    <xf numFmtId="3" fontId="2" fillId="0" borderId="1" xfId="0" applyNumberFormat="1" applyFont="1" applyBorder="1"/>
    <xf numFmtId="3" fontId="4" fillId="0" borderId="0" xfId="0" applyNumberFormat="1" applyFont="1"/>
    <xf numFmtId="0" fontId="2" fillId="0" borderId="1" xfId="0" applyFont="1" applyBorder="1" applyAlignment="1">
      <alignment horizontal="right"/>
    </xf>
    <xf numFmtId="10" fontId="1" fillId="0" borderId="0" xfId="0" applyNumberFormat="1" applyFont="1"/>
    <xf numFmtId="2" fontId="2" fillId="0" borderId="0" xfId="0" applyNumberFormat="1" applyFont="1"/>
    <xf numFmtId="10" fontId="2" fillId="0" borderId="0" xfId="0" applyNumberFormat="1" applyFont="1"/>
    <xf numFmtId="2" fontId="2" fillId="0" borderId="1" xfId="0" applyNumberFormat="1" applyFont="1" applyBorder="1"/>
    <xf numFmtId="10" fontId="1" fillId="0" borderId="1" xfId="0" applyNumberFormat="1" applyFont="1" applyBorder="1"/>
    <xf numFmtId="10" fontId="2" fillId="0" borderId="1" xfId="0" applyNumberFormat="1" applyFont="1" applyBorder="1"/>
    <xf numFmtId="166" fontId="2" fillId="0" borderId="1" xfId="0" applyNumberFormat="1" applyFont="1" applyBorder="1"/>
    <xf numFmtId="0" fontId="5" fillId="0" borderId="2" xfId="0" applyFont="1" applyBorder="1"/>
    <xf numFmtId="9" fontId="2" fillId="0" borderId="0" xfId="0" applyNumberFormat="1" applyFont="1"/>
    <xf numFmtId="0" fontId="2" fillId="0" borderId="3" xfId="0" applyFont="1" applyBorder="1"/>
    <xf numFmtId="164" fontId="2" fillId="0" borderId="0" xfId="0" applyNumberFormat="1" applyFont="1"/>
    <xf numFmtId="8" fontId="2" fillId="0" borderId="3" xfId="0" applyNumberFormat="1" applyFont="1" applyBorder="1"/>
    <xf numFmtId="165" fontId="6" fillId="0" borderId="2" xfId="0" applyNumberFormat="1" applyFont="1" applyBorder="1"/>
    <xf numFmtId="10" fontId="4" fillId="0" borderId="0" xfId="0" applyNumberFormat="1" applyFont="1"/>
    <xf numFmtId="10" fontId="4" fillId="0" borderId="3" xfId="0" applyNumberFormat="1" applyFont="1" applyBorder="1"/>
    <xf numFmtId="0" fontId="1" fillId="0" borderId="5" xfId="0" applyFont="1" applyBorder="1" applyAlignment="1">
      <alignment horizontal="right"/>
    </xf>
    <xf numFmtId="0" fontId="2" fillId="0" borderId="5" xfId="0" applyFont="1" applyBorder="1"/>
    <xf numFmtId="0" fontId="1" fillId="0" borderId="5" xfId="0" applyFont="1" applyBorder="1"/>
    <xf numFmtId="10" fontId="3" fillId="0" borderId="5" xfId="0" applyNumberFormat="1" applyFont="1" applyBorder="1"/>
    <xf numFmtId="3" fontId="2" fillId="0" borderId="5" xfId="0" applyNumberFormat="1" applyFont="1" applyBorder="1"/>
    <xf numFmtId="0" fontId="2" fillId="0" borderId="4" xfId="0" applyFont="1" applyBorder="1"/>
    <xf numFmtId="10" fontId="3" fillId="0" borderId="4" xfId="0" applyNumberFormat="1" applyFont="1" applyBorder="1"/>
    <xf numFmtId="3" fontId="1" fillId="0" borderId="5" xfId="0" applyNumberFormat="1" applyFont="1" applyBorder="1"/>
    <xf numFmtId="0" fontId="1" fillId="0" borderId="4" xfId="0" applyFont="1" applyBorder="1"/>
    <xf numFmtId="167" fontId="2" fillId="0" borderId="0" xfId="0" applyNumberFormat="1" applyFont="1" applyAlignment="1">
      <alignment horizontal="right"/>
    </xf>
    <xf numFmtId="0" fontId="1" fillId="0" borderId="7" xfId="0" applyFont="1" applyBorder="1"/>
    <xf numFmtId="0" fontId="2" fillId="0" borderId="6" xfId="0" applyFont="1" applyBorder="1"/>
    <xf numFmtId="0" fontId="1" fillId="0" borderId="6" xfId="0" applyFont="1" applyBorder="1"/>
    <xf numFmtId="10" fontId="3" fillId="0" borderId="6" xfId="0" applyNumberFormat="1" applyFont="1" applyBorder="1"/>
    <xf numFmtId="0" fontId="2" fillId="0" borderId="7" xfId="0" applyFont="1" applyBorder="1"/>
    <xf numFmtId="3" fontId="2" fillId="0" borderId="6" xfId="0" applyNumberFormat="1" applyFont="1" applyBorder="1"/>
    <xf numFmtId="3" fontId="1" fillId="0" borderId="6" xfId="0" applyNumberFormat="1" applyFont="1" applyBorder="1"/>
    <xf numFmtId="167" fontId="1" fillId="0" borderId="0" xfId="0" applyNumberFormat="1" applyFont="1"/>
    <xf numFmtId="0" fontId="2" fillId="0" borderId="0" xfId="0" applyFont="1" applyBorder="1"/>
    <xf numFmtId="0" fontId="2" fillId="0" borderId="0" xfId="0" applyFont="1" applyBorder="1" applyAlignment="1">
      <alignment horizontal="right"/>
    </xf>
    <xf numFmtId="3" fontId="1" fillId="0" borderId="0" xfId="0" applyNumberFormat="1" applyFont="1" applyBorder="1"/>
    <xf numFmtId="3" fontId="2" fillId="0" borderId="0" xfId="0" applyNumberFormat="1" applyFont="1" applyBorder="1"/>
    <xf numFmtId="2" fontId="2" fillId="0" borderId="0" xfId="0" applyNumberFormat="1" applyFont="1" applyBorder="1"/>
    <xf numFmtId="10" fontId="1" fillId="0" borderId="0" xfId="0" applyNumberFormat="1" applyFont="1" applyBorder="1"/>
    <xf numFmtId="10" fontId="2" fillId="0" borderId="0" xfId="0" applyNumberFormat="1" applyFont="1" applyBorder="1"/>
    <xf numFmtId="166" fontId="2" fillId="0" borderId="0" xfId="0" applyNumberFormat="1" applyFont="1" applyBorder="1"/>
    <xf numFmtId="0" fontId="1" fillId="0" borderId="0" xfId="0" applyFont="1" applyBorder="1"/>
    <xf numFmtId="3" fontId="4" fillId="0" borderId="0" xfId="0" applyNumberFormat="1" applyFont="1" applyBorder="1"/>
    <xf numFmtId="0" fontId="8" fillId="0" borderId="0" xfId="0" applyFont="1"/>
    <xf numFmtId="0" fontId="9" fillId="0" borderId="2" xfId="0" applyFont="1" applyBorder="1"/>
    <xf numFmtId="0" fontId="8" fillId="0" borderId="2" xfId="0" applyFont="1" applyBorder="1"/>
    <xf numFmtId="1" fontId="8" fillId="0" borderId="2" xfId="0" applyNumberFormat="1" applyFont="1" applyBorder="1"/>
    <xf numFmtId="1" fontId="9" fillId="0" borderId="2" xfId="0" applyNumberFormat="1" applyFont="1" applyBorder="1"/>
    <xf numFmtId="3" fontId="8" fillId="0" borderId="2" xfId="0" applyNumberFormat="1" applyFont="1" applyBorder="1"/>
    <xf numFmtId="3" fontId="9" fillId="0" borderId="2" xfId="0" applyNumberFormat="1" applyFont="1" applyBorder="1"/>
    <xf numFmtId="0" fontId="8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317500</xdr:colOff>
      <xdr:row>0</xdr:row>
      <xdr:rowOff>152400</xdr:rowOff>
    </xdr:from>
    <xdr:to>
      <xdr:col>16</xdr:col>
      <xdr:colOff>660400</xdr:colOff>
      <xdr:row>18</xdr:row>
      <xdr:rowOff>73581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99BC50E2-38DF-BB42-8C4A-9D5E233FA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152400"/>
          <a:ext cx="7772400" cy="42645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63500</xdr:rowOff>
    </xdr:from>
    <xdr:to>
      <xdr:col>9</xdr:col>
      <xdr:colOff>342900</xdr:colOff>
      <xdr:row>27</xdr:row>
      <xdr:rowOff>105458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5E356B8F-442F-776E-B662-E2D036ADD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06900"/>
          <a:ext cx="7772400" cy="2213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ABC2-1253-924E-8CB2-F0C03750A097}">
  <dimension ref="A5:A11"/>
  <sheetViews>
    <sheetView showGridLines="0" workbookViewId="0">
      <selection activeCell="I29" sqref="I29"/>
    </sheetView>
  </sheetViews>
  <sheetFormatPr baseColWidth="10" defaultRowHeight="19" x14ac:dyDescent="0.25"/>
  <cols>
    <col min="1" max="16384" width="10.83203125" style="2"/>
  </cols>
  <sheetData>
    <row r="5" spans="1:1" x14ac:dyDescent="0.25">
      <c r="A5" s="1"/>
    </row>
    <row r="6" spans="1:1" x14ac:dyDescent="0.25">
      <c r="A6" s="1"/>
    </row>
    <row r="7" spans="1:1" x14ac:dyDescent="0.25">
      <c r="A7" s="1" t="s">
        <v>41</v>
      </c>
    </row>
    <row r="8" spans="1:1" x14ac:dyDescent="0.25">
      <c r="A8" s="2" t="s">
        <v>42</v>
      </c>
    </row>
    <row r="9" spans="1:1" x14ac:dyDescent="0.25">
      <c r="A9" s="2" t="s">
        <v>43</v>
      </c>
    </row>
    <row r="10" spans="1:1" x14ac:dyDescent="0.25">
      <c r="A10" s="2" t="s">
        <v>44</v>
      </c>
    </row>
    <row r="11" spans="1:1" x14ac:dyDescent="0.25">
      <c r="A11" s="2" t="s">
        <v>45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1D6-FA1C-5144-915F-9569A5873643}">
  <dimension ref="A1:FP88"/>
  <sheetViews>
    <sheetView showGridLines="0" workbookViewId="0">
      <pane xSplit="3" ySplit="3" topLeftCell="L4" activePane="bottomRight" state="frozen"/>
      <selection pane="topRight" activeCell="D1" sqref="D1"/>
      <selection pane="bottomLeft" activeCell="A4" sqref="A4"/>
      <selection pane="bottomRight" activeCell="B9" sqref="B9"/>
    </sheetView>
  </sheetViews>
  <sheetFormatPr baseColWidth="10" defaultRowHeight="19" x14ac:dyDescent="0.25"/>
  <cols>
    <col min="1" max="1" width="16.33203125" style="2" bestFit="1" customWidth="1"/>
    <col min="2" max="2" width="10.83203125" style="4"/>
    <col min="3" max="3" width="34.6640625" style="2" customWidth="1"/>
    <col min="4" max="4" width="10.83203125" style="2"/>
    <col min="5" max="5" width="10.33203125" style="2" customWidth="1"/>
    <col min="6" max="6" width="12.5" style="2" customWidth="1"/>
    <col min="7" max="7" width="10.5" style="2" customWidth="1"/>
    <col min="8" max="8" width="12.83203125" style="2" customWidth="1"/>
    <col min="9" max="9" width="10.1640625" style="2" customWidth="1"/>
    <col min="10" max="10" width="11" style="2" customWidth="1"/>
    <col min="11" max="12" width="10" style="2" customWidth="1"/>
    <col min="13" max="13" width="11.1640625" style="2" customWidth="1"/>
    <col min="14" max="14" width="11.33203125" style="2" customWidth="1"/>
    <col min="15" max="15" width="10.33203125" style="2" customWidth="1"/>
    <col min="16" max="16" width="10.83203125" style="50"/>
    <col min="17" max="17" width="12" style="2" customWidth="1"/>
    <col min="18" max="18" width="12.33203125" style="2" customWidth="1"/>
    <col min="19" max="28" width="10.83203125" style="2"/>
    <col min="29" max="29" width="10.83203125" style="4"/>
    <col min="30" max="39" width="10.83203125" style="2"/>
    <col min="40" max="40" width="14.1640625" style="2" bestFit="1" customWidth="1"/>
    <col min="41" max="41" width="13.33203125" style="2" bestFit="1" customWidth="1"/>
    <col min="42" max="16384" width="10.83203125" style="2"/>
  </cols>
  <sheetData>
    <row r="1" spans="1:172" x14ac:dyDescent="0.25">
      <c r="D1" s="7"/>
      <c r="E1" s="7"/>
      <c r="F1" s="7"/>
      <c r="G1" s="7"/>
      <c r="H1" s="7"/>
      <c r="I1" s="7"/>
      <c r="J1" s="7"/>
      <c r="K1" s="7"/>
      <c r="L1" s="7"/>
      <c r="M1" s="7"/>
      <c r="X1" s="1"/>
    </row>
    <row r="3" spans="1:172" x14ac:dyDescent="0.25">
      <c r="A3" s="1" t="s">
        <v>0</v>
      </c>
      <c r="C3" s="2" t="s">
        <v>7</v>
      </c>
      <c r="D3" s="7" t="s">
        <v>100</v>
      </c>
      <c r="E3" s="7" t="s">
        <v>99</v>
      </c>
      <c r="F3" s="7" t="s">
        <v>98</v>
      </c>
      <c r="G3" s="7" t="s">
        <v>97</v>
      </c>
      <c r="H3" s="7" t="s">
        <v>60</v>
      </c>
      <c r="I3" s="7" t="s">
        <v>59</v>
      </c>
      <c r="J3" s="7" t="s">
        <v>58</v>
      </c>
      <c r="K3" s="7" t="s">
        <v>57</v>
      </c>
      <c r="L3" s="7" t="s">
        <v>56</v>
      </c>
      <c r="M3" s="7" t="s">
        <v>55</v>
      </c>
      <c r="N3" s="7" t="s">
        <v>53</v>
      </c>
      <c r="O3" s="7" t="s">
        <v>54</v>
      </c>
      <c r="P3" s="51" t="s">
        <v>101</v>
      </c>
      <c r="Q3" s="7" t="s">
        <v>102</v>
      </c>
      <c r="R3" s="7" t="s">
        <v>103</v>
      </c>
      <c r="S3" s="7" t="s">
        <v>104</v>
      </c>
      <c r="V3" s="7" t="s">
        <v>85</v>
      </c>
      <c r="W3" s="7" t="s">
        <v>84</v>
      </c>
      <c r="X3" s="7" t="s">
        <v>83</v>
      </c>
      <c r="Y3" s="7" t="s">
        <v>82</v>
      </c>
      <c r="Z3" s="7" t="s">
        <v>81</v>
      </c>
      <c r="AA3" s="7" t="s">
        <v>80</v>
      </c>
      <c r="AB3" s="7" t="s">
        <v>86</v>
      </c>
      <c r="AC3" s="16" t="s">
        <v>87</v>
      </c>
      <c r="AD3" s="7" t="s">
        <v>88</v>
      </c>
      <c r="AE3" s="7" t="s">
        <v>89</v>
      </c>
      <c r="AF3" s="7" t="s">
        <v>90</v>
      </c>
      <c r="AG3" s="7" t="s">
        <v>91</v>
      </c>
      <c r="AH3" s="7" t="s">
        <v>92</v>
      </c>
      <c r="AI3" s="7" t="s">
        <v>93</v>
      </c>
      <c r="AJ3" s="7" t="s">
        <v>94</v>
      </c>
      <c r="AK3" s="7" t="s">
        <v>95</v>
      </c>
      <c r="AL3" s="7" t="s">
        <v>96</v>
      </c>
    </row>
    <row r="4" spans="1:172" x14ac:dyDescent="0.25">
      <c r="A4" s="2" t="s">
        <v>1</v>
      </c>
      <c r="B4" s="4">
        <v>90</v>
      </c>
      <c r="C4" s="1" t="s">
        <v>14</v>
      </c>
      <c r="D4" s="11">
        <v>3104</v>
      </c>
      <c r="E4" s="11">
        <v>4041</v>
      </c>
      <c r="F4" s="11">
        <v>4195</v>
      </c>
      <c r="G4" s="11">
        <v>4199</v>
      </c>
      <c r="H4" s="11">
        <v>3430</v>
      </c>
      <c r="I4" s="11">
        <v>4433</v>
      </c>
      <c r="J4" s="11">
        <v>4613</v>
      </c>
      <c r="K4" s="11">
        <v>4856</v>
      </c>
      <c r="L4" s="11">
        <v>3842</v>
      </c>
      <c r="M4" s="11">
        <v>5025</v>
      </c>
      <c r="N4" s="11">
        <v>5037</v>
      </c>
      <c r="O4" s="11">
        <v>5118</v>
      </c>
      <c r="P4" s="52">
        <v>4101</v>
      </c>
      <c r="Q4" s="11">
        <v>5231</v>
      </c>
      <c r="R4" s="1"/>
      <c r="S4" s="1"/>
      <c r="T4" s="13"/>
      <c r="U4" s="13"/>
      <c r="V4" s="11">
        <v>11715</v>
      </c>
      <c r="W4" s="11">
        <v>12271</v>
      </c>
      <c r="X4" s="11">
        <v>13340</v>
      </c>
      <c r="Y4" s="11">
        <v>14339</v>
      </c>
      <c r="Z4" s="11">
        <v>15539</v>
      </c>
      <c r="AA4" s="11">
        <v>17332</v>
      </c>
      <c r="AB4" s="11">
        <v>19022</v>
      </c>
      <c r="AC4" s="12">
        <f>AB4*1.05</f>
        <v>19973.100000000002</v>
      </c>
      <c r="AD4" s="11">
        <f>AC4*1.05</f>
        <v>20971.755000000005</v>
      </c>
      <c r="AE4" s="11">
        <f>AD4*1.05</f>
        <v>22020.342750000007</v>
      </c>
      <c r="AF4" s="11">
        <f t="shared" ref="AF4:AL4" si="0">AE4*1.05</f>
        <v>23121.35988750001</v>
      </c>
      <c r="AG4" s="11">
        <f t="shared" si="0"/>
        <v>24277.42788187501</v>
      </c>
      <c r="AH4" s="11">
        <f t="shared" si="0"/>
        <v>25491.299275968762</v>
      </c>
      <c r="AI4" s="11">
        <f t="shared" si="0"/>
        <v>26765.864239767201</v>
      </c>
      <c r="AJ4" s="11">
        <f t="shared" si="0"/>
        <v>28104.157451755564</v>
      </c>
      <c r="AK4" s="11">
        <f t="shared" si="0"/>
        <v>29509.365324343344</v>
      </c>
      <c r="AL4" s="11">
        <f t="shared" si="0"/>
        <v>30984.833590560513</v>
      </c>
    </row>
    <row r="5" spans="1:172" x14ac:dyDescent="0.25">
      <c r="A5" s="2" t="s">
        <v>2</v>
      </c>
      <c r="B5" s="5">
        <v>105.5</v>
      </c>
      <c r="C5" s="2" t="s">
        <v>46</v>
      </c>
      <c r="D5" s="13">
        <v>-314</v>
      </c>
      <c r="E5" s="13">
        <v>-392</v>
      </c>
      <c r="F5" s="13">
        <v>-367</v>
      </c>
      <c r="G5" s="13">
        <v>-362</v>
      </c>
      <c r="H5" s="13">
        <v>-323</v>
      </c>
      <c r="I5" s="13">
        <v>-431</v>
      </c>
      <c r="J5" s="13">
        <v>-384</v>
      </c>
      <c r="K5" s="13">
        <v>-385</v>
      </c>
      <c r="L5" s="13">
        <v>-348</v>
      </c>
      <c r="M5" s="13">
        <v>-479</v>
      </c>
      <c r="N5" s="13">
        <v>-419</v>
      </c>
      <c r="O5" s="13">
        <v>-410</v>
      </c>
      <c r="P5" s="53">
        <v>-383</v>
      </c>
      <c r="Q5" s="13">
        <v>-492</v>
      </c>
      <c r="T5" s="13"/>
      <c r="U5" s="13"/>
      <c r="V5" s="13">
        <v>-997</v>
      </c>
      <c r="W5" s="13">
        <v>-993</v>
      </c>
      <c r="X5" s="13">
        <v>-1120</v>
      </c>
      <c r="Y5" s="13">
        <v>-1274</v>
      </c>
      <c r="Z5" s="13">
        <v>-1435</v>
      </c>
      <c r="AA5" s="13">
        <v>-1523</v>
      </c>
      <c r="AB5" s="13">
        <v>-1656</v>
      </c>
      <c r="AC5" s="14">
        <f t="shared" ref="AC5:AL5" si="1">AC4*-0.1</f>
        <v>-1997.3100000000004</v>
      </c>
      <c r="AD5" s="13">
        <f t="shared" si="1"/>
        <v>-2097.1755000000007</v>
      </c>
      <c r="AE5" s="13">
        <f t="shared" si="1"/>
        <v>-2202.0342750000009</v>
      </c>
      <c r="AF5" s="13">
        <f t="shared" si="1"/>
        <v>-2312.1359887500012</v>
      </c>
      <c r="AG5" s="13">
        <f t="shared" si="1"/>
        <v>-2427.742788187501</v>
      </c>
      <c r="AH5" s="13">
        <f t="shared" si="1"/>
        <v>-2549.1299275968763</v>
      </c>
      <c r="AI5" s="13">
        <f t="shared" si="1"/>
        <v>-2676.5864239767202</v>
      </c>
      <c r="AJ5" s="13">
        <f t="shared" si="1"/>
        <v>-2810.4157451755564</v>
      </c>
      <c r="AK5" s="13">
        <f t="shared" si="1"/>
        <v>-2950.9365324343344</v>
      </c>
      <c r="AL5" s="13">
        <f t="shared" si="1"/>
        <v>-3098.4833590560515</v>
      </c>
    </row>
    <row r="6" spans="1:172" x14ac:dyDescent="0.25">
      <c r="A6" s="2" t="s">
        <v>8</v>
      </c>
      <c r="B6" s="5">
        <f>B4*B5</f>
        <v>9495</v>
      </c>
      <c r="C6" s="2" t="s">
        <v>15</v>
      </c>
      <c r="D6" s="13">
        <f t="shared" ref="D6:M6" si="2">SUM(D4:D5)</f>
        <v>2790</v>
      </c>
      <c r="E6" s="13">
        <f t="shared" si="2"/>
        <v>3649</v>
      </c>
      <c r="F6" s="13">
        <f t="shared" si="2"/>
        <v>3828</v>
      </c>
      <c r="G6" s="13">
        <f t="shared" si="2"/>
        <v>3837</v>
      </c>
      <c r="H6" s="13">
        <f t="shared" si="2"/>
        <v>3107</v>
      </c>
      <c r="I6" s="13">
        <f t="shared" si="2"/>
        <v>4002</v>
      </c>
      <c r="J6" s="13">
        <f t="shared" si="2"/>
        <v>4229</v>
      </c>
      <c r="K6" s="13">
        <f t="shared" si="2"/>
        <v>4471</v>
      </c>
      <c r="L6" s="13">
        <f t="shared" si="2"/>
        <v>3494</v>
      </c>
      <c r="M6" s="13">
        <f t="shared" si="2"/>
        <v>4546</v>
      </c>
      <c r="N6" s="13">
        <f>SUM(N4:N5)</f>
        <v>4618</v>
      </c>
      <c r="O6" s="13">
        <f t="shared" ref="O6:S6" si="3">SUM(O4:O5)</f>
        <v>4708</v>
      </c>
      <c r="P6" s="53">
        <f t="shared" si="3"/>
        <v>3718</v>
      </c>
      <c r="Q6" s="13">
        <f t="shared" si="3"/>
        <v>4739</v>
      </c>
      <c r="R6" s="13">
        <f t="shared" si="3"/>
        <v>0</v>
      </c>
      <c r="S6" s="13">
        <f t="shared" si="3"/>
        <v>0</v>
      </c>
      <c r="U6" s="13"/>
      <c r="V6" s="13">
        <f t="shared" ref="V6:AA6" si="4">SUM(V4:V5)</f>
        <v>10718</v>
      </c>
      <c r="W6" s="13">
        <f t="shared" si="4"/>
        <v>11278</v>
      </c>
      <c r="X6" s="13">
        <f t="shared" si="4"/>
        <v>12220</v>
      </c>
      <c r="Y6" s="13">
        <f t="shared" si="4"/>
        <v>13065</v>
      </c>
      <c r="Z6" s="13">
        <f t="shared" si="4"/>
        <v>14104</v>
      </c>
      <c r="AA6" s="13">
        <f t="shared" si="4"/>
        <v>15809</v>
      </c>
      <c r="AB6" s="13">
        <f t="shared" ref="AB6:AL6" si="5">SUM(AB4:AB5)</f>
        <v>17366</v>
      </c>
      <c r="AC6" s="14">
        <f t="shared" si="5"/>
        <v>17975.79</v>
      </c>
      <c r="AD6" s="13">
        <f t="shared" si="5"/>
        <v>18874.579500000003</v>
      </c>
      <c r="AE6" s="13">
        <f t="shared" si="5"/>
        <v>19818.308475000005</v>
      </c>
      <c r="AF6" s="13">
        <f t="shared" si="5"/>
        <v>20809.22389875001</v>
      </c>
      <c r="AG6" s="13">
        <f t="shared" si="5"/>
        <v>21849.685093687509</v>
      </c>
      <c r="AH6" s="13">
        <f t="shared" si="5"/>
        <v>22942.169348371885</v>
      </c>
      <c r="AI6" s="13">
        <f t="shared" si="5"/>
        <v>24089.27781579048</v>
      </c>
      <c r="AJ6" s="13">
        <f t="shared" si="5"/>
        <v>25293.741706580007</v>
      </c>
      <c r="AK6" s="13">
        <f t="shared" si="5"/>
        <v>26558.428791909009</v>
      </c>
      <c r="AL6" s="13">
        <f t="shared" si="5"/>
        <v>27886.350231504461</v>
      </c>
    </row>
    <row r="7" spans="1:172" x14ac:dyDescent="0.25">
      <c r="A7" s="2" t="s">
        <v>9</v>
      </c>
      <c r="B7" s="5">
        <f>Q37</f>
        <v>661</v>
      </c>
      <c r="C7" s="2" t="s">
        <v>47</v>
      </c>
      <c r="D7" s="13">
        <v>-316</v>
      </c>
      <c r="E7" s="13">
        <v>-393</v>
      </c>
      <c r="F7" s="13">
        <v>-422</v>
      </c>
      <c r="G7" s="13">
        <v>-438</v>
      </c>
      <c r="H7" s="13">
        <v>-366</v>
      </c>
      <c r="I7" s="13">
        <v>-432</v>
      </c>
      <c r="J7" s="13">
        <v>-432</v>
      </c>
      <c r="K7" s="13">
        <v>-505</v>
      </c>
      <c r="L7" s="13">
        <v>-387</v>
      </c>
      <c r="M7" s="13">
        <v>-454</v>
      </c>
      <c r="N7" s="13">
        <v>-439</v>
      </c>
      <c r="O7" s="13">
        <v>-509</v>
      </c>
      <c r="P7" s="53">
        <v>-420</v>
      </c>
      <c r="Q7" s="13">
        <v>-468</v>
      </c>
      <c r="U7" s="13"/>
      <c r="V7" s="13">
        <v>-2517</v>
      </c>
      <c r="W7" s="13">
        <v>-1237</v>
      </c>
      <c r="X7" s="13">
        <v>-1352</v>
      </c>
      <c r="Y7" s="13">
        <v>-1370</v>
      </c>
      <c r="Z7" s="13">
        <v>-1566</v>
      </c>
      <c r="AA7" s="13">
        <v>-1731</v>
      </c>
      <c r="AB7" s="13">
        <v>-1789</v>
      </c>
      <c r="AC7" s="14">
        <f>AB7*1.03</f>
        <v>-1842.67</v>
      </c>
      <c r="AD7" s="13">
        <f>AC7*1.045</f>
        <v>-1925.59015</v>
      </c>
      <c r="AE7" s="13">
        <f t="shared" ref="AE7:AK7" si="6">AD7*1.05</f>
        <v>-2021.8696575000001</v>
      </c>
      <c r="AF7" s="13">
        <f t="shared" si="6"/>
        <v>-2122.9631403750004</v>
      </c>
      <c r="AG7" s="13">
        <f t="shared" si="6"/>
        <v>-2229.1112973937506</v>
      </c>
      <c r="AH7" s="13">
        <f t="shared" si="6"/>
        <v>-2340.5668622634385</v>
      </c>
      <c r="AI7" s="13">
        <f t="shared" si="6"/>
        <v>-2457.5952053766105</v>
      </c>
      <c r="AJ7" s="13">
        <f t="shared" si="6"/>
        <v>-2580.474965645441</v>
      </c>
      <c r="AK7" s="13">
        <f t="shared" si="6"/>
        <v>-2709.4987139277132</v>
      </c>
      <c r="AL7" s="13">
        <f t="shared" ref="AL7" si="7">AK7*1.05</f>
        <v>-2844.9736496240989</v>
      </c>
    </row>
    <row r="8" spans="1:172" x14ac:dyDescent="0.25">
      <c r="A8" s="2" t="s">
        <v>10</v>
      </c>
      <c r="B8" s="5">
        <f>Q40+Q43+Q41+Q44</f>
        <v>12748</v>
      </c>
      <c r="C8" s="2" t="s">
        <v>48</v>
      </c>
      <c r="D8" s="13">
        <v>-1793</v>
      </c>
      <c r="E8" s="13">
        <v>-2495</v>
      </c>
      <c r="F8" s="13">
        <v>-2532</v>
      </c>
      <c r="G8" s="13">
        <v>-2477</v>
      </c>
      <c r="H8" s="13">
        <v>-2006</v>
      </c>
      <c r="I8" s="13">
        <v>-2738</v>
      </c>
      <c r="J8" s="13">
        <v>-2809</v>
      </c>
      <c r="K8" s="13">
        <v>-2854</v>
      </c>
      <c r="L8" s="13">
        <v>-2258</v>
      </c>
      <c r="M8" s="13">
        <v>-3087</v>
      </c>
      <c r="N8" s="13">
        <v>-3079</v>
      </c>
      <c r="O8" s="13">
        <v>-3018</v>
      </c>
      <c r="P8" s="53">
        <v>-2434</v>
      </c>
      <c r="Q8" s="13">
        <v>-3218</v>
      </c>
      <c r="U8" s="13"/>
      <c r="V8" s="13">
        <v>-7272</v>
      </c>
      <c r="W8" s="13">
        <v>-7591</v>
      </c>
      <c r="X8" s="13">
        <v>-8106</v>
      </c>
      <c r="Y8" s="13">
        <v>-8648</v>
      </c>
      <c r="Z8" s="13">
        <v>-9296</v>
      </c>
      <c r="AA8" s="13">
        <v>-10408</v>
      </c>
      <c r="AB8" s="13">
        <v>-11442</v>
      </c>
      <c r="AC8" s="14">
        <f t="shared" ref="AC8:AC10" si="8">AB8*1.03</f>
        <v>-11785.26</v>
      </c>
      <c r="AD8" s="13">
        <f t="shared" ref="AD8:AD10" si="9">AC8*1.045</f>
        <v>-12315.5967</v>
      </c>
      <c r="AE8" s="13">
        <f t="shared" ref="AE8:AK10" si="10">AD8*1.05</f>
        <v>-12931.376535000001</v>
      </c>
      <c r="AF8" s="13">
        <f t="shared" si="10"/>
        <v>-13577.945361750002</v>
      </c>
      <c r="AG8" s="13">
        <f t="shared" si="10"/>
        <v>-14256.842629837503</v>
      </c>
      <c r="AH8" s="13">
        <f t="shared" si="10"/>
        <v>-14969.684761329379</v>
      </c>
      <c r="AI8" s="13">
        <f t="shared" si="10"/>
        <v>-15718.16899939585</v>
      </c>
      <c r="AJ8" s="13">
        <f t="shared" si="10"/>
        <v>-16504.077449365643</v>
      </c>
      <c r="AK8" s="13">
        <f t="shared" si="10"/>
        <v>-17329.281321833925</v>
      </c>
      <c r="AL8" s="13">
        <f t="shared" ref="AL8:AL10" si="11">AK8*1.05</f>
        <v>-18195.745387925621</v>
      </c>
    </row>
    <row r="9" spans="1:172" x14ac:dyDescent="0.25">
      <c r="A9" s="3" t="s">
        <v>11</v>
      </c>
      <c r="B9" s="6">
        <f>B6-B7+B8</f>
        <v>21582</v>
      </c>
      <c r="C9" s="2" t="s">
        <v>49</v>
      </c>
      <c r="D9" s="13">
        <v>-448</v>
      </c>
      <c r="E9" s="13">
        <v>-474</v>
      </c>
      <c r="F9" s="13">
        <v>-507</v>
      </c>
      <c r="G9" s="13">
        <v>-495</v>
      </c>
      <c r="H9" s="13">
        <v>-498</v>
      </c>
      <c r="I9" s="13">
        <v>-526</v>
      </c>
      <c r="J9" s="13">
        <v>-556</v>
      </c>
      <c r="K9" s="13">
        <v>-580</v>
      </c>
      <c r="L9" s="13">
        <v>-577</v>
      </c>
      <c r="M9" s="13">
        <v>-604</v>
      </c>
      <c r="N9" s="13">
        <v>-583</v>
      </c>
      <c r="O9" s="13">
        <v>-589</v>
      </c>
      <c r="P9" s="53">
        <v>-571</v>
      </c>
      <c r="Q9" s="13">
        <v>-590</v>
      </c>
      <c r="U9" s="13"/>
      <c r="V9" s="13">
        <v>-296</v>
      </c>
      <c r="W9" s="13">
        <v>-1514</v>
      </c>
      <c r="X9" s="13">
        <v>-1580</v>
      </c>
      <c r="Y9" s="13">
        <v>-1755</v>
      </c>
      <c r="Z9" s="13">
        <v>-1924</v>
      </c>
      <c r="AA9" s="13">
        <v>-2159</v>
      </c>
      <c r="AB9" s="13">
        <v>-2353</v>
      </c>
      <c r="AC9" s="14">
        <f t="shared" si="8"/>
        <v>-2423.59</v>
      </c>
      <c r="AD9" s="13">
        <f t="shared" si="9"/>
        <v>-2532.65155</v>
      </c>
      <c r="AE9" s="13">
        <f t="shared" si="10"/>
        <v>-2659.2841275000001</v>
      </c>
      <c r="AF9" s="13">
        <f t="shared" si="10"/>
        <v>-2792.2483338750003</v>
      </c>
      <c r="AG9" s="13">
        <f t="shared" si="10"/>
        <v>-2931.8607505687505</v>
      </c>
      <c r="AH9" s="13">
        <f t="shared" si="10"/>
        <v>-3078.453788097188</v>
      </c>
      <c r="AI9" s="13">
        <f t="shared" si="10"/>
        <v>-3232.3764775020477</v>
      </c>
      <c r="AJ9" s="13">
        <f t="shared" si="10"/>
        <v>-3393.9953013771501</v>
      </c>
      <c r="AK9" s="13">
        <f t="shared" si="10"/>
        <v>-3563.6950664460078</v>
      </c>
      <c r="AL9" s="13">
        <f t="shared" si="11"/>
        <v>-3741.8798197683082</v>
      </c>
    </row>
    <row r="10" spans="1:172" x14ac:dyDescent="0.25">
      <c r="C10" s="2" t="s">
        <v>50</v>
      </c>
      <c r="D10" s="13">
        <v>6</v>
      </c>
      <c r="E10" s="13">
        <v>-21</v>
      </c>
      <c r="F10" s="13">
        <v>-6</v>
      </c>
      <c r="G10" s="13">
        <v>-23</v>
      </c>
      <c r="H10" s="13">
        <v>-6</v>
      </c>
      <c r="I10" s="13">
        <v>0</v>
      </c>
      <c r="J10" s="13">
        <v>-11</v>
      </c>
      <c r="K10" s="13">
        <v>0</v>
      </c>
      <c r="L10" s="13">
        <v>0</v>
      </c>
      <c r="M10" s="13">
        <v>2</v>
      </c>
      <c r="N10" s="13">
        <v>-16</v>
      </c>
      <c r="O10" s="13">
        <v>-13</v>
      </c>
      <c r="P10" s="53">
        <v>0</v>
      </c>
      <c r="Q10" s="13">
        <v>-13</v>
      </c>
      <c r="U10" s="13"/>
      <c r="V10" s="13">
        <v>1</v>
      </c>
      <c r="W10" s="13">
        <v>36</v>
      </c>
      <c r="X10" s="13">
        <v>-7</v>
      </c>
      <c r="Y10" s="13">
        <v>-67</v>
      </c>
      <c r="Z10" s="13">
        <v>-49</v>
      </c>
      <c r="AA10" s="13">
        <v>-21</v>
      </c>
      <c r="AB10" s="13">
        <v>-27</v>
      </c>
      <c r="AC10" s="14">
        <f t="shared" si="8"/>
        <v>-27.810000000000002</v>
      </c>
      <c r="AD10" s="13">
        <f t="shared" si="9"/>
        <v>-29.061450000000001</v>
      </c>
      <c r="AE10" s="13">
        <f t="shared" si="10"/>
        <v>-30.514522500000002</v>
      </c>
      <c r="AF10" s="13">
        <f t="shared" si="10"/>
        <v>-32.040248625000004</v>
      </c>
      <c r="AG10" s="13">
        <f t="shared" si="10"/>
        <v>-33.642261056250007</v>
      </c>
      <c r="AH10" s="13">
        <f t="shared" si="10"/>
        <v>-35.324374109062511</v>
      </c>
      <c r="AI10" s="13">
        <f t="shared" si="10"/>
        <v>-37.090592814515638</v>
      </c>
      <c r="AJ10" s="13">
        <f t="shared" si="10"/>
        <v>-38.945122455241425</v>
      </c>
      <c r="AK10" s="13">
        <f t="shared" si="10"/>
        <v>-40.892378578003495</v>
      </c>
      <c r="AL10" s="13">
        <f t="shared" si="11"/>
        <v>-42.936997506903673</v>
      </c>
    </row>
    <row r="11" spans="1:172" x14ac:dyDescent="0.25">
      <c r="C11" s="2" t="s">
        <v>16</v>
      </c>
      <c r="D11" s="13">
        <f t="shared" ref="D11:M11" si="12">D5+D7+D8+D9+D10</f>
        <v>-2865</v>
      </c>
      <c r="E11" s="13">
        <f t="shared" si="12"/>
        <v>-3775</v>
      </c>
      <c r="F11" s="13">
        <f t="shared" si="12"/>
        <v>-3834</v>
      </c>
      <c r="G11" s="13">
        <f t="shared" si="12"/>
        <v>-3795</v>
      </c>
      <c r="H11" s="13">
        <f t="shared" si="12"/>
        <v>-3199</v>
      </c>
      <c r="I11" s="13">
        <f t="shared" si="12"/>
        <v>-4127</v>
      </c>
      <c r="J11" s="13">
        <f t="shared" si="12"/>
        <v>-4192</v>
      </c>
      <c r="K11" s="13">
        <f t="shared" si="12"/>
        <v>-4324</v>
      </c>
      <c r="L11" s="13">
        <f t="shared" si="12"/>
        <v>-3570</v>
      </c>
      <c r="M11" s="13">
        <f t="shared" si="12"/>
        <v>-4622</v>
      </c>
      <c r="N11" s="13">
        <f>N5+N7+N8+N9+N10</f>
        <v>-4536</v>
      </c>
      <c r="O11" s="13">
        <f t="shared" ref="O11:S11" si="13">O5+O7+O8+O9+O10</f>
        <v>-4539</v>
      </c>
      <c r="P11" s="53">
        <f t="shared" si="13"/>
        <v>-3808</v>
      </c>
      <c r="Q11" s="13">
        <f t="shared" si="13"/>
        <v>-4781</v>
      </c>
      <c r="R11" s="13">
        <f t="shared" si="13"/>
        <v>0</v>
      </c>
      <c r="S11" s="13">
        <f t="shared" si="13"/>
        <v>0</v>
      </c>
      <c r="V11" s="13">
        <f t="shared" ref="V11:AA11" si="14">V5+V7+V8+V9+V10</f>
        <v>-11081</v>
      </c>
      <c r="W11" s="13">
        <f t="shared" si="14"/>
        <v>-11299</v>
      </c>
      <c r="X11" s="13">
        <f t="shared" si="14"/>
        <v>-12165</v>
      </c>
      <c r="Y11" s="13">
        <f t="shared" si="14"/>
        <v>-13114</v>
      </c>
      <c r="Z11" s="13">
        <f t="shared" si="14"/>
        <v>-14270</v>
      </c>
      <c r="AA11" s="13">
        <f t="shared" si="14"/>
        <v>-15842</v>
      </c>
      <c r="AB11" s="13">
        <f t="shared" ref="AB11:AL11" si="15">AB5+AB7+AB8+AB9+AB10</f>
        <v>-17267</v>
      </c>
      <c r="AC11" s="14">
        <f t="shared" si="15"/>
        <v>-18076.640000000003</v>
      </c>
      <c r="AD11" s="13">
        <f t="shared" si="15"/>
        <v>-18900.075350000003</v>
      </c>
      <c r="AE11" s="13">
        <f t="shared" si="15"/>
        <v>-19845.079117500001</v>
      </c>
      <c r="AF11" s="13">
        <f t="shared" si="15"/>
        <v>-20837.333073375001</v>
      </c>
      <c r="AG11" s="13">
        <f t="shared" si="15"/>
        <v>-21879.199727043757</v>
      </c>
      <c r="AH11" s="13">
        <f t="shared" si="15"/>
        <v>-22973.159713395944</v>
      </c>
      <c r="AI11" s="13">
        <f t="shared" si="15"/>
        <v>-24121.817699065741</v>
      </c>
      <c r="AJ11" s="13">
        <f t="shared" si="15"/>
        <v>-25327.908584019035</v>
      </c>
      <c r="AK11" s="13">
        <f t="shared" si="15"/>
        <v>-26594.304013219986</v>
      </c>
      <c r="AL11" s="13">
        <f t="shared" si="15"/>
        <v>-27924.019213880983</v>
      </c>
    </row>
    <row r="12" spans="1:172" x14ac:dyDescent="0.25">
      <c r="C12" s="1" t="s">
        <v>17</v>
      </c>
      <c r="D12" s="11">
        <f t="shared" ref="D12:M12" si="16">D4+D11</f>
        <v>239</v>
      </c>
      <c r="E12" s="11">
        <f t="shared" si="16"/>
        <v>266</v>
      </c>
      <c r="F12" s="11">
        <f t="shared" si="16"/>
        <v>361</v>
      </c>
      <c r="G12" s="11">
        <f t="shared" si="16"/>
        <v>404</v>
      </c>
      <c r="H12" s="11">
        <f t="shared" si="16"/>
        <v>231</v>
      </c>
      <c r="I12" s="11">
        <f t="shared" si="16"/>
        <v>306</v>
      </c>
      <c r="J12" s="11">
        <f t="shared" si="16"/>
        <v>421</v>
      </c>
      <c r="K12" s="11">
        <f t="shared" si="16"/>
        <v>532</v>
      </c>
      <c r="L12" s="11">
        <f t="shared" si="16"/>
        <v>272</v>
      </c>
      <c r="M12" s="11">
        <f t="shared" si="16"/>
        <v>403</v>
      </c>
      <c r="N12" s="11">
        <f>N4+N11</f>
        <v>501</v>
      </c>
      <c r="O12" s="11">
        <f t="shared" ref="O12:S12" si="17">O4+O11</f>
        <v>579</v>
      </c>
      <c r="P12" s="52">
        <f t="shared" si="17"/>
        <v>293</v>
      </c>
      <c r="Q12" s="11">
        <f t="shared" si="17"/>
        <v>450</v>
      </c>
      <c r="R12" s="11">
        <f t="shared" si="17"/>
        <v>0</v>
      </c>
      <c r="S12" s="11">
        <f t="shared" si="17"/>
        <v>0</v>
      </c>
      <c r="T12" s="13"/>
      <c r="U12" s="13"/>
      <c r="V12" s="11">
        <f t="shared" ref="V12:AA12" si="18">V4+V11</f>
        <v>634</v>
      </c>
      <c r="W12" s="11">
        <f t="shared" si="18"/>
        <v>972</v>
      </c>
      <c r="X12" s="11">
        <f t="shared" si="18"/>
        <v>1175</v>
      </c>
      <c r="Y12" s="11">
        <f t="shared" si="18"/>
        <v>1225</v>
      </c>
      <c r="Z12" s="11">
        <f t="shared" si="18"/>
        <v>1269</v>
      </c>
      <c r="AA12" s="11">
        <f t="shared" si="18"/>
        <v>1490</v>
      </c>
      <c r="AB12" s="11">
        <f t="shared" ref="AB12:AL12" si="19">AB4+AB11</f>
        <v>1755</v>
      </c>
      <c r="AC12" s="12">
        <f t="shared" si="19"/>
        <v>1896.4599999999991</v>
      </c>
      <c r="AD12" s="11">
        <f t="shared" si="19"/>
        <v>2071.6796500000019</v>
      </c>
      <c r="AE12" s="11">
        <f t="shared" si="19"/>
        <v>2175.2636325000058</v>
      </c>
      <c r="AF12" s="11">
        <f t="shared" si="19"/>
        <v>2284.026814125009</v>
      </c>
      <c r="AG12" s="11">
        <f t="shared" si="19"/>
        <v>2398.2281548312531</v>
      </c>
      <c r="AH12" s="11">
        <f t="shared" si="19"/>
        <v>2518.1395625728182</v>
      </c>
      <c r="AI12" s="11">
        <f t="shared" si="19"/>
        <v>2644.0465407014599</v>
      </c>
      <c r="AJ12" s="11">
        <f t="shared" si="19"/>
        <v>2776.2488677365291</v>
      </c>
      <c r="AK12" s="11">
        <f t="shared" si="19"/>
        <v>2915.0613111233579</v>
      </c>
      <c r="AL12" s="11">
        <f t="shared" si="19"/>
        <v>3060.8143766795292</v>
      </c>
    </row>
    <row r="13" spans="1:172" x14ac:dyDescent="0.25">
      <c r="C13" s="2" t="s">
        <v>18</v>
      </c>
      <c r="D13" s="13">
        <v>-120</v>
      </c>
      <c r="E13" s="13">
        <v>-122</v>
      </c>
      <c r="F13" s="13">
        <v>-144</v>
      </c>
      <c r="G13" s="13">
        <v>-126</v>
      </c>
      <c r="H13" s="13">
        <v>-155</v>
      </c>
      <c r="I13" s="13">
        <v>-168</v>
      </c>
      <c r="J13" s="13">
        <v>-149</v>
      </c>
      <c r="K13" s="13">
        <v>-193</v>
      </c>
      <c r="L13" s="13">
        <v>-179</v>
      </c>
      <c r="M13" s="13">
        <v>-179</v>
      </c>
      <c r="N13" s="13">
        <v>-195</v>
      </c>
      <c r="O13" s="13">
        <v>-157</v>
      </c>
      <c r="P13" s="53">
        <v>-186</v>
      </c>
      <c r="Q13" s="13">
        <v>-200</v>
      </c>
      <c r="U13" s="13"/>
      <c r="V13" s="13">
        <v>-69</v>
      </c>
      <c r="W13" s="13">
        <v>-417</v>
      </c>
      <c r="X13" s="13">
        <v>-402</v>
      </c>
      <c r="Y13" s="13">
        <f>1-441</f>
        <v>-440</v>
      </c>
      <c r="Z13" s="13">
        <f>33-543</f>
        <v>-510</v>
      </c>
      <c r="AA13" s="13">
        <f>22-687</f>
        <v>-665</v>
      </c>
      <c r="AB13" s="13">
        <v>-710</v>
      </c>
      <c r="AC13" s="14">
        <f>AB13*1.05</f>
        <v>-745.5</v>
      </c>
      <c r="AD13" s="13">
        <f>AC13*1.03</f>
        <v>-767.86500000000001</v>
      </c>
      <c r="AE13" s="13">
        <f t="shared" ref="AE13:AL13" si="20">AD13*1.03</f>
        <v>-790.90095000000008</v>
      </c>
      <c r="AF13" s="13">
        <f t="shared" si="20"/>
        <v>-814.62797850000015</v>
      </c>
      <c r="AG13" s="13">
        <f t="shared" si="20"/>
        <v>-839.06681785500018</v>
      </c>
      <c r="AH13" s="13">
        <f t="shared" si="20"/>
        <v>-864.23882239065017</v>
      </c>
      <c r="AI13" s="13">
        <f t="shared" si="20"/>
        <v>-890.16598706236971</v>
      </c>
      <c r="AJ13" s="13">
        <f t="shared" si="20"/>
        <v>-916.87096667424078</v>
      </c>
      <c r="AK13" s="13">
        <f t="shared" si="20"/>
        <v>-944.37709567446802</v>
      </c>
      <c r="AL13" s="13">
        <f t="shared" si="20"/>
        <v>-972.70840854470214</v>
      </c>
    </row>
    <row r="14" spans="1:172" x14ac:dyDescent="0.25">
      <c r="C14" s="2" t="s">
        <v>19</v>
      </c>
      <c r="D14" s="13">
        <f t="shared" ref="D14:M14" si="21">SUM(D12:D13)</f>
        <v>119</v>
      </c>
      <c r="E14" s="13">
        <f t="shared" si="21"/>
        <v>144</v>
      </c>
      <c r="F14" s="13">
        <f t="shared" si="21"/>
        <v>217</v>
      </c>
      <c r="G14" s="13">
        <f t="shared" si="21"/>
        <v>278</v>
      </c>
      <c r="H14" s="13">
        <f t="shared" si="21"/>
        <v>76</v>
      </c>
      <c r="I14" s="13">
        <f t="shared" si="21"/>
        <v>138</v>
      </c>
      <c r="J14" s="13">
        <f t="shared" si="21"/>
        <v>272</v>
      </c>
      <c r="K14" s="13">
        <f t="shared" si="21"/>
        <v>339</v>
      </c>
      <c r="L14" s="13">
        <f t="shared" si="21"/>
        <v>93</v>
      </c>
      <c r="M14" s="13">
        <f t="shared" si="21"/>
        <v>224</v>
      </c>
      <c r="N14" s="13">
        <f>SUM(N12:N13)</f>
        <v>306</v>
      </c>
      <c r="O14" s="13">
        <f t="shared" ref="O14:S14" si="22">SUM(O12:O13)</f>
        <v>422</v>
      </c>
      <c r="P14" s="53">
        <f t="shared" si="22"/>
        <v>107</v>
      </c>
      <c r="Q14" s="13">
        <f t="shared" si="22"/>
        <v>250</v>
      </c>
      <c r="R14" s="13">
        <f t="shared" si="22"/>
        <v>0</v>
      </c>
      <c r="S14" s="13">
        <f t="shared" si="22"/>
        <v>0</v>
      </c>
      <c r="V14" s="13">
        <f t="shared" ref="V14:AA14" si="23">SUM(V12:V13)</f>
        <v>565</v>
      </c>
      <c r="W14" s="13">
        <f t="shared" si="23"/>
        <v>555</v>
      </c>
      <c r="X14" s="13">
        <f t="shared" si="23"/>
        <v>773</v>
      </c>
      <c r="Y14" s="13">
        <f t="shared" si="23"/>
        <v>785</v>
      </c>
      <c r="Z14" s="13">
        <f t="shared" si="23"/>
        <v>759</v>
      </c>
      <c r="AA14" s="13">
        <f t="shared" si="23"/>
        <v>825</v>
      </c>
      <c r="AB14" s="13">
        <f t="shared" ref="AB14:AL14" si="24">SUM(AB12:AB13)</f>
        <v>1045</v>
      </c>
      <c r="AC14" s="14">
        <f t="shared" si="24"/>
        <v>1150.9599999999991</v>
      </c>
      <c r="AD14" s="13">
        <f t="shared" si="24"/>
        <v>1303.8146500000018</v>
      </c>
      <c r="AE14" s="13">
        <f t="shared" si="24"/>
        <v>1384.3626825000056</v>
      </c>
      <c r="AF14" s="13">
        <f t="shared" si="24"/>
        <v>1469.3988356250088</v>
      </c>
      <c r="AG14" s="13">
        <f t="shared" si="24"/>
        <v>1559.1613369762529</v>
      </c>
      <c r="AH14" s="13">
        <f t="shared" si="24"/>
        <v>1653.9007401821682</v>
      </c>
      <c r="AI14" s="13">
        <f t="shared" si="24"/>
        <v>1753.8805536390901</v>
      </c>
      <c r="AJ14" s="13">
        <f t="shared" si="24"/>
        <v>1859.3779010622884</v>
      </c>
      <c r="AK14" s="13">
        <f t="shared" si="24"/>
        <v>1970.68421544889</v>
      </c>
      <c r="AL14" s="13">
        <f t="shared" si="24"/>
        <v>2088.105968134827</v>
      </c>
    </row>
    <row r="15" spans="1:172" x14ac:dyDescent="0.25">
      <c r="C15" s="2" t="s">
        <v>51</v>
      </c>
      <c r="D15" s="13">
        <v>-25</v>
      </c>
      <c r="E15" s="13">
        <v>-35</v>
      </c>
      <c r="F15" s="13">
        <v>-47</v>
      </c>
      <c r="G15" s="13">
        <v>-74</v>
      </c>
      <c r="H15" s="13">
        <v>-14</v>
      </c>
      <c r="I15" s="13">
        <v>-31</v>
      </c>
      <c r="J15" s="13">
        <v>-58</v>
      </c>
      <c r="K15" s="13">
        <v>-90</v>
      </c>
      <c r="L15" s="13">
        <v>-13</v>
      </c>
      <c r="M15" s="13">
        <v>-45</v>
      </c>
      <c r="N15" s="13">
        <v>-63</v>
      </c>
      <c r="O15" s="13">
        <v>-101</v>
      </c>
      <c r="P15" s="53">
        <v>-25</v>
      </c>
      <c r="Q15" s="13">
        <v>-51</v>
      </c>
      <c r="U15" s="13"/>
      <c r="V15" s="13">
        <v>-136</v>
      </c>
      <c r="W15" s="13">
        <v>-125</v>
      </c>
      <c r="X15" s="13">
        <v>-173</v>
      </c>
      <c r="Y15" s="13">
        <v>-179</v>
      </c>
      <c r="Z15" s="13">
        <v>-181</v>
      </c>
      <c r="AA15" s="13">
        <v>-193</v>
      </c>
      <c r="AB15" s="13">
        <v>-222</v>
      </c>
      <c r="AC15" s="14">
        <f t="shared" ref="AC15:AL15" si="25">AC14*-0.22</f>
        <v>-253.21119999999982</v>
      </c>
      <c r="AD15" s="13">
        <f t="shared" si="25"/>
        <v>-286.8392230000004</v>
      </c>
      <c r="AE15" s="13">
        <f t="shared" si="25"/>
        <v>-304.55979015000122</v>
      </c>
      <c r="AF15" s="13">
        <f t="shared" si="25"/>
        <v>-323.26774383750194</v>
      </c>
      <c r="AG15" s="13">
        <f t="shared" si="25"/>
        <v>-343.01549413477562</v>
      </c>
      <c r="AH15" s="13">
        <f t="shared" si="25"/>
        <v>-363.858162840077</v>
      </c>
      <c r="AI15" s="13">
        <f t="shared" si="25"/>
        <v>-385.85372180059983</v>
      </c>
      <c r="AJ15" s="13">
        <f t="shared" si="25"/>
        <v>-409.06313823370346</v>
      </c>
      <c r="AK15" s="13">
        <f t="shared" si="25"/>
        <v>-433.55052739875578</v>
      </c>
      <c r="AL15" s="13">
        <f t="shared" si="25"/>
        <v>-459.38331298966193</v>
      </c>
    </row>
    <row r="16" spans="1:172" x14ac:dyDescent="0.25">
      <c r="C16" s="1" t="s">
        <v>20</v>
      </c>
      <c r="D16" s="11">
        <f t="shared" ref="D16:M16" si="26">SUM(D14:D15)</f>
        <v>94</v>
      </c>
      <c r="E16" s="11">
        <f t="shared" si="26"/>
        <v>109</v>
      </c>
      <c r="F16" s="11">
        <f t="shared" si="26"/>
        <v>170</v>
      </c>
      <c r="G16" s="11">
        <f t="shared" si="26"/>
        <v>204</v>
      </c>
      <c r="H16" s="11">
        <f t="shared" si="26"/>
        <v>62</v>
      </c>
      <c r="I16" s="11">
        <f t="shared" si="26"/>
        <v>107</v>
      </c>
      <c r="J16" s="11">
        <f t="shared" si="26"/>
        <v>214</v>
      </c>
      <c r="K16" s="11">
        <f t="shared" si="26"/>
        <v>249</v>
      </c>
      <c r="L16" s="11">
        <f t="shared" si="26"/>
        <v>80</v>
      </c>
      <c r="M16" s="11">
        <f t="shared" si="26"/>
        <v>179</v>
      </c>
      <c r="N16" s="11">
        <f>SUM(N14:N15)</f>
        <v>243</v>
      </c>
      <c r="O16" s="11">
        <f t="shared" ref="O16:S16" si="27">SUM(O14:O15)</f>
        <v>321</v>
      </c>
      <c r="P16" s="52">
        <f t="shared" si="27"/>
        <v>82</v>
      </c>
      <c r="Q16" s="11">
        <f t="shared" si="27"/>
        <v>199</v>
      </c>
      <c r="R16" s="11">
        <f t="shared" si="27"/>
        <v>0</v>
      </c>
      <c r="S16" s="11">
        <f t="shared" si="27"/>
        <v>0</v>
      </c>
      <c r="V16" s="11">
        <f t="shared" ref="V16:AA16" si="28">SUM(V14:V15)</f>
        <v>429</v>
      </c>
      <c r="W16" s="11">
        <f t="shared" si="28"/>
        <v>430</v>
      </c>
      <c r="X16" s="11">
        <f t="shared" si="28"/>
        <v>600</v>
      </c>
      <c r="Y16" s="11">
        <f t="shared" si="28"/>
        <v>606</v>
      </c>
      <c r="Z16" s="11">
        <f t="shared" si="28"/>
        <v>578</v>
      </c>
      <c r="AA16" s="11">
        <f t="shared" si="28"/>
        <v>632</v>
      </c>
      <c r="AB16" s="11">
        <f t="shared" ref="AB16:AL16" si="29">SUM(AB14:AB15)</f>
        <v>823</v>
      </c>
      <c r="AC16" s="12">
        <f t="shared" si="29"/>
        <v>897.74879999999928</v>
      </c>
      <c r="AD16" s="11">
        <f t="shared" si="29"/>
        <v>1016.9754270000014</v>
      </c>
      <c r="AE16" s="11">
        <f t="shared" si="29"/>
        <v>1079.8028923500044</v>
      </c>
      <c r="AF16" s="11">
        <f t="shared" si="29"/>
        <v>1146.1310917875069</v>
      </c>
      <c r="AG16" s="11">
        <f t="shared" si="29"/>
        <v>1216.1458428414771</v>
      </c>
      <c r="AH16" s="11">
        <f t="shared" si="29"/>
        <v>1290.0425773420911</v>
      </c>
      <c r="AI16" s="11">
        <f t="shared" si="29"/>
        <v>1368.0268318384901</v>
      </c>
      <c r="AJ16" s="11">
        <f t="shared" si="29"/>
        <v>1450.3147628285849</v>
      </c>
      <c r="AK16" s="11">
        <f t="shared" si="29"/>
        <v>1537.1336880501342</v>
      </c>
      <c r="AL16" s="11">
        <f t="shared" si="29"/>
        <v>1628.7226551451649</v>
      </c>
      <c r="AM16" s="11">
        <f>AL16*(1+$AO$20)</f>
        <v>1612.4354285937134</v>
      </c>
      <c r="AN16" s="11">
        <f t="shared" ref="AN16:CY16" si="30">AM16*(1+$AO$20)</f>
        <v>1596.3110743077762</v>
      </c>
      <c r="AO16" s="11">
        <f t="shared" si="30"/>
        <v>1580.3479635646984</v>
      </c>
      <c r="AP16" s="11">
        <f t="shared" si="30"/>
        <v>1564.5444839290515</v>
      </c>
      <c r="AQ16" s="11">
        <f t="shared" si="30"/>
        <v>1548.8990390897609</v>
      </c>
      <c r="AR16" s="11">
        <f t="shared" si="30"/>
        <v>1533.4100486988632</v>
      </c>
      <c r="AS16" s="11">
        <f t="shared" si="30"/>
        <v>1518.0759482118744</v>
      </c>
      <c r="AT16" s="11">
        <f t="shared" si="30"/>
        <v>1502.8951887297558</v>
      </c>
      <c r="AU16" s="11">
        <f t="shared" si="30"/>
        <v>1487.8662368424582</v>
      </c>
      <c r="AV16" s="11">
        <f t="shared" si="30"/>
        <v>1472.9875744740336</v>
      </c>
      <c r="AW16" s="11">
        <f t="shared" si="30"/>
        <v>1458.2576987292932</v>
      </c>
      <c r="AX16" s="11">
        <f t="shared" si="30"/>
        <v>1443.6751217420003</v>
      </c>
      <c r="AY16" s="11">
        <f t="shared" si="30"/>
        <v>1429.2383705245802</v>
      </c>
      <c r="AZ16" s="11">
        <f t="shared" si="30"/>
        <v>1414.9459868193344</v>
      </c>
      <c r="BA16" s="11">
        <f t="shared" si="30"/>
        <v>1400.796526951141</v>
      </c>
      <c r="BB16" s="11">
        <f t="shared" si="30"/>
        <v>1386.7885616816295</v>
      </c>
      <c r="BC16" s="11">
        <f t="shared" si="30"/>
        <v>1372.9206760648133</v>
      </c>
      <c r="BD16" s="11">
        <f t="shared" si="30"/>
        <v>1359.1914693041651</v>
      </c>
      <c r="BE16" s="11">
        <f t="shared" si="30"/>
        <v>1345.5995546111235</v>
      </c>
      <c r="BF16" s="11">
        <f t="shared" si="30"/>
        <v>1332.1435590650121</v>
      </c>
      <c r="BG16" s="11">
        <f t="shared" si="30"/>
        <v>1318.8221234743621</v>
      </c>
      <c r="BH16" s="11">
        <f t="shared" si="30"/>
        <v>1305.6339022396185</v>
      </c>
      <c r="BI16" s="11">
        <f t="shared" si="30"/>
        <v>1292.5775632172222</v>
      </c>
      <c r="BJ16" s="11">
        <f t="shared" si="30"/>
        <v>1279.65178758505</v>
      </c>
      <c r="BK16" s="11">
        <f t="shared" si="30"/>
        <v>1266.8552697091995</v>
      </c>
      <c r="BL16" s="11">
        <f t="shared" si="30"/>
        <v>1254.1867170121075</v>
      </c>
      <c r="BM16" s="11">
        <f t="shared" si="30"/>
        <v>1241.6448498419863</v>
      </c>
      <c r="BN16" s="11">
        <f t="shared" si="30"/>
        <v>1229.2284013435665</v>
      </c>
      <c r="BO16" s="11">
        <f t="shared" si="30"/>
        <v>1216.9361173301309</v>
      </c>
      <c r="BP16" s="11">
        <f t="shared" si="30"/>
        <v>1204.7667561568296</v>
      </c>
      <c r="BQ16" s="11">
        <f t="shared" si="30"/>
        <v>1192.7190885952614</v>
      </c>
      <c r="BR16" s="11">
        <f t="shared" si="30"/>
        <v>1180.7918977093088</v>
      </c>
      <c r="BS16" s="11">
        <f t="shared" si="30"/>
        <v>1168.9839787322157</v>
      </c>
      <c r="BT16" s="11">
        <f t="shared" si="30"/>
        <v>1157.2941389448936</v>
      </c>
      <c r="BU16" s="11">
        <f t="shared" si="30"/>
        <v>1145.7211975554446</v>
      </c>
      <c r="BV16" s="11">
        <f t="shared" si="30"/>
        <v>1134.2639855798902</v>
      </c>
      <c r="BW16" s="11">
        <f t="shared" si="30"/>
        <v>1122.9213457240912</v>
      </c>
      <c r="BX16" s="11">
        <f t="shared" si="30"/>
        <v>1111.6921322668502</v>
      </c>
      <c r="BY16" s="11">
        <f t="shared" si="30"/>
        <v>1100.5752109441817</v>
      </c>
      <c r="BZ16" s="11">
        <f t="shared" si="30"/>
        <v>1089.5694588347399</v>
      </c>
      <c r="CA16" s="11">
        <f t="shared" si="30"/>
        <v>1078.6737642463925</v>
      </c>
      <c r="CB16" s="11">
        <f t="shared" si="30"/>
        <v>1067.8870266039285</v>
      </c>
      <c r="CC16" s="11">
        <f t="shared" si="30"/>
        <v>1057.2081563378892</v>
      </c>
      <c r="CD16" s="11">
        <f t="shared" si="30"/>
        <v>1046.6360747745102</v>
      </c>
      <c r="CE16" s="11">
        <f t="shared" si="30"/>
        <v>1036.1697140267652</v>
      </c>
      <c r="CF16" s="11">
        <f t="shared" si="30"/>
        <v>1025.8080168864976</v>
      </c>
      <c r="CG16" s="11">
        <f t="shared" si="30"/>
        <v>1015.5499367176326</v>
      </c>
      <c r="CH16" s="11">
        <f t="shared" si="30"/>
        <v>1005.3944373504562</v>
      </c>
      <c r="CI16" s="11">
        <f t="shared" si="30"/>
        <v>995.34049297695162</v>
      </c>
      <c r="CJ16" s="11">
        <f t="shared" si="30"/>
        <v>985.38708804718215</v>
      </c>
      <c r="CK16" s="11">
        <f t="shared" si="30"/>
        <v>975.5332171667103</v>
      </c>
      <c r="CL16" s="11">
        <f t="shared" si="30"/>
        <v>965.77788499504322</v>
      </c>
      <c r="CM16" s="11">
        <f t="shared" si="30"/>
        <v>956.12010614509279</v>
      </c>
      <c r="CN16" s="11">
        <f t="shared" si="30"/>
        <v>946.55890508364189</v>
      </c>
      <c r="CO16" s="11">
        <f t="shared" si="30"/>
        <v>937.09331603280543</v>
      </c>
      <c r="CP16" s="11">
        <f t="shared" si="30"/>
        <v>927.7223828724774</v>
      </c>
      <c r="CQ16" s="11">
        <f t="shared" si="30"/>
        <v>918.4451590437526</v>
      </c>
      <c r="CR16" s="11">
        <f t="shared" si="30"/>
        <v>909.26070745331504</v>
      </c>
      <c r="CS16" s="11">
        <f t="shared" si="30"/>
        <v>900.1681003787819</v>
      </c>
      <c r="CT16" s="11">
        <f t="shared" si="30"/>
        <v>891.16641937499412</v>
      </c>
      <c r="CU16" s="11">
        <f t="shared" si="30"/>
        <v>882.25475518124415</v>
      </c>
      <c r="CV16" s="11">
        <f t="shared" si="30"/>
        <v>873.43220762943167</v>
      </c>
      <c r="CW16" s="11">
        <f t="shared" si="30"/>
        <v>864.69788555313733</v>
      </c>
      <c r="CX16" s="11">
        <f t="shared" si="30"/>
        <v>856.05090669760591</v>
      </c>
      <c r="CY16" s="11">
        <f t="shared" si="30"/>
        <v>847.4903976306299</v>
      </c>
      <c r="CZ16" s="11">
        <f t="shared" ref="CZ16:FK16" si="31">CY16*(1+$AO$20)</f>
        <v>839.01549365432356</v>
      </c>
      <c r="DA16" s="11">
        <f t="shared" si="31"/>
        <v>830.62533871778032</v>
      </c>
      <c r="DB16" s="11">
        <f t="shared" si="31"/>
        <v>822.31908533060255</v>
      </c>
      <c r="DC16" s="11">
        <f t="shared" si="31"/>
        <v>814.0958944772965</v>
      </c>
      <c r="DD16" s="11">
        <f t="shared" si="31"/>
        <v>805.95493553252356</v>
      </c>
      <c r="DE16" s="11">
        <f t="shared" si="31"/>
        <v>797.89538617719836</v>
      </c>
      <c r="DF16" s="11">
        <f t="shared" si="31"/>
        <v>789.91643231542639</v>
      </c>
      <c r="DG16" s="11">
        <f t="shared" si="31"/>
        <v>782.01726799227208</v>
      </c>
      <c r="DH16" s="11">
        <f t="shared" si="31"/>
        <v>774.19709531234935</v>
      </c>
      <c r="DI16" s="11">
        <f t="shared" si="31"/>
        <v>766.45512435922581</v>
      </c>
      <c r="DJ16" s="11">
        <f t="shared" si="31"/>
        <v>758.79057311563349</v>
      </c>
      <c r="DK16" s="11">
        <f t="shared" si="31"/>
        <v>751.20266738447719</v>
      </c>
      <c r="DL16" s="11">
        <f t="shared" si="31"/>
        <v>743.69064071063247</v>
      </c>
      <c r="DM16" s="11">
        <f t="shared" si="31"/>
        <v>736.25373430352613</v>
      </c>
      <c r="DN16" s="11">
        <f t="shared" si="31"/>
        <v>728.8911969604909</v>
      </c>
      <c r="DO16" s="11">
        <f t="shared" si="31"/>
        <v>721.60228499088601</v>
      </c>
      <c r="DP16" s="11">
        <f t="shared" si="31"/>
        <v>714.38626214097712</v>
      </c>
      <c r="DQ16" s="11">
        <f t="shared" si="31"/>
        <v>707.24239951956736</v>
      </c>
      <c r="DR16" s="11">
        <f t="shared" si="31"/>
        <v>700.16997552437169</v>
      </c>
      <c r="DS16" s="11">
        <f t="shared" si="31"/>
        <v>693.16827576912794</v>
      </c>
      <c r="DT16" s="11">
        <f t="shared" si="31"/>
        <v>686.23659301143664</v>
      </c>
      <c r="DU16" s="11">
        <f t="shared" si="31"/>
        <v>679.37422708132226</v>
      </c>
      <c r="DV16" s="11">
        <f t="shared" si="31"/>
        <v>672.58048481050901</v>
      </c>
      <c r="DW16" s="11">
        <f t="shared" si="31"/>
        <v>665.85467996240391</v>
      </c>
      <c r="DX16" s="11">
        <f t="shared" si="31"/>
        <v>659.19613316277992</v>
      </c>
      <c r="DY16" s="11">
        <f t="shared" si="31"/>
        <v>652.60417183115214</v>
      </c>
      <c r="DZ16" s="11">
        <f t="shared" si="31"/>
        <v>646.07813011284065</v>
      </c>
      <c r="EA16" s="11">
        <f t="shared" si="31"/>
        <v>639.61734881171219</v>
      </c>
      <c r="EB16" s="11">
        <f t="shared" si="31"/>
        <v>633.22117532359505</v>
      </c>
      <c r="EC16" s="11">
        <f t="shared" si="31"/>
        <v>626.88896357035912</v>
      </c>
      <c r="ED16" s="11">
        <f t="shared" si="31"/>
        <v>620.62007393465558</v>
      </c>
      <c r="EE16" s="11">
        <f t="shared" si="31"/>
        <v>614.41387319530907</v>
      </c>
      <c r="EF16" s="11">
        <f t="shared" si="31"/>
        <v>608.26973446335592</v>
      </c>
      <c r="EG16" s="11">
        <f t="shared" si="31"/>
        <v>602.1870371187224</v>
      </c>
      <c r="EH16" s="11">
        <f t="shared" si="31"/>
        <v>596.16516674753518</v>
      </c>
      <c r="EI16" s="11">
        <f t="shared" si="31"/>
        <v>590.20351508005979</v>
      </c>
      <c r="EJ16" s="11">
        <f t="shared" si="31"/>
        <v>584.30147992925913</v>
      </c>
      <c r="EK16" s="11">
        <f t="shared" si="31"/>
        <v>578.4584651299665</v>
      </c>
      <c r="EL16" s="11">
        <f t="shared" si="31"/>
        <v>572.67388047866677</v>
      </c>
      <c r="EM16" s="11">
        <f t="shared" si="31"/>
        <v>566.94714167388008</v>
      </c>
      <c r="EN16" s="11">
        <f t="shared" si="31"/>
        <v>561.27767025714127</v>
      </c>
      <c r="EO16" s="11">
        <f t="shared" si="31"/>
        <v>555.66489355456986</v>
      </c>
      <c r="EP16" s="11">
        <f t="shared" si="31"/>
        <v>550.10824461902416</v>
      </c>
      <c r="EQ16" s="11">
        <f t="shared" si="31"/>
        <v>544.60716217283391</v>
      </c>
      <c r="ER16" s="11">
        <f t="shared" si="31"/>
        <v>539.16109055110553</v>
      </c>
      <c r="ES16" s="11">
        <f t="shared" si="31"/>
        <v>533.76947964559452</v>
      </c>
      <c r="ET16" s="11">
        <f t="shared" si="31"/>
        <v>528.43178484913858</v>
      </c>
      <c r="EU16" s="11">
        <f t="shared" si="31"/>
        <v>523.14746700064723</v>
      </c>
      <c r="EV16" s="11">
        <f t="shared" si="31"/>
        <v>517.91599233064073</v>
      </c>
      <c r="EW16" s="11">
        <f t="shared" si="31"/>
        <v>512.7368324073343</v>
      </c>
      <c r="EX16" s="11">
        <f t="shared" si="31"/>
        <v>507.60946408326095</v>
      </c>
      <c r="EY16" s="11">
        <f t="shared" si="31"/>
        <v>502.53336944242835</v>
      </c>
      <c r="EZ16" s="11">
        <f t="shared" si="31"/>
        <v>497.50803574800409</v>
      </c>
      <c r="FA16" s="11">
        <f t="shared" si="31"/>
        <v>492.53295539052402</v>
      </c>
      <c r="FB16" s="11">
        <f t="shared" si="31"/>
        <v>487.60762583661875</v>
      </c>
      <c r="FC16" s="11">
        <f t="shared" si="31"/>
        <v>482.73154957825255</v>
      </c>
      <c r="FD16" s="11">
        <f t="shared" si="31"/>
        <v>477.90423408247</v>
      </c>
      <c r="FE16" s="11">
        <f t="shared" si="31"/>
        <v>473.12519174164527</v>
      </c>
      <c r="FF16" s="11">
        <f t="shared" si="31"/>
        <v>468.39393982422882</v>
      </c>
      <c r="FG16" s="11">
        <f t="shared" si="31"/>
        <v>463.71000042598655</v>
      </c>
      <c r="FH16" s="11">
        <f t="shared" si="31"/>
        <v>459.07290042172667</v>
      </c>
      <c r="FI16" s="11">
        <f t="shared" si="31"/>
        <v>454.48217141750939</v>
      </c>
      <c r="FJ16" s="11">
        <f t="shared" si="31"/>
        <v>449.93734970333429</v>
      </c>
      <c r="FK16" s="11">
        <f t="shared" si="31"/>
        <v>445.43797620630096</v>
      </c>
      <c r="FL16" s="11">
        <f t="shared" ref="FL16:FP16" si="32">FK16*(1+$AO$20)</f>
        <v>440.98359644423795</v>
      </c>
      <c r="FM16" s="11">
        <f t="shared" si="32"/>
        <v>436.57376047979557</v>
      </c>
      <c r="FN16" s="11">
        <f t="shared" si="32"/>
        <v>432.2080228749976</v>
      </c>
      <c r="FO16" s="11">
        <f t="shared" si="32"/>
        <v>427.8859426462476</v>
      </c>
      <c r="FP16" s="11">
        <f t="shared" si="32"/>
        <v>423.60708321978512</v>
      </c>
    </row>
    <row r="17" spans="3:41" x14ac:dyDescent="0.25">
      <c r="C17" s="2" t="s">
        <v>21</v>
      </c>
      <c r="D17" s="2">
        <v>105.5</v>
      </c>
      <c r="E17" s="2">
        <v>105.5</v>
      </c>
      <c r="F17" s="2">
        <v>105.5</v>
      </c>
      <c r="G17" s="2">
        <v>105.5</v>
      </c>
      <c r="H17" s="2">
        <v>105.5</v>
      </c>
      <c r="I17" s="2">
        <v>105.5</v>
      </c>
      <c r="J17" s="2">
        <v>105.5</v>
      </c>
      <c r="K17" s="2">
        <v>105.5</v>
      </c>
      <c r="L17" s="2">
        <v>105.5</v>
      </c>
      <c r="M17" s="2">
        <v>105.5</v>
      </c>
      <c r="N17" s="2">
        <v>105.5</v>
      </c>
      <c r="O17" s="2">
        <v>105.5</v>
      </c>
      <c r="P17" s="50">
        <v>105.5</v>
      </c>
      <c r="Q17" s="2">
        <v>105.5</v>
      </c>
      <c r="R17" s="2">
        <v>105.5</v>
      </c>
      <c r="S17" s="2">
        <v>105.5</v>
      </c>
      <c r="V17" s="2">
        <v>105.5</v>
      </c>
      <c r="W17" s="2">
        <v>105.5</v>
      </c>
      <c r="X17" s="2">
        <v>105.5</v>
      </c>
      <c r="Y17" s="2">
        <v>105.5</v>
      </c>
      <c r="Z17" s="8">
        <v>105.587362</v>
      </c>
      <c r="AA17" s="8">
        <v>101.491694</v>
      </c>
      <c r="AB17" s="2">
        <v>105.5</v>
      </c>
      <c r="AC17" s="4">
        <v>105.5</v>
      </c>
      <c r="AD17" s="2">
        <v>105.5</v>
      </c>
      <c r="AE17" s="2">
        <v>105.5</v>
      </c>
      <c r="AF17" s="2">
        <v>105.5</v>
      </c>
      <c r="AG17" s="2">
        <v>105.5</v>
      </c>
      <c r="AH17" s="2">
        <v>105.5</v>
      </c>
      <c r="AI17" s="2">
        <v>105.5</v>
      </c>
      <c r="AJ17" s="2">
        <v>105.5</v>
      </c>
      <c r="AK17" s="2">
        <v>105.5</v>
      </c>
      <c r="AL17" s="2">
        <v>105.5</v>
      </c>
    </row>
    <row r="18" spans="3:41" x14ac:dyDescent="0.25">
      <c r="C18" s="2" t="s">
        <v>22</v>
      </c>
      <c r="D18" s="18">
        <f t="shared" ref="D18:M18" si="33">D16/D17</f>
        <v>0.89099526066350709</v>
      </c>
      <c r="E18" s="18">
        <f t="shared" si="33"/>
        <v>1.033175355450237</v>
      </c>
      <c r="F18" s="18">
        <f t="shared" si="33"/>
        <v>1.6113744075829384</v>
      </c>
      <c r="G18" s="18">
        <f t="shared" si="33"/>
        <v>1.933649289099526</v>
      </c>
      <c r="H18" s="18">
        <f t="shared" si="33"/>
        <v>0.58767772511848337</v>
      </c>
      <c r="I18" s="18">
        <f t="shared" si="33"/>
        <v>1.014218009478673</v>
      </c>
      <c r="J18" s="18">
        <f t="shared" si="33"/>
        <v>2.028436018957346</v>
      </c>
      <c r="K18" s="18">
        <f t="shared" si="33"/>
        <v>2.3601895734597158</v>
      </c>
      <c r="L18" s="18">
        <f t="shared" si="33"/>
        <v>0.75829383886255919</v>
      </c>
      <c r="M18" s="18">
        <f t="shared" si="33"/>
        <v>1.6966824644549763</v>
      </c>
      <c r="N18" s="18">
        <f>N16/N17</f>
        <v>2.3033175355450237</v>
      </c>
      <c r="O18" s="18">
        <f t="shared" ref="O18:S18" si="34">O16/O17</f>
        <v>3.0426540284360191</v>
      </c>
      <c r="P18" s="54">
        <f t="shared" si="34"/>
        <v>0.77725118483412325</v>
      </c>
      <c r="Q18" s="18">
        <f t="shared" si="34"/>
        <v>1.886255924170616</v>
      </c>
      <c r="R18" s="18">
        <f t="shared" si="34"/>
        <v>0</v>
      </c>
      <c r="S18" s="18">
        <f t="shared" si="34"/>
        <v>0</v>
      </c>
      <c r="T18" s="18"/>
      <c r="U18" s="18"/>
      <c r="V18" s="18">
        <f t="shared" ref="V18:AA18" si="35">V16/V17</f>
        <v>4.0663507109004735</v>
      </c>
      <c r="W18" s="18">
        <f t="shared" si="35"/>
        <v>4.0758293838862558</v>
      </c>
      <c r="X18" s="18">
        <f t="shared" si="35"/>
        <v>5.6872037914691944</v>
      </c>
      <c r="Y18" s="18">
        <f t="shared" si="35"/>
        <v>5.7440758293838865</v>
      </c>
      <c r="Z18" s="18">
        <f t="shared" si="35"/>
        <v>5.4741399827755899</v>
      </c>
      <c r="AA18" s="18">
        <f t="shared" si="35"/>
        <v>6.2271105653237004</v>
      </c>
      <c r="AB18" s="18">
        <f>AB16/AB17</f>
        <v>7.8009478672985786</v>
      </c>
      <c r="AC18" s="20">
        <f t="shared" ref="AC18:AL18" si="36">AC16/AC17</f>
        <v>8.5094672985781923</v>
      </c>
      <c r="AD18" s="18">
        <f t="shared" si="36"/>
        <v>9.6395775071090188</v>
      </c>
      <c r="AE18" s="18">
        <f t="shared" si="36"/>
        <v>10.235098505687246</v>
      </c>
      <c r="AF18" s="18">
        <f t="shared" si="36"/>
        <v>10.86380181789106</v>
      </c>
      <c r="AG18" s="18">
        <f t="shared" si="36"/>
        <v>11.52744874731258</v>
      </c>
      <c r="AH18" s="18">
        <f t="shared" si="36"/>
        <v>12.227891728361053</v>
      </c>
      <c r="AI18" s="18">
        <f t="shared" si="36"/>
        <v>12.967078974772418</v>
      </c>
      <c r="AJ18" s="18">
        <f t="shared" si="36"/>
        <v>13.747059363304123</v>
      </c>
      <c r="AK18" s="18">
        <f t="shared" si="36"/>
        <v>14.569987564456248</v>
      </c>
      <c r="AL18" s="18">
        <f t="shared" si="36"/>
        <v>15.438129432655591</v>
      </c>
    </row>
    <row r="19" spans="3:41" x14ac:dyDescent="0.25">
      <c r="AN19" s="2" t="s">
        <v>106</v>
      </c>
      <c r="AO19" s="25">
        <v>0.08</v>
      </c>
    </row>
    <row r="20" spans="3:41" x14ac:dyDescent="0.25">
      <c r="C20" s="1" t="s">
        <v>3</v>
      </c>
      <c r="D20" s="19"/>
      <c r="E20" s="19"/>
      <c r="F20" s="17"/>
      <c r="G20" s="17"/>
      <c r="H20" s="17">
        <f t="shared" ref="H20:M20" si="37">(H4-D4)/D4</f>
        <v>0.10502577319587629</v>
      </c>
      <c r="I20" s="17">
        <f t="shared" si="37"/>
        <v>9.7005691660480078E-2</v>
      </c>
      <c r="J20" s="17">
        <f t="shared" si="37"/>
        <v>9.9642431466030995E-2</v>
      </c>
      <c r="K20" s="17">
        <f t="shared" si="37"/>
        <v>0.15646582519647534</v>
      </c>
      <c r="L20" s="17">
        <f t="shared" si="37"/>
        <v>0.12011661807580175</v>
      </c>
      <c r="M20" s="17">
        <f t="shared" si="37"/>
        <v>0.13354387547935936</v>
      </c>
      <c r="N20" s="17">
        <f>(N4-J4)/J4</f>
        <v>9.1914155647084328E-2</v>
      </c>
      <c r="O20" s="17">
        <f t="shared" ref="O20:S20" si="38">(O4-K4)/K4</f>
        <v>5.3953871499176277E-2</v>
      </c>
      <c r="P20" s="55">
        <f t="shared" si="38"/>
        <v>6.7412805830296726E-2</v>
      </c>
      <c r="Q20" s="17">
        <f t="shared" si="38"/>
        <v>4.0995024875621892E-2</v>
      </c>
      <c r="R20" s="17">
        <f t="shared" si="38"/>
        <v>-1</v>
      </c>
      <c r="S20" s="17">
        <f t="shared" si="38"/>
        <v>-1</v>
      </c>
      <c r="V20" s="17"/>
      <c r="W20" s="17">
        <f t="shared" ref="W20:Z20" si="39">(W4-V4)/V4</f>
        <v>4.746052069995732E-2</v>
      </c>
      <c r="X20" s="17">
        <f t="shared" si="39"/>
        <v>8.7115964469073423E-2</v>
      </c>
      <c r="Y20" s="17">
        <f t="shared" si="39"/>
        <v>7.4887556221889057E-2</v>
      </c>
      <c r="Z20" s="17">
        <f t="shared" si="39"/>
        <v>8.3687844340609524E-2</v>
      </c>
      <c r="AA20" s="17">
        <f>(AA4-Z4)/Z4</f>
        <v>0.1153870905463672</v>
      </c>
      <c r="AB20" s="17">
        <f t="shared" ref="AB20:AL20" si="40">(AB4-AA4)/AA4</f>
        <v>9.7507500576967457E-2</v>
      </c>
      <c r="AC20" s="21">
        <f t="shared" si="40"/>
        <v>5.0000000000000114E-2</v>
      </c>
      <c r="AD20" s="17">
        <f t="shared" si="40"/>
        <v>5.0000000000000121E-2</v>
      </c>
      <c r="AE20" s="17">
        <f t="shared" si="40"/>
        <v>5.0000000000000107E-2</v>
      </c>
      <c r="AF20" s="17">
        <f t="shared" si="40"/>
        <v>5.0000000000000107E-2</v>
      </c>
      <c r="AG20" s="17">
        <f t="shared" si="40"/>
        <v>4.9999999999999982E-2</v>
      </c>
      <c r="AH20" s="17">
        <f t="shared" si="40"/>
        <v>5.0000000000000072E-2</v>
      </c>
      <c r="AI20" s="17">
        <f t="shared" si="40"/>
        <v>5.0000000000000031E-2</v>
      </c>
      <c r="AJ20" s="17">
        <f t="shared" si="40"/>
        <v>5.0000000000000093E-2</v>
      </c>
      <c r="AK20" s="17">
        <f t="shared" si="40"/>
        <v>5.0000000000000065E-2</v>
      </c>
      <c r="AL20" s="17">
        <f t="shared" si="40"/>
        <v>5.0000000000000058E-2</v>
      </c>
      <c r="AN20" s="2" t="s">
        <v>107</v>
      </c>
      <c r="AO20" s="25">
        <v>-0.01</v>
      </c>
    </row>
    <row r="21" spans="3:41" x14ac:dyDescent="0.25">
      <c r="C21" s="1" t="s">
        <v>125</v>
      </c>
      <c r="D21" s="19"/>
      <c r="E21" s="19"/>
      <c r="F21" s="17"/>
      <c r="G21" s="17"/>
      <c r="H21" s="17"/>
      <c r="I21" s="17"/>
      <c r="J21" s="17"/>
      <c r="K21" s="17"/>
      <c r="L21" s="17">
        <v>0.06</v>
      </c>
      <c r="M21" s="17">
        <v>6.6000000000000003E-2</v>
      </c>
      <c r="N21" s="17">
        <v>0.05</v>
      </c>
      <c r="O21" s="17">
        <v>5.6000000000000001E-2</v>
      </c>
      <c r="P21" s="55">
        <v>6.2E-2</v>
      </c>
      <c r="Q21" s="17">
        <v>4.4999999999999998E-2</v>
      </c>
      <c r="R21" s="17"/>
      <c r="S21" s="17"/>
      <c r="V21" s="17"/>
      <c r="W21" s="17"/>
      <c r="X21" s="17"/>
      <c r="Y21" s="17"/>
      <c r="Z21" s="17"/>
      <c r="AA21" s="17"/>
      <c r="AB21" s="17"/>
      <c r="AC21" s="21"/>
      <c r="AD21" s="17"/>
      <c r="AE21" s="17"/>
      <c r="AF21" s="17"/>
      <c r="AG21" s="17"/>
      <c r="AH21" s="17"/>
      <c r="AI21" s="17"/>
      <c r="AJ21" s="17"/>
      <c r="AK21" s="17"/>
      <c r="AL21" s="17"/>
      <c r="AN21" s="26" t="s">
        <v>108</v>
      </c>
      <c r="AO21" s="28">
        <f>NPV(AO19,AB16:FP16)</f>
        <v>15990.769864760361</v>
      </c>
    </row>
    <row r="22" spans="3:41" x14ac:dyDescent="0.25">
      <c r="C22" s="2" t="s">
        <v>52</v>
      </c>
      <c r="D22" s="19"/>
      <c r="E22" s="19"/>
      <c r="F22" s="19"/>
      <c r="G22" s="19"/>
      <c r="H22" s="19">
        <f t="shared" ref="H22:S22" si="41">(H11-D11)/D11</f>
        <v>0.11657940663176265</v>
      </c>
      <c r="I22" s="19">
        <f t="shared" si="41"/>
        <v>9.3245033112582781E-2</v>
      </c>
      <c r="J22" s="19">
        <f t="shared" si="41"/>
        <v>9.3375065206051128E-2</v>
      </c>
      <c r="K22" s="19">
        <f t="shared" si="41"/>
        <v>0.1393939393939394</v>
      </c>
      <c r="L22" s="19">
        <f t="shared" si="41"/>
        <v>0.11597374179431072</v>
      </c>
      <c r="M22" s="19">
        <f t="shared" si="41"/>
        <v>0.11994184637751393</v>
      </c>
      <c r="N22" s="19">
        <f t="shared" si="41"/>
        <v>8.2061068702290074E-2</v>
      </c>
      <c r="O22" s="19">
        <f t="shared" si="41"/>
        <v>4.9722479185938945E-2</v>
      </c>
      <c r="P22" s="56">
        <f t="shared" si="41"/>
        <v>6.6666666666666666E-2</v>
      </c>
      <c r="Q22" s="19">
        <f t="shared" si="41"/>
        <v>3.440069234097793E-2</v>
      </c>
      <c r="R22" s="19">
        <f t="shared" si="41"/>
        <v>-1</v>
      </c>
      <c r="S22" s="19">
        <f t="shared" si="41"/>
        <v>-1</v>
      </c>
      <c r="V22" s="19"/>
      <c r="W22" s="19">
        <f t="shared" ref="W22:AL22" si="42">(W11-V11)/V11</f>
        <v>1.9673314682790363E-2</v>
      </c>
      <c r="X22" s="19">
        <f t="shared" si="42"/>
        <v>7.6643950792105495E-2</v>
      </c>
      <c r="Y22" s="19">
        <f t="shared" si="42"/>
        <v>7.8010686395396628E-2</v>
      </c>
      <c r="Z22" s="19">
        <f t="shared" si="42"/>
        <v>8.8150068628946171E-2</v>
      </c>
      <c r="AA22" s="19">
        <f t="shared" si="42"/>
        <v>0.11016117729502453</v>
      </c>
      <c r="AB22" s="19">
        <f t="shared" si="42"/>
        <v>8.9950763792450442E-2</v>
      </c>
      <c r="AC22" s="22">
        <f t="shared" si="42"/>
        <v>4.6889442288759083E-2</v>
      </c>
      <c r="AD22" s="19">
        <f t="shared" si="42"/>
        <v>4.5552456098035897E-2</v>
      </c>
      <c r="AE22" s="19">
        <f t="shared" si="42"/>
        <v>4.9999999999999913E-2</v>
      </c>
      <c r="AF22" s="19">
        <f t="shared" si="42"/>
        <v>4.9999999999999975E-2</v>
      </c>
      <c r="AG22" s="19">
        <f t="shared" si="42"/>
        <v>5.0000000000000287E-2</v>
      </c>
      <c r="AH22" s="19">
        <f t="shared" si="42"/>
        <v>4.9999999999999968E-2</v>
      </c>
      <c r="AI22" s="19">
        <f t="shared" si="42"/>
        <v>0.05</v>
      </c>
      <c r="AJ22" s="19">
        <f t="shared" si="42"/>
        <v>5.0000000000000266E-2</v>
      </c>
      <c r="AK22" s="19">
        <f t="shared" si="42"/>
        <v>4.9999999999999975E-2</v>
      </c>
      <c r="AL22" s="19">
        <f t="shared" si="42"/>
        <v>4.999999999999994E-2</v>
      </c>
      <c r="AN22" s="2" t="s">
        <v>2</v>
      </c>
      <c r="AO22" s="27">
        <v>105.5</v>
      </c>
    </row>
    <row r="23" spans="3:41" x14ac:dyDescent="0.25">
      <c r="C23" s="2" t="s">
        <v>23</v>
      </c>
      <c r="D23" s="9">
        <f t="shared" ref="D23:S23" si="43">D6/D4</f>
        <v>0.89884020618556704</v>
      </c>
      <c r="E23" s="9">
        <f t="shared" si="43"/>
        <v>0.90299430833951988</v>
      </c>
      <c r="F23" s="9">
        <f t="shared" si="43"/>
        <v>0.91251489868891533</v>
      </c>
      <c r="G23" s="9">
        <f t="shared" si="43"/>
        <v>0.9137889973803287</v>
      </c>
      <c r="H23" s="9">
        <f t="shared" si="43"/>
        <v>0.90583090379008746</v>
      </c>
      <c r="I23" s="9">
        <f t="shared" si="43"/>
        <v>0.90277464471012858</v>
      </c>
      <c r="J23" s="9">
        <f t="shared" si="43"/>
        <v>0.91675699111207454</v>
      </c>
      <c r="K23" s="9">
        <f t="shared" si="43"/>
        <v>0.92071663920922575</v>
      </c>
      <c r="L23" s="9">
        <f t="shared" si="43"/>
        <v>0.90942217595002606</v>
      </c>
      <c r="M23" s="9">
        <f t="shared" si="43"/>
        <v>0.90467661691542289</v>
      </c>
      <c r="N23" s="9">
        <f t="shared" si="43"/>
        <v>0.91681556482032955</v>
      </c>
      <c r="O23" s="9">
        <f t="shared" si="43"/>
        <v>0.9198905822586948</v>
      </c>
      <c r="P23" s="57">
        <f t="shared" si="43"/>
        <v>0.90660814435503534</v>
      </c>
      <c r="Q23" s="9">
        <f t="shared" si="43"/>
        <v>0.90594532594150257</v>
      </c>
      <c r="R23" s="9" t="e">
        <f t="shared" si="43"/>
        <v>#DIV/0!</v>
      </c>
      <c r="S23" s="9" t="e">
        <f t="shared" si="43"/>
        <v>#DIV/0!</v>
      </c>
      <c r="V23" s="9">
        <f t="shared" ref="V23:AL23" si="44">V6/V4</f>
        <v>0.91489543320529232</v>
      </c>
      <c r="W23" s="9">
        <f t="shared" si="44"/>
        <v>0.91907749979626763</v>
      </c>
      <c r="X23" s="9">
        <f t="shared" si="44"/>
        <v>0.91604197901049478</v>
      </c>
      <c r="Y23" s="9">
        <f t="shared" si="44"/>
        <v>0.91115140525838623</v>
      </c>
      <c r="Z23" s="9">
        <f t="shared" si="44"/>
        <v>0.90765171503957787</v>
      </c>
      <c r="AA23" s="9">
        <f t="shared" si="44"/>
        <v>0.91212785598892221</v>
      </c>
      <c r="AB23" s="9">
        <f t="shared" si="44"/>
        <v>0.91294290821154456</v>
      </c>
      <c r="AC23" s="23">
        <f t="shared" si="44"/>
        <v>0.89999999999999991</v>
      </c>
      <c r="AD23" s="9">
        <f t="shared" si="44"/>
        <v>0.89999999999999991</v>
      </c>
      <c r="AE23" s="9">
        <f t="shared" si="44"/>
        <v>0.89999999999999991</v>
      </c>
      <c r="AF23" s="9">
        <f t="shared" si="44"/>
        <v>0.9</v>
      </c>
      <c r="AG23" s="9">
        <f t="shared" si="44"/>
        <v>0.9</v>
      </c>
      <c r="AH23" s="9">
        <f t="shared" si="44"/>
        <v>0.89999999999999991</v>
      </c>
      <c r="AI23" s="9">
        <f t="shared" si="44"/>
        <v>0.89999999999999991</v>
      </c>
      <c r="AJ23" s="9">
        <f t="shared" si="44"/>
        <v>0.9</v>
      </c>
      <c r="AK23" s="9">
        <f t="shared" si="44"/>
        <v>0.9</v>
      </c>
      <c r="AL23" s="9">
        <f t="shared" si="44"/>
        <v>0.9</v>
      </c>
      <c r="AN23" s="2" t="s">
        <v>109</v>
      </c>
      <c r="AO23" s="41">
        <f>AO21/AO22</f>
        <v>151.57127833896078</v>
      </c>
    </row>
    <row r="24" spans="3:41" x14ac:dyDescent="0.25">
      <c r="C24" s="2" t="s">
        <v>4</v>
      </c>
      <c r="D24" s="9">
        <f t="shared" ref="D24:S24" si="45">D12/D4</f>
        <v>7.6997422680412375E-2</v>
      </c>
      <c r="E24" s="9">
        <f t="shared" si="45"/>
        <v>6.582529076961148E-2</v>
      </c>
      <c r="F24" s="9">
        <f t="shared" si="45"/>
        <v>8.6054827175208584E-2</v>
      </c>
      <c r="G24" s="9">
        <f t="shared" si="45"/>
        <v>9.6213384139080732E-2</v>
      </c>
      <c r="H24" s="9">
        <f t="shared" si="45"/>
        <v>6.7346938775510207E-2</v>
      </c>
      <c r="I24" s="9">
        <f t="shared" si="45"/>
        <v>6.9027746447101287E-2</v>
      </c>
      <c r="J24" s="9">
        <f t="shared" si="45"/>
        <v>9.1263819640147403E-2</v>
      </c>
      <c r="K24" s="9">
        <f t="shared" si="45"/>
        <v>0.10955518945634267</v>
      </c>
      <c r="L24" s="9">
        <f t="shared" si="45"/>
        <v>7.0796460176991149E-2</v>
      </c>
      <c r="M24" s="9">
        <f t="shared" si="45"/>
        <v>8.0199004975124374E-2</v>
      </c>
      <c r="N24" s="9">
        <f t="shared" si="45"/>
        <v>9.9463966646813576E-2</v>
      </c>
      <c r="O24" s="9">
        <f t="shared" si="45"/>
        <v>0.11313012895662368</v>
      </c>
      <c r="P24" s="57">
        <f t="shared" si="45"/>
        <v>7.1445988783223599E-2</v>
      </c>
      <c r="Q24" s="9">
        <f t="shared" si="45"/>
        <v>8.6025616516918368E-2</v>
      </c>
      <c r="R24" s="9" t="e">
        <f t="shared" si="45"/>
        <v>#DIV/0!</v>
      </c>
      <c r="S24" s="9" t="e">
        <f t="shared" si="45"/>
        <v>#DIV/0!</v>
      </c>
      <c r="V24" s="9">
        <f t="shared" ref="V24:AL24" si="46">V12/V4</f>
        <v>5.4118651301749893E-2</v>
      </c>
      <c r="W24" s="9">
        <f t="shared" si="46"/>
        <v>7.9211148235677611E-2</v>
      </c>
      <c r="X24" s="9">
        <f t="shared" si="46"/>
        <v>8.8080959520239879E-2</v>
      </c>
      <c r="Y24" s="9">
        <f t="shared" si="46"/>
        <v>8.543134109770556E-2</v>
      </c>
      <c r="Z24" s="9">
        <f t="shared" si="46"/>
        <v>8.1665486839564969E-2</v>
      </c>
      <c r="AA24" s="9">
        <f t="shared" si="46"/>
        <v>8.5968151396261253E-2</v>
      </c>
      <c r="AB24" s="9">
        <f t="shared" si="46"/>
        <v>9.2261591841026183E-2</v>
      </c>
      <c r="AC24" s="23">
        <f t="shared" si="46"/>
        <v>9.4950708703205752E-2</v>
      </c>
      <c r="AD24" s="9">
        <f t="shared" si="46"/>
        <v>9.8784276757000133E-2</v>
      </c>
      <c r="AE24" s="9">
        <f t="shared" si="46"/>
        <v>9.87842767570003E-2</v>
      </c>
      <c r="AF24" s="9">
        <f t="shared" si="46"/>
        <v>9.8784276757000411E-2</v>
      </c>
      <c r="AG24" s="9">
        <f t="shared" si="46"/>
        <v>9.8784276757000161E-2</v>
      </c>
      <c r="AH24" s="9">
        <f t="shared" si="46"/>
        <v>9.8784276757000244E-2</v>
      </c>
      <c r="AI24" s="9">
        <f t="shared" si="46"/>
        <v>9.8784276757000272E-2</v>
      </c>
      <c r="AJ24" s="9">
        <f t="shared" si="46"/>
        <v>9.8784276757000133E-2</v>
      </c>
      <c r="AK24" s="9">
        <f t="shared" si="46"/>
        <v>9.8784276757000203E-2</v>
      </c>
      <c r="AL24" s="9">
        <f t="shared" si="46"/>
        <v>9.8784276757000314E-2</v>
      </c>
      <c r="AN24" s="1" t="s">
        <v>110</v>
      </c>
      <c r="AO24" s="17">
        <f>(AO23-B4)/B4</f>
        <v>0.68412531487734196</v>
      </c>
    </row>
    <row r="25" spans="3:41" x14ac:dyDescent="0.25">
      <c r="C25" s="2" t="s">
        <v>113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V25" s="9">
        <v>9.7000000000000003E-2</v>
      </c>
      <c r="W25" s="9">
        <v>0.115</v>
      </c>
      <c r="X25" s="9">
        <v>0.13300000000000001</v>
      </c>
      <c r="Y25" s="9">
        <v>0.12</v>
      </c>
      <c r="Z25" s="9">
        <v>0.107</v>
      </c>
      <c r="AA25" s="9">
        <v>0.111</v>
      </c>
      <c r="AB25" s="9">
        <f>AB16/O39</f>
        <v>0.12417018708509354</v>
      </c>
      <c r="AC25" s="23"/>
      <c r="AD25" s="9"/>
      <c r="AE25" s="9"/>
      <c r="AF25" s="9"/>
      <c r="AG25" s="9"/>
      <c r="AH25" s="9"/>
      <c r="AI25" s="9"/>
      <c r="AJ25" s="9"/>
      <c r="AK25" s="9"/>
      <c r="AL25" s="9"/>
    </row>
    <row r="26" spans="3:41" x14ac:dyDescent="0.25"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V26" s="9"/>
      <c r="W26" s="9"/>
      <c r="X26" s="9"/>
      <c r="Y26" s="9"/>
      <c r="Z26" s="9"/>
      <c r="AA26" s="9"/>
      <c r="AB26" s="9"/>
      <c r="AC26" s="23"/>
      <c r="AD26" s="9"/>
      <c r="AE26" s="9"/>
      <c r="AF26" s="9"/>
      <c r="AG26" s="9"/>
      <c r="AH26" s="9"/>
      <c r="AI26" s="9"/>
      <c r="AJ26" s="9"/>
      <c r="AK26" s="9"/>
      <c r="AL26" s="9"/>
    </row>
    <row r="27" spans="3:41" x14ac:dyDescent="0.25">
      <c r="C27" s="2" t="s">
        <v>121</v>
      </c>
      <c r="D27" s="13"/>
      <c r="E27" s="13"/>
      <c r="F27" s="13"/>
      <c r="G27" s="13"/>
      <c r="H27" s="13"/>
      <c r="I27" s="13"/>
      <c r="J27" s="13"/>
      <c r="K27" s="13">
        <v>109510</v>
      </c>
      <c r="L27" s="13">
        <v>109281</v>
      </c>
      <c r="M27" s="13">
        <v>110744</v>
      </c>
      <c r="N27" s="13"/>
      <c r="O27" s="13">
        <v>113530</v>
      </c>
      <c r="P27" s="53">
        <v>113082</v>
      </c>
      <c r="Q27" s="13">
        <v>113176</v>
      </c>
      <c r="R27" s="13"/>
      <c r="S27" s="13"/>
      <c r="V27" s="9"/>
      <c r="W27" s="9"/>
      <c r="X27" s="9"/>
      <c r="Y27" s="9"/>
      <c r="Z27" s="9"/>
      <c r="AA27" s="9"/>
      <c r="AB27" s="9"/>
      <c r="AC27" s="23"/>
      <c r="AD27" s="9"/>
      <c r="AE27" s="9"/>
      <c r="AF27" s="9"/>
      <c r="AG27" s="9"/>
      <c r="AH27" s="9"/>
      <c r="AI27" s="9"/>
      <c r="AJ27" s="9"/>
      <c r="AK27" s="9"/>
      <c r="AL27" s="9"/>
    </row>
    <row r="28" spans="3:41" x14ac:dyDescent="0.25">
      <c r="C28" s="2" t="s">
        <v>122</v>
      </c>
      <c r="D28" s="9"/>
      <c r="E28" s="9"/>
      <c r="F28" s="9"/>
      <c r="G28" s="9"/>
      <c r="H28" s="19" t="e">
        <f t="shared" ref="H28:N28" si="47">(H27-D27)/D27</f>
        <v>#DIV/0!</v>
      </c>
      <c r="I28" s="19" t="e">
        <f t="shared" si="47"/>
        <v>#DIV/0!</v>
      </c>
      <c r="J28" s="19" t="e">
        <f t="shared" si="47"/>
        <v>#DIV/0!</v>
      </c>
      <c r="K28" s="19" t="e">
        <f t="shared" si="47"/>
        <v>#DIV/0!</v>
      </c>
      <c r="L28" s="19" t="e">
        <f t="shared" si="47"/>
        <v>#DIV/0!</v>
      </c>
      <c r="M28" s="19" t="e">
        <f t="shared" si="47"/>
        <v>#DIV/0!</v>
      </c>
      <c r="N28" s="19" t="e">
        <f t="shared" si="47"/>
        <v>#DIV/0!</v>
      </c>
      <c r="O28" s="19">
        <f>(O27-K27)/K27</f>
        <v>3.6708976349191853E-2</v>
      </c>
      <c r="P28" s="56">
        <f t="shared" ref="P28:S28" si="48">(P27-L27)/L27</f>
        <v>3.4781892552227744E-2</v>
      </c>
      <c r="Q28" s="19">
        <f t="shared" si="48"/>
        <v>2.1960557682583256E-2</v>
      </c>
      <c r="R28" s="19" t="e">
        <f t="shared" si="48"/>
        <v>#DIV/0!</v>
      </c>
      <c r="S28" s="19">
        <f t="shared" si="48"/>
        <v>-1</v>
      </c>
      <c r="V28" s="9"/>
      <c r="W28" s="9"/>
      <c r="X28" s="9"/>
      <c r="Y28" s="9"/>
      <c r="Z28" s="9"/>
      <c r="AA28" s="9"/>
      <c r="AB28" s="9"/>
      <c r="AC28" s="23"/>
      <c r="AD28" s="9"/>
      <c r="AE28" s="9"/>
      <c r="AF28" s="9"/>
      <c r="AG28" s="9"/>
      <c r="AH28" s="9"/>
      <c r="AI28" s="9"/>
      <c r="AJ28" s="9"/>
      <c r="AK28" s="9"/>
      <c r="AL28" s="9"/>
    </row>
    <row r="30" spans="3:41" x14ac:dyDescent="0.25">
      <c r="C30" s="3" t="s">
        <v>12</v>
      </c>
      <c r="D30" s="13"/>
      <c r="E30" s="13"/>
      <c r="F30" s="13"/>
      <c r="G30" s="13"/>
      <c r="H30" s="13"/>
      <c r="I30" s="13"/>
      <c r="K30" s="13"/>
      <c r="L30" s="13"/>
      <c r="M30" s="1"/>
      <c r="N30" s="1"/>
      <c r="O30" s="1"/>
      <c r="P30" s="58"/>
      <c r="Q30" s="1"/>
      <c r="R30" s="1"/>
      <c r="S30" s="1"/>
      <c r="T30" s="1"/>
      <c r="U30" s="1"/>
      <c r="V30" s="1"/>
      <c r="W30" s="1"/>
      <c r="X30" s="1"/>
    </row>
    <row r="31" spans="3:41" x14ac:dyDescent="0.25">
      <c r="C31" s="2" t="s">
        <v>61</v>
      </c>
      <c r="D31" s="13">
        <v>6687</v>
      </c>
      <c r="E31" s="13">
        <v>6758</v>
      </c>
      <c r="F31" s="13">
        <v>6670</v>
      </c>
      <c r="G31" s="13">
        <v>6695</v>
      </c>
      <c r="H31" s="13">
        <v>6984</v>
      </c>
      <c r="I31" s="13">
        <v>7056</v>
      </c>
      <c r="J31" s="13">
        <v>7632</v>
      </c>
      <c r="K31" s="13">
        <v>7627</v>
      </c>
      <c r="L31" s="13">
        <v>7655</v>
      </c>
      <c r="M31" s="13">
        <v>7673</v>
      </c>
      <c r="N31" s="13">
        <v>7595</v>
      </c>
      <c r="O31" s="13">
        <v>7767</v>
      </c>
      <c r="P31" s="53">
        <v>7761</v>
      </c>
      <c r="Q31" s="13">
        <v>7717</v>
      </c>
      <c r="R31" s="13"/>
      <c r="S31" s="13"/>
    </row>
    <row r="32" spans="3:41" x14ac:dyDescent="0.25">
      <c r="C32" s="2" t="s">
        <v>62</v>
      </c>
      <c r="D32" s="13">
        <v>1066</v>
      </c>
      <c r="E32" s="13">
        <v>1138</v>
      </c>
      <c r="F32" s="13">
        <v>1148</v>
      </c>
      <c r="G32" s="13">
        <v>1170</v>
      </c>
      <c r="H32" s="13">
        <v>1165</v>
      </c>
      <c r="I32" s="13">
        <v>1082</v>
      </c>
      <c r="J32" s="13">
        <v>1092</v>
      </c>
      <c r="K32" s="13">
        <v>1108</v>
      </c>
      <c r="L32" s="13">
        <v>1082</v>
      </c>
      <c r="M32" s="13">
        <v>1102</v>
      </c>
      <c r="N32" s="13">
        <v>1087</v>
      </c>
      <c r="O32" s="13">
        <v>1173</v>
      </c>
      <c r="P32" s="53">
        <v>1155</v>
      </c>
      <c r="Q32" s="13">
        <v>1184</v>
      </c>
      <c r="R32" s="13"/>
      <c r="S32" s="13"/>
    </row>
    <row r="33" spans="3:19" x14ac:dyDescent="0.25">
      <c r="C33" s="2" t="s">
        <v>63</v>
      </c>
      <c r="D33" s="13">
        <v>8946</v>
      </c>
      <c r="E33" s="13">
        <v>8987</v>
      </c>
      <c r="F33" s="13">
        <v>9368</v>
      </c>
      <c r="G33" s="13">
        <v>9119</v>
      </c>
      <c r="H33" s="13">
        <v>9696</v>
      </c>
      <c r="I33" s="13">
        <v>9477</v>
      </c>
      <c r="J33" s="13">
        <v>10806</v>
      </c>
      <c r="K33" s="13">
        <v>10474</v>
      </c>
      <c r="L33" s="13">
        <v>10978</v>
      </c>
      <c r="M33" s="13">
        <v>10736</v>
      </c>
      <c r="N33" s="13">
        <v>10133</v>
      </c>
      <c r="O33" s="13">
        <v>9981</v>
      </c>
      <c r="P33" s="53">
        <v>10923</v>
      </c>
      <c r="Q33" s="13">
        <v>10850</v>
      </c>
      <c r="R33" s="13"/>
      <c r="S33" s="13"/>
    </row>
    <row r="34" spans="3:19" x14ac:dyDescent="0.25">
      <c r="C34" s="2" t="s">
        <v>64</v>
      </c>
      <c r="D34" s="13">
        <v>1011</v>
      </c>
      <c r="E34" s="13">
        <v>1049</v>
      </c>
      <c r="F34" s="13">
        <v>1034</v>
      </c>
      <c r="G34" s="13">
        <v>1035</v>
      </c>
      <c r="H34" s="13">
        <v>1078</v>
      </c>
      <c r="I34" s="13">
        <v>1070</v>
      </c>
      <c r="J34" s="13">
        <v>1071</v>
      </c>
      <c r="K34" s="13">
        <v>1071</v>
      </c>
      <c r="L34" s="13">
        <v>1090</v>
      </c>
      <c r="M34" s="13">
        <v>1095</v>
      </c>
      <c r="N34" s="13">
        <v>1059</v>
      </c>
      <c r="O34" s="13">
        <v>1086</v>
      </c>
      <c r="P34" s="53">
        <v>1108</v>
      </c>
      <c r="Q34" s="13">
        <v>1090</v>
      </c>
      <c r="R34" s="13"/>
      <c r="S34" s="13"/>
    </row>
    <row r="35" spans="3:19" x14ac:dyDescent="0.25">
      <c r="C35" s="2" t="s">
        <v>65</v>
      </c>
      <c r="D35" s="13">
        <v>102</v>
      </c>
      <c r="E35" s="13">
        <v>102</v>
      </c>
      <c r="F35" s="13">
        <v>96</v>
      </c>
      <c r="G35" s="13">
        <v>92</v>
      </c>
      <c r="H35" s="13">
        <v>119</v>
      </c>
      <c r="I35" s="13">
        <v>119</v>
      </c>
      <c r="J35" s="13">
        <v>169</v>
      </c>
      <c r="K35" s="13">
        <v>170</v>
      </c>
      <c r="L35" s="13">
        <v>187</v>
      </c>
      <c r="M35" s="13">
        <v>194</v>
      </c>
      <c r="N35" s="13">
        <v>178</v>
      </c>
      <c r="O35" s="13">
        <v>177</v>
      </c>
      <c r="P35" s="53">
        <v>193</v>
      </c>
      <c r="Q35" s="13">
        <v>193</v>
      </c>
      <c r="R35" s="13"/>
      <c r="S35" s="13"/>
    </row>
    <row r="36" spans="3:19" x14ac:dyDescent="0.25">
      <c r="C36" s="2" t="s">
        <v>24</v>
      </c>
      <c r="D36" s="13">
        <v>989</v>
      </c>
      <c r="E36" s="13">
        <v>740</v>
      </c>
      <c r="F36" s="13">
        <v>901</v>
      </c>
      <c r="G36" s="13">
        <v>840</v>
      </c>
      <c r="H36" s="13">
        <v>1173</v>
      </c>
      <c r="I36" s="13">
        <v>895</v>
      </c>
      <c r="J36" s="13">
        <v>1132</v>
      </c>
      <c r="K36" s="13">
        <v>964</v>
      </c>
      <c r="L36" s="13">
        <v>1305</v>
      </c>
      <c r="M36" s="13">
        <v>1018</v>
      </c>
      <c r="N36" s="13">
        <v>1122</v>
      </c>
      <c r="O36" s="13">
        <v>1055</v>
      </c>
      <c r="P36" s="53">
        <v>1438</v>
      </c>
      <c r="Q36" s="13">
        <v>1064</v>
      </c>
      <c r="R36" s="13"/>
      <c r="S36" s="13"/>
    </row>
    <row r="37" spans="3:19" x14ac:dyDescent="0.25">
      <c r="C37" s="2" t="s">
        <v>25</v>
      </c>
      <c r="D37" s="13">
        <v>907</v>
      </c>
      <c r="E37" s="13">
        <v>818</v>
      </c>
      <c r="F37" s="13">
        <v>872</v>
      </c>
      <c r="G37" s="13">
        <v>967</v>
      </c>
      <c r="H37" s="13">
        <v>969</v>
      </c>
      <c r="I37" s="13">
        <v>1108</v>
      </c>
      <c r="J37" s="13">
        <v>1243</v>
      </c>
      <c r="K37" s="13">
        <v>1316</v>
      </c>
      <c r="L37" s="13">
        <v>1047</v>
      </c>
      <c r="M37" s="13">
        <v>1200</v>
      </c>
      <c r="N37" s="13">
        <v>1001</v>
      </c>
      <c r="O37" s="13">
        <v>777</v>
      </c>
      <c r="P37" s="53">
        <v>793</v>
      </c>
      <c r="Q37" s="13">
        <v>661</v>
      </c>
      <c r="R37" s="13"/>
      <c r="S37" s="13"/>
    </row>
    <row r="38" spans="3:19" x14ac:dyDescent="0.25">
      <c r="C38" s="1" t="s">
        <v>26</v>
      </c>
      <c r="D38" s="11">
        <f t="shared" ref="D38:M38" si="49">SUM(D31:D37)</f>
        <v>19708</v>
      </c>
      <c r="E38" s="11">
        <f t="shared" si="49"/>
        <v>19592</v>
      </c>
      <c r="F38" s="11">
        <f t="shared" si="49"/>
        <v>20089</v>
      </c>
      <c r="G38" s="11">
        <f t="shared" si="49"/>
        <v>19918</v>
      </c>
      <c r="H38" s="11">
        <f t="shared" si="49"/>
        <v>21184</v>
      </c>
      <c r="I38" s="11">
        <f t="shared" si="49"/>
        <v>20807</v>
      </c>
      <c r="J38" s="11">
        <f>SUM(J31:J37)</f>
        <v>23145</v>
      </c>
      <c r="K38" s="11">
        <f t="shared" si="49"/>
        <v>22730</v>
      </c>
      <c r="L38" s="11">
        <f t="shared" si="49"/>
        <v>23344</v>
      </c>
      <c r="M38" s="11">
        <f t="shared" si="49"/>
        <v>23018</v>
      </c>
      <c r="N38" s="11">
        <f>SUM(N31:N37)</f>
        <v>22175</v>
      </c>
      <c r="O38" s="11">
        <f t="shared" ref="O38:S38" si="50">SUM(O31:O37)</f>
        <v>22016</v>
      </c>
      <c r="P38" s="52">
        <f t="shared" si="50"/>
        <v>23371</v>
      </c>
      <c r="Q38" s="11">
        <f t="shared" si="50"/>
        <v>22759</v>
      </c>
      <c r="R38" s="11">
        <f t="shared" si="50"/>
        <v>0</v>
      </c>
      <c r="S38" s="11">
        <f t="shared" si="50"/>
        <v>0</v>
      </c>
    </row>
    <row r="39" spans="3:19" x14ac:dyDescent="0.25">
      <c r="C39" s="10" t="s">
        <v>66</v>
      </c>
      <c r="D39" s="15">
        <v>5835</v>
      </c>
      <c r="E39" s="15">
        <v>5772</v>
      </c>
      <c r="F39" s="15">
        <v>5905</v>
      </c>
      <c r="G39" s="15">
        <v>6134</v>
      </c>
      <c r="H39" s="15">
        <v>6173</v>
      </c>
      <c r="I39" s="15">
        <v>6069</v>
      </c>
      <c r="J39" s="15">
        <v>6031</v>
      </c>
      <c r="K39" s="15">
        <v>6265</v>
      </c>
      <c r="L39" s="15">
        <v>6324</v>
      </c>
      <c r="M39" s="15">
        <v>6336</v>
      </c>
      <c r="N39" s="15">
        <v>6292</v>
      </c>
      <c r="O39" s="15">
        <v>6628</v>
      </c>
      <c r="P39" s="59">
        <v>6700</v>
      </c>
      <c r="Q39" s="15">
        <v>6642</v>
      </c>
      <c r="R39" s="15"/>
      <c r="S39" s="15"/>
    </row>
    <row r="40" spans="3:19" x14ac:dyDescent="0.25">
      <c r="C40" s="2" t="s">
        <v>67</v>
      </c>
      <c r="D40" s="13">
        <v>1559</v>
      </c>
      <c r="E40" s="13">
        <v>1532</v>
      </c>
      <c r="F40" s="13">
        <v>1462</v>
      </c>
      <c r="G40" s="13">
        <v>1424</v>
      </c>
      <c r="H40" s="13">
        <v>1421</v>
      </c>
      <c r="I40" s="13">
        <v>1715</v>
      </c>
      <c r="J40" s="13">
        <v>1716</v>
      </c>
      <c r="K40" s="13">
        <v>1660</v>
      </c>
      <c r="L40" s="13">
        <v>1626</v>
      </c>
      <c r="M40" s="13">
        <v>1632</v>
      </c>
      <c r="N40" s="13">
        <v>1538</v>
      </c>
      <c r="O40" s="13">
        <v>1183</v>
      </c>
      <c r="P40" s="53">
        <v>1164</v>
      </c>
      <c r="Q40" s="13">
        <v>1126</v>
      </c>
      <c r="R40" s="13"/>
      <c r="S40" s="13"/>
    </row>
    <row r="41" spans="3:19" x14ac:dyDescent="0.25">
      <c r="C41" s="2" t="s">
        <v>68</v>
      </c>
      <c r="D41" s="13">
        <v>8004</v>
      </c>
      <c r="E41" s="13">
        <v>8069</v>
      </c>
      <c r="F41" s="13">
        <v>8410</v>
      </c>
      <c r="G41" s="13">
        <v>8203</v>
      </c>
      <c r="H41" s="13">
        <v>8671</v>
      </c>
      <c r="I41" s="13">
        <v>8478</v>
      </c>
      <c r="J41" s="13">
        <v>9712</v>
      </c>
      <c r="K41" s="13">
        <v>9408</v>
      </c>
      <c r="L41" s="13">
        <v>9873</v>
      </c>
      <c r="M41" s="13">
        <v>9697</v>
      </c>
      <c r="N41" s="13">
        <v>9146</v>
      </c>
      <c r="O41" s="13">
        <v>9012</v>
      </c>
      <c r="P41" s="53">
        <v>10014</v>
      </c>
      <c r="Q41" s="13">
        <v>9964</v>
      </c>
      <c r="R41" s="13"/>
      <c r="S41" s="13"/>
    </row>
    <row r="42" spans="3:19" x14ac:dyDescent="0.25">
      <c r="C42" s="2" t="s">
        <v>69</v>
      </c>
      <c r="D42" s="13">
        <v>244</v>
      </c>
      <c r="E42" s="13">
        <v>229</v>
      </c>
      <c r="F42" s="13">
        <v>197</v>
      </c>
      <c r="G42" s="13">
        <v>180</v>
      </c>
      <c r="H42" s="13">
        <v>196</v>
      </c>
      <c r="I42" s="13">
        <v>179</v>
      </c>
      <c r="J42" s="13">
        <v>271</v>
      </c>
      <c r="K42" s="13">
        <v>409</v>
      </c>
      <c r="L42" s="13">
        <v>406</v>
      </c>
      <c r="M42" s="13">
        <v>371</v>
      </c>
      <c r="N42" s="13">
        <v>275</v>
      </c>
      <c r="O42" s="13">
        <v>319</v>
      </c>
      <c r="P42" s="53">
        <v>336</v>
      </c>
      <c r="Q42" s="13">
        <v>331</v>
      </c>
      <c r="R42" s="13"/>
      <c r="S42" s="13"/>
    </row>
    <row r="43" spans="3:19" x14ac:dyDescent="0.25">
      <c r="C43" s="2" t="s">
        <v>70</v>
      </c>
      <c r="D43" s="13">
        <v>345</v>
      </c>
      <c r="E43" s="13">
        <v>348</v>
      </c>
      <c r="F43" s="13">
        <v>346</v>
      </c>
      <c r="G43" s="13">
        <v>167</v>
      </c>
      <c r="H43" s="13">
        <v>529</v>
      </c>
      <c r="I43" s="13">
        <v>147</v>
      </c>
      <c r="J43" s="13">
        <v>746</v>
      </c>
      <c r="K43" s="13">
        <v>446</v>
      </c>
      <c r="L43" s="13">
        <v>537</v>
      </c>
      <c r="M43" s="13">
        <v>351</v>
      </c>
      <c r="N43" s="13">
        <v>439</v>
      </c>
      <c r="O43" s="13">
        <v>315</v>
      </c>
      <c r="P43" s="53">
        <v>530</v>
      </c>
      <c r="Q43" s="13">
        <v>43</v>
      </c>
      <c r="R43" s="13"/>
      <c r="S43" s="13"/>
    </row>
    <row r="44" spans="3:19" x14ac:dyDescent="0.25">
      <c r="C44" s="2" t="s">
        <v>71</v>
      </c>
      <c r="D44" s="13">
        <v>1378</v>
      </c>
      <c r="E44" s="13">
        <v>1251</v>
      </c>
      <c r="F44" s="13">
        <v>1306</v>
      </c>
      <c r="G44" s="13">
        <v>1309</v>
      </c>
      <c r="H44" s="13">
        <v>1462</v>
      </c>
      <c r="I44" s="13">
        <v>1526</v>
      </c>
      <c r="J44" s="13">
        <v>1664</v>
      </c>
      <c r="K44" s="13">
        <v>1574</v>
      </c>
      <c r="L44" s="13">
        <v>1639</v>
      </c>
      <c r="M44" s="13">
        <v>1625</v>
      </c>
      <c r="N44" s="13">
        <v>1592</v>
      </c>
      <c r="O44" s="13">
        <v>1593</v>
      </c>
      <c r="P44" s="53">
        <v>1566</v>
      </c>
      <c r="Q44" s="13">
        <v>1615</v>
      </c>
      <c r="R44" s="13"/>
      <c r="S44" s="13"/>
    </row>
    <row r="45" spans="3:19" x14ac:dyDescent="0.25">
      <c r="C45" s="2" t="s">
        <v>27</v>
      </c>
      <c r="D45" s="13">
        <v>2344</v>
      </c>
      <c r="E45" s="13">
        <v>2392</v>
      </c>
      <c r="F45" s="13">
        <v>2462</v>
      </c>
      <c r="G45" s="13">
        <v>2501</v>
      </c>
      <c r="H45" s="13">
        <v>2732</v>
      </c>
      <c r="I45" s="13">
        <v>2793</v>
      </c>
      <c r="J45" s="13">
        <v>3004</v>
      </c>
      <c r="K45" s="13">
        <v>2967</v>
      </c>
      <c r="L45" s="13">
        <v>2939</v>
      </c>
      <c r="M45" s="13">
        <v>3006</v>
      </c>
      <c r="N45" s="13">
        <v>2893</v>
      </c>
      <c r="O45" s="13">
        <v>2967</v>
      </c>
      <c r="P45" s="53">
        <v>3060</v>
      </c>
      <c r="Q45" s="13">
        <v>3040</v>
      </c>
      <c r="R45" s="13"/>
      <c r="S45" s="13"/>
    </row>
    <row r="46" spans="3:19" x14ac:dyDescent="0.25">
      <c r="C46" s="10" t="s">
        <v>28</v>
      </c>
      <c r="D46" s="15">
        <f t="shared" ref="D46:M46" si="51">SUM(D40:D45)</f>
        <v>13874</v>
      </c>
      <c r="E46" s="15">
        <f t="shared" si="51"/>
        <v>13821</v>
      </c>
      <c r="F46" s="15">
        <f t="shared" si="51"/>
        <v>14183</v>
      </c>
      <c r="G46" s="15">
        <f t="shared" si="51"/>
        <v>13784</v>
      </c>
      <c r="H46" s="15">
        <f t="shared" si="51"/>
        <v>15011</v>
      </c>
      <c r="I46" s="15">
        <f t="shared" si="51"/>
        <v>14838</v>
      </c>
      <c r="J46" s="15">
        <f t="shared" si="51"/>
        <v>17113</v>
      </c>
      <c r="K46" s="15">
        <f t="shared" si="51"/>
        <v>16464</v>
      </c>
      <c r="L46" s="15">
        <f t="shared" si="51"/>
        <v>17020</v>
      </c>
      <c r="M46" s="15">
        <f t="shared" si="51"/>
        <v>16682</v>
      </c>
      <c r="N46" s="15">
        <f>SUM(N40:N45)</f>
        <v>15883</v>
      </c>
      <c r="O46" s="15">
        <f t="shared" ref="O46:S46" si="52">SUM(O40:O45)</f>
        <v>15389</v>
      </c>
      <c r="P46" s="59">
        <f t="shared" si="52"/>
        <v>16670</v>
      </c>
      <c r="Q46" s="15">
        <f t="shared" si="52"/>
        <v>16119</v>
      </c>
      <c r="R46" s="15">
        <f t="shared" si="52"/>
        <v>0</v>
      </c>
      <c r="S46" s="15">
        <f t="shared" si="52"/>
        <v>0</v>
      </c>
    </row>
    <row r="47" spans="3:19" x14ac:dyDescent="0.25">
      <c r="C47" s="1" t="s">
        <v>29</v>
      </c>
      <c r="D47" s="11">
        <f t="shared" ref="D47:M47" si="53">D39+D46</f>
        <v>19709</v>
      </c>
      <c r="E47" s="11">
        <f t="shared" si="53"/>
        <v>19593</v>
      </c>
      <c r="F47" s="11">
        <f t="shared" si="53"/>
        <v>20088</v>
      </c>
      <c r="G47" s="11">
        <f t="shared" si="53"/>
        <v>19918</v>
      </c>
      <c r="H47" s="11">
        <f t="shared" si="53"/>
        <v>21184</v>
      </c>
      <c r="I47" s="11">
        <f t="shared" si="53"/>
        <v>20907</v>
      </c>
      <c r="J47" s="11">
        <f t="shared" si="53"/>
        <v>23144</v>
      </c>
      <c r="K47" s="11">
        <f t="shared" si="53"/>
        <v>22729</v>
      </c>
      <c r="L47" s="11">
        <f t="shared" si="53"/>
        <v>23344</v>
      </c>
      <c r="M47" s="11">
        <f t="shared" si="53"/>
        <v>23018</v>
      </c>
      <c r="N47" s="11">
        <f>N39+N46</f>
        <v>22175</v>
      </c>
      <c r="O47" s="11">
        <f t="shared" ref="O47:S47" si="54">O39+O46</f>
        <v>22017</v>
      </c>
      <c r="P47" s="52">
        <f t="shared" si="54"/>
        <v>23370</v>
      </c>
      <c r="Q47" s="11">
        <f t="shared" si="54"/>
        <v>22761</v>
      </c>
      <c r="R47" s="11">
        <f t="shared" si="54"/>
        <v>0</v>
      </c>
      <c r="S47" s="11">
        <f t="shared" si="54"/>
        <v>0</v>
      </c>
    </row>
    <row r="48" spans="3:19" x14ac:dyDescent="0.25">
      <c r="C48" s="10"/>
      <c r="D48" s="13"/>
      <c r="E48" s="13"/>
      <c r="F48" s="13"/>
      <c r="G48" s="13"/>
      <c r="H48" s="13"/>
      <c r="I48" s="13"/>
      <c r="J48" s="13"/>
      <c r="K48" s="13"/>
      <c r="L48" s="13"/>
    </row>
    <row r="49" spans="3:29" x14ac:dyDescent="0.25">
      <c r="C49" s="3" t="s">
        <v>13</v>
      </c>
      <c r="D49" s="13"/>
      <c r="E49" s="13"/>
      <c r="F49" s="13"/>
      <c r="G49" s="13"/>
      <c r="H49" s="13"/>
      <c r="I49" s="13"/>
      <c r="J49" s="13"/>
      <c r="K49" s="13"/>
      <c r="L49" s="13"/>
    </row>
    <row r="50" spans="3:29" x14ac:dyDescent="0.25">
      <c r="C50" s="2" t="s">
        <v>30</v>
      </c>
      <c r="D50" s="13">
        <f t="shared" ref="D50:S50" si="55">D12</f>
        <v>239</v>
      </c>
      <c r="E50" s="13">
        <f t="shared" si="55"/>
        <v>266</v>
      </c>
      <c r="F50" s="13">
        <f t="shared" si="55"/>
        <v>361</v>
      </c>
      <c r="G50" s="13">
        <f t="shared" si="55"/>
        <v>404</v>
      </c>
      <c r="H50" s="13">
        <f t="shared" si="55"/>
        <v>231</v>
      </c>
      <c r="I50" s="13">
        <f t="shared" si="55"/>
        <v>306</v>
      </c>
      <c r="J50" s="13">
        <f t="shared" si="55"/>
        <v>421</v>
      </c>
      <c r="K50" s="13">
        <f t="shared" si="55"/>
        <v>532</v>
      </c>
      <c r="L50" s="13">
        <f t="shared" si="55"/>
        <v>272</v>
      </c>
      <c r="M50" s="13">
        <f t="shared" si="55"/>
        <v>403</v>
      </c>
      <c r="N50" s="13">
        <f t="shared" si="55"/>
        <v>501</v>
      </c>
      <c r="O50" s="13">
        <f t="shared" si="55"/>
        <v>579</v>
      </c>
      <c r="P50" s="53">
        <f t="shared" si="55"/>
        <v>293</v>
      </c>
      <c r="Q50" s="13">
        <f t="shared" si="55"/>
        <v>450</v>
      </c>
      <c r="R50" s="13">
        <f t="shared" si="55"/>
        <v>0</v>
      </c>
      <c r="S50" s="13">
        <f t="shared" si="55"/>
        <v>0</v>
      </c>
      <c r="V50" s="13">
        <f t="shared" ref="V50:AA50" si="56">V12</f>
        <v>634</v>
      </c>
      <c r="W50" s="13">
        <f t="shared" si="56"/>
        <v>972</v>
      </c>
      <c r="X50" s="13">
        <f t="shared" si="56"/>
        <v>1175</v>
      </c>
      <c r="Y50" s="13">
        <f t="shared" si="56"/>
        <v>1225</v>
      </c>
      <c r="Z50" s="13">
        <f t="shared" si="56"/>
        <v>1269</v>
      </c>
      <c r="AA50" s="13">
        <f t="shared" si="56"/>
        <v>1490</v>
      </c>
      <c r="AB50" s="13">
        <f t="shared" ref="AB50:AC50" si="57">AB12</f>
        <v>1755</v>
      </c>
      <c r="AC50" s="14">
        <f t="shared" si="57"/>
        <v>1896.4599999999991</v>
      </c>
    </row>
    <row r="51" spans="3:29" x14ac:dyDescent="0.25">
      <c r="C51" s="2" t="s">
        <v>31</v>
      </c>
      <c r="D51" s="13">
        <v>239</v>
      </c>
      <c r="E51" s="13">
        <v>266</v>
      </c>
      <c r="F51" s="13">
        <v>361</v>
      </c>
      <c r="G51" s="13">
        <v>404</v>
      </c>
      <c r="H51" s="13">
        <v>232</v>
      </c>
      <c r="I51" s="13">
        <v>305</v>
      </c>
      <c r="J51" s="13">
        <v>422</v>
      </c>
      <c r="K51" s="13">
        <v>532</v>
      </c>
      <c r="L51" s="13">
        <v>272</v>
      </c>
      <c r="M51" s="2">
        <v>402</v>
      </c>
      <c r="N51" s="2">
        <v>499</v>
      </c>
      <c r="O51" s="13">
        <v>578</v>
      </c>
      <c r="P51" s="53">
        <v>292</v>
      </c>
      <c r="Q51" s="13">
        <v>450</v>
      </c>
      <c r="R51" s="13"/>
      <c r="S51" s="13"/>
      <c r="V51" s="13">
        <v>635</v>
      </c>
      <c r="W51" s="13">
        <v>973</v>
      </c>
      <c r="X51" s="13">
        <v>1174</v>
      </c>
      <c r="Y51" s="13">
        <v>1224</v>
      </c>
      <c r="Z51" s="13">
        <v>1270</v>
      </c>
      <c r="AA51" s="13">
        <v>1490</v>
      </c>
      <c r="AB51" s="13">
        <f>SUM(L51:O51)</f>
        <v>1751</v>
      </c>
      <c r="AC51" s="14"/>
    </row>
    <row r="52" spans="3:29" x14ac:dyDescent="0.25">
      <c r="C52" s="2" t="s">
        <v>49</v>
      </c>
      <c r="D52" s="13">
        <v>448</v>
      </c>
      <c r="E52" s="13">
        <v>474</v>
      </c>
      <c r="F52" s="13">
        <v>507</v>
      </c>
      <c r="G52" s="13">
        <v>495</v>
      </c>
      <c r="H52" s="13">
        <v>498</v>
      </c>
      <c r="I52" s="13">
        <v>526</v>
      </c>
      <c r="J52" s="13">
        <v>556</v>
      </c>
      <c r="K52" s="13">
        <v>580</v>
      </c>
      <c r="L52" s="13">
        <v>577</v>
      </c>
      <c r="M52" s="2">
        <v>604</v>
      </c>
      <c r="N52" s="2">
        <v>583</v>
      </c>
      <c r="O52" s="13">
        <v>589</v>
      </c>
      <c r="P52" s="53">
        <v>571</v>
      </c>
      <c r="Q52" s="13">
        <v>590</v>
      </c>
      <c r="R52" s="13"/>
      <c r="S52" s="13"/>
      <c r="V52" s="13">
        <v>296</v>
      </c>
      <c r="W52" s="13">
        <v>1513</v>
      </c>
      <c r="X52" s="13">
        <v>1580</v>
      </c>
      <c r="Y52" s="13">
        <v>1755</v>
      </c>
      <c r="Z52" s="13">
        <v>1924</v>
      </c>
      <c r="AA52" s="13">
        <v>2159</v>
      </c>
      <c r="AB52" s="13">
        <f>SUM(L52:O52)</f>
        <v>2353</v>
      </c>
      <c r="AC52" s="14"/>
    </row>
    <row r="53" spans="3:29" x14ac:dyDescent="0.25">
      <c r="C53" s="2" t="s">
        <v>72</v>
      </c>
      <c r="D53" s="13">
        <v>-13</v>
      </c>
      <c r="E53" s="13">
        <v>-11</v>
      </c>
      <c r="F53" s="13">
        <v>-23</v>
      </c>
      <c r="G53" s="13">
        <v>-11</v>
      </c>
      <c r="H53" s="13">
        <v>-4</v>
      </c>
      <c r="I53" s="13">
        <v>-19</v>
      </c>
      <c r="J53" s="13">
        <v>-11</v>
      </c>
      <c r="K53" s="13">
        <v>30</v>
      </c>
      <c r="L53" s="13">
        <v>6</v>
      </c>
      <c r="M53" s="2">
        <v>-29</v>
      </c>
      <c r="N53" s="2">
        <v>-8</v>
      </c>
      <c r="O53" s="13">
        <v>0</v>
      </c>
      <c r="P53" s="53">
        <v>19</v>
      </c>
      <c r="Q53" s="13">
        <v>-3</v>
      </c>
      <c r="R53" s="13"/>
      <c r="S53" s="13"/>
      <c r="V53" s="13">
        <v>-14</v>
      </c>
      <c r="W53" s="13">
        <v>-54</v>
      </c>
      <c r="X53" s="13">
        <v>24</v>
      </c>
      <c r="Y53" s="13">
        <v>37</v>
      </c>
      <c r="Z53" s="13">
        <v>-57</v>
      </c>
      <c r="AA53" s="13">
        <v>-4</v>
      </c>
      <c r="AB53" s="13">
        <f t="shared" ref="AB53:AB54" si="58">SUM(L53:O53)</f>
        <v>-31</v>
      </c>
      <c r="AC53" s="14"/>
    </row>
    <row r="54" spans="3:29" x14ac:dyDescent="0.25">
      <c r="C54" s="2" t="s">
        <v>32</v>
      </c>
      <c r="D54" s="13">
        <v>-71</v>
      </c>
      <c r="E54" s="13">
        <v>-77</v>
      </c>
      <c r="F54" s="13">
        <v>-97</v>
      </c>
      <c r="G54" s="13">
        <v>-32</v>
      </c>
      <c r="H54" s="13">
        <v>-67</v>
      </c>
      <c r="I54" s="13">
        <v>-68</v>
      </c>
      <c r="J54" s="13">
        <v>-93</v>
      </c>
      <c r="K54" s="13">
        <v>-26</v>
      </c>
      <c r="L54" s="13">
        <v>-80</v>
      </c>
      <c r="M54" s="2">
        <v>-83</v>
      </c>
      <c r="N54" s="2">
        <v>-96</v>
      </c>
      <c r="O54" s="13">
        <v>-14</v>
      </c>
      <c r="P54" s="53">
        <v>-85</v>
      </c>
      <c r="Q54" s="13">
        <v>-96</v>
      </c>
      <c r="R54" s="13"/>
      <c r="S54" s="13"/>
      <c r="V54" s="13">
        <v>-132</v>
      </c>
      <c r="W54" s="13">
        <v>-120</v>
      </c>
      <c r="X54" s="13">
        <v>-146</v>
      </c>
      <c r="Y54" s="13">
        <v>-179</v>
      </c>
      <c r="Z54" s="13">
        <v>-276</v>
      </c>
      <c r="AA54" s="13">
        <v>-255</v>
      </c>
      <c r="AB54" s="13">
        <f t="shared" si="58"/>
        <v>-273</v>
      </c>
      <c r="AC54" s="14"/>
    </row>
    <row r="55" spans="3:29" x14ac:dyDescent="0.25">
      <c r="C55" s="2" t="s">
        <v>33</v>
      </c>
      <c r="D55" s="13">
        <v>-286</v>
      </c>
      <c r="E55" s="13">
        <v>275</v>
      </c>
      <c r="F55" s="13">
        <v>-35</v>
      </c>
      <c r="G55" s="13">
        <v>81</v>
      </c>
      <c r="H55" s="13">
        <v>-227</v>
      </c>
      <c r="I55" s="13">
        <v>399</v>
      </c>
      <c r="J55" s="13">
        <v>-188</v>
      </c>
      <c r="K55" s="13">
        <v>130</v>
      </c>
      <c r="L55" s="13">
        <v>-322</v>
      </c>
      <c r="M55" s="2">
        <v>376</v>
      </c>
      <c r="N55" s="2">
        <v>-145</v>
      </c>
      <c r="O55" s="13">
        <v>32</v>
      </c>
      <c r="P55" s="53">
        <v>-251</v>
      </c>
      <c r="Q55" s="13">
        <v>405</v>
      </c>
      <c r="R55" s="13"/>
      <c r="S55" s="13"/>
      <c r="V55" s="13">
        <f>-91-10</f>
        <v>-101</v>
      </c>
      <c r="W55" s="13">
        <f>54+156</f>
        <v>210</v>
      </c>
      <c r="X55" s="13">
        <f>-14+254</f>
        <v>240</v>
      </c>
      <c r="Y55" s="13">
        <f>-1+27-32</f>
        <v>-6</v>
      </c>
      <c r="Z55" s="13">
        <f>-3-64+101</f>
        <v>34</v>
      </c>
      <c r="AA55" s="13">
        <f>3+23+87</f>
        <v>113</v>
      </c>
      <c r="AB55" s="13">
        <f>SUM(L55:O55)</f>
        <v>-59</v>
      </c>
      <c r="AC55" s="14"/>
    </row>
    <row r="56" spans="3:29" x14ac:dyDescent="0.25">
      <c r="C56" s="1" t="s">
        <v>34</v>
      </c>
      <c r="D56" s="1">
        <f t="shared" ref="D56:M56" si="59">SUM(D51:D55)</f>
        <v>317</v>
      </c>
      <c r="E56" s="1">
        <f t="shared" si="59"/>
        <v>927</v>
      </c>
      <c r="F56" s="1">
        <f t="shared" si="59"/>
        <v>713</v>
      </c>
      <c r="G56" s="1">
        <f t="shared" si="59"/>
        <v>937</v>
      </c>
      <c r="H56" s="1">
        <f t="shared" si="59"/>
        <v>432</v>
      </c>
      <c r="I56" s="1">
        <f t="shared" si="59"/>
        <v>1143</v>
      </c>
      <c r="J56" s="1">
        <f t="shared" si="59"/>
        <v>686</v>
      </c>
      <c r="K56" s="1">
        <f t="shared" si="59"/>
        <v>1246</v>
      </c>
      <c r="L56" s="1">
        <f t="shared" si="59"/>
        <v>453</v>
      </c>
      <c r="M56" s="1">
        <f t="shared" si="59"/>
        <v>1270</v>
      </c>
      <c r="N56" s="1">
        <f>SUM(N51:N55)</f>
        <v>833</v>
      </c>
      <c r="O56" s="11">
        <f t="shared" ref="O56:S56" si="60">SUM(O51:O55)</f>
        <v>1185</v>
      </c>
      <c r="P56" s="52">
        <f t="shared" si="60"/>
        <v>546</v>
      </c>
      <c r="Q56" s="11">
        <f t="shared" si="60"/>
        <v>1346</v>
      </c>
      <c r="R56" s="11">
        <f t="shared" si="60"/>
        <v>0</v>
      </c>
      <c r="S56" s="11">
        <f t="shared" si="60"/>
        <v>0</v>
      </c>
      <c r="V56" s="11">
        <f t="shared" ref="V56:Z56" si="61">SUM(V51:V55)</f>
        <v>684</v>
      </c>
      <c r="W56" s="11">
        <f t="shared" si="61"/>
        <v>2522</v>
      </c>
      <c r="X56" s="11">
        <f t="shared" si="61"/>
        <v>2872</v>
      </c>
      <c r="Y56" s="11">
        <f t="shared" si="61"/>
        <v>2831</v>
      </c>
      <c r="Z56" s="11">
        <f t="shared" si="61"/>
        <v>2895</v>
      </c>
      <c r="AA56" s="11">
        <f>SUM(AA51:AA55)</f>
        <v>3503</v>
      </c>
      <c r="AB56" s="11">
        <f t="shared" ref="AB56:AC56" si="62">SUM(AB51:AB55)</f>
        <v>3741</v>
      </c>
      <c r="AC56" s="12">
        <f t="shared" si="62"/>
        <v>0</v>
      </c>
    </row>
    <row r="57" spans="3:29" x14ac:dyDescent="0.2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3"/>
      <c r="P57" s="53"/>
      <c r="Q57" s="13"/>
      <c r="R57" s="13"/>
      <c r="S57" s="13"/>
      <c r="V57" s="11"/>
      <c r="W57" s="11"/>
      <c r="X57" s="11"/>
      <c r="Y57" s="11"/>
      <c r="Z57" s="11"/>
      <c r="AA57" s="11"/>
      <c r="AB57" s="13"/>
      <c r="AC57" s="14"/>
    </row>
    <row r="58" spans="3:29" x14ac:dyDescent="0.25">
      <c r="C58" s="2" t="s">
        <v>35</v>
      </c>
      <c r="D58" s="13">
        <v>-170</v>
      </c>
      <c r="E58" s="13">
        <v>-146</v>
      </c>
      <c r="F58" s="13">
        <v>-91</v>
      </c>
      <c r="G58" s="13">
        <v>-74</v>
      </c>
      <c r="H58" s="13">
        <v>-261</v>
      </c>
      <c r="I58" s="13">
        <v>-154</v>
      </c>
      <c r="J58" s="13">
        <f>-325-4-22-19-1</f>
        <v>-371</v>
      </c>
      <c r="K58" s="13">
        <v>-84</v>
      </c>
      <c r="L58" s="13">
        <v>-170</v>
      </c>
      <c r="M58" s="2">
        <v>-105</v>
      </c>
      <c r="N58" s="2">
        <f>-60-18-23-23-4</f>
        <v>-128</v>
      </c>
      <c r="O58" s="13">
        <v>-276</v>
      </c>
      <c r="P58" s="53">
        <v>-95</v>
      </c>
      <c r="Q58" s="13">
        <v>-139</v>
      </c>
      <c r="R58" s="13"/>
      <c r="S58" s="13"/>
      <c r="V58" s="13">
        <f>-34-197-174-131-22</f>
        <v>-558</v>
      </c>
      <c r="W58" s="13">
        <f>-51-60-134-115-17+3</f>
        <v>-374</v>
      </c>
      <c r="X58" s="13">
        <f>-235-23-107-128-3+62-3-3+3</f>
        <v>-437</v>
      </c>
      <c r="Y58" s="13">
        <f>-181-20-148-152-2-33</f>
        <v>-536</v>
      </c>
      <c r="Z58" s="13">
        <f>-169-41-108-167-7+12</f>
        <v>-480</v>
      </c>
      <c r="AA58" s="13">
        <f>-560-25-120-151-9-3-4</f>
        <v>-872</v>
      </c>
      <c r="AB58" s="13">
        <f>SUM(L58:O58)</f>
        <v>-679</v>
      </c>
      <c r="AC58" s="14"/>
    </row>
    <row r="59" spans="3:29" x14ac:dyDescent="0.25">
      <c r="C59" s="1" t="s">
        <v>36</v>
      </c>
      <c r="D59" s="1">
        <f t="shared" ref="D59:M59" si="63">SUM(D58)</f>
        <v>-170</v>
      </c>
      <c r="E59" s="1">
        <f t="shared" si="63"/>
        <v>-146</v>
      </c>
      <c r="F59" s="1">
        <f t="shared" si="63"/>
        <v>-91</v>
      </c>
      <c r="G59" s="1">
        <f t="shared" si="63"/>
        <v>-74</v>
      </c>
      <c r="H59" s="1">
        <f t="shared" si="63"/>
        <v>-261</v>
      </c>
      <c r="I59" s="1">
        <f t="shared" si="63"/>
        <v>-154</v>
      </c>
      <c r="J59" s="1">
        <f t="shared" si="63"/>
        <v>-371</v>
      </c>
      <c r="K59" s="1">
        <f t="shared" si="63"/>
        <v>-84</v>
      </c>
      <c r="L59" s="1">
        <f t="shared" si="63"/>
        <v>-170</v>
      </c>
      <c r="M59" s="1">
        <f t="shared" si="63"/>
        <v>-105</v>
      </c>
      <c r="N59" s="1">
        <f>SUM(N58)</f>
        <v>-128</v>
      </c>
      <c r="O59" s="11">
        <f t="shared" ref="O59:S59" si="64">SUM(O58)</f>
        <v>-276</v>
      </c>
      <c r="P59" s="52">
        <f t="shared" si="64"/>
        <v>-95</v>
      </c>
      <c r="Q59" s="11">
        <f t="shared" si="64"/>
        <v>-139</v>
      </c>
      <c r="R59" s="11">
        <f t="shared" si="64"/>
        <v>0</v>
      </c>
      <c r="S59" s="11">
        <f t="shared" si="64"/>
        <v>0</v>
      </c>
      <c r="V59" s="11">
        <f t="shared" ref="V59:Z59" si="65">SUM(V58)</f>
        <v>-558</v>
      </c>
      <c r="W59" s="11">
        <f t="shared" si="65"/>
        <v>-374</v>
      </c>
      <c r="X59" s="11">
        <f t="shared" si="65"/>
        <v>-437</v>
      </c>
      <c r="Y59" s="11">
        <f t="shared" si="65"/>
        <v>-536</v>
      </c>
      <c r="Z59" s="11">
        <f t="shared" si="65"/>
        <v>-480</v>
      </c>
      <c r="AA59" s="11">
        <f>SUM(AA58)</f>
        <v>-872</v>
      </c>
      <c r="AB59" s="11">
        <f t="shared" ref="AB59:AC59" si="66">SUM(AB58)</f>
        <v>-679</v>
      </c>
      <c r="AC59" s="12">
        <f t="shared" si="66"/>
        <v>0</v>
      </c>
    </row>
    <row r="60" spans="3:29" x14ac:dyDescent="0.25">
      <c r="D60" s="13"/>
      <c r="E60" s="13"/>
      <c r="F60" s="13"/>
      <c r="G60" s="13"/>
      <c r="H60" s="13"/>
      <c r="I60" s="13"/>
      <c r="J60" s="13"/>
      <c r="K60" s="13"/>
      <c r="L60" s="13"/>
      <c r="O60" s="13"/>
      <c r="P60" s="53"/>
      <c r="Q60" s="13"/>
      <c r="R60" s="13"/>
      <c r="S60" s="13"/>
      <c r="V60" s="13"/>
      <c r="W60" s="13"/>
      <c r="X60" s="13"/>
      <c r="Y60" s="13"/>
      <c r="Z60" s="13"/>
      <c r="AA60" s="13"/>
      <c r="AB60" s="13"/>
      <c r="AC60" s="14"/>
    </row>
    <row r="61" spans="3:29" x14ac:dyDescent="0.25">
      <c r="C61" s="2" t="s">
        <v>73</v>
      </c>
      <c r="D61" s="2">
        <v>-12</v>
      </c>
      <c r="E61" s="2">
        <v>-10</v>
      </c>
      <c r="F61" s="2">
        <v>-16</v>
      </c>
      <c r="G61" s="2">
        <v>-17</v>
      </c>
      <c r="H61" s="2">
        <v>-19</v>
      </c>
      <c r="I61" s="2">
        <v>-14</v>
      </c>
      <c r="J61" s="2">
        <v>-23</v>
      </c>
      <c r="K61" s="2">
        <v>-26</v>
      </c>
      <c r="L61" s="2">
        <v>-18</v>
      </c>
      <c r="M61" s="2">
        <v>-20</v>
      </c>
      <c r="N61" s="2">
        <v>-6</v>
      </c>
      <c r="O61" s="13">
        <v>-23</v>
      </c>
      <c r="P61" s="53">
        <v>-18</v>
      </c>
      <c r="Q61" s="13">
        <v>-16</v>
      </c>
      <c r="R61" s="13"/>
      <c r="S61" s="13"/>
      <c r="V61" s="13">
        <v>1</v>
      </c>
      <c r="W61" s="13">
        <v>0</v>
      </c>
      <c r="X61" s="13">
        <v>0</v>
      </c>
      <c r="Y61" s="13">
        <v>1</v>
      </c>
      <c r="Z61" s="13">
        <v>9</v>
      </c>
      <c r="AA61" s="13">
        <v>22</v>
      </c>
      <c r="AB61" s="13">
        <f>SUM(L61:O61)</f>
        <v>-67</v>
      </c>
      <c r="AC61" s="14"/>
    </row>
    <row r="62" spans="3:29" x14ac:dyDescent="0.25">
      <c r="C62" s="2" t="s">
        <v>74</v>
      </c>
      <c r="D62" s="13">
        <v>-110</v>
      </c>
      <c r="E62" s="13">
        <v>-117</v>
      </c>
      <c r="F62" s="13">
        <v>-125</v>
      </c>
      <c r="G62" s="13">
        <v>-124</v>
      </c>
      <c r="H62" s="13">
        <v>-129</v>
      </c>
      <c r="I62" s="13">
        <v>-137</v>
      </c>
      <c r="J62" s="13">
        <v>-145</v>
      </c>
      <c r="K62" s="13">
        <v>-157</v>
      </c>
      <c r="L62" s="13">
        <v>-159</v>
      </c>
      <c r="M62" s="2">
        <v>-165</v>
      </c>
      <c r="N62" s="2">
        <v>-152</v>
      </c>
      <c r="O62" s="13">
        <v>-153</v>
      </c>
      <c r="P62" s="53">
        <v>-161</v>
      </c>
      <c r="Q62" s="13">
        <v>-167</v>
      </c>
      <c r="R62" s="13"/>
      <c r="S62" s="13"/>
      <c r="V62" s="13">
        <v>-57</v>
      </c>
      <c r="W62" s="13">
        <v>-409</v>
      </c>
      <c r="X62" s="13">
        <v>-399</v>
      </c>
      <c r="Y62" s="13">
        <v>-437</v>
      </c>
      <c r="Z62" s="13">
        <v>-539</v>
      </c>
      <c r="AA62" s="13">
        <v>-671</v>
      </c>
      <c r="AB62" s="13">
        <f t="shared" ref="AB62:AB67" si="67">SUM(L62:O62)</f>
        <v>-629</v>
      </c>
      <c r="AC62" s="14"/>
    </row>
    <row r="63" spans="3:29" x14ac:dyDescent="0.25">
      <c r="C63" s="2" t="s">
        <v>75</v>
      </c>
      <c r="D63" s="13">
        <v>0</v>
      </c>
      <c r="E63" s="13">
        <v>-185</v>
      </c>
      <c r="F63" s="13">
        <v>0</v>
      </c>
      <c r="G63" s="13">
        <v>0</v>
      </c>
      <c r="H63" s="13">
        <v>0</v>
      </c>
      <c r="I63" s="13">
        <v>-185</v>
      </c>
      <c r="J63" s="13">
        <v>0</v>
      </c>
      <c r="K63" s="13">
        <v>0</v>
      </c>
      <c r="L63" s="13">
        <v>0</v>
      </c>
      <c r="M63" s="2">
        <v>-178</v>
      </c>
      <c r="N63" s="2">
        <v>0</v>
      </c>
      <c r="O63" s="13">
        <v>0</v>
      </c>
      <c r="P63" s="53">
        <v>0</v>
      </c>
      <c r="Q63" s="13">
        <v>-223</v>
      </c>
      <c r="R63" s="13"/>
      <c r="S63" s="13"/>
      <c r="V63" s="13">
        <v>0</v>
      </c>
      <c r="W63" s="13">
        <v>-132</v>
      </c>
      <c r="X63" s="13">
        <v>-158</v>
      </c>
      <c r="Y63" s="13">
        <v>-185</v>
      </c>
      <c r="Z63" s="13">
        <v>-185</v>
      </c>
      <c r="AA63" s="13">
        <v>-185</v>
      </c>
      <c r="AB63" s="13">
        <f t="shared" si="67"/>
        <v>-178</v>
      </c>
      <c r="AC63" s="14"/>
    </row>
    <row r="64" spans="3:29" x14ac:dyDescent="0.25">
      <c r="C64" s="2" t="s">
        <v>76</v>
      </c>
      <c r="D64" s="13">
        <v>0</v>
      </c>
      <c r="E64" s="13">
        <v>0</v>
      </c>
      <c r="F64" s="13">
        <v>-2</v>
      </c>
      <c r="G64" s="13">
        <v>0</v>
      </c>
      <c r="H64" s="13">
        <v>0</v>
      </c>
      <c r="I64" s="13">
        <v>0</v>
      </c>
      <c r="J64" s="13">
        <v>-268</v>
      </c>
      <c r="K64" s="13">
        <v>0</v>
      </c>
      <c r="L64" s="13">
        <v>0</v>
      </c>
      <c r="M64" s="2">
        <v>0</v>
      </c>
      <c r="N64" s="2">
        <v>-282</v>
      </c>
      <c r="O64" s="13">
        <v>0</v>
      </c>
      <c r="P64" s="53">
        <v>0</v>
      </c>
      <c r="Q64" s="13">
        <v>0</v>
      </c>
      <c r="R64" s="13"/>
      <c r="S64" s="13"/>
      <c r="V64" s="13">
        <v>0</v>
      </c>
      <c r="W64" s="13">
        <v>4</v>
      </c>
      <c r="X64" s="13">
        <v>17</v>
      </c>
      <c r="Y64" s="13">
        <v>2</v>
      </c>
      <c r="Z64" s="13">
        <v>0</v>
      </c>
      <c r="AA64" s="13">
        <v>-268</v>
      </c>
      <c r="AB64" s="13">
        <f t="shared" si="67"/>
        <v>-282</v>
      </c>
      <c r="AC64" s="14"/>
    </row>
    <row r="65" spans="3:29" x14ac:dyDescent="0.25">
      <c r="C65" s="2" t="s">
        <v>77</v>
      </c>
      <c r="D65" s="13">
        <v>0</v>
      </c>
      <c r="E65" s="13">
        <v>0</v>
      </c>
      <c r="F65" s="2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2">
        <v>0</v>
      </c>
      <c r="N65" s="2">
        <v>23</v>
      </c>
      <c r="O65" s="13">
        <v>1</v>
      </c>
      <c r="P65" s="53">
        <v>0</v>
      </c>
      <c r="Q65" s="13">
        <v>0</v>
      </c>
      <c r="R65" s="13"/>
      <c r="S65" s="13"/>
      <c r="T65" s="1"/>
      <c r="U65" s="1"/>
      <c r="V65" s="13">
        <v>0</v>
      </c>
      <c r="W65" s="13">
        <v>0</v>
      </c>
      <c r="X65" s="13">
        <v>93</v>
      </c>
      <c r="Y65" s="13">
        <v>0</v>
      </c>
      <c r="Z65" s="13">
        <v>2</v>
      </c>
      <c r="AA65" s="13">
        <v>0</v>
      </c>
      <c r="AB65" s="13">
        <f t="shared" si="67"/>
        <v>24</v>
      </c>
      <c r="AC65" s="14"/>
    </row>
    <row r="66" spans="3:29" x14ac:dyDescent="0.25">
      <c r="C66" s="2" t="s">
        <v>78</v>
      </c>
      <c r="D66" s="13">
        <v>-41</v>
      </c>
      <c r="E66" s="13">
        <v>-64</v>
      </c>
      <c r="F66" s="13">
        <v>-5</v>
      </c>
      <c r="G66" s="13">
        <v>-262</v>
      </c>
      <c r="H66" s="13">
        <v>354</v>
      </c>
      <c r="I66" s="13">
        <v>-45</v>
      </c>
      <c r="J66" s="13">
        <v>593</v>
      </c>
      <c r="K66" s="13">
        <v>-365</v>
      </c>
      <c r="L66" s="13">
        <v>96</v>
      </c>
      <c r="M66" s="2">
        <v>-194</v>
      </c>
      <c r="N66" s="2">
        <v>27</v>
      </c>
      <c r="O66" s="13">
        <v>-487</v>
      </c>
      <c r="P66" s="53">
        <v>196</v>
      </c>
      <c r="Q66" s="13">
        <v>-491</v>
      </c>
      <c r="R66" s="13"/>
      <c r="S66" s="13"/>
      <c r="T66" s="1"/>
      <c r="U66" s="1"/>
      <c r="V66" s="13">
        <v>110</v>
      </c>
      <c r="W66" s="13">
        <v>79</v>
      </c>
      <c r="X66" s="13">
        <v>-275</v>
      </c>
      <c r="Y66" s="13">
        <v>2</v>
      </c>
      <c r="Z66" s="13">
        <v>948</v>
      </c>
      <c r="AA66" s="13">
        <f>700-143</f>
        <v>557</v>
      </c>
      <c r="AB66" s="13">
        <f t="shared" si="67"/>
        <v>-558</v>
      </c>
      <c r="AC66" s="14"/>
    </row>
    <row r="67" spans="3:29" x14ac:dyDescent="0.25">
      <c r="C67" s="2" t="s">
        <v>79</v>
      </c>
      <c r="D67" s="2">
        <v>-216</v>
      </c>
      <c r="E67" s="2">
        <v>-499</v>
      </c>
      <c r="F67" s="13">
        <v>-412</v>
      </c>
      <c r="G67" s="2">
        <v>-376</v>
      </c>
      <c r="H67" s="2">
        <v>-370</v>
      </c>
      <c r="I67" s="2">
        <v>-450</v>
      </c>
      <c r="J67" s="2">
        <v>-345</v>
      </c>
      <c r="K67" s="2">
        <v>-540</v>
      </c>
      <c r="L67" s="2">
        <v>-461</v>
      </c>
      <c r="M67" s="2">
        <v>-463</v>
      </c>
      <c r="N67" s="2">
        <v>-493</v>
      </c>
      <c r="O67" s="13">
        <v>-479</v>
      </c>
      <c r="P67" s="53">
        <v>-448</v>
      </c>
      <c r="Q67" s="13">
        <v>-425</v>
      </c>
      <c r="R67" s="13"/>
      <c r="S67" s="13"/>
      <c r="T67" s="1"/>
      <c r="U67" s="1"/>
      <c r="V67" s="13">
        <v>-351</v>
      </c>
      <c r="W67" s="13">
        <f>-457-1215</f>
        <v>-1672</v>
      </c>
      <c r="X67" s="13">
        <f>-1281</f>
        <v>-1281</v>
      </c>
      <c r="Y67" s="13">
        <f>-173-1346</f>
        <v>-1519</v>
      </c>
      <c r="Z67" s="13">
        <f>-1321-1504</f>
        <v>-2825</v>
      </c>
      <c r="AA67" s="13">
        <v>-1705</v>
      </c>
      <c r="AB67" s="13">
        <f t="shared" si="67"/>
        <v>-1896</v>
      </c>
      <c r="AC67" s="14"/>
    </row>
    <row r="68" spans="3:29" x14ac:dyDescent="0.25">
      <c r="C68" s="1" t="s">
        <v>37</v>
      </c>
      <c r="D68" s="1">
        <f t="shared" ref="D68:S68" si="68">SUM(D61:D67)</f>
        <v>-379</v>
      </c>
      <c r="E68" s="1">
        <f t="shared" si="68"/>
        <v>-875</v>
      </c>
      <c r="F68" s="1">
        <f t="shared" si="68"/>
        <v>-560</v>
      </c>
      <c r="G68" s="1">
        <f t="shared" si="68"/>
        <v>-779</v>
      </c>
      <c r="H68" s="1">
        <f t="shared" si="68"/>
        <v>-164</v>
      </c>
      <c r="I68" s="1">
        <f t="shared" si="68"/>
        <v>-831</v>
      </c>
      <c r="J68" s="1">
        <f t="shared" si="68"/>
        <v>-188</v>
      </c>
      <c r="K68" s="1">
        <f t="shared" si="68"/>
        <v>-1088</v>
      </c>
      <c r="L68" s="1">
        <f t="shared" si="68"/>
        <v>-542</v>
      </c>
      <c r="M68" s="1">
        <f t="shared" si="68"/>
        <v>-1020</v>
      </c>
      <c r="N68" s="1">
        <f t="shared" si="68"/>
        <v>-883</v>
      </c>
      <c r="O68" s="11">
        <f t="shared" si="68"/>
        <v>-1141</v>
      </c>
      <c r="P68" s="52">
        <f t="shared" si="68"/>
        <v>-431</v>
      </c>
      <c r="Q68" s="11">
        <f t="shared" si="68"/>
        <v>-1322</v>
      </c>
      <c r="R68" s="11">
        <f t="shared" si="68"/>
        <v>0</v>
      </c>
      <c r="S68" s="11">
        <f t="shared" si="68"/>
        <v>0</v>
      </c>
      <c r="T68" s="1"/>
      <c r="U68" s="1"/>
      <c r="V68" s="11">
        <f t="shared" ref="V68:Z68" si="69">SUM(V61:V67)</f>
        <v>-297</v>
      </c>
      <c r="W68" s="11">
        <f t="shared" si="69"/>
        <v>-2130</v>
      </c>
      <c r="X68" s="11">
        <f t="shared" si="69"/>
        <v>-2003</v>
      </c>
      <c r="Y68" s="11">
        <f t="shared" si="69"/>
        <v>-2136</v>
      </c>
      <c r="Z68" s="11">
        <f t="shared" si="69"/>
        <v>-2590</v>
      </c>
      <c r="AA68" s="11">
        <f>SUM(AA61:AA67)</f>
        <v>-2250</v>
      </c>
      <c r="AB68" s="11">
        <f>SUM(AB61:AB67)</f>
        <v>-3586</v>
      </c>
      <c r="AC68" s="12">
        <f t="shared" ref="AC68" si="70">SUM(AC61:AC67)</f>
        <v>0</v>
      </c>
    </row>
    <row r="69" spans="3:29" x14ac:dyDescent="0.25">
      <c r="O69" s="13"/>
      <c r="P69" s="52"/>
      <c r="Q69" s="11"/>
      <c r="R69" s="11"/>
      <c r="S69" s="11"/>
      <c r="T69" s="1"/>
      <c r="U69" s="1"/>
      <c r="V69" s="11"/>
      <c r="W69" s="13"/>
      <c r="X69" s="13"/>
      <c r="Y69" s="13"/>
      <c r="Z69" s="13"/>
      <c r="AA69" s="13"/>
      <c r="AB69" s="13"/>
      <c r="AC69" s="14"/>
    </row>
    <row r="70" spans="3:29" x14ac:dyDescent="0.25">
      <c r="C70" s="2" t="s">
        <v>38</v>
      </c>
      <c r="D70" s="13">
        <v>4</v>
      </c>
      <c r="E70" s="13">
        <v>4</v>
      </c>
      <c r="F70" s="13">
        <v>0</v>
      </c>
      <c r="G70" s="13">
        <v>12</v>
      </c>
      <c r="H70" s="13">
        <v>-4</v>
      </c>
      <c r="I70" s="13">
        <v>-20</v>
      </c>
      <c r="J70" s="13">
        <v>9</v>
      </c>
      <c r="K70" s="13">
        <v>-1</v>
      </c>
      <c r="L70" s="13">
        <v>-10</v>
      </c>
      <c r="M70" s="2">
        <v>8</v>
      </c>
      <c r="N70" s="2">
        <v>-24</v>
      </c>
      <c r="O70" s="13">
        <v>7</v>
      </c>
      <c r="P70" s="52">
        <v>-4</v>
      </c>
      <c r="Q70" s="11">
        <v>-16</v>
      </c>
      <c r="R70" s="11"/>
      <c r="S70" s="11"/>
      <c r="T70" s="1"/>
      <c r="U70" s="1"/>
      <c r="V70" s="13">
        <v>-1</v>
      </c>
      <c r="W70" s="13">
        <v>-15</v>
      </c>
      <c r="X70" s="13">
        <v>5</v>
      </c>
      <c r="Y70" s="13">
        <v>12</v>
      </c>
      <c r="Z70" s="13">
        <v>7</v>
      </c>
      <c r="AA70" s="13">
        <v>-15</v>
      </c>
      <c r="AB70" s="13">
        <f>SUM(L70:O70)</f>
        <v>-19</v>
      </c>
      <c r="AC70" s="14"/>
    </row>
    <row r="71" spans="3:29" x14ac:dyDescent="0.25">
      <c r="D71" s="13"/>
      <c r="E71" s="13"/>
      <c r="F71" s="13"/>
      <c r="G71" s="13"/>
      <c r="H71" s="13"/>
      <c r="I71" s="13"/>
      <c r="J71" s="13"/>
      <c r="K71" s="13"/>
      <c r="L71" s="13"/>
      <c r="O71" s="13"/>
      <c r="P71" s="52"/>
      <c r="Q71" s="11"/>
      <c r="R71" s="11"/>
      <c r="S71" s="11"/>
      <c r="T71" s="1"/>
      <c r="U71" s="1"/>
      <c r="V71" s="13"/>
      <c r="W71" s="13"/>
      <c r="X71" s="13"/>
      <c r="Y71" s="13"/>
      <c r="Z71" s="13"/>
      <c r="AA71" s="13"/>
      <c r="AB71" s="13"/>
      <c r="AC71" s="14"/>
    </row>
    <row r="72" spans="3:29" x14ac:dyDescent="0.25">
      <c r="C72" s="2" t="s">
        <v>39</v>
      </c>
      <c r="D72" s="2">
        <f t="shared" ref="D72:N72" si="71">D56+D59+D68+D70</f>
        <v>-228</v>
      </c>
      <c r="E72" s="2">
        <f t="shared" si="71"/>
        <v>-90</v>
      </c>
      <c r="F72" s="2">
        <f t="shared" si="71"/>
        <v>62</v>
      </c>
      <c r="G72" s="2">
        <f t="shared" si="71"/>
        <v>96</v>
      </c>
      <c r="H72" s="2">
        <f t="shared" si="71"/>
        <v>3</v>
      </c>
      <c r="I72" s="2">
        <f t="shared" si="71"/>
        <v>138</v>
      </c>
      <c r="J72" s="2">
        <f t="shared" si="71"/>
        <v>136</v>
      </c>
      <c r="K72" s="2">
        <f t="shared" si="71"/>
        <v>73</v>
      </c>
      <c r="L72" s="2">
        <f t="shared" si="71"/>
        <v>-269</v>
      </c>
      <c r="M72" s="2">
        <f t="shared" si="71"/>
        <v>153</v>
      </c>
      <c r="N72" s="2">
        <f t="shared" si="71"/>
        <v>-202</v>
      </c>
      <c r="O72" s="13">
        <f t="shared" ref="O72:S72" si="72">O56+O59+O68+O70</f>
        <v>-225</v>
      </c>
      <c r="P72" s="53">
        <f t="shared" si="72"/>
        <v>16</v>
      </c>
      <c r="Q72" s="13">
        <f t="shared" si="72"/>
        <v>-131</v>
      </c>
      <c r="R72" s="13">
        <f t="shared" si="72"/>
        <v>0</v>
      </c>
      <c r="S72" s="13">
        <f t="shared" si="72"/>
        <v>0</v>
      </c>
      <c r="V72" s="13">
        <f t="shared" ref="V72:Z72" si="73">V56+V59+V68+V70</f>
        <v>-172</v>
      </c>
      <c r="W72" s="13">
        <f t="shared" si="73"/>
        <v>3</v>
      </c>
      <c r="X72" s="13">
        <f t="shared" si="73"/>
        <v>437</v>
      </c>
      <c r="Y72" s="13">
        <f t="shared" si="73"/>
        <v>171</v>
      </c>
      <c r="Z72" s="13">
        <f t="shared" si="73"/>
        <v>-168</v>
      </c>
      <c r="AA72" s="13">
        <f>AA56+AA59+AA68+AA70</f>
        <v>366</v>
      </c>
      <c r="AB72" s="13">
        <f t="shared" ref="AB72:AC72" si="74">AB56+AB59+AB68+AB70</f>
        <v>-543</v>
      </c>
      <c r="AC72" s="14">
        <f t="shared" si="74"/>
        <v>0</v>
      </c>
    </row>
    <row r="73" spans="3:29" x14ac:dyDescent="0.25">
      <c r="O73" s="13"/>
      <c r="P73" s="53"/>
      <c r="Q73" s="13"/>
      <c r="R73" s="13"/>
      <c r="S73" s="13"/>
      <c r="V73" s="13"/>
      <c r="W73" s="13"/>
      <c r="X73" s="13"/>
      <c r="Y73" s="13"/>
      <c r="Z73" s="13"/>
      <c r="AA73" s="13"/>
      <c r="AB73" s="13"/>
      <c r="AC73" s="14"/>
    </row>
    <row r="74" spans="3:29" x14ac:dyDescent="0.25">
      <c r="C74" s="2" t="s">
        <v>40</v>
      </c>
      <c r="D74" s="2">
        <f t="shared" ref="D74:N74" si="75">D56+D58</f>
        <v>147</v>
      </c>
      <c r="E74" s="2">
        <f t="shared" si="75"/>
        <v>781</v>
      </c>
      <c r="F74" s="2">
        <f t="shared" si="75"/>
        <v>622</v>
      </c>
      <c r="G74" s="2">
        <f t="shared" si="75"/>
        <v>863</v>
      </c>
      <c r="H74" s="2">
        <f t="shared" si="75"/>
        <v>171</v>
      </c>
      <c r="I74" s="2">
        <f t="shared" si="75"/>
        <v>989</v>
      </c>
      <c r="J74" s="2">
        <f t="shared" si="75"/>
        <v>315</v>
      </c>
      <c r="K74" s="2">
        <f t="shared" si="75"/>
        <v>1162</v>
      </c>
      <c r="L74" s="2">
        <f t="shared" si="75"/>
        <v>283</v>
      </c>
      <c r="M74" s="2">
        <f t="shared" si="75"/>
        <v>1165</v>
      </c>
      <c r="N74" s="2">
        <f t="shared" si="75"/>
        <v>705</v>
      </c>
      <c r="O74" s="13">
        <f t="shared" ref="O74:S74" si="76">O56+O58</f>
        <v>909</v>
      </c>
      <c r="P74" s="53">
        <f t="shared" si="76"/>
        <v>451</v>
      </c>
      <c r="Q74" s="13">
        <f t="shared" si="76"/>
        <v>1207</v>
      </c>
      <c r="R74" s="13">
        <f t="shared" si="76"/>
        <v>0</v>
      </c>
      <c r="S74" s="13">
        <f t="shared" si="76"/>
        <v>0</v>
      </c>
      <c r="V74" s="13">
        <f t="shared" ref="V74:Z74" si="77">V56+V58</f>
        <v>126</v>
      </c>
      <c r="W74" s="13">
        <f t="shared" si="77"/>
        <v>2148</v>
      </c>
      <c r="X74" s="13">
        <f t="shared" si="77"/>
        <v>2435</v>
      </c>
      <c r="Y74" s="13">
        <f t="shared" si="77"/>
        <v>2295</v>
      </c>
      <c r="Z74" s="13">
        <f t="shared" si="77"/>
        <v>2415</v>
      </c>
      <c r="AA74" s="13">
        <f>AA56+AA58</f>
        <v>2631</v>
      </c>
      <c r="AB74" s="13">
        <f t="shared" ref="AB74:AC74" si="78">AB56+AB58</f>
        <v>3062</v>
      </c>
      <c r="AC74" s="14">
        <f t="shared" si="78"/>
        <v>0</v>
      </c>
    </row>
    <row r="88" spans="30:30" x14ac:dyDescent="0.25">
      <c r="AD88" s="2" t="s">
        <v>105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58E0-3BA5-6740-BE74-082DF7085DA4}">
  <dimension ref="B3:W32"/>
  <sheetViews>
    <sheetView showGridLines="0" zoomScaleNormal="100" workbookViewId="0">
      <pane xSplit="2" ySplit="3" topLeftCell="I4" activePane="bottomRight" state="frozen"/>
      <selection pane="topRight" activeCell="C1" sqref="C1"/>
      <selection pane="bottomLeft" activeCell="A4" sqref="A4"/>
      <selection pane="bottomRight" activeCell="S41" sqref="S41"/>
    </sheetView>
  </sheetViews>
  <sheetFormatPr baseColWidth="10" defaultRowHeight="19" x14ac:dyDescent="0.25"/>
  <cols>
    <col min="1" max="1" width="10.83203125" style="2"/>
    <col min="2" max="2" width="25.33203125" style="2" customWidth="1"/>
    <col min="3" max="17" width="10.83203125" style="2"/>
    <col min="18" max="18" width="11.5" style="2" bestFit="1" customWidth="1"/>
    <col min="19" max="16384" width="10.83203125" style="2"/>
  </cols>
  <sheetData>
    <row r="3" spans="2:23" x14ac:dyDescent="0.25">
      <c r="B3" s="2" t="s">
        <v>7</v>
      </c>
      <c r="C3" s="7" t="s">
        <v>100</v>
      </c>
      <c r="D3" s="7" t="s">
        <v>99</v>
      </c>
      <c r="E3" s="7" t="s">
        <v>98</v>
      </c>
      <c r="F3" s="7" t="s">
        <v>97</v>
      </c>
      <c r="G3" s="32" t="s">
        <v>81</v>
      </c>
      <c r="H3" s="7" t="s">
        <v>60</v>
      </c>
      <c r="I3" s="7" t="s">
        <v>59</v>
      </c>
      <c r="J3" s="7" t="s">
        <v>58</v>
      </c>
      <c r="K3" s="7" t="s">
        <v>57</v>
      </c>
      <c r="L3" s="32" t="s">
        <v>80</v>
      </c>
      <c r="M3" s="7" t="s">
        <v>56</v>
      </c>
      <c r="N3" s="7" t="s">
        <v>55</v>
      </c>
      <c r="O3" s="7" t="s">
        <v>53</v>
      </c>
      <c r="P3" s="7" t="s">
        <v>54</v>
      </c>
      <c r="Q3" s="32" t="s">
        <v>86</v>
      </c>
      <c r="R3" s="7" t="s">
        <v>101</v>
      </c>
      <c r="S3" s="7" t="s">
        <v>102</v>
      </c>
      <c r="T3" s="2" t="s">
        <v>103</v>
      </c>
      <c r="U3" s="2" t="s">
        <v>104</v>
      </c>
      <c r="V3" s="32" t="s">
        <v>87</v>
      </c>
    </row>
    <row r="4" spans="2:23" x14ac:dyDescent="0.25">
      <c r="B4" s="1" t="s">
        <v>128</v>
      </c>
      <c r="G4" s="33"/>
      <c r="L4" s="33"/>
      <c r="Q4" s="33"/>
      <c r="V4" s="33"/>
    </row>
    <row r="5" spans="2:23" x14ac:dyDescent="0.25">
      <c r="B5" s="2" t="s">
        <v>14</v>
      </c>
      <c r="C5" s="13">
        <v>956</v>
      </c>
      <c r="D5" s="13">
        <v>1252</v>
      </c>
      <c r="E5" s="13">
        <v>1386</v>
      </c>
      <c r="F5" s="13">
        <v>1388</v>
      </c>
      <c r="G5" s="39">
        <f>SUM(C5:F5)</f>
        <v>4982</v>
      </c>
      <c r="H5" s="13">
        <v>1165</v>
      </c>
      <c r="I5" s="13">
        <v>1427</v>
      </c>
      <c r="J5" s="13">
        <v>1605</v>
      </c>
      <c r="K5" s="13">
        <v>1876</v>
      </c>
      <c r="L5" s="39">
        <f>SUM(H5:K5)</f>
        <v>6073</v>
      </c>
      <c r="M5" s="13">
        <v>1452</v>
      </c>
      <c r="N5" s="13">
        <v>1825</v>
      </c>
      <c r="O5" s="13">
        <v>1871</v>
      </c>
      <c r="P5" s="13">
        <v>1962</v>
      </c>
      <c r="Q5" s="39">
        <f>SUM(M5:P5)</f>
        <v>7110</v>
      </c>
      <c r="R5" s="13">
        <v>1583</v>
      </c>
      <c r="S5" s="13">
        <v>1933</v>
      </c>
      <c r="T5" s="13"/>
      <c r="U5" s="13"/>
      <c r="V5" s="39">
        <f>SUM(R5:U5)</f>
        <v>3516</v>
      </c>
    </row>
    <row r="6" spans="2:23" x14ac:dyDescent="0.25">
      <c r="B6" s="10" t="s">
        <v>114</v>
      </c>
      <c r="C6" s="30"/>
      <c r="D6" s="30"/>
      <c r="E6" s="30"/>
      <c r="F6" s="30"/>
      <c r="G6" s="35"/>
      <c r="H6" s="30">
        <f>(H5-C5)/C5</f>
        <v>0.21861924686192469</v>
      </c>
      <c r="I6" s="30">
        <f t="shared" ref="I6:P6" si="0">(I5-D5)/D5</f>
        <v>0.13977635782747605</v>
      </c>
      <c r="J6" s="30">
        <f t="shared" si="0"/>
        <v>0.15800865800865802</v>
      </c>
      <c r="K6" s="30">
        <f t="shared" si="0"/>
        <v>0.35158501440922191</v>
      </c>
      <c r="L6" s="35">
        <f>(L5-G5)/G5</f>
        <v>0.21898835808912084</v>
      </c>
      <c r="M6" s="30">
        <f t="shared" si="0"/>
        <v>0.24635193133047209</v>
      </c>
      <c r="N6" s="30">
        <f t="shared" si="0"/>
        <v>0.27890679747722497</v>
      </c>
      <c r="O6" s="30">
        <f>(O5-J5)/J5</f>
        <v>0.16573208722741434</v>
      </c>
      <c r="P6" s="30">
        <f t="shared" si="0"/>
        <v>4.5842217484008532E-2</v>
      </c>
      <c r="Q6" s="35">
        <f>(Q5-L5)/L5</f>
        <v>0.17075580438004281</v>
      </c>
      <c r="R6" s="30">
        <f>(R5-M5)/M5</f>
        <v>9.0220385674931125E-2</v>
      </c>
      <c r="S6" s="30">
        <f t="shared" ref="S6:U6" si="1">(S5-N5)/N5</f>
        <v>5.917808219178082E-2</v>
      </c>
      <c r="T6" s="30">
        <f t="shared" si="1"/>
        <v>-1</v>
      </c>
      <c r="U6" s="30">
        <f t="shared" si="1"/>
        <v>-1</v>
      </c>
      <c r="V6" s="35">
        <f>(V5-Q5)/Q5</f>
        <v>-0.5054852320675105</v>
      </c>
    </row>
    <row r="7" spans="2:23" x14ac:dyDescent="0.25">
      <c r="B7" s="2" t="s">
        <v>126</v>
      </c>
      <c r="C7" s="2">
        <v>-3</v>
      </c>
      <c r="D7" s="2">
        <v>15</v>
      </c>
      <c r="E7" s="2">
        <v>75</v>
      </c>
      <c r="F7" s="2">
        <v>95</v>
      </c>
      <c r="G7" s="34">
        <f>SUM(C7:F7)</f>
        <v>182</v>
      </c>
      <c r="H7" s="2">
        <v>-6</v>
      </c>
      <c r="I7" s="2">
        <v>31</v>
      </c>
      <c r="J7" s="2">
        <v>97</v>
      </c>
      <c r="K7" s="2">
        <v>150</v>
      </c>
      <c r="L7" s="34">
        <f>SUM(H7:K7)</f>
        <v>272</v>
      </c>
      <c r="M7" s="2">
        <v>-11</v>
      </c>
      <c r="N7" s="2">
        <v>68</v>
      </c>
      <c r="O7" s="2">
        <v>115</v>
      </c>
      <c r="P7" s="2">
        <v>156</v>
      </c>
      <c r="Q7" s="34">
        <f>SUM(M7:P7)</f>
        <v>328</v>
      </c>
      <c r="R7" s="2">
        <v>0</v>
      </c>
      <c r="S7" s="2">
        <v>115</v>
      </c>
      <c r="V7" s="34">
        <f>SUM(R7:U7)</f>
        <v>115</v>
      </c>
    </row>
    <row r="8" spans="2:23" x14ac:dyDescent="0.25">
      <c r="B8" s="30" t="s">
        <v>127</v>
      </c>
      <c r="C8" s="30">
        <v>-3.0000000000000001E-3</v>
      </c>
      <c r="D8" s="30">
        <v>1.2E-2</v>
      </c>
      <c r="E8" s="30">
        <v>5.3999999999999999E-2</v>
      </c>
      <c r="F8" s="30">
        <v>6.8000000000000005E-2</v>
      </c>
      <c r="G8" s="35">
        <f>G7/G5</f>
        <v>3.6531513448414293E-2</v>
      </c>
      <c r="H8" s="30">
        <v>-5.0000000000000001E-3</v>
      </c>
      <c r="I8" s="30">
        <v>2.1999999999999999E-2</v>
      </c>
      <c r="J8" s="30">
        <v>0.06</v>
      </c>
      <c r="K8" s="30">
        <v>0.08</v>
      </c>
      <c r="L8" s="35">
        <f>L7/L5</f>
        <v>4.4788407706240735E-2</v>
      </c>
      <c r="M8" s="30">
        <v>8.0000000000000002E-3</v>
      </c>
      <c r="N8" s="30">
        <v>3.6999999999999998E-2</v>
      </c>
      <c r="O8" s="30">
        <v>6.0999999999999999E-2</v>
      </c>
      <c r="P8" s="30">
        <v>0.08</v>
      </c>
      <c r="Q8" s="35">
        <f>Q7/Q5</f>
        <v>4.6132208157524612E-2</v>
      </c>
      <c r="R8" s="30">
        <v>0</v>
      </c>
      <c r="S8" s="30">
        <v>5.8999999999999997E-2</v>
      </c>
      <c r="T8" s="30"/>
      <c r="U8" s="30"/>
      <c r="V8" s="35">
        <f>V7/V5</f>
        <v>3.2707622298065987E-2</v>
      </c>
    </row>
    <row r="9" spans="2:23" x14ac:dyDescent="0.25">
      <c r="B9" s="2" t="s">
        <v>115</v>
      </c>
      <c r="C9" s="13">
        <v>22702</v>
      </c>
      <c r="D9" s="13">
        <v>24842</v>
      </c>
      <c r="E9" s="13">
        <v>26446</v>
      </c>
      <c r="F9" s="13">
        <v>26663</v>
      </c>
      <c r="G9" s="39">
        <v>26663</v>
      </c>
      <c r="H9" s="13">
        <v>25989</v>
      </c>
      <c r="I9" s="13">
        <v>26452</v>
      </c>
      <c r="J9" s="13">
        <v>29938</v>
      </c>
      <c r="K9" s="13">
        <v>35475</v>
      </c>
      <c r="L9" s="39">
        <v>35475</v>
      </c>
      <c r="M9" s="13">
        <v>33683</v>
      </c>
      <c r="N9" s="13">
        <v>24233</v>
      </c>
      <c r="O9" s="13">
        <v>35404</v>
      </c>
      <c r="P9" s="13">
        <v>37797</v>
      </c>
      <c r="Q9" s="39">
        <v>37797</v>
      </c>
      <c r="R9" s="13">
        <v>36371</v>
      </c>
      <c r="S9" s="13">
        <v>36852</v>
      </c>
      <c r="T9" s="13"/>
      <c r="U9" s="13"/>
      <c r="V9" s="39"/>
    </row>
    <row r="10" spans="2:23" x14ac:dyDescent="0.25">
      <c r="B10" s="10" t="s">
        <v>122</v>
      </c>
      <c r="C10" s="30"/>
      <c r="D10" s="30"/>
      <c r="E10" s="30"/>
      <c r="F10" s="30"/>
      <c r="G10" s="35"/>
      <c r="H10" s="30">
        <f t="shared" ref="H10:O10" si="2">(H9-C9)/C9</f>
        <v>0.14478900537397585</v>
      </c>
      <c r="I10" s="30">
        <f t="shared" si="2"/>
        <v>6.4809596650833259E-2</v>
      </c>
      <c r="J10" s="30">
        <f t="shared" si="2"/>
        <v>0.13204265295318762</v>
      </c>
      <c r="K10" s="30">
        <f t="shared" si="2"/>
        <v>0.33049544312342949</v>
      </c>
      <c r="L10" s="35">
        <f t="shared" si="2"/>
        <v>0.33049544312342949</v>
      </c>
      <c r="M10" s="30">
        <f t="shared" si="2"/>
        <v>0.29604832813882798</v>
      </c>
      <c r="N10" s="30">
        <f t="shared" si="2"/>
        <v>-8.3887796763949793E-2</v>
      </c>
      <c r="O10" s="30">
        <f t="shared" si="2"/>
        <v>0.18257732647471442</v>
      </c>
      <c r="P10" s="30">
        <f>(P9-K9)/K9</f>
        <v>6.545454545454546E-2</v>
      </c>
      <c r="Q10" s="35">
        <f>(Q9-L9)/L9</f>
        <v>6.545454545454546E-2</v>
      </c>
      <c r="R10" s="30">
        <f>(R9-M9)/M9</f>
        <v>7.980286791556572E-2</v>
      </c>
      <c r="S10" s="30">
        <f>(S9-N9)/N9</f>
        <v>0.52073618619238227</v>
      </c>
      <c r="T10" s="30">
        <f>(T9-O9)/O9</f>
        <v>-1</v>
      </c>
      <c r="U10" s="30">
        <f>(U9-P9)/P9</f>
        <v>-1</v>
      </c>
      <c r="V10" s="35">
        <f>(V9-Q9)/Q9</f>
        <v>-1</v>
      </c>
    </row>
    <row r="11" spans="2:23" x14ac:dyDescent="0.25">
      <c r="B11" s="26" t="s">
        <v>116</v>
      </c>
      <c r="C11" s="26">
        <v>303</v>
      </c>
      <c r="D11" s="26">
        <v>312</v>
      </c>
      <c r="E11" s="26">
        <v>317</v>
      </c>
      <c r="F11" s="26">
        <v>317</v>
      </c>
      <c r="G11" s="40">
        <v>317</v>
      </c>
      <c r="H11" s="26">
        <v>328</v>
      </c>
      <c r="I11" s="26">
        <v>328</v>
      </c>
      <c r="J11" s="26">
        <v>444</v>
      </c>
      <c r="K11" s="26">
        <v>445</v>
      </c>
      <c r="L11" s="40">
        <v>445</v>
      </c>
      <c r="M11" s="26">
        <v>449</v>
      </c>
      <c r="N11" s="26">
        <v>453</v>
      </c>
      <c r="O11" s="26">
        <v>456</v>
      </c>
      <c r="P11" s="26">
        <v>484</v>
      </c>
      <c r="Q11" s="40">
        <v>484</v>
      </c>
      <c r="R11" s="26">
        <v>482</v>
      </c>
      <c r="S11" s="26">
        <v>482</v>
      </c>
      <c r="T11" s="26"/>
      <c r="U11" s="26"/>
      <c r="V11" s="42"/>
      <c r="W11" s="43"/>
    </row>
    <row r="12" spans="2:23" x14ac:dyDescent="0.25">
      <c r="B12" s="1" t="s">
        <v>117</v>
      </c>
      <c r="G12" s="34"/>
      <c r="L12" s="33"/>
      <c r="Q12" s="33"/>
      <c r="V12" s="43"/>
      <c r="W12" s="43"/>
    </row>
    <row r="13" spans="2:23" x14ac:dyDescent="0.25">
      <c r="B13" s="2" t="s">
        <v>14</v>
      </c>
      <c r="C13" s="13">
        <v>746</v>
      </c>
      <c r="D13" s="13">
        <v>986</v>
      </c>
      <c r="E13" s="13">
        <v>1008</v>
      </c>
      <c r="F13" s="13">
        <v>1029</v>
      </c>
      <c r="G13" s="39">
        <f>SUM(C13:F13)</f>
        <v>3769</v>
      </c>
      <c r="H13" s="13">
        <v>799</v>
      </c>
      <c r="I13" s="13">
        <v>1091</v>
      </c>
      <c r="J13" s="13">
        <v>1092</v>
      </c>
      <c r="K13" s="13">
        <v>1091</v>
      </c>
      <c r="L13" s="39">
        <f>SUM(H13:K13)</f>
        <v>4073</v>
      </c>
      <c r="M13" s="13">
        <v>860</v>
      </c>
      <c r="N13" s="13">
        <v>1193</v>
      </c>
      <c r="O13" s="13">
        <v>1181</v>
      </c>
      <c r="P13" s="13">
        <v>1197</v>
      </c>
      <c r="Q13" s="39">
        <f>SUM(M13:P13)</f>
        <v>4431</v>
      </c>
      <c r="R13" s="13">
        <v>904</v>
      </c>
      <c r="S13" s="13">
        <v>1228</v>
      </c>
      <c r="T13" s="13"/>
      <c r="U13" s="13"/>
      <c r="V13" s="48">
        <f>SUM(R13:U13)</f>
        <v>2132</v>
      </c>
      <c r="W13" s="43"/>
    </row>
    <row r="14" spans="2:23" x14ac:dyDescent="0.25">
      <c r="B14" s="10" t="s">
        <v>114</v>
      </c>
      <c r="G14" s="35"/>
      <c r="H14" s="30">
        <f t="shared" ref="H14" si="3">(H13-C13)/C13</f>
        <v>7.1045576407506708E-2</v>
      </c>
      <c r="I14" s="30">
        <f t="shared" ref="I14:J14" si="4">(I13-D13)/D13</f>
        <v>0.10649087221095335</v>
      </c>
      <c r="J14" s="30">
        <f t="shared" si="4"/>
        <v>8.3333333333333329E-2</v>
      </c>
      <c r="K14" s="30">
        <f t="shared" ref="K14" si="5">(K13-F13)/F13</f>
        <v>6.0252672497570457E-2</v>
      </c>
      <c r="L14" s="35">
        <f>(L13-G13)/G13</f>
        <v>8.0657999469355271E-2</v>
      </c>
      <c r="M14" s="30">
        <f t="shared" ref="M14" si="6">(M13-H13)/H13</f>
        <v>7.634543178973717E-2</v>
      </c>
      <c r="N14" s="30">
        <f t="shared" ref="N14" si="7">(N13-I13)/I13</f>
        <v>9.3492208982584785E-2</v>
      </c>
      <c r="O14" s="30">
        <f>(O13-J13)/J13</f>
        <v>8.1501831501831504E-2</v>
      </c>
      <c r="P14" s="30">
        <f t="shared" ref="P14" si="8">(P13-K13)/K13</f>
        <v>9.715857011915674E-2</v>
      </c>
      <c r="Q14" s="35">
        <f>(Q13-L13)/L13</f>
        <v>8.7895899828136503E-2</v>
      </c>
      <c r="R14" s="30">
        <f>(R13-M13)/M13</f>
        <v>5.1162790697674418E-2</v>
      </c>
      <c r="S14" s="30">
        <f t="shared" ref="S14" si="9">(S13-N13)/N13</f>
        <v>2.9337803855825649E-2</v>
      </c>
      <c r="T14" s="30">
        <f t="shared" ref="T14" si="10">(T13-O13)/O13</f>
        <v>-1</v>
      </c>
      <c r="U14" s="30">
        <f t="shared" ref="U14" si="11">(U13-P13)/P13</f>
        <v>-1</v>
      </c>
      <c r="V14" s="45">
        <f>(V13-Q13)/Q13</f>
        <v>-0.51884450462649512</v>
      </c>
      <c r="W14" s="43"/>
    </row>
    <row r="15" spans="2:23" x14ac:dyDescent="0.25">
      <c r="B15" s="2" t="s">
        <v>126</v>
      </c>
      <c r="C15" s="2">
        <v>57</v>
      </c>
      <c r="D15" s="2">
        <v>53</v>
      </c>
      <c r="E15" s="2">
        <v>63</v>
      </c>
      <c r="F15" s="2">
        <v>88</v>
      </c>
      <c r="G15" s="34">
        <f>SUM(C15:F15)</f>
        <v>261</v>
      </c>
      <c r="H15" s="2">
        <v>51</v>
      </c>
      <c r="I15" s="2">
        <v>65</v>
      </c>
      <c r="J15" s="2">
        <v>78</v>
      </c>
      <c r="K15" s="2">
        <v>99</v>
      </c>
      <c r="L15" s="34">
        <f>SUM(H15:K15)</f>
        <v>293</v>
      </c>
      <c r="M15" s="2">
        <v>44</v>
      </c>
      <c r="N15" s="2">
        <v>80</v>
      </c>
      <c r="O15" s="2">
        <v>76</v>
      </c>
      <c r="P15" s="2">
        <v>114</v>
      </c>
      <c r="Q15" s="34">
        <f>SUM(M15:P15)</f>
        <v>314</v>
      </c>
      <c r="R15" s="2">
        <v>49</v>
      </c>
      <c r="S15" s="2">
        <v>88</v>
      </c>
      <c r="V15" s="44">
        <f>SUM(R15:U15)</f>
        <v>137</v>
      </c>
      <c r="W15" s="43"/>
    </row>
    <row r="16" spans="2:23" x14ac:dyDescent="0.25">
      <c r="B16" s="30" t="s">
        <v>127</v>
      </c>
      <c r="C16" s="30">
        <v>7.5999999999999998E-2</v>
      </c>
      <c r="D16" s="30">
        <v>5.3999999999999999E-2</v>
      </c>
      <c r="E16" s="30">
        <v>6.3E-2</v>
      </c>
      <c r="F16" s="30">
        <v>8.5999999999999993E-2</v>
      </c>
      <c r="G16" s="35">
        <f>G15/G13</f>
        <v>6.9249137702308311E-2</v>
      </c>
      <c r="H16" s="30">
        <v>6.4000000000000001E-2</v>
      </c>
      <c r="I16" s="30">
        <v>0.06</v>
      </c>
      <c r="J16" s="30">
        <v>7.0999999999999994E-2</v>
      </c>
      <c r="K16" s="30">
        <v>9.0999999999999998E-2</v>
      </c>
      <c r="L16" s="35">
        <f>L15/L13</f>
        <v>7.193714706604469E-2</v>
      </c>
      <c r="M16" s="30">
        <v>5.0999999999999997E-2</v>
      </c>
      <c r="N16" s="30">
        <v>6.7000000000000004E-2</v>
      </c>
      <c r="O16" s="30">
        <v>6.4000000000000001E-2</v>
      </c>
      <c r="P16" s="30">
        <v>9.5000000000000001E-2</v>
      </c>
      <c r="Q16" s="35">
        <f>Q15/Q13</f>
        <v>7.0864364703227267E-2</v>
      </c>
      <c r="R16" s="30">
        <v>5.3999999999999999E-2</v>
      </c>
      <c r="S16" s="30">
        <v>7.1999999999999995E-2</v>
      </c>
      <c r="T16" s="30"/>
      <c r="U16" s="30"/>
      <c r="V16" s="45">
        <f>V15/V13</f>
        <v>6.4258911819887424E-2</v>
      </c>
      <c r="W16" s="43"/>
    </row>
    <row r="17" spans="2:23" x14ac:dyDescent="0.25">
      <c r="B17" s="2" t="s">
        <v>115</v>
      </c>
      <c r="C17" s="13">
        <v>28416</v>
      </c>
      <c r="D17" s="13">
        <v>28520</v>
      </c>
      <c r="E17" s="13">
        <v>28715</v>
      </c>
      <c r="F17" s="13">
        <v>28911</v>
      </c>
      <c r="G17" s="39">
        <v>28911</v>
      </c>
      <c r="H17" s="13">
        <v>28825</v>
      </c>
      <c r="I17" s="13">
        <v>29257</v>
      </c>
      <c r="J17" s="13">
        <v>29344</v>
      </c>
      <c r="K17" s="13">
        <v>29377</v>
      </c>
      <c r="L17" s="36">
        <v>29377</v>
      </c>
      <c r="M17" s="13">
        <v>29486</v>
      </c>
      <c r="N17" s="13">
        <v>30648</v>
      </c>
      <c r="O17" s="13">
        <v>30796</v>
      </c>
      <c r="P17" s="13">
        <v>30795</v>
      </c>
      <c r="Q17" s="39">
        <v>30795</v>
      </c>
      <c r="R17" s="13">
        <v>30236</v>
      </c>
      <c r="S17" s="13">
        <v>30236</v>
      </c>
      <c r="T17" s="13"/>
      <c r="U17" s="13"/>
      <c r="V17" s="47"/>
      <c r="W17" s="47"/>
    </row>
    <row r="18" spans="2:23" x14ac:dyDescent="0.25">
      <c r="B18" s="10" t="s">
        <v>122</v>
      </c>
      <c r="C18" s="30"/>
      <c r="D18" s="30"/>
      <c r="E18" s="30"/>
      <c r="F18" s="30"/>
      <c r="G18" s="35"/>
      <c r="H18" s="30">
        <f t="shared" ref="H18" si="12">(H17-C17)/C17</f>
        <v>1.439329954954955E-2</v>
      </c>
      <c r="I18" s="30">
        <f t="shared" ref="I18" si="13">(I17-D17)/D17</f>
        <v>2.5841514726507715E-2</v>
      </c>
      <c r="J18" s="30">
        <f t="shared" ref="J18" si="14">(J17-E17)/E17</f>
        <v>2.1904927738115969E-2</v>
      </c>
      <c r="K18" s="30">
        <f t="shared" ref="K18" si="15">(K17-F17)/F17</f>
        <v>1.6118432430562761E-2</v>
      </c>
      <c r="L18" s="35">
        <f t="shared" ref="L18" si="16">(L17-G17)/G17</f>
        <v>1.6118432430562761E-2</v>
      </c>
      <c r="M18" s="30">
        <f t="shared" ref="M18" si="17">(M17-H17)/H17</f>
        <v>2.2931483087597571E-2</v>
      </c>
      <c r="N18" s="30">
        <f t="shared" ref="N18" si="18">(N17-I17)/I17</f>
        <v>4.7544177461804012E-2</v>
      </c>
      <c r="O18" s="30">
        <f t="shared" ref="O18" si="19">(O17-J17)/J17</f>
        <v>4.9482006543075246E-2</v>
      </c>
      <c r="P18" s="30">
        <f>(P17-K17)/K17</f>
        <v>4.826905402185383E-2</v>
      </c>
      <c r="Q18" s="35">
        <f>(Q17-L17)/L17</f>
        <v>4.826905402185383E-2</v>
      </c>
      <c r="R18" s="30">
        <f t="shared" ref="R18" si="20">(R17-M17)/M17</f>
        <v>2.543580004069728E-2</v>
      </c>
      <c r="S18" s="30">
        <f>(S17-N17)/N17</f>
        <v>-1.344296528321587E-2</v>
      </c>
      <c r="T18" s="30">
        <f>(T17-O17)/O17</f>
        <v>-1</v>
      </c>
      <c r="U18" s="30">
        <f>(U17-P17)/P17</f>
        <v>-1</v>
      </c>
      <c r="V18" s="43"/>
      <c r="W18" s="43"/>
    </row>
    <row r="19" spans="2:23" x14ac:dyDescent="0.25">
      <c r="B19" s="26" t="s">
        <v>116</v>
      </c>
      <c r="C19" s="26">
        <v>116</v>
      </c>
      <c r="D19" s="26">
        <v>116</v>
      </c>
      <c r="E19" s="26">
        <v>117</v>
      </c>
      <c r="F19" s="26">
        <v>117</v>
      </c>
      <c r="G19" s="40">
        <v>117</v>
      </c>
      <c r="H19" s="26">
        <v>118</v>
      </c>
      <c r="I19" s="26">
        <v>118</v>
      </c>
      <c r="J19" s="26">
        <v>118</v>
      </c>
      <c r="K19" s="26">
        <v>118</v>
      </c>
      <c r="L19" s="37">
        <v>118</v>
      </c>
      <c r="M19" s="26">
        <v>126</v>
      </c>
      <c r="N19" s="26">
        <v>126</v>
      </c>
      <c r="O19" s="26">
        <v>126</v>
      </c>
      <c r="P19" s="26">
        <v>126</v>
      </c>
      <c r="Q19" s="40">
        <v>126</v>
      </c>
      <c r="R19" s="26">
        <v>122</v>
      </c>
      <c r="S19" s="26">
        <v>122</v>
      </c>
      <c r="T19" s="26"/>
      <c r="U19" s="26"/>
      <c r="V19" s="46"/>
      <c r="W19" s="43"/>
    </row>
    <row r="20" spans="2:23" x14ac:dyDescent="0.25">
      <c r="B20" s="1" t="s">
        <v>118</v>
      </c>
      <c r="G20" s="34"/>
      <c r="L20" s="33"/>
      <c r="Q20" s="33"/>
      <c r="V20" s="43"/>
      <c r="W20" s="43"/>
    </row>
    <row r="21" spans="2:23" x14ac:dyDescent="0.25">
      <c r="B21" s="2" t="s">
        <v>14</v>
      </c>
      <c r="C21" s="13">
        <v>1025</v>
      </c>
      <c r="D21" s="13">
        <v>1361</v>
      </c>
      <c r="E21" s="13">
        <v>1385</v>
      </c>
      <c r="F21" s="13">
        <v>1383</v>
      </c>
      <c r="G21" s="39">
        <f>SUM(C21:F21)</f>
        <v>5154</v>
      </c>
      <c r="H21" s="13">
        <v>1102</v>
      </c>
      <c r="I21" s="13">
        <v>1441</v>
      </c>
      <c r="J21" s="13">
        <v>1473</v>
      </c>
      <c r="K21" s="13">
        <v>1465</v>
      </c>
      <c r="L21" s="39">
        <f>SUM(H21:K21)</f>
        <v>5481</v>
      </c>
      <c r="M21" s="13">
        <v>1139</v>
      </c>
      <c r="N21" s="13">
        <v>1515</v>
      </c>
      <c r="O21" s="13">
        <v>1519</v>
      </c>
      <c r="P21" s="13">
        <v>1505</v>
      </c>
      <c r="Q21" s="39">
        <f>SUM(M21:P21)</f>
        <v>5678</v>
      </c>
      <c r="R21" s="13">
        <v>1193</v>
      </c>
      <c r="S21" s="13">
        <v>1569</v>
      </c>
      <c r="T21" s="13"/>
      <c r="U21" s="13"/>
      <c r="V21" s="48">
        <f>SUM(R21:U21)</f>
        <v>2762</v>
      </c>
      <c r="W21" s="43"/>
    </row>
    <row r="22" spans="2:23" x14ac:dyDescent="0.25">
      <c r="B22" s="10" t="s">
        <v>114</v>
      </c>
      <c r="G22" s="35"/>
      <c r="H22" s="30">
        <f t="shared" ref="H22" si="21">(H21-C21)/C21</f>
        <v>7.5121951219512192E-2</v>
      </c>
      <c r="I22" s="30">
        <f t="shared" ref="I22:J22" si="22">(I21-D21)/D21</f>
        <v>5.8780308596620132E-2</v>
      </c>
      <c r="J22" s="30">
        <f t="shared" si="22"/>
        <v>6.3537906137184116E-2</v>
      </c>
      <c r="K22" s="30">
        <f t="shared" ref="K22" si="23">(K21-F21)/F21</f>
        <v>5.9291395516992043E-2</v>
      </c>
      <c r="L22" s="35">
        <f>(L21-G21)/G21</f>
        <v>6.3445867287543659E-2</v>
      </c>
      <c r="M22" s="30">
        <f t="shared" ref="M22" si="24">(M21-H21)/H21</f>
        <v>3.3575317604355719E-2</v>
      </c>
      <c r="N22" s="30">
        <f t="shared" ref="N22" si="25">(N21-I21)/I21</f>
        <v>5.1353226925746009E-2</v>
      </c>
      <c r="O22" s="30">
        <f>(O21-J21)/J21</f>
        <v>3.1228784792939578E-2</v>
      </c>
      <c r="P22" s="30">
        <f t="shared" ref="P22" si="26">(P21-K21)/K21</f>
        <v>2.7303754266211604E-2</v>
      </c>
      <c r="Q22" s="35">
        <f>(Q21-L21)/L21</f>
        <v>3.5942346287173875E-2</v>
      </c>
      <c r="R22" s="30">
        <f>(R21-M21)/M21</f>
        <v>4.7410008779631259E-2</v>
      </c>
      <c r="S22" s="30">
        <f t="shared" ref="S22" si="27">(S21-N21)/N21</f>
        <v>3.5643564356435641E-2</v>
      </c>
      <c r="T22" s="30">
        <f t="shared" ref="T22" si="28">(T21-O21)/O21</f>
        <v>-1</v>
      </c>
      <c r="U22" s="30">
        <f t="shared" ref="U22" si="29">(U21-P21)/P21</f>
        <v>-1</v>
      </c>
      <c r="V22" s="35">
        <f>(V21-Q21)/Q21</f>
        <v>-0.51356111306798169</v>
      </c>
    </row>
    <row r="23" spans="2:23" x14ac:dyDescent="0.25">
      <c r="B23" s="2" t="s">
        <v>126</v>
      </c>
      <c r="C23" s="2">
        <v>74</v>
      </c>
      <c r="D23" s="2">
        <v>107</v>
      </c>
      <c r="E23" s="2">
        <v>116</v>
      </c>
      <c r="F23" s="2">
        <v>137</v>
      </c>
      <c r="G23" s="34">
        <f>SUM(C23:F23)</f>
        <v>434</v>
      </c>
      <c r="H23" s="2">
        <v>63</v>
      </c>
      <c r="I23" s="2">
        <v>89</v>
      </c>
      <c r="J23" s="2">
        <v>121</v>
      </c>
      <c r="K23" s="2">
        <v>179</v>
      </c>
      <c r="L23" s="34">
        <f>SUM(H23:K23)</f>
        <v>452</v>
      </c>
      <c r="M23" s="2">
        <v>68</v>
      </c>
      <c r="N23" s="2">
        <v>107</v>
      </c>
      <c r="O23" s="2">
        <v>138</v>
      </c>
      <c r="P23" s="2">
        <v>184</v>
      </c>
      <c r="Q23" s="34">
        <f>SUM(M23:P23)</f>
        <v>497</v>
      </c>
      <c r="R23" s="2">
        <v>65</v>
      </c>
      <c r="S23" s="2">
        <v>101</v>
      </c>
      <c r="V23" s="34">
        <f>SUM(R23:U23)</f>
        <v>166</v>
      </c>
    </row>
    <row r="24" spans="2:23" x14ac:dyDescent="0.25">
      <c r="B24" s="30" t="s">
        <v>127</v>
      </c>
      <c r="C24" s="30">
        <v>7.1999999999999995E-2</v>
      </c>
      <c r="D24" s="30">
        <v>7.9000000000000001E-2</v>
      </c>
      <c r="E24" s="30">
        <v>8.4000000000000005E-2</v>
      </c>
      <c r="F24" s="30">
        <v>9.9000000000000005E-2</v>
      </c>
      <c r="G24" s="35">
        <f>G23/G21</f>
        <v>8.4206441598758244E-2</v>
      </c>
      <c r="H24" s="30">
        <v>5.7000000000000002E-2</v>
      </c>
      <c r="I24" s="30">
        <v>6.2E-2</v>
      </c>
      <c r="J24" s="30">
        <v>8.2000000000000003E-2</v>
      </c>
      <c r="K24" s="30">
        <v>0.122</v>
      </c>
      <c r="L24" s="35">
        <f>L23/L21</f>
        <v>8.2466703156358331E-2</v>
      </c>
      <c r="M24" s="30">
        <v>0.06</v>
      </c>
      <c r="N24" s="30">
        <v>7.0999999999999994E-2</v>
      </c>
      <c r="O24" s="30">
        <v>9.0999999999999998E-2</v>
      </c>
      <c r="P24" s="30">
        <v>0.122</v>
      </c>
      <c r="Q24" s="35">
        <f>Q23/Q21</f>
        <v>8.7530820711518145E-2</v>
      </c>
      <c r="R24" s="30">
        <v>5.3999999999999999E-2</v>
      </c>
      <c r="S24" s="30">
        <v>7.2999999999999995E-2</v>
      </c>
      <c r="T24" s="30"/>
      <c r="U24" s="30"/>
      <c r="V24" s="35">
        <f>V23/V21</f>
        <v>6.010137581462708E-2</v>
      </c>
    </row>
    <row r="25" spans="2:23" x14ac:dyDescent="0.25">
      <c r="B25" s="2" t="s">
        <v>115</v>
      </c>
      <c r="C25" s="13">
        <v>44716</v>
      </c>
      <c r="D25" s="13">
        <v>44105</v>
      </c>
      <c r="E25" s="13">
        <v>43915</v>
      </c>
      <c r="F25" s="13">
        <v>43413</v>
      </c>
      <c r="G25" s="39">
        <v>43413</v>
      </c>
      <c r="H25" s="13">
        <v>45938</v>
      </c>
      <c r="I25" s="13">
        <v>45583</v>
      </c>
      <c r="J25" s="13">
        <v>45139</v>
      </c>
      <c r="K25" s="13">
        <v>44658</v>
      </c>
      <c r="L25" s="39">
        <v>44658</v>
      </c>
      <c r="M25" s="13">
        <v>46112</v>
      </c>
      <c r="N25" s="13">
        <v>45863</v>
      </c>
      <c r="O25" s="13">
        <v>45403</v>
      </c>
      <c r="P25" s="13">
        <v>44938</v>
      </c>
      <c r="Q25" s="39">
        <v>44938</v>
      </c>
      <c r="R25" s="13">
        <v>46476</v>
      </c>
      <c r="S25" s="13">
        <v>46088</v>
      </c>
      <c r="T25" s="13"/>
      <c r="U25" s="13"/>
      <c r="V25" s="36"/>
    </row>
    <row r="26" spans="2:23" x14ac:dyDescent="0.25">
      <c r="B26" s="10" t="s">
        <v>122</v>
      </c>
      <c r="C26" s="30"/>
      <c r="D26" s="30"/>
      <c r="E26" s="30"/>
      <c r="F26" s="30"/>
      <c r="G26" s="35"/>
      <c r="H26" s="30">
        <f t="shared" ref="H26" si="30">(H25-C25)/C25</f>
        <v>2.7328025762590573E-2</v>
      </c>
      <c r="I26" s="30">
        <f t="shared" ref="I26" si="31">(I25-D25)/D25</f>
        <v>3.3510939802743452E-2</v>
      </c>
      <c r="J26" s="30">
        <f t="shared" ref="J26" si="32">(J25-E25)/E25</f>
        <v>2.7872025503814186E-2</v>
      </c>
      <c r="K26" s="30">
        <f t="shared" ref="K26" si="33">(K25-F25)/F25</f>
        <v>2.8678045746665746E-2</v>
      </c>
      <c r="L26" s="35">
        <f t="shared" ref="L26" si="34">(L25-G25)/G25</f>
        <v>2.8678045746665746E-2</v>
      </c>
      <c r="M26" s="30">
        <f t="shared" ref="M26" si="35">(M25-H25)/H25</f>
        <v>3.7877138752231269E-3</v>
      </c>
      <c r="N26" s="30">
        <f t="shared" ref="N26" si="36">(N25-I25)/I25</f>
        <v>6.1426408968255708E-3</v>
      </c>
      <c r="O26" s="30">
        <f t="shared" ref="O26" si="37">(O25-J25)/J25</f>
        <v>5.8486009880591066E-3</v>
      </c>
      <c r="P26" s="30">
        <f>(P25-K25)/K25</f>
        <v>6.2698732589905508E-3</v>
      </c>
      <c r="Q26" s="35">
        <f>(Q25-L25)/L25</f>
        <v>6.2698732589905508E-3</v>
      </c>
      <c r="R26" s="30">
        <f t="shared" ref="R26" si="38">(R25-M25)/M25</f>
        <v>7.8938237335183896E-3</v>
      </c>
      <c r="S26" s="30">
        <f>(S25-N25)/N25</f>
        <v>4.9059154438218172E-3</v>
      </c>
      <c r="T26" s="30">
        <f>(T25-O25)/O25</f>
        <v>-1</v>
      </c>
      <c r="U26" s="30">
        <f>(U25-P25)/P25</f>
        <v>-1</v>
      </c>
      <c r="V26" s="33"/>
    </row>
    <row r="27" spans="2:23" x14ac:dyDescent="0.25">
      <c r="B27" s="26" t="s">
        <v>116</v>
      </c>
      <c r="C27" s="26">
        <v>152</v>
      </c>
      <c r="D27" s="26">
        <v>152</v>
      </c>
      <c r="E27" s="26">
        <v>152</v>
      </c>
      <c r="F27" s="26">
        <v>152</v>
      </c>
      <c r="G27" s="40">
        <v>152</v>
      </c>
      <c r="H27" s="26">
        <v>149</v>
      </c>
      <c r="I27" s="26">
        <v>149</v>
      </c>
      <c r="J27" s="26">
        <v>149</v>
      </c>
      <c r="K27" s="26">
        <v>149</v>
      </c>
      <c r="L27" s="40">
        <v>149</v>
      </c>
      <c r="M27" s="26">
        <v>148</v>
      </c>
      <c r="N27" s="26">
        <v>148</v>
      </c>
      <c r="O27" s="26">
        <v>147</v>
      </c>
      <c r="P27" s="26">
        <v>147</v>
      </c>
      <c r="Q27" s="40">
        <v>147</v>
      </c>
      <c r="R27" s="26">
        <v>145</v>
      </c>
      <c r="S27" s="26">
        <v>145</v>
      </c>
      <c r="T27" s="26"/>
      <c r="U27" s="26"/>
      <c r="V27" s="37"/>
    </row>
    <row r="28" spans="2:23" x14ac:dyDescent="0.25">
      <c r="B28" s="1" t="s">
        <v>119</v>
      </c>
      <c r="G28" s="34"/>
      <c r="L28" s="33"/>
      <c r="Q28" s="33"/>
      <c r="V28" s="33"/>
    </row>
    <row r="29" spans="2:23" x14ac:dyDescent="0.25">
      <c r="B29" s="2" t="s">
        <v>14</v>
      </c>
      <c r="C29" s="13">
        <v>377</v>
      </c>
      <c r="D29" s="13">
        <v>438</v>
      </c>
      <c r="E29" s="13">
        <v>415</v>
      </c>
      <c r="F29" s="13">
        <v>397</v>
      </c>
      <c r="G29" s="39">
        <f>SUM(C29:F29)</f>
        <v>1627</v>
      </c>
      <c r="H29" s="13">
        <v>365</v>
      </c>
      <c r="I29" s="13">
        <v>473</v>
      </c>
      <c r="J29" s="13">
        <v>443</v>
      </c>
      <c r="K29" s="13">
        <v>423</v>
      </c>
      <c r="L29" s="39">
        <f>SUM(H29:K29)</f>
        <v>1704</v>
      </c>
      <c r="M29" s="13">
        <v>391</v>
      </c>
      <c r="N29" s="13">
        <v>492</v>
      </c>
      <c r="O29" s="13">
        <v>465</v>
      </c>
      <c r="P29" s="13">
        <v>454</v>
      </c>
      <c r="Q29" s="39">
        <f>SUM(M29:P29)</f>
        <v>1802</v>
      </c>
      <c r="R29" s="13">
        <v>421</v>
      </c>
      <c r="S29" s="13">
        <v>501</v>
      </c>
      <c r="T29" s="13"/>
      <c r="U29" s="13"/>
      <c r="V29" s="39">
        <f>SUM(R29:U29)</f>
        <v>922</v>
      </c>
    </row>
    <row r="30" spans="2:23" x14ac:dyDescent="0.25">
      <c r="B30" s="10" t="s">
        <v>114</v>
      </c>
      <c r="G30" s="35"/>
      <c r="H30" s="30">
        <f t="shared" ref="H30" si="39">(H29-C29)/C29</f>
        <v>-3.1830238726790451E-2</v>
      </c>
      <c r="I30" s="30">
        <f t="shared" ref="I30:J30" si="40">(I29-D29)/D29</f>
        <v>7.9908675799086754E-2</v>
      </c>
      <c r="J30" s="30">
        <f t="shared" si="40"/>
        <v>6.746987951807229E-2</v>
      </c>
      <c r="K30" s="30">
        <f t="shared" ref="K30" si="41">(K29-F29)/F29</f>
        <v>6.5491183879093195E-2</v>
      </c>
      <c r="L30" s="35">
        <f>(L29-G29)/G29</f>
        <v>4.7326367547633683E-2</v>
      </c>
      <c r="M30" s="30">
        <f t="shared" ref="M30" si="42">(M29-H29)/H29</f>
        <v>7.1232876712328766E-2</v>
      </c>
      <c r="N30" s="30">
        <f t="shared" ref="N30" si="43">(N29-I29)/I29</f>
        <v>4.0169133192389003E-2</v>
      </c>
      <c r="O30" s="30">
        <f>(O29-J29)/J29</f>
        <v>4.9661399548532728E-2</v>
      </c>
      <c r="P30" s="30">
        <f t="shared" ref="P30" si="44">(P29-K29)/K29</f>
        <v>7.328605200945626E-2</v>
      </c>
      <c r="Q30" s="35">
        <f>(Q29-L29)/L29</f>
        <v>5.7511737089201875E-2</v>
      </c>
      <c r="R30" s="30">
        <f>(R29-M29)/M29</f>
        <v>7.6726342710997444E-2</v>
      </c>
      <c r="S30" s="30">
        <f t="shared" ref="S30" si="45">(S29-N29)/N29</f>
        <v>1.8292682926829267E-2</v>
      </c>
      <c r="T30" s="30">
        <f t="shared" ref="T30" si="46">(T29-O29)/O29</f>
        <v>-1</v>
      </c>
      <c r="U30" s="30">
        <f t="shared" ref="U30" si="47">(U29-P29)/P29</f>
        <v>-1</v>
      </c>
      <c r="V30" s="35">
        <f>(V29-Q29)/Q29</f>
        <v>-0.48834628190898999</v>
      </c>
    </row>
    <row r="31" spans="2:23" x14ac:dyDescent="0.25">
      <c r="B31" s="2" t="s">
        <v>126</v>
      </c>
      <c r="C31" s="2">
        <v>45</v>
      </c>
      <c r="D31" s="2">
        <v>28</v>
      </c>
      <c r="E31" s="2">
        <v>33</v>
      </c>
      <c r="F31" s="2">
        <v>20</v>
      </c>
      <c r="G31" s="34">
        <f>SUM(C31:F31)</f>
        <v>126</v>
      </c>
      <c r="H31" s="2">
        <v>48</v>
      </c>
      <c r="I31" s="2">
        <v>46</v>
      </c>
      <c r="J31" s="2">
        <v>43</v>
      </c>
      <c r="K31" s="2">
        <v>23</v>
      </c>
      <c r="L31" s="34">
        <f>SUM(H31:K31)</f>
        <v>160</v>
      </c>
      <c r="M31" s="2">
        <v>67</v>
      </c>
      <c r="N31" s="2">
        <v>60</v>
      </c>
      <c r="O31" s="2">
        <v>53</v>
      </c>
      <c r="P31" s="2">
        <v>34</v>
      </c>
      <c r="Q31" s="34">
        <f>SUM(M31:P31)</f>
        <v>214</v>
      </c>
      <c r="R31" s="2">
        <v>79</v>
      </c>
      <c r="S31" s="2">
        <v>67</v>
      </c>
      <c r="V31" s="34">
        <f>SUM(R31:U31)</f>
        <v>146</v>
      </c>
    </row>
    <row r="32" spans="2:23" x14ac:dyDescent="0.25">
      <c r="B32" s="31" t="s">
        <v>127</v>
      </c>
      <c r="C32" s="31">
        <v>0.11899999999999999</v>
      </c>
      <c r="D32" s="31">
        <v>6.4000000000000001E-2</v>
      </c>
      <c r="E32" s="31">
        <v>0.08</v>
      </c>
      <c r="F32" s="31">
        <v>0.05</v>
      </c>
      <c r="G32" s="38">
        <f>G31/G29</f>
        <v>7.7443146896127843E-2</v>
      </c>
      <c r="H32" s="31">
        <v>0.13200000000000001</v>
      </c>
      <c r="I32" s="31">
        <v>9.7000000000000003E-2</v>
      </c>
      <c r="J32" s="31">
        <v>9.7000000000000003E-2</v>
      </c>
      <c r="K32" s="31">
        <v>5.3999999999999999E-2</v>
      </c>
      <c r="L32" s="38">
        <f>L31/L29</f>
        <v>9.3896713615023469E-2</v>
      </c>
      <c r="M32" s="31">
        <v>0.17100000000000001</v>
      </c>
      <c r="N32" s="31">
        <v>0.122</v>
      </c>
      <c r="O32" s="31">
        <v>0.114</v>
      </c>
      <c r="P32" s="31">
        <v>7.4999999999999997E-2</v>
      </c>
      <c r="Q32" s="38">
        <f>Q31/Q29</f>
        <v>0.11875693673695893</v>
      </c>
      <c r="R32" s="31">
        <v>0.188</v>
      </c>
      <c r="S32" s="31">
        <v>0.13400000000000001</v>
      </c>
      <c r="T32" s="31"/>
      <c r="U32" s="31"/>
      <c r="V32" s="38">
        <f>V31/V29</f>
        <v>0.15835140997830802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18D8-5137-2C42-AF6D-2573550AA6CD}">
  <dimension ref="C6:H16"/>
  <sheetViews>
    <sheetView showGridLines="0" workbookViewId="0">
      <selection activeCell="F8" sqref="F8"/>
    </sheetView>
  </sheetViews>
  <sheetFormatPr baseColWidth="10" defaultRowHeight="21" x14ac:dyDescent="0.25"/>
  <cols>
    <col min="1" max="2" width="10.83203125" style="60"/>
    <col min="3" max="3" width="33" style="60" customWidth="1"/>
    <col min="4" max="4" width="16.33203125" style="60" bestFit="1" customWidth="1"/>
    <col min="5" max="5" width="10.83203125" style="60"/>
    <col min="6" max="6" width="12.83203125" style="60" customWidth="1"/>
    <col min="7" max="7" width="10.83203125" style="60"/>
    <col min="8" max="8" width="12.83203125" style="60" customWidth="1"/>
    <col min="9" max="16384" width="10.83203125" style="60"/>
  </cols>
  <sheetData>
    <row r="6" spans="3:8" x14ac:dyDescent="0.25">
      <c r="C6" s="61" t="s">
        <v>133</v>
      </c>
      <c r="D6" s="61" t="s">
        <v>129</v>
      </c>
      <c r="E6" s="61"/>
      <c r="F6" s="61" t="s">
        <v>130</v>
      </c>
      <c r="G6" s="61" t="s">
        <v>131</v>
      </c>
      <c r="H6" s="61" t="s">
        <v>132</v>
      </c>
    </row>
    <row r="7" spans="3:8" x14ac:dyDescent="0.25">
      <c r="C7" s="62" t="s">
        <v>128</v>
      </c>
      <c r="D7" s="62">
        <v>402</v>
      </c>
      <c r="E7" s="62"/>
      <c r="F7" s="62">
        <v>10</v>
      </c>
      <c r="G7" s="65">
        <f>D7*F7</f>
        <v>4020</v>
      </c>
      <c r="H7" s="63">
        <f>G7/Modell!$B$5</f>
        <v>38.104265402843602</v>
      </c>
    </row>
    <row r="8" spans="3:8" x14ac:dyDescent="0.25">
      <c r="C8" s="62" t="s">
        <v>117</v>
      </c>
      <c r="D8" s="62">
        <v>348</v>
      </c>
      <c r="E8" s="62"/>
      <c r="F8" s="62">
        <v>8</v>
      </c>
      <c r="G8" s="65">
        <f t="shared" ref="G8:G10" si="0">D8*F8</f>
        <v>2784</v>
      </c>
      <c r="H8" s="63">
        <f>G8/Modell!$B$5</f>
        <v>26.388625592417061</v>
      </c>
    </row>
    <row r="9" spans="3:8" x14ac:dyDescent="0.25">
      <c r="C9" s="62" t="s">
        <v>118</v>
      </c>
      <c r="D9" s="62">
        <v>550</v>
      </c>
      <c r="E9" s="62"/>
      <c r="F9" s="62">
        <v>7</v>
      </c>
      <c r="G9" s="65">
        <f t="shared" si="0"/>
        <v>3850</v>
      </c>
      <c r="H9" s="63">
        <f>G9/Modell!$B$5</f>
        <v>36.492890995260666</v>
      </c>
    </row>
    <row r="10" spans="3:8" x14ac:dyDescent="0.25">
      <c r="C10" s="62" t="s">
        <v>119</v>
      </c>
      <c r="D10" s="62">
        <v>240</v>
      </c>
      <c r="E10" s="62"/>
      <c r="F10" s="62">
        <v>10</v>
      </c>
      <c r="G10" s="65">
        <f t="shared" si="0"/>
        <v>2400</v>
      </c>
      <c r="H10" s="63">
        <f>G10/Modell!$B$5</f>
        <v>22.748815165876778</v>
      </c>
    </row>
    <row r="11" spans="3:8" x14ac:dyDescent="0.25">
      <c r="C11" s="61" t="s">
        <v>134</v>
      </c>
      <c r="D11" s="61"/>
      <c r="E11" s="61"/>
      <c r="F11" s="61"/>
      <c r="G11" s="66">
        <f>SUM(G7:G10)</f>
        <v>13054</v>
      </c>
      <c r="H11" s="64">
        <f>SUM(H7:H10)</f>
        <v>123.73459715639811</v>
      </c>
    </row>
    <row r="12" spans="3:8" x14ac:dyDescent="0.25">
      <c r="C12" s="67"/>
      <c r="D12" s="67"/>
      <c r="E12" s="67"/>
      <c r="F12" s="67"/>
      <c r="G12" s="67"/>
      <c r="H12" s="67"/>
    </row>
    <row r="13" spans="3:8" x14ac:dyDescent="0.25">
      <c r="C13" s="62" t="s">
        <v>25</v>
      </c>
      <c r="D13" s="62"/>
      <c r="E13" s="62"/>
      <c r="F13" s="62"/>
      <c r="G13" s="62">
        <f>Modell!B7</f>
        <v>661</v>
      </c>
      <c r="H13" s="63">
        <f>G13/Modell!$B$5</f>
        <v>6.2654028436018958</v>
      </c>
    </row>
    <row r="14" spans="3:8" x14ac:dyDescent="0.25">
      <c r="C14" s="62" t="s">
        <v>135</v>
      </c>
      <c r="D14" s="62"/>
      <c r="E14" s="62"/>
      <c r="F14" s="62"/>
      <c r="G14" s="65">
        <f>Modell!Q40+Modell!Q43</f>
        <v>1169</v>
      </c>
      <c r="H14" s="63">
        <f>-G14/Modell!$B$5</f>
        <v>-11.080568720379146</v>
      </c>
    </row>
    <row r="15" spans="3:8" x14ac:dyDescent="0.25">
      <c r="C15" s="67"/>
      <c r="D15" s="67"/>
      <c r="E15" s="67"/>
      <c r="F15" s="67"/>
      <c r="G15" s="67"/>
      <c r="H15" s="67"/>
    </row>
    <row r="16" spans="3:8" x14ac:dyDescent="0.25">
      <c r="C16" s="61" t="s">
        <v>136</v>
      </c>
      <c r="D16" s="61"/>
      <c r="E16" s="61"/>
      <c r="F16" s="61"/>
      <c r="G16" s="61"/>
      <c r="H16" s="64">
        <f>SUM(H11:H14)</f>
        <v>118.91943127962085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E745-DC06-8448-81B5-DC40131426CF}">
  <dimension ref="C4:F6"/>
  <sheetViews>
    <sheetView showGridLines="0" tabSelected="1" workbookViewId="0">
      <selection activeCell="F13" sqref="F13"/>
    </sheetView>
  </sheetViews>
  <sheetFormatPr baseColWidth="10" defaultRowHeight="16" x14ac:dyDescent="0.2"/>
  <cols>
    <col min="3" max="3" width="29.5" bestFit="1" customWidth="1"/>
    <col min="4" max="4" width="22.1640625" bestFit="1" customWidth="1"/>
    <col min="5" max="5" width="23.33203125" customWidth="1"/>
    <col min="6" max="6" width="22.33203125" bestFit="1" customWidth="1"/>
  </cols>
  <sheetData>
    <row r="4" spans="3:6" ht="62" x14ac:dyDescent="0.7">
      <c r="C4" s="24"/>
      <c r="D4" s="24" t="s">
        <v>111</v>
      </c>
      <c r="E4" s="24" t="s">
        <v>112</v>
      </c>
      <c r="F4" s="24" t="s">
        <v>124</v>
      </c>
    </row>
    <row r="5" spans="3:6" ht="62" x14ac:dyDescent="0.7">
      <c r="C5" s="24" t="s">
        <v>5</v>
      </c>
      <c r="D5" s="29">
        <f>Modell!$B$9/Modell!AC12</f>
        <v>11.380150385455011</v>
      </c>
      <c r="E5" s="29">
        <f>Modell!$B$9/Modell!AD12</f>
        <v>10.417633826735702</v>
      </c>
      <c r="F5" s="29">
        <f>Modell!$B$9/Modell!AE12</f>
        <v>9.9215560254625554</v>
      </c>
    </row>
    <row r="6" spans="3:6" ht="62" x14ac:dyDescent="0.7">
      <c r="C6" s="24" t="s">
        <v>6</v>
      </c>
      <c r="D6" s="29">
        <f>Modell!$B$4/Modell!AC18</f>
        <v>10.576455240040429</v>
      </c>
      <c r="E6" s="29">
        <f>Modell!$B$4/Modell!AD18</f>
        <v>9.3365087768241484</v>
      </c>
      <c r="F6" s="29">
        <f>Modell!$B$4/Modell!AE18</f>
        <v>8.7932715010012359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AF608-E595-F641-98DA-8D39C9F896D8}">
  <dimension ref="A3:EX24"/>
  <sheetViews>
    <sheetView showGridLines="0" workbookViewId="0">
      <pane xSplit="3" ySplit="3" topLeftCell="G4" activePane="bottomRight" state="frozen"/>
      <selection pane="topRight" activeCell="D1" sqref="D1"/>
      <selection pane="bottomLeft" activeCell="A4" sqref="A4"/>
      <selection pane="bottomRight" activeCell="R27" sqref="R27"/>
    </sheetView>
  </sheetViews>
  <sheetFormatPr baseColWidth="10" defaultRowHeight="19" x14ac:dyDescent="0.25"/>
  <cols>
    <col min="1" max="1" width="10.83203125" style="2"/>
    <col min="2" max="2" width="22.33203125" style="4" customWidth="1"/>
    <col min="3" max="3" width="31.5" style="2" customWidth="1"/>
    <col min="4" max="21" width="10.83203125" style="2"/>
    <col min="22" max="22" width="14.1640625" style="2" bestFit="1" customWidth="1"/>
    <col min="23" max="23" width="13.33203125" style="2" bestFit="1" customWidth="1"/>
    <col min="24" max="16384" width="10.83203125" style="2"/>
  </cols>
  <sheetData>
    <row r="3" spans="1:154" x14ac:dyDescent="0.25">
      <c r="A3" s="1" t="s">
        <v>120</v>
      </c>
      <c r="D3" s="7" t="s">
        <v>85</v>
      </c>
      <c r="E3" s="7" t="s">
        <v>84</v>
      </c>
      <c r="F3" s="7" t="s">
        <v>83</v>
      </c>
      <c r="G3" s="7" t="s">
        <v>82</v>
      </c>
      <c r="H3" s="7" t="s">
        <v>81</v>
      </c>
      <c r="I3" s="7" t="s">
        <v>80</v>
      </c>
      <c r="J3" s="16" t="s">
        <v>86</v>
      </c>
      <c r="K3" s="7" t="s">
        <v>87</v>
      </c>
      <c r="L3" s="7" t="s">
        <v>88</v>
      </c>
      <c r="M3" s="7" t="s">
        <v>89</v>
      </c>
      <c r="N3" s="7" t="s">
        <v>90</v>
      </c>
      <c r="O3" s="7" t="s">
        <v>91</v>
      </c>
      <c r="P3" s="7" t="s">
        <v>92</v>
      </c>
      <c r="Q3" s="7" t="s">
        <v>93</v>
      </c>
      <c r="R3" s="7" t="s">
        <v>94</v>
      </c>
      <c r="S3" s="7" t="s">
        <v>95</v>
      </c>
      <c r="T3" s="7" t="s">
        <v>96</v>
      </c>
    </row>
    <row r="4" spans="1:154" x14ac:dyDescent="0.25">
      <c r="A4" s="1" t="s">
        <v>123</v>
      </c>
      <c r="C4" s="1" t="s">
        <v>14</v>
      </c>
      <c r="D4" s="11">
        <v>11715</v>
      </c>
      <c r="E4" s="11">
        <v>12271</v>
      </c>
      <c r="F4" s="11">
        <v>13340</v>
      </c>
      <c r="G4" s="11">
        <v>14339</v>
      </c>
      <c r="H4" s="11">
        <v>15539</v>
      </c>
      <c r="I4" s="11">
        <v>17332</v>
      </c>
      <c r="J4" s="12">
        <v>19022</v>
      </c>
      <c r="K4" s="11">
        <f>J4*1</f>
        <v>19022</v>
      </c>
      <c r="L4" s="11">
        <f t="shared" ref="L4:S4" si="0">K4*1</f>
        <v>19022</v>
      </c>
      <c r="M4" s="11">
        <f t="shared" si="0"/>
        <v>19022</v>
      </c>
      <c r="N4" s="11">
        <f t="shared" si="0"/>
        <v>19022</v>
      </c>
      <c r="O4" s="11">
        <f t="shared" si="0"/>
        <v>19022</v>
      </c>
      <c r="P4" s="11">
        <f t="shared" si="0"/>
        <v>19022</v>
      </c>
      <c r="Q4" s="11">
        <f t="shared" si="0"/>
        <v>19022</v>
      </c>
      <c r="R4" s="11">
        <f t="shared" si="0"/>
        <v>19022</v>
      </c>
      <c r="S4" s="11">
        <f t="shared" si="0"/>
        <v>19022</v>
      </c>
      <c r="T4" s="11">
        <f>S4*1</f>
        <v>19022</v>
      </c>
    </row>
    <row r="5" spans="1:154" x14ac:dyDescent="0.25">
      <c r="A5" s="49">
        <f>W23</f>
        <v>64.497928159316899</v>
      </c>
      <c r="C5" s="2" t="s">
        <v>46</v>
      </c>
      <c r="D5" s="13">
        <v>-997</v>
      </c>
      <c r="E5" s="13">
        <v>-993</v>
      </c>
      <c r="F5" s="13">
        <v>-1120</v>
      </c>
      <c r="G5" s="13">
        <v>-1274</v>
      </c>
      <c r="H5" s="13">
        <v>-1435</v>
      </c>
      <c r="I5" s="13">
        <v>-1523</v>
      </c>
      <c r="J5" s="14">
        <v>-1656</v>
      </c>
      <c r="K5" s="13">
        <f t="shared" ref="K5:T5" si="1">K4*-0.1</f>
        <v>-1902.2</v>
      </c>
      <c r="L5" s="13">
        <f t="shared" si="1"/>
        <v>-1902.2</v>
      </c>
      <c r="M5" s="13">
        <f t="shared" si="1"/>
        <v>-1902.2</v>
      </c>
      <c r="N5" s="13">
        <f t="shared" si="1"/>
        <v>-1902.2</v>
      </c>
      <c r="O5" s="13">
        <f t="shared" si="1"/>
        <v>-1902.2</v>
      </c>
      <c r="P5" s="13">
        <f t="shared" si="1"/>
        <v>-1902.2</v>
      </c>
      <c r="Q5" s="13">
        <f t="shared" si="1"/>
        <v>-1902.2</v>
      </c>
      <c r="R5" s="13">
        <f t="shared" si="1"/>
        <v>-1902.2</v>
      </c>
      <c r="S5" s="13">
        <f t="shared" si="1"/>
        <v>-1902.2</v>
      </c>
      <c r="T5" s="13">
        <f t="shared" si="1"/>
        <v>-1902.2</v>
      </c>
    </row>
    <row r="6" spans="1:154" x14ac:dyDescent="0.25">
      <c r="A6" s="17">
        <f>W24</f>
        <v>-0.28335635378536778</v>
      </c>
      <c r="C6" s="2" t="s">
        <v>15</v>
      </c>
      <c r="D6" s="13">
        <f t="shared" ref="D6:T6" si="2">SUM(D4:D5)</f>
        <v>10718</v>
      </c>
      <c r="E6" s="13">
        <f t="shared" si="2"/>
        <v>11278</v>
      </c>
      <c r="F6" s="13">
        <f t="shared" si="2"/>
        <v>12220</v>
      </c>
      <c r="G6" s="13">
        <f t="shared" si="2"/>
        <v>13065</v>
      </c>
      <c r="H6" s="13">
        <f t="shared" si="2"/>
        <v>14104</v>
      </c>
      <c r="I6" s="13">
        <f t="shared" si="2"/>
        <v>15809</v>
      </c>
      <c r="J6" s="14">
        <f t="shared" si="2"/>
        <v>17366</v>
      </c>
      <c r="K6" s="13">
        <f t="shared" si="2"/>
        <v>17119.8</v>
      </c>
      <c r="L6" s="13">
        <f t="shared" si="2"/>
        <v>17119.8</v>
      </c>
      <c r="M6" s="13">
        <f t="shared" si="2"/>
        <v>17119.8</v>
      </c>
      <c r="N6" s="13">
        <f t="shared" si="2"/>
        <v>17119.8</v>
      </c>
      <c r="O6" s="13">
        <f t="shared" si="2"/>
        <v>17119.8</v>
      </c>
      <c r="P6" s="13">
        <f t="shared" si="2"/>
        <v>17119.8</v>
      </c>
      <c r="Q6" s="13">
        <f t="shared" si="2"/>
        <v>17119.8</v>
      </c>
      <c r="R6" s="13">
        <f t="shared" si="2"/>
        <v>17119.8</v>
      </c>
      <c r="S6" s="13">
        <f t="shared" si="2"/>
        <v>17119.8</v>
      </c>
      <c r="T6" s="13">
        <f t="shared" si="2"/>
        <v>17119.8</v>
      </c>
    </row>
    <row r="7" spans="1:154" x14ac:dyDescent="0.25">
      <c r="C7" s="2" t="s">
        <v>47</v>
      </c>
      <c r="D7" s="13">
        <v>-2517</v>
      </c>
      <c r="E7" s="13">
        <v>-1237</v>
      </c>
      <c r="F7" s="13">
        <v>-1352</v>
      </c>
      <c r="G7" s="13">
        <v>-1370</v>
      </c>
      <c r="H7" s="13">
        <v>-1566</v>
      </c>
      <c r="I7" s="13">
        <v>-1731</v>
      </c>
      <c r="J7" s="14">
        <v>-1789</v>
      </c>
      <c r="K7" s="13">
        <f>J7*1.01</f>
        <v>-1806.89</v>
      </c>
      <c r="L7" s="13">
        <f t="shared" ref="L7:T7" si="3">K7*1</f>
        <v>-1806.89</v>
      </c>
      <c r="M7" s="13">
        <f t="shared" si="3"/>
        <v>-1806.89</v>
      </c>
      <c r="N7" s="13">
        <f t="shared" si="3"/>
        <v>-1806.89</v>
      </c>
      <c r="O7" s="13">
        <f t="shared" si="3"/>
        <v>-1806.89</v>
      </c>
      <c r="P7" s="13">
        <f t="shared" si="3"/>
        <v>-1806.89</v>
      </c>
      <c r="Q7" s="13">
        <f t="shared" si="3"/>
        <v>-1806.89</v>
      </c>
      <c r="R7" s="13">
        <f t="shared" si="3"/>
        <v>-1806.89</v>
      </c>
      <c r="S7" s="13">
        <f t="shared" si="3"/>
        <v>-1806.89</v>
      </c>
      <c r="T7" s="13">
        <f t="shared" si="3"/>
        <v>-1806.89</v>
      </c>
    </row>
    <row r="8" spans="1:154" x14ac:dyDescent="0.25">
      <c r="C8" s="2" t="s">
        <v>48</v>
      </c>
      <c r="D8" s="13">
        <v>-7272</v>
      </c>
      <c r="E8" s="13">
        <v>-7591</v>
      </c>
      <c r="F8" s="13">
        <v>-8106</v>
      </c>
      <c r="G8" s="13">
        <v>-8648</v>
      </c>
      <c r="H8" s="13">
        <v>-9296</v>
      </c>
      <c r="I8" s="13">
        <v>-10408</v>
      </c>
      <c r="J8" s="14">
        <v>-11442</v>
      </c>
      <c r="K8" s="13">
        <f>J8*0.99</f>
        <v>-11327.58</v>
      </c>
      <c r="L8" s="13">
        <f t="shared" ref="K8:T10" si="4">K8*1</f>
        <v>-11327.58</v>
      </c>
      <c r="M8" s="13">
        <f t="shared" si="4"/>
        <v>-11327.58</v>
      </c>
      <c r="N8" s="13">
        <f t="shared" si="4"/>
        <v>-11327.58</v>
      </c>
      <c r="O8" s="13">
        <f t="shared" si="4"/>
        <v>-11327.58</v>
      </c>
      <c r="P8" s="13">
        <f t="shared" si="4"/>
        <v>-11327.58</v>
      </c>
      <c r="Q8" s="13">
        <f t="shared" si="4"/>
        <v>-11327.58</v>
      </c>
      <c r="R8" s="13">
        <f t="shared" si="4"/>
        <v>-11327.58</v>
      </c>
      <c r="S8" s="13">
        <f t="shared" si="4"/>
        <v>-11327.58</v>
      </c>
      <c r="T8" s="13">
        <f t="shared" si="4"/>
        <v>-11327.58</v>
      </c>
    </row>
    <row r="9" spans="1:154" x14ac:dyDescent="0.25">
      <c r="C9" s="2" t="s">
        <v>49</v>
      </c>
      <c r="D9" s="13">
        <v>-296</v>
      </c>
      <c r="E9" s="13">
        <v>-1514</v>
      </c>
      <c r="F9" s="13">
        <v>-1580</v>
      </c>
      <c r="G9" s="13">
        <v>-1755</v>
      </c>
      <c r="H9" s="13">
        <v>-1924</v>
      </c>
      <c r="I9" s="13">
        <v>-2159</v>
      </c>
      <c r="J9" s="14">
        <v>-2353</v>
      </c>
      <c r="K9" s="13">
        <f t="shared" si="4"/>
        <v>-2353</v>
      </c>
      <c r="L9" s="13">
        <f t="shared" si="4"/>
        <v>-2353</v>
      </c>
      <c r="M9" s="13">
        <f t="shared" si="4"/>
        <v>-2353</v>
      </c>
      <c r="N9" s="13">
        <f t="shared" si="4"/>
        <v>-2353</v>
      </c>
      <c r="O9" s="13">
        <f t="shared" si="4"/>
        <v>-2353</v>
      </c>
      <c r="P9" s="13">
        <f t="shared" si="4"/>
        <v>-2353</v>
      </c>
      <c r="Q9" s="13">
        <f t="shared" si="4"/>
        <v>-2353</v>
      </c>
      <c r="R9" s="13">
        <f t="shared" si="4"/>
        <v>-2353</v>
      </c>
      <c r="S9" s="13">
        <f t="shared" si="4"/>
        <v>-2353</v>
      </c>
      <c r="T9" s="13">
        <f t="shared" si="4"/>
        <v>-2353</v>
      </c>
    </row>
    <row r="10" spans="1:154" x14ac:dyDescent="0.25">
      <c r="C10" s="2" t="s">
        <v>50</v>
      </c>
      <c r="D10" s="13">
        <v>1</v>
      </c>
      <c r="E10" s="13">
        <v>36</v>
      </c>
      <c r="F10" s="13">
        <v>-7</v>
      </c>
      <c r="G10" s="13">
        <v>-67</v>
      </c>
      <c r="H10" s="13">
        <v>-49</v>
      </c>
      <c r="I10" s="13">
        <v>-21</v>
      </c>
      <c r="J10" s="14">
        <v>-27</v>
      </c>
      <c r="K10" s="13">
        <f t="shared" si="4"/>
        <v>-27</v>
      </c>
      <c r="L10" s="13">
        <f t="shared" si="4"/>
        <v>-27</v>
      </c>
      <c r="M10" s="13">
        <f t="shared" si="4"/>
        <v>-27</v>
      </c>
      <c r="N10" s="13">
        <f t="shared" si="4"/>
        <v>-27</v>
      </c>
      <c r="O10" s="13">
        <f t="shared" si="4"/>
        <v>-27</v>
      </c>
      <c r="P10" s="13">
        <f t="shared" si="4"/>
        <v>-27</v>
      </c>
      <c r="Q10" s="13">
        <f t="shared" si="4"/>
        <v>-27</v>
      </c>
      <c r="R10" s="13">
        <f t="shared" si="4"/>
        <v>-27</v>
      </c>
      <c r="S10" s="13">
        <f t="shared" si="4"/>
        <v>-27</v>
      </c>
      <c r="T10" s="13">
        <f t="shared" si="4"/>
        <v>-27</v>
      </c>
    </row>
    <row r="11" spans="1:154" x14ac:dyDescent="0.25">
      <c r="C11" s="2" t="s">
        <v>16</v>
      </c>
      <c r="D11" s="13">
        <f t="shared" ref="D11:T11" si="5">D5+D7+D8+D9+D10</f>
        <v>-11081</v>
      </c>
      <c r="E11" s="13">
        <f t="shared" si="5"/>
        <v>-11299</v>
      </c>
      <c r="F11" s="13">
        <f t="shared" si="5"/>
        <v>-12165</v>
      </c>
      <c r="G11" s="13">
        <f t="shared" si="5"/>
        <v>-13114</v>
      </c>
      <c r="H11" s="13">
        <f t="shared" si="5"/>
        <v>-14270</v>
      </c>
      <c r="I11" s="13">
        <f t="shared" si="5"/>
        <v>-15842</v>
      </c>
      <c r="J11" s="14">
        <f t="shared" si="5"/>
        <v>-17267</v>
      </c>
      <c r="K11" s="13">
        <f t="shared" si="5"/>
        <v>-17416.669999999998</v>
      </c>
      <c r="L11" s="13">
        <f t="shared" si="5"/>
        <v>-17416.669999999998</v>
      </c>
      <c r="M11" s="13">
        <f t="shared" si="5"/>
        <v>-17416.669999999998</v>
      </c>
      <c r="N11" s="13">
        <f t="shared" si="5"/>
        <v>-17416.669999999998</v>
      </c>
      <c r="O11" s="13">
        <f t="shared" si="5"/>
        <v>-17416.669999999998</v>
      </c>
      <c r="P11" s="13">
        <f t="shared" si="5"/>
        <v>-17416.669999999998</v>
      </c>
      <c r="Q11" s="13">
        <f t="shared" si="5"/>
        <v>-17416.669999999998</v>
      </c>
      <c r="R11" s="13">
        <f t="shared" si="5"/>
        <v>-17416.669999999998</v>
      </c>
      <c r="S11" s="13">
        <f t="shared" si="5"/>
        <v>-17416.669999999998</v>
      </c>
      <c r="T11" s="13">
        <f t="shared" si="5"/>
        <v>-17416.669999999998</v>
      </c>
    </row>
    <row r="12" spans="1:154" x14ac:dyDescent="0.25">
      <c r="C12" s="1" t="s">
        <v>17</v>
      </c>
      <c r="D12" s="11">
        <f t="shared" ref="D12:T12" si="6">D4+D11</f>
        <v>634</v>
      </c>
      <c r="E12" s="11">
        <f t="shared" si="6"/>
        <v>972</v>
      </c>
      <c r="F12" s="11">
        <f t="shared" si="6"/>
        <v>1175</v>
      </c>
      <c r="G12" s="11">
        <f t="shared" si="6"/>
        <v>1225</v>
      </c>
      <c r="H12" s="11">
        <f t="shared" si="6"/>
        <v>1269</v>
      </c>
      <c r="I12" s="11">
        <f t="shared" si="6"/>
        <v>1490</v>
      </c>
      <c r="J12" s="12">
        <f t="shared" si="6"/>
        <v>1755</v>
      </c>
      <c r="K12" s="11">
        <f t="shared" si="6"/>
        <v>1605.3300000000017</v>
      </c>
      <c r="L12" s="11">
        <f t="shared" si="6"/>
        <v>1605.3300000000017</v>
      </c>
      <c r="M12" s="11">
        <f t="shared" si="6"/>
        <v>1605.3300000000017</v>
      </c>
      <c r="N12" s="11">
        <f t="shared" si="6"/>
        <v>1605.3300000000017</v>
      </c>
      <c r="O12" s="11">
        <f t="shared" si="6"/>
        <v>1605.3300000000017</v>
      </c>
      <c r="P12" s="11">
        <f t="shared" si="6"/>
        <v>1605.3300000000017</v>
      </c>
      <c r="Q12" s="11">
        <f t="shared" si="6"/>
        <v>1605.3300000000017</v>
      </c>
      <c r="R12" s="11">
        <f t="shared" si="6"/>
        <v>1605.3300000000017</v>
      </c>
      <c r="S12" s="11">
        <f t="shared" si="6"/>
        <v>1605.3300000000017</v>
      </c>
      <c r="T12" s="11">
        <f t="shared" si="6"/>
        <v>1605.3300000000017</v>
      </c>
    </row>
    <row r="13" spans="1:154" x14ac:dyDescent="0.25">
      <c r="C13" s="2" t="s">
        <v>18</v>
      </c>
      <c r="D13" s="13">
        <v>-69</v>
      </c>
      <c r="E13" s="13">
        <v>-417</v>
      </c>
      <c r="F13" s="13">
        <v>-402</v>
      </c>
      <c r="G13" s="13">
        <f>1-441</f>
        <v>-440</v>
      </c>
      <c r="H13" s="13">
        <f>33-543</f>
        <v>-510</v>
      </c>
      <c r="I13" s="13">
        <f>22-687</f>
        <v>-665</v>
      </c>
      <c r="J13" s="14">
        <v>-710</v>
      </c>
      <c r="K13" s="13">
        <f>J13*1.05</f>
        <v>-745.5</v>
      </c>
      <c r="L13" s="13">
        <f>K13*1.03</f>
        <v>-767.86500000000001</v>
      </c>
      <c r="M13" s="13">
        <f t="shared" ref="M13:T13" si="7">L13*1.03</f>
        <v>-790.90095000000008</v>
      </c>
      <c r="N13" s="13">
        <f t="shared" si="7"/>
        <v>-814.62797850000015</v>
      </c>
      <c r="O13" s="13">
        <f t="shared" si="7"/>
        <v>-839.06681785500018</v>
      </c>
      <c r="P13" s="13">
        <f t="shared" si="7"/>
        <v>-864.23882239065017</v>
      </c>
      <c r="Q13" s="13">
        <f t="shared" si="7"/>
        <v>-890.16598706236971</v>
      </c>
      <c r="R13" s="13">
        <f t="shared" si="7"/>
        <v>-916.87096667424078</v>
      </c>
      <c r="S13" s="13">
        <f t="shared" si="7"/>
        <v>-944.37709567446802</v>
      </c>
      <c r="T13" s="13">
        <f t="shared" si="7"/>
        <v>-972.70840854470214</v>
      </c>
    </row>
    <row r="14" spans="1:154" x14ac:dyDescent="0.25">
      <c r="C14" s="2" t="s">
        <v>19</v>
      </c>
      <c r="D14" s="13">
        <f t="shared" ref="D14:T14" si="8">SUM(D12:D13)</f>
        <v>565</v>
      </c>
      <c r="E14" s="13">
        <f t="shared" si="8"/>
        <v>555</v>
      </c>
      <c r="F14" s="13">
        <f t="shared" si="8"/>
        <v>773</v>
      </c>
      <c r="G14" s="13">
        <f t="shared" si="8"/>
        <v>785</v>
      </c>
      <c r="H14" s="13">
        <f t="shared" si="8"/>
        <v>759</v>
      </c>
      <c r="I14" s="13">
        <f t="shared" si="8"/>
        <v>825</v>
      </c>
      <c r="J14" s="14">
        <f t="shared" si="8"/>
        <v>1045</v>
      </c>
      <c r="K14" s="13">
        <f t="shared" si="8"/>
        <v>859.83000000000175</v>
      </c>
      <c r="L14" s="13">
        <f t="shared" si="8"/>
        <v>837.46500000000174</v>
      </c>
      <c r="M14" s="13">
        <f t="shared" si="8"/>
        <v>814.42905000000167</v>
      </c>
      <c r="N14" s="13">
        <f t="shared" si="8"/>
        <v>790.70202150000159</v>
      </c>
      <c r="O14" s="13">
        <f t="shared" si="8"/>
        <v>766.26318214500157</v>
      </c>
      <c r="P14" s="13">
        <f t="shared" si="8"/>
        <v>741.09117760935158</v>
      </c>
      <c r="Q14" s="13">
        <f t="shared" si="8"/>
        <v>715.16401293763204</v>
      </c>
      <c r="R14" s="13">
        <f t="shared" si="8"/>
        <v>688.45903332576097</v>
      </c>
      <c r="S14" s="13">
        <f t="shared" si="8"/>
        <v>660.95290432553372</v>
      </c>
      <c r="T14" s="13">
        <f t="shared" si="8"/>
        <v>632.62159145529961</v>
      </c>
    </row>
    <row r="15" spans="1:154" x14ac:dyDescent="0.25">
      <c r="C15" s="2" t="s">
        <v>51</v>
      </c>
      <c r="D15" s="13">
        <v>-136</v>
      </c>
      <c r="E15" s="13">
        <v>-125</v>
      </c>
      <c r="F15" s="13">
        <v>-173</v>
      </c>
      <c r="G15" s="13">
        <v>-179</v>
      </c>
      <c r="H15" s="13">
        <v>-181</v>
      </c>
      <c r="I15" s="13">
        <v>-193</v>
      </c>
      <c r="J15" s="14">
        <v>-222</v>
      </c>
      <c r="K15" s="13">
        <f t="shared" ref="K15:T15" si="9">K14*-0.22</f>
        <v>-189.1626000000004</v>
      </c>
      <c r="L15" s="13">
        <f t="shared" si="9"/>
        <v>-184.24230000000037</v>
      </c>
      <c r="M15" s="13">
        <f t="shared" si="9"/>
        <v>-179.17439100000036</v>
      </c>
      <c r="N15" s="13">
        <f t="shared" si="9"/>
        <v>-173.95444473000035</v>
      </c>
      <c r="O15" s="13">
        <f t="shared" si="9"/>
        <v>-168.57790007190036</v>
      </c>
      <c r="P15" s="13">
        <f t="shared" si="9"/>
        <v>-163.04005907405735</v>
      </c>
      <c r="Q15" s="13">
        <f t="shared" si="9"/>
        <v>-157.33608284627906</v>
      </c>
      <c r="R15" s="13">
        <f t="shared" si="9"/>
        <v>-151.46098733166741</v>
      </c>
      <c r="S15" s="13">
        <f t="shared" si="9"/>
        <v>-145.40963895161741</v>
      </c>
      <c r="T15" s="13">
        <f t="shared" si="9"/>
        <v>-139.17675012016591</v>
      </c>
    </row>
    <row r="16" spans="1:154" x14ac:dyDescent="0.25">
      <c r="C16" s="1" t="s">
        <v>20</v>
      </c>
      <c r="D16" s="11">
        <f t="shared" ref="D16:T16" si="10">SUM(D14:D15)</f>
        <v>429</v>
      </c>
      <c r="E16" s="11">
        <f t="shared" si="10"/>
        <v>430</v>
      </c>
      <c r="F16" s="11">
        <f t="shared" si="10"/>
        <v>600</v>
      </c>
      <c r="G16" s="11">
        <f t="shared" si="10"/>
        <v>606</v>
      </c>
      <c r="H16" s="11">
        <f t="shared" si="10"/>
        <v>578</v>
      </c>
      <c r="I16" s="11">
        <f t="shared" si="10"/>
        <v>632</v>
      </c>
      <c r="J16" s="12">
        <f t="shared" si="10"/>
        <v>823</v>
      </c>
      <c r="K16" s="11">
        <f t="shared" si="10"/>
        <v>670.66740000000141</v>
      </c>
      <c r="L16" s="11">
        <f t="shared" si="10"/>
        <v>653.2227000000014</v>
      </c>
      <c r="M16" s="11">
        <f t="shared" si="10"/>
        <v>635.25465900000131</v>
      </c>
      <c r="N16" s="11">
        <f t="shared" si="10"/>
        <v>616.74757677000127</v>
      </c>
      <c r="O16" s="11">
        <f t="shared" si="10"/>
        <v>597.68528207310123</v>
      </c>
      <c r="P16" s="11">
        <f t="shared" si="10"/>
        <v>578.05111853529422</v>
      </c>
      <c r="Q16" s="11">
        <f t="shared" si="10"/>
        <v>557.82793009135298</v>
      </c>
      <c r="R16" s="11">
        <f t="shared" si="10"/>
        <v>536.99804599409356</v>
      </c>
      <c r="S16" s="11">
        <f t="shared" si="10"/>
        <v>515.54326537391626</v>
      </c>
      <c r="T16" s="11">
        <f t="shared" si="10"/>
        <v>493.44484133513367</v>
      </c>
      <c r="U16" s="11">
        <f>T16*(1+$W$20)</f>
        <v>488.51039292178234</v>
      </c>
      <c r="V16" s="11">
        <f t="shared" ref="V16:CG16" si="11">U16*(1+$W$20)</f>
        <v>483.62528899256449</v>
      </c>
      <c r="W16" s="11">
        <f t="shared" si="11"/>
        <v>478.78903610263882</v>
      </c>
      <c r="X16" s="11">
        <f t="shared" si="11"/>
        <v>474.00114574161245</v>
      </c>
      <c r="Y16" s="11">
        <f t="shared" si="11"/>
        <v>469.26113428419632</v>
      </c>
      <c r="Z16" s="11">
        <f t="shared" si="11"/>
        <v>464.56852294135433</v>
      </c>
      <c r="AA16" s="11">
        <f t="shared" si="11"/>
        <v>459.92283771194076</v>
      </c>
      <c r="AB16" s="11">
        <f t="shared" si="11"/>
        <v>455.32360933482136</v>
      </c>
      <c r="AC16" s="11">
        <f t="shared" si="11"/>
        <v>450.77037324147312</v>
      </c>
      <c r="AD16" s="11">
        <f t="shared" si="11"/>
        <v>446.26266950905841</v>
      </c>
      <c r="AE16" s="11">
        <f t="shared" si="11"/>
        <v>441.80004281396782</v>
      </c>
      <c r="AF16" s="11">
        <f t="shared" si="11"/>
        <v>437.38204238582813</v>
      </c>
      <c r="AG16" s="11">
        <f t="shared" si="11"/>
        <v>433.00822196196987</v>
      </c>
      <c r="AH16" s="11">
        <f t="shared" si="11"/>
        <v>428.67813974235014</v>
      </c>
      <c r="AI16" s="11">
        <f t="shared" si="11"/>
        <v>424.39135834492663</v>
      </c>
      <c r="AJ16" s="11">
        <f t="shared" si="11"/>
        <v>420.14744476147735</v>
      </c>
      <c r="AK16" s="11">
        <f t="shared" si="11"/>
        <v>415.94597031386257</v>
      </c>
      <c r="AL16" s="11">
        <f t="shared" si="11"/>
        <v>411.78651061072395</v>
      </c>
      <c r="AM16" s="11">
        <f t="shared" si="11"/>
        <v>407.66864550461673</v>
      </c>
      <c r="AN16" s="11">
        <f t="shared" si="11"/>
        <v>403.59195904957056</v>
      </c>
      <c r="AO16" s="11">
        <f t="shared" si="11"/>
        <v>399.55603945907484</v>
      </c>
      <c r="AP16" s="11">
        <f t="shared" si="11"/>
        <v>395.56047906448407</v>
      </c>
      <c r="AQ16" s="11">
        <f t="shared" si="11"/>
        <v>391.60487427383924</v>
      </c>
      <c r="AR16" s="11">
        <f t="shared" si="11"/>
        <v>387.68882553110086</v>
      </c>
      <c r="AS16" s="11">
        <f t="shared" si="11"/>
        <v>383.81193727578983</v>
      </c>
      <c r="AT16" s="11">
        <f t="shared" si="11"/>
        <v>379.97381790303194</v>
      </c>
      <c r="AU16" s="11">
        <f t="shared" si="11"/>
        <v>376.17407972400161</v>
      </c>
      <c r="AV16" s="11">
        <f t="shared" si="11"/>
        <v>372.41233892676161</v>
      </c>
      <c r="AW16" s="11">
        <f t="shared" si="11"/>
        <v>368.68821553749399</v>
      </c>
      <c r="AX16" s="11">
        <f t="shared" si="11"/>
        <v>365.00133338211907</v>
      </c>
      <c r="AY16" s="11">
        <f t="shared" si="11"/>
        <v>361.35132004829785</v>
      </c>
      <c r="AZ16" s="11">
        <f t="shared" si="11"/>
        <v>357.73780684781485</v>
      </c>
      <c r="BA16" s="11">
        <f t="shared" si="11"/>
        <v>354.16042877933671</v>
      </c>
      <c r="BB16" s="11">
        <f t="shared" si="11"/>
        <v>350.61882449154336</v>
      </c>
      <c r="BC16" s="11">
        <f t="shared" si="11"/>
        <v>347.11263624662791</v>
      </c>
      <c r="BD16" s="11">
        <f t="shared" si="11"/>
        <v>343.64150988416162</v>
      </c>
      <c r="BE16" s="11">
        <f t="shared" si="11"/>
        <v>340.20509478532</v>
      </c>
      <c r="BF16" s="11">
        <f t="shared" si="11"/>
        <v>336.80304383746682</v>
      </c>
      <c r="BG16" s="11">
        <f t="shared" si="11"/>
        <v>333.43501339909216</v>
      </c>
      <c r="BH16" s="11">
        <f t="shared" si="11"/>
        <v>330.10066326510122</v>
      </c>
      <c r="BI16" s="11">
        <f t="shared" si="11"/>
        <v>326.79965663245019</v>
      </c>
      <c r="BJ16" s="11">
        <f t="shared" si="11"/>
        <v>323.53166006612571</v>
      </c>
      <c r="BK16" s="11">
        <f t="shared" si="11"/>
        <v>320.29634346546447</v>
      </c>
      <c r="BL16" s="11">
        <f t="shared" si="11"/>
        <v>317.09338003080984</v>
      </c>
      <c r="BM16" s="11">
        <f t="shared" si="11"/>
        <v>313.92244623050175</v>
      </c>
      <c r="BN16" s="11">
        <f t="shared" si="11"/>
        <v>310.78322176819671</v>
      </c>
      <c r="BO16" s="11">
        <f t="shared" si="11"/>
        <v>307.67538955051475</v>
      </c>
      <c r="BP16" s="11">
        <f t="shared" si="11"/>
        <v>304.59863565500962</v>
      </c>
      <c r="BQ16" s="11">
        <f t="shared" si="11"/>
        <v>301.55264929845953</v>
      </c>
      <c r="BR16" s="11">
        <f t="shared" si="11"/>
        <v>298.53712280547495</v>
      </c>
      <c r="BS16" s="11">
        <f t="shared" si="11"/>
        <v>295.55175157742019</v>
      </c>
      <c r="BT16" s="11">
        <f t="shared" si="11"/>
        <v>292.59623406164599</v>
      </c>
      <c r="BU16" s="11">
        <f t="shared" si="11"/>
        <v>289.67027172102951</v>
      </c>
      <c r="BV16" s="11">
        <f t="shared" si="11"/>
        <v>286.7735690038192</v>
      </c>
      <c r="BW16" s="11">
        <f t="shared" si="11"/>
        <v>283.90583331378099</v>
      </c>
      <c r="BX16" s="11">
        <f t="shared" si="11"/>
        <v>281.06677498064317</v>
      </c>
      <c r="BY16" s="11">
        <f t="shared" si="11"/>
        <v>278.25610723083673</v>
      </c>
      <c r="BZ16" s="11">
        <f t="shared" si="11"/>
        <v>275.47354615852834</v>
      </c>
      <c r="CA16" s="11">
        <f t="shared" si="11"/>
        <v>272.71881069694302</v>
      </c>
      <c r="CB16" s="11">
        <f t="shared" si="11"/>
        <v>269.99162258997359</v>
      </c>
      <c r="CC16" s="11">
        <f t="shared" si="11"/>
        <v>267.29170636407383</v>
      </c>
      <c r="CD16" s="11">
        <f t="shared" si="11"/>
        <v>264.61878930043309</v>
      </c>
      <c r="CE16" s="11">
        <f t="shared" si="11"/>
        <v>261.97260140742878</v>
      </c>
      <c r="CF16" s="11">
        <f t="shared" si="11"/>
        <v>259.35287539335451</v>
      </c>
      <c r="CG16" s="11">
        <f t="shared" si="11"/>
        <v>256.75934663942098</v>
      </c>
      <c r="CH16" s="11">
        <f t="shared" ref="CH16:ES16" si="12">CG16*(1+$W$20)</f>
        <v>254.19175317302677</v>
      </c>
      <c r="CI16" s="11">
        <f t="shared" si="12"/>
        <v>251.64983564129651</v>
      </c>
      <c r="CJ16" s="11">
        <f t="shared" si="12"/>
        <v>249.13333728488354</v>
      </c>
      <c r="CK16" s="11">
        <f t="shared" si="12"/>
        <v>246.64200391203471</v>
      </c>
      <c r="CL16" s="11">
        <f t="shared" si="12"/>
        <v>244.17558387291436</v>
      </c>
      <c r="CM16" s="11">
        <f t="shared" si="12"/>
        <v>241.73382803418522</v>
      </c>
      <c r="CN16" s="11">
        <f t="shared" si="12"/>
        <v>239.31648975384337</v>
      </c>
      <c r="CO16" s="11">
        <f t="shared" si="12"/>
        <v>236.92332485630493</v>
      </c>
      <c r="CP16" s="11">
        <f t="shared" si="12"/>
        <v>234.55409160774187</v>
      </c>
      <c r="CQ16" s="11">
        <f t="shared" si="12"/>
        <v>232.20855069166444</v>
      </c>
      <c r="CR16" s="11">
        <f t="shared" si="12"/>
        <v>229.88646518474781</v>
      </c>
      <c r="CS16" s="11">
        <f t="shared" si="12"/>
        <v>227.58760053290032</v>
      </c>
      <c r="CT16" s="11">
        <f t="shared" si="12"/>
        <v>225.31172452757133</v>
      </c>
      <c r="CU16" s="11">
        <f t="shared" si="12"/>
        <v>223.05860728229561</v>
      </c>
      <c r="CV16" s="11">
        <f t="shared" si="12"/>
        <v>220.82802120947267</v>
      </c>
      <c r="CW16" s="11">
        <f t="shared" si="12"/>
        <v>218.61974099737793</v>
      </c>
      <c r="CX16" s="11">
        <f t="shared" si="12"/>
        <v>216.43354358740416</v>
      </c>
      <c r="CY16" s="11">
        <f t="shared" si="12"/>
        <v>214.26920815153011</v>
      </c>
      <c r="CZ16" s="11">
        <f t="shared" si="12"/>
        <v>212.12651607001482</v>
      </c>
      <c r="DA16" s="11">
        <f t="shared" si="12"/>
        <v>210.00525090931467</v>
      </c>
      <c r="DB16" s="11">
        <f t="shared" si="12"/>
        <v>207.90519840022151</v>
      </c>
      <c r="DC16" s="11">
        <f t="shared" si="12"/>
        <v>205.8261464162193</v>
      </c>
      <c r="DD16" s="11">
        <f t="shared" si="12"/>
        <v>203.7678849520571</v>
      </c>
      <c r="DE16" s="11">
        <f t="shared" si="12"/>
        <v>201.73020610253653</v>
      </c>
      <c r="DF16" s="11">
        <f t="shared" si="12"/>
        <v>199.71290404151117</v>
      </c>
      <c r="DG16" s="11">
        <f t="shared" si="12"/>
        <v>197.71577500109606</v>
      </c>
      <c r="DH16" s="11">
        <f t="shared" si="12"/>
        <v>195.73861725108509</v>
      </c>
      <c r="DI16" s="11">
        <f t="shared" si="12"/>
        <v>193.78123107857422</v>
      </c>
      <c r="DJ16" s="11">
        <f t="shared" si="12"/>
        <v>191.84341876778848</v>
      </c>
      <c r="DK16" s="11">
        <f t="shared" si="12"/>
        <v>189.92498458011059</v>
      </c>
      <c r="DL16" s="11">
        <f t="shared" si="12"/>
        <v>188.02573473430948</v>
      </c>
      <c r="DM16" s="11">
        <f t="shared" si="12"/>
        <v>186.14547738696638</v>
      </c>
      <c r="DN16" s="11">
        <f t="shared" si="12"/>
        <v>184.28402261309671</v>
      </c>
      <c r="DO16" s="11">
        <f t="shared" si="12"/>
        <v>182.44118238696575</v>
      </c>
      <c r="DP16" s="11">
        <f t="shared" si="12"/>
        <v>180.61677056309608</v>
      </c>
      <c r="DQ16" s="11">
        <f t="shared" si="12"/>
        <v>178.81060285746511</v>
      </c>
      <c r="DR16" s="11">
        <f t="shared" si="12"/>
        <v>177.02249682889047</v>
      </c>
      <c r="DS16" s="11">
        <f t="shared" si="12"/>
        <v>175.25227186060155</v>
      </c>
      <c r="DT16" s="11">
        <f t="shared" si="12"/>
        <v>173.49974914199552</v>
      </c>
      <c r="DU16" s="11">
        <f t="shared" si="12"/>
        <v>171.76475165057556</v>
      </c>
      <c r="DV16" s="11">
        <f t="shared" si="12"/>
        <v>170.0471041340698</v>
      </c>
      <c r="DW16" s="11">
        <f t="shared" si="12"/>
        <v>168.34663309272909</v>
      </c>
      <c r="DX16" s="11">
        <f t="shared" si="12"/>
        <v>166.66316676180179</v>
      </c>
      <c r="DY16" s="11">
        <f t="shared" si="12"/>
        <v>164.99653509418377</v>
      </c>
      <c r="DZ16" s="11">
        <f t="shared" si="12"/>
        <v>163.34656974324193</v>
      </c>
      <c r="EA16" s="11">
        <f t="shared" si="12"/>
        <v>161.7131040458095</v>
      </c>
      <c r="EB16" s="11">
        <f t="shared" si="12"/>
        <v>160.0959730053514</v>
      </c>
      <c r="EC16" s="11">
        <f t="shared" si="12"/>
        <v>158.49501327529788</v>
      </c>
      <c r="ED16" s="11">
        <f t="shared" si="12"/>
        <v>156.91006314254489</v>
      </c>
      <c r="EE16" s="11">
        <f t="shared" si="12"/>
        <v>155.34096251111944</v>
      </c>
      <c r="EF16" s="11">
        <f t="shared" si="12"/>
        <v>153.78755288600826</v>
      </c>
      <c r="EG16" s="11">
        <f t="shared" si="12"/>
        <v>152.24967735714819</v>
      </c>
      <c r="EH16" s="11">
        <f t="shared" si="12"/>
        <v>150.72718058357671</v>
      </c>
      <c r="EI16" s="11">
        <f t="shared" si="12"/>
        <v>149.21990877774095</v>
      </c>
      <c r="EJ16" s="11">
        <f t="shared" si="12"/>
        <v>147.72770968996355</v>
      </c>
      <c r="EK16" s="11">
        <f t="shared" si="12"/>
        <v>146.25043259306392</v>
      </c>
      <c r="EL16" s="11">
        <f t="shared" si="12"/>
        <v>144.78792826713328</v>
      </c>
      <c r="EM16" s="11">
        <f t="shared" si="12"/>
        <v>143.34004898446196</v>
      </c>
      <c r="EN16" s="11">
        <f t="shared" si="12"/>
        <v>141.90664849461734</v>
      </c>
      <c r="EO16" s="11">
        <f t="shared" si="12"/>
        <v>140.48758200967117</v>
      </c>
      <c r="EP16" s="11">
        <f t="shared" si="12"/>
        <v>139.08270618957445</v>
      </c>
      <c r="EQ16" s="11">
        <f t="shared" si="12"/>
        <v>137.6918791276787</v>
      </c>
      <c r="ER16" s="11">
        <f t="shared" si="12"/>
        <v>136.31496033640192</v>
      </c>
      <c r="ES16" s="11">
        <f t="shared" si="12"/>
        <v>134.95181073303792</v>
      </c>
      <c r="ET16" s="11">
        <f t="shared" ref="ET16:EX16" si="13">ES16*(1+$W$20)</f>
        <v>133.60229262570755</v>
      </c>
      <c r="EU16" s="11">
        <f t="shared" si="13"/>
        <v>132.26626969945048</v>
      </c>
      <c r="EV16" s="11">
        <f t="shared" si="13"/>
        <v>130.94360700245596</v>
      </c>
      <c r="EW16" s="11">
        <f t="shared" si="13"/>
        <v>129.6341709324314</v>
      </c>
      <c r="EX16" s="11">
        <f t="shared" si="13"/>
        <v>128.33782922310709</v>
      </c>
    </row>
    <row r="17" spans="3:23" x14ac:dyDescent="0.25">
      <c r="C17" s="2" t="s">
        <v>21</v>
      </c>
      <c r="D17" s="2">
        <v>105.5</v>
      </c>
      <c r="E17" s="2">
        <v>105.5</v>
      </c>
      <c r="F17" s="2">
        <v>105.5</v>
      </c>
      <c r="G17" s="2">
        <v>105.5</v>
      </c>
      <c r="H17" s="8">
        <v>105.587362</v>
      </c>
      <c r="I17" s="8">
        <v>101.491694</v>
      </c>
      <c r="J17" s="4">
        <v>105.5</v>
      </c>
      <c r="K17" s="2">
        <v>105.5</v>
      </c>
      <c r="L17" s="2">
        <v>105.5</v>
      </c>
      <c r="M17" s="2">
        <v>105.5</v>
      </c>
      <c r="N17" s="2">
        <v>105.5</v>
      </c>
      <c r="O17" s="2">
        <v>105.5</v>
      </c>
      <c r="P17" s="2">
        <v>105.5</v>
      </c>
      <c r="Q17" s="2">
        <v>105.5</v>
      </c>
      <c r="R17" s="2">
        <v>105.5</v>
      </c>
      <c r="S17" s="2">
        <v>105.5</v>
      </c>
      <c r="T17" s="2">
        <v>105.5</v>
      </c>
    </row>
    <row r="18" spans="3:23" x14ac:dyDescent="0.25">
      <c r="C18" s="2" t="s">
        <v>22</v>
      </c>
      <c r="D18" s="18">
        <f t="shared" ref="D18:I18" si="14">D16/D17</f>
        <v>4.0663507109004735</v>
      </c>
      <c r="E18" s="18">
        <f t="shared" si="14"/>
        <v>4.0758293838862558</v>
      </c>
      <c r="F18" s="18">
        <f t="shared" si="14"/>
        <v>5.6872037914691944</v>
      </c>
      <c r="G18" s="18">
        <f t="shared" si="14"/>
        <v>5.7440758293838865</v>
      </c>
      <c r="H18" s="18">
        <f t="shared" si="14"/>
        <v>5.4741399827755899</v>
      </c>
      <c r="I18" s="18">
        <f t="shared" si="14"/>
        <v>6.2271105653237004</v>
      </c>
      <c r="J18" s="20">
        <f>J16/J17</f>
        <v>7.8009478672985786</v>
      </c>
      <c r="K18" s="18">
        <f t="shared" ref="K18:T18" si="15">K16/K17</f>
        <v>6.3570369668246576</v>
      </c>
      <c r="L18" s="18">
        <f t="shared" si="15"/>
        <v>6.191684360189587</v>
      </c>
      <c r="M18" s="18">
        <f t="shared" si="15"/>
        <v>6.0213711753554628</v>
      </c>
      <c r="N18" s="18">
        <f t="shared" si="15"/>
        <v>5.8459485949763152</v>
      </c>
      <c r="O18" s="18">
        <f t="shared" si="15"/>
        <v>5.6652633371857934</v>
      </c>
      <c r="P18" s="18">
        <f t="shared" si="15"/>
        <v>5.4791575216615565</v>
      </c>
      <c r="Q18" s="18">
        <f t="shared" si="15"/>
        <v>5.2874685316715926</v>
      </c>
      <c r="R18" s="18">
        <f t="shared" si="15"/>
        <v>5.0900288719819295</v>
      </c>
      <c r="S18" s="18">
        <f t="shared" si="15"/>
        <v>4.8866660225015757</v>
      </c>
      <c r="T18" s="18">
        <f t="shared" si="15"/>
        <v>4.6772022875368124</v>
      </c>
    </row>
    <row r="19" spans="3:23" x14ac:dyDescent="0.25">
      <c r="J19" s="4"/>
      <c r="V19" s="2" t="s">
        <v>106</v>
      </c>
      <c r="W19" s="25">
        <v>0.08</v>
      </c>
    </row>
    <row r="20" spans="3:23" x14ac:dyDescent="0.25">
      <c r="C20" s="1" t="s">
        <v>3</v>
      </c>
      <c r="D20" s="17"/>
      <c r="E20" s="17">
        <f t="shared" ref="E20:H20" si="16">(E4-D4)/D4</f>
        <v>4.746052069995732E-2</v>
      </c>
      <c r="F20" s="17">
        <f t="shared" si="16"/>
        <v>8.7115964469073423E-2</v>
      </c>
      <c r="G20" s="17">
        <f t="shared" si="16"/>
        <v>7.4887556221889057E-2</v>
      </c>
      <c r="H20" s="17">
        <f t="shared" si="16"/>
        <v>8.3687844340609524E-2</v>
      </c>
      <c r="I20" s="17">
        <f>(I4-H4)/H4</f>
        <v>0.1153870905463672</v>
      </c>
      <c r="J20" s="21">
        <f t="shared" ref="J20:T20" si="17">(J4-I4)/I4</f>
        <v>9.7507500576967457E-2</v>
      </c>
      <c r="K20" s="17">
        <f t="shared" si="17"/>
        <v>0</v>
      </c>
      <c r="L20" s="17">
        <f t="shared" si="17"/>
        <v>0</v>
      </c>
      <c r="M20" s="17">
        <f t="shared" si="17"/>
        <v>0</v>
      </c>
      <c r="N20" s="17">
        <f t="shared" si="17"/>
        <v>0</v>
      </c>
      <c r="O20" s="17">
        <f t="shared" si="17"/>
        <v>0</v>
      </c>
      <c r="P20" s="17">
        <f t="shared" si="17"/>
        <v>0</v>
      </c>
      <c r="Q20" s="17">
        <f t="shared" si="17"/>
        <v>0</v>
      </c>
      <c r="R20" s="17">
        <f t="shared" si="17"/>
        <v>0</v>
      </c>
      <c r="S20" s="17">
        <f t="shared" si="17"/>
        <v>0</v>
      </c>
      <c r="T20" s="17">
        <f t="shared" si="17"/>
        <v>0</v>
      </c>
      <c r="V20" s="2" t="s">
        <v>107</v>
      </c>
      <c r="W20" s="25">
        <v>-0.01</v>
      </c>
    </row>
    <row r="21" spans="3:23" x14ac:dyDescent="0.25">
      <c r="C21" s="2" t="s">
        <v>52</v>
      </c>
      <c r="D21" s="19"/>
      <c r="E21" s="19">
        <f t="shared" ref="E21:H21" si="18">(E11-D11)/D11</f>
        <v>1.9673314682790363E-2</v>
      </c>
      <c r="F21" s="19">
        <f t="shared" si="18"/>
        <v>7.6643950792105495E-2</v>
      </c>
      <c r="G21" s="19">
        <f t="shared" si="18"/>
        <v>7.8010686395396628E-2</v>
      </c>
      <c r="H21" s="19">
        <f t="shared" si="18"/>
        <v>8.8150068628946171E-2</v>
      </c>
      <c r="I21" s="19">
        <f>(I11-H11)/H11</f>
        <v>0.11016117729502453</v>
      </c>
      <c r="J21" s="22">
        <f t="shared" ref="J21:T21" si="19">(J11-I11)/I11</f>
        <v>8.9950763792450442E-2</v>
      </c>
      <c r="K21" s="19">
        <f t="shared" si="19"/>
        <v>8.6679793826372996E-3</v>
      </c>
      <c r="L21" s="19">
        <f t="shared" si="19"/>
        <v>0</v>
      </c>
      <c r="M21" s="19">
        <f t="shared" si="19"/>
        <v>0</v>
      </c>
      <c r="N21" s="19">
        <f t="shared" si="19"/>
        <v>0</v>
      </c>
      <c r="O21" s="19">
        <f t="shared" si="19"/>
        <v>0</v>
      </c>
      <c r="P21" s="19">
        <f t="shared" si="19"/>
        <v>0</v>
      </c>
      <c r="Q21" s="19">
        <f t="shared" si="19"/>
        <v>0</v>
      </c>
      <c r="R21" s="19">
        <f t="shared" si="19"/>
        <v>0</v>
      </c>
      <c r="S21" s="19">
        <f t="shared" si="19"/>
        <v>0</v>
      </c>
      <c r="T21" s="19">
        <f t="shared" si="19"/>
        <v>0</v>
      </c>
      <c r="V21" s="26" t="s">
        <v>108</v>
      </c>
      <c r="W21" s="28">
        <f>NPV(W19,J16:EX16)</f>
        <v>6804.5314208079335</v>
      </c>
    </row>
    <row r="22" spans="3:23" x14ac:dyDescent="0.25">
      <c r="C22" s="2" t="s">
        <v>23</v>
      </c>
      <c r="D22" s="9">
        <f t="shared" ref="D22:H22" si="20">D6/D4</f>
        <v>0.91489543320529232</v>
      </c>
      <c r="E22" s="9">
        <f t="shared" si="20"/>
        <v>0.91907749979626763</v>
      </c>
      <c r="F22" s="9">
        <f t="shared" si="20"/>
        <v>0.91604197901049478</v>
      </c>
      <c r="G22" s="9">
        <f t="shared" si="20"/>
        <v>0.91115140525838623</v>
      </c>
      <c r="H22" s="9">
        <f t="shared" si="20"/>
        <v>0.90765171503957787</v>
      </c>
      <c r="I22" s="9">
        <f>I6/I4</f>
        <v>0.91212785598892221</v>
      </c>
      <c r="J22" s="23">
        <f t="shared" ref="J22:T22" si="21">J6/J4</f>
        <v>0.91294290821154456</v>
      </c>
      <c r="K22" s="9">
        <f t="shared" si="21"/>
        <v>0.89999999999999991</v>
      </c>
      <c r="L22" s="9">
        <f t="shared" si="21"/>
        <v>0.89999999999999991</v>
      </c>
      <c r="M22" s="9">
        <f t="shared" si="21"/>
        <v>0.89999999999999991</v>
      </c>
      <c r="N22" s="9">
        <f t="shared" si="21"/>
        <v>0.89999999999999991</v>
      </c>
      <c r="O22" s="9">
        <f t="shared" si="21"/>
        <v>0.89999999999999991</v>
      </c>
      <c r="P22" s="9">
        <f t="shared" si="21"/>
        <v>0.89999999999999991</v>
      </c>
      <c r="Q22" s="9">
        <f t="shared" si="21"/>
        <v>0.89999999999999991</v>
      </c>
      <c r="R22" s="9">
        <f t="shared" si="21"/>
        <v>0.89999999999999991</v>
      </c>
      <c r="S22" s="9">
        <f t="shared" si="21"/>
        <v>0.89999999999999991</v>
      </c>
      <c r="T22" s="9">
        <f t="shared" si="21"/>
        <v>0.89999999999999991</v>
      </c>
      <c r="V22" s="2" t="s">
        <v>2</v>
      </c>
      <c r="W22" s="27">
        <v>105.5</v>
      </c>
    </row>
    <row r="23" spans="3:23" x14ac:dyDescent="0.25">
      <c r="C23" s="2" t="s">
        <v>4</v>
      </c>
      <c r="D23" s="9">
        <f t="shared" ref="D23:H23" si="22">D12/D4</f>
        <v>5.4118651301749893E-2</v>
      </c>
      <c r="E23" s="9">
        <f t="shared" si="22"/>
        <v>7.9211148235677611E-2</v>
      </c>
      <c r="F23" s="9">
        <f t="shared" si="22"/>
        <v>8.8080959520239879E-2</v>
      </c>
      <c r="G23" s="9">
        <f t="shared" si="22"/>
        <v>8.543134109770556E-2</v>
      </c>
      <c r="H23" s="9">
        <f t="shared" si="22"/>
        <v>8.1665486839564969E-2</v>
      </c>
      <c r="I23" s="9">
        <f>I12/I4</f>
        <v>8.5968151396261253E-2</v>
      </c>
      <c r="J23" s="23">
        <f t="shared" ref="J23:T23" si="23">J12/J4</f>
        <v>9.2261591841026183E-2</v>
      </c>
      <c r="K23" s="9">
        <f t="shared" si="23"/>
        <v>8.4393334034276193E-2</v>
      </c>
      <c r="L23" s="9">
        <f t="shared" si="23"/>
        <v>8.4393334034276193E-2</v>
      </c>
      <c r="M23" s="9">
        <f t="shared" si="23"/>
        <v>8.4393334034276193E-2</v>
      </c>
      <c r="N23" s="9">
        <f t="shared" si="23"/>
        <v>8.4393334034276193E-2</v>
      </c>
      <c r="O23" s="9">
        <f t="shared" si="23"/>
        <v>8.4393334034276193E-2</v>
      </c>
      <c r="P23" s="9">
        <f t="shared" si="23"/>
        <v>8.4393334034276193E-2</v>
      </c>
      <c r="Q23" s="9">
        <f t="shared" si="23"/>
        <v>8.4393334034276193E-2</v>
      </c>
      <c r="R23" s="9">
        <f t="shared" si="23"/>
        <v>8.4393334034276193E-2</v>
      </c>
      <c r="S23" s="9">
        <f t="shared" si="23"/>
        <v>8.4393334034276193E-2</v>
      </c>
      <c r="T23" s="9">
        <f t="shared" si="23"/>
        <v>8.4393334034276193E-2</v>
      </c>
      <c r="V23" s="2" t="s">
        <v>109</v>
      </c>
      <c r="W23" s="41">
        <f>W21/W22</f>
        <v>64.497928159316899</v>
      </c>
    </row>
    <row r="24" spans="3:23" x14ac:dyDescent="0.25">
      <c r="D24" s="9"/>
      <c r="E24" s="9"/>
      <c r="F24" s="9"/>
      <c r="G24" s="9"/>
      <c r="H24" s="9"/>
      <c r="I24" s="9"/>
      <c r="J24" s="23"/>
      <c r="K24" s="9"/>
      <c r="L24" s="9"/>
      <c r="M24" s="9"/>
      <c r="N24" s="9"/>
      <c r="O24" s="9"/>
      <c r="P24" s="9"/>
      <c r="Q24" s="9"/>
      <c r="R24" s="9"/>
      <c r="S24" s="9"/>
      <c r="T24" s="9"/>
      <c r="V24" s="1" t="s">
        <v>110</v>
      </c>
      <c r="W24" s="17">
        <f>(W23-Modell!B4)/Modell!B4</f>
        <v>-0.28335635378536778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Info</vt:lpstr>
      <vt:lpstr>Modell</vt:lpstr>
      <vt:lpstr>Segementer</vt:lpstr>
      <vt:lpstr>SOTP</vt:lpstr>
      <vt:lpstr>Nøkkeltall</vt:lpstr>
      <vt:lpstr>Nedsideberegning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August Hodt</cp:lastModifiedBy>
  <dcterms:created xsi:type="dcterms:W3CDTF">2025-02-09T20:32:11Z</dcterms:created>
  <dcterms:modified xsi:type="dcterms:W3CDTF">2026-02-04T19:30:18Z</dcterms:modified>
</cp:coreProperties>
</file>