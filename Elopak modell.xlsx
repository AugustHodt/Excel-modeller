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99201E58-E15B-714F-8229-3C3222044E6C}" xr6:coauthVersionLast="47" xr6:coauthVersionMax="47" xr10:uidLastSave="{00000000-0000-0000-0000-000000000000}"/>
  <bookViews>
    <workbookView xWindow="25220" yWindow="500" windowWidth="25980" windowHeight="26740" activeTab="1" xr2:uid="{5AE0DF26-B7DD-1242-A60E-253C73A930AF}"/>
  </bookViews>
  <sheets>
    <sheet name="Info" sheetId="1" r:id="rId1"/>
    <sheet name="Modell" sheetId="2" r:id="rId2"/>
    <sheet name="Segementer" sheetId="4" r:id="rId3"/>
    <sheet name="SOTP" sheetId="5" r:id="rId4"/>
    <sheet name="Nøkkeltall" sheetId="3" r:id="rId5"/>
    <sheet name="Nedsideberegning" sheetId="6" r:id="rId6"/>
  </sheets>
  <definedNames>
    <definedName name="_xlchart.v1.0" hidden="1">SOTP!$C$6:$C$14</definedName>
    <definedName name="_xlchart.v1.1" hidden="1">SOTP!$G$6:$G$14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2" l="1"/>
  <c r="AF11" i="2"/>
  <c r="AF12" i="2"/>
  <c r="AF9" i="2"/>
  <c r="AG9" i="2" s="1"/>
  <c r="AH9" i="2" s="1"/>
  <c r="AI9" i="2" s="1"/>
  <c r="AJ9" i="2" s="1"/>
  <c r="AK9" i="2" s="1"/>
  <c r="AL9" i="2" s="1"/>
  <c r="AM9" i="2" s="1"/>
  <c r="AN9" i="2" s="1"/>
  <c r="AO9" i="2" s="1"/>
  <c r="AG4" i="2"/>
  <c r="AF7" i="2"/>
  <c r="AF4" i="2"/>
  <c r="X6" i="2"/>
  <c r="D9" i="5"/>
  <c r="U78" i="2"/>
  <c r="U72" i="2"/>
  <c r="U87" i="2"/>
  <c r="U80" i="2"/>
  <c r="U73" i="2"/>
  <c r="U93" i="2" s="1"/>
  <c r="U63" i="2"/>
  <c r="U59" i="2"/>
  <c r="U60" i="2" s="1"/>
  <c r="U46" i="2"/>
  <c r="U43" i="2"/>
  <c r="U6" i="2"/>
  <c r="U8" i="2" s="1"/>
  <c r="U13" i="2" s="1"/>
  <c r="U16" i="2" s="1"/>
  <c r="U18" i="2" s="1"/>
  <c r="U20" i="2" s="1"/>
  <c r="B14" i="2"/>
  <c r="AG10" i="2"/>
  <c r="AH10" i="2" s="1"/>
  <c r="AI10" i="2" s="1"/>
  <c r="AJ10" i="2" s="1"/>
  <c r="AK10" i="2" s="1"/>
  <c r="AL10" i="2" s="1"/>
  <c r="AM10" i="2" s="1"/>
  <c r="AN10" i="2" s="1"/>
  <c r="AO10" i="2" s="1"/>
  <c r="AG11" i="2"/>
  <c r="AH11" i="2" s="1"/>
  <c r="AI11" i="2" s="1"/>
  <c r="AJ11" i="2" s="1"/>
  <c r="AK11" i="2" s="1"/>
  <c r="AL11" i="2" s="1"/>
  <c r="AM11" i="2" s="1"/>
  <c r="AN11" i="2" s="1"/>
  <c r="AO11" i="2" s="1"/>
  <c r="AG12" i="2"/>
  <c r="AH12" i="2" s="1"/>
  <c r="AI12" i="2" s="1"/>
  <c r="AJ12" i="2" s="1"/>
  <c r="AK12" i="2" s="1"/>
  <c r="AL12" i="2" s="1"/>
  <c r="AM12" i="2" s="1"/>
  <c r="AN12" i="2" s="1"/>
  <c r="AO12" i="2" s="1"/>
  <c r="AH4" i="2" l="1"/>
  <c r="AI4" i="2" s="1"/>
  <c r="AJ4" i="2" s="1"/>
  <c r="AK4" i="2" s="1"/>
  <c r="AL4" i="2" s="1"/>
  <c r="AM4" i="2" s="1"/>
  <c r="AN4" i="2" s="1"/>
  <c r="AO4" i="2" s="1"/>
  <c r="U91" i="2"/>
  <c r="T87" i="2" l="1"/>
  <c r="T80" i="2"/>
  <c r="T73" i="2"/>
  <c r="T93" i="2" s="1"/>
  <c r="T63" i="2"/>
  <c r="T59" i="2"/>
  <c r="T46" i="2"/>
  <c r="T43" i="2"/>
  <c r="T6" i="2"/>
  <c r="T8" i="2" s="1"/>
  <c r="U28" i="2"/>
  <c r="V28" i="2"/>
  <c r="W28" i="2"/>
  <c r="T29" i="2"/>
  <c r="U29" i="2"/>
  <c r="V29" i="2"/>
  <c r="W29" i="2"/>
  <c r="U23" i="2"/>
  <c r="V23" i="2"/>
  <c r="W23" i="2"/>
  <c r="U24" i="2"/>
  <c r="V24" i="2"/>
  <c r="W24" i="2"/>
  <c r="F7" i="5"/>
  <c r="G7" i="5" s="1"/>
  <c r="F8" i="5"/>
  <c r="G8" i="5" s="1"/>
  <c r="F6" i="5"/>
  <c r="G6" i="5" s="1"/>
  <c r="F12" i="5"/>
  <c r="G12" i="5" s="1"/>
  <c r="F11" i="5"/>
  <c r="G11" i="5" s="1"/>
  <c r="AA28" i="4"/>
  <c r="AA23" i="4"/>
  <c r="V28" i="4"/>
  <c r="V23" i="4"/>
  <c r="Q28" i="4"/>
  <c r="Q23" i="4"/>
  <c r="G28" i="4"/>
  <c r="G23" i="4"/>
  <c r="L28" i="4"/>
  <c r="L23" i="4"/>
  <c r="G20" i="4"/>
  <c r="G15" i="4"/>
  <c r="L20" i="4"/>
  <c r="L15" i="4"/>
  <c r="Q20" i="4"/>
  <c r="Q21" i="4" s="1"/>
  <c r="Q15" i="4"/>
  <c r="V20" i="4"/>
  <c r="V21" i="4" s="1"/>
  <c r="V15" i="4"/>
  <c r="AA20" i="4"/>
  <c r="AA15" i="4"/>
  <c r="G12" i="4"/>
  <c r="G7" i="4"/>
  <c r="L12" i="4"/>
  <c r="L7" i="4"/>
  <c r="Q12" i="4"/>
  <c r="Q13" i="4" s="1"/>
  <c r="Q7" i="4"/>
  <c r="AA12" i="4"/>
  <c r="AA7" i="4"/>
  <c r="V12" i="4"/>
  <c r="V7" i="4"/>
  <c r="AA29" i="4" l="1"/>
  <c r="AA21" i="4"/>
  <c r="AA13" i="4"/>
  <c r="T91" i="2"/>
  <c r="T60" i="2"/>
  <c r="T13" i="2"/>
  <c r="T23" i="2"/>
  <c r="T28" i="2"/>
  <c r="AA8" i="4"/>
  <c r="G9" i="5"/>
  <c r="G14" i="5" s="1"/>
  <c r="V24" i="4"/>
  <c r="AA24" i="4"/>
  <c r="F9" i="5"/>
  <c r="L16" i="4"/>
  <c r="L24" i="4"/>
  <c r="G21" i="4"/>
  <c r="G13" i="4"/>
  <c r="Q24" i="4"/>
  <c r="L21" i="4"/>
  <c r="L13" i="4"/>
  <c r="Q16" i="4"/>
  <c r="V16" i="4"/>
  <c r="AA16" i="4"/>
  <c r="L8" i="4"/>
  <c r="Q8" i="4"/>
  <c r="T16" i="2" l="1"/>
  <c r="T18" i="2" s="1"/>
  <c r="T20" i="2" s="1"/>
  <c r="T24" i="2"/>
  <c r="K11" i="6"/>
  <c r="L11" i="6" s="1"/>
  <c r="M11" i="6" s="1"/>
  <c r="N11" i="6" s="1"/>
  <c r="O11" i="6" s="1"/>
  <c r="P11" i="6" s="1"/>
  <c r="Q11" i="6" s="1"/>
  <c r="R11" i="6" s="1"/>
  <c r="S11" i="6" s="1"/>
  <c r="K12" i="6"/>
  <c r="L12" i="6"/>
  <c r="M12" i="6"/>
  <c r="N12" i="6" s="1"/>
  <c r="O12" i="6" s="1"/>
  <c r="P12" i="6" s="1"/>
  <c r="Q12" i="6" s="1"/>
  <c r="R12" i="6" s="1"/>
  <c r="S12" i="6" s="1"/>
  <c r="J12" i="6"/>
  <c r="J11" i="6"/>
  <c r="J10" i="6"/>
  <c r="K10" i="6" s="1"/>
  <c r="L10" i="6" s="1"/>
  <c r="M10" i="6" s="1"/>
  <c r="N10" i="6" s="1"/>
  <c r="O10" i="6" s="1"/>
  <c r="P10" i="6" s="1"/>
  <c r="Q10" i="6" s="1"/>
  <c r="R10" i="6" s="1"/>
  <c r="S10" i="6" s="1"/>
  <c r="J9" i="6"/>
  <c r="K9" i="6" s="1"/>
  <c r="L9" i="6" s="1"/>
  <c r="M9" i="6" s="1"/>
  <c r="N9" i="6" s="1"/>
  <c r="O9" i="6" s="1"/>
  <c r="P9" i="6" s="1"/>
  <c r="Q9" i="6" s="1"/>
  <c r="R9" i="6" s="1"/>
  <c r="S9" i="6" s="1"/>
  <c r="J4" i="6"/>
  <c r="J6" i="6" s="1"/>
  <c r="J7" i="6" s="1"/>
  <c r="I6" i="6"/>
  <c r="I8" i="6" s="1"/>
  <c r="H6" i="6"/>
  <c r="H8" i="6" s="1"/>
  <c r="G6" i="6"/>
  <c r="G8" i="6" s="1"/>
  <c r="F6" i="6"/>
  <c r="F8" i="6" s="1"/>
  <c r="E6" i="6"/>
  <c r="E8" i="6" s="1"/>
  <c r="D6" i="6"/>
  <c r="D8" i="6" s="1"/>
  <c r="K4" i="6" l="1"/>
  <c r="K6" i="6" s="1"/>
  <c r="K7" i="6" s="1"/>
  <c r="J8" i="6"/>
  <c r="L4" i="6"/>
  <c r="K22" i="6"/>
  <c r="E13" i="6"/>
  <c r="E23" i="6"/>
  <c r="H13" i="6"/>
  <c r="H23" i="6"/>
  <c r="D13" i="6"/>
  <c r="D23" i="6"/>
  <c r="G13" i="6"/>
  <c r="G23" i="6"/>
  <c r="I13" i="6"/>
  <c r="I23" i="6"/>
  <c r="J13" i="6"/>
  <c r="J23" i="6"/>
  <c r="F13" i="6"/>
  <c r="F23" i="6"/>
  <c r="K8" i="6"/>
  <c r="E22" i="6"/>
  <c r="F22" i="6"/>
  <c r="G22" i="6"/>
  <c r="H22" i="6"/>
  <c r="I22" i="6"/>
  <c r="J22" i="6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Z24" i="4"/>
  <c r="Y24" i="4"/>
  <c r="X24" i="4"/>
  <c r="W24" i="4"/>
  <c r="U24" i="4"/>
  <c r="T24" i="4"/>
  <c r="S24" i="4"/>
  <c r="R24" i="4"/>
  <c r="P24" i="4"/>
  <c r="O24" i="4"/>
  <c r="N24" i="4"/>
  <c r="M24" i="4"/>
  <c r="K24" i="4"/>
  <c r="J24" i="4"/>
  <c r="I24" i="4"/>
  <c r="H24" i="4"/>
  <c r="Z21" i="4"/>
  <c r="Y21" i="4"/>
  <c r="X21" i="4"/>
  <c r="W21" i="4"/>
  <c r="U21" i="4"/>
  <c r="T21" i="4"/>
  <c r="S21" i="4"/>
  <c r="R21" i="4"/>
  <c r="P21" i="4"/>
  <c r="O21" i="4"/>
  <c r="N21" i="4"/>
  <c r="M21" i="4"/>
  <c r="K21" i="4"/>
  <c r="J21" i="4"/>
  <c r="I21" i="4"/>
  <c r="H21" i="4"/>
  <c r="F21" i="4"/>
  <c r="E21" i="4"/>
  <c r="D21" i="4"/>
  <c r="C21" i="4"/>
  <c r="Z16" i="4"/>
  <c r="Y16" i="4"/>
  <c r="X16" i="4"/>
  <c r="W16" i="4"/>
  <c r="U16" i="4"/>
  <c r="T16" i="4"/>
  <c r="S16" i="4"/>
  <c r="R16" i="4"/>
  <c r="P16" i="4"/>
  <c r="O16" i="4"/>
  <c r="N16" i="4"/>
  <c r="M16" i="4"/>
  <c r="K16" i="4"/>
  <c r="J16" i="4"/>
  <c r="I16" i="4"/>
  <c r="H16" i="4"/>
  <c r="T13" i="4"/>
  <c r="S13" i="4"/>
  <c r="R13" i="4"/>
  <c r="P13" i="4"/>
  <c r="O13" i="4"/>
  <c r="N13" i="4"/>
  <c r="M13" i="4"/>
  <c r="K13" i="4"/>
  <c r="J13" i="4"/>
  <c r="I13" i="4"/>
  <c r="H13" i="4"/>
  <c r="F13" i="4"/>
  <c r="E13" i="4"/>
  <c r="D13" i="4"/>
  <c r="C13" i="4"/>
  <c r="Z13" i="4"/>
  <c r="Y13" i="4"/>
  <c r="X13" i="4"/>
  <c r="W13" i="4"/>
  <c r="V13" i="4"/>
  <c r="U13" i="4"/>
  <c r="T8" i="4"/>
  <c r="S8" i="4"/>
  <c r="R8" i="4"/>
  <c r="P8" i="4"/>
  <c r="O8" i="4"/>
  <c r="N8" i="4"/>
  <c r="M8" i="4"/>
  <c r="K8" i="4"/>
  <c r="J8" i="4"/>
  <c r="I8" i="4"/>
  <c r="H8" i="4"/>
  <c r="Z8" i="4"/>
  <c r="Y8" i="4"/>
  <c r="X8" i="4"/>
  <c r="W8" i="4"/>
  <c r="V8" i="4"/>
  <c r="U8" i="4"/>
  <c r="AJ8" i="2"/>
  <c r="AJ23" i="2" s="1"/>
  <c r="AF6" i="2"/>
  <c r="AG6" i="2"/>
  <c r="AG7" i="2" s="1"/>
  <c r="AH6" i="2"/>
  <c r="AI6" i="2"/>
  <c r="AI7" i="2" s="1"/>
  <c r="AJ6" i="2"/>
  <c r="AJ7" i="2" s="1"/>
  <c r="AK6" i="2"/>
  <c r="AK7" i="2" s="1"/>
  <c r="AL6" i="2"/>
  <c r="AM6" i="2"/>
  <c r="AN6" i="2"/>
  <c r="AN7" i="2" s="1"/>
  <c r="AO6" i="2"/>
  <c r="Z59" i="2"/>
  <c r="Z60" i="2" s="1"/>
  <c r="Z46" i="2"/>
  <c r="Z43" i="2"/>
  <c r="AA59" i="2"/>
  <c r="AA46" i="2"/>
  <c r="AA60" i="2" s="1"/>
  <c r="AA43" i="2"/>
  <c r="Z6" i="2"/>
  <c r="Z8" i="2" s="1"/>
  <c r="Z13" i="2" s="1"/>
  <c r="Z16" i="2" s="1"/>
  <c r="Z18" i="2" s="1"/>
  <c r="AA6" i="2"/>
  <c r="AA8" i="2" s="1"/>
  <c r="AA13" i="2" s="1"/>
  <c r="AA16" i="2" s="1"/>
  <c r="AA18" i="2" s="1"/>
  <c r="AF8" i="2" l="1"/>
  <c r="AF28" i="2"/>
  <c r="AH7" i="2"/>
  <c r="AH8" i="2" s="1"/>
  <c r="AM22" i="2"/>
  <c r="AM7" i="2"/>
  <c r="AM8" i="2" s="1"/>
  <c r="AO7" i="2"/>
  <c r="AO8" i="2" s="1"/>
  <c r="AL7" i="2"/>
  <c r="AL8" i="2" s="1"/>
  <c r="AN22" i="2"/>
  <c r="AJ22" i="2"/>
  <c r="AH22" i="2"/>
  <c r="AI22" i="2"/>
  <c r="AG22" i="2"/>
  <c r="AO22" i="2"/>
  <c r="AI8" i="2"/>
  <c r="AJ13" i="2"/>
  <c r="AG8" i="2"/>
  <c r="AN8" i="2"/>
  <c r="AL22" i="2"/>
  <c r="L6" i="6"/>
  <c r="L7" i="6" s="1"/>
  <c r="M4" i="6"/>
  <c r="F16" i="6"/>
  <c r="F18" i="6" s="1"/>
  <c r="F20" i="6" s="1"/>
  <c r="F24" i="6"/>
  <c r="I16" i="6"/>
  <c r="I18" i="6" s="1"/>
  <c r="I20" i="6" s="1"/>
  <c r="I24" i="6"/>
  <c r="H16" i="6"/>
  <c r="H18" i="6" s="1"/>
  <c r="H20" i="6" s="1"/>
  <c r="H24" i="6"/>
  <c r="K23" i="6"/>
  <c r="K13" i="6"/>
  <c r="D16" i="6"/>
  <c r="D18" i="6" s="1"/>
  <c r="D20" i="6" s="1"/>
  <c r="D24" i="6"/>
  <c r="J16" i="6"/>
  <c r="J24" i="6"/>
  <c r="G16" i="6"/>
  <c r="G18" i="6" s="1"/>
  <c r="G20" i="6" s="1"/>
  <c r="G24" i="6"/>
  <c r="E16" i="6"/>
  <c r="E18" i="6" s="1"/>
  <c r="E20" i="6" s="1"/>
  <c r="E24" i="6"/>
  <c r="AK8" i="2"/>
  <c r="AK22" i="2"/>
  <c r="AF13" i="2" l="1"/>
  <c r="A4" i="5" s="1"/>
  <c r="AF23" i="2"/>
  <c r="AL23" i="2"/>
  <c r="AL13" i="2"/>
  <c r="AL16" i="2" s="1"/>
  <c r="AO13" i="2"/>
  <c r="AO16" i="2" s="1"/>
  <c r="AO23" i="2"/>
  <c r="AH23" i="2"/>
  <c r="AH13" i="2"/>
  <c r="AH16" i="2" s="1"/>
  <c r="AM23" i="2"/>
  <c r="AM13" i="2"/>
  <c r="AN13" i="2"/>
  <c r="AN23" i="2"/>
  <c r="AJ24" i="2"/>
  <c r="AJ16" i="2"/>
  <c r="AG13" i="2"/>
  <c r="AG23" i="2"/>
  <c r="AI23" i="2"/>
  <c r="AI13" i="2"/>
  <c r="AF16" i="2"/>
  <c r="AF24" i="2"/>
  <c r="J17" i="6"/>
  <c r="J18" i="6" s="1"/>
  <c r="M6" i="6"/>
  <c r="M7" i="6" s="1"/>
  <c r="N4" i="6"/>
  <c r="L8" i="6"/>
  <c r="L22" i="6"/>
  <c r="K24" i="6"/>
  <c r="K16" i="6"/>
  <c r="AK23" i="2"/>
  <c r="AK13" i="2"/>
  <c r="AL24" i="2" l="1"/>
  <c r="AO24" i="2"/>
  <c r="AH24" i="2"/>
  <c r="AL17" i="2"/>
  <c r="AL18" i="2" s="1"/>
  <c r="AL20" i="2" s="1"/>
  <c r="AJ17" i="2"/>
  <c r="AJ18" i="2" s="1"/>
  <c r="AJ20" i="2" s="1"/>
  <c r="AO17" i="2"/>
  <c r="AO18" i="2" s="1"/>
  <c r="AH17" i="2"/>
  <c r="AH18" i="2" s="1"/>
  <c r="AH20" i="2" s="1"/>
  <c r="F6" i="3" s="1"/>
  <c r="AF17" i="2"/>
  <c r="AF18" i="2" s="1"/>
  <c r="AF20" i="2" s="1"/>
  <c r="D6" i="3" s="1"/>
  <c r="AN16" i="2"/>
  <c r="AN24" i="2"/>
  <c r="AI24" i="2"/>
  <c r="AI16" i="2"/>
  <c r="AM24" i="2"/>
  <c r="AM16" i="2"/>
  <c r="AG24" i="2"/>
  <c r="AG16" i="2"/>
  <c r="J20" i="6"/>
  <c r="K17" i="6"/>
  <c r="K18" i="6" s="1"/>
  <c r="K20" i="6" s="1"/>
  <c r="L13" i="6"/>
  <c r="L23" i="6"/>
  <c r="N6" i="6"/>
  <c r="N7" i="6" s="1"/>
  <c r="O4" i="6"/>
  <c r="M8" i="6"/>
  <c r="M22" i="6"/>
  <c r="AK16" i="2"/>
  <c r="AK24" i="2"/>
  <c r="AO20" i="2" l="1"/>
  <c r="AP18" i="2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FH18" i="2" s="1"/>
  <c r="FI18" i="2" s="1"/>
  <c r="FJ18" i="2" s="1"/>
  <c r="FK18" i="2" s="1"/>
  <c r="FL18" i="2" s="1"/>
  <c r="FM18" i="2" s="1"/>
  <c r="FN18" i="2" s="1"/>
  <c r="FO18" i="2" s="1"/>
  <c r="FP18" i="2" s="1"/>
  <c r="FQ18" i="2" s="1"/>
  <c r="FR18" i="2" s="1"/>
  <c r="FS18" i="2" s="1"/>
  <c r="FT18" i="2" s="1"/>
  <c r="FU18" i="2" s="1"/>
  <c r="FV18" i="2" s="1"/>
  <c r="FW18" i="2" s="1"/>
  <c r="FX18" i="2" s="1"/>
  <c r="FY18" i="2" s="1"/>
  <c r="FZ18" i="2" s="1"/>
  <c r="GA18" i="2" s="1"/>
  <c r="GB18" i="2" s="1"/>
  <c r="GC18" i="2" s="1"/>
  <c r="GD18" i="2" s="1"/>
  <c r="GE18" i="2" s="1"/>
  <c r="GF18" i="2" s="1"/>
  <c r="GG18" i="2" s="1"/>
  <c r="GH18" i="2" s="1"/>
  <c r="GI18" i="2" s="1"/>
  <c r="GJ18" i="2" s="1"/>
  <c r="GK18" i="2" s="1"/>
  <c r="GL18" i="2" s="1"/>
  <c r="GM18" i="2" s="1"/>
  <c r="GN18" i="2" s="1"/>
  <c r="GO18" i="2" s="1"/>
  <c r="GP18" i="2" s="1"/>
  <c r="GQ18" i="2" s="1"/>
  <c r="GR18" i="2" s="1"/>
  <c r="GS18" i="2" s="1"/>
  <c r="GT18" i="2" s="1"/>
  <c r="GU18" i="2" s="1"/>
  <c r="GV18" i="2" s="1"/>
  <c r="GW18" i="2" s="1"/>
  <c r="GX18" i="2" s="1"/>
  <c r="GY18" i="2" s="1"/>
  <c r="GZ18" i="2" s="1"/>
  <c r="HA18" i="2" s="1"/>
  <c r="HB18" i="2" s="1"/>
  <c r="HC18" i="2" s="1"/>
  <c r="HD18" i="2" s="1"/>
  <c r="HE18" i="2" s="1"/>
  <c r="HF18" i="2" s="1"/>
  <c r="HG18" i="2" s="1"/>
  <c r="HH18" i="2" s="1"/>
  <c r="HI18" i="2" s="1"/>
  <c r="HJ18" i="2" s="1"/>
  <c r="HK18" i="2" s="1"/>
  <c r="HL18" i="2" s="1"/>
  <c r="HM18" i="2" s="1"/>
  <c r="HN18" i="2" s="1"/>
  <c r="HO18" i="2" s="1"/>
  <c r="HP18" i="2" s="1"/>
  <c r="HQ18" i="2" s="1"/>
  <c r="HR18" i="2" s="1"/>
  <c r="HS18" i="2" s="1"/>
  <c r="HT18" i="2" s="1"/>
  <c r="HU18" i="2" s="1"/>
  <c r="HV18" i="2" s="1"/>
  <c r="HW18" i="2" s="1"/>
  <c r="HX18" i="2" s="1"/>
  <c r="HY18" i="2" s="1"/>
  <c r="HZ18" i="2" s="1"/>
  <c r="IA18" i="2" s="1"/>
  <c r="IB18" i="2" s="1"/>
  <c r="IC18" i="2" s="1"/>
  <c r="ID18" i="2" s="1"/>
  <c r="IE18" i="2" s="1"/>
  <c r="IF18" i="2" s="1"/>
  <c r="IG18" i="2" s="1"/>
  <c r="IH18" i="2" s="1"/>
  <c r="II18" i="2" s="1"/>
  <c r="IJ18" i="2" s="1"/>
  <c r="IK18" i="2" s="1"/>
  <c r="IL18" i="2" s="1"/>
  <c r="IM18" i="2" s="1"/>
  <c r="IN18" i="2" s="1"/>
  <c r="IO18" i="2" s="1"/>
  <c r="IP18" i="2" s="1"/>
  <c r="IQ18" i="2" s="1"/>
  <c r="AM17" i="2"/>
  <c r="AM18" i="2" s="1"/>
  <c r="AM20" i="2" s="1"/>
  <c r="AI17" i="2"/>
  <c r="AI18" i="2" s="1"/>
  <c r="AI20" i="2" s="1"/>
  <c r="AK17" i="2"/>
  <c r="AK18" i="2" s="1"/>
  <c r="AK20" i="2" s="1"/>
  <c r="AG17" i="2"/>
  <c r="AG18" i="2" s="1"/>
  <c r="AN17" i="2"/>
  <c r="AN18" i="2" s="1"/>
  <c r="AN20" i="2" s="1"/>
  <c r="M13" i="6"/>
  <c r="M23" i="6"/>
  <c r="P4" i="6"/>
  <c r="O6" i="6"/>
  <c r="O7" i="6" s="1"/>
  <c r="N8" i="6"/>
  <c r="N22" i="6"/>
  <c r="L16" i="6"/>
  <c r="L24" i="6"/>
  <c r="AR23" i="2" l="1"/>
  <c r="AR25" i="2" s="1"/>
  <c r="AR26" i="2" s="1"/>
  <c r="AG20" i="2"/>
  <c r="E6" i="3" s="1"/>
  <c r="L17" i="6"/>
  <c r="L18" i="6" s="1"/>
  <c r="N13" i="6"/>
  <c r="N23" i="6"/>
  <c r="O8" i="6"/>
  <c r="O22" i="6"/>
  <c r="P6" i="6"/>
  <c r="P7" i="6" s="1"/>
  <c r="Q4" i="6"/>
  <c r="M16" i="6"/>
  <c r="M24" i="6"/>
  <c r="L20" i="6" l="1"/>
  <c r="M17" i="6"/>
  <c r="M18" i="6" s="1"/>
  <c r="M20" i="6" s="1"/>
  <c r="O13" i="6"/>
  <c r="O23" i="6"/>
  <c r="R4" i="6"/>
  <c r="Q6" i="6"/>
  <c r="Q7" i="6" s="1"/>
  <c r="P8" i="6"/>
  <c r="P22" i="6"/>
  <c r="N24" i="6"/>
  <c r="N16" i="6"/>
  <c r="N17" i="6" l="1"/>
  <c r="N18" i="6" s="1"/>
  <c r="N20" i="6" s="1"/>
  <c r="P23" i="6"/>
  <c r="P13" i="6"/>
  <c r="Q8" i="6"/>
  <c r="Q22" i="6"/>
  <c r="S4" i="6"/>
  <c r="S6" i="6" s="1"/>
  <c r="S7" i="6" s="1"/>
  <c r="R6" i="6"/>
  <c r="R7" i="6" s="1"/>
  <c r="O16" i="6"/>
  <c r="O24" i="6"/>
  <c r="O17" i="6" l="1"/>
  <c r="O18" i="6" s="1"/>
  <c r="O20" i="6" s="1"/>
  <c r="R8" i="6"/>
  <c r="R22" i="6"/>
  <c r="S22" i="6"/>
  <c r="S8" i="6"/>
  <c r="Q13" i="6"/>
  <c r="Q23" i="6"/>
  <c r="P16" i="6"/>
  <c r="P24" i="6"/>
  <c r="P17" i="6" l="1"/>
  <c r="P18" i="6" s="1"/>
  <c r="P20" i="6" s="1"/>
  <c r="Q16" i="6"/>
  <c r="Q24" i="6"/>
  <c r="S23" i="6"/>
  <c r="S13" i="6"/>
  <c r="R23" i="6"/>
  <c r="R13" i="6"/>
  <c r="Q17" i="6" l="1"/>
  <c r="Q18" i="6" s="1"/>
  <c r="Q20" i="6" s="1"/>
  <c r="R16" i="6"/>
  <c r="R24" i="6"/>
  <c r="S24" i="6"/>
  <c r="S16" i="6"/>
  <c r="S17" i="6" l="1"/>
  <c r="S18" i="6" s="1"/>
  <c r="R17" i="6"/>
  <c r="R18" i="6" s="1"/>
  <c r="R20" i="6" s="1"/>
  <c r="S20" i="6" l="1"/>
  <c r="T18" i="6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l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V23" i="6"/>
  <c r="V25" i="6" s="1"/>
  <c r="V26" i="6" l="1"/>
  <c r="A6" i="6" s="1"/>
  <c r="A5" i="6"/>
  <c r="Z20" i="2"/>
  <c r="AA20" i="2"/>
  <c r="AB6" i="2"/>
  <c r="AB8" i="2" s="1"/>
  <c r="AC6" i="2"/>
  <c r="AD6" i="2"/>
  <c r="AD8" i="2" s="1"/>
  <c r="AE6" i="2"/>
  <c r="AE87" i="2"/>
  <c r="AD87" i="2"/>
  <c r="AC87" i="2"/>
  <c r="AB87" i="2"/>
  <c r="AA87" i="2"/>
  <c r="Z87" i="2"/>
  <c r="AE80" i="2"/>
  <c r="AD80" i="2"/>
  <c r="AC80" i="2"/>
  <c r="AB80" i="2"/>
  <c r="AA80" i="2"/>
  <c r="Z80" i="2"/>
  <c r="AE73" i="2"/>
  <c r="AE93" i="2" s="1"/>
  <c r="AD73" i="2"/>
  <c r="AD93" i="2" s="1"/>
  <c r="AC73" i="2"/>
  <c r="AB73" i="2"/>
  <c r="AA73" i="2"/>
  <c r="Z73" i="2"/>
  <c r="AA63" i="2"/>
  <c r="Z63" i="2"/>
  <c r="AE59" i="2"/>
  <c r="AD59" i="2"/>
  <c r="AC59" i="2"/>
  <c r="AB59" i="2"/>
  <c r="AE46" i="2"/>
  <c r="AD46" i="2"/>
  <c r="AC46" i="2"/>
  <c r="AB46" i="2"/>
  <c r="AE43" i="2"/>
  <c r="AD43" i="2"/>
  <c r="AC43" i="2"/>
  <c r="AB43" i="2"/>
  <c r="AA28" i="2"/>
  <c r="Z28" i="2"/>
  <c r="AA22" i="2"/>
  <c r="AB22" i="2"/>
  <c r="AA24" i="2"/>
  <c r="Z24" i="2"/>
  <c r="AA23" i="2"/>
  <c r="Z23" i="2"/>
  <c r="L59" i="2"/>
  <c r="L46" i="2"/>
  <c r="L43" i="2"/>
  <c r="P59" i="2"/>
  <c r="P46" i="2"/>
  <c r="P43" i="2"/>
  <c r="M59" i="2"/>
  <c r="M46" i="2"/>
  <c r="M60" i="2" s="1"/>
  <c r="M43" i="2"/>
  <c r="Q59" i="2"/>
  <c r="Q46" i="2"/>
  <c r="Q43" i="2"/>
  <c r="N59" i="2"/>
  <c r="N46" i="2"/>
  <c r="N43" i="2"/>
  <c r="R59" i="2"/>
  <c r="R46" i="2"/>
  <c r="R43" i="2"/>
  <c r="S59" i="2"/>
  <c r="S46" i="2"/>
  <c r="S60" i="2" s="1"/>
  <c r="S43" i="2"/>
  <c r="P6" i="2"/>
  <c r="T22" i="2" s="1"/>
  <c r="Q6" i="2"/>
  <c r="R6" i="2"/>
  <c r="V22" i="2" s="1"/>
  <c r="S6" i="2"/>
  <c r="R29" i="2"/>
  <c r="Q29" i="2"/>
  <c r="P29" i="2"/>
  <c r="O29" i="2"/>
  <c r="N29" i="2"/>
  <c r="M29" i="2"/>
  <c r="L29" i="2"/>
  <c r="K29" i="2"/>
  <c r="J29" i="2"/>
  <c r="I29" i="2"/>
  <c r="H29" i="2"/>
  <c r="G29" i="2"/>
  <c r="S29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7" i="2"/>
  <c r="D80" i="2"/>
  <c r="S73" i="2"/>
  <c r="S93" i="2" s="1"/>
  <c r="R73" i="2"/>
  <c r="R93" i="2" s="1"/>
  <c r="Q73" i="2"/>
  <c r="Q93" i="2" s="1"/>
  <c r="P73" i="2"/>
  <c r="P93" i="2" s="1"/>
  <c r="O73" i="2"/>
  <c r="O93" i="2" s="1"/>
  <c r="N73" i="2"/>
  <c r="N93" i="2" s="1"/>
  <c r="M73" i="2"/>
  <c r="M93" i="2" s="1"/>
  <c r="L73" i="2"/>
  <c r="L93" i="2" s="1"/>
  <c r="K73" i="2"/>
  <c r="K93" i="2" s="1"/>
  <c r="J73" i="2"/>
  <c r="J93" i="2" s="1"/>
  <c r="I73" i="2"/>
  <c r="I91" i="2" s="1"/>
  <c r="H73" i="2"/>
  <c r="H93" i="2" s="1"/>
  <c r="G73" i="2"/>
  <c r="G93" i="2" s="1"/>
  <c r="F73" i="2"/>
  <c r="F93" i="2" s="1"/>
  <c r="E73" i="2"/>
  <c r="E93" i="2" s="1"/>
  <c r="D73" i="2"/>
  <c r="D93" i="2" s="1"/>
  <c r="N60" i="2" l="1"/>
  <c r="AD22" i="2"/>
  <c r="S8" i="2"/>
  <c r="S13" i="2" s="1"/>
  <c r="S16" i="2" s="1"/>
  <c r="W22" i="2"/>
  <c r="I93" i="2"/>
  <c r="AB28" i="2"/>
  <c r="Q28" i="2"/>
  <c r="U22" i="2"/>
  <c r="AD28" i="2"/>
  <c r="AB13" i="2"/>
  <c r="AB23" i="2"/>
  <c r="AC8" i="2"/>
  <c r="AC13" i="2" s="1"/>
  <c r="AC16" i="2" s="1"/>
  <c r="J91" i="2"/>
  <c r="L60" i="2"/>
  <c r="AE28" i="2"/>
  <c r="AF22" i="2"/>
  <c r="AC28" i="2"/>
  <c r="AC22" i="2"/>
  <c r="D91" i="2"/>
  <c r="Q60" i="2"/>
  <c r="E91" i="2"/>
  <c r="R60" i="2"/>
  <c r="AB91" i="2"/>
  <c r="AC60" i="2"/>
  <c r="AE8" i="2"/>
  <c r="AE13" i="2" s="1"/>
  <c r="AE16" i="2" s="1"/>
  <c r="AE63" i="2" s="1"/>
  <c r="P60" i="2"/>
  <c r="AD13" i="2"/>
  <c r="AD23" i="2"/>
  <c r="F91" i="2"/>
  <c r="G91" i="2"/>
  <c r="H91" i="2"/>
  <c r="K91" i="2"/>
  <c r="AD60" i="2"/>
  <c r="AE60" i="2"/>
  <c r="AE22" i="2"/>
  <c r="AA91" i="2"/>
  <c r="AC91" i="2"/>
  <c r="Z91" i="2"/>
  <c r="AD91" i="2"/>
  <c r="AA93" i="2"/>
  <c r="Z93" i="2"/>
  <c r="AB93" i="2"/>
  <c r="AC93" i="2"/>
  <c r="AE91" i="2"/>
  <c r="AB60" i="2"/>
  <c r="L91" i="2"/>
  <c r="P91" i="2"/>
  <c r="P8" i="2"/>
  <c r="P13" i="2" s="1"/>
  <c r="P16" i="2" s="1"/>
  <c r="M91" i="2"/>
  <c r="Q91" i="2"/>
  <c r="Q8" i="2"/>
  <c r="Q13" i="2" s="1"/>
  <c r="Q16" i="2" s="1"/>
  <c r="N91" i="2"/>
  <c r="R91" i="2"/>
  <c r="R8" i="2"/>
  <c r="R28" i="2"/>
  <c r="O91" i="2"/>
  <c r="S91" i="2"/>
  <c r="P28" i="2"/>
  <c r="S18" i="2"/>
  <c r="S20" i="2" s="1"/>
  <c r="S63" i="2"/>
  <c r="S24" i="2"/>
  <c r="S23" i="2"/>
  <c r="S28" i="2"/>
  <c r="P23" i="2" l="1"/>
  <c r="AC18" i="2"/>
  <c r="AC20" i="2" s="1"/>
  <c r="AC63" i="2"/>
  <c r="AC24" i="2"/>
  <c r="AC23" i="2"/>
  <c r="AB24" i="2"/>
  <c r="AB16" i="2"/>
  <c r="AE23" i="2"/>
  <c r="AE18" i="2"/>
  <c r="AE20" i="2" s="1"/>
  <c r="AE24" i="2"/>
  <c r="AD16" i="2"/>
  <c r="AD24" i="2"/>
  <c r="P24" i="2"/>
  <c r="P18" i="2"/>
  <c r="P20" i="2" s="1"/>
  <c r="P63" i="2"/>
  <c r="Q23" i="2"/>
  <c r="Q63" i="2"/>
  <c r="Q18" i="2"/>
  <c r="Q20" i="2" s="1"/>
  <c r="Q24" i="2"/>
  <c r="R23" i="2"/>
  <c r="R13" i="2"/>
  <c r="O59" i="2"/>
  <c r="O46" i="2"/>
  <c r="O43" i="2"/>
  <c r="D6" i="2"/>
  <c r="D28" i="2" s="1"/>
  <c r="E6" i="2"/>
  <c r="E28" i="2" s="1"/>
  <c r="F6" i="2"/>
  <c r="F28" i="2" s="1"/>
  <c r="G6" i="2"/>
  <c r="G28" i="2" s="1"/>
  <c r="H6" i="2"/>
  <c r="H28" i="2" s="1"/>
  <c r="I6" i="2"/>
  <c r="I28" i="2" s="1"/>
  <c r="J6" i="2"/>
  <c r="J28" i="2" s="1"/>
  <c r="K6" i="2"/>
  <c r="K28" i="2" s="1"/>
  <c r="L6" i="2"/>
  <c r="M6" i="2"/>
  <c r="N6" i="2"/>
  <c r="O6" i="2"/>
  <c r="B6" i="2"/>
  <c r="B9" i="2" s="1"/>
  <c r="AB63" i="2" l="1"/>
  <c r="AB18" i="2"/>
  <c r="AB20" i="2" s="1"/>
  <c r="E5" i="3"/>
  <c r="F5" i="3"/>
  <c r="D5" i="3"/>
  <c r="M28" i="2"/>
  <c r="Q22" i="2"/>
  <c r="L28" i="2"/>
  <c r="P22" i="2"/>
  <c r="O28" i="2"/>
  <c r="S22" i="2"/>
  <c r="N28" i="2"/>
  <c r="R22" i="2"/>
  <c r="AD18" i="2"/>
  <c r="AD20" i="2" s="1"/>
  <c r="AD63" i="2"/>
  <c r="R16" i="2"/>
  <c r="R24" i="2"/>
  <c r="H8" i="2"/>
  <c r="G8" i="2"/>
  <c r="F8" i="2"/>
  <c r="M8" i="2"/>
  <c r="D8" i="2"/>
  <c r="K8" i="2"/>
  <c r="J8" i="2"/>
  <c r="O8" i="2"/>
  <c r="N8" i="2"/>
  <c r="E8" i="2"/>
  <c r="L8" i="2"/>
  <c r="I8" i="2"/>
  <c r="O60" i="2"/>
  <c r="N22" i="2"/>
  <c r="M22" i="2"/>
  <c r="L22" i="2"/>
  <c r="K22" i="2"/>
  <c r="J22" i="2"/>
  <c r="O22" i="2"/>
  <c r="I22" i="2"/>
  <c r="H22" i="2"/>
  <c r="R63" i="2" l="1"/>
  <c r="R18" i="2"/>
  <c r="R20" i="2" s="1"/>
  <c r="J13" i="2"/>
  <c r="J16" i="2" s="1"/>
  <c r="J23" i="2"/>
  <c r="K13" i="2"/>
  <c r="K16" i="2" s="1"/>
  <c r="K23" i="2"/>
  <c r="F13" i="2"/>
  <c r="F24" i="2" s="1"/>
  <c r="F23" i="2"/>
  <c r="E13" i="2"/>
  <c r="E23" i="2"/>
  <c r="O13" i="2"/>
  <c r="O24" i="2" s="1"/>
  <c r="O23" i="2"/>
  <c r="D13" i="2"/>
  <c r="D16" i="2" s="1"/>
  <c r="D23" i="2"/>
  <c r="I13" i="2"/>
  <c r="I16" i="2" s="1"/>
  <c r="I23" i="2"/>
  <c r="M13" i="2"/>
  <c r="M24" i="2" s="1"/>
  <c r="M23" i="2"/>
  <c r="L13" i="2"/>
  <c r="L24" i="2" s="1"/>
  <c r="L23" i="2"/>
  <c r="G13" i="2"/>
  <c r="G16" i="2" s="1"/>
  <c r="G23" i="2"/>
  <c r="N13" i="2"/>
  <c r="N23" i="2"/>
  <c r="H13" i="2"/>
  <c r="H23" i="2"/>
  <c r="O16" i="2"/>
  <c r="J24" i="2"/>
  <c r="L16" i="2"/>
  <c r="K24" i="2"/>
  <c r="D24" i="2"/>
  <c r="G18" i="2" l="1"/>
  <c r="G20" i="2" s="1"/>
  <c r="G63" i="2"/>
  <c r="D18" i="2"/>
  <c r="D20" i="2" s="1"/>
  <c r="D63" i="2"/>
  <c r="I18" i="2"/>
  <c r="I20" i="2" s="1"/>
  <c r="I63" i="2"/>
  <c r="L18" i="2"/>
  <c r="L20" i="2" s="1"/>
  <c r="L63" i="2"/>
  <c r="K18" i="2"/>
  <c r="K20" i="2" s="1"/>
  <c r="K63" i="2"/>
  <c r="O18" i="2"/>
  <c r="O20" i="2" s="1"/>
  <c r="O63" i="2"/>
  <c r="J18" i="2"/>
  <c r="J20" i="2" s="1"/>
  <c r="J63" i="2"/>
  <c r="I24" i="2"/>
  <c r="G24" i="2"/>
  <c r="E16" i="2"/>
  <c r="E24" i="2"/>
  <c r="M16" i="2"/>
  <c r="F16" i="2"/>
  <c r="H16" i="2"/>
  <c r="H24" i="2"/>
  <c r="N16" i="2"/>
  <c r="N24" i="2"/>
  <c r="H18" i="2" l="1"/>
  <c r="H20" i="2" s="1"/>
  <c r="H63" i="2"/>
  <c r="M18" i="2"/>
  <c r="M20" i="2" s="1"/>
  <c r="M63" i="2"/>
  <c r="N18" i="2"/>
  <c r="N20" i="2" s="1"/>
  <c r="N63" i="2"/>
  <c r="F18" i="2"/>
  <c r="F20" i="2" s="1"/>
  <c r="F63" i="2"/>
  <c r="E18" i="2"/>
  <c r="E20" i="2" s="1"/>
  <c r="E6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august hodt</author>
  </authors>
  <commentList>
    <comment ref="U78" authorId="0" shapeId="0" xr:uid="{9D6C29BA-F438-F848-ACA8-9D1E3C95C258}">
      <text>
        <r>
          <rPr>
            <b/>
            <sz val="10"/>
            <color rgb="FF000000"/>
            <rFont val="Tahoma"/>
            <family val="2"/>
          </rPr>
          <t>august hodt:</t>
        </r>
        <r>
          <rPr>
            <sz val="10"/>
            <color rgb="FF000000"/>
            <rFont val="Tahoma"/>
            <family val="2"/>
          </rPr>
          <t xml:space="preserve">
Dividend from joint ventures — derived to tie CFFI to reported -26 236 (figure partially illegible in source)</t>
        </r>
      </text>
    </comment>
  </commentList>
</comments>
</file>

<file path=xl/sharedStrings.xml><?xml version="1.0" encoding="utf-8"?>
<sst xmlns="http://schemas.openxmlformats.org/spreadsheetml/2006/main" count="246" uniqueCount="159">
  <si>
    <t>Kapitalstruktur</t>
  </si>
  <si>
    <t>Price</t>
  </si>
  <si>
    <t>S/O</t>
  </si>
  <si>
    <t>MC NOKm</t>
  </si>
  <si>
    <t>Cash NOKm</t>
  </si>
  <si>
    <t>Debt NOKm</t>
  </si>
  <si>
    <t>EV NOKm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</si>
  <si>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</si>
  <si>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</si>
  <si>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</si>
  <si>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</si>
  <si>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</si>
  <si>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</si>
  <si>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</si>
  <si>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</si>
  <si>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</si>
  <si>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</si>
  <si>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</si>
  <si>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</si>
  <si>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</si>
  <si>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</si>
  <si>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</si>
  <si>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</si>
  <si>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</si>
  <si>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</si>
  <si>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</si>
  <si>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</si>
  <si>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</si>
  <si>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</si>
  <si>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</si>
  <si>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</si>
  <si>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</si>
  <si>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</si>
  <si>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Revenue y/y</t>
  </si>
  <si>
    <t>Revenues</t>
  </si>
  <si>
    <t>other revenue</t>
  </si>
  <si>
    <t>Total revenue</t>
  </si>
  <si>
    <t>COGS</t>
  </si>
  <si>
    <t>Payroll expense</t>
  </si>
  <si>
    <t>D/A</t>
  </si>
  <si>
    <t>Impairment</t>
  </si>
  <si>
    <t>other opex</t>
  </si>
  <si>
    <t>Operating profit (EBIT)</t>
  </si>
  <si>
    <t>Net financials</t>
  </si>
  <si>
    <t>Share from JV</t>
  </si>
  <si>
    <t>PTP</t>
  </si>
  <si>
    <t>tax</t>
  </si>
  <si>
    <t>Net income</t>
  </si>
  <si>
    <t>Shares</t>
  </si>
  <si>
    <t>EPS</t>
  </si>
  <si>
    <t>EUR million</t>
  </si>
  <si>
    <t>Balanse EURm</t>
  </si>
  <si>
    <t>Cash flow EURm</t>
  </si>
  <si>
    <t>Q125</t>
  </si>
  <si>
    <t>Q225</t>
  </si>
  <si>
    <t>Q325</t>
  </si>
  <si>
    <t>Q425</t>
  </si>
  <si>
    <t>EBIT margin</t>
  </si>
  <si>
    <t>Development cost and other intangible assets</t>
  </si>
  <si>
    <t>Deferred tax assets</t>
  </si>
  <si>
    <t>Goodwill</t>
  </si>
  <si>
    <t>PP&amp;E</t>
  </si>
  <si>
    <t>Right-of-use assets</t>
  </si>
  <si>
    <t>Investment in JV</t>
  </si>
  <si>
    <t>Other non-current asset</t>
  </si>
  <si>
    <t>Inventory</t>
  </si>
  <si>
    <t>Trade receivables</t>
  </si>
  <si>
    <t>Other current assets</t>
  </si>
  <si>
    <t>Cash</t>
  </si>
  <si>
    <t>EUR/NOK</t>
  </si>
  <si>
    <t>Total assets</t>
  </si>
  <si>
    <t>Elopak shareholders</t>
  </si>
  <si>
    <t>Non-controlling interests</t>
  </si>
  <si>
    <t>Total equity</t>
  </si>
  <si>
    <t>Pension liabilties</t>
  </si>
  <si>
    <t>Deferred tax liabilites</t>
  </si>
  <si>
    <t>Non-current Interest bearing</t>
  </si>
  <si>
    <t>Non-current lease lia</t>
  </si>
  <si>
    <t>Other non-current lia</t>
  </si>
  <si>
    <t>Current interest bearing lia</t>
  </si>
  <si>
    <t>Current non-interest bearing lia</t>
  </si>
  <si>
    <t>Trade payables</t>
  </si>
  <si>
    <t>taxes payable</t>
  </si>
  <si>
    <t>Public duties payable</t>
  </si>
  <si>
    <t>Current lease lia</t>
  </si>
  <si>
    <t>Other current lia</t>
  </si>
  <si>
    <t>Total debt</t>
  </si>
  <si>
    <t>Total E/D</t>
  </si>
  <si>
    <t>CFFO</t>
  </si>
  <si>
    <t>CFFF</t>
  </si>
  <si>
    <t>CFFI</t>
  </si>
  <si>
    <t>EV/EBIT</t>
  </si>
  <si>
    <t>P/E</t>
  </si>
  <si>
    <t xml:space="preserve"> </t>
  </si>
  <si>
    <t>Gross margin</t>
  </si>
  <si>
    <t>ROCE</t>
  </si>
  <si>
    <t>FY 2020</t>
  </si>
  <si>
    <t>FY 2021</t>
  </si>
  <si>
    <t>Gross profit</t>
  </si>
  <si>
    <t>EBITDA</t>
  </si>
  <si>
    <t>EBITDA margin</t>
  </si>
  <si>
    <t>EBITDA LTM</t>
  </si>
  <si>
    <t>Model PTP</t>
  </si>
  <si>
    <t>Reported PTP</t>
  </si>
  <si>
    <t>Interest on borrowings</t>
  </si>
  <si>
    <t>Lease liablity interst</t>
  </si>
  <si>
    <t>D/A/I</t>
  </si>
  <si>
    <t>Fair value of financial assets/liabilities</t>
  </si>
  <si>
    <t>Net unrealized currency</t>
  </si>
  <si>
    <t>Income from JV Net financial sale of non-current assets</t>
  </si>
  <si>
    <t>Income tax paid</t>
  </si>
  <si>
    <t>WC</t>
  </si>
  <si>
    <t>Capex</t>
  </si>
  <si>
    <t>Proceeds from sale of non-current assets</t>
  </si>
  <si>
    <t>Proceeds from sale of fiancial assets and businesses</t>
  </si>
  <si>
    <t>Dividend from JV</t>
  </si>
  <si>
    <t>Change in other non-current assets</t>
  </si>
  <si>
    <t>Proceeds from and repayments of borrowings</t>
  </si>
  <si>
    <t>Lease payment</t>
  </si>
  <si>
    <t>Dividend</t>
  </si>
  <si>
    <t>Buybacks</t>
  </si>
  <si>
    <t>FX</t>
  </si>
  <si>
    <t>CIC</t>
  </si>
  <si>
    <t>FCF</t>
  </si>
  <si>
    <t>Q126</t>
  </si>
  <si>
    <t>Q226</t>
  </si>
  <si>
    <t>Q326</t>
  </si>
  <si>
    <t>Q426</t>
  </si>
  <si>
    <t>Discount</t>
  </si>
  <si>
    <t>TV</t>
  </si>
  <si>
    <t>NPV</t>
  </si>
  <si>
    <t>NPV/Share</t>
  </si>
  <si>
    <t>EMEA</t>
  </si>
  <si>
    <t>Revenue</t>
  </si>
  <si>
    <t>Operating expenses</t>
  </si>
  <si>
    <t>Operating profit</t>
  </si>
  <si>
    <t>Operating profit margin</t>
  </si>
  <si>
    <t>y/y</t>
  </si>
  <si>
    <t>Americas</t>
  </si>
  <si>
    <t>Other/Eliminations</t>
  </si>
  <si>
    <t>Nedside</t>
  </si>
  <si>
    <t>Nullvekst og ned på marginer</t>
  </si>
  <si>
    <t>Prosjektet kostet 70 USDm</t>
  </si>
  <si>
    <t>Andre produksjonslinsje skal være klar H126</t>
  </si>
  <si>
    <t>Oktober 2025 bestemte ELO seg å invester yttligere 28 USDm i en tredje linje som skal starte 2027</t>
  </si>
  <si>
    <t>EBIT 26E</t>
  </si>
  <si>
    <t>Value/Share</t>
  </si>
  <si>
    <t>Eliminations</t>
  </si>
  <si>
    <t>Debt</t>
  </si>
  <si>
    <t>Equity value</t>
  </si>
  <si>
    <t>Enterprise value</t>
  </si>
  <si>
    <t>Press releases:</t>
  </si>
  <si>
    <t>Opp/nedside</t>
  </si>
  <si>
    <t>Value EURm</t>
  </si>
  <si>
    <t>Gearing</t>
  </si>
  <si>
    <t>05.05.26: Styreleder Dag Mejdell kjøper 15 000 aksjer på 36,8NOK</t>
  </si>
  <si>
    <t>Q226: En av leverandøreen til ELO opplevde en seriøs hendelse ved Nippon Dynawave paper mill i Washington noe som vil påvirke tilbudet til Elopak i Americas</t>
  </si>
  <si>
    <t>Papp tilbudet vil grunnet dette være begrenset gjennom H226 og mulig inn i 2027</t>
  </si>
  <si>
    <t>April 2025 åpnet ELO Little Rock i Arkansas som sitt første produksjons i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</si>
</sst>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kr&quot;\ #,##0.00_);[Red]\(&quot;kr&quot;\ #,##0.00\)"/>
    <numFmt numFmtId="164" formatCode="#,##0.0"/>
    <numFmt numFmtId="165" formatCode="0.0"/>
    <numFmt numFmtId="166" formatCode="0.0\ %"/>
  </numFmts>
  <fonts count="1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165" fontId="2" fillId="0" borderId="1" xfId="0" applyNumberFormat="1" applyFont="1" applyBorder="1"/>
    <xf numFmtId="0" fontId="2" fillId="0" borderId="0" xfId="0" applyFont="1" applyAlignment="1">
      <alignment horizontal="right"/>
    </xf>
    <xf numFmtId="2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3" fontId="1" fillId="0" borderId="0" xfId="0" applyNumberFormat="1" applyFont="1"/>
    <xf numFmtId="166" fontId="2" fillId="0" borderId="0" xfId="0" applyNumberFormat="1" applyFont="1"/>
    <xf numFmtId="166" fontId="1" fillId="0" borderId="0" xfId="0" applyNumberFormat="1" applyFont="1"/>
    <xf numFmtId="0" fontId="4" fillId="0" borderId="0" xfId="0" applyFont="1"/>
    <xf numFmtId="3" fontId="2" fillId="0" borderId="1" xfId="0" applyNumberFormat="1" applyFont="1" applyBorder="1"/>
    <xf numFmtId="166" fontId="2" fillId="0" borderId="1" xfId="0" applyNumberFormat="1" applyFont="1" applyBorder="1"/>
    <xf numFmtId="0" fontId="5" fillId="0" borderId="2" xfId="0" applyFont="1" applyBorder="1"/>
    <xf numFmtId="165" fontId="6" fillId="0" borderId="2" xfId="0" applyNumberFormat="1" applyFont="1" applyBorder="1"/>
    <xf numFmtId="3" fontId="4" fillId="0" borderId="0" xfId="0" applyNumberFormat="1" applyFont="1"/>
    <xf numFmtId="0" fontId="1" fillId="0" borderId="1" xfId="0" applyFont="1" applyBorder="1"/>
    <xf numFmtId="10" fontId="2" fillId="0" borderId="0" xfId="0" applyNumberFormat="1" applyFont="1"/>
    <xf numFmtId="10" fontId="2" fillId="0" borderId="1" xfId="0" applyNumberFormat="1" applyFont="1" applyBorder="1"/>
    <xf numFmtId="0" fontId="2" fillId="0" borderId="3" xfId="0" applyFont="1" applyBorder="1"/>
    <xf numFmtId="9" fontId="2" fillId="0" borderId="0" xfId="0" applyNumberFormat="1" applyFont="1"/>
    <xf numFmtId="8" fontId="2" fillId="0" borderId="3" xfId="0" applyNumberFormat="1" applyFont="1" applyBorder="1"/>
    <xf numFmtId="10" fontId="4" fillId="0" borderId="0" xfId="0" applyNumberFormat="1" applyFont="1"/>
    <xf numFmtId="10" fontId="4" fillId="0" borderId="4" xfId="0" applyNumberFormat="1" applyFont="1" applyBorder="1"/>
    <xf numFmtId="0" fontId="1" fillId="0" borderId="6" xfId="0" applyFont="1" applyBorder="1" applyAlignment="1">
      <alignment horizontal="right"/>
    </xf>
    <xf numFmtId="0" fontId="2" fillId="0" borderId="6" xfId="0" applyFont="1" applyBorder="1"/>
    <xf numFmtId="3" fontId="1" fillId="0" borderId="6" xfId="0" applyNumberFormat="1" applyFont="1" applyBorder="1"/>
    <xf numFmtId="10" fontId="4" fillId="0" borderId="6" xfId="0" applyNumberFormat="1" applyFont="1" applyBorder="1"/>
    <xf numFmtId="3" fontId="2" fillId="0" borderId="6" xfId="0" applyNumberFormat="1" applyFont="1" applyBorder="1"/>
    <xf numFmtId="10" fontId="4" fillId="0" borderId="5" xfId="0" applyNumberFormat="1" applyFont="1" applyBorder="1"/>
    <xf numFmtId="0" fontId="1" fillId="0" borderId="6" xfId="0" applyFont="1" applyBorder="1"/>
    <xf numFmtId="10" fontId="1" fillId="0" borderId="0" xfId="0" applyNumberFormat="1" applyFont="1"/>
    <xf numFmtId="165" fontId="1" fillId="0" borderId="0" xfId="0" applyNumberFormat="1" applyFont="1"/>
    <xf numFmtId="0" fontId="8" fillId="0" borderId="0" xfId="0" applyFont="1"/>
    <xf numFmtId="0" fontId="8" fillId="0" borderId="2" xfId="0" applyFont="1" applyBorder="1"/>
    <xf numFmtId="0" fontId="8" fillId="2" borderId="2" xfId="0" applyFont="1" applyFill="1" applyBorder="1"/>
    <xf numFmtId="3" fontId="8" fillId="0" borderId="2" xfId="0" applyNumberFormat="1" applyFont="1" applyBorder="1"/>
    <xf numFmtId="3" fontId="8" fillId="2" borderId="2" xfId="0" applyNumberFormat="1" applyFont="1" applyFill="1" applyBorder="1"/>
    <xf numFmtId="1" fontId="8" fillId="0" borderId="2" xfId="0" applyNumberFormat="1" applyFont="1" applyBorder="1"/>
    <xf numFmtId="0" fontId="9" fillId="0" borderId="2" xfId="0" applyFont="1" applyBorder="1"/>
    <xf numFmtId="1" fontId="9" fillId="0" borderId="2" xfId="0" applyNumberFormat="1" applyFont="1" applyBorder="1"/>
    <xf numFmtId="3" fontId="9" fillId="0" borderId="2" xfId="0" applyNumberFormat="1" applyFont="1" applyBorder="1"/>
    <xf numFmtId="2" fontId="2" fillId="0" borderId="1" xfId="0" applyNumberFormat="1" applyFont="1" applyBorder="1"/>
    <xf numFmtId="3" fontId="8" fillId="0" borderId="0" xfId="0" applyNumberFormat="1" applyFont="1"/>
    <xf numFmtId="0" fontId="2" fillId="0" borderId="1" xfId="0" applyFont="1" applyBorder="1" applyAlignment="1">
      <alignment horizontal="right"/>
    </xf>
    <xf numFmtId="3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 Elopak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 Elopak</a:t>
          </a:r>
        </a:p>
      </cx:txPr>
    </cx:title>
    <cx:plotArea>
      <cx:plotAreaRegion>
        <cx:series layoutId="waterfall" uniqueId="{6EB15E26-C185-C349-8401-7665CA2A841E}">
          <cx:dataPt idx="2">
            <cx:spPr>
              <a:solidFill>
                <a:srgbClr val="FF0000"/>
              </a:solidFill>
            </cx:spPr>
          </cx:dataPt>
          <cx:dataPt idx="3"/>
          <cx:dataPt idx="6">
            <cx:spPr>
              <a:solidFill>
                <a:srgbClr val="FF0000"/>
              </a:solidFill>
            </cx:spPr>
          </cx:dataPt>
          <cx:dataPt idx="8"/>
          <cx:dataLabels pos="outEnd">
            <cx:visibility seriesName="0" categoryName="0" value="1"/>
          </cx:dataLabels>
          <cx:dataId val="0"/>
          <cx:layoutPr>
            <cx:subtotals>
              <cx:idx val="3"/>
              <cx:idx val="8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200"/>
            </a:pPr>
            <a:endParaRPr lang="nb-NO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2</xdr:row>
      <xdr:rowOff>38100</xdr:rowOff>
    </xdr:from>
    <xdr:to>
      <xdr:col>5</xdr:col>
      <xdr:colOff>225502</xdr:colOff>
      <xdr:row>18</xdr:row>
      <xdr:rowOff>50800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523194F6-B5D1-8ACB-76FF-0F30538C47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4344"/>
        <a:stretch>
          <a:fillRect/>
        </a:stretch>
      </xdr:blipFill>
      <xdr:spPr>
        <a:xfrm>
          <a:off x="63500" y="444500"/>
          <a:ext cx="4289502" cy="3873500"/>
        </a:xfrm>
        <a:prstGeom prst="rect">
          <a:avLst/>
        </a:prstGeom>
      </xdr:spPr>
    </xdr:pic>
    <xdr:clientData/>
  </xdr:twoCellAnchor>
  <xdr:twoCellAnchor editAs="oneCell">
    <xdr:from>
      <xdr:col>10</xdr:col>
      <xdr:colOff>812799</xdr:colOff>
      <xdr:row>0</xdr:row>
      <xdr:rowOff>139700</xdr:rowOff>
    </xdr:from>
    <xdr:to>
      <xdr:col>22</xdr:col>
      <xdr:colOff>464098</xdr:colOff>
      <xdr:row>21</xdr:row>
      <xdr:rowOff>88900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7273BDDE-235F-1D8B-19BB-D37778AB1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67799" y="139700"/>
          <a:ext cx="9557299" cy="5016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349250</xdr:colOff>
      <xdr:row>4</xdr:row>
      <xdr:rowOff>88900</xdr:rowOff>
    </xdr:from>
    <xdr:to>
      <xdr:col>17</xdr:col>
      <xdr:colOff>228600</xdr:colOff>
      <xdr:row>22</xdr:row>
      <xdr:rowOff>241300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0E5B26DE-FC7A-A0E6-453A-8A3157D105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00950" y="1155700"/>
              <a:ext cx="8134350" cy="495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047F54-AB78-674C-A849-15E5E50DA28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b3060b2-0f8b-4101-abd8-9999475861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ABC2-1253-924E-8CB2-F0C03750A097}">
  <dimension ref="A2:A34"/>
  <sheetViews>
    <sheetView showGridLines="0" topLeftCell="E1" zoomScaleNormal="100" workbookViewId="0">
      <selection activeCell="Q23" sqref="Q23"/>
    </sheetView>
  </sheetViews>
  <sheetFormatPr baseColWidth="10" defaultRowHeight="19" x14ac:dyDescent="0.25"/>
  <cols>
    <col min="1" max="16384" width="10.83203125" style="2"/>
  </cols>
  <sheetData>
    <row r="2" spans="1:1" x14ac:dyDescent="0.25">
      <c r="A2" s="1" t="s">
        <v>138</v>
      </c>
    </row>
    <row r="20" spans="1:1" x14ac:dyDescent="0.25">
      <c r="A20" s="2" t="s">
        <v>158</v>
      </c>
    </row>
    <row r="21" spans="1:1" x14ac:dyDescent="0.25">
      <c r="A21" s="2" t="s">
        <v>142</v>
      </c>
    </row>
    <row r="22" spans="1:1" x14ac:dyDescent="0.25">
      <c r="A22" s="2" t="s">
        <v>143</v>
      </c>
    </row>
    <row r="23" spans="1:1" x14ac:dyDescent="0.25">
      <c r="A23" s="2" t="s">
        <v>144</v>
      </c>
    </row>
    <row r="25" spans="1:1" x14ac:dyDescent="0.25">
      <c r="A25" s="2" t="s">
        <v>156</v>
      </c>
    </row>
    <row r="26" spans="1:1" x14ac:dyDescent="0.25">
      <c r="A26" s="2" t="s">
        <v>157</v>
      </c>
    </row>
    <row r="33" spans="1:1" x14ac:dyDescent="0.25">
      <c r="A33" s="1" t="s">
        <v>151</v>
      </c>
    </row>
    <row r="34" spans="1:1" x14ac:dyDescent="0.25">
      <c r="A34" s="2" t="s">
        <v>155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41D6-FA1C-5144-915F-9569A5873643}">
  <dimension ref="A3:IQ93"/>
  <sheetViews>
    <sheetView showGridLines="0" tabSelected="1" zoomScaleNormal="100" workbookViewId="0">
      <pane xSplit="3" ySplit="3" topLeftCell="Z4" activePane="bottomRight" state="frozen"/>
      <selection pane="topRight" activeCell="D1" sqref="D1"/>
      <selection pane="bottomLeft" activeCell="A4" sqref="A4"/>
      <selection pane="bottomRight" activeCell="AH28" sqref="AH28"/>
    </sheetView>
  </sheetViews>
  <sheetFormatPr baseColWidth="10" defaultRowHeight="19" x14ac:dyDescent="0.25"/>
  <cols>
    <col min="1" max="1" width="16.33203125" style="2" bestFit="1" customWidth="1"/>
    <col min="2" max="2" width="10.83203125" style="4"/>
    <col min="3" max="3" width="38.5" style="2" customWidth="1"/>
    <col min="4" max="31" width="10.83203125" style="2"/>
    <col min="32" max="32" width="10.83203125" style="4"/>
    <col min="33" max="42" width="10.83203125" style="2"/>
    <col min="43" max="43" width="15.33203125" style="2" customWidth="1"/>
    <col min="44" max="44" width="13" style="2" customWidth="1"/>
    <col min="45" max="16384" width="10.83203125" style="2"/>
  </cols>
  <sheetData>
    <row r="3" spans="1:41" x14ac:dyDescent="0.25">
      <c r="A3" s="1" t="s">
        <v>0</v>
      </c>
      <c r="C3" s="2" t="s">
        <v>50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8" t="s">
        <v>17</v>
      </c>
      <c r="O3" s="8" t="s">
        <v>18</v>
      </c>
      <c r="P3" s="8" t="s">
        <v>53</v>
      </c>
      <c r="Q3" s="8" t="s">
        <v>54</v>
      </c>
      <c r="R3" s="8" t="s">
        <v>55</v>
      </c>
      <c r="S3" s="8" t="s">
        <v>56</v>
      </c>
      <c r="T3" s="8" t="s">
        <v>124</v>
      </c>
      <c r="U3" s="8" t="s">
        <v>125</v>
      </c>
      <c r="V3" s="8" t="s">
        <v>126</v>
      </c>
      <c r="W3" s="8" t="s">
        <v>127</v>
      </c>
      <c r="Z3" s="8" t="s">
        <v>96</v>
      </c>
      <c r="AA3" s="8" t="s">
        <v>97</v>
      </c>
      <c r="AB3" s="8" t="s">
        <v>19</v>
      </c>
      <c r="AC3" s="8" t="s">
        <v>20</v>
      </c>
      <c r="AD3" s="8" t="s">
        <v>21</v>
      </c>
      <c r="AE3" s="8" t="s">
        <v>22</v>
      </c>
      <c r="AF3" s="49" t="s">
        <v>23</v>
      </c>
      <c r="AG3" s="8" t="s">
        <v>24</v>
      </c>
      <c r="AH3" s="8" t="s">
        <v>25</v>
      </c>
      <c r="AI3" s="8" t="s">
        <v>26</v>
      </c>
      <c r="AJ3" s="8" t="s">
        <v>27</v>
      </c>
      <c r="AK3" s="8" t="s">
        <v>28</v>
      </c>
      <c r="AL3" s="8" t="s">
        <v>29</v>
      </c>
      <c r="AM3" s="8" t="s">
        <v>30</v>
      </c>
      <c r="AN3" s="8" t="s">
        <v>31</v>
      </c>
      <c r="AO3" s="8" t="s">
        <v>32</v>
      </c>
    </row>
    <row r="4" spans="1:41" s="11" customFormat="1" x14ac:dyDescent="0.25">
      <c r="A4" s="2" t="s">
        <v>1</v>
      </c>
      <c r="B4" s="4">
        <v>33.65</v>
      </c>
      <c r="C4" s="2" t="s">
        <v>34</v>
      </c>
      <c r="H4" s="11">
        <v>283.39299999999997</v>
      </c>
      <c r="I4" s="11">
        <v>278.024</v>
      </c>
      <c r="J4" s="11">
        <v>283.45999999999998</v>
      </c>
      <c r="K4" s="11">
        <v>287.166</v>
      </c>
      <c r="L4" s="11">
        <v>291.923</v>
      </c>
      <c r="M4" s="11">
        <v>288.38400000000001</v>
      </c>
      <c r="N4" s="11">
        <v>292.80399999999997</v>
      </c>
      <c r="O4" s="11">
        <v>283.392</v>
      </c>
      <c r="P4" s="11">
        <v>310.24</v>
      </c>
      <c r="Q4" s="11">
        <v>289.7</v>
      </c>
      <c r="R4" s="11">
        <v>289.64800000000002</v>
      </c>
      <c r="S4" s="11">
        <v>316</v>
      </c>
      <c r="T4" s="11">
        <v>298.19499999999999</v>
      </c>
      <c r="U4" s="11">
        <v>303.87700000000001</v>
      </c>
      <c r="V4" s="2"/>
      <c r="W4" s="2"/>
      <c r="X4" s="2"/>
      <c r="Y4" s="2"/>
      <c r="Z4" s="11">
        <v>908.77300000000002</v>
      </c>
      <c r="AA4" s="11">
        <v>940.24599999999998</v>
      </c>
      <c r="AB4" s="11">
        <v>1023.696</v>
      </c>
      <c r="AC4" s="11">
        <v>1132.0429999999999</v>
      </c>
      <c r="AD4" s="11">
        <v>1156.502</v>
      </c>
      <c r="AE4" s="11">
        <v>1205.588</v>
      </c>
      <c r="AF4" s="16">
        <f>AE4*1.01</f>
        <v>1217.6438800000001</v>
      </c>
      <c r="AG4" s="11">
        <f>AF4*1.04</f>
        <v>1266.3496352000002</v>
      </c>
      <c r="AH4" s="11">
        <f t="shared" ref="AH4:AO4" si="0">AG4*1.05</f>
        <v>1329.6671169600002</v>
      </c>
      <c r="AI4" s="11">
        <f t="shared" si="0"/>
        <v>1396.1504728080001</v>
      </c>
      <c r="AJ4" s="11">
        <f t="shared" si="0"/>
        <v>1465.9579964484003</v>
      </c>
      <c r="AK4" s="11">
        <f t="shared" si="0"/>
        <v>1539.2558962708204</v>
      </c>
      <c r="AL4" s="11">
        <f t="shared" si="0"/>
        <v>1616.2186910843614</v>
      </c>
      <c r="AM4" s="11">
        <f t="shared" si="0"/>
        <v>1697.0296256385795</v>
      </c>
      <c r="AN4" s="11">
        <f t="shared" si="0"/>
        <v>1781.8811069205085</v>
      </c>
      <c r="AO4" s="11">
        <f t="shared" si="0"/>
        <v>1870.975162266534</v>
      </c>
    </row>
    <row r="5" spans="1:41" s="11" customFormat="1" x14ac:dyDescent="0.25">
      <c r="A5" s="2" t="s">
        <v>2</v>
      </c>
      <c r="B5" s="7">
        <v>269.21901400000002</v>
      </c>
      <c r="C5" s="2" t="s">
        <v>35</v>
      </c>
      <c r="H5" s="11">
        <v>0</v>
      </c>
      <c r="I5" s="11">
        <v>0</v>
      </c>
      <c r="J5" s="11">
        <v>3.3000000000000002E-2</v>
      </c>
      <c r="K5" s="11">
        <v>1.7000000000000001E-2</v>
      </c>
      <c r="L5" s="11">
        <v>0</v>
      </c>
      <c r="M5" s="11">
        <v>0</v>
      </c>
      <c r="N5" s="11">
        <v>2.4E-2</v>
      </c>
      <c r="O5" s="11">
        <v>6.4000000000000001E-2</v>
      </c>
      <c r="P5" s="11">
        <v>8.1000000000000003E-2</v>
      </c>
      <c r="Q5" s="11">
        <v>-7.9000000000000001E-2</v>
      </c>
      <c r="R5" s="11">
        <v>3.1E-2</v>
      </c>
      <c r="S5" s="11">
        <v>1.4999999999999999E-2</v>
      </c>
      <c r="T5" s="11">
        <v>0</v>
      </c>
      <c r="U5" s="11">
        <v>0</v>
      </c>
      <c r="V5" s="2"/>
      <c r="W5" s="2"/>
      <c r="X5" s="2"/>
      <c r="Y5" s="2"/>
      <c r="Z5" s="11">
        <v>5.2210000000000001</v>
      </c>
      <c r="AA5" s="11">
        <v>7.0000000000000001E-3</v>
      </c>
      <c r="AB5" s="11">
        <v>0.157</v>
      </c>
      <c r="AC5" s="11">
        <v>0.14499999999999999</v>
      </c>
      <c r="AD5" s="11">
        <v>8.8999999999999996E-2</v>
      </c>
      <c r="AE5" s="11">
        <v>4.9000000000000002E-2</v>
      </c>
      <c r="AF5" s="16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</row>
    <row r="6" spans="1:41" s="12" customFormat="1" x14ac:dyDescent="0.25">
      <c r="A6" s="2" t="s">
        <v>3</v>
      </c>
      <c r="B6" s="5">
        <f>B4*B5</f>
        <v>9059.2198210999995</v>
      </c>
      <c r="C6" s="1" t="s">
        <v>36</v>
      </c>
      <c r="D6" s="12">
        <f t="shared" ref="D6:N6" si="1">SUM(D4:D5)</f>
        <v>0</v>
      </c>
      <c r="E6" s="12">
        <f t="shared" si="1"/>
        <v>0</v>
      </c>
      <c r="F6" s="12">
        <f t="shared" si="1"/>
        <v>0</v>
      </c>
      <c r="G6" s="12">
        <f t="shared" si="1"/>
        <v>0</v>
      </c>
      <c r="H6" s="12">
        <f t="shared" si="1"/>
        <v>283.39299999999997</v>
      </c>
      <c r="I6" s="12">
        <f t="shared" si="1"/>
        <v>278.024</v>
      </c>
      <c r="J6" s="12">
        <f t="shared" si="1"/>
        <v>283.49299999999999</v>
      </c>
      <c r="K6" s="12">
        <f t="shared" si="1"/>
        <v>287.18299999999999</v>
      </c>
      <c r="L6" s="12">
        <f t="shared" si="1"/>
        <v>291.923</v>
      </c>
      <c r="M6" s="12">
        <f t="shared" si="1"/>
        <v>288.38400000000001</v>
      </c>
      <c r="N6" s="12">
        <f t="shared" si="1"/>
        <v>292.82799999999997</v>
      </c>
      <c r="O6" s="12">
        <f>SUM(O4:O5)</f>
        <v>283.45600000000002</v>
      </c>
      <c r="P6" s="12">
        <f t="shared" ref="P6:R6" si="2">SUM(P4:P5)</f>
        <v>310.32100000000003</v>
      </c>
      <c r="Q6" s="12">
        <f t="shared" si="2"/>
        <v>289.62099999999998</v>
      </c>
      <c r="R6" s="12">
        <f t="shared" si="2"/>
        <v>289.67900000000003</v>
      </c>
      <c r="S6" s="12">
        <f>SUM(S4:S5)</f>
        <v>316.01499999999999</v>
      </c>
      <c r="T6" s="12">
        <f>SUM(T4:T5)</f>
        <v>298.19499999999999</v>
      </c>
      <c r="U6" s="12">
        <f>SUM(U4:U5)</f>
        <v>303.87700000000001</v>
      </c>
      <c r="V6" s="2"/>
      <c r="W6" s="2"/>
      <c r="X6" s="2">
        <f>SUM(T6:U6)*2</f>
        <v>1204.144</v>
      </c>
      <c r="Y6" s="2"/>
      <c r="Z6" s="12">
        <f t="shared" ref="Z6:AE6" si="3">SUM(Z4:Z5)</f>
        <v>913.99400000000003</v>
      </c>
      <c r="AA6" s="12">
        <f t="shared" si="3"/>
        <v>940.25299999999993</v>
      </c>
      <c r="AB6" s="12">
        <f t="shared" si="3"/>
        <v>1023.8530000000001</v>
      </c>
      <c r="AC6" s="12">
        <f t="shared" si="3"/>
        <v>1132.1879999999999</v>
      </c>
      <c r="AD6" s="12">
        <f t="shared" si="3"/>
        <v>1156.5909999999999</v>
      </c>
      <c r="AE6" s="12">
        <f t="shared" si="3"/>
        <v>1205.6369999999999</v>
      </c>
      <c r="AF6" s="50">
        <f t="shared" ref="AF6:AO6" si="4">SUM(AF4:AF5)</f>
        <v>1217.6438800000001</v>
      </c>
      <c r="AG6" s="12">
        <f t="shared" si="4"/>
        <v>1266.3496352000002</v>
      </c>
      <c r="AH6" s="12">
        <f t="shared" si="4"/>
        <v>1329.6671169600002</v>
      </c>
      <c r="AI6" s="12">
        <f t="shared" si="4"/>
        <v>1396.1504728080001</v>
      </c>
      <c r="AJ6" s="12">
        <f t="shared" si="4"/>
        <v>1465.9579964484003</v>
      </c>
      <c r="AK6" s="12">
        <f t="shared" si="4"/>
        <v>1539.2558962708204</v>
      </c>
      <c r="AL6" s="12">
        <f t="shared" si="4"/>
        <v>1616.2186910843614</v>
      </c>
      <c r="AM6" s="12">
        <f t="shared" si="4"/>
        <v>1697.0296256385795</v>
      </c>
      <c r="AN6" s="12">
        <f t="shared" si="4"/>
        <v>1781.8811069205085</v>
      </c>
      <c r="AO6" s="12">
        <f t="shared" si="4"/>
        <v>1870.975162266534</v>
      </c>
    </row>
    <row r="7" spans="1:41" s="11" customFormat="1" x14ac:dyDescent="0.25">
      <c r="A7" s="2" t="s">
        <v>4</v>
      </c>
      <c r="B7" s="5">
        <v>675.18</v>
      </c>
      <c r="C7" s="2" t="s">
        <v>37</v>
      </c>
      <c r="H7" s="11">
        <v>-182.15799999999999</v>
      </c>
      <c r="I7" s="11">
        <v>-174.97300000000001</v>
      </c>
      <c r="J7" s="11">
        <v>-175.44900000000001</v>
      </c>
      <c r="K7" s="11">
        <v>-187.21600000000001</v>
      </c>
      <c r="L7" s="11">
        <v>-181.65700000000001</v>
      </c>
      <c r="M7" s="11">
        <v>-178.44</v>
      </c>
      <c r="N7" s="11">
        <v>-184.83500000000001</v>
      </c>
      <c r="O7" s="11">
        <v>-174.821</v>
      </c>
      <c r="P7" s="11">
        <v>-196.72900000000001</v>
      </c>
      <c r="Q7" s="11">
        <v>-177.68</v>
      </c>
      <c r="R7" s="11">
        <v>-173.58199999999999</v>
      </c>
      <c r="S7" s="11">
        <v>-199.92</v>
      </c>
      <c r="T7" s="11">
        <v>-187.226</v>
      </c>
      <c r="U7" s="11">
        <v>-189.477</v>
      </c>
      <c r="V7" s="2"/>
      <c r="W7" s="2"/>
      <c r="X7" s="2"/>
      <c r="Y7" s="2"/>
      <c r="Z7" s="11">
        <v>-576.63699999999994</v>
      </c>
      <c r="AA7" s="11">
        <v>-607.91300000000001</v>
      </c>
      <c r="AB7" s="11">
        <v>-681.47400000000005</v>
      </c>
      <c r="AC7" s="11">
        <v>-719.79600000000005</v>
      </c>
      <c r="AD7" s="11">
        <v>-719.75300000000004</v>
      </c>
      <c r="AE7" s="11">
        <v>-747.91099999999994</v>
      </c>
      <c r="AF7" s="16">
        <f>AF6*-0.625</f>
        <v>-761.02742499999999</v>
      </c>
      <c r="AG7" s="11">
        <f t="shared" ref="AG7:AO7" si="5">AG6*-0.62</f>
        <v>-785.1367738240001</v>
      </c>
      <c r="AH7" s="11">
        <f t="shared" si="5"/>
        <v>-824.39361251520006</v>
      </c>
      <c r="AI7" s="11">
        <f t="shared" si="5"/>
        <v>-865.61329314096008</v>
      </c>
      <c r="AJ7" s="11">
        <f t="shared" si="5"/>
        <v>-908.89395779800816</v>
      </c>
      <c r="AK7" s="11">
        <f t="shared" si="5"/>
        <v>-954.33865568790861</v>
      </c>
      <c r="AL7" s="11">
        <f t="shared" si="5"/>
        <v>-1002.0555884723041</v>
      </c>
      <c r="AM7" s="11">
        <f t="shared" si="5"/>
        <v>-1052.1583678959194</v>
      </c>
      <c r="AN7" s="11">
        <f t="shared" si="5"/>
        <v>-1104.7662862907152</v>
      </c>
      <c r="AO7" s="11">
        <f t="shared" si="5"/>
        <v>-1160.004600605251</v>
      </c>
    </row>
    <row r="8" spans="1:41" s="11" customFormat="1" x14ac:dyDescent="0.25">
      <c r="A8" s="2" t="s">
        <v>5</v>
      </c>
      <c r="B8" s="5">
        <v>3549.67</v>
      </c>
      <c r="C8" s="2" t="s">
        <v>98</v>
      </c>
      <c r="D8" s="11">
        <f t="shared" ref="D8:N8" si="6">SUM(D6:D7)</f>
        <v>0</v>
      </c>
      <c r="E8" s="11">
        <f t="shared" si="6"/>
        <v>0</v>
      </c>
      <c r="F8" s="11">
        <f t="shared" si="6"/>
        <v>0</v>
      </c>
      <c r="G8" s="11">
        <f t="shared" si="6"/>
        <v>0</v>
      </c>
      <c r="H8" s="11">
        <f t="shared" si="6"/>
        <v>101.23499999999999</v>
      </c>
      <c r="I8" s="11">
        <f t="shared" si="6"/>
        <v>103.05099999999999</v>
      </c>
      <c r="J8" s="11">
        <f t="shared" si="6"/>
        <v>108.04399999999998</v>
      </c>
      <c r="K8" s="11">
        <f t="shared" si="6"/>
        <v>99.966999999999985</v>
      </c>
      <c r="L8" s="11">
        <f t="shared" si="6"/>
        <v>110.26599999999999</v>
      </c>
      <c r="M8" s="11">
        <f t="shared" si="6"/>
        <v>109.94400000000002</v>
      </c>
      <c r="N8" s="11">
        <f t="shared" si="6"/>
        <v>107.99299999999997</v>
      </c>
      <c r="O8" s="11">
        <f>SUM(O6:O7)</f>
        <v>108.63500000000002</v>
      </c>
      <c r="P8" s="11">
        <f t="shared" ref="P8:R8" si="7">SUM(P6:P7)</f>
        <v>113.59200000000001</v>
      </c>
      <c r="Q8" s="11">
        <f t="shared" si="7"/>
        <v>111.94099999999997</v>
      </c>
      <c r="R8" s="11">
        <f t="shared" si="7"/>
        <v>116.09700000000004</v>
      </c>
      <c r="S8" s="11">
        <f>SUM(S6:S7)</f>
        <v>116.095</v>
      </c>
      <c r="T8" s="11">
        <f>SUM(T6:T7)</f>
        <v>110.96899999999999</v>
      </c>
      <c r="U8" s="11">
        <f>SUM(U6:U7)</f>
        <v>114.4</v>
      </c>
      <c r="V8" s="2"/>
      <c r="W8" s="2"/>
      <c r="X8" s="2"/>
      <c r="Y8" s="2"/>
      <c r="Z8" s="11">
        <f t="shared" ref="Z8:AE8" si="8">SUM(Z6:Z7)</f>
        <v>337.35700000000008</v>
      </c>
      <c r="AA8" s="11">
        <f t="shared" si="8"/>
        <v>332.33999999999992</v>
      </c>
      <c r="AB8" s="11">
        <f t="shared" si="8"/>
        <v>342.37900000000002</v>
      </c>
      <c r="AC8" s="11">
        <f t="shared" si="8"/>
        <v>412.39199999999983</v>
      </c>
      <c r="AD8" s="11">
        <f t="shared" si="8"/>
        <v>436.83799999999985</v>
      </c>
      <c r="AE8" s="11">
        <f t="shared" si="8"/>
        <v>457.726</v>
      </c>
      <c r="AF8" s="16">
        <f t="shared" ref="AF8:AO8" si="9">SUM(AF6:AF7)</f>
        <v>456.61645500000009</v>
      </c>
      <c r="AG8" s="11">
        <f t="shared" si="9"/>
        <v>481.21286137600009</v>
      </c>
      <c r="AH8" s="11">
        <f t="shared" si="9"/>
        <v>505.2735044448001</v>
      </c>
      <c r="AI8" s="11">
        <f t="shared" si="9"/>
        <v>530.53717966704005</v>
      </c>
      <c r="AJ8" s="11">
        <f t="shared" si="9"/>
        <v>557.06403865039215</v>
      </c>
      <c r="AK8" s="11">
        <f t="shared" si="9"/>
        <v>584.91724058291175</v>
      </c>
      <c r="AL8" s="11">
        <f t="shared" si="9"/>
        <v>614.16310261205729</v>
      </c>
      <c r="AM8" s="11">
        <f t="shared" si="9"/>
        <v>644.87125774266019</v>
      </c>
      <c r="AN8" s="11">
        <f t="shared" si="9"/>
        <v>677.11482062979326</v>
      </c>
      <c r="AO8" s="11">
        <f t="shared" si="9"/>
        <v>710.970561661283</v>
      </c>
    </row>
    <row r="9" spans="1:41" s="11" customFormat="1" x14ac:dyDescent="0.25">
      <c r="A9" s="3" t="s">
        <v>6</v>
      </c>
      <c r="B9" s="6">
        <f>B6-B7+B8</f>
        <v>11933.709821099999</v>
      </c>
      <c r="C9" s="2" t="s">
        <v>38</v>
      </c>
      <c r="H9" s="11">
        <v>-47.054000000000002</v>
      </c>
      <c r="I9" s="11">
        <v>-47.423999999999999</v>
      </c>
      <c r="J9" s="11">
        <v>-46.517000000000003</v>
      </c>
      <c r="K9" s="11">
        <v>-48.627000000000002</v>
      </c>
      <c r="L9" s="11">
        <v>-49.853999999999999</v>
      </c>
      <c r="M9" s="11">
        <v>-51.418999999999997</v>
      </c>
      <c r="N9" s="11">
        <v>-49.82</v>
      </c>
      <c r="O9" s="11">
        <v>-52.149000000000001</v>
      </c>
      <c r="P9" s="11">
        <v>-53.475999999999999</v>
      </c>
      <c r="Q9" s="11">
        <v>-52.210999999999999</v>
      </c>
      <c r="R9" s="11">
        <v>-51.57</v>
      </c>
      <c r="S9" s="11">
        <v>-54.026000000000003</v>
      </c>
      <c r="T9" s="11">
        <v>-55.616999999999997</v>
      </c>
      <c r="U9" s="11">
        <v>-56.393999999999998</v>
      </c>
      <c r="V9" s="2"/>
      <c r="W9" s="2"/>
      <c r="X9" s="2"/>
      <c r="Y9" s="2"/>
      <c r="Z9" s="11">
        <v>-168.57300000000001</v>
      </c>
      <c r="AA9" s="11">
        <v>-171.66399999999999</v>
      </c>
      <c r="AB9" s="11">
        <v>-176.721</v>
      </c>
      <c r="AC9" s="11">
        <v>-189.62299999999999</v>
      </c>
      <c r="AD9" s="11">
        <v>-203.24299999999999</v>
      </c>
      <c r="AE9" s="11">
        <v>-211.28399999999999</v>
      </c>
      <c r="AF9" s="16">
        <f>AE9*1.02</f>
        <v>-215.50968</v>
      </c>
      <c r="AG9" s="11">
        <f>AF9*1.03</f>
        <v>-221.97497040000002</v>
      </c>
      <c r="AH9" s="11">
        <f t="shared" ref="AH9:AO9" si="10">AG9*1.04</f>
        <v>-230.85396921600002</v>
      </c>
      <c r="AI9" s="11">
        <f t="shared" si="10"/>
        <v>-240.08812798464004</v>
      </c>
      <c r="AJ9" s="11">
        <f t="shared" si="10"/>
        <v>-249.69165310402565</v>
      </c>
      <c r="AK9" s="11">
        <f t="shared" si="10"/>
        <v>-259.67931922818667</v>
      </c>
      <c r="AL9" s="11">
        <f t="shared" si="10"/>
        <v>-270.06649199731413</v>
      </c>
      <c r="AM9" s="11">
        <f t="shared" si="10"/>
        <v>-280.86915167720673</v>
      </c>
      <c r="AN9" s="11">
        <f t="shared" si="10"/>
        <v>-292.10391774429502</v>
      </c>
      <c r="AO9" s="11">
        <f t="shared" si="10"/>
        <v>-303.78807445406682</v>
      </c>
    </row>
    <row r="10" spans="1:41" s="11" customFormat="1" x14ac:dyDescent="0.25">
      <c r="A10" s="2"/>
      <c r="B10" s="4"/>
      <c r="C10" s="2" t="s">
        <v>39</v>
      </c>
      <c r="H10" s="11">
        <v>-15.223000000000001</v>
      </c>
      <c r="I10" s="11">
        <v>-14.77</v>
      </c>
      <c r="J10" s="11">
        <v>-15.657999999999999</v>
      </c>
      <c r="K10" s="11">
        <v>-14.494999999999999</v>
      </c>
      <c r="L10" s="11">
        <v>-15.885</v>
      </c>
      <c r="M10" s="11">
        <v>-14.916</v>
      </c>
      <c r="N10" s="11">
        <v>-16.567</v>
      </c>
      <c r="O10" s="11">
        <v>-17.007999999999999</v>
      </c>
      <c r="P10" s="11">
        <v>-15.895</v>
      </c>
      <c r="Q10" s="11">
        <v>-15.933</v>
      </c>
      <c r="R10" s="11">
        <v>-17.759</v>
      </c>
      <c r="S10" s="11">
        <v>-18.552</v>
      </c>
      <c r="T10" s="11">
        <v>-16.416</v>
      </c>
      <c r="U10" s="11">
        <v>-17</v>
      </c>
      <c r="V10" s="2"/>
      <c r="W10" s="2"/>
      <c r="X10" s="2"/>
      <c r="Y10" s="2"/>
      <c r="Z10" s="11">
        <v>-52.209000000000003</v>
      </c>
      <c r="AA10" s="11">
        <v>-56.45</v>
      </c>
      <c r="AB10" s="11">
        <v>-61.527999999999999</v>
      </c>
      <c r="AC10" s="11">
        <v>-60.146999999999998</v>
      </c>
      <c r="AD10" s="11">
        <v>-64.376999999999995</v>
      </c>
      <c r="AE10" s="11">
        <v>-68.138999999999996</v>
      </c>
      <c r="AF10" s="16">
        <f t="shared" ref="AF10:AF12" si="11">AE10*1.02</f>
        <v>-69.501779999999997</v>
      </c>
      <c r="AG10" s="11">
        <f t="shared" ref="AG10:AO12" si="12">AF10*1.04</f>
        <v>-72.281851200000006</v>
      </c>
      <c r="AH10" s="11">
        <f t="shared" si="12"/>
        <v>-75.173125248000005</v>
      </c>
      <c r="AI10" s="11">
        <f t="shared" si="12"/>
        <v>-78.180050257920001</v>
      </c>
      <c r="AJ10" s="11">
        <f t="shared" si="12"/>
        <v>-81.307252268236809</v>
      </c>
      <c r="AK10" s="11">
        <f t="shared" si="12"/>
        <v>-84.559542358966283</v>
      </c>
      <c r="AL10" s="11">
        <f t="shared" si="12"/>
        <v>-87.941924053324939</v>
      </c>
      <c r="AM10" s="11">
        <f t="shared" si="12"/>
        <v>-91.459601015457935</v>
      </c>
      <c r="AN10" s="11">
        <f t="shared" si="12"/>
        <v>-95.11798505607625</v>
      </c>
      <c r="AO10" s="11">
        <f t="shared" si="12"/>
        <v>-98.922704458319302</v>
      </c>
    </row>
    <row r="11" spans="1:41" s="11" customFormat="1" x14ac:dyDescent="0.25">
      <c r="A11" s="2"/>
      <c r="B11" s="4"/>
      <c r="C11" s="2" t="s">
        <v>40</v>
      </c>
      <c r="H11" s="11">
        <v>-7.6999999999999999E-2</v>
      </c>
      <c r="I11" s="11">
        <v>-9.0999999999999998E-2</v>
      </c>
      <c r="J11" s="11">
        <v>-0.4</v>
      </c>
      <c r="K11" s="11">
        <v>-0.61799999999999999</v>
      </c>
      <c r="L11" s="11">
        <v>-0.16</v>
      </c>
      <c r="M11" s="11">
        <v>-0.41499999999999998</v>
      </c>
      <c r="N11" s="11">
        <v>-9.7000000000000003E-2</v>
      </c>
      <c r="O11" s="11">
        <v>-1.897</v>
      </c>
      <c r="P11" s="11">
        <v>-3.6999999999999998E-2</v>
      </c>
      <c r="Q11" s="11">
        <v>-1.034</v>
      </c>
      <c r="R11" s="11">
        <v>-0.17599999999999999</v>
      </c>
      <c r="S11" s="11">
        <v>-3.0000000000000001E-3</v>
      </c>
      <c r="T11" s="11">
        <v>0</v>
      </c>
      <c r="U11" s="11">
        <v>0</v>
      </c>
      <c r="V11" s="2"/>
      <c r="W11" s="2"/>
      <c r="X11" s="2"/>
      <c r="Y11" s="2"/>
      <c r="Z11" s="11">
        <v>0</v>
      </c>
      <c r="AA11" s="11">
        <v>0</v>
      </c>
      <c r="AB11" s="11">
        <v>-6.5990000000000002</v>
      </c>
      <c r="AC11" s="11">
        <v>-1.1859999999999999</v>
      </c>
      <c r="AD11" s="11">
        <v>-2.5680000000000001</v>
      </c>
      <c r="AE11" s="11">
        <v>-1.248</v>
      </c>
      <c r="AF11" s="16">
        <f t="shared" si="11"/>
        <v>-1.2729600000000001</v>
      </c>
      <c r="AG11" s="11">
        <f t="shared" si="12"/>
        <v>-1.3238784000000001</v>
      </c>
      <c r="AH11" s="11">
        <f t="shared" si="12"/>
        <v>-1.3768335360000001</v>
      </c>
      <c r="AI11" s="11">
        <f t="shared" si="12"/>
        <v>-1.4319068774400001</v>
      </c>
      <c r="AJ11" s="11">
        <f t="shared" si="12"/>
        <v>-1.4891831525376003</v>
      </c>
      <c r="AK11" s="11">
        <f t="shared" si="12"/>
        <v>-1.5487504786391044</v>
      </c>
      <c r="AL11" s="11">
        <f t="shared" si="12"/>
        <v>-1.6107004977846686</v>
      </c>
      <c r="AM11" s="11">
        <f t="shared" si="12"/>
        <v>-1.6751285176960553</v>
      </c>
      <c r="AN11" s="11">
        <f t="shared" si="12"/>
        <v>-1.7421336584038976</v>
      </c>
      <c r="AO11" s="11">
        <f t="shared" si="12"/>
        <v>-1.8118190047400535</v>
      </c>
    </row>
    <row r="12" spans="1:41" s="11" customFormat="1" x14ac:dyDescent="0.25">
      <c r="A12" s="2" t="s">
        <v>69</v>
      </c>
      <c r="B12" s="4">
        <v>10.9</v>
      </c>
      <c r="C12" s="2" t="s">
        <v>41</v>
      </c>
      <c r="H12" s="11">
        <v>-14.223000000000001</v>
      </c>
      <c r="I12" s="11">
        <v>-15.329000000000001</v>
      </c>
      <c r="J12" s="11">
        <v>-15.093999999999999</v>
      </c>
      <c r="K12" s="11">
        <v>-13.974</v>
      </c>
      <c r="L12" s="11">
        <v>-16.523</v>
      </c>
      <c r="M12" s="11">
        <v>-17.378</v>
      </c>
      <c r="N12" s="11">
        <v>-14.022</v>
      </c>
      <c r="O12" s="11">
        <v>-18.372</v>
      </c>
      <c r="P12" s="11">
        <v>-18.004000000000001</v>
      </c>
      <c r="Q12" s="11">
        <v>-16.026</v>
      </c>
      <c r="R12" s="11">
        <v>-16.814</v>
      </c>
      <c r="S12" s="11">
        <v>-17.768000000000001</v>
      </c>
      <c r="T12" s="11">
        <v>-17.670000000000002</v>
      </c>
      <c r="U12" s="11">
        <v>-16.268999999999998</v>
      </c>
      <c r="V12" s="2"/>
      <c r="W12" s="2"/>
      <c r="X12" s="2"/>
      <c r="Y12" s="2"/>
      <c r="Z12" s="11">
        <v>-45.917999999999999</v>
      </c>
      <c r="AA12" s="11">
        <v>-50.149000000000001</v>
      </c>
      <c r="AB12" s="11">
        <v>-55.756999999999998</v>
      </c>
      <c r="AC12" s="11">
        <v>-58.658000000000001</v>
      </c>
      <c r="AD12" s="11">
        <v>-67.194999999999993</v>
      </c>
      <c r="AE12" s="11">
        <v>-68.611000000000004</v>
      </c>
      <c r="AF12" s="16">
        <f t="shared" si="11"/>
        <v>-69.983220000000003</v>
      </c>
      <c r="AG12" s="11">
        <f t="shared" si="12"/>
        <v>-72.782548800000001</v>
      </c>
      <c r="AH12" s="11">
        <f t="shared" si="12"/>
        <v>-75.693850752000003</v>
      </c>
      <c r="AI12" s="11">
        <f t="shared" si="12"/>
        <v>-78.721604782080007</v>
      </c>
      <c r="AJ12" s="11">
        <f t="shared" si="12"/>
        <v>-81.870468973363216</v>
      </c>
      <c r="AK12" s="11">
        <f t="shared" si="12"/>
        <v>-85.145287732297746</v>
      </c>
      <c r="AL12" s="11">
        <f t="shared" si="12"/>
        <v>-88.551099241589654</v>
      </c>
      <c r="AM12" s="11">
        <f t="shared" si="12"/>
        <v>-92.093143211253249</v>
      </c>
      <c r="AN12" s="11">
        <f t="shared" si="12"/>
        <v>-95.776868939703377</v>
      </c>
      <c r="AO12" s="11">
        <f t="shared" si="12"/>
        <v>-99.607943697291518</v>
      </c>
    </row>
    <row r="13" spans="1:41" s="12" customFormat="1" x14ac:dyDescent="0.25">
      <c r="A13" s="2"/>
      <c r="B13" s="4"/>
      <c r="C13" s="1" t="s">
        <v>42</v>
      </c>
      <c r="D13" s="12">
        <f t="shared" ref="D13:N13" si="13">SUM(D8:D12)</f>
        <v>0</v>
      </c>
      <c r="E13" s="12">
        <f t="shared" si="13"/>
        <v>0</v>
      </c>
      <c r="F13" s="12">
        <f t="shared" si="13"/>
        <v>0</v>
      </c>
      <c r="G13" s="12">
        <f t="shared" si="13"/>
        <v>0</v>
      </c>
      <c r="H13" s="12">
        <f t="shared" si="13"/>
        <v>24.657999999999987</v>
      </c>
      <c r="I13" s="12">
        <f t="shared" si="13"/>
        <v>25.436999999999983</v>
      </c>
      <c r="J13" s="12">
        <f t="shared" si="13"/>
        <v>30.374999999999979</v>
      </c>
      <c r="K13" s="12">
        <f t="shared" si="13"/>
        <v>22.252999999999982</v>
      </c>
      <c r="L13" s="12">
        <f t="shared" si="13"/>
        <v>27.843999999999998</v>
      </c>
      <c r="M13" s="12">
        <f t="shared" si="13"/>
        <v>25.816000000000024</v>
      </c>
      <c r="N13" s="12">
        <f t="shared" si="13"/>
        <v>27.486999999999966</v>
      </c>
      <c r="O13" s="12">
        <f>SUM(O8:O12)</f>
        <v>19.209000000000024</v>
      </c>
      <c r="P13" s="12">
        <f t="shared" ref="P13:R13" si="14">SUM(P8:P12)</f>
        <v>26.180000000000017</v>
      </c>
      <c r="Q13" s="12">
        <f t="shared" si="14"/>
        <v>26.736999999999977</v>
      </c>
      <c r="R13" s="12">
        <f t="shared" si="14"/>
        <v>29.778000000000041</v>
      </c>
      <c r="S13" s="12">
        <f>SUM(S8:S12)</f>
        <v>25.745999999999995</v>
      </c>
      <c r="T13" s="12">
        <f>SUM(T8:T12)</f>
        <v>21.265999999999991</v>
      </c>
      <c r="U13" s="12">
        <f>SUM(U8:U12)</f>
        <v>24.737000000000009</v>
      </c>
      <c r="V13" s="2"/>
      <c r="W13" s="2"/>
      <c r="X13" s="2"/>
      <c r="Y13" s="1"/>
      <c r="Z13" s="12">
        <f t="shared" ref="Z13:AE13" si="15">SUM(Z8:Z12)</f>
        <v>70.657000000000068</v>
      </c>
      <c r="AA13" s="12">
        <f t="shared" si="15"/>
        <v>54.076999999999927</v>
      </c>
      <c r="AB13" s="12">
        <f t="shared" si="15"/>
        <v>41.774000000000022</v>
      </c>
      <c r="AC13" s="12">
        <f t="shared" si="15"/>
        <v>102.77799999999984</v>
      </c>
      <c r="AD13" s="12">
        <f t="shared" si="15"/>
        <v>99.454999999999842</v>
      </c>
      <c r="AE13" s="12">
        <f t="shared" si="15"/>
        <v>108.444</v>
      </c>
      <c r="AF13" s="50">
        <f t="shared" ref="AF13:AO13" si="16">SUM(AF8:AF12)</f>
        <v>100.34881500000007</v>
      </c>
      <c r="AG13" s="12">
        <f t="shared" si="16"/>
        <v>112.84961257600006</v>
      </c>
      <c r="AH13" s="12">
        <f t="shared" si="16"/>
        <v>122.17572569280009</v>
      </c>
      <c r="AI13" s="12">
        <f t="shared" si="16"/>
        <v>132.11548976495999</v>
      </c>
      <c r="AJ13" s="12">
        <f t="shared" si="16"/>
        <v>142.70548115222886</v>
      </c>
      <c r="AK13" s="12">
        <f t="shared" si="16"/>
        <v>153.98434078482194</v>
      </c>
      <c r="AL13" s="12">
        <f t="shared" si="16"/>
        <v>165.99288682204389</v>
      </c>
      <c r="AM13" s="12">
        <f t="shared" si="16"/>
        <v>178.77423332104618</v>
      </c>
      <c r="AN13" s="12">
        <f t="shared" si="16"/>
        <v>192.37391523131475</v>
      </c>
      <c r="AO13" s="12">
        <f t="shared" si="16"/>
        <v>206.84002004686531</v>
      </c>
    </row>
    <row r="14" spans="1:41" s="11" customFormat="1" x14ac:dyDescent="0.25">
      <c r="A14" s="11" t="s">
        <v>154</v>
      </c>
      <c r="B14" s="47">
        <f>(B8-B7)/(U29*B12)</f>
        <v>1.4832096675988895</v>
      </c>
      <c r="C14" s="2" t="s">
        <v>43</v>
      </c>
      <c r="H14" s="11">
        <v>-5</v>
      </c>
      <c r="I14" s="11">
        <v>0</v>
      </c>
      <c r="J14" s="11">
        <v>-5.5430000000000001</v>
      </c>
      <c r="K14" s="11">
        <v>-9.6950000000000003</v>
      </c>
      <c r="L14" s="11">
        <v>-2</v>
      </c>
      <c r="M14" s="11">
        <v>-1</v>
      </c>
      <c r="N14" s="11">
        <v>-11.516999999999999</v>
      </c>
      <c r="O14" s="11">
        <v>-1.708</v>
      </c>
      <c r="P14" s="11">
        <v>-6.3029999999999999</v>
      </c>
      <c r="Q14" s="11">
        <v>-15.222</v>
      </c>
      <c r="R14" s="11">
        <v>-4.024</v>
      </c>
      <c r="S14" s="11">
        <v>-4.1529999999999996</v>
      </c>
      <c r="T14" s="11">
        <v>-1.274</v>
      </c>
      <c r="U14" s="11">
        <v>-5</v>
      </c>
      <c r="V14" s="2"/>
      <c r="W14" s="2"/>
      <c r="X14" s="2"/>
      <c r="Y14" s="2"/>
      <c r="Z14" s="11">
        <v>-13.602</v>
      </c>
      <c r="AA14" s="11">
        <v>-7.6689999999999996</v>
      </c>
      <c r="AB14" s="11">
        <v>0.255</v>
      </c>
      <c r="AC14" s="11">
        <v>-24.754999999999999</v>
      </c>
      <c r="AD14" s="11">
        <v>-20.399999999999999</v>
      </c>
      <c r="AE14" s="11">
        <v>-29.702999999999999</v>
      </c>
      <c r="AF14" s="16">
        <v>-30</v>
      </c>
      <c r="AG14" s="11">
        <v>-30</v>
      </c>
      <c r="AH14" s="11">
        <v>-30</v>
      </c>
      <c r="AI14" s="11">
        <v>-30</v>
      </c>
      <c r="AJ14" s="11">
        <v>-30</v>
      </c>
      <c r="AK14" s="11">
        <v>-30</v>
      </c>
      <c r="AL14" s="11">
        <v>-30</v>
      </c>
      <c r="AM14" s="11">
        <v>-30</v>
      </c>
      <c r="AN14" s="11">
        <v>-30</v>
      </c>
      <c r="AO14" s="11">
        <v>-30</v>
      </c>
    </row>
    <row r="15" spans="1:41" s="11" customFormat="1" x14ac:dyDescent="0.25">
      <c r="A15" s="2"/>
      <c r="B15" s="4"/>
      <c r="C15" s="2" t="s">
        <v>44</v>
      </c>
      <c r="H15" s="11">
        <v>-2</v>
      </c>
      <c r="I15" s="11">
        <v>0</v>
      </c>
      <c r="J15" s="11">
        <v>1.8939999999999999</v>
      </c>
      <c r="K15" s="11">
        <v>2.7530000000000001</v>
      </c>
      <c r="L15" s="11">
        <v>0</v>
      </c>
      <c r="M15" s="11">
        <v>0</v>
      </c>
      <c r="N15" s="11">
        <v>2.1269999999999998</v>
      </c>
      <c r="O15" s="11">
        <v>2.7160000000000002</v>
      </c>
      <c r="P15" s="11">
        <v>2.5350000000000001</v>
      </c>
      <c r="Q15" s="11">
        <v>0.97599999999999998</v>
      </c>
      <c r="R15" s="11">
        <v>1.431</v>
      </c>
      <c r="S15" s="11">
        <v>1.877</v>
      </c>
      <c r="T15" s="11">
        <v>2</v>
      </c>
      <c r="U15" s="11">
        <v>1.1779999999999999</v>
      </c>
      <c r="V15" s="2"/>
      <c r="W15" s="2"/>
      <c r="Y15" s="2"/>
      <c r="Z15" s="11">
        <v>3.1549999999999998</v>
      </c>
      <c r="AA15" s="11">
        <v>3.5750000000000002</v>
      </c>
      <c r="AB15" s="11">
        <v>4.3780000000000001</v>
      </c>
      <c r="AC15" s="11">
        <v>6.8550000000000004</v>
      </c>
      <c r="AD15" s="11">
        <v>9.6959999999999997</v>
      </c>
      <c r="AE15" s="11">
        <v>6.819</v>
      </c>
      <c r="AF15" s="16">
        <v>7</v>
      </c>
      <c r="AG15" s="11">
        <v>7</v>
      </c>
      <c r="AH15" s="11">
        <v>7</v>
      </c>
      <c r="AI15" s="11">
        <v>7</v>
      </c>
      <c r="AJ15" s="11">
        <v>7</v>
      </c>
      <c r="AK15" s="11">
        <v>7</v>
      </c>
      <c r="AL15" s="11">
        <v>7</v>
      </c>
      <c r="AM15" s="11">
        <v>7</v>
      </c>
      <c r="AN15" s="11">
        <v>7</v>
      </c>
      <c r="AO15" s="11">
        <v>7</v>
      </c>
    </row>
    <row r="16" spans="1:41" s="11" customFormat="1" x14ac:dyDescent="0.25">
      <c r="A16" s="2"/>
      <c r="B16" s="4"/>
      <c r="C16" s="2" t="s">
        <v>45</v>
      </c>
      <c r="D16" s="11">
        <f t="shared" ref="D16:N16" si="17">SUM(D13:D15)</f>
        <v>0</v>
      </c>
      <c r="E16" s="11">
        <f t="shared" si="17"/>
        <v>0</v>
      </c>
      <c r="F16" s="11">
        <f t="shared" si="17"/>
        <v>0</v>
      </c>
      <c r="G16" s="11">
        <f t="shared" si="17"/>
        <v>0</v>
      </c>
      <c r="H16" s="11">
        <f t="shared" si="17"/>
        <v>17.657999999999987</v>
      </c>
      <c r="I16" s="11">
        <f t="shared" si="17"/>
        <v>25.436999999999983</v>
      </c>
      <c r="J16" s="11">
        <f t="shared" si="17"/>
        <v>26.725999999999978</v>
      </c>
      <c r="K16" s="11">
        <f t="shared" si="17"/>
        <v>15.310999999999982</v>
      </c>
      <c r="L16" s="11">
        <f t="shared" si="17"/>
        <v>25.843999999999998</v>
      </c>
      <c r="M16" s="11">
        <f t="shared" si="17"/>
        <v>24.816000000000024</v>
      </c>
      <c r="N16" s="11">
        <f t="shared" si="17"/>
        <v>18.096999999999966</v>
      </c>
      <c r="O16" s="11">
        <f>SUM(O13:O15)</f>
        <v>20.217000000000027</v>
      </c>
      <c r="P16" s="11">
        <f t="shared" ref="P16:R16" si="18">SUM(P13:P15)</f>
        <v>22.412000000000017</v>
      </c>
      <c r="Q16" s="11">
        <f t="shared" si="18"/>
        <v>12.490999999999978</v>
      </c>
      <c r="R16" s="11">
        <f t="shared" si="18"/>
        <v>27.185000000000041</v>
      </c>
      <c r="S16" s="11">
        <f>SUM(S13:S15)</f>
        <v>23.469999999999995</v>
      </c>
      <c r="T16" s="11">
        <f>SUM(T13:T15)</f>
        <v>21.99199999999999</v>
      </c>
      <c r="U16" s="11">
        <f>SUM(U13:U15)</f>
        <v>20.91500000000001</v>
      </c>
      <c r="V16" s="2"/>
      <c r="W16" s="2"/>
      <c r="Y16" s="2"/>
      <c r="Z16" s="11">
        <f t="shared" ref="Z16:AE16" si="19">SUM(Z13:Z15)</f>
        <v>60.210000000000065</v>
      </c>
      <c r="AA16" s="11">
        <f t="shared" si="19"/>
        <v>49.982999999999933</v>
      </c>
      <c r="AB16" s="11">
        <f t="shared" si="19"/>
        <v>46.407000000000025</v>
      </c>
      <c r="AC16" s="11">
        <f t="shared" si="19"/>
        <v>84.877999999999844</v>
      </c>
      <c r="AD16" s="11">
        <f t="shared" si="19"/>
        <v>88.750999999999834</v>
      </c>
      <c r="AE16" s="11">
        <f t="shared" si="19"/>
        <v>85.56</v>
      </c>
      <c r="AF16" s="16">
        <f t="shared" ref="AF16:AO16" si="20">SUM(AF13:AF15)</f>
        <v>77.348815000000073</v>
      </c>
      <c r="AG16" s="11">
        <f t="shared" si="20"/>
        <v>89.849612576000055</v>
      </c>
      <c r="AH16" s="11">
        <f t="shared" si="20"/>
        <v>99.175725692800086</v>
      </c>
      <c r="AI16" s="11">
        <f t="shared" si="20"/>
        <v>109.11548976495999</v>
      </c>
      <c r="AJ16" s="11">
        <f t="shared" si="20"/>
        <v>119.70548115222886</v>
      </c>
      <c r="AK16" s="11">
        <f t="shared" si="20"/>
        <v>130.98434078482194</v>
      </c>
      <c r="AL16" s="11">
        <f t="shared" si="20"/>
        <v>142.99288682204389</v>
      </c>
      <c r="AM16" s="11">
        <f t="shared" si="20"/>
        <v>155.77423332104618</v>
      </c>
      <c r="AN16" s="11">
        <f t="shared" si="20"/>
        <v>169.37391523131475</v>
      </c>
      <c r="AO16" s="11">
        <f t="shared" si="20"/>
        <v>183.84002004686531</v>
      </c>
    </row>
    <row r="17" spans="1:251" s="11" customFormat="1" x14ac:dyDescent="0.25">
      <c r="A17" s="2"/>
      <c r="B17" s="4"/>
      <c r="C17" s="2" t="s">
        <v>46</v>
      </c>
      <c r="H17" s="11">
        <v>-1.9470000000000001</v>
      </c>
      <c r="I17" s="11">
        <v>-4.2750000000000004</v>
      </c>
      <c r="J17" s="11">
        <v>-7.3479999999999999</v>
      </c>
      <c r="K17" s="11">
        <v>-1.843</v>
      </c>
      <c r="L17" s="11">
        <v>-4.2939999999999996</v>
      </c>
      <c r="M17" s="11">
        <v>-8.5609999999999999</v>
      </c>
      <c r="N17" s="11">
        <v>-1.639</v>
      </c>
      <c r="O17" s="11">
        <v>-12.71</v>
      </c>
      <c r="P17" s="11">
        <v>-5.1280000000000001</v>
      </c>
      <c r="Q17" s="11">
        <v>-3.1070000000000002</v>
      </c>
      <c r="R17" s="11">
        <v>-9</v>
      </c>
      <c r="S17" s="11">
        <v>-6.8360000000000003</v>
      </c>
      <c r="T17" s="11">
        <v>-5.149</v>
      </c>
      <c r="U17" s="11">
        <v>-4.8730000000000002</v>
      </c>
      <c r="V17" s="2"/>
      <c r="W17" s="2"/>
      <c r="Y17" s="2"/>
      <c r="Z17" s="11">
        <v>-12.381</v>
      </c>
      <c r="AA17" s="11">
        <v>-16.172999999999998</v>
      </c>
      <c r="AB17" s="11">
        <v>-12.188000000000001</v>
      </c>
      <c r="AC17" s="11">
        <v>-15.513</v>
      </c>
      <c r="AD17" s="11">
        <v>-27.202999999999999</v>
      </c>
      <c r="AE17" s="11">
        <v>-24.071000000000002</v>
      </c>
      <c r="AF17" s="16">
        <f>AF16*-0.22</f>
        <v>-17.016739300000015</v>
      </c>
      <c r="AG17" s="11">
        <f t="shared" ref="AG17:AO17" si="21">AG16*-0.22</f>
        <v>-19.766914766720014</v>
      </c>
      <c r="AH17" s="11">
        <f t="shared" si="21"/>
        <v>-21.81865965241602</v>
      </c>
      <c r="AI17" s="11">
        <f t="shared" si="21"/>
        <v>-24.005407748291198</v>
      </c>
      <c r="AJ17" s="11">
        <f t="shared" si="21"/>
        <v>-26.335205853490347</v>
      </c>
      <c r="AK17" s="11">
        <f t="shared" si="21"/>
        <v>-28.816554972660828</v>
      </c>
      <c r="AL17" s="11">
        <f t="shared" si="21"/>
        <v>-31.458435100849655</v>
      </c>
      <c r="AM17" s="11">
        <f t="shared" si="21"/>
        <v>-34.270331330630164</v>
      </c>
      <c r="AN17" s="11">
        <f t="shared" si="21"/>
        <v>-37.262261350889247</v>
      </c>
      <c r="AO17" s="11">
        <f t="shared" si="21"/>
        <v>-40.444804410310368</v>
      </c>
    </row>
    <row r="18" spans="1:251" s="12" customFormat="1" x14ac:dyDescent="0.25">
      <c r="A18" s="2"/>
      <c r="B18" s="4"/>
      <c r="C18" s="1" t="s">
        <v>47</v>
      </c>
      <c r="D18" s="12">
        <f t="shared" ref="D18:N18" si="22">SUM(D16:D17)</f>
        <v>0</v>
      </c>
      <c r="E18" s="12">
        <f t="shared" si="22"/>
        <v>0</v>
      </c>
      <c r="F18" s="12">
        <f t="shared" si="22"/>
        <v>0</v>
      </c>
      <c r="G18" s="12">
        <f t="shared" si="22"/>
        <v>0</v>
      </c>
      <c r="H18" s="12">
        <f t="shared" si="22"/>
        <v>15.710999999999988</v>
      </c>
      <c r="I18" s="12">
        <f t="shared" si="22"/>
        <v>21.161999999999985</v>
      </c>
      <c r="J18" s="12">
        <f t="shared" si="22"/>
        <v>19.377999999999979</v>
      </c>
      <c r="K18" s="12">
        <f t="shared" si="22"/>
        <v>13.467999999999982</v>
      </c>
      <c r="L18" s="12">
        <f t="shared" si="22"/>
        <v>21.549999999999997</v>
      </c>
      <c r="M18" s="12">
        <f t="shared" si="22"/>
        <v>16.255000000000024</v>
      </c>
      <c r="N18" s="12">
        <f t="shared" si="22"/>
        <v>16.457999999999966</v>
      </c>
      <c r="O18" s="12">
        <f>SUM(O16:O17)</f>
        <v>7.5070000000000263</v>
      </c>
      <c r="P18" s="12">
        <f t="shared" ref="P18:R18" si="23">SUM(P16:P17)</f>
        <v>17.284000000000017</v>
      </c>
      <c r="Q18" s="12">
        <f t="shared" si="23"/>
        <v>9.383999999999979</v>
      </c>
      <c r="R18" s="12">
        <f t="shared" si="23"/>
        <v>18.185000000000041</v>
      </c>
      <c r="S18" s="12">
        <f>SUM(S16:S17)</f>
        <v>16.633999999999993</v>
      </c>
      <c r="T18" s="12">
        <f>SUM(T16:T17)</f>
        <v>16.842999999999989</v>
      </c>
      <c r="U18" s="12">
        <f>SUM(U16:U17)</f>
        <v>16.042000000000009</v>
      </c>
      <c r="V18" s="2"/>
      <c r="W18" s="2"/>
      <c r="Y18" s="1"/>
      <c r="Z18" s="12">
        <f t="shared" ref="Z18:AE18" si="24">SUM(Z16:Z17)</f>
        <v>47.829000000000065</v>
      </c>
      <c r="AA18" s="12">
        <f t="shared" si="24"/>
        <v>33.809999999999931</v>
      </c>
      <c r="AB18" s="12">
        <f t="shared" si="24"/>
        <v>34.219000000000023</v>
      </c>
      <c r="AC18" s="12">
        <f t="shared" si="24"/>
        <v>69.364999999999839</v>
      </c>
      <c r="AD18" s="12">
        <f t="shared" si="24"/>
        <v>61.547999999999831</v>
      </c>
      <c r="AE18" s="12">
        <f t="shared" si="24"/>
        <v>61.489000000000004</v>
      </c>
      <c r="AF18" s="50">
        <f t="shared" ref="AF18:AO18" si="25">SUM(AF16:AF17)</f>
        <v>60.332075700000061</v>
      </c>
      <c r="AG18" s="12">
        <f t="shared" si="25"/>
        <v>70.082697809280035</v>
      </c>
      <c r="AH18" s="12">
        <f t="shared" si="25"/>
        <v>77.357066040384069</v>
      </c>
      <c r="AI18" s="12">
        <f t="shared" si="25"/>
        <v>85.110082016668798</v>
      </c>
      <c r="AJ18" s="12">
        <f t="shared" si="25"/>
        <v>93.370275298738505</v>
      </c>
      <c r="AK18" s="12">
        <f t="shared" si="25"/>
        <v>102.16778581216111</v>
      </c>
      <c r="AL18" s="12">
        <f t="shared" si="25"/>
        <v>111.53445172119423</v>
      </c>
      <c r="AM18" s="12">
        <f t="shared" si="25"/>
        <v>121.50390199041601</v>
      </c>
      <c r="AN18" s="12">
        <f t="shared" si="25"/>
        <v>132.11165388042551</v>
      </c>
      <c r="AO18" s="12">
        <f t="shared" si="25"/>
        <v>143.39521563655495</v>
      </c>
      <c r="AP18" s="12">
        <f>AO18*(1+AR22)</f>
        <v>141.96126348018939</v>
      </c>
      <c r="AQ18" s="12">
        <f t="shared" ref="AQ18:DB18" si="26">AP18*(1+AS22)</f>
        <v>141.96126348018939</v>
      </c>
      <c r="AR18" s="12">
        <f t="shared" si="26"/>
        <v>141.96126348018939</v>
      </c>
      <c r="AS18" s="12">
        <f t="shared" si="26"/>
        <v>141.96126348018939</v>
      </c>
      <c r="AT18" s="12">
        <f t="shared" si="26"/>
        <v>141.96126348018939</v>
      </c>
      <c r="AU18" s="12">
        <f t="shared" si="26"/>
        <v>141.96126348018939</v>
      </c>
      <c r="AV18" s="12">
        <f t="shared" si="26"/>
        <v>141.96126348018939</v>
      </c>
      <c r="AW18" s="12">
        <f t="shared" si="26"/>
        <v>141.96126348018939</v>
      </c>
      <c r="AX18" s="12">
        <f t="shared" si="26"/>
        <v>141.96126348018939</v>
      </c>
      <c r="AY18" s="12">
        <f t="shared" si="26"/>
        <v>141.96126348018939</v>
      </c>
      <c r="AZ18" s="12">
        <f t="shared" si="26"/>
        <v>141.96126348018939</v>
      </c>
      <c r="BA18" s="12">
        <f t="shared" si="26"/>
        <v>141.96126348018939</v>
      </c>
      <c r="BB18" s="12">
        <f t="shared" si="26"/>
        <v>141.96126348018939</v>
      </c>
      <c r="BC18" s="12">
        <f t="shared" si="26"/>
        <v>141.96126348018939</v>
      </c>
      <c r="BD18" s="12">
        <f t="shared" si="26"/>
        <v>141.96126348018939</v>
      </c>
      <c r="BE18" s="12">
        <f t="shared" si="26"/>
        <v>141.96126348018939</v>
      </c>
      <c r="BF18" s="12">
        <f t="shared" si="26"/>
        <v>141.96126348018939</v>
      </c>
      <c r="BG18" s="12">
        <f t="shared" si="26"/>
        <v>141.96126348018939</v>
      </c>
      <c r="BH18" s="12">
        <f t="shared" si="26"/>
        <v>141.96126348018939</v>
      </c>
      <c r="BI18" s="12">
        <f t="shared" si="26"/>
        <v>141.96126348018939</v>
      </c>
      <c r="BJ18" s="12">
        <f t="shared" si="26"/>
        <v>141.96126348018939</v>
      </c>
      <c r="BK18" s="12">
        <f t="shared" si="26"/>
        <v>141.96126348018939</v>
      </c>
      <c r="BL18" s="12">
        <f t="shared" si="26"/>
        <v>141.96126348018939</v>
      </c>
      <c r="BM18" s="12">
        <f t="shared" si="26"/>
        <v>141.96126348018939</v>
      </c>
      <c r="BN18" s="12">
        <f t="shared" si="26"/>
        <v>141.96126348018939</v>
      </c>
      <c r="BO18" s="12">
        <f t="shared" si="26"/>
        <v>141.96126348018939</v>
      </c>
      <c r="BP18" s="12">
        <f t="shared" si="26"/>
        <v>141.96126348018939</v>
      </c>
      <c r="BQ18" s="12">
        <f t="shared" si="26"/>
        <v>141.96126348018939</v>
      </c>
      <c r="BR18" s="12">
        <f t="shared" si="26"/>
        <v>141.96126348018939</v>
      </c>
      <c r="BS18" s="12">
        <f t="shared" si="26"/>
        <v>141.96126348018939</v>
      </c>
      <c r="BT18" s="12">
        <f t="shared" si="26"/>
        <v>141.96126348018939</v>
      </c>
      <c r="BU18" s="12">
        <f t="shared" si="26"/>
        <v>141.96126348018939</v>
      </c>
      <c r="BV18" s="12">
        <f t="shared" si="26"/>
        <v>141.96126348018939</v>
      </c>
      <c r="BW18" s="12">
        <f t="shared" si="26"/>
        <v>141.96126348018939</v>
      </c>
      <c r="BX18" s="12">
        <f t="shared" si="26"/>
        <v>141.96126348018939</v>
      </c>
      <c r="BY18" s="12">
        <f t="shared" si="26"/>
        <v>141.96126348018939</v>
      </c>
      <c r="BZ18" s="12">
        <f t="shared" si="26"/>
        <v>141.96126348018939</v>
      </c>
      <c r="CA18" s="12">
        <f t="shared" si="26"/>
        <v>141.96126348018939</v>
      </c>
      <c r="CB18" s="12">
        <f t="shared" si="26"/>
        <v>141.96126348018939</v>
      </c>
      <c r="CC18" s="12">
        <f t="shared" si="26"/>
        <v>141.96126348018939</v>
      </c>
      <c r="CD18" s="12">
        <f t="shared" si="26"/>
        <v>141.96126348018939</v>
      </c>
      <c r="CE18" s="12">
        <f t="shared" si="26"/>
        <v>141.96126348018939</v>
      </c>
      <c r="CF18" s="12">
        <f t="shared" si="26"/>
        <v>141.96126348018939</v>
      </c>
      <c r="CG18" s="12">
        <f t="shared" si="26"/>
        <v>141.96126348018939</v>
      </c>
      <c r="CH18" s="12">
        <f t="shared" si="26"/>
        <v>141.96126348018939</v>
      </c>
      <c r="CI18" s="12">
        <f t="shared" si="26"/>
        <v>141.96126348018939</v>
      </c>
      <c r="CJ18" s="12">
        <f t="shared" si="26"/>
        <v>141.96126348018939</v>
      </c>
      <c r="CK18" s="12">
        <f t="shared" si="26"/>
        <v>141.96126348018939</v>
      </c>
      <c r="CL18" s="12">
        <f t="shared" si="26"/>
        <v>141.96126348018939</v>
      </c>
      <c r="CM18" s="12">
        <f t="shared" si="26"/>
        <v>141.96126348018939</v>
      </c>
      <c r="CN18" s="12">
        <f t="shared" si="26"/>
        <v>141.96126348018939</v>
      </c>
      <c r="CO18" s="12">
        <f t="shared" si="26"/>
        <v>141.96126348018939</v>
      </c>
      <c r="CP18" s="12">
        <f t="shared" si="26"/>
        <v>141.96126348018939</v>
      </c>
      <c r="CQ18" s="12">
        <f t="shared" si="26"/>
        <v>141.96126348018939</v>
      </c>
      <c r="CR18" s="12">
        <f t="shared" si="26"/>
        <v>141.96126348018939</v>
      </c>
      <c r="CS18" s="12">
        <f t="shared" si="26"/>
        <v>141.96126348018939</v>
      </c>
      <c r="CT18" s="12">
        <f t="shared" si="26"/>
        <v>141.96126348018939</v>
      </c>
      <c r="CU18" s="12">
        <f t="shared" si="26"/>
        <v>141.96126348018939</v>
      </c>
      <c r="CV18" s="12">
        <f t="shared" si="26"/>
        <v>141.96126348018939</v>
      </c>
      <c r="CW18" s="12">
        <f t="shared" si="26"/>
        <v>141.96126348018939</v>
      </c>
      <c r="CX18" s="12">
        <f t="shared" si="26"/>
        <v>141.96126348018939</v>
      </c>
      <c r="CY18" s="12">
        <f t="shared" si="26"/>
        <v>141.96126348018939</v>
      </c>
      <c r="CZ18" s="12">
        <f t="shared" si="26"/>
        <v>141.96126348018939</v>
      </c>
      <c r="DA18" s="12">
        <f t="shared" si="26"/>
        <v>141.96126348018939</v>
      </c>
      <c r="DB18" s="12">
        <f t="shared" si="26"/>
        <v>141.96126348018939</v>
      </c>
      <c r="DC18" s="12">
        <f t="shared" ref="DC18:FN18" si="27">DB18*(1+DE22)</f>
        <v>141.96126348018939</v>
      </c>
      <c r="DD18" s="12">
        <f t="shared" si="27"/>
        <v>141.96126348018939</v>
      </c>
      <c r="DE18" s="12">
        <f t="shared" si="27"/>
        <v>141.96126348018939</v>
      </c>
      <c r="DF18" s="12">
        <f t="shared" si="27"/>
        <v>141.96126348018939</v>
      </c>
      <c r="DG18" s="12">
        <f t="shared" si="27"/>
        <v>141.96126348018939</v>
      </c>
      <c r="DH18" s="12">
        <f t="shared" si="27"/>
        <v>141.96126348018939</v>
      </c>
      <c r="DI18" s="12">
        <f t="shared" si="27"/>
        <v>141.96126348018939</v>
      </c>
      <c r="DJ18" s="12">
        <f t="shared" si="27"/>
        <v>141.96126348018939</v>
      </c>
      <c r="DK18" s="12">
        <f t="shared" si="27"/>
        <v>141.96126348018939</v>
      </c>
      <c r="DL18" s="12">
        <f t="shared" si="27"/>
        <v>141.96126348018939</v>
      </c>
      <c r="DM18" s="12">
        <f t="shared" si="27"/>
        <v>141.96126348018939</v>
      </c>
      <c r="DN18" s="12">
        <f t="shared" si="27"/>
        <v>141.96126348018939</v>
      </c>
      <c r="DO18" s="12">
        <f t="shared" si="27"/>
        <v>141.96126348018939</v>
      </c>
      <c r="DP18" s="12">
        <f t="shared" si="27"/>
        <v>141.96126348018939</v>
      </c>
      <c r="DQ18" s="12">
        <f t="shared" si="27"/>
        <v>141.96126348018939</v>
      </c>
      <c r="DR18" s="12">
        <f t="shared" si="27"/>
        <v>141.96126348018939</v>
      </c>
      <c r="DS18" s="12">
        <f t="shared" si="27"/>
        <v>141.96126348018939</v>
      </c>
      <c r="DT18" s="12">
        <f t="shared" si="27"/>
        <v>141.96126348018939</v>
      </c>
      <c r="DU18" s="12">
        <f t="shared" si="27"/>
        <v>141.96126348018939</v>
      </c>
      <c r="DV18" s="12">
        <f t="shared" si="27"/>
        <v>141.96126348018939</v>
      </c>
      <c r="DW18" s="12">
        <f t="shared" si="27"/>
        <v>141.96126348018939</v>
      </c>
      <c r="DX18" s="12">
        <f t="shared" si="27"/>
        <v>141.96126348018939</v>
      </c>
      <c r="DY18" s="12">
        <f t="shared" si="27"/>
        <v>141.96126348018939</v>
      </c>
      <c r="DZ18" s="12">
        <f t="shared" si="27"/>
        <v>141.96126348018939</v>
      </c>
      <c r="EA18" s="12">
        <f t="shared" si="27"/>
        <v>141.96126348018939</v>
      </c>
      <c r="EB18" s="12">
        <f t="shared" si="27"/>
        <v>141.96126348018939</v>
      </c>
      <c r="EC18" s="12">
        <f t="shared" si="27"/>
        <v>141.96126348018939</v>
      </c>
      <c r="ED18" s="12">
        <f t="shared" si="27"/>
        <v>141.96126348018939</v>
      </c>
      <c r="EE18" s="12">
        <f t="shared" si="27"/>
        <v>141.96126348018939</v>
      </c>
      <c r="EF18" s="12">
        <f t="shared" si="27"/>
        <v>141.96126348018939</v>
      </c>
      <c r="EG18" s="12">
        <f t="shared" si="27"/>
        <v>141.96126348018939</v>
      </c>
      <c r="EH18" s="12">
        <f t="shared" si="27"/>
        <v>141.96126348018939</v>
      </c>
      <c r="EI18" s="12">
        <f t="shared" si="27"/>
        <v>141.96126348018939</v>
      </c>
      <c r="EJ18" s="12">
        <f t="shared" si="27"/>
        <v>141.96126348018939</v>
      </c>
      <c r="EK18" s="12">
        <f t="shared" si="27"/>
        <v>141.96126348018939</v>
      </c>
      <c r="EL18" s="12">
        <f t="shared" si="27"/>
        <v>141.96126348018939</v>
      </c>
      <c r="EM18" s="12">
        <f t="shared" si="27"/>
        <v>141.96126348018939</v>
      </c>
      <c r="EN18" s="12">
        <f t="shared" si="27"/>
        <v>141.96126348018939</v>
      </c>
      <c r="EO18" s="12">
        <f t="shared" si="27"/>
        <v>141.96126348018939</v>
      </c>
      <c r="EP18" s="12">
        <f t="shared" si="27"/>
        <v>141.96126348018939</v>
      </c>
      <c r="EQ18" s="12">
        <f t="shared" si="27"/>
        <v>141.96126348018939</v>
      </c>
      <c r="ER18" s="12">
        <f t="shared" si="27"/>
        <v>141.96126348018939</v>
      </c>
      <c r="ES18" s="12">
        <f t="shared" si="27"/>
        <v>141.96126348018939</v>
      </c>
      <c r="ET18" s="12">
        <f t="shared" si="27"/>
        <v>141.96126348018939</v>
      </c>
      <c r="EU18" s="12">
        <f t="shared" si="27"/>
        <v>141.96126348018939</v>
      </c>
      <c r="EV18" s="12">
        <f t="shared" si="27"/>
        <v>141.96126348018939</v>
      </c>
      <c r="EW18" s="12">
        <f t="shared" si="27"/>
        <v>141.96126348018939</v>
      </c>
      <c r="EX18" s="12">
        <f t="shared" si="27"/>
        <v>141.96126348018939</v>
      </c>
      <c r="EY18" s="12">
        <f t="shared" si="27"/>
        <v>141.96126348018939</v>
      </c>
      <c r="EZ18" s="12">
        <f t="shared" si="27"/>
        <v>141.96126348018939</v>
      </c>
      <c r="FA18" s="12">
        <f t="shared" si="27"/>
        <v>141.96126348018939</v>
      </c>
      <c r="FB18" s="12">
        <f t="shared" si="27"/>
        <v>141.96126348018939</v>
      </c>
      <c r="FC18" s="12">
        <f t="shared" si="27"/>
        <v>141.96126348018939</v>
      </c>
      <c r="FD18" s="12">
        <f t="shared" si="27"/>
        <v>141.96126348018939</v>
      </c>
      <c r="FE18" s="12">
        <f t="shared" si="27"/>
        <v>141.96126348018939</v>
      </c>
      <c r="FF18" s="12">
        <f t="shared" si="27"/>
        <v>141.96126348018939</v>
      </c>
      <c r="FG18" s="12">
        <f t="shared" si="27"/>
        <v>141.96126348018939</v>
      </c>
      <c r="FH18" s="12">
        <f t="shared" si="27"/>
        <v>141.96126348018939</v>
      </c>
      <c r="FI18" s="12">
        <f t="shared" si="27"/>
        <v>141.96126348018939</v>
      </c>
      <c r="FJ18" s="12">
        <f t="shared" si="27"/>
        <v>141.96126348018939</v>
      </c>
      <c r="FK18" s="12">
        <f t="shared" si="27"/>
        <v>141.96126348018939</v>
      </c>
      <c r="FL18" s="12">
        <f t="shared" si="27"/>
        <v>141.96126348018939</v>
      </c>
      <c r="FM18" s="12">
        <f t="shared" si="27"/>
        <v>141.96126348018939</v>
      </c>
      <c r="FN18" s="12">
        <f t="shared" si="27"/>
        <v>141.96126348018939</v>
      </c>
      <c r="FO18" s="12">
        <f t="shared" ref="FO18:HZ18" si="28">FN18*(1+FQ22)</f>
        <v>141.96126348018939</v>
      </c>
      <c r="FP18" s="12">
        <f t="shared" si="28"/>
        <v>141.96126348018939</v>
      </c>
      <c r="FQ18" s="12">
        <f t="shared" si="28"/>
        <v>141.96126348018939</v>
      </c>
      <c r="FR18" s="12">
        <f t="shared" si="28"/>
        <v>141.96126348018939</v>
      </c>
      <c r="FS18" s="12">
        <f t="shared" si="28"/>
        <v>141.96126348018939</v>
      </c>
      <c r="FT18" s="12">
        <f t="shared" si="28"/>
        <v>141.96126348018939</v>
      </c>
      <c r="FU18" s="12">
        <f t="shared" si="28"/>
        <v>141.96126348018939</v>
      </c>
      <c r="FV18" s="12">
        <f t="shared" si="28"/>
        <v>141.96126348018939</v>
      </c>
      <c r="FW18" s="12">
        <f t="shared" si="28"/>
        <v>141.96126348018939</v>
      </c>
      <c r="FX18" s="12">
        <f t="shared" si="28"/>
        <v>141.96126348018939</v>
      </c>
      <c r="FY18" s="12">
        <f t="shared" si="28"/>
        <v>141.96126348018939</v>
      </c>
      <c r="FZ18" s="12">
        <f t="shared" si="28"/>
        <v>141.96126348018939</v>
      </c>
      <c r="GA18" s="12">
        <f t="shared" si="28"/>
        <v>141.96126348018939</v>
      </c>
      <c r="GB18" s="12">
        <f t="shared" si="28"/>
        <v>141.96126348018939</v>
      </c>
      <c r="GC18" s="12">
        <f t="shared" si="28"/>
        <v>141.96126348018939</v>
      </c>
      <c r="GD18" s="12">
        <f t="shared" si="28"/>
        <v>141.96126348018939</v>
      </c>
      <c r="GE18" s="12">
        <f t="shared" si="28"/>
        <v>141.96126348018939</v>
      </c>
      <c r="GF18" s="12">
        <f t="shared" si="28"/>
        <v>141.96126348018939</v>
      </c>
      <c r="GG18" s="12">
        <f t="shared" si="28"/>
        <v>141.96126348018939</v>
      </c>
      <c r="GH18" s="12">
        <f t="shared" si="28"/>
        <v>141.96126348018939</v>
      </c>
      <c r="GI18" s="12">
        <f t="shared" si="28"/>
        <v>141.96126348018939</v>
      </c>
      <c r="GJ18" s="12">
        <f t="shared" si="28"/>
        <v>141.96126348018939</v>
      </c>
      <c r="GK18" s="12">
        <f t="shared" si="28"/>
        <v>141.96126348018939</v>
      </c>
      <c r="GL18" s="12">
        <f t="shared" si="28"/>
        <v>141.96126348018939</v>
      </c>
      <c r="GM18" s="12">
        <f t="shared" si="28"/>
        <v>141.96126348018939</v>
      </c>
      <c r="GN18" s="12">
        <f t="shared" si="28"/>
        <v>141.96126348018939</v>
      </c>
      <c r="GO18" s="12">
        <f t="shared" si="28"/>
        <v>141.96126348018939</v>
      </c>
      <c r="GP18" s="12">
        <f t="shared" si="28"/>
        <v>141.96126348018939</v>
      </c>
      <c r="GQ18" s="12">
        <f t="shared" si="28"/>
        <v>141.96126348018939</v>
      </c>
      <c r="GR18" s="12">
        <f t="shared" si="28"/>
        <v>141.96126348018939</v>
      </c>
      <c r="GS18" s="12">
        <f t="shared" si="28"/>
        <v>141.96126348018939</v>
      </c>
      <c r="GT18" s="12">
        <f t="shared" si="28"/>
        <v>141.96126348018939</v>
      </c>
      <c r="GU18" s="12">
        <f t="shared" si="28"/>
        <v>141.96126348018939</v>
      </c>
      <c r="GV18" s="12">
        <f t="shared" si="28"/>
        <v>141.96126348018939</v>
      </c>
      <c r="GW18" s="12">
        <f t="shared" si="28"/>
        <v>141.96126348018939</v>
      </c>
      <c r="GX18" s="12">
        <f t="shared" si="28"/>
        <v>141.96126348018939</v>
      </c>
      <c r="GY18" s="12">
        <f t="shared" si="28"/>
        <v>141.96126348018939</v>
      </c>
      <c r="GZ18" s="12">
        <f t="shared" si="28"/>
        <v>141.96126348018939</v>
      </c>
      <c r="HA18" s="12">
        <f t="shared" si="28"/>
        <v>141.96126348018939</v>
      </c>
      <c r="HB18" s="12">
        <f t="shared" si="28"/>
        <v>141.96126348018939</v>
      </c>
      <c r="HC18" s="12">
        <f t="shared" si="28"/>
        <v>141.96126348018939</v>
      </c>
      <c r="HD18" s="12">
        <f t="shared" si="28"/>
        <v>141.96126348018939</v>
      </c>
      <c r="HE18" s="12">
        <f t="shared" si="28"/>
        <v>141.96126348018939</v>
      </c>
      <c r="HF18" s="12">
        <f t="shared" si="28"/>
        <v>141.96126348018939</v>
      </c>
      <c r="HG18" s="12">
        <f t="shared" si="28"/>
        <v>141.96126348018939</v>
      </c>
      <c r="HH18" s="12">
        <f t="shared" si="28"/>
        <v>141.96126348018939</v>
      </c>
      <c r="HI18" s="12">
        <f t="shared" si="28"/>
        <v>141.96126348018939</v>
      </c>
      <c r="HJ18" s="12">
        <f t="shared" si="28"/>
        <v>141.96126348018939</v>
      </c>
      <c r="HK18" s="12">
        <f t="shared" si="28"/>
        <v>141.96126348018939</v>
      </c>
      <c r="HL18" s="12">
        <f t="shared" si="28"/>
        <v>141.96126348018939</v>
      </c>
      <c r="HM18" s="12">
        <f t="shared" si="28"/>
        <v>141.96126348018939</v>
      </c>
      <c r="HN18" s="12">
        <f t="shared" si="28"/>
        <v>141.96126348018939</v>
      </c>
      <c r="HO18" s="12">
        <f t="shared" si="28"/>
        <v>141.96126348018939</v>
      </c>
      <c r="HP18" s="12">
        <f t="shared" si="28"/>
        <v>141.96126348018939</v>
      </c>
      <c r="HQ18" s="12">
        <f t="shared" si="28"/>
        <v>141.96126348018939</v>
      </c>
      <c r="HR18" s="12">
        <f t="shared" si="28"/>
        <v>141.96126348018939</v>
      </c>
      <c r="HS18" s="12">
        <f t="shared" si="28"/>
        <v>141.96126348018939</v>
      </c>
      <c r="HT18" s="12">
        <f t="shared" si="28"/>
        <v>141.96126348018939</v>
      </c>
      <c r="HU18" s="12">
        <f t="shared" si="28"/>
        <v>141.96126348018939</v>
      </c>
      <c r="HV18" s="12">
        <f t="shared" si="28"/>
        <v>141.96126348018939</v>
      </c>
      <c r="HW18" s="12">
        <f t="shared" si="28"/>
        <v>141.96126348018939</v>
      </c>
      <c r="HX18" s="12">
        <f t="shared" si="28"/>
        <v>141.96126348018939</v>
      </c>
      <c r="HY18" s="12">
        <f t="shared" si="28"/>
        <v>141.96126348018939</v>
      </c>
      <c r="HZ18" s="12">
        <f t="shared" si="28"/>
        <v>141.96126348018939</v>
      </c>
      <c r="IA18" s="12">
        <f t="shared" ref="IA18:IQ18" si="29">HZ18*(1+IC22)</f>
        <v>141.96126348018939</v>
      </c>
      <c r="IB18" s="12">
        <f t="shared" si="29"/>
        <v>141.96126348018939</v>
      </c>
      <c r="IC18" s="12">
        <f t="shared" si="29"/>
        <v>141.96126348018939</v>
      </c>
      <c r="ID18" s="12">
        <f t="shared" si="29"/>
        <v>141.96126348018939</v>
      </c>
      <c r="IE18" s="12">
        <f t="shared" si="29"/>
        <v>141.96126348018939</v>
      </c>
      <c r="IF18" s="12">
        <f t="shared" si="29"/>
        <v>141.96126348018939</v>
      </c>
      <c r="IG18" s="12">
        <f t="shared" si="29"/>
        <v>141.96126348018939</v>
      </c>
      <c r="IH18" s="12">
        <f t="shared" si="29"/>
        <v>141.96126348018939</v>
      </c>
      <c r="II18" s="12">
        <f t="shared" si="29"/>
        <v>141.96126348018939</v>
      </c>
      <c r="IJ18" s="12">
        <f t="shared" si="29"/>
        <v>141.96126348018939</v>
      </c>
      <c r="IK18" s="12">
        <f t="shared" si="29"/>
        <v>141.96126348018939</v>
      </c>
      <c r="IL18" s="12">
        <f t="shared" si="29"/>
        <v>141.96126348018939</v>
      </c>
      <c r="IM18" s="12">
        <f t="shared" si="29"/>
        <v>141.96126348018939</v>
      </c>
      <c r="IN18" s="12">
        <f t="shared" si="29"/>
        <v>141.96126348018939</v>
      </c>
      <c r="IO18" s="12">
        <f t="shared" si="29"/>
        <v>141.96126348018939</v>
      </c>
      <c r="IP18" s="12">
        <f t="shared" si="29"/>
        <v>141.96126348018939</v>
      </c>
      <c r="IQ18" s="12">
        <f t="shared" si="29"/>
        <v>141.96126348018939</v>
      </c>
    </row>
    <row r="19" spans="1:251" x14ac:dyDescent="0.25">
      <c r="C19" s="2" t="s">
        <v>48</v>
      </c>
      <c r="D19" s="10">
        <v>269.21901400000002</v>
      </c>
      <c r="E19" s="10">
        <v>269.21901400000002</v>
      </c>
      <c r="F19" s="10">
        <v>269.21901400000002</v>
      </c>
      <c r="G19" s="10">
        <v>269.21901400000002</v>
      </c>
      <c r="H19" s="10">
        <v>269.21901400000002</v>
      </c>
      <c r="I19" s="10">
        <v>269.21901400000002</v>
      </c>
      <c r="J19" s="10">
        <v>269.21901400000002</v>
      </c>
      <c r="K19" s="10">
        <v>269.21901400000002</v>
      </c>
      <c r="L19" s="10">
        <v>269.21901400000002</v>
      </c>
      <c r="M19" s="10">
        <v>269.21901400000002</v>
      </c>
      <c r="N19" s="10">
        <v>269.21901400000002</v>
      </c>
      <c r="O19" s="10">
        <v>269.21901400000002</v>
      </c>
      <c r="P19" s="10">
        <v>269.21901400000002</v>
      </c>
      <c r="Q19" s="10">
        <v>269.21901400000002</v>
      </c>
      <c r="R19" s="10">
        <v>269.21901400000002</v>
      </c>
      <c r="S19" s="10">
        <v>269.21901400000002</v>
      </c>
      <c r="T19" s="10">
        <v>269.21901400000002</v>
      </c>
      <c r="U19" s="10">
        <v>269.21901400000002</v>
      </c>
      <c r="Z19" s="10">
        <v>269.21901400000002</v>
      </c>
      <c r="AA19" s="10">
        <v>269.21901400000002</v>
      </c>
      <c r="AB19" s="10">
        <v>269.21901400000002</v>
      </c>
      <c r="AC19" s="10">
        <v>269.21901400000002</v>
      </c>
      <c r="AD19" s="10">
        <v>269.21901400000002</v>
      </c>
      <c r="AE19" s="10">
        <v>269.21901400000002</v>
      </c>
      <c r="AF19" s="7">
        <v>269.21901400000002</v>
      </c>
      <c r="AG19" s="10">
        <v>269.21901400000002</v>
      </c>
      <c r="AH19" s="10">
        <v>269.21901400000002</v>
      </c>
      <c r="AI19" s="10">
        <v>269.21901400000002</v>
      </c>
      <c r="AJ19" s="10">
        <v>269.21901400000002</v>
      </c>
      <c r="AK19" s="10">
        <v>269.21901400000002</v>
      </c>
      <c r="AL19" s="10">
        <v>269.21901400000002</v>
      </c>
      <c r="AM19" s="10">
        <v>269.21901400000002</v>
      </c>
      <c r="AN19" s="10">
        <v>269.21901400000002</v>
      </c>
      <c r="AO19" s="10">
        <v>269.21901400000002</v>
      </c>
    </row>
    <row r="20" spans="1:251" x14ac:dyDescent="0.25">
      <c r="C20" s="2" t="s">
        <v>49</v>
      </c>
      <c r="D20" s="9">
        <f t="shared" ref="D20:N20" si="30">D18/D19</f>
        <v>0</v>
      </c>
      <c r="E20" s="9">
        <f t="shared" si="30"/>
        <v>0</v>
      </c>
      <c r="F20" s="9">
        <f t="shared" si="30"/>
        <v>0</v>
      </c>
      <c r="G20" s="9">
        <f t="shared" si="30"/>
        <v>0</v>
      </c>
      <c r="H20" s="9">
        <f t="shared" si="30"/>
        <v>5.8357690887315954E-2</v>
      </c>
      <c r="I20" s="9">
        <f t="shared" si="30"/>
        <v>7.8605146366073478E-2</v>
      </c>
      <c r="J20" s="9">
        <f t="shared" si="30"/>
        <v>7.1978571320374787E-2</v>
      </c>
      <c r="K20" s="9">
        <f t="shared" si="30"/>
        <v>5.0026184257550177E-2</v>
      </c>
      <c r="L20" s="9">
        <f t="shared" si="30"/>
        <v>8.0046352149555064E-2</v>
      </c>
      <c r="M20" s="9">
        <f t="shared" si="30"/>
        <v>6.0378350542506717E-2</v>
      </c>
      <c r="N20" s="9">
        <f t="shared" si="30"/>
        <v>6.1132383465307416E-2</v>
      </c>
      <c r="O20" s="9">
        <f>O18/O19</f>
        <v>2.7884360352051604E-2</v>
      </c>
      <c r="P20" s="9">
        <f t="shared" ref="P20:R20" si="31">P18/P19</f>
        <v>6.4200517427049256E-2</v>
      </c>
      <c r="Q20" s="9">
        <f t="shared" si="31"/>
        <v>3.48563790520382E-2</v>
      </c>
      <c r="R20" s="9">
        <f t="shared" si="31"/>
        <v>6.7547234980958812E-2</v>
      </c>
      <c r="S20" s="9">
        <f>S18/S19</f>
        <v>6.1786126294928009E-2</v>
      </c>
      <c r="T20" s="9">
        <f>T18/T19</f>
        <v>6.2562445905102335E-2</v>
      </c>
      <c r="U20" s="9">
        <f>U18/U19</f>
        <v>5.9587173140750037E-2</v>
      </c>
      <c r="Z20" s="9">
        <f t="shared" ref="Z20:AC20" si="32">Z18/Z19</f>
        <v>0.17765832839726567</v>
      </c>
      <c r="AA20" s="9">
        <f t="shared" si="32"/>
        <v>0.12558548334925529</v>
      </c>
      <c r="AB20" s="9">
        <f t="shared" si="32"/>
        <v>0.12710469253854417</v>
      </c>
      <c r="AC20" s="9">
        <f t="shared" si="32"/>
        <v>0.25765267827628191</v>
      </c>
      <c r="AD20" s="9">
        <f>AD18/AD19</f>
        <v>0.22861683907660335</v>
      </c>
      <c r="AE20" s="9">
        <f>AE18/AE19</f>
        <v>0.22839768665076532</v>
      </c>
      <c r="AF20" s="47">
        <f t="shared" ref="AF20:AO20" si="33">AF18/AF19</f>
        <v>0.22410035161929556</v>
      </c>
      <c r="AG20" s="9">
        <f t="shared" si="33"/>
        <v>0.26031852939361866</v>
      </c>
      <c r="AH20" s="9">
        <f t="shared" si="33"/>
        <v>0.28733879116125155</v>
      </c>
      <c r="AI20" s="9">
        <f t="shared" si="33"/>
        <v>0.31613696503869076</v>
      </c>
      <c r="AJ20" s="9">
        <f t="shared" si="33"/>
        <v>0.34681902259228431</v>
      </c>
      <c r="AK20" s="9">
        <f t="shared" si="33"/>
        <v>0.37949691700513066</v>
      </c>
      <c r="AL20" s="9">
        <f t="shared" si="33"/>
        <v>0.41428890947945535</v>
      </c>
      <c r="AM20" s="9">
        <f t="shared" si="33"/>
        <v>0.45131991305196595</v>
      </c>
      <c r="AN20" s="9">
        <f t="shared" si="33"/>
        <v>0.49072185473655106</v>
      </c>
      <c r="AO20" s="9">
        <f t="shared" si="33"/>
        <v>0.53263405695615151</v>
      </c>
    </row>
    <row r="21" spans="1:251" x14ac:dyDescent="0.25">
      <c r="C21" s="1"/>
      <c r="AQ21" s="2" t="s">
        <v>128</v>
      </c>
      <c r="AR21" s="25">
        <v>0.08</v>
      </c>
    </row>
    <row r="22" spans="1:251" x14ac:dyDescent="0.25">
      <c r="C22" s="1" t="s">
        <v>33</v>
      </c>
      <c r="D22" s="14"/>
      <c r="E22" s="14"/>
      <c r="F22" s="14"/>
      <c r="G22" s="14"/>
      <c r="H22" s="14" t="e">
        <f t="shared" ref="H22:O22" si="34">(H6-D6)/D6</f>
        <v>#DIV/0!</v>
      </c>
      <c r="I22" s="14" t="e">
        <f t="shared" si="34"/>
        <v>#DIV/0!</v>
      </c>
      <c r="J22" s="14" t="e">
        <f t="shared" si="34"/>
        <v>#DIV/0!</v>
      </c>
      <c r="K22" s="14" t="e">
        <f t="shared" si="34"/>
        <v>#DIV/0!</v>
      </c>
      <c r="L22" s="14">
        <f t="shared" si="34"/>
        <v>3.0099543743141256E-2</v>
      </c>
      <c r="M22" s="14">
        <f t="shared" si="34"/>
        <v>3.7262970103300486E-2</v>
      </c>
      <c r="N22" s="14">
        <f t="shared" si="34"/>
        <v>3.2928502643804182E-2</v>
      </c>
      <c r="O22" s="14">
        <f t="shared" si="34"/>
        <v>-1.2977787682418442E-2</v>
      </c>
      <c r="P22" s="14">
        <f t="shared" ref="P22:S22" si="35">(P6-L6)/L6</f>
        <v>6.3023468517383094E-2</v>
      </c>
      <c r="Q22" s="14">
        <f t="shared" si="35"/>
        <v>4.2894196626718758E-3</v>
      </c>
      <c r="R22" s="14">
        <f t="shared" si="35"/>
        <v>-1.075375305640152E-2</v>
      </c>
      <c r="S22" s="14">
        <f t="shared" si="35"/>
        <v>0.11486438812372984</v>
      </c>
      <c r="T22" s="14">
        <f t="shared" ref="T22" si="36">(T6-P6)/P6</f>
        <v>-3.9075666809529591E-2</v>
      </c>
      <c r="U22" s="14">
        <f t="shared" ref="U22" si="37">(U6-Q6)/Q6</f>
        <v>4.9222949993267165E-2</v>
      </c>
      <c r="V22" s="14">
        <f t="shared" ref="V22" si="38">(V6-R6)/R6</f>
        <v>-1</v>
      </c>
      <c r="W22" s="14">
        <f t="shared" ref="W22" si="39">(W6-S6)/S6</f>
        <v>-1</v>
      </c>
      <c r="Z22" s="14"/>
      <c r="AA22" s="14">
        <f t="shared" ref="AA22:AD22" si="40">(AA6-Z6)/Z6</f>
        <v>2.8729947899001417E-2</v>
      </c>
      <c r="AB22" s="14">
        <f t="shared" si="40"/>
        <v>8.8912239578071164E-2</v>
      </c>
      <c r="AC22" s="14">
        <f t="shared" si="40"/>
        <v>0.10581108811518822</v>
      </c>
      <c r="AD22" s="14">
        <f t="shared" si="40"/>
        <v>2.1553840881549727E-2</v>
      </c>
      <c r="AE22" s="14">
        <f>(AE6-AD6)/AD6</f>
        <v>4.2405655931958705E-2</v>
      </c>
      <c r="AF22" s="51">
        <f t="shared" ref="AF22:AO22" si="41">(AF6-AE6)/AE6</f>
        <v>9.9589511602581355E-3</v>
      </c>
      <c r="AG22" s="14">
        <f t="shared" si="41"/>
        <v>4.0000000000000091E-2</v>
      </c>
      <c r="AH22" s="14">
        <f t="shared" si="41"/>
        <v>4.9999999999999961E-2</v>
      </c>
      <c r="AI22" s="14">
        <f t="shared" si="41"/>
        <v>4.9999999999999975E-2</v>
      </c>
      <c r="AJ22" s="14">
        <f t="shared" si="41"/>
        <v>5.0000000000000121E-2</v>
      </c>
      <c r="AK22" s="14">
        <f t="shared" si="41"/>
        <v>5.0000000000000024E-2</v>
      </c>
      <c r="AL22" s="14">
        <f t="shared" si="41"/>
        <v>4.9999999999999982E-2</v>
      </c>
      <c r="AM22" s="14">
        <f t="shared" si="41"/>
        <v>5.0000000000000079E-2</v>
      </c>
      <c r="AN22" s="14">
        <f t="shared" si="41"/>
        <v>4.9999999999999989E-2</v>
      </c>
      <c r="AO22" s="14">
        <f t="shared" si="41"/>
        <v>5.0000000000000024E-2</v>
      </c>
      <c r="AQ22" s="2" t="s">
        <v>129</v>
      </c>
      <c r="AR22" s="25">
        <v>-0.01</v>
      </c>
    </row>
    <row r="23" spans="1:251" x14ac:dyDescent="0.25">
      <c r="C23" s="2" t="s">
        <v>94</v>
      </c>
      <c r="D23" s="13" t="e">
        <f t="shared" ref="D23:N23" si="42">D8/D6</f>
        <v>#DIV/0!</v>
      </c>
      <c r="E23" s="13" t="e">
        <f t="shared" si="42"/>
        <v>#DIV/0!</v>
      </c>
      <c r="F23" s="13" t="e">
        <f t="shared" si="42"/>
        <v>#DIV/0!</v>
      </c>
      <c r="G23" s="13" t="e">
        <f t="shared" si="42"/>
        <v>#DIV/0!</v>
      </c>
      <c r="H23" s="13">
        <f t="shared" si="42"/>
        <v>0.357224772665521</v>
      </c>
      <c r="I23" s="13">
        <f t="shared" si="42"/>
        <v>0.37065505136247223</v>
      </c>
      <c r="J23" s="13">
        <f t="shared" si="42"/>
        <v>0.38111699407040028</v>
      </c>
      <c r="K23" s="13">
        <f t="shared" si="42"/>
        <v>0.34809511705080032</v>
      </c>
      <c r="L23" s="13">
        <f t="shared" si="42"/>
        <v>0.37772289268060411</v>
      </c>
      <c r="M23" s="13">
        <f t="shared" si="42"/>
        <v>0.38124167776298273</v>
      </c>
      <c r="N23" s="13">
        <f t="shared" si="42"/>
        <v>0.36879328479516976</v>
      </c>
      <c r="O23" s="13">
        <f>O8/O6</f>
        <v>0.38325172160758642</v>
      </c>
      <c r="P23" s="13">
        <f t="shared" ref="P23:S23" si="43">P8/P6</f>
        <v>0.36604677092430099</v>
      </c>
      <c r="Q23" s="13">
        <f t="shared" si="43"/>
        <v>0.38650857499974095</v>
      </c>
      <c r="R23" s="13">
        <f t="shared" si="43"/>
        <v>0.40077810265845998</v>
      </c>
      <c r="S23" s="13">
        <f t="shared" si="43"/>
        <v>0.36737180197142544</v>
      </c>
      <c r="T23" s="13">
        <f t="shared" ref="T23:W23" si="44">T8/T6</f>
        <v>0.3721356830262077</v>
      </c>
      <c r="U23" s="13">
        <f t="shared" si="44"/>
        <v>0.37646811045258444</v>
      </c>
      <c r="V23" s="13" t="e">
        <f t="shared" si="44"/>
        <v>#DIV/0!</v>
      </c>
      <c r="W23" s="13" t="e">
        <f t="shared" si="44"/>
        <v>#DIV/0!</v>
      </c>
      <c r="Z23" s="13">
        <f t="shared" ref="Z23:AE23" si="45">Z8/Z6</f>
        <v>0.36910198535220151</v>
      </c>
      <c r="AA23" s="13">
        <f t="shared" si="45"/>
        <v>0.3534580586289009</v>
      </c>
      <c r="AB23" s="13">
        <f t="shared" si="45"/>
        <v>0.33440249723348958</v>
      </c>
      <c r="AC23" s="13">
        <f t="shared" si="45"/>
        <v>0.36424339420661572</v>
      </c>
      <c r="AD23" s="13">
        <f t="shared" si="45"/>
        <v>0.37769444859937512</v>
      </c>
      <c r="AE23" s="13">
        <f t="shared" si="45"/>
        <v>0.37965490441982125</v>
      </c>
      <c r="AF23" s="17">
        <f t="shared" ref="AF23:AO23" si="46">AF8/AF6</f>
        <v>0.37500000000000006</v>
      </c>
      <c r="AG23" s="13">
        <f t="shared" si="46"/>
        <v>0.38</v>
      </c>
      <c r="AH23" s="13">
        <f t="shared" si="46"/>
        <v>0.38</v>
      </c>
      <c r="AI23" s="13">
        <f t="shared" si="46"/>
        <v>0.38</v>
      </c>
      <c r="AJ23" s="13">
        <f t="shared" si="46"/>
        <v>0.38</v>
      </c>
      <c r="AK23" s="13">
        <f t="shared" si="46"/>
        <v>0.38</v>
      </c>
      <c r="AL23" s="13">
        <f t="shared" si="46"/>
        <v>0.38</v>
      </c>
      <c r="AM23" s="13">
        <f t="shared" si="46"/>
        <v>0.38</v>
      </c>
      <c r="AN23" s="13">
        <f t="shared" si="46"/>
        <v>0.38</v>
      </c>
      <c r="AO23" s="13">
        <f t="shared" si="46"/>
        <v>0.38000000000000006</v>
      </c>
      <c r="AQ23" s="24" t="s">
        <v>130</v>
      </c>
      <c r="AR23" s="26">
        <f>NPV(AR21,AF18:IQ18)*B12</f>
        <v>15837.923443416907</v>
      </c>
    </row>
    <row r="24" spans="1:251" x14ac:dyDescent="0.25">
      <c r="A24" s="22"/>
      <c r="B24" s="23"/>
      <c r="C24" s="2" t="s">
        <v>57</v>
      </c>
      <c r="D24" s="13" t="e">
        <f t="shared" ref="D24:O24" si="47">D13/D6</f>
        <v>#DIV/0!</v>
      </c>
      <c r="E24" s="13" t="e">
        <f t="shared" si="47"/>
        <v>#DIV/0!</v>
      </c>
      <c r="F24" s="13" t="e">
        <f t="shared" si="47"/>
        <v>#DIV/0!</v>
      </c>
      <c r="G24" s="13" t="e">
        <f t="shared" si="47"/>
        <v>#DIV/0!</v>
      </c>
      <c r="H24" s="13">
        <f t="shared" si="47"/>
        <v>8.7009912030290057E-2</v>
      </c>
      <c r="I24" s="13">
        <f t="shared" si="47"/>
        <v>9.1492101401317819E-2</v>
      </c>
      <c r="J24" s="13">
        <f t="shared" si="47"/>
        <v>0.10714550271082524</v>
      </c>
      <c r="K24" s="13">
        <f t="shared" si="47"/>
        <v>7.7487177165779256E-2</v>
      </c>
      <c r="L24" s="13">
        <f t="shared" si="47"/>
        <v>9.5381316306012195E-2</v>
      </c>
      <c r="M24" s="13">
        <f t="shared" si="47"/>
        <v>8.9519529516200694E-2</v>
      </c>
      <c r="N24" s="13">
        <f t="shared" si="47"/>
        <v>9.386738973049015E-2</v>
      </c>
      <c r="O24" s="13">
        <f t="shared" si="47"/>
        <v>6.7767131406638148E-2</v>
      </c>
      <c r="P24" s="13">
        <f t="shared" ref="P24:S24" si="48">P13/P6</f>
        <v>8.436425507780658E-2</v>
      </c>
      <c r="Q24" s="13">
        <f t="shared" si="48"/>
        <v>9.2317200755470008E-2</v>
      </c>
      <c r="R24" s="13">
        <f t="shared" si="48"/>
        <v>0.10279654376050745</v>
      </c>
      <c r="S24" s="13">
        <f t="shared" si="48"/>
        <v>8.1470816258721879E-2</v>
      </c>
      <c r="T24" s="13">
        <f t="shared" ref="T24:W24" si="49">T13/T6</f>
        <v>7.1315749761062364E-2</v>
      </c>
      <c r="U24" s="13">
        <f t="shared" si="49"/>
        <v>8.1404647275048814E-2</v>
      </c>
      <c r="V24" s="13" t="e">
        <f t="shared" si="49"/>
        <v>#DIV/0!</v>
      </c>
      <c r="W24" s="13" t="e">
        <f t="shared" si="49"/>
        <v>#DIV/0!</v>
      </c>
      <c r="Z24" s="13">
        <f t="shared" ref="Z24:AE24" si="50">Z13/Z6</f>
        <v>7.7305759118768899E-2</v>
      </c>
      <c r="AA24" s="13">
        <f t="shared" si="50"/>
        <v>5.7513243775877271E-2</v>
      </c>
      <c r="AB24" s="13">
        <f t="shared" si="50"/>
        <v>4.0800779018081719E-2</v>
      </c>
      <c r="AC24" s="13">
        <f t="shared" si="50"/>
        <v>9.0778209979261254E-2</v>
      </c>
      <c r="AD24" s="13">
        <f t="shared" si="50"/>
        <v>8.5989775123617468E-2</v>
      </c>
      <c r="AE24" s="13">
        <f t="shared" si="50"/>
        <v>8.9947471751447586E-2</v>
      </c>
      <c r="AF24" s="17">
        <f t="shared" ref="AF24:AO24" si="51">AF13/AF6</f>
        <v>8.2412285437676633E-2</v>
      </c>
      <c r="AG24" s="13">
        <f t="shared" si="51"/>
        <v>8.911410359286534E-2</v>
      </c>
      <c r="AH24" s="13">
        <f t="shared" si="51"/>
        <v>9.1884445463409514E-2</v>
      </c>
      <c r="AI24" s="13">
        <f t="shared" si="51"/>
        <v>9.4628403125662675E-2</v>
      </c>
      <c r="AJ24" s="13">
        <f t="shared" si="51"/>
        <v>9.7346227857799256E-2</v>
      </c>
      <c r="AK24" s="13">
        <f t="shared" si="51"/>
        <v>0.10003816854486784</v>
      </c>
      <c r="AL24" s="13">
        <f t="shared" si="51"/>
        <v>0.10270447170158335</v>
      </c>
      <c r="AM24" s="13">
        <f t="shared" si="51"/>
        <v>0.10534538149490158</v>
      </c>
      <c r="AN24" s="13">
        <f t="shared" si="51"/>
        <v>0.10796113976637878</v>
      </c>
      <c r="AO24" s="13">
        <f t="shared" si="51"/>
        <v>0.11055198605431804</v>
      </c>
      <c r="AQ24" s="2" t="s">
        <v>2</v>
      </c>
      <c r="AR24" s="10">
        <v>269.21901400000002</v>
      </c>
    </row>
    <row r="25" spans="1:251" s="22" customFormat="1" x14ac:dyDescent="0.25">
      <c r="A25" s="2"/>
      <c r="B25" s="4"/>
      <c r="C25" s="22" t="s">
        <v>95</v>
      </c>
      <c r="AB25" s="22">
        <v>7.0000000000000007E-2</v>
      </c>
      <c r="AC25" s="22">
        <v>0.16700000000000001</v>
      </c>
      <c r="AD25" s="22">
        <v>0.159</v>
      </c>
      <c r="AE25" s="22">
        <v>0.157</v>
      </c>
      <c r="AF25" s="23"/>
      <c r="AQ25" s="22" t="s">
        <v>131</v>
      </c>
      <c r="AR25" s="9">
        <f>AR23/AR24</f>
        <v>58.829141404614553</v>
      </c>
    </row>
    <row r="26" spans="1:251" x14ac:dyDescent="0.25"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AQ26" s="36" t="s">
        <v>152</v>
      </c>
      <c r="AR26" s="36">
        <f>(AR25-B4)/B4</f>
        <v>0.74826571781915474</v>
      </c>
    </row>
    <row r="27" spans="1:251" s="11" customFormat="1" x14ac:dyDescent="0.25">
      <c r="B27" s="16"/>
      <c r="C27" s="11" t="s">
        <v>99</v>
      </c>
      <c r="L27" s="11">
        <v>46.1</v>
      </c>
      <c r="M27" s="11">
        <v>43.8</v>
      </c>
      <c r="N27" s="11">
        <v>45.4</v>
      </c>
      <c r="O27" s="11">
        <v>40.799999999999997</v>
      </c>
      <c r="P27" s="11">
        <v>44.6</v>
      </c>
      <c r="Q27" s="11">
        <v>44.7</v>
      </c>
      <c r="R27" s="11">
        <v>49</v>
      </c>
      <c r="S27" s="11">
        <v>46.2</v>
      </c>
      <c r="T27" s="11">
        <v>39.700000000000003</v>
      </c>
      <c r="U27" s="11">
        <v>42.9</v>
      </c>
      <c r="AA27" s="11">
        <v>121</v>
      </c>
      <c r="AB27" s="11">
        <v>119</v>
      </c>
      <c r="AC27" s="11">
        <v>170.9</v>
      </c>
      <c r="AD27" s="11">
        <v>176</v>
      </c>
      <c r="AE27" s="11">
        <v>185</v>
      </c>
      <c r="AF27" s="16"/>
    </row>
    <row r="28" spans="1:251" s="13" customFormat="1" x14ac:dyDescent="0.25">
      <c r="B28" s="17"/>
      <c r="C28" s="13" t="s">
        <v>100</v>
      </c>
      <c r="D28" s="13" t="e">
        <f t="shared" ref="D28:R28" si="52">D27/D6</f>
        <v>#DIV/0!</v>
      </c>
      <c r="E28" s="13" t="e">
        <f t="shared" si="52"/>
        <v>#DIV/0!</v>
      </c>
      <c r="F28" s="13" t="e">
        <f t="shared" si="52"/>
        <v>#DIV/0!</v>
      </c>
      <c r="G28" s="13" t="e">
        <f t="shared" si="52"/>
        <v>#DIV/0!</v>
      </c>
      <c r="H28" s="13">
        <f t="shared" si="52"/>
        <v>0</v>
      </c>
      <c r="I28" s="13">
        <f t="shared" si="52"/>
        <v>0</v>
      </c>
      <c r="J28" s="13">
        <f t="shared" si="52"/>
        <v>0</v>
      </c>
      <c r="K28" s="13">
        <f t="shared" si="52"/>
        <v>0</v>
      </c>
      <c r="L28" s="13">
        <f t="shared" si="52"/>
        <v>0.15791835518270228</v>
      </c>
      <c r="M28" s="13">
        <f t="shared" si="52"/>
        <v>0.15188082556591209</v>
      </c>
      <c r="N28" s="13">
        <f t="shared" si="52"/>
        <v>0.15503981859658231</v>
      </c>
      <c r="O28" s="13">
        <f t="shared" si="52"/>
        <v>0.1439376834499887</v>
      </c>
      <c r="P28" s="13">
        <f t="shared" si="52"/>
        <v>0.1437221457780814</v>
      </c>
      <c r="Q28" s="13">
        <f t="shared" si="52"/>
        <v>0.15433963697383823</v>
      </c>
      <c r="R28" s="13">
        <f t="shared" si="52"/>
        <v>0.16915275183910464</v>
      </c>
      <c r="S28" s="13">
        <f>S27/S6</f>
        <v>0.14619559198139331</v>
      </c>
      <c r="T28" s="13">
        <f t="shared" ref="T28:W28" si="53">T27/T6</f>
        <v>0.13313435838964438</v>
      </c>
      <c r="U28" s="13">
        <f t="shared" si="53"/>
        <v>0.14117554141971916</v>
      </c>
      <c r="V28" s="13" t="e">
        <f t="shared" si="53"/>
        <v>#DIV/0!</v>
      </c>
      <c r="W28" s="13" t="e">
        <f t="shared" si="53"/>
        <v>#DIV/0!</v>
      </c>
      <c r="Z28" s="13">
        <f t="shared" ref="Z28:AF28" si="54">Z27/Z6</f>
        <v>0</v>
      </c>
      <c r="AA28" s="13">
        <f t="shared" si="54"/>
        <v>0.12868876781036595</v>
      </c>
      <c r="AB28" s="13">
        <f t="shared" si="54"/>
        <v>0.11622762252002973</v>
      </c>
      <c r="AC28" s="13">
        <f t="shared" si="54"/>
        <v>0.15094666256840739</v>
      </c>
      <c r="AD28" s="13">
        <f t="shared" si="54"/>
        <v>0.15217133800971996</v>
      </c>
      <c r="AE28" s="13">
        <f t="shared" si="54"/>
        <v>0.1534458547639132</v>
      </c>
      <c r="AF28" s="17">
        <f t="shared" si="54"/>
        <v>0</v>
      </c>
    </row>
    <row r="29" spans="1:251" s="11" customFormat="1" x14ac:dyDescent="0.25">
      <c r="B29" s="16"/>
      <c r="C29" s="11" t="s">
        <v>101</v>
      </c>
      <c r="G29" s="11">
        <f t="shared" ref="G29:R29" si="55">SUM(D27:G27)</f>
        <v>0</v>
      </c>
      <c r="H29" s="11">
        <f t="shared" si="55"/>
        <v>0</v>
      </c>
      <c r="I29" s="11">
        <f t="shared" si="55"/>
        <v>0</v>
      </c>
      <c r="J29" s="11">
        <f t="shared" si="55"/>
        <v>0</v>
      </c>
      <c r="K29" s="11">
        <f t="shared" si="55"/>
        <v>0</v>
      </c>
      <c r="L29" s="11">
        <f t="shared" si="55"/>
        <v>46.1</v>
      </c>
      <c r="M29" s="11">
        <f t="shared" si="55"/>
        <v>89.9</v>
      </c>
      <c r="N29" s="11">
        <f t="shared" si="55"/>
        <v>135.30000000000001</v>
      </c>
      <c r="O29" s="11">
        <f t="shared" si="55"/>
        <v>176.10000000000002</v>
      </c>
      <c r="P29" s="11">
        <f t="shared" si="55"/>
        <v>174.6</v>
      </c>
      <c r="Q29" s="11">
        <f t="shared" si="55"/>
        <v>175.5</v>
      </c>
      <c r="R29" s="11">
        <f t="shared" si="55"/>
        <v>179.10000000000002</v>
      </c>
      <c r="S29" s="11">
        <f>SUM(P27:S27)</f>
        <v>184.5</v>
      </c>
      <c r="T29" s="11">
        <f t="shared" ref="T29:W29" si="56">SUM(Q27:T27)</f>
        <v>179.60000000000002</v>
      </c>
      <c r="U29" s="11">
        <f t="shared" si="56"/>
        <v>177.8</v>
      </c>
      <c r="V29" s="11">
        <f t="shared" si="56"/>
        <v>128.80000000000001</v>
      </c>
      <c r="W29" s="11">
        <f t="shared" si="56"/>
        <v>82.6</v>
      </c>
      <c r="AF29" s="16"/>
    </row>
    <row r="30" spans="1:251" x14ac:dyDescent="0.25">
      <c r="D30" s="2" t="s">
        <v>93</v>
      </c>
    </row>
    <row r="31" spans="1:251" x14ac:dyDescent="0.25">
      <c r="C31" s="3" t="s">
        <v>51</v>
      </c>
    </row>
    <row r="32" spans="1:251" x14ac:dyDescent="0.25">
      <c r="C32" s="2" t="s">
        <v>58</v>
      </c>
      <c r="L32" s="11">
        <v>59.531999999999996</v>
      </c>
      <c r="M32" s="11">
        <v>57.677999999999997</v>
      </c>
      <c r="N32" s="11">
        <v>54.201000000000001</v>
      </c>
      <c r="O32" s="11">
        <v>52.914999999999999</v>
      </c>
      <c r="P32" s="11">
        <v>50.731000000000002</v>
      </c>
      <c r="Q32" s="11">
        <v>48.218000000000004</v>
      </c>
      <c r="R32" s="11">
        <v>45.649000000000001</v>
      </c>
      <c r="S32" s="11">
        <v>43.149000000000001</v>
      </c>
      <c r="T32" s="11">
        <v>41.41</v>
      </c>
      <c r="U32" s="11">
        <v>39.432000000000002</v>
      </c>
      <c r="V32" s="11"/>
      <c r="W32" s="11"/>
      <c r="Z32" s="11">
        <v>61.210999999999999</v>
      </c>
      <c r="AA32" s="11">
        <v>56.862000000000002</v>
      </c>
      <c r="AB32" s="11">
        <v>71.331000000000003</v>
      </c>
      <c r="AC32" s="11">
        <v>62.3</v>
      </c>
      <c r="AD32" s="11">
        <v>52.914999999999999</v>
      </c>
      <c r="AE32" s="11">
        <v>43.149000000000001</v>
      </c>
    </row>
    <row r="33" spans="3:31" x14ac:dyDescent="0.25">
      <c r="C33" s="2" t="s">
        <v>59</v>
      </c>
      <c r="L33" s="11">
        <v>21.265999999999998</v>
      </c>
      <c r="M33" s="11">
        <v>20.367000000000001</v>
      </c>
      <c r="N33" s="11">
        <v>19.882999999999999</v>
      </c>
      <c r="O33" s="11">
        <v>22.295000000000002</v>
      </c>
      <c r="P33" s="11">
        <v>21.876000000000001</v>
      </c>
      <c r="Q33" s="11">
        <v>21.262</v>
      </c>
      <c r="R33" s="11">
        <v>20.864000000000001</v>
      </c>
      <c r="S33" s="11">
        <v>16.091999999999999</v>
      </c>
      <c r="T33" s="11">
        <v>14.958</v>
      </c>
      <c r="U33" s="11">
        <v>15.564</v>
      </c>
      <c r="V33" s="11"/>
      <c r="W33" s="11"/>
      <c r="Z33" s="11">
        <v>23.544</v>
      </c>
      <c r="AA33" s="11">
        <v>21.64</v>
      </c>
      <c r="AB33" s="11">
        <v>22.414000000000001</v>
      </c>
      <c r="AC33" s="11">
        <v>22.882999999999999</v>
      </c>
      <c r="AD33" s="11">
        <v>22.295000000000002</v>
      </c>
      <c r="AE33" s="11">
        <v>16.091999999999999</v>
      </c>
    </row>
    <row r="34" spans="3:31" x14ac:dyDescent="0.25">
      <c r="C34" s="2" t="s">
        <v>60</v>
      </c>
      <c r="L34" s="11">
        <v>105.465</v>
      </c>
      <c r="M34" s="11">
        <v>106.791</v>
      </c>
      <c r="N34" s="11">
        <v>105.947</v>
      </c>
      <c r="O34" s="11">
        <v>107.584</v>
      </c>
      <c r="P34" s="11">
        <v>108.861</v>
      </c>
      <c r="Q34" s="11">
        <v>107.065</v>
      </c>
      <c r="R34" s="11">
        <v>106.753</v>
      </c>
      <c r="S34" s="11">
        <v>106.919</v>
      </c>
      <c r="T34" s="11">
        <v>106.271</v>
      </c>
      <c r="U34" s="11">
        <v>106.367</v>
      </c>
      <c r="V34" s="11"/>
      <c r="W34" s="11"/>
      <c r="Z34" s="11">
        <v>52.290999999999997</v>
      </c>
      <c r="AA34" s="11">
        <v>51.866</v>
      </c>
      <c r="AB34" s="11">
        <v>104.958</v>
      </c>
      <c r="AC34" s="11">
        <v>106.06100000000001</v>
      </c>
      <c r="AD34" s="11">
        <v>107.584</v>
      </c>
      <c r="AE34" s="11">
        <v>106.919</v>
      </c>
    </row>
    <row r="35" spans="3:31" x14ac:dyDescent="0.25">
      <c r="C35" s="2" t="s">
        <v>61</v>
      </c>
      <c r="L35" s="11">
        <v>205.19</v>
      </c>
      <c r="M35" s="11">
        <v>212.15799999999999</v>
      </c>
      <c r="N35" s="11">
        <v>228.298</v>
      </c>
      <c r="O35" s="11">
        <v>265.01299999999998</v>
      </c>
      <c r="P35" s="11">
        <v>278.88900000000001</v>
      </c>
      <c r="Q35" s="11">
        <v>272.45299999999997</v>
      </c>
      <c r="R35" s="11">
        <v>270.56799999999998</v>
      </c>
      <c r="S35" s="11">
        <v>282.19200000000001</v>
      </c>
      <c r="T35" s="11">
        <v>302.30599999999998</v>
      </c>
      <c r="U35" s="11">
        <v>308.125</v>
      </c>
      <c r="V35" s="11"/>
      <c r="W35" s="11"/>
      <c r="Z35" s="11">
        <v>188.429</v>
      </c>
      <c r="AA35" s="11">
        <v>186.42599999999999</v>
      </c>
      <c r="AB35" s="11">
        <v>201.97499999999999</v>
      </c>
      <c r="AC35" s="11">
        <v>202.934</v>
      </c>
      <c r="AD35" s="11">
        <v>265.01299999999998</v>
      </c>
      <c r="AE35" s="11">
        <v>282.19200000000001</v>
      </c>
    </row>
    <row r="36" spans="3:31" x14ac:dyDescent="0.25">
      <c r="C36" s="2" t="s">
        <v>62</v>
      </c>
      <c r="L36" s="11">
        <v>89.397000000000006</v>
      </c>
      <c r="M36" s="11">
        <v>94.271000000000001</v>
      </c>
      <c r="N36" s="11">
        <v>91.840999999999994</v>
      </c>
      <c r="O36" s="11">
        <v>91.978999999999999</v>
      </c>
      <c r="P36" s="11">
        <v>88.450999999999993</v>
      </c>
      <c r="Q36" s="11">
        <v>89.725999999999999</v>
      </c>
      <c r="R36" s="11">
        <v>85.668999999999997</v>
      </c>
      <c r="S36" s="11">
        <v>84.463999999999999</v>
      </c>
      <c r="T36" s="11">
        <v>94.049000000000007</v>
      </c>
      <c r="U36" s="11">
        <v>94.257000000000005</v>
      </c>
      <c r="V36" s="11"/>
      <c r="W36" s="11"/>
      <c r="Z36" s="11">
        <v>69.27</v>
      </c>
      <c r="AA36" s="11">
        <v>62.951999999999998</v>
      </c>
      <c r="AB36" s="11">
        <v>76.784000000000006</v>
      </c>
      <c r="AC36" s="11">
        <v>86.37</v>
      </c>
      <c r="AD36" s="11">
        <v>91.978999999999999</v>
      </c>
      <c r="AE36" s="11">
        <v>84.463999999999999</v>
      </c>
    </row>
    <row r="37" spans="3:31" x14ac:dyDescent="0.25">
      <c r="C37" s="2" t="s">
        <v>63</v>
      </c>
      <c r="L37" s="11">
        <v>41.3</v>
      </c>
      <c r="M37" s="11">
        <v>41.305999999999997</v>
      </c>
      <c r="N37" s="11">
        <v>39.401000000000003</v>
      </c>
      <c r="O37" s="11">
        <v>37.792999999999999</v>
      </c>
      <c r="P37" s="11">
        <v>38.783000000000001</v>
      </c>
      <c r="Q37" s="11">
        <v>39.473999999999997</v>
      </c>
      <c r="R37" s="11">
        <v>41.192999999999998</v>
      </c>
      <c r="S37" s="11">
        <v>38.08</v>
      </c>
      <c r="T37" s="11">
        <v>37.701000000000001</v>
      </c>
      <c r="U37" s="11">
        <v>40.438000000000002</v>
      </c>
      <c r="V37" s="11"/>
      <c r="W37" s="11"/>
      <c r="Z37" s="11">
        <v>26.956</v>
      </c>
      <c r="AA37" s="11">
        <v>27.527000000000001</v>
      </c>
      <c r="AB37" s="11">
        <v>34.673000000000002</v>
      </c>
      <c r="AC37" s="11">
        <v>37.709000000000003</v>
      </c>
      <c r="AD37" s="11">
        <v>37.792999999999999</v>
      </c>
      <c r="AE37" s="11">
        <v>38.08</v>
      </c>
    </row>
    <row r="38" spans="3:31" x14ac:dyDescent="0.25">
      <c r="C38" s="2" t="s">
        <v>64</v>
      </c>
      <c r="L38" s="11">
        <v>14.256</v>
      </c>
      <c r="M38" s="11">
        <v>16.324999999999999</v>
      </c>
      <c r="N38" s="11">
        <v>14.105</v>
      </c>
      <c r="O38" s="11">
        <v>13.111000000000001</v>
      </c>
      <c r="P38" s="11">
        <v>18.991</v>
      </c>
      <c r="Q38" s="11">
        <v>14.997999999999999</v>
      </c>
      <c r="R38" s="11">
        <v>14.573</v>
      </c>
      <c r="S38" s="11">
        <v>14.847</v>
      </c>
      <c r="T38" s="11">
        <v>27.646000000000001</v>
      </c>
      <c r="U38" s="11">
        <v>21.292999999999999</v>
      </c>
      <c r="V38" s="11"/>
      <c r="W38" s="11"/>
      <c r="Z38" s="11">
        <v>14.516999999999999</v>
      </c>
      <c r="AA38" s="11">
        <v>13.500999999999999</v>
      </c>
      <c r="AB38" s="11">
        <v>19.841000000000001</v>
      </c>
      <c r="AC38" s="11">
        <v>14.891999999999999</v>
      </c>
      <c r="AD38" s="11">
        <v>13.111000000000001</v>
      </c>
      <c r="AE38" s="11">
        <v>14.846</v>
      </c>
    </row>
    <row r="39" spans="3:31" x14ac:dyDescent="0.25">
      <c r="C39" s="2" t="s">
        <v>65</v>
      </c>
      <c r="L39" s="11">
        <v>198.792</v>
      </c>
      <c r="M39" s="11">
        <v>199.36699999999999</v>
      </c>
      <c r="N39" s="11">
        <v>191.077</v>
      </c>
      <c r="O39" s="11">
        <v>197.934</v>
      </c>
      <c r="P39" s="11">
        <v>206.535</v>
      </c>
      <c r="Q39" s="11">
        <v>194.346</v>
      </c>
      <c r="R39" s="11">
        <v>193.416</v>
      </c>
      <c r="S39" s="11">
        <v>178.29900000000001</v>
      </c>
      <c r="T39" s="11">
        <v>171.899</v>
      </c>
      <c r="U39" s="11">
        <v>167.05799999999999</v>
      </c>
      <c r="V39" s="11"/>
      <c r="W39" s="11"/>
      <c r="Z39" s="11">
        <v>135.523</v>
      </c>
      <c r="AA39" s="11">
        <v>145.11500000000001</v>
      </c>
      <c r="AB39" s="11">
        <v>187.20699999999999</v>
      </c>
      <c r="AC39" s="11">
        <v>192.18899999999999</v>
      </c>
      <c r="AD39" s="11">
        <v>197.934</v>
      </c>
      <c r="AE39" s="11">
        <v>178.29900000000001</v>
      </c>
    </row>
    <row r="40" spans="3:31" x14ac:dyDescent="0.25">
      <c r="C40" s="2" t="s">
        <v>66</v>
      </c>
      <c r="L40" s="11">
        <v>113.685</v>
      </c>
      <c r="M40" s="11">
        <v>106.59699999999999</v>
      </c>
      <c r="N40" s="11">
        <v>114.76</v>
      </c>
      <c r="O40" s="11">
        <v>120.226</v>
      </c>
      <c r="P40" s="11">
        <v>122.184</v>
      </c>
      <c r="Q40" s="11">
        <v>110.574</v>
      </c>
      <c r="R40" s="11">
        <v>111.727</v>
      </c>
      <c r="S40" s="11">
        <v>113.501</v>
      </c>
      <c r="T40" s="11">
        <v>118.161</v>
      </c>
      <c r="U40" s="11">
        <v>113.5</v>
      </c>
      <c r="V40" s="11"/>
      <c r="W40" s="11"/>
      <c r="Y40" s="22"/>
      <c r="Z40" s="11">
        <v>77.957999999999998</v>
      </c>
      <c r="AA40" s="11">
        <v>91.533000000000001</v>
      </c>
      <c r="AB40" s="11">
        <v>102.197</v>
      </c>
      <c r="AC40" s="11">
        <v>110.24299999999999</v>
      </c>
      <c r="AD40" s="11">
        <v>120.226</v>
      </c>
      <c r="AE40" s="11">
        <v>113.501</v>
      </c>
    </row>
    <row r="41" spans="3:31" x14ac:dyDescent="0.25">
      <c r="C41" s="2" t="s">
        <v>67</v>
      </c>
      <c r="L41" s="11">
        <v>112.123</v>
      </c>
      <c r="M41" s="11">
        <v>116.46</v>
      </c>
      <c r="N41" s="11">
        <v>128.87200000000001</v>
      </c>
      <c r="O41" s="11">
        <v>118.508</v>
      </c>
      <c r="P41" s="11">
        <v>122.229</v>
      </c>
      <c r="Q41" s="11">
        <v>117.28400000000001</v>
      </c>
      <c r="R41" s="11">
        <v>125.53100000000001</v>
      </c>
      <c r="S41" s="11">
        <v>124.416</v>
      </c>
      <c r="T41" s="11">
        <v>124.23</v>
      </c>
      <c r="U41" s="11">
        <v>133.53899999999999</v>
      </c>
      <c r="V41" s="11"/>
      <c r="W41" s="11"/>
      <c r="Z41" s="11">
        <v>92.980999999999995</v>
      </c>
      <c r="AA41" s="11">
        <v>101.595</v>
      </c>
      <c r="AB41" s="11">
        <v>109.214</v>
      </c>
      <c r="AC41" s="11">
        <v>113.72</v>
      </c>
      <c r="AD41" s="11">
        <v>118.508</v>
      </c>
      <c r="AE41" s="11">
        <v>124.416</v>
      </c>
    </row>
    <row r="42" spans="3:31" x14ac:dyDescent="0.25">
      <c r="C42" s="2" t="s">
        <v>68</v>
      </c>
      <c r="L42" s="11">
        <v>19.895</v>
      </c>
      <c r="M42" s="11">
        <v>18.052</v>
      </c>
      <c r="N42" s="11">
        <v>21.324999999999999</v>
      </c>
      <c r="O42" s="11">
        <v>28.052</v>
      </c>
      <c r="P42" s="11">
        <v>31.016999999999999</v>
      </c>
      <c r="Q42" s="11">
        <v>34.131</v>
      </c>
      <c r="R42" s="11">
        <v>39.076999999999998</v>
      </c>
      <c r="S42" s="11">
        <v>62.167999999999999</v>
      </c>
      <c r="T42" s="11">
        <v>39.393999999999998</v>
      </c>
      <c r="U42" s="11">
        <v>44.575000000000003</v>
      </c>
      <c r="V42" s="11"/>
      <c r="W42" s="11"/>
      <c r="Y42" s="11"/>
      <c r="Z42" s="11">
        <v>6.4429999999999996</v>
      </c>
      <c r="AA42" s="11">
        <v>24.262</v>
      </c>
      <c r="AB42" s="11">
        <v>25.882999999999999</v>
      </c>
      <c r="AC42" s="11">
        <v>13.308</v>
      </c>
      <c r="AD42" s="11">
        <v>28.052</v>
      </c>
      <c r="AE42" s="11">
        <v>62.167999999999999</v>
      </c>
    </row>
    <row r="43" spans="3:31" x14ac:dyDescent="0.25">
      <c r="C43" s="1" t="s">
        <v>70</v>
      </c>
      <c r="D43" s="1"/>
      <c r="E43" s="1"/>
      <c r="F43" s="1"/>
      <c r="G43" s="1"/>
      <c r="H43" s="1"/>
      <c r="I43" s="1"/>
      <c r="J43" s="1"/>
      <c r="K43" s="1"/>
      <c r="L43" s="12">
        <f t="shared" ref="L43:U43" si="57">SUM(L32:L42)</f>
        <v>980.90100000000007</v>
      </c>
      <c r="M43" s="12">
        <f t="shared" si="57"/>
        <v>989.37200000000007</v>
      </c>
      <c r="N43" s="12">
        <f t="shared" si="57"/>
        <v>1009.71</v>
      </c>
      <c r="O43" s="12">
        <f t="shared" si="57"/>
        <v>1055.4099999999999</v>
      </c>
      <c r="P43" s="12">
        <f t="shared" si="57"/>
        <v>1088.547</v>
      </c>
      <c r="Q43" s="12">
        <f t="shared" si="57"/>
        <v>1049.5309999999999</v>
      </c>
      <c r="R43" s="12">
        <f t="shared" si="57"/>
        <v>1055.02</v>
      </c>
      <c r="S43" s="12">
        <f t="shared" si="57"/>
        <v>1064.127</v>
      </c>
      <c r="T43" s="12">
        <f t="shared" si="57"/>
        <v>1078.0250000000001</v>
      </c>
      <c r="U43" s="12">
        <f t="shared" si="57"/>
        <v>1084.1479999999999</v>
      </c>
      <c r="V43" s="11"/>
      <c r="W43" s="11"/>
      <c r="Z43" s="12">
        <f>SUM(Z32:Z42)</f>
        <v>749.12299999999993</v>
      </c>
      <c r="AA43" s="12">
        <f>SUM(AA32:AA42)</f>
        <v>783.279</v>
      </c>
      <c r="AB43" s="12">
        <f t="shared" ref="AB43:AE43" si="58">SUM(AB32:AB42)</f>
        <v>956.47700000000009</v>
      </c>
      <c r="AC43" s="12">
        <f t="shared" si="58"/>
        <v>962.60900000000015</v>
      </c>
      <c r="AD43" s="12">
        <f t="shared" si="58"/>
        <v>1055.4099999999999</v>
      </c>
      <c r="AE43" s="12">
        <f t="shared" si="58"/>
        <v>1064.126</v>
      </c>
    </row>
    <row r="44" spans="3:31" x14ac:dyDescent="0.25">
      <c r="C44" s="2" t="s">
        <v>71</v>
      </c>
      <c r="L44" s="11">
        <v>332.04300000000001</v>
      </c>
      <c r="M44" s="11">
        <v>314.96899999999999</v>
      </c>
      <c r="N44" s="11">
        <v>319.43200000000002</v>
      </c>
      <c r="O44" s="11">
        <v>342.05200000000002</v>
      </c>
      <c r="P44" s="11">
        <v>352.54199999999997</v>
      </c>
      <c r="Q44" s="11">
        <v>324.53899999999999</v>
      </c>
      <c r="R44" s="11">
        <v>342.60899999999998</v>
      </c>
      <c r="S44" s="11">
        <v>338.85</v>
      </c>
      <c r="T44" s="11">
        <v>360.80399999999997</v>
      </c>
      <c r="U44" s="11">
        <v>350.31099999999998</v>
      </c>
      <c r="V44" s="11"/>
      <c r="W44" s="11"/>
      <c r="Z44" s="11">
        <v>185.44399999999999</v>
      </c>
      <c r="AA44" s="11">
        <v>269.05399999999997</v>
      </c>
      <c r="AB44" s="11">
        <v>259.49099999999999</v>
      </c>
      <c r="AC44" s="11">
        <v>306.25299999999999</v>
      </c>
      <c r="AD44" s="11">
        <v>342.05200000000002</v>
      </c>
      <c r="AE44" s="11">
        <v>338.85</v>
      </c>
    </row>
    <row r="45" spans="3:31" x14ac:dyDescent="0.25">
      <c r="C45" s="2" t="s">
        <v>72</v>
      </c>
      <c r="L45" s="11">
        <v>9.56</v>
      </c>
      <c r="M45" s="11">
        <v>10.315</v>
      </c>
      <c r="N45" s="11">
        <v>10.225</v>
      </c>
      <c r="O45" s="11">
        <v>10.6</v>
      </c>
      <c r="P45" s="11">
        <v>10.586</v>
      </c>
      <c r="Q45" s="11">
        <v>9.8439999999999994</v>
      </c>
      <c r="R45" s="11">
        <v>9.5429999999999993</v>
      </c>
      <c r="S45" s="11">
        <v>8.8810000000000002</v>
      </c>
      <c r="T45" s="11">
        <v>8.4960000000000004</v>
      </c>
      <c r="U45" s="11">
        <v>8.8529999999999998</v>
      </c>
      <c r="V45" s="11"/>
      <c r="W45" s="11"/>
      <c r="Z45" s="11">
        <v>0</v>
      </c>
      <c r="AA45" s="11">
        <v>0</v>
      </c>
      <c r="AB45" s="11">
        <v>8.4770000000000003</v>
      </c>
      <c r="AC45" s="11">
        <v>9.0429999999999993</v>
      </c>
      <c r="AD45" s="11">
        <v>10.6</v>
      </c>
      <c r="AE45" s="11">
        <v>8.8810000000000002</v>
      </c>
    </row>
    <row r="46" spans="3:31" x14ac:dyDescent="0.25">
      <c r="C46" s="15" t="s">
        <v>73</v>
      </c>
      <c r="D46" s="15"/>
      <c r="E46" s="15"/>
      <c r="F46" s="15"/>
      <c r="G46" s="15"/>
      <c r="H46" s="15"/>
      <c r="I46" s="15"/>
      <c r="J46" s="15"/>
      <c r="K46" s="15"/>
      <c r="L46" s="20">
        <f t="shared" ref="L46:R46" si="59">SUM(L44:L45)</f>
        <v>341.60300000000001</v>
      </c>
      <c r="M46" s="20">
        <f t="shared" si="59"/>
        <v>325.28399999999999</v>
      </c>
      <c r="N46" s="20">
        <f t="shared" si="59"/>
        <v>329.65700000000004</v>
      </c>
      <c r="O46" s="20">
        <f t="shared" si="59"/>
        <v>352.65200000000004</v>
      </c>
      <c r="P46" s="20">
        <f t="shared" si="59"/>
        <v>363.12799999999999</v>
      </c>
      <c r="Q46" s="20">
        <f t="shared" si="59"/>
        <v>334.38299999999998</v>
      </c>
      <c r="R46" s="20">
        <f t="shared" si="59"/>
        <v>352.15199999999999</v>
      </c>
      <c r="S46" s="20">
        <f>SUM(S44:S45)</f>
        <v>347.73099999999999</v>
      </c>
      <c r="T46" s="20">
        <f>SUM(T44:T45)</f>
        <v>369.29999999999995</v>
      </c>
      <c r="U46" s="20">
        <f>SUM(U44:U45)</f>
        <v>359.16399999999999</v>
      </c>
      <c r="V46" s="11"/>
      <c r="W46" s="11"/>
      <c r="Z46" s="20">
        <f>SUM(Z44:Z45)</f>
        <v>185.44399999999999</v>
      </c>
      <c r="AA46" s="20">
        <f>SUM(AA44:AA45)</f>
        <v>269.05399999999997</v>
      </c>
      <c r="AB46" s="20">
        <f t="shared" ref="AB46:AE46" si="60">SUM(AB44:AB45)</f>
        <v>267.96799999999996</v>
      </c>
      <c r="AC46" s="20">
        <f t="shared" si="60"/>
        <v>315.29599999999999</v>
      </c>
      <c r="AD46" s="20">
        <f t="shared" si="60"/>
        <v>352.65200000000004</v>
      </c>
      <c r="AE46" s="20">
        <f t="shared" si="60"/>
        <v>347.73099999999999</v>
      </c>
    </row>
    <row r="47" spans="3:31" x14ac:dyDescent="0.25">
      <c r="C47" s="2" t="s">
        <v>74</v>
      </c>
      <c r="L47" s="11">
        <v>2.3980000000000001</v>
      </c>
      <c r="M47" s="11">
        <v>2.4220000000000002</v>
      </c>
      <c r="N47" s="11">
        <v>2.3140000000000001</v>
      </c>
      <c r="O47" s="11">
        <v>2.2210000000000001</v>
      </c>
      <c r="P47" s="11">
        <v>2.238</v>
      </c>
      <c r="Q47" s="11">
        <v>2.109</v>
      </c>
      <c r="R47" s="11">
        <v>2.093</v>
      </c>
      <c r="S47" s="11">
        <v>2.6429999999999998</v>
      </c>
      <c r="T47" s="11">
        <v>2.714</v>
      </c>
      <c r="U47" s="11">
        <v>2.665</v>
      </c>
      <c r="V47" s="11"/>
      <c r="W47" s="11"/>
      <c r="Z47" s="11">
        <v>2.5539999999999998</v>
      </c>
      <c r="AA47" s="11">
        <v>2.5630000000000002</v>
      </c>
      <c r="AB47" s="11">
        <v>2.6680000000000001</v>
      </c>
      <c r="AC47" s="11">
        <v>2.5019999999999998</v>
      </c>
      <c r="AD47" s="11">
        <v>2.2210000000000001</v>
      </c>
      <c r="AE47" s="11">
        <v>2.6429999999999998</v>
      </c>
    </row>
    <row r="48" spans="3:31" x14ac:dyDescent="0.25">
      <c r="C48" s="2" t="s">
        <v>75</v>
      </c>
      <c r="L48" s="11">
        <v>13.968</v>
      </c>
      <c r="M48" s="11">
        <v>13.904999999999999</v>
      </c>
      <c r="N48" s="11">
        <v>13.494999999999999</v>
      </c>
      <c r="O48" s="11">
        <v>14.577999999999999</v>
      </c>
      <c r="P48" s="11">
        <v>14.157</v>
      </c>
      <c r="Q48" s="11">
        <v>13.62</v>
      </c>
      <c r="R48" s="11">
        <v>13.378</v>
      </c>
      <c r="S48" s="11">
        <v>9.5820000000000007</v>
      </c>
      <c r="T48" s="11">
        <v>9.3539999999999992</v>
      </c>
      <c r="U48" s="11">
        <v>9.1489999999999991</v>
      </c>
      <c r="V48" s="11"/>
      <c r="W48" s="11"/>
      <c r="Z48" s="11">
        <v>11.994</v>
      </c>
      <c r="AA48" s="11">
        <v>11.488</v>
      </c>
      <c r="AB48" s="11">
        <v>17.239999999999998</v>
      </c>
      <c r="AC48" s="11">
        <v>14.041</v>
      </c>
      <c r="AD48" s="11">
        <v>14.577999999999999</v>
      </c>
      <c r="AE48" s="11">
        <v>9.5820000000000007</v>
      </c>
    </row>
    <row r="49" spans="3:31" x14ac:dyDescent="0.25">
      <c r="C49" s="2" t="s">
        <v>76</v>
      </c>
      <c r="L49" s="11">
        <v>204.53299999999999</v>
      </c>
      <c r="M49" s="11">
        <v>217.744</v>
      </c>
      <c r="N49" s="11">
        <v>232.708</v>
      </c>
      <c r="O49" s="11">
        <v>259.74</v>
      </c>
      <c r="P49" s="11">
        <v>288.00599999999997</v>
      </c>
      <c r="Q49" s="11">
        <v>297.94099999999997</v>
      </c>
      <c r="R49" s="11">
        <v>280.54399999999998</v>
      </c>
      <c r="S49" s="11">
        <v>322.38200000000001</v>
      </c>
      <c r="T49" s="11">
        <v>309.512</v>
      </c>
      <c r="U49" s="11">
        <v>315.36200000000002</v>
      </c>
      <c r="V49" s="11"/>
      <c r="W49" s="11"/>
      <c r="Z49" s="11">
        <v>213.13499999999999</v>
      </c>
      <c r="AA49" s="11">
        <v>169.43299999999999</v>
      </c>
      <c r="AB49" s="11">
        <v>304.03300000000002</v>
      </c>
      <c r="AC49" s="11">
        <v>224.43299999999999</v>
      </c>
      <c r="AD49" s="11">
        <v>259.74</v>
      </c>
      <c r="AE49" s="11">
        <v>322.38200000000001</v>
      </c>
    </row>
    <row r="50" spans="3:31" x14ac:dyDescent="0.25">
      <c r="C50" s="2" t="s">
        <v>77</v>
      </c>
      <c r="L50" s="11">
        <v>80.924000000000007</v>
      </c>
      <c r="M50" s="11">
        <v>85.385999999999996</v>
      </c>
      <c r="N50" s="11">
        <v>83.087999999999994</v>
      </c>
      <c r="O50" s="11">
        <v>83.218999999999994</v>
      </c>
      <c r="P50" s="11">
        <v>79.841999999999999</v>
      </c>
      <c r="Q50" s="11">
        <v>81.356999999999999</v>
      </c>
      <c r="R50" s="11">
        <v>78.323999999999998</v>
      </c>
      <c r="S50" s="11">
        <v>79.141000000000005</v>
      </c>
      <c r="T50" s="11">
        <v>88.552999999999997</v>
      </c>
      <c r="U50" s="11">
        <v>88.75</v>
      </c>
      <c r="V50" s="11"/>
      <c r="W50" s="11"/>
      <c r="Z50" s="11">
        <v>69.09</v>
      </c>
      <c r="AA50" s="11">
        <v>62.341999999999999</v>
      </c>
      <c r="AB50" s="11">
        <v>73.536000000000001</v>
      </c>
      <c r="AC50" s="11">
        <v>78.424000000000007</v>
      </c>
      <c r="AD50" s="11">
        <v>83.218999999999994</v>
      </c>
      <c r="AE50" s="11">
        <v>79.141000000000005</v>
      </c>
    </row>
    <row r="51" spans="3:31" x14ac:dyDescent="0.25">
      <c r="C51" s="2" t="s">
        <v>78</v>
      </c>
      <c r="L51" s="11">
        <v>4.2930000000000001</v>
      </c>
      <c r="M51" s="11">
        <v>4.2569999999999997</v>
      </c>
      <c r="N51" s="11">
        <v>8.9710000000000001</v>
      </c>
      <c r="O51" s="11">
        <v>9.2159999999999993</v>
      </c>
      <c r="P51" s="11">
        <v>3.9220000000000002</v>
      </c>
      <c r="Q51" s="11">
        <v>10.39</v>
      </c>
      <c r="R51" s="11">
        <v>7.8380000000000001</v>
      </c>
      <c r="S51" s="11">
        <v>9.1449999999999996</v>
      </c>
      <c r="T51" s="11">
        <v>2.827</v>
      </c>
      <c r="U51" s="11">
        <v>3.879</v>
      </c>
      <c r="V51" s="11"/>
      <c r="W51" s="11"/>
      <c r="Z51" s="11">
        <v>5.9820000000000002</v>
      </c>
      <c r="AA51" s="11">
        <v>2.9</v>
      </c>
      <c r="AB51" s="11">
        <v>1.867</v>
      </c>
      <c r="AC51" s="11">
        <v>5.0330000000000004</v>
      </c>
      <c r="AD51" s="11">
        <v>9.2159999999999993</v>
      </c>
      <c r="AE51" s="11">
        <v>9.1449999999999996</v>
      </c>
    </row>
    <row r="52" spans="3:31" x14ac:dyDescent="0.25">
      <c r="C52" s="2" t="s">
        <v>79</v>
      </c>
      <c r="L52" s="11">
        <v>23.184000000000001</v>
      </c>
      <c r="M52" s="11">
        <v>29.681999999999999</v>
      </c>
      <c r="N52" s="11">
        <v>52.908000000000001</v>
      </c>
      <c r="O52" s="11">
        <v>30.382999999999999</v>
      </c>
      <c r="P52" s="11">
        <v>41.673999999999999</v>
      </c>
      <c r="Q52" s="11">
        <v>37.920999999999999</v>
      </c>
      <c r="R52" s="11">
        <v>29.927</v>
      </c>
      <c r="S52" s="11">
        <v>3.5750000000000002</v>
      </c>
      <c r="T52" s="11">
        <v>15.334</v>
      </c>
      <c r="U52" s="11">
        <v>22.097999999999999</v>
      </c>
      <c r="V52" s="11"/>
      <c r="W52" s="11"/>
      <c r="Z52" s="11">
        <v>15.552</v>
      </c>
      <c r="AA52" s="11">
        <v>14.42</v>
      </c>
      <c r="AB52" s="11">
        <v>0</v>
      </c>
      <c r="AC52" s="11">
        <v>0</v>
      </c>
      <c r="AD52" s="11">
        <v>30.382999999999999</v>
      </c>
      <c r="AE52" s="11">
        <v>3.5750000000000002</v>
      </c>
    </row>
    <row r="53" spans="3:31" x14ac:dyDescent="0.25">
      <c r="C53" s="2" t="s">
        <v>80</v>
      </c>
      <c r="L53" s="11">
        <v>45.438000000000002</v>
      </c>
      <c r="M53" s="11">
        <v>44.743000000000002</v>
      </c>
      <c r="N53" s="11">
        <v>45.427</v>
      </c>
      <c r="O53" s="11">
        <v>39.781999999999996</v>
      </c>
      <c r="P53" s="11">
        <v>45.387</v>
      </c>
      <c r="Q53" s="11">
        <v>41.203000000000003</v>
      </c>
      <c r="R53" s="11">
        <v>41.465000000000003</v>
      </c>
      <c r="S53" s="11">
        <v>40.466999999999999</v>
      </c>
      <c r="T53" s="11">
        <v>43.158000000000001</v>
      </c>
      <c r="U53" s="11">
        <v>48.84</v>
      </c>
      <c r="V53" s="11"/>
      <c r="W53" s="11"/>
      <c r="Z53" s="11">
        <v>0</v>
      </c>
      <c r="AA53" s="11">
        <v>0</v>
      </c>
      <c r="AB53" s="11">
        <v>0</v>
      </c>
      <c r="AC53" s="11">
        <v>0</v>
      </c>
      <c r="AD53" s="11">
        <v>39.781999999999996</v>
      </c>
      <c r="AE53" s="11">
        <v>40.466999999999999</v>
      </c>
    </row>
    <row r="54" spans="3:31" x14ac:dyDescent="0.25">
      <c r="C54" s="2" t="s">
        <v>81</v>
      </c>
      <c r="L54" s="11">
        <v>84.069000000000003</v>
      </c>
      <c r="M54" s="11">
        <v>87.831999999999994</v>
      </c>
      <c r="N54" s="11">
        <v>70.950999999999993</v>
      </c>
      <c r="O54" s="11">
        <v>73.304000000000002</v>
      </c>
      <c r="P54" s="11">
        <v>70.585999999999999</v>
      </c>
      <c r="Q54" s="11">
        <v>56.716000000000001</v>
      </c>
      <c r="R54" s="11">
        <v>70.122</v>
      </c>
      <c r="S54" s="11">
        <v>90.355999999999995</v>
      </c>
      <c r="T54" s="11">
        <v>73.382000000000005</v>
      </c>
      <c r="U54" s="11">
        <v>67.274000000000001</v>
      </c>
      <c r="V54" s="11"/>
      <c r="W54" s="11"/>
      <c r="Z54" s="11">
        <v>114.273</v>
      </c>
      <c r="AA54" s="11">
        <v>119.574</v>
      </c>
      <c r="AB54" s="11">
        <v>0</v>
      </c>
      <c r="AC54" s="11">
        <v>0</v>
      </c>
      <c r="AD54" s="11">
        <v>73.304000000000002</v>
      </c>
      <c r="AE54" s="11">
        <v>90.355999999999995</v>
      </c>
    </row>
    <row r="55" spans="3:31" x14ac:dyDescent="0.25">
      <c r="C55" s="2" t="s">
        <v>82</v>
      </c>
      <c r="L55" s="11">
        <v>0.93799999999999994</v>
      </c>
      <c r="M55" s="11">
        <v>0.33100000000000002</v>
      </c>
      <c r="N55" s="11">
        <v>0.92100000000000004</v>
      </c>
      <c r="O55" s="11">
        <v>5.2939999999999996</v>
      </c>
      <c r="P55" s="11">
        <v>8.8949999999999996</v>
      </c>
      <c r="Q55" s="11">
        <v>9.3480000000000008</v>
      </c>
      <c r="R55" s="11">
        <v>13.263</v>
      </c>
      <c r="S55" s="11">
        <v>4.8369999999999997</v>
      </c>
      <c r="T55" s="11">
        <v>6.52</v>
      </c>
      <c r="U55" s="11">
        <v>9.65</v>
      </c>
      <c r="V55" s="11"/>
      <c r="W55" s="11"/>
      <c r="Z55" s="11">
        <v>8.9779999999999998</v>
      </c>
      <c r="AA55" s="11">
        <v>4.335</v>
      </c>
      <c r="AB55" s="11">
        <v>0</v>
      </c>
      <c r="AC55" s="11">
        <v>0</v>
      </c>
      <c r="AD55" s="11">
        <v>5.2939999999999996</v>
      </c>
      <c r="AE55" s="11">
        <v>4.8369999999999997</v>
      </c>
    </row>
    <row r="56" spans="3:31" x14ac:dyDescent="0.25">
      <c r="C56" s="2" t="s">
        <v>83</v>
      </c>
      <c r="L56" s="11">
        <v>26.030999999999999</v>
      </c>
      <c r="M56" s="11">
        <v>24.533000000000001</v>
      </c>
      <c r="N56" s="11">
        <v>23.440999999999999</v>
      </c>
      <c r="O56" s="11">
        <v>25.952000000000002</v>
      </c>
      <c r="P56" s="11">
        <v>27.797999999999998</v>
      </c>
      <c r="Q56" s="11">
        <v>26.151</v>
      </c>
      <c r="R56" s="11">
        <v>24.068999999999999</v>
      </c>
      <c r="S56" s="11">
        <v>26.843</v>
      </c>
      <c r="T56" s="11">
        <v>28.105</v>
      </c>
      <c r="U56" s="11">
        <v>26.452000000000002</v>
      </c>
      <c r="V56" s="11"/>
      <c r="W56" s="11"/>
      <c r="Z56" s="11">
        <v>20.125</v>
      </c>
      <c r="AA56" s="11">
        <v>24.077000000000002</v>
      </c>
      <c r="AB56" s="11">
        <v>0</v>
      </c>
      <c r="AC56" s="11">
        <v>0</v>
      </c>
      <c r="AD56" s="11">
        <v>25.952000000000002</v>
      </c>
      <c r="AE56" s="11">
        <v>26.843</v>
      </c>
    </row>
    <row r="57" spans="3:31" x14ac:dyDescent="0.25">
      <c r="C57" s="2" t="s">
        <v>84</v>
      </c>
      <c r="L57" s="11">
        <v>24.018999999999998</v>
      </c>
      <c r="M57" s="11">
        <v>22.806000000000001</v>
      </c>
      <c r="N57" s="11">
        <v>22.972999999999999</v>
      </c>
      <c r="O57" s="11">
        <v>23.312000000000001</v>
      </c>
      <c r="P57" s="11">
        <v>23.12</v>
      </c>
      <c r="Q57" s="11">
        <v>22.2</v>
      </c>
      <c r="R57" s="11">
        <v>21.599</v>
      </c>
      <c r="S57" s="11">
        <v>21.928000000000001</v>
      </c>
      <c r="T57" s="11">
        <v>22.85</v>
      </c>
      <c r="U57" s="11">
        <v>23.238</v>
      </c>
      <c r="V57" s="11"/>
      <c r="W57" s="11"/>
      <c r="Z57" s="11">
        <v>19.085000000000001</v>
      </c>
      <c r="AA57" s="11">
        <v>18.260999999999999</v>
      </c>
      <c r="AB57" s="11">
        <v>0</v>
      </c>
      <c r="AC57" s="11">
        <v>0</v>
      </c>
      <c r="AD57" s="11">
        <v>23.312000000000001</v>
      </c>
      <c r="AE57" s="11">
        <v>21.928000000000001</v>
      </c>
    </row>
    <row r="58" spans="3:31" x14ac:dyDescent="0.25">
      <c r="C58" s="2" t="s">
        <v>85</v>
      </c>
      <c r="L58" s="11">
        <v>129.50200000000001</v>
      </c>
      <c r="M58" s="11">
        <v>130.44900000000001</v>
      </c>
      <c r="N58" s="11">
        <v>122.858</v>
      </c>
      <c r="O58" s="11">
        <v>135.756</v>
      </c>
      <c r="P58" s="11">
        <v>119.794</v>
      </c>
      <c r="Q58" s="11">
        <v>116.193</v>
      </c>
      <c r="R58" s="11">
        <v>120.246</v>
      </c>
      <c r="S58" s="11">
        <v>105.496</v>
      </c>
      <c r="T58" s="11">
        <v>106.416</v>
      </c>
      <c r="U58" s="11">
        <v>107.628</v>
      </c>
      <c r="V58" s="11"/>
      <c r="W58" s="11"/>
      <c r="Z58" s="11">
        <v>82.911000000000001</v>
      </c>
      <c r="AA58" s="11">
        <v>84.831999999999994</v>
      </c>
      <c r="AB58" s="11">
        <v>289.16699999999997</v>
      </c>
      <c r="AC58" s="11">
        <v>322.88</v>
      </c>
      <c r="AD58" s="11">
        <v>135.756</v>
      </c>
      <c r="AE58" s="11">
        <v>105.496</v>
      </c>
    </row>
    <row r="59" spans="3:31" x14ac:dyDescent="0.25">
      <c r="C59" s="15" t="s">
        <v>86</v>
      </c>
      <c r="D59" s="15"/>
      <c r="E59" s="15"/>
      <c r="F59" s="15"/>
      <c r="G59" s="15"/>
      <c r="H59" s="15"/>
      <c r="I59" s="15"/>
      <c r="J59" s="15"/>
      <c r="K59" s="15"/>
      <c r="L59" s="20">
        <f t="shared" ref="L59:T59" si="61">SUM(L47:L58)</f>
        <v>639.29700000000003</v>
      </c>
      <c r="M59" s="20">
        <f t="shared" si="61"/>
        <v>664.09000000000015</v>
      </c>
      <c r="N59" s="20">
        <f t="shared" si="61"/>
        <v>680.05500000000006</v>
      </c>
      <c r="O59" s="20">
        <f t="shared" si="61"/>
        <v>702.75699999999995</v>
      </c>
      <c r="P59" s="20">
        <f t="shared" si="61"/>
        <v>725.41899999999987</v>
      </c>
      <c r="Q59" s="20">
        <f t="shared" si="61"/>
        <v>715.14899999999989</v>
      </c>
      <c r="R59" s="20">
        <f t="shared" si="61"/>
        <v>702.86800000000005</v>
      </c>
      <c r="S59" s="20">
        <f t="shared" si="61"/>
        <v>716.39499999999987</v>
      </c>
      <c r="T59" s="20">
        <f t="shared" si="61"/>
        <v>708.72500000000014</v>
      </c>
      <c r="U59" s="20">
        <f t="shared" ref="U59" si="62">SUM(U47:U58)</f>
        <v>724.98500000000001</v>
      </c>
      <c r="V59" s="11"/>
      <c r="W59" s="11"/>
      <c r="Z59" s="20">
        <f>SUM(Z47:Z58)</f>
        <v>563.67900000000009</v>
      </c>
      <c r="AA59" s="20">
        <f>SUM(AA47:AA58)</f>
        <v>514.22499999999991</v>
      </c>
      <c r="AB59" s="20">
        <f t="shared" ref="AB59:AE59" si="63">SUM(AB47:AB58)</f>
        <v>688.51099999999997</v>
      </c>
      <c r="AC59" s="20">
        <f t="shared" si="63"/>
        <v>647.31299999999999</v>
      </c>
      <c r="AD59" s="20">
        <f t="shared" si="63"/>
        <v>702.75699999999995</v>
      </c>
      <c r="AE59" s="20">
        <f t="shared" si="63"/>
        <v>716.39499999999987</v>
      </c>
    </row>
    <row r="60" spans="3:31" x14ac:dyDescent="0.25">
      <c r="C60" s="1" t="s">
        <v>87</v>
      </c>
      <c r="D60" s="1"/>
      <c r="E60" s="1"/>
      <c r="F60" s="1"/>
      <c r="G60" s="1"/>
      <c r="H60" s="1"/>
      <c r="I60" s="1"/>
      <c r="J60" s="1"/>
      <c r="K60" s="1"/>
      <c r="L60" s="12">
        <f t="shared" ref="L60:R60" si="64">L46+L59</f>
        <v>980.90000000000009</v>
      </c>
      <c r="M60" s="12">
        <f t="shared" si="64"/>
        <v>989.37400000000014</v>
      </c>
      <c r="N60" s="12">
        <f t="shared" si="64"/>
        <v>1009.7120000000001</v>
      </c>
      <c r="O60" s="12">
        <f t="shared" si="64"/>
        <v>1055.4090000000001</v>
      </c>
      <c r="P60" s="12">
        <f t="shared" si="64"/>
        <v>1088.5469999999998</v>
      </c>
      <c r="Q60" s="12">
        <f t="shared" si="64"/>
        <v>1049.5319999999999</v>
      </c>
      <c r="R60" s="12">
        <f t="shared" si="64"/>
        <v>1055.02</v>
      </c>
      <c r="S60" s="12">
        <f>S46+S59</f>
        <v>1064.1259999999997</v>
      </c>
      <c r="T60" s="12">
        <f>T46+T59</f>
        <v>1078.0250000000001</v>
      </c>
      <c r="U60" s="12">
        <f>U46+U59</f>
        <v>1084.1489999999999</v>
      </c>
      <c r="V60" s="11"/>
      <c r="W60" s="11"/>
      <c r="Z60" s="12">
        <f>Z46+Z59</f>
        <v>749.12300000000005</v>
      </c>
      <c r="AA60" s="12">
        <f>AA46+AA59</f>
        <v>783.27899999999988</v>
      </c>
      <c r="AB60" s="12">
        <f t="shared" ref="AB60:AE60" si="65">AB46+AB59</f>
        <v>956.47899999999993</v>
      </c>
      <c r="AC60" s="12">
        <f t="shared" si="65"/>
        <v>962.60899999999992</v>
      </c>
      <c r="AD60" s="12">
        <f t="shared" si="65"/>
        <v>1055.4090000000001</v>
      </c>
      <c r="AE60" s="12">
        <f t="shared" si="65"/>
        <v>1064.1259999999997</v>
      </c>
    </row>
    <row r="61" spans="3:31" x14ac:dyDescent="0.25">
      <c r="O61" s="11"/>
    </row>
    <row r="62" spans="3:31" x14ac:dyDescent="0.25">
      <c r="C62" s="3" t="s">
        <v>52</v>
      </c>
      <c r="O62" s="11"/>
    </row>
    <row r="63" spans="3:31" x14ac:dyDescent="0.25">
      <c r="C63" s="2" t="s">
        <v>102</v>
      </c>
      <c r="D63" s="11">
        <f>D16</f>
        <v>0</v>
      </c>
      <c r="E63" s="11">
        <f t="shared" ref="E63:U63" si="66">E16</f>
        <v>0</v>
      </c>
      <c r="F63" s="11">
        <f t="shared" si="66"/>
        <v>0</v>
      </c>
      <c r="G63" s="11">
        <f t="shared" si="66"/>
        <v>0</v>
      </c>
      <c r="H63" s="11">
        <f t="shared" si="66"/>
        <v>17.657999999999987</v>
      </c>
      <c r="I63" s="11">
        <f t="shared" si="66"/>
        <v>25.436999999999983</v>
      </c>
      <c r="J63" s="11">
        <f t="shared" si="66"/>
        <v>26.725999999999978</v>
      </c>
      <c r="K63" s="11">
        <f t="shared" si="66"/>
        <v>15.310999999999982</v>
      </c>
      <c r="L63" s="11">
        <f t="shared" si="66"/>
        <v>25.843999999999998</v>
      </c>
      <c r="M63" s="11">
        <f t="shared" si="66"/>
        <v>24.816000000000024</v>
      </c>
      <c r="N63" s="11">
        <f t="shared" si="66"/>
        <v>18.096999999999966</v>
      </c>
      <c r="O63" s="11">
        <f t="shared" si="66"/>
        <v>20.217000000000027</v>
      </c>
      <c r="P63" s="11">
        <f t="shared" si="66"/>
        <v>22.412000000000017</v>
      </c>
      <c r="Q63" s="11">
        <f t="shared" si="66"/>
        <v>12.490999999999978</v>
      </c>
      <c r="R63" s="11">
        <f t="shared" si="66"/>
        <v>27.185000000000041</v>
      </c>
      <c r="S63" s="11">
        <f t="shared" si="66"/>
        <v>23.469999999999995</v>
      </c>
      <c r="T63" s="11">
        <f t="shared" si="66"/>
        <v>21.99199999999999</v>
      </c>
      <c r="U63" s="11">
        <f t="shared" si="66"/>
        <v>20.91500000000001</v>
      </c>
      <c r="V63" s="11"/>
      <c r="W63" s="11"/>
      <c r="X63" s="11"/>
      <c r="Z63" s="11">
        <f t="shared" ref="Z63:AE63" si="67">Z16</f>
        <v>60.210000000000065</v>
      </c>
      <c r="AA63" s="11">
        <f t="shared" si="67"/>
        <v>49.982999999999933</v>
      </c>
      <c r="AB63" s="11">
        <f t="shared" si="67"/>
        <v>46.407000000000025</v>
      </c>
      <c r="AC63" s="11">
        <f t="shared" si="67"/>
        <v>84.877999999999844</v>
      </c>
      <c r="AD63" s="11">
        <f t="shared" si="67"/>
        <v>88.750999999999834</v>
      </c>
      <c r="AE63" s="11">
        <f t="shared" si="67"/>
        <v>85.56</v>
      </c>
    </row>
    <row r="64" spans="3:31" x14ac:dyDescent="0.25">
      <c r="C64" s="2" t="s">
        <v>103</v>
      </c>
      <c r="D64" s="11"/>
      <c r="E64" s="11"/>
      <c r="F64" s="11"/>
      <c r="G64" s="11"/>
      <c r="H64" s="11"/>
      <c r="I64" s="11"/>
      <c r="J64" s="11"/>
      <c r="K64" s="11"/>
      <c r="L64" s="11">
        <v>26.134</v>
      </c>
      <c r="M64" s="11">
        <v>25.076000000000001</v>
      </c>
      <c r="N64" s="11">
        <v>17.196000000000002</v>
      </c>
      <c r="O64" s="11">
        <v>20.951000000000001</v>
      </c>
      <c r="P64" s="11">
        <v>22.413</v>
      </c>
      <c r="Q64" s="11">
        <v>12.492000000000001</v>
      </c>
      <c r="R64" s="11">
        <v>27.184999999999999</v>
      </c>
      <c r="S64" s="11">
        <v>23.47</v>
      </c>
      <c r="T64" s="11">
        <v>21.986000000000001</v>
      </c>
      <c r="U64" s="11">
        <v>20.847999999999999</v>
      </c>
      <c r="V64" s="11"/>
      <c r="W64" s="11"/>
      <c r="X64" s="11"/>
      <c r="Z64" s="11">
        <v>60.209000000000003</v>
      </c>
      <c r="AA64" s="11">
        <v>49.981999999999999</v>
      </c>
      <c r="AB64" s="11">
        <v>23.582999999999998</v>
      </c>
      <c r="AC64" s="11">
        <v>83.54</v>
      </c>
      <c r="AD64" s="11">
        <v>89.355999999999995</v>
      </c>
      <c r="AE64" s="11">
        <v>85.561000000000007</v>
      </c>
    </row>
    <row r="65" spans="2:32" x14ac:dyDescent="0.25">
      <c r="C65" s="2" t="s">
        <v>104</v>
      </c>
      <c r="D65" s="11"/>
      <c r="E65" s="11"/>
      <c r="F65" s="11"/>
      <c r="G65" s="11"/>
      <c r="H65" s="11"/>
      <c r="I65" s="11"/>
      <c r="J65" s="11"/>
      <c r="K65" s="11"/>
      <c r="L65" s="11">
        <v>2.609</v>
      </c>
      <c r="M65" s="11">
        <v>4.1740000000000004</v>
      </c>
      <c r="N65" s="11">
        <v>4.2140000000000004</v>
      </c>
      <c r="O65" s="11">
        <v>4.3070000000000004</v>
      </c>
      <c r="P65" s="11">
        <v>4.4390000000000001</v>
      </c>
      <c r="Q65" s="11">
        <v>4.6289999999999996</v>
      </c>
      <c r="R65" s="11">
        <v>4.5199999999999996</v>
      </c>
      <c r="S65" s="11">
        <v>4.7880000000000003</v>
      </c>
      <c r="T65" s="11">
        <v>4.875</v>
      </c>
      <c r="U65" s="11">
        <v>5.5140000000000002</v>
      </c>
      <c r="V65" s="11"/>
      <c r="W65" s="11"/>
      <c r="X65" s="11"/>
      <c r="Z65" s="11">
        <v>5.8970000000000002</v>
      </c>
      <c r="AA65" s="11">
        <v>1.5529999999999999</v>
      </c>
      <c r="AB65" s="11">
        <v>5.6580000000000004</v>
      </c>
      <c r="AC65" s="11">
        <v>11.303000000000001</v>
      </c>
      <c r="AD65" s="11">
        <v>15.304</v>
      </c>
      <c r="AE65" s="11">
        <v>18.376999999999999</v>
      </c>
    </row>
    <row r="66" spans="2:32" x14ac:dyDescent="0.25">
      <c r="C66" s="2" t="s">
        <v>105</v>
      </c>
      <c r="D66" s="11"/>
      <c r="E66" s="11"/>
      <c r="F66" s="11"/>
      <c r="G66" s="11"/>
      <c r="H66" s="11"/>
      <c r="I66" s="11"/>
      <c r="J66" s="11"/>
      <c r="K66" s="11"/>
      <c r="L66" s="11">
        <v>1.8819999999999999</v>
      </c>
      <c r="M66" s="11">
        <v>2.004</v>
      </c>
      <c r="N66" s="11">
        <v>2.0030000000000001</v>
      </c>
      <c r="O66" s="11">
        <v>2.004</v>
      </c>
      <c r="P66" s="11">
        <v>1.97</v>
      </c>
      <c r="Q66" s="11">
        <v>1.929</v>
      </c>
      <c r="R66" s="11">
        <v>1.897</v>
      </c>
      <c r="S66" s="11">
        <v>1.8720000000000001</v>
      </c>
      <c r="T66" s="11">
        <v>1.9870000000000001</v>
      </c>
      <c r="U66" s="11">
        <v>2.09</v>
      </c>
      <c r="V66" s="11"/>
      <c r="W66" s="11"/>
      <c r="X66" s="11"/>
      <c r="Z66" s="11">
        <v>5.1840000000000002</v>
      </c>
      <c r="AA66" s="11">
        <v>4.7729999999999997</v>
      </c>
      <c r="AB66" s="11">
        <v>4.5750000000000002</v>
      </c>
      <c r="AC66" s="11">
        <v>6.5659999999999998</v>
      </c>
      <c r="AD66" s="11">
        <v>7.8920000000000003</v>
      </c>
      <c r="AE66" s="11">
        <v>7.6669999999999998</v>
      </c>
    </row>
    <row r="67" spans="2:32" x14ac:dyDescent="0.25">
      <c r="C67" s="2" t="s">
        <v>106</v>
      </c>
      <c r="D67" s="11"/>
      <c r="E67" s="11"/>
      <c r="F67" s="11"/>
      <c r="G67" s="11"/>
      <c r="H67" s="11"/>
      <c r="I67" s="11"/>
      <c r="J67" s="11"/>
      <c r="K67" s="11"/>
      <c r="L67" s="11">
        <v>16.044</v>
      </c>
      <c r="M67" s="11">
        <v>15.331</v>
      </c>
      <c r="N67" s="11">
        <v>16.664000000000001</v>
      </c>
      <c r="O67" s="11">
        <v>18.905000000000001</v>
      </c>
      <c r="P67" s="11">
        <v>15.932</v>
      </c>
      <c r="Q67" s="11">
        <v>16.966999999999999</v>
      </c>
      <c r="R67" s="11">
        <v>17.934999999999999</v>
      </c>
      <c r="S67" s="11">
        <v>18.555</v>
      </c>
      <c r="T67" s="11">
        <v>16.440000000000001</v>
      </c>
      <c r="U67" s="11">
        <v>17.010999999999999</v>
      </c>
      <c r="V67" s="11"/>
      <c r="W67" s="11"/>
      <c r="X67" s="11"/>
      <c r="Z67" s="11">
        <v>52.209000000000003</v>
      </c>
      <c r="AA67" s="11">
        <v>56.45</v>
      </c>
      <c r="AB67" s="11">
        <v>76.117999999999995</v>
      </c>
      <c r="AC67" s="11">
        <v>61.332000000000001</v>
      </c>
      <c r="AD67" s="11">
        <v>66.944999999999993</v>
      </c>
      <c r="AE67" s="11">
        <v>69.388000000000005</v>
      </c>
    </row>
    <row r="68" spans="2:32" x14ac:dyDescent="0.25">
      <c r="C68" s="2" t="s">
        <v>107</v>
      </c>
      <c r="D68" s="11"/>
      <c r="E68" s="11"/>
      <c r="F68" s="11"/>
      <c r="G68" s="11"/>
      <c r="H68" s="11"/>
      <c r="I68" s="11"/>
      <c r="J68" s="11"/>
      <c r="K68" s="11"/>
      <c r="L68" s="11">
        <v>2.206</v>
      </c>
      <c r="M68" s="11">
        <v>-5.5860000000000003</v>
      </c>
      <c r="N68" s="11">
        <v>6.9809999999999999</v>
      </c>
      <c r="O68" s="11">
        <v>-1.883</v>
      </c>
      <c r="P68" s="11">
        <v>-9.6630000000000003</v>
      </c>
      <c r="Q68" s="11">
        <v>10.398999999999999</v>
      </c>
      <c r="R68" s="11">
        <v>-3.673</v>
      </c>
      <c r="S68" s="11">
        <v>1.2909999999999999</v>
      </c>
      <c r="T68" s="11">
        <v>-20.841000000000001</v>
      </c>
      <c r="U68" s="11">
        <v>2.7719999999999998</v>
      </c>
      <c r="V68" s="11"/>
      <c r="W68" s="11"/>
      <c r="X68" s="11"/>
      <c r="Z68" s="11">
        <v>0.33200000000000002</v>
      </c>
      <c r="AA68" s="11">
        <v>0.5</v>
      </c>
      <c r="AB68" s="11">
        <v>0.5</v>
      </c>
      <c r="AC68" s="11">
        <v>-0.39900000000000002</v>
      </c>
      <c r="AD68" s="11">
        <v>1.7190000000000001</v>
      </c>
      <c r="AE68" s="11">
        <v>-1.645</v>
      </c>
    </row>
    <row r="69" spans="2:32" x14ac:dyDescent="0.25">
      <c r="C69" s="2" t="s">
        <v>108</v>
      </c>
      <c r="D69" s="11"/>
      <c r="E69" s="11"/>
      <c r="F69" s="11"/>
      <c r="G69" s="11"/>
      <c r="H69" s="11"/>
      <c r="I69" s="11"/>
      <c r="J69" s="11"/>
      <c r="K69" s="11"/>
      <c r="L69" s="11">
        <v>-1.482</v>
      </c>
      <c r="M69" s="11">
        <v>1.98</v>
      </c>
      <c r="N69" s="11">
        <v>-2.8420000000000001</v>
      </c>
      <c r="O69" s="11">
        <v>-2.214</v>
      </c>
      <c r="P69" s="11">
        <v>10.738</v>
      </c>
      <c r="Q69" s="11">
        <v>-2.1909999999999998</v>
      </c>
      <c r="R69" s="11">
        <v>0.38200000000000001</v>
      </c>
      <c r="S69" s="11">
        <v>-4.0650000000000004</v>
      </c>
      <c r="T69" s="11">
        <v>15.115</v>
      </c>
      <c r="U69" s="11">
        <v>-2.11</v>
      </c>
      <c r="V69" s="11"/>
      <c r="W69" s="11"/>
      <c r="X69" s="11"/>
      <c r="Z69" s="11">
        <v>-3.9510000000000001</v>
      </c>
      <c r="AA69" s="11">
        <v>-2.1230000000000002</v>
      </c>
      <c r="AB69" s="11">
        <v>2.2970000000000002</v>
      </c>
      <c r="AC69" s="11">
        <v>-0.17399999999999999</v>
      </c>
      <c r="AD69" s="11">
        <v>-4.5579999999999998</v>
      </c>
      <c r="AE69" s="11">
        <v>4.8639999999999999</v>
      </c>
    </row>
    <row r="70" spans="2:32" x14ac:dyDescent="0.25">
      <c r="C70" s="2" t="s">
        <v>109</v>
      </c>
      <c r="D70" s="11"/>
      <c r="E70" s="11"/>
      <c r="F70" s="11"/>
      <c r="G70" s="11"/>
      <c r="H70" s="11"/>
      <c r="I70" s="11"/>
      <c r="J70" s="11"/>
      <c r="K70" s="11"/>
      <c r="L70" s="11">
        <v>-2.2389999999999999</v>
      </c>
      <c r="M70" s="11">
        <v>-2.605</v>
      </c>
      <c r="N70" s="11">
        <v>-2.1269999999999998</v>
      </c>
      <c r="O70" s="11">
        <v>-2.67</v>
      </c>
      <c r="P70" s="11">
        <v>-2.5219999999999998</v>
      </c>
      <c r="Q70" s="11">
        <v>-0.97599999999999998</v>
      </c>
      <c r="R70" s="11">
        <v>-1.4359999999999999</v>
      </c>
      <c r="S70" s="11">
        <v>-1.776</v>
      </c>
      <c r="T70" s="11">
        <v>-2.0169999999999999</v>
      </c>
      <c r="U70" s="11">
        <v>-1.1779999999999999</v>
      </c>
      <c r="V70" s="11"/>
      <c r="W70" s="11"/>
      <c r="X70" s="11"/>
      <c r="Z70" s="11">
        <v>-8.375</v>
      </c>
      <c r="AA70" s="11">
        <v>-3.569</v>
      </c>
      <c r="AB70" s="11">
        <v>-4.2409999999999997</v>
      </c>
      <c r="AC70" s="11">
        <v>-6.8680000000000003</v>
      </c>
      <c r="AD70" s="11">
        <v>-9.64</v>
      </c>
      <c r="AE70" s="11">
        <v>-6.71</v>
      </c>
    </row>
    <row r="71" spans="2:32" x14ac:dyDescent="0.25">
      <c r="C71" s="2" t="s">
        <v>110</v>
      </c>
      <c r="D71" s="11"/>
      <c r="E71" s="11"/>
      <c r="F71" s="11"/>
      <c r="G71" s="11"/>
      <c r="H71" s="11"/>
      <c r="I71" s="11"/>
      <c r="J71" s="11"/>
      <c r="K71" s="11"/>
      <c r="L71" s="11">
        <v>-11.071</v>
      </c>
      <c r="M71" s="11">
        <v>-5.7990000000000004</v>
      </c>
      <c r="N71" s="11">
        <v>-5.2430000000000003</v>
      </c>
      <c r="O71" s="11">
        <v>-5.1849999999999996</v>
      </c>
      <c r="P71" s="11">
        <v>-4.1559999999999997</v>
      </c>
      <c r="Q71" s="11">
        <v>-4.7779999999999996</v>
      </c>
      <c r="R71" s="11">
        <v>-7.7430000000000003</v>
      </c>
      <c r="S71" s="11">
        <v>-8.9440000000000008</v>
      </c>
      <c r="T71" s="11">
        <v>-3.5390000000000001</v>
      </c>
      <c r="U71" s="11">
        <v>-6.4960000000000004</v>
      </c>
      <c r="V71" s="11"/>
      <c r="W71" s="11"/>
      <c r="X71" s="11"/>
      <c r="Z71" s="11">
        <v>-11.507999999999999</v>
      </c>
      <c r="AA71" s="11">
        <v>-19.122</v>
      </c>
      <c r="AB71" s="11">
        <v>-13.683</v>
      </c>
      <c r="AC71" s="11">
        <v>-14.27</v>
      </c>
      <c r="AD71" s="11">
        <v>-27.298999999999999</v>
      </c>
      <c r="AE71" s="11">
        <v>-25.620999999999999</v>
      </c>
    </row>
    <row r="72" spans="2:32" x14ac:dyDescent="0.25">
      <c r="C72" s="2" t="s">
        <v>111</v>
      </c>
      <c r="D72" s="11"/>
      <c r="E72" s="11"/>
      <c r="F72" s="11"/>
      <c r="G72" s="11"/>
      <c r="H72" s="11"/>
      <c r="I72" s="11"/>
      <c r="J72" s="11"/>
      <c r="K72" s="11"/>
      <c r="L72" s="11">
        <v>-4.7709999999999999</v>
      </c>
      <c r="M72" s="11">
        <v>13.654999999999999</v>
      </c>
      <c r="N72" s="11">
        <v>-25.283999999999999</v>
      </c>
      <c r="O72" s="11">
        <v>10.975</v>
      </c>
      <c r="P72" s="11">
        <v>-34.006</v>
      </c>
      <c r="Q72" s="11">
        <v>4.2519999999999998</v>
      </c>
      <c r="R72" s="11">
        <v>15.845000000000001</v>
      </c>
      <c r="S72" s="11">
        <v>27.504000000000001</v>
      </c>
      <c r="T72" s="11">
        <v>-14.226000000000001</v>
      </c>
      <c r="U72" s="11">
        <f>5.302+7.481+5.662-6.508+5.682-1.236-0.043</f>
        <v>16.34</v>
      </c>
      <c r="V72" s="11"/>
      <c r="W72" s="11"/>
      <c r="X72" s="11"/>
      <c r="Z72" s="11">
        <v>3.8450000000000002</v>
      </c>
      <c r="AA72" s="11">
        <v>-15.244</v>
      </c>
      <c r="AB72" s="11">
        <v>-69.712999999999994</v>
      </c>
      <c r="AC72" s="11">
        <v>16.158999999999999</v>
      </c>
      <c r="AD72" s="11">
        <v>-0.45400000000000001</v>
      </c>
      <c r="AE72" s="11">
        <v>19.198</v>
      </c>
    </row>
    <row r="73" spans="2:32" s="1" customFormat="1" x14ac:dyDescent="0.25">
      <c r="B73" s="21"/>
      <c r="C73" s="1" t="s">
        <v>88</v>
      </c>
      <c r="D73" s="12">
        <f>SUM(D64:D72)</f>
        <v>0</v>
      </c>
      <c r="E73" s="12">
        <f t="shared" ref="E73:U73" si="68">SUM(E64:E72)</f>
        <v>0</v>
      </c>
      <c r="F73" s="12">
        <f t="shared" si="68"/>
        <v>0</v>
      </c>
      <c r="G73" s="12">
        <f t="shared" si="68"/>
        <v>0</v>
      </c>
      <c r="H73" s="12">
        <f t="shared" si="68"/>
        <v>0</v>
      </c>
      <c r="I73" s="12">
        <f t="shared" si="68"/>
        <v>0</v>
      </c>
      <c r="J73" s="12">
        <f t="shared" si="68"/>
        <v>0</v>
      </c>
      <c r="K73" s="12">
        <f t="shared" si="68"/>
        <v>0</v>
      </c>
      <c r="L73" s="12">
        <f t="shared" si="68"/>
        <v>29.312000000000012</v>
      </c>
      <c r="M73" s="12">
        <f t="shared" si="68"/>
        <v>48.230000000000004</v>
      </c>
      <c r="N73" s="12">
        <f t="shared" si="68"/>
        <v>11.562000000000005</v>
      </c>
      <c r="O73" s="12">
        <f t="shared" si="68"/>
        <v>45.19</v>
      </c>
      <c r="P73" s="12">
        <f t="shared" si="68"/>
        <v>5.144999999999996</v>
      </c>
      <c r="Q73" s="12">
        <f t="shared" si="68"/>
        <v>42.722999999999999</v>
      </c>
      <c r="R73" s="12">
        <f t="shared" si="68"/>
        <v>54.911999999999985</v>
      </c>
      <c r="S73" s="12">
        <f t="shared" si="68"/>
        <v>62.694999999999993</v>
      </c>
      <c r="T73" s="12">
        <f t="shared" si="68"/>
        <v>19.779999999999994</v>
      </c>
      <c r="U73" s="12">
        <f t="shared" si="68"/>
        <v>54.790999999999997</v>
      </c>
      <c r="V73" s="12"/>
      <c r="W73" s="12"/>
      <c r="X73" s="12"/>
      <c r="Z73" s="12">
        <f t="shared" ref="Z73" si="69">SUM(Z64:Z72)</f>
        <v>103.84200000000001</v>
      </c>
      <c r="AA73" s="12">
        <f t="shared" ref="AA73" si="70">SUM(AA64:AA72)</f>
        <v>73.199999999999989</v>
      </c>
      <c r="AB73" s="12">
        <f t="shared" ref="AB73" si="71">SUM(AB64:AB72)</f>
        <v>25.093999999999994</v>
      </c>
      <c r="AC73" s="12">
        <f t="shared" ref="AC73" si="72">SUM(AC64:AC72)</f>
        <v>157.18899999999999</v>
      </c>
      <c r="AD73" s="12">
        <f t="shared" ref="AD73" si="73">SUM(AD64:AD72)</f>
        <v>139.26499999999996</v>
      </c>
      <c r="AE73" s="12">
        <f t="shared" ref="AE73" si="74">SUM(AE64:AE72)</f>
        <v>171.07899999999998</v>
      </c>
      <c r="AF73" s="21"/>
    </row>
    <row r="74" spans="2:32" x14ac:dyDescent="0.25"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Z74" s="11"/>
      <c r="AA74" s="11"/>
      <c r="AB74" s="11"/>
      <c r="AC74" s="11"/>
      <c r="AD74" s="11"/>
      <c r="AE74" s="11"/>
    </row>
    <row r="75" spans="2:32" x14ac:dyDescent="0.25">
      <c r="C75" s="2" t="s">
        <v>112</v>
      </c>
      <c r="D75" s="11"/>
      <c r="E75" s="11"/>
      <c r="F75" s="11"/>
      <c r="G75" s="11"/>
      <c r="H75" s="11"/>
      <c r="I75" s="11"/>
      <c r="J75" s="11"/>
      <c r="K75" s="11"/>
      <c r="L75" s="11">
        <v>-10.584</v>
      </c>
      <c r="M75" s="11">
        <v>-28.643000000000001</v>
      </c>
      <c r="N75" s="11">
        <v>-28.872</v>
      </c>
      <c r="O75" s="11">
        <v>-41.002000000000002</v>
      </c>
      <c r="P75" s="11">
        <v>-25.033000000000001</v>
      </c>
      <c r="Q75" s="11">
        <v>-20.765999999999998</v>
      </c>
      <c r="R75" s="11">
        <v>-11.826000000000001</v>
      </c>
      <c r="S75" s="11">
        <v>-28.026</v>
      </c>
      <c r="T75" s="11">
        <v>-15.805</v>
      </c>
      <c r="U75" s="11">
        <v>-27.905999999999999</v>
      </c>
      <c r="V75" s="11"/>
      <c r="W75" s="11"/>
      <c r="X75" s="11"/>
      <c r="Z75" s="11">
        <v>-50.152000000000001</v>
      </c>
      <c r="AA75" s="11">
        <v>-37.381</v>
      </c>
      <c r="AB75" s="11">
        <v>-43.713999999999999</v>
      </c>
      <c r="AC75" s="11">
        <v>-40.774000000000001</v>
      </c>
      <c r="AD75" s="11">
        <v>-109.101</v>
      </c>
      <c r="AE75" s="11">
        <v>-85.650999999999996</v>
      </c>
    </row>
    <row r="76" spans="2:32" x14ac:dyDescent="0.25">
      <c r="C76" s="2" t="s">
        <v>113</v>
      </c>
      <c r="D76" s="11"/>
      <c r="E76" s="11"/>
      <c r="F76" s="11"/>
      <c r="G76" s="11"/>
      <c r="H76" s="11"/>
      <c r="I76" s="11"/>
      <c r="J76" s="11"/>
      <c r="K76" s="11"/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8.9999999999999993E-3</v>
      </c>
      <c r="T76" s="11">
        <v>0</v>
      </c>
      <c r="U76" s="11">
        <v>0</v>
      </c>
      <c r="V76" s="11"/>
      <c r="W76" s="11"/>
      <c r="X76" s="11"/>
      <c r="Z76" s="11">
        <v>6.194</v>
      </c>
      <c r="AA76" s="11">
        <v>1.4999999999999999E-2</v>
      </c>
      <c r="AB76" s="11">
        <v>1.232</v>
      </c>
      <c r="AC76" s="11">
        <v>0.122</v>
      </c>
      <c r="AD76" s="11">
        <v>0</v>
      </c>
      <c r="AE76" s="11">
        <v>8.9999999999999993E-3</v>
      </c>
    </row>
    <row r="77" spans="2:32" x14ac:dyDescent="0.25">
      <c r="C77" s="2" t="s">
        <v>114</v>
      </c>
      <c r="D77" s="11"/>
      <c r="E77" s="11"/>
      <c r="F77" s="11"/>
      <c r="G77" s="11"/>
      <c r="H77" s="11"/>
      <c r="I77" s="11"/>
      <c r="J77" s="11"/>
      <c r="K77" s="11"/>
      <c r="L77" s="11">
        <v>0</v>
      </c>
      <c r="M77" s="11">
        <v>0</v>
      </c>
      <c r="N77" s="11">
        <v>2.028</v>
      </c>
      <c r="O77" s="11">
        <v>0</v>
      </c>
      <c r="P77" s="11">
        <v>0</v>
      </c>
      <c r="Q77" s="11">
        <v>1.1679999999999999</v>
      </c>
      <c r="R77" s="11">
        <v>0.253</v>
      </c>
      <c r="S77" s="11">
        <v>0</v>
      </c>
      <c r="T77" s="11">
        <v>0</v>
      </c>
      <c r="U77" s="11">
        <v>2.2589999999999999</v>
      </c>
      <c r="V77" s="11"/>
      <c r="W77" s="11"/>
      <c r="X77" s="11"/>
      <c r="Z77" s="11">
        <v>1.5</v>
      </c>
      <c r="AA77" s="11">
        <v>0</v>
      </c>
      <c r="AB77" s="11">
        <v>0</v>
      </c>
      <c r="AC77" s="11">
        <v>4.883</v>
      </c>
      <c r="AD77" s="11">
        <v>2.028</v>
      </c>
      <c r="AE77" s="11">
        <v>1.4219999999999999</v>
      </c>
    </row>
    <row r="78" spans="2:32" x14ac:dyDescent="0.25">
      <c r="C78" s="2" t="s">
        <v>115</v>
      </c>
      <c r="D78" s="11"/>
      <c r="E78" s="11"/>
      <c r="F78" s="11"/>
      <c r="G78" s="11"/>
      <c r="H78" s="11"/>
      <c r="I78" s="11"/>
      <c r="J78" s="11"/>
      <c r="K78" s="11"/>
      <c r="L78" s="11">
        <v>4.0179999999999998</v>
      </c>
      <c r="M78" s="11">
        <v>0</v>
      </c>
      <c r="N78" s="11">
        <v>0</v>
      </c>
      <c r="O78" s="11">
        <v>5.8479999999999999</v>
      </c>
      <c r="P78" s="11">
        <v>0</v>
      </c>
      <c r="Q78" s="11">
        <v>0</v>
      </c>
      <c r="R78" s="11">
        <v>0</v>
      </c>
      <c r="S78" s="11">
        <v>5.3760000000000003</v>
      </c>
      <c r="T78" s="11">
        <v>3.673</v>
      </c>
      <c r="U78" s="11">
        <f>-26.236-U75-U76-U77-U79</f>
        <v>-0.16700000000000176</v>
      </c>
      <c r="V78" s="11"/>
      <c r="W78" s="11"/>
      <c r="X78" s="11"/>
      <c r="Z78" s="11">
        <v>0</v>
      </c>
      <c r="AA78" s="11">
        <v>4.9649999999999999</v>
      </c>
      <c r="AB78" s="11">
        <v>0</v>
      </c>
      <c r="AC78" s="11">
        <v>2.0179999999999998</v>
      </c>
      <c r="AD78" s="11">
        <v>9.8659999999999997</v>
      </c>
      <c r="AE78" s="11">
        <v>5.3760000000000003</v>
      </c>
    </row>
    <row r="79" spans="2:32" x14ac:dyDescent="0.25">
      <c r="C79" s="2" t="s">
        <v>116</v>
      </c>
      <c r="D79" s="11"/>
      <c r="E79" s="11"/>
      <c r="F79" s="11"/>
      <c r="G79" s="11"/>
      <c r="H79" s="11"/>
      <c r="I79" s="11"/>
      <c r="J79" s="11"/>
      <c r="K79" s="11"/>
      <c r="L79" s="11">
        <v>0.441</v>
      </c>
      <c r="M79" s="11">
        <v>0.37</v>
      </c>
      <c r="N79" s="11">
        <v>-1.66</v>
      </c>
      <c r="O79" s="11">
        <v>0.54300000000000004</v>
      </c>
      <c r="P79" s="11">
        <v>-1.5649999999999999</v>
      </c>
      <c r="Q79" s="11">
        <v>-0.27200000000000002</v>
      </c>
      <c r="R79" s="11">
        <v>0.04</v>
      </c>
      <c r="S79" s="11">
        <v>-8.4000000000000005E-2</v>
      </c>
      <c r="T79" s="11">
        <v>0.502</v>
      </c>
      <c r="U79" s="11">
        <v>-0.42199999999999999</v>
      </c>
      <c r="V79" s="11"/>
      <c r="W79" s="11"/>
      <c r="X79" s="11"/>
      <c r="Z79" s="11">
        <v>6.8120000000000003</v>
      </c>
      <c r="AA79" s="11">
        <v>6.1790000000000003</v>
      </c>
      <c r="AB79" s="11">
        <v>-83.527000000000001</v>
      </c>
      <c r="AC79" s="11">
        <v>1.772</v>
      </c>
      <c r="AD79" s="11">
        <v>-0.30599999999999999</v>
      </c>
      <c r="AE79" s="11">
        <v>-1.88</v>
      </c>
    </row>
    <row r="80" spans="2:32" s="1" customFormat="1" x14ac:dyDescent="0.25">
      <c r="B80" s="21"/>
      <c r="C80" s="1" t="s">
        <v>90</v>
      </c>
      <c r="D80" s="12">
        <f>SUM(D75:D79)</f>
        <v>0</v>
      </c>
      <c r="E80" s="12">
        <f t="shared" ref="E80:U80" si="75">SUM(E75:E79)</f>
        <v>0</v>
      </c>
      <c r="F80" s="12">
        <f t="shared" si="75"/>
        <v>0</v>
      </c>
      <c r="G80" s="12">
        <f t="shared" si="75"/>
        <v>0</v>
      </c>
      <c r="H80" s="12">
        <f t="shared" si="75"/>
        <v>0</v>
      </c>
      <c r="I80" s="12">
        <f t="shared" si="75"/>
        <v>0</v>
      </c>
      <c r="J80" s="12">
        <f t="shared" si="75"/>
        <v>0</v>
      </c>
      <c r="K80" s="12">
        <f t="shared" si="75"/>
        <v>0</v>
      </c>
      <c r="L80" s="12">
        <f t="shared" si="75"/>
        <v>-6.125</v>
      </c>
      <c r="M80" s="12">
        <f t="shared" si="75"/>
        <v>-28.273</v>
      </c>
      <c r="N80" s="12">
        <f t="shared" si="75"/>
        <v>-28.504000000000001</v>
      </c>
      <c r="O80" s="12">
        <f t="shared" si="75"/>
        <v>-34.611000000000004</v>
      </c>
      <c r="P80" s="12">
        <f t="shared" si="75"/>
        <v>-26.598000000000003</v>
      </c>
      <c r="Q80" s="12">
        <f t="shared" si="75"/>
        <v>-19.869999999999997</v>
      </c>
      <c r="R80" s="12">
        <f t="shared" si="75"/>
        <v>-11.533000000000001</v>
      </c>
      <c r="S80" s="12">
        <f t="shared" si="75"/>
        <v>-22.724999999999998</v>
      </c>
      <c r="T80" s="12">
        <f t="shared" si="75"/>
        <v>-11.629999999999999</v>
      </c>
      <c r="U80" s="12">
        <f t="shared" si="75"/>
        <v>-26.236000000000001</v>
      </c>
      <c r="V80" s="12"/>
      <c r="W80" s="12"/>
      <c r="X80" s="12"/>
      <c r="Z80" s="12">
        <f t="shared" ref="Z80" si="76">SUM(Z75:Z79)</f>
        <v>-35.646000000000001</v>
      </c>
      <c r="AA80" s="12">
        <f t="shared" ref="AA80" si="77">SUM(AA75:AA79)</f>
        <v>-26.221999999999994</v>
      </c>
      <c r="AB80" s="12">
        <f t="shared" ref="AB80" si="78">SUM(AB75:AB79)</f>
        <v>-126.009</v>
      </c>
      <c r="AC80" s="12">
        <f t="shared" ref="AC80" si="79">SUM(AC75:AC79)</f>
        <v>-31.978999999999999</v>
      </c>
      <c r="AD80" s="12">
        <f t="shared" ref="AD80" si="80">SUM(AD75:AD79)</f>
        <v>-97.512999999999991</v>
      </c>
      <c r="AE80" s="12">
        <f t="shared" ref="AE80" si="81">SUM(AE75:AE79)</f>
        <v>-80.72399999999999</v>
      </c>
      <c r="AF80" s="21"/>
    </row>
    <row r="81" spans="2:32" x14ac:dyDescent="0.25"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Z81" s="11"/>
      <c r="AA81" s="11"/>
      <c r="AB81" s="11"/>
      <c r="AC81" s="11"/>
      <c r="AD81" s="11"/>
      <c r="AE81" s="11"/>
    </row>
    <row r="82" spans="2:32" x14ac:dyDescent="0.25">
      <c r="C82" s="2" t="s">
        <v>117</v>
      </c>
      <c r="D82" s="11"/>
      <c r="E82" s="11"/>
      <c r="F82" s="11"/>
      <c r="G82" s="11"/>
      <c r="H82" s="11"/>
      <c r="I82" s="11"/>
      <c r="J82" s="11"/>
      <c r="K82" s="11"/>
      <c r="L82" s="11">
        <v>-8.7249999999999996</v>
      </c>
      <c r="M82" s="11">
        <v>22.491</v>
      </c>
      <c r="N82" s="11">
        <v>32.154000000000003</v>
      </c>
      <c r="O82" s="11">
        <v>4.6509999999999998</v>
      </c>
      <c r="P82" s="11">
        <v>39.341000000000001</v>
      </c>
      <c r="Q82" s="11">
        <v>19.047999999999998</v>
      </c>
      <c r="R82" s="11">
        <v>-25.574000000000002</v>
      </c>
      <c r="S82" s="11">
        <v>17.152000000000001</v>
      </c>
      <c r="T82" s="11">
        <v>-19.806999999999999</v>
      </c>
      <c r="U82" s="11">
        <v>15.066000000000001</v>
      </c>
      <c r="V82" s="11"/>
      <c r="W82" s="11"/>
      <c r="X82" s="11"/>
      <c r="Z82" s="11">
        <v>-41.539000000000001</v>
      </c>
      <c r="AA82" s="11">
        <v>-46.796999999999997</v>
      </c>
      <c r="AB82" s="11">
        <v>147.85</v>
      </c>
      <c r="AC82" s="11">
        <v>-87.293999999999997</v>
      </c>
      <c r="AD82" s="11">
        <v>45.598999999999997</v>
      </c>
      <c r="AE82" s="11">
        <v>44.363</v>
      </c>
    </row>
    <row r="83" spans="2:32" x14ac:dyDescent="0.25">
      <c r="C83" s="2" t="s">
        <v>104</v>
      </c>
      <c r="D83" s="11"/>
      <c r="E83" s="11"/>
      <c r="F83" s="11"/>
      <c r="G83" s="11"/>
      <c r="H83" s="11"/>
      <c r="I83" s="11"/>
      <c r="J83" s="11"/>
      <c r="K83" s="11"/>
      <c r="L83" s="11">
        <v>-2.609</v>
      </c>
      <c r="M83" s="11">
        <v>-4.1740000000000004</v>
      </c>
      <c r="N83" s="11">
        <v>-4.2140000000000004</v>
      </c>
      <c r="O83" s="11">
        <v>-4.3070000000000004</v>
      </c>
      <c r="P83" s="11">
        <v>-4.4390000000000001</v>
      </c>
      <c r="Q83" s="11">
        <v>-4.6289999999999996</v>
      </c>
      <c r="R83" s="11">
        <v>-4.5199999999999996</v>
      </c>
      <c r="S83" s="11">
        <v>-4.7880000000000003</v>
      </c>
      <c r="T83" s="11">
        <v>-6.8620000000000001</v>
      </c>
      <c r="U83" s="11">
        <v>-7.6040000000000001</v>
      </c>
      <c r="V83" s="11"/>
      <c r="W83" s="11"/>
      <c r="X83" s="11"/>
      <c r="Z83" s="11">
        <v>-5.8970000000000002</v>
      </c>
      <c r="AA83" s="11">
        <v>-1.5529999999999999</v>
      </c>
      <c r="AB83" s="11">
        <v>-5.6580000000000004</v>
      </c>
      <c r="AC83" s="11">
        <v>-11.303000000000001</v>
      </c>
      <c r="AD83" s="11">
        <v>-23.196000000000002</v>
      </c>
      <c r="AE83" s="11">
        <v>-26.044</v>
      </c>
    </row>
    <row r="84" spans="2:32" x14ac:dyDescent="0.25">
      <c r="C84" s="2" t="s">
        <v>118</v>
      </c>
      <c r="D84" s="11"/>
      <c r="E84" s="11"/>
      <c r="F84" s="11"/>
      <c r="G84" s="11"/>
      <c r="H84" s="11"/>
      <c r="I84" s="11"/>
      <c r="J84" s="11"/>
      <c r="K84" s="11"/>
      <c r="L84" s="11">
        <v>-5.3250000000000002</v>
      </c>
      <c r="M84" s="11">
        <v>-5.7140000000000004</v>
      </c>
      <c r="N84" s="11">
        <v>-5.952</v>
      </c>
      <c r="O84" s="11">
        <v>-6.5979999999999999</v>
      </c>
      <c r="P84" s="11">
        <v>-5.8010000000000002</v>
      </c>
      <c r="Q84" s="11">
        <v>-7.3479999999999999</v>
      </c>
      <c r="R84" s="11">
        <v>-5.9169999999999998</v>
      </c>
      <c r="S84" s="11">
        <v>-5.6360000000000001</v>
      </c>
      <c r="T84" s="11">
        <v>-4.2510000000000003</v>
      </c>
      <c r="U84" s="11">
        <v>-4.6429999999999998</v>
      </c>
      <c r="V84" s="11"/>
      <c r="W84" s="11"/>
      <c r="X84" s="11"/>
      <c r="Z84" s="11">
        <v>-20.8</v>
      </c>
      <c r="AA84" s="11">
        <v>-19.969000000000001</v>
      </c>
      <c r="AB84" s="11">
        <v>-19.77</v>
      </c>
      <c r="AC84" s="11">
        <v>-18.359000000000002</v>
      </c>
      <c r="AD84" s="11">
        <v>-15.696999999999999</v>
      </c>
      <c r="AE84" s="11">
        <v>-17.036000000000001</v>
      </c>
    </row>
    <row r="85" spans="2:32" x14ac:dyDescent="0.25">
      <c r="C85" s="2" t="s">
        <v>119</v>
      </c>
      <c r="D85" s="11"/>
      <c r="E85" s="11"/>
      <c r="F85" s="11"/>
      <c r="G85" s="11"/>
      <c r="H85" s="11"/>
      <c r="I85" s="11"/>
      <c r="J85" s="11"/>
      <c r="K85" s="11"/>
      <c r="L85" s="11">
        <v>0</v>
      </c>
      <c r="M85" s="11">
        <v>-34.43</v>
      </c>
      <c r="N85" s="11">
        <v>0</v>
      </c>
      <c r="O85" s="11">
        <v>0</v>
      </c>
      <c r="P85" s="11">
        <v>0</v>
      </c>
      <c r="Q85" s="11">
        <v>-21.637</v>
      </c>
      <c r="R85" s="11">
        <v>0</v>
      </c>
      <c r="S85" s="11">
        <v>-21.677</v>
      </c>
      <c r="T85" s="11">
        <v>0</v>
      </c>
      <c r="U85" s="11">
        <v>-27.401</v>
      </c>
      <c r="V85" s="11"/>
      <c r="W85" s="11"/>
      <c r="X85" s="11"/>
      <c r="Z85" s="11">
        <v>-9.48</v>
      </c>
      <c r="AA85" s="11">
        <v>-9.9879999999999995</v>
      </c>
      <c r="AB85" s="11">
        <v>-19.623000000000001</v>
      </c>
      <c r="AC85" s="11">
        <v>-19.634</v>
      </c>
      <c r="AD85" s="11">
        <v>-34.43</v>
      </c>
      <c r="AE85" s="11">
        <v>-43.314</v>
      </c>
    </row>
    <row r="86" spans="2:32" x14ac:dyDescent="0.25">
      <c r="C86" s="2" t="s">
        <v>120</v>
      </c>
      <c r="D86" s="11"/>
      <c r="E86" s="11"/>
      <c r="F86" s="11"/>
      <c r="G86" s="11"/>
      <c r="H86" s="11"/>
      <c r="I86" s="11"/>
      <c r="J86" s="11"/>
      <c r="K86" s="11"/>
      <c r="L86" s="11">
        <v>0</v>
      </c>
      <c r="M86" s="11">
        <v>0</v>
      </c>
      <c r="N86" s="11">
        <v>-1.589</v>
      </c>
      <c r="O86" s="11">
        <v>-0.22500000000000001</v>
      </c>
      <c r="P86" s="11">
        <v>-1.887</v>
      </c>
      <c r="Q86" s="11">
        <v>-0.155</v>
      </c>
      <c r="R86" s="11">
        <v>-1.0209999999999999</v>
      </c>
      <c r="S86" s="11">
        <v>-0.27500000000000002</v>
      </c>
      <c r="T86" s="11">
        <v>-2.6190000000000002</v>
      </c>
      <c r="U86" s="11">
        <v>0</v>
      </c>
      <c r="V86" s="11"/>
      <c r="W86" s="11"/>
      <c r="X86" s="11"/>
      <c r="Z86" s="11">
        <v>2.3879999999999999</v>
      </c>
      <c r="AA86" s="11">
        <v>47.523000000000003</v>
      </c>
      <c r="AB86" s="11">
        <v>-0.24099999999999999</v>
      </c>
      <c r="AC86" s="11">
        <v>-0.88500000000000001</v>
      </c>
      <c r="AD86" s="11">
        <v>-1.8140000000000001</v>
      </c>
      <c r="AE86" s="11">
        <v>-3.3380000000000001</v>
      </c>
    </row>
    <row r="87" spans="2:32" s="1" customFormat="1" x14ac:dyDescent="0.25">
      <c r="B87" s="21"/>
      <c r="C87" s="1" t="s">
        <v>89</v>
      </c>
      <c r="D87" s="12">
        <f>SUM(D82:D86)</f>
        <v>0</v>
      </c>
      <c r="E87" s="12">
        <f t="shared" ref="E87:U87" si="82">SUM(E82:E86)</f>
        <v>0</v>
      </c>
      <c r="F87" s="12">
        <f t="shared" si="82"/>
        <v>0</v>
      </c>
      <c r="G87" s="12">
        <f t="shared" si="82"/>
        <v>0</v>
      </c>
      <c r="H87" s="12">
        <f t="shared" si="82"/>
        <v>0</v>
      </c>
      <c r="I87" s="12">
        <f t="shared" si="82"/>
        <v>0</v>
      </c>
      <c r="J87" s="12">
        <f t="shared" si="82"/>
        <v>0</v>
      </c>
      <c r="K87" s="12">
        <f t="shared" si="82"/>
        <v>0</v>
      </c>
      <c r="L87" s="12">
        <f t="shared" si="82"/>
        <v>-16.658999999999999</v>
      </c>
      <c r="M87" s="12">
        <f t="shared" si="82"/>
        <v>-21.826999999999998</v>
      </c>
      <c r="N87" s="12">
        <f t="shared" si="82"/>
        <v>20.399000000000008</v>
      </c>
      <c r="O87" s="12">
        <f t="shared" si="82"/>
        <v>-6.4790000000000001</v>
      </c>
      <c r="P87" s="12">
        <f t="shared" si="82"/>
        <v>27.213999999999999</v>
      </c>
      <c r="Q87" s="12">
        <f t="shared" si="82"/>
        <v>-14.721000000000002</v>
      </c>
      <c r="R87" s="12">
        <f t="shared" si="82"/>
        <v>-37.032000000000004</v>
      </c>
      <c r="S87" s="12">
        <f t="shared" si="82"/>
        <v>-15.223999999999998</v>
      </c>
      <c r="T87" s="12">
        <f t="shared" si="82"/>
        <v>-33.539000000000001</v>
      </c>
      <c r="U87" s="12">
        <f t="shared" si="82"/>
        <v>-24.582000000000001</v>
      </c>
      <c r="V87" s="12"/>
      <c r="W87" s="12"/>
      <c r="X87" s="12"/>
      <c r="Z87" s="12">
        <f t="shared" ref="Z87" si="83">SUM(Z82:Z86)</f>
        <v>-75.328000000000003</v>
      </c>
      <c r="AA87" s="12">
        <f t="shared" ref="AA87" si="84">SUM(AA82:AA86)</f>
        <v>-30.783999999999985</v>
      </c>
      <c r="AB87" s="12">
        <f t="shared" ref="AB87" si="85">SUM(AB82:AB86)</f>
        <v>102.55800000000001</v>
      </c>
      <c r="AC87" s="12">
        <f t="shared" ref="AC87" si="86">SUM(AC82:AC86)</f>
        <v>-137.47499999999997</v>
      </c>
      <c r="AD87" s="12">
        <f t="shared" ref="AD87" si="87">SUM(AD82:AD86)</f>
        <v>-29.538000000000004</v>
      </c>
      <c r="AE87" s="12">
        <f t="shared" ref="AE87" si="88">SUM(AE82:AE86)</f>
        <v>-45.369000000000007</v>
      </c>
      <c r="AF87" s="21"/>
    </row>
    <row r="88" spans="2:32" x14ac:dyDescent="0.25"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Z88" s="11"/>
      <c r="AA88" s="11"/>
      <c r="AB88" s="11"/>
      <c r="AC88" s="11"/>
      <c r="AD88" s="11"/>
      <c r="AE88" s="11"/>
    </row>
    <row r="89" spans="2:32" x14ac:dyDescent="0.25">
      <c r="C89" s="2" t="s">
        <v>121</v>
      </c>
      <c r="D89" s="11"/>
      <c r="E89" s="11"/>
      <c r="F89" s="11"/>
      <c r="G89" s="11"/>
      <c r="H89" s="11"/>
      <c r="I89" s="11"/>
      <c r="J89" s="11"/>
      <c r="K89" s="11"/>
      <c r="L89" s="11">
        <v>5.8000000000000003E-2</v>
      </c>
      <c r="M89" s="11">
        <v>2.7E-2</v>
      </c>
      <c r="N89" s="11">
        <v>-0.185</v>
      </c>
      <c r="O89" s="11">
        <v>2.629</v>
      </c>
      <c r="P89" s="11">
        <v>-2.7970000000000002</v>
      </c>
      <c r="Q89" s="11">
        <v>-5.0190000000000001</v>
      </c>
      <c r="R89" s="11">
        <v>-1.4</v>
      </c>
      <c r="S89" s="11">
        <v>-1.6539999999999999</v>
      </c>
      <c r="T89" s="11">
        <v>2.6160000000000001</v>
      </c>
      <c r="U89" s="11">
        <v>1.208</v>
      </c>
      <c r="V89" s="11"/>
      <c r="W89" s="11"/>
      <c r="X89" s="11"/>
      <c r="Z89" s="11">
        <v>-1.929</v>
      </c>
      <c r="AA89" s="11">
        <v>1.625</v>
      </c>
      <c r="AB89" s="11">
        <v>-2.1999999999999999E-2</v>
      </c>
      <c r="AC89" s="11">
        <v>-0.31</v>
      </c>
      <c r="AD89" s="11">
        <v>2.5289999999999999</v>
      </c>
      <c r="AE89" s="11">
        <v>-10.87</v>
      </c>
    </row>
    <row r="90" spans="2:32" x14ac:dyDescent="0.25"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Z90" s="11"/>
      <c r="AA90" s="11"/>
      <c r="AB90" s="11"/>
      <c r="AC90" s="11"/>
      <c r="AD90" s="11"/>
      <c r="AE90" s="11"/>
    </row>
    <row r="91" spans="2:32" x14ac:dyDescent="0.25">
      <c r="C91" s="2" t="s">
        <v>122</v>
      </c>
      <c r="D91" s="11">
        <f>D73+D80+D87+D89</f>
        <v>0</v>
      </c>
      <c r="E91" s="11">
        <f t="shared" ref="E91:S91" si="89">E73+E80+E87+E89</f>
        <v>0</v>
      </c>
      <c r="F91" s="11">
        <f t="shared" si="89"/>
        <v>0</v>
      </c>
      <c r="G91" s="11">
        <f t="shared" si="89"/>
        <v>0</v>
      </c>
      <c r="H91" s="11">
        <f t="shared" si="89"/>
        <v>0</v>
      </c>
      <c r="I91" s="11">
        <f t="shared" si="89"/>
        <v>0</v>
      </c>
      <c r="J91" s="11">
        <f t="shared" si="89"/>
        <v>0</v>
      </c>
      <c r="K91" s="11">
        <f t="shared" si="89"/>
        <v>0</v>
      </c>
      <c r="L91" s="11">
        <f t="shared" si="89"/>
        <v>6.5860000000000127</v>
      </c>
      <c r="M91" s="11">
        <f t="shared" si="89"/>
        <v>-1.842999999999994</v>
      </c>
      <c r="N91" s="11">
        <f t="shared" si="89"/>
        <v>3.2720000000000113</v>
      </c>
      <c r="O91" s="11">
        <f t="shared" si="89"/>
        <v>6.7289999999999939</v>
      </c>
      <c r="P91" s="11">
        <f t="shared" si="89"/>
        <v>2.963999999999992</v>
      </c>
      <c r="Q91" s="11">
        <f t="shared" si="89"/>
        <v>3.1129999999999995</v>
      </c>
      <c r="R91" s="11">
        <f t="shared" si="89"/>
        <v>4.9469999999999796</v>
      </c>
      <c r="S91" s="11">
        <f t="shared" si="89"/>
        <v>23.092000000000002</v>
      </c>
      <c r="T91" s="11">
        <f t="shared" ref="T91:U91" si="90">T73+T80+T87+T89</f>
        <v>-22.773000000000007</v>
      </c>
      <c r="U91" s="11">
        <f t="shared" si="90"/>
        <v>5.1809999999999956</v>
      </c>
      <c r="V91" s="11"/>
      <c r="W91" s="11"/>
      <c r="X91" s="11"/>
      <c r="Z91" s="11">
        <f t="shared" ref="Z91:AE91" si="91">Z73+Z80+Z87+Z89</f>
        <v>-9.0609999999999911</v>
      </c>
      <c r="AA91" s="11">
        <f t="shared" si="91"/>
        <v>17.81900000000001</v>
      </c>
      <c r="AB91" s="11">
        <f t="shared" si="91"/>
        <v>1.6210000000000007</v>
      </c>
      <c r="AC91" s="11">
        <f t="shared" si="91"/>
        <v>-12.574999999999973</v>
      </c>
      <c r="AD91" s="11">
        <f t="shared" si="91"/>
        <v>14.742999999999963</v>
      </c>
      <c r="AE91" s="11">
        <f t="shared" si="91"/>
        <v>34.115999999999985</v>
      </c>
    </row>
    <row r="92" spans="2:32" x14ac:dyDescent="0.25"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Z92" s="11"/>
      <c r="AA92" s="11"/>
      <c r="AB92" s="11"/>
      <c r="AC92" s="11"/>
      <c r="AD92" s="11"/>
      <c r="AE92" s="11"/>
    </row>
    <row r="93" spans="2:32" x14ac:dyDescent="0.25">
      <c r="C93" s="2" t="s">
        <v>123</v>
      </c>
      <c r="D93" s="11">
        <f>D73+D75</f>
        <v>0</v>
      </c>
      <c r="E93" s="11">
        <f t="shared" ref="E93:S93" si="92">E73+E75</f>
        <v>0</v>
      </c>
      <c r="F93" s="11">
        <f t="shared" si="92"/>
        <v>0</v>
      </c>
      <c r="G93" s="11">
        <f t="shared" si="92"/>
        <v>0</v>
      </c>
      <c r="H93" s="11">
        <f t="shared" si="92"/>
        <v>0</v>
      </c>
      <c r="I93" s="11">
        <f t="shared" si="92"/>
        <v>0</v>
      </c>
      <c r="J93" s="11">
        <f t="shared" si="92"/>
        <v>0</v>
      </c>
      <c r="K93" s="11">
        <f t="shared" si="92"/>
        <v>0</v>
      </c>
      <c r="L93" s="11">
        <f t="shared" si="92"/>
        <v>18.728000000000012</v>
      </c>
      <c r="M93" s="11">
        <f t="shared" si="92"/>
        <v>19.587000000000003</v>
      </c>
      <c r="N93" s="11">
        <f t="shared" si="92"/>
        <v>-17.309999999999995</v>
      </c>
      <c r="O93" s="11">
        <f t="shared" si="92"/>
        <v>4.1879999999999953</v>
      </c>
      <c r="P93" s="11">
        <f t="shared" si="92"/>
        <v>-19.888000000000005</v>
      </c>
      <c r="Q93" s="11">
        <f t="shared" si="92"/>
        <v>21.957000000000001</v>
      </c>
      <c r="R93" s="11">
        <f t="shared" si="92"/>
        <v>43.085999999999984</v>
      </c>
      <c r="S93" s="11">
        <f t="shared" si="92"/>
        <v>34.668999999999997</v>
      </c>
      <c r="T93" s="11">
        <f t="shared" ref="T93:U93" si="93">T73+T75</f>
        <v>3.9749999999999943</v>
      </c>
      <c r="U93" s="11">
        <f t="shared" si="93"/>
        <v>26.884999999999998</v>
      </c>
      <c r="V93" s="11"/>
      <c r="W93" s="11"/>
      <c r="X93" s="11"/>
      <c r="Z93" s="11">
        <f t="shared" ref="Z93:AE93" si="94">Z73+Z75</f>
        <v>53.690000000000012</v>
      </c>
      <c r="AA93" s="11">
        <f t="shared" si="94"/>
        <v>35.818999999999988</v>
      </c>
      <c r="AB93" s="11">
        <f t="shared" si="94"/>
        <v>-18.620000000000005</v>
      </c>
      <c r="AC93" s="11">
        <f t="shared" si="94"/>
        <v>116.41499999999999</v>
      </c>
      <c r="AD93" s="11">
        <f t="shared" si="94"/>
        <v>30.163999999999959</v>
      </c>
      <c r="AE93" s="11">
        <f t="shared" si="94"/>
        <v>85.427999999999983</v>
      </c>
    </row>
  </sheetData>
  <phoneticPr fontId="7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58E0-3BA5-6740-BE74-082DF7085DA4}">
  <dimension ref="B5:AC29"/>
  <sheetViews>
    <sheetView showGridLines="0"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S32" sqref="S32"/>
    </sheetView>
  </sheetViews>
  <sheetFormatPr baseColWidth="10" defaultRowHeight="19" x14ac:dyDescent="0.25"/>
  <cols>
    <col min="1" max="1" width="10.83203125" style="2"/>
    <col min="2" max="2" width="23.6640625" style="2" customWidth="1"/>
    <col min="3" max="16384" width="10.83203125" style="2"/>
  </cols>
  <sheetData>
    <row r="5" spans="2:29" x14ac:dyDescent="0.25">
      <c r="B5" s="2" t="s">
        <v>50</v>
      </c>
      <c r="C5" s="8" t="s">
        <v>7</v>
      </c>
      <c r="D5" s="8" t="s">
        <v>8</v>
      </c>
      <c r="E5" s="8" t="s">
        <v>9</v>
      </c>
      <c r="F5" s="8" t="s">
        <v>10</v>
      </c>
      <c r="G5" s="29">
        <v>2022</v>
      </c>
      <c r="H5" s="8" t="s">
        <v>11</v>
      </c>
      <c r="I5" s="8" t="s">
        <v>12</v>
      </c>
      <c r="J5" s="8" t="s">
        <v>13</v>
      </c>
      <c r="K5" s="8" t="s">
        <v>14</v>
      </c>
      <c r="L5" s="29">
        <v>2023</v>
      </c>
      <c r="M5" s="8" t="s">
        <v>15</v>
      </c>
      <c r="N5" s="8" t="s">
        <v>16</v>
      </c>
      <c r="O5" s="8" t="s">
        <v>17</v>
      </c>
      <c r="P5" s="8" t="s">
        <v>18</v>
      </c>
      <c r="Q5" s="29">
        <v>2024</v>
      </c>
      <c r="R5" s="8" t="s">
        <v>53</v>
      </c>
      <c r="S5" s="8" t="s">
        <v>54</v>
      </c>
      <c r="T5" s="8" t="s">
        <v>55</v>
      </c>
      <c r="U5" s="8" t="s">
        <v>56</v>
      </c>
      <c r="V5" s="29">
        <v>2025</v>
      </c>
      <c r="W5" s="8" t="s">
        <v>124</v>
      </c>
      <c r="X5" s="8" t="s">
        <v>125</v>
      </c>
      <c r="Y5" s="8" t="s">
        <v>126</v>
      </c>
      <c r="Z5" s="8" t="s">
        <v>127</v>
      </c>
      <c r="AA5" s="35">
        <v>2026</v>
      </c>
    </row>
    <row r="6" spans="2:29" x14ac:dyDescent="0.25">
      <c r="B6" s="1" t="s">
        <v>132</v>
      </c>
      <c r="G6" s="30"/>
      <c r="L6" s="30"/>
      <c r="Q6" s="30"/>
      <c r="V6" s="30"/>
      <c r="AA6" s="30"/>
    </row>
    <row r="7" spans="2:29" s="12" customFormat="1" x14ac:dyDescent="0.25">
      <c r="B7" s="12" t="s">
        <v>133</v>
      </c>
      <c r="C7" s="12">
        <v>175.04400000000001</v>
      </c>
      <c r="D7" s="12">
        <v>205.017</v>
      </c>
      <c r="E7" s="12">
        <v>207.904</v>
      </c>
      <c r="F7" s="12">
        <v>198.17</v>
      </c>
      <c r="G7" s="31">
        <f>SUM(C7:F7)</f>
        <v>786.13499999999999</v>
      </c>
      <c r="H7" s="12">
        <v>213.511</v>
      </c>
      <c r="I7" s="12">
        <v>216.31</v>
      </c>
      <c r="J7" s="12">
        <v>221.19800000000001</v>
      </c>
      <c r="K7" s="12">
        <v>219.40600000000001</v>
      </c>
      <c r="L7" s="31">
        <f>SUM(H7:K7)</f>
        <v>870.42499999999995</v>
      </c>
      <c r="M7" s="12">
        <v>230.523</v>
      </c>
      <c r="N7" s="12">
        <v>219.512</v>
      </c>
      <c r="O7" s="12">
        <v>217.703</v>
      </c>
      <c r="P7" s="12">
        <v>206.249</v>
      </c>
      <c r="Q7" s="31">
        <f>SUM(M7:P7)</f>
        <v>873.98699999999997</v>
      </c>
      <c r="R7" s="12">
        <v>228.91</v>
      </c>
      <c r="S7" s="12">
        <v>219.958</v>
      </c>
      <c r="T7" s="12">
        <v>206.15100000000001</v>
      </c>
      <c r="U7" s="12">
        <v>221.822</v>
      </c>
      <c r="V7" s="31">
        <f>SUM(R7:U7)</f>
        <v>876.84100000000001</v>
      </c>
      <c r="W7" s="12">
        <v>208.09200000000001</v>
      </c>
      <c r="X7" s="12">
        <v>224.11099999999999</v>
      </c>
      <c r="AA7" s="31">
        <f>SUM(W7:Z7)</f>
        <v>432.20299999999997</v>
      </c>
    </row>
    <row r="8" spans="2:29" s="27" customFormat="1" x14ac:dyDescent="0.25">
      <c r="B8" s="27" t="s">
        <v>137</v>
      </c>
      <c r="G8" s="32"/>
      <c r="H8" s="27">
        <f t="shared" ref="H8:T8" si="0">(H7-C7)/C7</f>
        <v>0.21975617559013724</v>
      </c>
      <c r="I8" s="27">
        <f t="shared" si="0"/>
        <v>5.5083236999858579E-2</v>
      </c>
      <c r="J8" s="27">
        <f t="shared" si="0"/>
        <v>6.3942973680160123E-2</v>
      </c>
      <c r="K8" s="27">
        <f t="shared" si="0"/>
        <v>0.10716051874653086</v>
      </c>
      <c r="L8" s="32">
        <f t="shared" si="0"/>
        <v>0.10722076996953445</v>
      </c>
      <c r="M8" s="27">
        <f t="shared" si="0"/>
        <v>7.9677393670583727E-2</v>
      </c>
      <c r="N8" s="27">
        <f t="shared" si="0"/>
        <v>1.4802829272802914E-2</v>
      </c>
      <c r="O8" s="27">
        <f t="shared" si="0"/>
        <v>-1.5800323691895969E-2</v>
      </c>
      <c r="P8" s="27">
        <f t="shared" si="0"/>
        <v>-5.9966454882728872E-2</v>
      </c>
      <c r="Q8" s="32">
        <f t="shared" si="0"/>
        <v>4.0922537840710135E-3</v>
      </c>
      <c r="R8" s="27">
        <f t="shared" si="0"/>
        <v>-6.9971326071585028E-3</v>
      </c>
      <c r="S8" s="27">
        <f t="shared" si="0"/>
        <v>2.031779583804065E-3</v>
      </c>
      <c r="T8" s="27">
        <f t="shared" si="0"/>
        <v>-5.306311810126637E-2</v>
      </c>
      <c r="U8" s="27">
        <f>(U7-P7)/P7</f>
        <v>7.5505820634281906E-2</v>
      </c>
      <c r="V8" s="32">
        <f t="shared" ref="V8:AA8" si="1">(V7-Q7)/Q7</f>
        <v>3.2654947956892288E-3</v>
      </c>
      <c r="W8" s="27">
        <f t="shared" si="1"/>
        <v>-9.0944039142020816E-2</v>
      </c>
      <c r="X8" s="27">
        <f t="shared" si="1"/>
        <v>1.8880877258385654E-2</v>
      </c>
      <c r="Y8" s="27">
        <f t="shared" si="1"/>
        <v>-1</v>
      </c>
      <c r="Z8" s="27">
        <f t="shared" si="1"/>
        <v>-1</v>
      </c>
      <c r="AA8" s="32">
        <f t="shared" si="1"/>
        <v>-0.507090795252503</v>
      </c>
    </row>
    <row r="9" spans="2:29" s="11" customFormat="1" x14ac:dyDescent="0.25">
      <c r="B9" s="11" t="s">
        <v>134</v>
      </c>
      <c r="C9" s="11">
        <v>-161.87200000000001</v>
      </c>
      <c r="D9" s="11">
        <v>-177.96700000000001</v>
      </c>
      <c r="E9" s="11">
        <v>-183.11500000000001</v>
      </c>
      <c r="F9" s="11">
        <v>-171.03100000000001</v>
      </c>
      <c r="G9" s="33"/>
      <c r="H9" s="11">
        <v>-181.827</v>
      </c>
      <c r="I9" s="11">
        <v>-181.065</v>
      </c>
      <c r="J9" s="11">
        <v>-181.22800000000001</v>
      </c>
      <c r="K9" s="11">
        <v>-191.011</v>
      </c>
      <c r="L9" s="33"/>
      <c r="M9" s="11">
        <v>-193.61199999999999</v>
      </c>
      <c r="N9" s="11">
        <v>-183.61799999999999</v>
      </c>
      <c r="O9" s="11">
        <v>-181.77600000000001</v>
      </c>
      <c r="P9" s="11">
        <v>-175.02099999999999</v>
      </c>
      <c r="Q9" s="33"/>
      <c r="R9" s="11">
        <v>-192.98400000000001</v>
      </c>
      <c r="S9" s="11">
        <v>-185.46700000000001</v>
      </c>
      <c r="T9" s="11">
        <v>-169.499</v>
      </c>
      <c r="U9" s="11">
        <v>-191.02500000000001</v>
      </c>
      <c r="V9" s="33"/>
      <c r="W9" s="11">
        <v>-172.94</v>
      </c>
      <c r="X9" s="11">
        <v>-185.345</v>
      </c>
      <c r="AA9" s="33"/>
    </row>
    <row r="10" spans="2:29" s="11" customFormat="1" x14ac:dyDescent="0.25">
      <c r="B10" s="11" t="s">
        <v>39</v>
      </c>
      <c r="C10" s="11">
        <v>-10.798</v>
      </c>
      <c r="D10" s="11">
        <v>-14.785</v>
      </c>
      <c r="E10" s="11">
        <v>-13.14</v>
      </c>
      <c r="F10" s="11">
        <v>-14.122999999999999</v>
      </c>
      <c r="G10" s="33"/>
      <c r="H10" s="11">
        <v>-12.85</v>
      </c>
      <c r="I10" s="11">
        <v>-12.414999999999999</v>
      </c>
      <c r="J10" s="11">
        <v>-13.223000000000001</v>
      </c>
      <c r="K10" s="11">
        <v>-12.101000000000001</v>
      </c>
      <c r="L10" s="33"/>
      <c r="M10" s="11">
        <v>-13.712999999999999</v>
      </c>
      <c r="N10" s="11">
        <v>-12.599</v>
      </c>
      <c r="O10" s="11">
        <v>-13.917</v>
      </c>
      <c r="P10" s="11">
        <v>-14.787000000000001</v>
      </c>
      <c r="Q10" s="33"/>
      <c r="R10" s="11">
        <v>-13.243</v>
      </c>
      <c r="S10" s="11">
        <v>-13.555</v>
      </c>
      <c r="T10" s="11">
        <v>-12.44</v>
      </c>
      <c r="U10" s="11">
        <v>-14.976000000000001</v>
      </c>
      <c r="V10" s="33"/>
      <c r="W10" s="11">
        <v>-12</v>
      </c>
      <c r="X10" s="11">
        <v>-12.112</v>
      </c>
      <c r="AA10" s="33"/>
    </row>
    <row r="11" spans="2:29" s="11" customFormat="1" x14ac:dyDescent="0.25">
      <c r="B11" s="11" t="s">
        <v>40</v>
      </c>
      <c r="C11" s="11">
        <v>-4.2560000000000002</v>
      </c>
      <c r="D11" s="11">
        <v>1.6359999999999999</v>
      </c>
      <c r="E11" s="11">
        <v>-1.2669999999999999</v>
      </c>
      <c r="F11" s="11">
        <v>-1.173</v>
      </c>
      <c r="G11" s="33"/>
      <c r="H11" s="11">
        <v>-7.6999999999999999E-2</v>
      </c>
      <c r="I11" s="11">
        <v>-9.0999999999999998E-2</v>
      </c>
      <c r="J11" s="11">
        <v>-0.39900000000000002</v>
      </c>
      <c r="K11" s="11">
        <v>-0.61799999999999999</v>
      </c>
      <c r="L11" s="33"/>
      <c r="M11" s="11">
        <v>-0.16</v>
      </c>
      <c r="N11" s="11">
        <v>-0.41499999999999998</v>
      </c>
      <c r="O11" s="11">
        <v>-9.7000000000000003E-2</v>
      </c>
      <c r="P11" s="11">
        <v>-1.897</v>
      </c>
      <c r="Q11" s="33"/>
      <c r="R11" s="11">
        <v>-3.6999999999999998E-2</v>
      </c>
      <c r="S11" s="11">
        <v>-1.034</v>
      </c>
      <c r="T11" s="11">
        <v>-0.17599999999999999</v>
      </c>
      <c r="U11" s="11">
        <v>0</v>
      </c>
      <c r="V11" s="33"/>
      <c r="W11" s="11">
        <v>0</v>
      </c>
      <c r="X11" s="11">
        <v>0</v>
      </c>
      <c r="AA11" s="33"/>
    </row>
    <row r="12" spans="2:29" s="12" customFormat="1" x14ac:dyDescent="0.25">
      <c r="B12" s="12" t="s">
        <v>135</v>
      </c>
      <c r="C12" s="12">
        <v>-1.8819999999999999</v>
      </c>
      <c r="D12" s="12">
        <v>13.901</v>
      </c>
      <c r="E12" s="12">
        <v>10.382999999999999</v>
      </c>
      <c r="F12" s="12">
        <v>11.843</v>
      </c>
      <c r="G12" s="31">
        <f>SUM(C12:F12)</f>
        <v>34.245000000000005</v>
      </c>
      <c r="H12" s="12">
        <v>18.757000000000001</v>
      </c>
      <c r="I12" s="12">
        <v>22.738</v>
      </c>
      <c r="J12" s="12">
        <v>26.347999999999999</v>
      </c>
      <c r="K12" s="12">
        <v>15.676</v>
      </c>
      <c r="L12" s="31">
        <f>SUM(H12:K12)</f>
        <v>83.519000000000005</v>
      </c>
      <c r="M12" s="12">
        <v>23.039000000000001</v>
      </c>
      <c r="N12" s="12">
        <v>22.881</v>
      </c>
      <c r="O12" s="12">
        <v>21.937000000000001</v>
      </c>
      <c r="P12" s="12">
        <v>14.544</v>
      </c>
      <c r="Q12" s="31">
        <f>SUM(M12:P12)</f>
        <v>82.400999999999996</v>
      </c>
      <c r="R12" s="12">
        <v>22.728000000000002</v>
      </c>
      <c r="S12" s="12">
        <v>19.823</v>
      </c>
      <c r="T12" s="12">
        <v>24.068000000000001</v>
      </c>
      <c r="U12" s="12">
        <v>15.819000000000001</v>
      </c>
      <c r="V12" s="31">
        <f>SUM(R12:U12)</f>
        <v>82.438000000000002</v>
      </c>
      <c r="W12" s="12">
        <v>23.166</v>
      </c>
      <c r="X12" s="12">
        <v>26.652999999999999</v>
      </c>
      <c r="AA12" s="31">
        <f>SUM(W12:Z12)</f>
        <v>49.819000000000003</v>
      </c>
      <c r="AC12" s="2"/>
    </row>
    <row r="13" spans="2:29" s="27" customFormat="1" ht="20" thickBot="1" x14ac:dyDescent="0.3">
      <c r="B13" s="28" t="s">
        <v>136</v>
      </c>
      <c r="C13" s="28">
        <f t="shared" ref="C13:T13" si="2">C12/C7</f>
        <v>-1.0751582459267384E-2</v>
      </c>
      <c r="D13" s="28">
        <f t="shared" si="2"/>
        <v>6.7804133315773812E-2</v>
      </c>
      <c r="E13" s="28">
        <f t="shared" si="2"/>
        <v>4.9941319070340155E-2</v>
      </c>
      <c r="F13" s="28">
        <f t="shared" si="2"/>
        <v>5.9761820659030129E-2</v>
      </c>
      <c r="G13" s="34">
        <f t="shared" si="2"/>
        <v>4.3561220401076156E-2</v>
      </c>
      <c r="H13" s="28">
        <f t="shared" si="2"/>
        <v>8.7850274693107161E-2</v>
      </c>
      <c r="I13" s="28">
        <f t="shared" si="2"/>
        <v>0.1051176552170496</v>
      </c>
      <c r="J13" s="28">
        <f t="shared" si="2"/>
        <v>0.11911500103979239</v>
      </c>
      <c r="K13" s="28">
        <f t="shared" si="2"/>
        <v>7.1447453579209314E-2</v>
      </c>
      <c r="L13" s="34">
        <f t="shared" si="2"/>
        <v>9.5951977482264417E-2</v>
      </c>
      <c r="M13" s="28">
        <f t="shared" si="2"/>
        <v>9.9942305106215004E-2</v>
      </c>
      <c r="N13" s="28">
        <f t="shared" si="2"/>
        <v>0.10423575932067496</v>
      </c>
      <c r="O13" s="28">
        <f t="shared" si="2"/>
        <v>0.10076572210764206</v>
      </c>
      <c r="P13" s="28">
        <f t="shared" si="2"/>
        <v>7.0516705535541999E-2</v>
      </c>
      <c r="Q13" s="34">
        <f t="shared" si="2"/>
        <v>9.4281722725852904E-2</v>
      </c>
      <c r="R13" s="28">
        <f t="shared" si="2"/>
        <v>9.9287929754051818E-2</v>
      </c>
      <c r="S13" s="28">
        <f t="shared" si="2"/>
        <v>9.0121750516007598E-2</v>
      </c>
      <c r="T13" s="28">
        <f t="shared" si="2"/>
        <v>0.11674937303238889</v>
      </c>
      <c r="U13" s="28">
        <f>U12/U7</f>
        <v>7.1313936399455422E-2</v>
      </c>
      <c r="V13" s="34">
        <f t="shared" ref="V13:AA13" si="3">V12/V7</f>
        <v>9.4017045279588887E-2</v>
      </c>
      <c r="W13" s="28">
        <f t="shared" si="3"/>
        <v>0.1113257597601061</v>
      </c>
      <c r="X13" s="28">
        <f t="shared" si="3"/>
        <v>0.11892767423285783</v>
      </c>
      <c r="Y13" s="28" t="e">
        <f t="shared" si="3"/>
        <v>#DIV/0!</v>
      </c>
      <c r="Z13" s="28" t="e">
        <f t="shared" si="3"/>
        <v>#DIV/0!</v>
      </c>
      <c r="AA13" s="34">
        <f t="shared" si="3"/>
        <v>0.11526759416292807</v>
      </c>
    </row>
    <row r="14" spans="2:29" x14ac:dyDescent="0.25">
      <c r="B14" s="1" t="s">
        <v>138</v>
      </c>
      <c r="G14" s="30"/>
      <c r="L14" s="30"/>
      <c r="Q14" s="30"/>
      <c r="V14" s="30"/>
      <c r="AA14" s="30"/>
    </row>
    <row r="15" spans="2:29" x14ac:dyDescent="0.25">
      <c r="B15" s="12" t="s">
        <v>133</v>
      </c>
      <c r="C15" s="12">
        <v>57.665999999999997</v>
      </c>
      <c r="D15" s="12">
        <v>61.329000000000001</v>
      </c>
      <c r="E15" s="12">
        <v>68.832999999999998</v>
      </c>
      <c r="F15" s="12">
        <v>72.706999999999994</v>
      </c>
      <c r="G15" s="31">
        <f>SUM(C15:F15)</f>
        <v>260.53499999999997</v>
      </c>
      <c r="H15" s="12">
        <v>73.156000000000006</v>
      </c>
      <c r="I15" s="12">
        <v>64.989999999999995</v>
      </c>
      <c r="J15" s="12">
        <v>72.081999999999994</v>
      </c>
      <c r="K15" s="12">
        <v>80.456000000000003</v>
      </c>
      <c r="L15" s="31">
        <f>SUM(H15:K15)</f>
        <v>290.68400000000003</v>
      </c>
      <c r="M15" s="12">
        <v>74.003</v>
      </c>
      <c r="N15" s="12">
        <v>72.869</v>
      </c>
      <c r="O15" s="12">
        <v>79.322000000000003</v>
      </c>
      <c r="P15" s="12">
        <v>84.221999999999994</v>
      </c>
      <c r="Q15" s="31">
        <f>SUM(M15:P15)</f>
        <v>310.416</v>
      </c>
      <c r="R15" s="12">
        <v>93.983000000000004</v>
      </c>
      <c r="S15" s="12">
        <v>78.28</v>
      </c>
      <c r="T15" s="12">
        <v>88.192999999999998</v>
      </c>
      <c r="U15" s="12">
        <v>99.483000000000004</v>
      </c>
      <c r="V15" s="31">
        <f>SUM(R15:U15)</f>
        <v>359.93900000000002</v>
      </c>
      <c r="W15" s="12">
        <v>94.478999999999999</v>
      </c>
      <c r="X15" s="12">
        <v>87.704999999999998</v>
      </c>
      <c r="Y15" s="12"/>
      <c r="Z15" s="12"/>
      <c r="AA15" s="31">
        <f>SUM(W15:Z15)</f>
        <v>182.184</v>
      </c>
    </row>
    <row r="16" spans="2:29" x14ac:dyDescent="0.25">
      <c r="B16" s="27" t="s">
        <v>137</v>
      </c>
      <c r="C16" s="27"/>
      <c r="D16" s="27"/>
      <c r="E16" s="27"/>
      <c r="F16" s="27"/>
      <c r="G16" s="32"/>
      <c r="H16" s="27">
        <f t="shared" ref="H16" si="4">(H15-C15)/C15</f>
        <v>0.2686158221482331</v>
      </c>
      <c r="I16" s="27">
        <f t="shared" ref="I16" si="5">(I15-D15)/D15</f>
        <v>5.9694434932902773E-2</v>
      </c>
      <c r="J16" s="27">
        <f t="shared" ref="J16" si="6">(J15-E15)/E15</f>
        <v>4.7201197100228021E-2</v>
      </c>
      <c r="K16" s="27">
        <f t="shared" ref="K16:L16" si="7">(K15-F15)/F15</f>
        <v>0.10657845874537542</v>
      </c>
      <c r="L16" s="32">
        <f t="shared" si="7"/>
        <v>0.11571957702420044</v>
      </c>
      <c r="M16" s="27">
        <f t="shared" ref="M16" si="8">(M15-H15)/H15</f>
        <v>1.1577997703537565E-2</v>
      </c>
      <c r="N16" s="27">
        <f t="shared" ref="N16" si="9">(N15-I15)/I15</f>
        <v>0.12123403600553939</v>
      </c>
      <c r="O16" s="27">
        <f t="shared" ref="O16" si="10">(O15-J15)/J15</f>
        <v>0.1004411642296275</v>
      </c>
      <c r="P16" s="27">
        <f t="shared" ref="P16:Q16" si="11">(P15-K15)/K15</f>
        <v>4.6808193298200143E-2</v>
      </c>
      <c r="Q16" s="32">
        <f t="shared" si="11"/>
        <v>6.7881273135088169E-2</v>
      </c>
      <c r="R16" s="27">
        <f t="shared" ref="R16" si="12">(R15-M15)/M15</f>
        <v>0.2699890544977907</v>
      </c>
      <c r="S16" s="27">
        <f t="shared" ref="S16" si="13">(S15-N15)/N15</f>
        <v>7.4256542562680994E-2</v>
      </c>
      <c r="T16" s="27">
        <f t="shared" ref="T16" si="14">(T15-O15)/O15</f>
        <v>0.11183530420312139</v>
      </c>
      <c r="U16" s="27">
        <f>(U15-P15)/P15</f>
        <v>0.18119968654270868</v>
      </c>
      <c r="V16" s="32">
        <f t="shared" ref="V16" si="15">(V15-Q15)/Q15</f>
        <v>0.15953752383897746</v>
      </c>
      <c r="W16" s="27">
        <f t="shared" ref="W16" si="16">(W15-R15)/R15</f>
        <v>5.2775501952480241E-3</v>
      </c>
      <c r="X16" s="27">
        <f t="shared" ref="X16" si="17">(X15-S15)/S15</f>
        <v>0.12040112416964738</v>
      </c>
      <c r="Y16" s="27">
        <f t="shared" ref="Y16" si="18">(Y15-T15)/T15</f>
        <v>-1</v>
      </c>
      <c r="Z16" s="27">
        <f t="shared" ref="Z16:AA16" si="19">(Z15-U15)/U15</f>
        <v>-1</v>
      </c>
      <c r="AA16" s="32">
        <f t="shared" si="19"/>
        <v>-0.49384756861579326</v>
      </c>
    </row>
    <row r="17" spans="2:27" x14ac:dyDescent="0.25">
      <c r="B17" s="11" t="s">
        <v>134</v>
      </c>
      <c r="C17" s="11">
        <v>-47.881</v>
      </c>
      <c r="D17" s="11">
        <v>-50.878</v>
      </c>
      <c r="E17" s="11">
        <v>-56.773000000000003</v>
      </c>
      <c r="F17" s="11">
        <v>-58.027000000000001</v>
      </c>
      <c r="G17" s="33"/>
      <c r="H17" s="11">
        <v>-57.643000000000001</v>
      </c>
      <c r="I17" s="11">
        <v>-51.631</v>
      </c>
      <c r="J17" s="11">
        <v>-58.619</v>
      </c>
      <c r="K17" s="11">
        <v>-63.850999999999999</v>
      </c>
      <c r="L17" s="33"/>
      <c r="M17" s="11">
        <v>-58.871000000000002</v>
      </c>
      <c r="N17" s="11">
        <v>-58.331000000000003</v>
      </c>
      <c r="O17" s="11">
        <v>-63.851999999999997</v>
      </c>
      <c r="P17" s="11">
        <v>-68.087000000000003</v>
      </c>
      <c r="Q17" s="33"/>
      <c r="R17" s="11">
        <v>-77.941000000000003</v>
      </c>
      <c r="S17" s="11">
        <v>-62.018999999999998</v>
      </c>
      <c r="T17" s="11">
        <v>-68.353999999999999</v>
      </c>
      <c r="U17" s="11">
        <v>-78.331000000000003</v>
      </c>
      <c r="V17" s="33"/>
      <c r="W17" s="11">
        <v>-75.385999999999996</v>
      </c>
      <c r="X17" s="11">
        <v>-68.819000000000003</v>
      </c>
      <c r="Y17" s="11"/>
      <c r="Z17" s="11"/>
      <c r="AA17" s="33"/>
    </row>
    <row r="18" spans="2:27" x14ac:dyDescent="0.25">
      <c r="B18" s="11" t="s">
        <v>39</v>
      </c>
      <c r="C18" s="11">
        <v>-1.5620000000000001</v>
      </c>
      <c r="D18" s="11">
        <v>-1.8109999999999999</v>
      </c>
      <c r="E18" s="11">
        <v>-1.94</v>
      </c>
      <c r="F18" s="11">
        <v>-1.851</v>
      </c>
      <c r="G18" s="33"/>
      <c r="H18" s="11">
        <v>-1.754</v>
      </c>
      <c r="I18" s="11">
        <v>-1.7470000000000001</v>
      </c>
      <c r="J18" s="11">
        <v>-1.831</v>
      </c>
      <c r="K18" s="11">
        <v>-1.8280000000000001</v>
      </c>
      <c r="L18" s="33"/>
      <c r="M18" s="11">
        <v>-1.746</v>
      </c>
      <c r="N18" s="11">
        <v>-1.909</v>
      </c>
      <c r="O18" s="11">
        <v>-2.2549999999999999</v>
      </c>
      <c r="P18" s="11">
        <v>-2.14</v>
      </c>
      <c r="Q18" s="33"/>
      <c r="R18" s="11">
        <v>-2.3029999999999999</v>
      </c>
      <c r="S18" s="11">
        <v>-2.0339999999999998</v>
      </c>
      <c r="T18" s="11">
        <v>-3.6040000000000001</v>
      </c>
      <c r="U18" s="11">
        <v>-2.7970000000000002</v>
      </c>
      <c r="V18" s="33"/>
      <c r="W18" s="11">
        <v>-2.6</v>
      </c>
      <c r="X18" s="11">
        <v>-2.7309999999999999</v>
      </c>
      <c r="Y18" s="11"/>
      <c r="Z18" s="11"/>
      <c r="AA18" s="33"/>
    </row>
    <row r="19" spans="2:27" x14ac:dyDescent="0.25">
      <c r="B19" s="11" t="s">
        <v>40</v>
      </c>
      <c r="C19" s="11">
        <v>0</v>
      </c>
      <c r="D19" s="11">
        <v>0</v>
      </c>
      <c r="E19" s="11">
        <v>0</v>
      </c>
      <c r="F19" s="11">
        <v>-0.26100000000000001</v>
      </c>
      <c r="G19" s="33"/>
      <c r="H19" s="11">
        <v>0</v>
      </c>
      <c r="I19" s="11">
        <v>0</v>
      </c>
      <c r="J19" s="11">
        <v>0</v>
      </c>
      <c r="K19" s="11">
        <v>0</v>
      </c>
      <c r="L19" s="33"/>
      <c r="M19" s="11">
        <v>0</v>
      </c>
      <c r="N19" s="11">
        <v>0</v>
      </c>
      <c r="O19" s="11">
        <v>0</v>
      </c>
      <c r="P19" s="11">
        <v>0</v>
      </c>
      <c r="Q19" s="33"/>
      <c r="R19" s="11">
        <v>0</v>
      </c>
      <c r="S19" s="11">
        <v>0</v>
      </c>
      <c r="T19" s="11">
        <v>0</v>
      </c>
      <c r="U19" s="11">
        <v>0</v>
      </c>
      <c r="V19" s="33"/>
      <c r="W19" s="11">
        <v>0</v>
      </c>
      <c r="X19" s="11">
        <v>0</v>
      </c>
      <c r="Y19" s="11"/>
      <c r="Z19" s="11"/>
      <c r="AA19" s="33"/>
    </row>
    <row r="20" spans="2:27" x14ac:dyDescent="0.25">
      <c r="B20" s="12" t="s">
        <v>135</v>
      </c>
      <c r="C20" s="12">
        <v>8.2230000000000008</v>
      </c>
      <c r="D20" s="12">
        <v>8.64</v>
      </c>
      <c r="E20" s="12">
        <v>10.119999999999999</v>
      </c>
      <c r="F20" s="12">
        <v>12.568</v>
      </c>
      <c r="G20" s="31">
        <f>SUM(C20:F20)</f>
        <v>39.550999999999995</v>
      </c>
      <c r="H20" s="12">
        <v>13.759</v>
      </c>
      <c r="I20" s="12">
        <v>11.613</v>
      </c>
      <c r="J20" s="12">
        <v>11.631</v>
      </c>
      <c r="K20" s="12">
        <v>14.778</v>
      </c>
      <c r="L20" s="31">
        <f>SUM(H20:K20)</f>
        <v>51.780999999999999</v>
      </c>
      <c r="M20" s="12">
        <v>13.385999999999999</v>
      </c>
      <c r="N20" s="12">
        <v>12.629</v>
      </c>
      <c r="O20" s="12">
        <v>13.215</v>
      </c>
      <c r="P20" s="12">
        <v>13.996</v>
      </c>
      <c r="Q20" s="31">
        <f>SUM(M20:P20)</f>
        <v>53.226000000000006</v>
      </c>
      <c r="R20" s="12">
        <v>13.739000000000001</v>
      </c>
      <c r="S20" s="12">
        <v>14.227</v>
      </c>
      <c r="T20" s="12">
        <v>16.234999999999999</v>
      </c>
      <c r="U20" s="12">
        <v>18.355</v>
      </c>
      <c r="V20" s="31">
        <f>SUM(R20:U20)</f>
        <v>62.555999999999997</v>
      </c>
      <c r="W20" s="12">
        <v>16.477</v>
      </c>
      <c r="X20" s="12">
        <v>16.155000000000001</v>
      </c>
      <c r="Y20" s="12"/>
      <c r="Z20" s="12"/>
      <c r="AA20" s="31">
        <f>SUM(W20:Z20)</f>
        <v>32.632000000000005</v>
      </c>
    </row>
    <row r="21" spans="2:27" ht="20" thickBot="1" x14ac:dyDescent="0.3">
      <c r="B21" s="28" t="s">
        <v>136</v>
      </c>
      <c r="C21" s="28">
        <f t="shared" ref="C21" si="20">C20/C15</f>
        <v>0.14259702424305484</v>
      </c>
      <c r="D21" s="28">
        <f t="shared" ref="D21" si="21">D20/D15</f>
        <v>0.14087951866164458</v>
      </c>
      <c r="E21" s="28">
        <f t="shared" ref="E21" si="22">E20/E15</f>
        <v>0.1470225037409382</v>
      </c>
      <c r="F21" s="28">
        <f t="shared" ref="F21:G21" si="23">F20/F15</f>
        <v>0.17285818421885102</v>
      </c>
      <c r="G21" s="34">
        <f t="shared" si="23"/>
        <v>0.15180685896328708</v>
      </c>
      <c r="H21" s="28">
        <f t="shared" ref="H21" si="24">H20/H15</f>
        <v>0.18807753294329924</v>
      </c>
      <c r="I21" s="28">
        <f t="shared" ref="I21" si="25">I20/I15</f>
        <v>0.17868902908139714</v>
      </c>
      <c r="J21" s="28">
        <f t="shared" ref="J21" si="26">J20/J15</f>
        <v>0.16135789794955746</v>
      </c>
      <c r="K21" s="28">
        <f t="shared" ref="K21:L21" si="27">K20/K15</f>
        <v>0.18367803519936363</v>
      </c>
      <c r="L21" s="34">
        <f t="shared" si="27"/>
        <v>0.17813501947131591</v>
      </c>
      <c r="M21" s="28">
        <f t="shared" ref="M21" si="28">M20/M15</f>
        <v>0.18088455873410536</v>
      </c>
      <c r="N21" s="28">
        <f t="shared" ref="N21" si="29">N20/N15</f>
        <v>0.1733110101689333</v>
      </c>
      <c r="O21" s="28">
        <f t="shared" ref="O21" si="30">O20/O15</f>
        <v>0.16659943017069664</v>
      </c>
      <c r="P21" s="28">
        <f t="shared" ref="P21:Q21" si="31">P20/P15</f>
        <v>0.16617985799434828</v>
      </c>
      <c r="Q21" s="34">
        <f t="shared" si="31"/>
        <v>0.17146667697541365</v>
      </c>
      <c r="R21" s="28">
        <f t="shared" ref="R21" si="32">R20/R15</f>
        <v>0.14618601236393816</v>
      </c>
      <c r="S21" s="28">
        <f t="shared" ref="S21" si="33">S20/S15</f>
        <v>0.18174501788451711</v>
      </c>
      <c r="T21" s="28">
        <f t="shared" ref="T21" si="34">T20/T15</f>
        <v>0.18408490469765174</v>
      </c>
      <c r="U21" s="28">
        <f>U20/U15</f>
        <v>0.18450388508589408</v>
      </c>
      <c r="V21" s="34">
        <f t="shared" ref="V21" si="35">V20/V15</f>
        <v>0.17379611545289617</v>
      </c>
      <c r="W21" s="28">
        <f t="shared" ref="W21" si="36">W20/W15</f>
        <v>0.17439854359169762</v>
      </c>
      <c r="X21" s="28">
        <f t="shared" ref="X21" si="37">X20/X15</f>
        <v>0.18419702411493075</v>
      </c>
      <c r="Y21" s="28" t="e">
        <f t="shared" ref="Y21" si="38">Y20/Y15</f>
        <v>#DIV/0!</v>
      </c>
      <c r="Z21" s="28" t="e">
        <f t="shared" ref="Z21:AA21" si="39">Z20/Z15</f>
        <v>#DIV/0!</v>
      </c>
      <c r="AA21" s="34">
        <f t="shared" si="39"/>
        <v>0.1791156193738199</v>
      </c>
    </row>
    <row r="22" spans="2:27" x14ac:dyDescent="0.25">
      <c r="B22" s="1" t="s">
        <v>139</v>
      </c>
      <c r="G22" s="30"/>
      <c r="L22" s="30"/>
      <c r="Q22" s="30"/>
      <c r="V22" s="30"/>
      <c r="AA22" s="30"/>
    </row>
    <row r="23" spans="2:27" x14ac:dyDescent="0.25">
      <c r="B23" s="12" t="s">
        <v>133</v>
      </c>
      <c r="C23" s="12">
        <v>-6.9489999999999998</v>
      </c>
      <c r="D23" s="12">
        <v>-7.8339999999999996</v>
      </c>
      <c r="E23" s="12">
        <v>-4.3120000000000003</v>
      </c>
      <c r="F23" s="12">
        <v>-3.7210000000000001</v>
      </c>
      <c r="G23" s="31">
        <f>SUM(C23:F23)</f>
        <v>-22.815999999999999</v>
      </c>
      <c r="H23" s="12">
        <v>-3.2730000000000001</v>
      </c>
      <c r="I23" s="12">
        <v>-3.22</v>
      </c>
      <c r="J23" s="12">
        <v>-9.8420000000000005</v>
      </c>
      <c r="K23" s="12">
        <v>-12.679</v>
      </c>
      <c r="L23" s="31">
        <f>SUM(H23:K23)</f>
        <v>-29.014000000000003</v>
      </c>
      <c r="M23" s="12">
        <v>-12.603</v>
      </c>
      <c r="N23" s="12">
        <v>-3.9969999999999999</v>
      </c>
      <c r="O23" s="12">
        <v>-4.2210000000000001</v>
      </c>
      <c r="P23" s="12">
        <v>-7</v>
      </c>
      <c r="Q23" s="31">
        <f>SUM(M23:P23)</f>
        <v>-27.821000000000002</v>
      </c>
      <c r="R23" s="12">
        <v>-12.653</v>
      </c>
      <c r="S23" s="12">
        <v>-8.5380000000000003</v>
      </c>
      <c r="T23" s="12">
        <v>-4.6959999999999997</v>
      </c>
      <c r="U23" s="12">
        <v>-5.29</v>
      </c>
      <c r="V23" s="31">
        <f>SUM(R23:U23)</f>
        <v>-31.177</v>
      </c>
      <c r="W23" s="12">
        <v>-12.186</v>
      </c>
      <c r="X23" s="12">
        <v>-7.9390000000000001</v>
      </c>
      <c r="Y23" s="12"/>
      <c r="Z23" s="12"/>
      <c r="AA23" s="31">
        <f>SUM(W23:Z23)</f>
        <v>-20.125</v>
      </c>
    </row>
    <row r="24" spans="2:27" x14ac:dyDescent="0.25">
      <c r="B24" s="27" t="s">
        <v>137</v>
      </c>
      <c r="C24" s="27"/>
      <c r="D24" s="27"/>
      <c r="E24" s="27"/>
      <c r="F24" s="27"/>
      <c r="G24" s="32"/>
      <c r="H24" s="27">
        <f t="shared" ref="H24" si="40">(H23-C23)/C23</f>
        <v>-0.52899697798244349</v>
      </c>
      <c r="I24" s="27">
        <f t="shared" ref="I24" si="41">(I23-D23)/D23</f>
        <v>-0.5889711513913708</v>
      </c>
      <c r="J24" s="27">
        <f t="shared" ref="J24" si="42">(J23-E23)/E23</f>
        <v>1.2824675324675325</v>
      </c>
      <c r="K24" s="27">
        <f t="shared" ref="K24:L24" si="43">(K23-F23)/F23</f>
        <v>2.4074173609244824</v>
      </c>
      <c r="L24" s="32">
        <f t="shared" si="43"/>
        <v>0.27165147265077155</v>
      </c>
      <c r="M24" s="27">
        <f t="shared" ref="M24" si="44">(M23-H23)/H23</f>
        <v>2.8505957836846929</v>
      </c>
      <c r="N24" s="27">
        <f t="shared" ref="N24" si="45">(N23-I23)/I23</f>
        <v>0.24130434782608684</v>
      </c>
      <c r="O24" s="27">
        <f t="shared" ref="O24" si="46">(O23-J23)/J23</f>
        <v>-0.57112375533428161</v>
      </c>
      <c r="P24" s="27">
        <f t="shared" ref="P24:Q24" si="47">(P23-K23)/K23</f>
        <v>-0.44790598627652023</v>
      </c>
      <c r="Q24" s="32">
        <f t="shared" si="47"/>
        <v>-4.1118080926449342E-2</v>
      </c>
      <c r="R24" s="27">
        <f t="shared" ref="R24" si="48">(R23-M23)/M23</f>
        <v>3.9673093707847905E-3</v>
      </c>
      <c r="S24" s="27">
        <f t="shared" ref="S24" si="49">(S23-N23)/N23</f>
        <v>1.1361020765574181</v>
      </c>
      <c r="T24" s="27">
        <f t="shared" ref="T24" si="50">(T23-O23)/O23</f>
        <v>0.1125325752191423</v>
      </c>
      <c r="U24" s="27">
        <f>(U23-P23)/P23</f>
        <v>-0.24428571428571427</v>
      </c>
      <c r="V24" s="32">
        <f t="shared" ref="V24" si="51">(V23-Q23)/Q23</f>
        <v>0.12062830236152539</v>
      </c>
      <c r="W24" s="27">
        <f t="shared" ref="W24" si="52">(W23-R23)/R23</f>
        <v>-3.6908243104402161E-2</v>
      </c>
      <c r="X24" s="27">
        <f t="shared" ref="X24" si="53">(X23-S23)/S23</f>
        <v>-7.0156945420473196E-2</v>
      </c>
      <c r="Y24" s="27">
        <f t="shared" ref="Y24" si="54">(Y23-T23)/T23</f>
        <v>-1</v>
      </c>
      <c r="Z24" s="27">
        <f t="shared" ref="Z24:AA24" si="55">(Z23-U23)/U23</f>
        <v>-1</v>
      </c>
      <c r="AA24" s="32">
        <f t="shared" si="55"/>
        <v>-0.35449209353048722</v>
      </c>
    </row>
    <row r="25" spans="2:27" x14ac:dyDescent="0.25">
      <c r="B25" s="11" t="s">
        <v>134</v>
      </c>
      <c r="C25" s="11">
        <v>-0.97</v>
      </c>
      <c r="D25" s="11">
        <v>0.247</v>
      </c>
      <c r="E25" s="11">
        <v>-1.851</v>
      </c>
      <c r="F25" s="11">
        <v>-3.8359999999999999</v>
      </c>
      <c r="G25" s="33"/>
      <c r="H25" s="11">
        <v>-3.9670000000000001</v>
      </c>
      <c r="I25" s="11">
        <v>-5.0279999999999996</v>
      </c>
      <c r="J25" s="11">
        <v>2.8420000000000001</v>
      </c>
      <c r="K25" s="11">
        <v>5.0449999999999999</v>
      </c>
      <c r="L25" s="33"/>
      <c r="M25" s="11">
        <v>4.4489999999999998</v>
      </c>
      <c r="N25" s="11">
        <v>-5.2880000000000003</v>
      </c>
      <c r="O25" s="11">
        <v>-3.95</v>
      </c>
      <c r="P25" s="11">
        <v>-2.234</v>
      </c>
      <c r="Q25" s="33"/>
      <c r="R25" s="11">
        <v>2.7160000000000002</v>
      </c>
      <c r="S25" s="11">
        <v>1.569</v>
      </c>
      <c r="T25" s="11">
        <v>-4.1120000000000001</v>
      </c>
      <c r="U25" s="11">
        <v>-2.3570000000000002</v>
      </c>
      <c r="V25" s="33"/>
      <c r="W25" s="11">
        <v>-12.186</v>
      </c>
      <c r="X25" s="11">
        <v>-7.9770000000000003</v>
      </c>
      <c r="Y25" s="11"/>
      <c r="Z25" s="11"/>
      <c r="AA25" s="33"/>
    </row>
    <row r="26" spans="2:27" x14ac:dyDescent="0.25">
      <c r="B26" s="11" t="s">
        <v>39</v>
      </c>
      <c r="C26" s="11">
        <v>-0.68400000000000005</v>
      </c>
      <c r="D26" s="11">
        <v>-0.68</v>
      </c>
      <c r="E26" s="11">
        <v>-0.68600000000000005</v>
      </c>
      <c r="F26" s="11">
        <v>-0.749</v>
      </c>
      <c r="G26" s="33"/>
      <c r="H26" s="11">
        <v>-0.61899999999999999</v>
      </c>
      <c r="I26" s="11">
        <v>-0.60799999999999998</v>
      </c>
      <c r="J26" s="11">
        <v>-0.60499999999999998</v>
      </c>
      <c r="K26" s="11">
        <v>-0.56599999999999995</v>
      </c>
      <c r="L26" s="33"/>
      <c r="M26" s="11">
        <v>-0.42599999999999999</v>
      </c>
      <c r="N26" s="11">
        <v>-0.40899999999999997</v>
      </c>
      <c r="O26" s="11">
        <v>-0.39500000000000002</v>
      </c>
      <c r="P26" s="11">
        <v>0</v>
      </c>
      <c r="Q26" s="33"/>
      <c r="R26" s="11">
        <v>-0.34899999999999998</v>
      </c>
      <c r="S26" s="11">
        <v>-0.34399999999999997</v>
      </c>
      <c r="T26" s="11">
        <v>-1.716</v>
      </c>
      <c r="U26" s="11">
        <v>-0.78</v>
      </c>
      <c r="V26" s="33"/>
      <c r="W26" s="11">
        <v>-1.8380000000000001</v>
      </c>
      <c r="X26" s="11">
        <v>-2.1680000000000001</v>
      </c>
      <c r="Y26" s="11"/>
      <c r="Z26" s="11"/>
      <c r="AA26" s="33"/>
    </row>
    <row r="27" spans="2:27" x14ac:dyDescent="0.25">
      <c r="B27" s="11" t="s">
        <v>40</v>
      </c>
      <c r="C27" s="11">
        <v>0</v>
      </c>
      <c r="D27" s="11">
        <v>0</v>
      </c>
      <c r="E27" s="11">
        <v>0</v>
      </c>
      <c r="F27" s="11">
        <v>0</v>
      </c>
      <c r="G27" s="33"/>
      <c r="H27" s="11">
        <v>0</v>
      </c>
      <c r="I27" s="11">
        <v>0</v>
      </c>
      <c r="J27" s="11">
        <v>0</v>
      </c>
      <c r="K27" s="11">
        <v>0</v>
      </c>
      <c r="L27" s="33"/>
      <c r="M27" s="11">
        <v>0</v>
      </c>
      <c r="N27" s="11">
        <v>0</v>
      </c>
      <c r="O27" s="11">
        <v>0</v>
      </c>
      <c r="P27" s="11">
        <v>0</v>
      </c>
      <c r="Q27" s="33"/>
      <c r="R27" s="11">
        <v>0</v>
      </c>
      <c r="S27" s="11">
        <v>0</v>
      </c>
      <c r="T27" s="11">
        <v>0</v>
      </c>
      <c r="U27" s="11">
        <v>0</v>
      </c>
      <c r="V27" s="33"/>
      <c r="W27" s="11">
        <v>0</v>
      </c>
      <c r="X27" s="11">
        <v>0</v>
      </c>
      <c r="Y27" s="11"/>
      <c r="Z27" s="11"/>
      <c r="AA27" s="33"/>
    </row>
    <row r="28" spans="2:27" x14ac:dyDescent="0.25">
      <c r="B28" s="12" t="s">
        <v>135</v>
      </c>
      <c r="C28" s="12">
        <v>-8.6020000000000003</v>
      </c>
      <c r="D28" s="12">
        <v>-8.266</v>
      </c>
      <c r="E28" s="12">
        <v>-6.85</v>
      </c>
      <c r="F28" s="12">
        <v>-8.3059999999999992</v>
      </c>
      <c r="G28" s="31">
        <f>SUM(C28:F28)</f>
        <v>-32.024000000000001</v>
      </c>
      <c r="H28" s="12">
        <v>-7.859</v>
      </c>
      <c r="I28" s="12">
        <v>-8.8569999999999993</v>
      </c>
      <c r="J28" s="12">
        <v>-7.6040000000000001</v>
      </c>
      <c r="K28" s="12">
        <v>-8.2010000000000005</v>
      </c>
      <c r="L28" s="31">
        <f>SUM(H28:K28)</f>
        <v>-32.521000000000001</v>
      </c>
      <c r="M28" s="12">
        <v>-8.58</v>
      </c>
      <c r="N28" s="12">
        <v>-9.6940000000000008</v>
      </c>
      <c r="O28" s="12">
        <v>-8.5670000000000002</v>
      </c>
      <c r="P28" s="12">
        <v>-9.3309999999999995</v>
      </c>
      <c r="Q28" s="31">
        <f>SUM(M28:P28)</f>
        <v>-36.171999999999997</v>
      </c>
      <c r="R28" s="12">
        <v>-10.286</v>
      </c>
      <c r="S28" s="12">
        <v>-7.3129999999999997</v>
      </c>
      <c r="T28" s="12">
        <v>-10.523999999999999</v>
      </c>
      <c r="U28" s="12">
        <v>-8.4269999999999996</v>
      </c>
      <c r="V28" s="31">
        <f>SUM(R28:U28)</f>
        <v>-36.549999999999997</v>
      </c>
      <c r="W28" s="12">
        <v>-18.399999999999999</v>
      </c>
      <c r="X28" s="12">
        <v>-18</v>
      </c>
      <c r="Y28" s="12"/>
      <c r="Z28" s="12"/>
      <c r="AA28" s="31">
        <f>SUM(W28:Z28)</f>
        <v>-36.4</v>
      </c>
    </row>
    <row r="29" spans="2:27" ht="20" thickBot="1" x14ac:dyDescent="0.3">
      <c r="B29" s="28" t="s">
        <v>136</v>
      </c>
      <c r="C29" s="28">
        <f t="shared" ref="C29" si="56">C28/C23</f>
        <v>1.2378759533745864</v>
      </c>
      <c r="D29" s="28">
        <f t="shared" ref="D29" si="57">D28/D23</f>
        <v>1.0551442430431452</v>
      </c>
      <c r="E29" s="28">
        <f t="shared" ref="E29" si="58">E28/E23</f>
        <v>1.588589981447124</v>
      </c>
      <c r="F29" s="28">
        <f t="shared" ref="F29" si="59">F28/F23</f>
        <v>2.2321956463316308</v>
      </c>
      <c r="G29" s="34">
        <f t="shared" ref="G29" si="60">G28/G23</f>
        <v>1.4035764375876578</v>
      </c>
      <c r="H29" s="28">
        <f t="shared" ref="H29" si="61">H28/H23</f>
        <v>2.4011610143599142</v>
      </c>
      <c r="I29" s="28">
        <f t="shared" ref="I29" si="62">I28/I23</f>
        <v>2.7506211180124218</v>
      </c>
      <c r="J29" s="28">
        <f t="shared" ref="J29" si="63">J28/J23</f>
        <v>0.77260719365982522</v>
      </c>
      <c r="K29" s="28">
        <f t="shared" ref="K29" si="64">K28/K23</f>
        <v>0.64681757236375115</v>
      </c>
      <c r="L29" s="34">
        <f t="shared" ref="L29" si="65">L28/L23</f>
        <v>1.1208726821534432</v>
      </c>
      <c r="M29" s="28">
        <f t="shared" ref="M29" si="66">M28/M23</f>
        <v>0.68079028802666031</v>
      </c>
      <c r="N29" s="28">
        <f t="shared" ref="N29" si="67">N28/N23</f>
        <v>2.4253189892419318</v>
      </c>
      <c r="O29" s="28">
        <f t="shared" ref="O29" si="68">O28/O23</f>
        <v>2.029613835583985</v>
      </c>
      <c r="P29" s="28">
        <f t="shared" ref="P29" si="69">P28/P23</f>
        <v>1.333</v>
      </c>
      <c r="Q29" s="34">
        <f t="shared" ref="Q29" si="70">Q28/Q23</f>
        <v>1.3001689371338196</v>
      </c>
      <c r="R29" s="28">
        <f t="shared" ref="R29" si="71">R28/R23</f>
        <v>0.81292973998261275</v>
      </c>
      <c r="S29" s="28">
        <f t="shared" ref="S29" si="72">S28/S23</f>
        <v>0.8565237760599671</v>
      </c>
      <c r="T29" s="28">
        <f t="shared" ref="T29" si="73">T28/T23</f>
        <v>2.2410562180579214</v>
      </c>
      <c r="U29" s="28">
        <f>U28/U23</f>
        <v>1.5930056710775047</v>
      </c>
      <c r="V29" s="34">
        <f t="shared" ref="V29" si="74">V28/V23</f>
        <v>1.1723385829297237</v>
      </c>
      <c r="W29" s="28">
        <f t="shared" ref="W29" si="75">W28/W23</f>
        <v>1.5099294272115542</v>
      </c>
      <c r="X29" s="28">
        <f t="shared" ref="X29" si="76">X28/X23</f>
        <v>2.2672880715455346</v>
      </c>
      <c r="Y29" s="28" t="e">
        <f t="shared" ref="Y29" si="77">Y28/Y23</f>
        <v>#DIV/0!</v>
      </c>
      <c r="Z29" s="28" t="e">
        <f t="shared" ref="Z29:AA29" si="78">Z28/Z23</f>
        <v>#DIV/0!</v>
      </c>
      <c r="AA29" s="34">
        <f t="shared" si="78"/>
        <v>1.808695652173913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8D7D-9326-B64A-80CE-B8D6D56A51E3}">
  <dimension ref="A3:G14"/>
  <sheetViews>
    <sheetView showGridLines="0" workbookViewId="0">
      <selection activeCell="E30" sqref="E30"/>
    </sheetView>
  </sheetViews>
  <sheetFormatPr baseColWidth="10" defaultRowHeight="21" x14ac:dyDescent="0.25"/>
  <cols>
    <col min="1" max="2" width="10.83203125" style="38"/>
    <col min="3" max="3" width="20.83203125" style="38" customWidth="1"/>
    <col min="4" max="5" width="10.83203125" style="38"/>
    <col min="6" max="6" width="15.6640625" style="38" customWidth="1"/>
    <col min="7" max="7" width="15.33203125" style="38" customWidth="1"/>
    <col min="8" max="16384" width="10.83203125" style="38"/>
  </cols>
  <sheetData>
    <row r="3" spans="1:7" x14ac:dyDescent="0.25">
      <c r="A3" s="38" t="s">
        <v>145</v>
      </c>
    </row>
    <row r="4" spans="1:7" x14ac:dyDescent="0.25">
      <c r="A4" s="48">
        <f>Modell!AF13</f>
        <v>100.34881500000007</v>
      </c>
    </row>
    <row r="5" spans="1:7" x14ac:dyDescent="0.25">
      <c r="C5" s="39"/>
      <c r="D5" s="39" t="s">
        <v>145</v>
      </c>
      <c r="E5" s="39" t="s">
        <v>91</v>
      </c>
      <c r="F5" s="39" t="s">
        <v>153</v>
      </c>
      <c r="G5" s="39" t="s">
        <v>146</v>
      </c>
    </row>
    <row r="6" spans="1:7" x14ac:dyDescent="0.25">
      <c r="C6" s="39" t="s">
        <v>132</v>
      </c>
      <c r="D6" s="39">
        <v>85</v>
      </c>
      <c r="E6" s="39">
        <v>7.5</v>
      </c>
      <c r="F6" s="41">
        <f>D6*E6</f>
        <v>637.5</v>
      </c>
      <c r="G6" s="43">
        <f>(F6*Modell!$B$12)/Modell!$B$5</f>
        <v>25.810769814348994</v>
      </c>
    </row>
    <row r="7" spans="1:7" x14ac:dyDescent="0.25">
      <c r="C7" s="39" t="s">
        <v>138</v>
      </c>
      <c r="D7" s="39">
        <v>65</v>
      </c>
      <c r="E7" s="39">
        <v>12</v>
      </c>
      <c r="F7" s="41">
        <f t="shared" ref="F7:F8" si="0">D7*E7</f>
        <v>780</v>
      </c>
      <c r="G7" s="43">
        <f>(F7*Modell!$B$12)/Modell!$B$5</f>
        <v>31.580236008144652</v>
      </c>
    </row>
    <row r="8" spans="1:7" x14ac:dyDescent="0.25">
      <c r="C8" s="39" t="s">
        <v>147</v>
      </c>
      <c r="D8" s="39">
        <v>-50</v>
      </c>
      <c r="E8" s="39">
        <v>5</v>
      </c>
      <c r="F8" s="41">
        <f t="shared" si="0"/>
        <v>-250</v>
      </c>
      <c r="G8" s="43">
        <f>(F8*Modell!$B$12)/Modell!$B$5</f>
        <v>-10.121870515430979</v>
      </c>
    </row>
    <row r="9" spans="1:7" x14ac:dyDescent="0.25">
      <c r="C9" s="44" t="s">
        <v>150</v>
      </c>
      <c r="D9" s="44">
        <f>SUM(D6:D8)</f>
        <v>100</v>
      </c>
      <c r="E9" s="44"/>
      <c r="F9" s="46">
        <f>SUM(F6:F8)</f>
        <v>1167.5</v>
      </c>
      <c r="G9" s="45">
        <f>SUM(G6:G8)</f>
        <v>47.269135307062669</v>
      </c>
    </row>
    <row r="10" spans="1:7" x14ac:dyDescent="0.25">
      <c r="C10" s="40"/>
      <c r="D10" s="40"/>
      <c r="E10" s="40"/>
      <c r="F10" s="42"/>
      <c r="G10" s="40"/>
    </row>
    <row r="11" spans="1:7" x14ac:dyDescent="0.25">
      <c r="C11" s="39" t="s">
        <v>68</v>
      </c>
      <c r="D11" s="39"/>
      <c r="E11" s="39"/>
      <c r="F11" s="41">
        <f>Modell!B7</f>
        <v>675.18</v>
      </c>
      <c r="G11" s="43">
        <f>F11/Modell!$B$5</f>
        <v>2.5079209301316285</v>
      </c>
    </row>
    <row r="12" spans="1:7" x14ac:dyDescent="0.25">
      <c r="C12" s="39" t="s">
        <v>148</v>
      </c>
      <c r="D12" s="39"/>
      <c r="E12" s="39"/>
      <c r="F12" s="41">
        <f>Modell!B8</f>
        <v>3549.67</v>
      </c>
      <c r="G12" s="43">
        <f>-F12/Modell!$B$5</f>
        <v>-13.185064261471517</v>
      </c>
    </row>
    <row r="13" spans="1:7" x14ac:dyDescent="0.25">
      <c r="C13" s="40"/>
      <c r="D13" s="40"/>
      <c r="E13" s="40"/>
      <c r="F13" s="42"/>
      <c r="G13" s="40"/>
    </row>
    <row r="14" spans="1:7" x14ac:dyDescent="0.25">
      <c r="C14" s="44" t="s">
        <v>149</v>
      </c>
      <c r="D14" s="44"/>
      <c r="E14" s="44"/>
      <c r="F14" s="46"/>
      <c r="G14" s="45">
        <f>SUM(G9:G12)</f>
        <v>36.591991975722777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E745-DC06-8448-81B5-DC40131426CF}">
  <dimension ref="C4:F6"/>
  <sheetViews>
    <sheetView showGridLines="0" workbookViewId="0">
      <selection activeCell="F22" sqref="F22"/>
    </sheetView>
  </sheetViews>
  <sheetFormatPr baseColWidth="10" defaultRowHeight="16" x14ac:dyDescent="0.2"/>
  <cols>
    <col min="3" max="3" width="34.5" bestFit="1" customWidth="1"/>
    <col min="4" max="4" width="22.6640625" customWidth="1"/>
    <col min="5" max="5" width="20.1640625" customWidth="1"/>
    <col min="6" max="6" width="20.6640625" customWidth="1"/>
  </cols>
  <sheetData>
    <row r="4" spans="3:6" ht="62" x14ac:dyDescent="0.7">
      <c r="C4" s="18"/>
      <c r="D4" s="18">
        <v>2026</v>
      </c>
      <c r="E4" s="18">
        <v>2027</v>
      </c>
      <c r="F4" s="18">
        <v>2028</v>
      </c>
    </row>
    <row r="5" spans="3:6" ht="62" x14ac:dyDescent="0.7">
      <c r="C5" s="18" t="s">
        <v>91</v>
      </c>
      <c r="D5" s="19">
        <f>Modell!$B$9/(Modell!AF13*Modell!$B$12)</f>
        <v>10.910300868063752</v>
      </c>
      <c r="E5" s="19">
        <f>Modell!$B$9/(Modell!AG13*Modell!$B$12)</f>
        <v>9.701723722501379</v>
      </c>
      <c r="F5" s="19">
        <f>Modell!$B$9/(Modell!AH13*Modell!$B$12)</f>
        <v>8.9611562132770626</v>
      </c>
    </row>
    <row r="6" spans="3:6" ht="62" x14ac:dyDescent="0.7">
      <c r="C6" s="18" t="s">
        <v>92</v>
      </c>
      <c r="D6" s="19">
        <f>Modell!$B$4/(Modell!AF20*Modell!$B$12)</f>
        <v>13.775774741073368</v>
      </c>
      <c r="E6" s="19">
        <f>Modell!$B$4/(Modell!AG20*Modell!$B$12)</f>
        <v>11.859147984947203</v>
      </c>
      <c r="F6" s="19">
        <f>Modell!$B$4/(Modell!AH20*Modell!$B$12)</f>
        <v>10.74395820636091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D1F8-893F-2447-89F0-8C37F71095E2}">
  <dimension ref="A3:IM26"/>
  <sheetViews>
    <sheetView showGridLine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36" sqref="I36"/>
    </sheetView>
  </sheetViews>
  <sheetFormatPr baseColWidth="10" defaultRowHeight="19" x14ac:dyDescent="0.25"/>
  <cols>
    <col min="1" max="1" width="10.83203125" style="2"/>
    <col min="2" max="2" width="19.33203125" style="4" customWidth="1"/>
    <col min="3" max="3" width="31.5" style="2" customWidth="1"/>
    <col min="4" max="21" width="10.83203125" style="2"/>
    <col min="22" max="22" width="12.1640625" style="2" bestFit="1" customWidth="1"/>
    <col min="23" max="16384" width="10.83203125" style="2"/>
  </cols>
  <sheetData>
    <row r="3" spans="1:19" x14ac:dyDescent="0.25">
      <c r="A3" s="1" t="s">
        <v>140</v>
      </c>
      <c r="D3" s="8" t="s">
        <v>96</v>
      </c>
      <c r="E3" s="8" t="s">
        <v>97</v>
      </c>
      <c r="F3" s="8" t="s">
        <v>19</v>
      </c>
      <c r="G3" s="8" t="s">
        <v>20</v>
      </c>
      <c r="H3" s="8" t="s">
        <v>21</v>
      </c>
      <c r="I3" s="8" t="s">
        <v>22</v>
      </c>
      <c r="J3" s="8" t="s">
        <v>23</v>
      </c>
      <c r="K3" s="8" t="s">
        <v>24</v>
      </c>
      <c r="L3" s="8" t="s">
        <v>25</v>
      </c>
      <c r="M3" s="8" t="s">
        <v>26</v>
      </c>
      <c r="N3" s="8" t="s">
        <v>27</v>
      </c>
      <c r="O3" s="8" t="s">
        <v>28</v>
      </c>
      <c r="P3" s="8" t="s">
        <v>29</v>
      </c>
      <c r="Q3" s="8" t="s">
        <v>30</v>
      </c>
      <c r="R3" s="8" t="s">
        <v>31</v>
      </c>
      <c r="S3" s="8" t="s">
        <v>32</v>
      </c>
    </row>
    <row r="4" spans="1:19" x14ac:dyDescent="0.25">
      <c r="A4" s="1" t="s">
        <v>141</v>
      </c>
      <c r="C4" s="2" t="s">
        <v>34</v>
      </c>
      <c r="D4" s="11">
        <v>908.77300000000002</v>
      </c>
      <c r="E4" s="11">
        <v>940.24599999999998</v>
      </c>
      <c r="F4" s="11">
        <v>1023.696</v>
      </c>
      <c r="G4" s="11">
        <v>1132.0429999999999</v>
      </c>
      <c r="H4" s="11">
        <v>1156.502</v>
      </c>
      <c r="I4" s="11">
        <v>1205.588</v>
      </c>
      <c r="J4" s="11">
        <f>I4</f>
        <v>1205.588</v>
      </c>
      <c r="K4" s="11">
        <f t="shared" ref="K4:S4" si="0">J4</f>
        <v>1205.588</v>
      </c>
      <c r="L4" s="11">
        <f t="shared" si="0"/>
        <v>1205.588</v>
      </c>
      <c r="M4" s="11">
        <f t="shared" si="0"/>
        <v>1205.588</v>
      </c>
      <c r="N4" s="11">
        <f t="shared" si="0"/>
        <v>1205.588</v>
      </c>
      <c r="O4" s="11">
        <f t="shared" si="0"/>
        <v>1205.588</v>
      </c>
      <c r="P4" s="11">
        <f t="shared" si="0"/>
        <v>1205.588</v>
      </c>
      <c r="Q4" s="11">
        <f t="shared" si="0"/>
        <v>1205.588</v>
      </c>
      <c r="R4" s="11">
        <f t="shared" si="0"/>
        <v>1205.588</v>
      </c>
      <c r="S4" s="11">
        <f t="shared" si="0"/>
        <v>1205.588</v>
      </c>
    </row>
    <row r="5" spans="1:19" x14ac:dyDescent="0.25">
      <c r="A5" s="37">
        <f>V25</f>
        <v>27.093614488296481</v>
      </c>
      <c r="C5" s="2" t="s">
        <v>35</v>
      </c>
      <c r="D5" s="11">
        <v>5.2210000000000001</v>
      </c>
      <c r="E5" s="11">
        <v>7.0000000000000001E-3</v>
      </c>
      <c r="F5" s="11">
        <v>0.157</v>
      </c>
      <c r="G5" s="11">
        <v>0.14499999999999999</v>
      </c>
      <c r="H5" s="11">
        <v>8.8999999999999996E-2</v>
      </c>
      <c r="I5" s="11">
        <v>4.9000000000000002E-2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</row>
    <row r="6" spans="1:19" x14ac:dyDescent="0.25">
      <c r="A6" s="36">
        <f>V26</f>
        <v>-0.19484057984260084</v>
      </c>
      <c r="C6" s="1" t="s">
        <v>36</v>
      </c>
      <c r="D6" s="12">
        <f t="shared" ref="D6:I6" si="1">SUM(D4:D5)</f>
        <v>913.99400000000003</v>
      </c>
      <c r="E6" s="12">
        <f t="shared" si="1"/>
        <v>940.25299999999993</v>
      </c>
      <c r="F6" s="12">
        <f t="shared" si="1"/>
        <v>1023.8530000000001</v>
      </c>
      <c r="G6" s="12">
        <f t="shared" si="1"/>
        <v>1132.1879999999999</v>
      </c>
      <c r="H6" s="12">
        <f t="shared" si="1"/>
        <v>1156.5909999999999</v>
      </c>
      <c r="I6" s="12">
        <f t="shared" si="1"/>
        <v>1205.6369999999999</v>
      </c>
      <c r="J6" s="12">
        <f t="shared" ref="J6:S6" si="2">SUM(J4:J5)</f>
        <v>1205.588</v>
      </c>
      <c r="K6" s="12">
        <f t="shared" si="2"/>
        <v>1205.588</v>
      </c>
      <c r="L6" s="12">
        <f t="shared" si="2"/>
        <v>1205.588</v>
      </c>
      <c r="M6" s="12">
        <f t="shared" si="2"/>
        <v>1205.588</v>
      </c>
      <c r="N6" s="12">
        <f t="shared" si="2"/>
        <v>1205.588</v>
      </c>
      <c r="O6" s="12">
        <f t="shared" si="2"/>
        <v>1205.588</v>
      </c>
      <c r="P6" s="12">
        <f t="shared" si="2"/>
        <v>1205.588</v>
      </c>
      <c r="Q6" s="12">
        <f t="shared" si="2"/>
        <v>1205.588</v>
      </c>
      <c r="R6" s="12">
        <f t="shared" si="2"/>
        <v>1205.588</v>
      </c>
      <c r="S6" s="12">
        <f t="shared" si="2"/>
        <v>1205.588</v>
      </c>
    </row>
    <row r="7" spans="1:19" x14ac:dyDescent="0.25">
      <c r="C7" s="2" t="s">
        <v>37</v>
      </c>
      <c r="D7" s="11">
        <v>-576.63699999999994</v>
      </c>
      <c r="E7" s="11">
        <v>-607.91300000000001</v>
      </c>
      <c r="F7" s="11">
        <v>-681.47400000000005</v>
      </c>
      <c r="G7" s="11">
        <v>-719.79600000000005</v>
      </c>
      <c r="H7" s="11">
        <v>-719.75300000000004</v>
      </c>
      <c r="I7" s="11">
        <v>-747.91099999999994</v>
      </c>
      <c r="J7" s="11">
        <f>J6*-0.65</f>
        <v>-783.63220000000001</v>
      </c>
      <c r="K7" s="11">
        <f t="shared" ref="K7:S7" si="3">K6*-0.65</f>
        <v>-783.63220000000001</v>
      </c>
      <c r="L7" s="11">
        <f t="shared" si="3"/>
        <v>-783.63220000000001</v>
      </c>
      <c r="M7" s="11">
        <f t="shared" si="3"/>
        <v>-783.63220000000001</v>
      </c>
      <c r="N7" s="11">
        <f t="shared" si="3"/>
        <v>-783.63220000000001</v>
      </c>
      <c r="O7" s="11">
        <f t="shared" si="3"/>
        <v>-783.63220000000001</v>
      </c>
      <c r="P7" s="11">
        <f t="shared" si="3"/>
        <v>-783.63220000000001</v>
      </c>
      <c r="Q7" s="11">
        <f t="shared" si="3"/>
        <v>-783.63220000000001</v>
      </c>
      <c r="R7" s="11">
        <f t="shared" si="3"/>
        <v>-783.63220000000001</v>
      </c>
      <c r="S7" s="11">
        <f t="shared" si="3"/>
        <v>-783.63220000000001</v>
      </c>
    </row>
    <row r="8" spans="1:19" x14ac:dyDescent="0.25">
      <c r="C8" s="2" t="s">
        <v>98</v>
      </c>
      <c r="D8" s="11">
        <f t="shared" ref="D8:I8" si="4">SUM(D6:D7)</f>
        <v>337.35700000000008</v>
      </c>
      <c r="E8" s="11">
        <f t="shared" si="4"/>
        <v>332.33999999999992</v>
      </c>
      <c r="F8" s="11">
        <f t="shared" si="4"/>
        <v>342.37900000000002</v>
      </c>
      <c r="G8" s="11">
        <f t="shared" si="4"/>
        <v>412.39199999999983</v>
      </c>
      <c r="H8" s="11">
        <f t="shared" si="4"/>
        <v>436.83799999999985</v>
      </c>
      <c r="I8" s="11">
        <f t="shared" si="4"/>
        <v>457.726</v>
      </c>
      <c r="J8" s="11">
        <f t="shared" ref="J8:S8" si="5">SUM(J6:J7)</f>
        <v>421.95579999999995</v>
      </c>
      <c r="K8" s="11">
        <f t="shared" si="5"/>
        <v>421.95579999999995</v>
      </c>
      <c r="L8" s="11">
        <f t="shared" si="5"/>
        <v>421.95579999999995</v>
      </c>
      <c r="M8" s="11">
        <f t="shared" si="5"/>
        <v>421.95579999999995</v>
      </c>
      <c r="N8" s="11">
        <f t="shared" si="5"/>
        <v>421.95579999999995</v>
      </c>
      <c r="O8" s="11">
        <f t="shared" si="5"/>
        <v>421.95579999999995</v>
      </c>
      <c r="P8" s="11">
        <f t="shared" si="5"/>
        <v>421.95579999999995</v>
      </c>
      <c r="Q8" s="11">
        <f t="shared" si="5"/>
        <v>421.95579999999995</v>
      </c>
      <c r="R8" s="11">
        <f t="shared" si="5"/>
        <v>421.95579999999995</v>
      </c>
      <c r="S8" s="11">
        <f t="shared" si="5"/>
        <v>421.95579999999995</v>
      </c>
    </row>
    <row r="9" spans="1:19" x14ac:dyDescent="0.25">
      <c r="C9" s="2" t="s">
        <v>38</v>
      </c>
      <c r="D9" s="11">
        <v>-168.57300000000001</v>
      </c>
      <c r="E9" s="11">
        <v>-171.66399999999999</v>
      </c>
      <c r="F9" s="11">
        <v>-176.721</v>
      </c>
      <c r="G9" s="11">
        <v>-189.62299999999999</v>
      </c>
      <c r="H9" s="11">
        <v>-203.24299999999999</v>
      </c>
      <c r="I9" s="11">
        <v>-211.28399999999999</v>
      </c>
      <c r="J9" s="11">
        <f>I9</f>
        <v>-211.28399999999999</v>
      </c>
      <c r="K9" s="11">
        <f t="shared" ref="K9:S9" si="6">J9</f>
        <v>-211.28399999999999</v>
      </c>
      <c r="L9" s="11">
        <f t="shared" si="6"/>
        <v>-211.28399999999999</v>
      </c>
      <c r="M9" s="11">
        <f t="shared" si="6"/>
        <v>-211.28399999999999</v>
      </c>
      <c r="N9" s="11">
        <f t="shared" si="6"/>
        <v>-211.28399999999999</v>
      </c>
      <c r="O9" s="11">
        <f t="shared" si="6"/>
        <v>-211.28399999999999</v>
      </c>
      <c r="P9" s="11">
        <f t="shared" si="6"/>
        <v>-211.28399999999999</v>
      </c>
      <c r="Q9" s="11">
        <f t="shared" si="6"/>
        <v>-211.28399999999999</v>
      </c>
      <c r="R9" s="11">
        <f t="shared" si="6"/>
        <v>-211.28399999999999</v>
      </c>
      <c r="S9" s="11">
        <f t="shared" si="6"/>
        <v>-211.28399999999999</v>
      </c>
    </row>
    <row r="10" spans="1:19" x14ac:dyDescent="0.25">
      <c r="C10" s="2" t="s">
        <v>39</v>
      </c>
      <c r="D10" s="11">
        <v>-52.209000000000003</v>
      </c>
      <c r="E10" s="11">
        <v>-56.45</v>
      </c>
      <c r="F10" s="11">
        <v>-61.527999999999999</v>
      </c>
      <c r="G10" s="11">
        <v>-60.146999999999998</v>
      </c>
      <c r="H10" s="11">
        <v>-64.376999999999995</v>
      </c>
      <c r="I10" s="11">
        <v>-68.138999999999996</v>
      </c>
      <c r="J10" s="11">
        <f t="shared" ref="J10:S12" si="7">I10</f>
        <v>-68.138999999999996</v>
      </c>
      <c r="K10" s="11">
        <f t="shared" si="7"/>
        <v>-68.138999999999996</v>
      </c>
      <c r="L10" s="11">
        <f t="shared" si="7"/>
        <v>-68.138999999999996</v>
      </c>
      <c r="M10" s="11">
        <f t="shared" si="7"/>
        <v>-68.138999999999996</v>
      </c>
      <c r="N10" s="11">
        <f t="shared" si="7"/>
        <v>-68.138999999999996</v>
      </c>
      <c r="O10" s="11">
        <f t="shared" si="7"/>
        <v>-68.138999999999996</v>
      </c>
      <c r="P10" s="11">
        <f t="shared" si="7"/>
        <v>-68.138999999999996</v>
      </c>
      <c r="Q10" s="11">
        <f t="shared" si="7"/>
        <v>-68.138999999999996</v>
      </c>
      <c r="R10" s="11">
        <f t="shared" si="7"/>
        <v>-68.138999999999996</v>
      </c>
      <c r="S10" s="11">
        <f t="shared" si="7"/>
        <v>-68.138999999999996</v>
      </c>
    </row>
    <row r="11" spans="1:19" x14ac:dyDescent="0.25">
      <c r="C11" s="2" t="s">
        <v>40</v>
      </c>
      <c r="D11" s="11">
        <v>0</v>
      </c>
      <c r="E11" s="11">
        <v>0</v>
      </c>
      <c r="F11" s="11">
        <v>-6.5990000000000002</v>
      </c>
      <c r="G11" s="11">
        <v>-1.1859999999999999</v>
      </c>
      <c r="H11" s="11">
        <v>-2.5680000000000001</v>
      </c>
      <c r="I11" s="11">
        <v>-1.248</v>
      </c>
      <c r="J11" s="11">
        <f t="shared" si="7"/>
        <v>-1.248</v>
      </c>
      <c r="K11" s="11">
        <f t="shared" si="7"/>
        <v>-1.248</v>
      </c>
      <c r="L11" s="11">
        <f t="shared" si="7"/>
        <v>-1.248</v>
      </c>
      <c r="M11" s="11">
        <f t="shared" si="7"/>
        <v>-1.248</v>
      </c>
      <c r="N11" s="11">
        <f t="shared" si="7"/>
        <v>-1.248</v>
      </c>
      <c r="O11" s="11">
        <f t="shared" si="7"/>
        <v>-1.248</v>
      </c>
      <c r="P11" s="11">
        <f t="shared" si="7"/>
        <v>-1.248</v>
      </c>
      <c r="Q11" s="11">
        <f t="shared" si="7"/>
        <v>-1.248</v>
      </c>
      <c r="R11" s="11">
        <f t="shared" si="7"/>
        <v>-1.248</v>
      </c>
      <c r="S11" s="11">
        <f t="shared" si="7"/>
        <v>-1.248</v>
      </c>
    </row>
    <row r="12" spans="1:19" x14ac:dyDescent="0.25">
      <c r="C12" s="2" t="s">
        <v>41</v>
      </c>
      <c r="D12" s="11">
        <v>-45.917999999999999</v>
      </c>
      <c r="E12" s="11">
        <v>-50.149000000000001</v>
      </c>
      <c r="F12" s="11">
        <v>-55.756999999999998</v>
      </c>
      <c r="G12" s="11">
        <v>-58.658000000000001</v>
      </c>
      <c r="H12" s="11">
        <v>-67.194999999999993</v>
      </c>
      <c r="I12" s="11">
        <v>-68.611000000000004</v>
      </c>
      <c r="J12" s="11">
        <f t="shared" si="7"/>
        <v>-68.611000000000004</v>
      </c>
      <c r="K12" s="11">
        <f t="shared" si="7"/>
        <v>-68.611000000000004</v>
      </c>
      <c r="L12" s="11">
        <f t="shared" si="7"/>
        <v>-68.611000000000004</v>
      </c>
      <c r="M12" s="11">
        <f t="shared" si="7"/>
        <v>-68.611000000000004</v>
      </c>
      <c r="N12" s="11">
        <f t="shared" si="7"/>
        <v>-68.611000000000004</v>
      </c>
      <c r="O12" s="11">
        <f t="shared" si="7"/>
        <v>-68.611000000000004</v>
      </c>
      <c r="P12" s="11">
        <f t="shared" si="7"/>
        <v>-68.611000000000004</v>
      </c>
      <c r="Q12" s="11">
        <f t="shared" si="7"/>
        <v>-68.611000000000004</v>
      </c>
      <c r="R12" s="11">
        <f t="shared" si="7"/>
        <v>-68.611000000000004</v>
      </c>
      <c r="S12" s="11">
        <f t="shared" si="7"/>
        <v>-68.611000000000004</v>
      </c>
    </row>
    <row r="13" spans="1:19" x14ac:dyDescent="0.25">
      <c r="C13" s="1" t="s">
        <v>42</v>
      </c>
      <c r="D13" s="12">
        <f t="shared" ref="D13:I13" si="8">SUM(D8:D12)</f>
        <v>70.657000000000068</v>
      </c>
      <c r="E13" s="12">
        <f t="shared" si="8"/>
        <v>54.076999999999927</v>
      </c>
      <c r="F13" s="12">
        <f t="shared" si="8"/>
        <v>41.774000000000022</v>
      </c>
      <c r="G13" s="12">
        <f t="shared" si="8"/>
        <v>102.77799999999984</v>
      </c>
      <c r="H13" s="12">
        <f t="shared" si="8"/>
        <v>99.454999999999842</v>
      </c>
      <c r="I13" s="12">
        <f t="shared" si="8"/>
        <v>108.444</v>
      </c>
      <c r="J13" s="12">
        <f t="shared" ref="J13:S13" si="9">SUM(J8:J12)</f>
        <v>72.673799999999957</v>
      </c>
      <c r="K13" s="12">
        <f t="shared" si="9"/>
        <v>72.673799999999957</v>
      </c>
      <c r="L13" s="12">
        <f t="shared" si="9"/>
        <v>72.673799999999957</v>
      </c>
      <c r="M13" s="12">
        <f t="shared" si="9"/>
        <v>72.673799999999957</v>
      </c>
      <c r="N13" s="12">
        <f t="shared" si="9"/>
        <v>72.673799999999957</v>
      </c>
      <c r="O13" s="12">
        <f t="shared" si="9"/>
        <v>72.673799999999957</v>
      </c>
      <c r="P13" s="12">
        <f t="shared" si="9"/>
        <v>72.673799999999957</v>
      </c>
      <c r="Q13" s="12">
        <f t="shared" si="9"/>
        <v>72.673799999999957</v>
      </c>
      <c r="R13" s="12">
        <f t="shared" si="9"/>
        <v>72.673799999999957</v>
      </c>
      <c r="S13" s="12">
        <f t="shared" si="9"/>
        <v>72.673799999999957</v>
      </c>
    </row>
    <row r="14" spans="1:19" x14ac:dyDescent="0.25">
      <c r="C14" s="2" t="s">
        <v>43</v>
      </c>
      <c r="D14" s="11">
        <v>-13.602</v>
      </c>
      <c r="E14" s="11">
        <v>-7.6689999999999996</v>
      </c>
      <c r="F14" s="11">
        <v>0.255</v>
      </c>
      <c r="G14" s="11">
        <v>-24.754999999999999</v>
      </c>
      <c r="H14" s="11">
        <v>-20.399999999999999</v>
      </c>
      <c r="I14" s="11">
        <v>-29.702999999999999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</row>
    <row r="15" spans="1:19" x14ac:dyDescent="0.25">
      <c r="C15" s="2" t="s">
        <v>44</v>
      </c>
      <c r="D15" s="11">
        <v>3.1549999999999998</v>
      </c>
      <c r="E15" s="11">
        <v>3.5750000000000002</v>
      </c>
      <c r="F15" s="11">
        <v>4.3780000000000001</v>
      </c>
      <c r="G15" s="11">
        <v>6.8550000000000004</v>
      </c>
      <c r="H15" s="11">
        <v>9.6959999999999997</v>
      </c>
      <c r="I15" s="11">
        <v>6.819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</row>
    <row r="16" spans="1:19" x14ac:dyDescent="0.25">
      <c r="C16" s="2" t="s">
        <v>45</v>
      </c>
      <c r="D16" s="11">
        <f t="shared" ref="D16:I16" si="10">SUM(D13:D15)</f>
        <v>60.210000000000065</v>
      </c>
      <c r="E16" s="11">
        <f t="shared" si="10"/>
        <v>49.982999999999933</v>
      </c>
      <c r="F16" s="11">
        <f t="shared" si="10"/>
        <v>46.407000000000025</v>
      </c>
      <c r="G16" s="11">
        <f t="shared" si="10"/>
        <v>84.877999999999844</v>
      </c>
      <c r="H16" s="11">
        <f t="shared" si="10"/>
        <v>88.750999999999834</v>
      </c>
      <c r="I16" s="11">
        <f t="shared" si="10"/>
        <v>85.56</v>
      </c>
      <c r="J16" s="11">
        <f t="shared" ref="J16:S16" si="11">SUM(J13:J15)</f>
        <v>72.673799999999957</v>
      </c>
      <c r="K16" s="11">
        <f t="shared" si="11"/>
        <v>72.673799999999957</v>
      </c>
      <c r="L16" s="11">
        <f t="shared" si="11"/>
        <v>72.673799999999957</v>
      </c>
      <c r="M16" s="11">
        <f t="shared" si="11"/>
        <v>72.673799999999957</v>
      </c>
      <c r="N16" s="11">
        <f t="shared" si="11"/>
        <v>72.673799999999957</v>
      </c>
      <c r="O16" s="11">
        <f t="shared" si="11"/>
        <v>72.673799999999957</v>
      </c>
      <c r="P16" s="11">
        <f t="shared" si="11"/>
        <v>72.673799999999957</v>
      </c>
      <c r="Q16" s="11">
        <f t="shared" si="11"/>
        <v>72.673799999999957</v>
      </c>
      <c r="R16" s="11">
        <f t="shared" si="11"/>
        <v>72.673799999999957</v>
      </c>
      <c r="S16" s="11">
        <f t="shared" si="11"/>
        <v>72.673799999999957</v>
      </c>
    </row>
    <row r="17" spans="3:247" x14ac:dyDescent="0.25">
      <c r="C17" s="2" t="s">
        <v>46</v>
      </c>
      <c r="D17" s="11">
        <v>-12.381</v>
      </c>
      <c r="E17" s="11">
        <v>-16.172999999999998</v>
      </c>
      <c r="F17" s="11">
        <v>-12.188000000000001</v>
      </c>
      <c r="G17" s="11">
        <v>-15.513</v>
      </c>
      <c r="H17" s="11">
        <v>-27.202999999999999</v>
      </c>
      <c r="I17" s="11">
        <v>-24.071000000000002</v>
      </c>
      <c r="J17" s="11">
        <f>J16*-0.22</f>
        <v>-15.98823599999999</v>
      </c>
      <c r="K17" s="11">
        <f t="shared" ref="K17:S17" si="12">K16*-0.22</f>
        <v>-15.98823599999999</v>
      </c>
      <c r="L17" s="11">
        <f t="shared" si="12"/>
        <v>-15.98823599999999</v>
      </c>
      <c r="M17" s="11">
        <f t="shared" si="12"/>
        <v>-15.98823599999999</v>
      </c>
      <c r="N17" s="11">
        <f t="shared" si="12"/>
        <v>-15.98823599999999</v>
      </c>
      <c r="O17" s="11">
        <f t="shared" si="12"/>
        <v>-15.98823599999999</v>
      </c>
      <c r="P17" s="11">
        <f t="shared" si="12"/>
        <v>-15.98823599999999</v>
      </c>
      <c r="Q17" s="11">
        <f t="shared" si="12"/>
        <v>-15.98823599999999</v>
      </c>
      <c r="R17" s="11">
        <f t="shared" si="12"/>
        <v>-15.98823599999999</v>
      </c>
      <c r="S17" s="11">
        <f t="shared" si="12"/>
        <v>-15.98823599999999</v>
      </c>
    </row>
    <row r="18" spans="3:247" x14ac:dyDescent="0.25">
      <c r="C18" s="1" t="s">
        <v>47</v>
      </c>
      <c r="D18" s="12">
        <f t="shared" ref="D18:I18" si="13">SUM(D16:D17)</f>
        <v>47.829000000000065</v>
      </c>
      <c r="E18" s="12">
        <f t="shared" si="13"/>
        <v>33.809999999999931</v>
      </c>
      <c r="F18" s="12">
        <f t="shared" si="13"/>
        <v>34.219000000000023</v>
      </c>
      <c r="G18" s="12">
        <f t="shared" si="13"/>
        <v>69.364999999999839</v>
      </c>
      <c r="H18" s="12">
        <f t="shared" si="13"/>
        <v>61.547999999999831</v>
      </c>
      <c r="I18" s="12">
        <f t="shared" si="13"/>
        <v>61.489000000000004</v>
      </c>
      <c r="J18" s="12">
        <f t="shared" ref="J18:S18" si="14">SUM(J16:J17)</f>
        <v>56.685563999999971</v>
      </c>
      <c r="K18" s="12">
        <f t="shared" si="14"/>
        <v>56.685563999999971</v>
      </c>
      <c r="L18" s="12">
        <f t="shared" si="14"/>
        <v>56.685563999999971</v>
      </c>
      <c r="M18" s="12">
        <f t="shared" si="14"/>
        <v>56.685563999999971</v>
      </c>
      <c r="N18" s="12">
        <f t="shared" si="14"/>
        <v>56.685563999999971</v>
      </c>
      <c r="O18" s="12">
        <f t="shared" si="14"/>
        <v>56.685563999999971</v>
      </c>
      <c r="P18" s="12">
        <f t="shared" si="14"/>
        <v>56.685563999999971</v>
      </c>
      <c r="Q18" s="12">
        <f t="shared" si="14"/>
        <v>56.685563999999971</v>
      </c>
      <c r="R18" s="12">
        <f t="shared" si="14"/>
        <v>56.685563999999971</v>
      </c>
      <c r="S18" s="12">
        <f t="shared" si="14"/>
        <v>56.685563999999971</v>
      </c>
      <c r="T18" s="12">
        <f>S18*(1+$V$22)</f>
        <v>56.118708359999971</v>
      </c>
      <c r="U18" s="12">
        <f t="shared" ref="U18:CF18" si="15">T18*(1+$V$22)</f>
        <v>55.557521276399967</v>
      </c>
      <c r="V18" s="12">
        <f t="shared" si="15"/>
        <v>55.00194606363597</v>
      </c>
      <c r="W18" s="12">
        <f t="shared" si="15"/>
        <v>54.451926602999606</v>
      </c>
      <c r="X18" s="12">
        <f t="shared" si="15"/>
        <v>53.907407336969612</v>
      </c>
      <c r="Y18" s="12">
        <f t="shared" si="15"/>
        <v>53.368333263599915</v>
      </c>
      <c r="Z18" s="12">
        <f t="shared" si="15"/>
        <v>52.834649930963913</v>
      </c>
      <c r="AA18" s="12">
        <f t="shared" si="15"/>
        <v>52.306303431654271</v>
      </c>
      <c r="AB18" s="12">
        <f t="shared" si="15"/>
        <v>51.783240397337728</v>
      </c>
      <c r="AC18" s="12">
        <f t="shared" si="15"/>
        <v>51.265407993364349</v>
      </c>
      <c r="AD18" s="12">
        <f t="shared" si="15"/>
        <v>50.752753913430702</v>
      </c>
      <c r="AE18" s="12">
        <f t="shared" si="15"/>
        <v>50.245226374296394</v>
      </c>
      <c r="AF18" s="12">
        <f t="shared" si="15"/>
        <v>49.742774110553427</v>
      </c>
      <c r="AG18" s="12">
        <f t="shared" si="15"/>
        <v>49.245346369447894</v>
      </c>
      <c r="AH18" s="12">
        <f t="shared" si="15"/>
        <v>48.752892905753413</v>
      </c>
      <c r="AI18" s="12">
        <f t="shared" si="15"/>
        <v>48.26536397669588</v>
      </c>
      <c r="AJ18" s="12">
        <f t="shared" si="15"/>
        <v>47.782710336928922</v>
      </c>
      <c r="AK18" s="12">
        <f t="shared" si="15"/>
        <v>47.304883233559629</v>
      </c>
      <c r="AL18" s="12">
        <f t="shared" si="15"/>
        <v>46.831834401224029</v>
      </c>
      <c r="AM18" s="12">
        <f t="shared" si="15"/>
        <v>46.36351605721179</v>
      </c>
      <c r="AN18" s="12">
        <f t="shared" si="15"/>
        <v>45.899880896639672</v>
      </c>
      <c r="AO18" s="12">
        <f t="shared" si="15"/>
        <v>45.440882087673273</v>
      </c>
      <c r="AP18" s="12">
        <f t="shared" si="15"/>
        <v>44.986473266796537</v>
      </c>
      <c r="AQ18" s="12">
        <f t="shared" si="15"/>
        <v>44.536608534128568</v>
      </c>
      <c r="AR18" s="12">
        <f t="shared" si="15"/>
        <v>44.091242448787284</v>
      </c>
      <c r="AS18" s="12">
        <f t="shared" si="15"/>
        <v>43.650330024299414</v>
      </c>
      <c r="AT18" s="12">
        <f t="shared" si="15"/>
        <v>43.213826724056418</v>
      </c>
      <c r="AU18" s="12">
        <f t="shared" si="15"/>
        <v>42.78168845681585</v>
      </c>
      <c r="AV18" s="12">
        <f t="shared" si="15"/>
        <v>42.353871572247691</v>
      </c>
      <c r="AW18" s="12">
        <f t="shared" si="15"/>
        <v>41.930332856525212</v>
      </c>
      <c r="AX18" s="12">
        <f t="shared" si="15"/>
        <v>41.511029527959963</v>
      </c>
      <c r="AY18" s="12">
        <f t="shared" si="15"/>
        <v>41.095919232680366</v>
      </c>
      <c r="AZ18" s="12">
        <f t="shared" si="15"/>
        <v>40.684960040353559</v>
      </c>
      <c r="BA18" s="12">
        <f t="shared" si="15"/>
        <v>40.278110439950026</v>
      </c>
      <c r="BB18" s="12">
        <f t="shared" si="15"/>
        <v>39.875329335550525</v>
      </c>
      <c r="BC18" s="12">
        <f t="shared" si="15"/>
        <v>39.47657604219502</v>
      </c>
      <c r="BD18" s="12">
        <f t="shared" si="15"/>
        <v>39.081810281773073</v>
      </c>
      <c r="BE18" s="12">
        <f t="shared" si="15"/>
        <v>38.690992178955341</v>
      </c>
      <c r="BF18" s="12">
        <f t="shared" si="15"/>
        <v>38.304082257165788</v>
      </c>
      <c r="BG18" s="12">
        <f t="shared" si="15"/>
        <v>37.92104143459413</v>
      </c>
      <c r="BH18" s="12">
        <f t="shared" si="15"/>
        <v>37.541831020248189</v>
      </c>
      <c r="BI18" s="12">
        <f t="shared" si="15"/>
        <v>37.166412710045705</v>
      </c>
      <c r="BJ18" s="12">
        <f t="shared" si="15"/>
        <v>36.794748582945246</v>
      </c>
      <c r="BK18" s="12">
        <f t="shared" si="15"/>
        <v>36.426801097115792</v>
      </c>
      <c r="BL18" s="12">
        <f t="shared" si="15"/>
        <v>36.062533086144633</v>
      </c>
      <c r="BM18" s="12">
        <f t="shared" si="15"/>
        <v>35.701907755283187</v>
      </c>
      <c r="BN18" s="12">
        <f t="shared" si="15"/>
        <v>35.344888677730353</v>
      </c>
      <c r="BO18" s="12">
        <f t="shared" si="15"/>
        <v>34.991439790953052</v>
      </c>
      <c r="BP18" s="12">
        <f t="shared" si="15"/>
        <v>34.641525393043523</v>
      </c>
      <c r="BQ18" s="12">
        <f t="shared" si="15"/>
        <v>34.295110139113085</v>
      </c>
      <c r="BR18" s="12">
        <f t="shared" si="15"/>
        <v>33.952159037721955</v>
      </c>
      <c r="BS18" s="12">
        <f t="shared" si="15"/>
        <v>33.612637447344738</v>
      </c>
      <c r="BT18" s="12">
        <f t="shared" si="15"/>
        <v>33.276511072871294</v>
      </c>
      <c r="BU18" s="12">
        <f t="shared" si="15"/>
        <v>32.943745962142579</v>
      </c>
      <c r="BV18" s="12">
        <f t="shared" si="15"/>
        <v>32.614308502521155</v>
      </c>
      <c r="BW18" s="12">
        <f t="shared" si="15"/>
        <v>32.288165417495939</v>
      </c>
      <c r="BX18" s="12">
        <f t="shared" si="15"/>
        <v>31.965283763320979</v>
      </c>
      <c r="BY18" s="12">
        <f t="shared" si="15"/>
        <v>31.645630925687769</v>
      </c>
      <c r="BZ18" s="12">
        <f t="shared" si="15"/>
        <v>31.32917461643089</v>
      </c>
      <c r="CA18" s="12">
        <f t="shared" si="15"/>
        <v>31.01588287026658</v>
      </c>
      <c r="CB18" s="12">
        <f t="shared" si="15"/>
        <v>30.705724041563915</v>
      </c>
      <c r="CC18" s="12">
        <f t="shared" si="15"/>
        <v>30.398666801148277</v>
      </c>
      <c r="CD18" s="12">
        <f t="shared" si="15"/>
        <v>30.094680133136794</v>
      </c>
      <c r="CE18" s="12">
        <f t="shared" si="15"/>
        <v>29.793733331805427</v>
      </c>
      <c r="CF18" s="12">
        <f t="shared" si="15"/>
        <v>29.495795998487374</v>
      </c>
      <c r="CG18" s="12">
        <f t="shared" ref="CG18:ER18" si="16">CF18*(1+$V$22)</f>
        <v>29.2008380385025</v>
      </c>
      <c r="CH18" s="12">
        <f t="shared" si="16"/>
        <v>28.908829658117476</v>
      </c>
      <c r="CI18" s="12">
        <f t="shared" si="16"/>
        <v>28.619741361536303</v>
      </c>
      <c r="CJ18" s="12">
        <f t="shared" si="16"/>
        <v>28.333543947920941</v>
      </c>
      <c r="CK18" s="12">
        <f t="shared" si="16"/>
        <v>28.050208508441731</v>
      </c>
      <c r="CL18" s="12">
        <f t="shared" si="16"/>
        <v>27.769706423357313</v>
      </c>
      <c r="CM18" s="12">
        <f t="shared" si="16"/>
        <v>27.492009359123738</v>
      </c>
      <c r="CN18" s="12">
        <f t="shared" si="16"/>
        <v>27.217089265532501</v>
      </c>
      <c r="CO18" s="12">
        <f t="shared" si="16"/>
        <v>26.944918372877176</v>
      </c>
      <c r="CP18" s="12">
        <f t="shared" si="16"/>
        <v>26.675469189148405</v>
      </c>
      <c r="CQ18" s="12">
        <f t="shared" si="16"/>
        <v>26.40871449725692</v>
      </c>
      <c r="CR18" s="12">
        <f t="shared" si="16"/>
        <v>26.144627352284349</v>
      </c>
      <c r="CS18" s="12">
        <f t="shared" si="16"/>
        <v>25.883181078761506</v>
      </c>
      <c r="CT18" s="12">
        <f t="shared" si="16"/>
        <v>25.624349267973891</v>
      </c>
      <c r="CU18" s="12">
        <f t="shared" si="16"/>
        <v>25.368105775294151</v>
      </c>
      <c r="CV18" s="12">
        <f t="shared" si="16"/>
        <v>25.114424717541208</v>
      </c>
      <c r="CW18" s="12">
        <f t="shared" si="16"/>
        <v>24.863280470365797</v>
      </c>
      <c r="CX18" s="12">
        <f t="shared" si="16"/>
        <v>24.61464766566214</v>
      </c>
      <c r="CY18" s="12">
        <f t="shared" si="16"/>
        <v>24.368501189005517</v>
      </c>
      <c r="CZ18" s="12">
        <f t="shared" si="16"/>
        <v>24.124816177115463</v>
      </c>
      <c r="DA18" s="12">
        <f t="shared" si="16"/>
        <v>23.883568015344309</v>
      </c>
      <c r="DB18" s="12">
        <f t="shared" si="16"/>
        <v>23.644732335190866</v>
      </c>
      <c r="DC18" s="12">
        <f t="shared" si="16"/>
        <v>23.408285011838959</v>
      </c>
      <c r="DD18" s="12">
        <f t="shared" si="16"/>
        <v>23.174202161720569</v>
      </c>
      <c r="DE18" s="12">
        <f t="shared" si="16"/>
        <v>22.942460140103364</v>
      </c>
      <c r="DF18" s="12">
        <f t="shared" si="16"/>
        <v>22.713035538702329</v>
      </c>
      <c r="DG18" s="12">
        <f t="shared" si="16"/>
        <v>22.485905183315307</v>
      </c>
      <c r="DH18" s="12">
        <f t="shared" si="16"/>
        <v>22.261046131482153</v>
      </c>
      <c r="DI18" s="12">
        <f t="shared" si="16"/>
        <v>22.038435670167331</v>
      </c>
      <c r="DJ18" s="12">
        <f t="shared" si="16"/>
        <v>21.818051313465659</v>
      </c>
      <c r="DK18" s="12">
        <f t="shared" si="16"/>
        <v>21.599870800331004</v>
      </c>
      <c r="DL18" s="12">
        <f t="shared" si="16"/>
        <v>21.383872092327692</v>
      </c>
      <c r="DM18" s="12">
        <f t="shared" si="16"/>
        <v>21.170033371404415</v>
      </c>
      <c r="DN18" s="12">
        <f t="shared" si="16"/>
        <v>20.95833303769037</v>
      </c>
      <c r="DO18" s="12">
        <f t="shared" si="16"/>
        <v>20.748749707313465</v>
      </c>
      <c r="DP18" s="12">
        <f t="shared" si="16"/>
        <v>20.54126221024033</v>
      </c>
      <c r="DQ18" s="12">
        <f t="shared" si="16"/>
        <v>20.335849588137926</v>
      </c>
      <c r="DR18" s="12">
        <f t="shared" si="16"/>
        <v>20.132491092256547</v>
      </c>
      <c r="DS18" s="12">
        <f t="shared" si="16"/>
        <v>19.931166181333982</v>
      </c>
      <c r="DT18" s="12">
        <f t="shared" si="16"/>
        <v>19.731854519520642</v>
      </c>
      <c r="DU18" s="12">
        <f t="shared" si="16"/>
        <v>19.534535974325436</v>
      </c>
      <c r="DV18" s="12">
        <f t="shared" si="16"/>
        <v>19.339190614582183</v>
      </c>
      <c r="DW18" s="12">
        <f t="shared" si="16"/>
        <v>19.145798708436359</v>
      </c>
      <c r="DX18" s="12">
        <f t="shared" si="16"/>
        <v>18.954340721351997</v>
      </c>
      <c r="DY18" s="12">
        <f t="shared" si="16"/>
        <v>18.764797314138477</v>
      </c>
      <c r="DZ18" s="12">
        <f t="shared" si="16"/>
        <v>18.577149340997092</v>
      </c>
      <c r="EA18" s="12">
        <f t="shared" si="16"/>
        <v>18.391377847587123</v>
      </c>
      <c r="EB18" s="12">
        <f t="shared" si="16"/>
        <v>18.20746406911125</v>
      </c>
      <c r="EC18" s="12">
        <f t="shared" si="16"/>
        <v>18.025389428420137</v>
      </c>
      <c r="ED18" s="12">
        <f t="shared" si="16"/>
        <v>17.845135534135935</v>
      </c>
      <c r="EE18" s="12">
        <f t="shared" si="16"/>
        <v>17.666684178794576</v>
      </c>
      <c r="EF18" s="12">
        <f t="shared" si="16"/>
        <v>17.490017337006631</v>
      </c>
      <c r="EG18" s="12">
        <f t="shared" si="16"/>
        <v>17.315117163636565</v>
      </c>
      <c r="EH18" s="12">
        <f t="shared" si="16"/>
        <v>17.141965992000198</v>
      </c>
      <c r="EI18" s="12">
        <f t="shared" si="16"/>
        <v>16.970546332080197</v>
      </c>
      <c r="EJ18" s="12">
        <f t="shared" si="16"/>
        <v>16.800840868759394</v>
      </c>
      <c r="EK18" s="12">
        <f t="shared" si="16"/>
        <v>16.6328324600718</v>
      </c>
      <c r="EL18" s="12">
        <f t="shared" si="16"/>
        <v>16.46650413547108</v>
      </c>
      <c r="EM18" s="12">
        <f t="shared" si="16"/>
        <v>16.301839094116371</v>
      </c>
      <c r="EN18" s="12">
        <f t="shared" si="16"/>
        <v>16.138820703175206</v>
      </c>
      <c r="EO18" s="12">
        <f t="shared" si="16"/>
        <v>15.977432496143454</v>
      </c>
      <c r="EP18" s="12">
        <f t="shared" si="16"/>
        <v>15.817658171182019</v>
      </c>
      <c r="EQ18" s="12">
        <f t="shared" si="16"/>
        <v>15.659481589470198</v>
      </c>
      <c r="ER18" s="12">
        <f t="shared" si="16"/>
        <v>15.502886773575497</v>
      </c>
      <c r="ES18" s="12">
        <f t="shared" ref="ES18:HD18" si="17">ER18*(1+$V$22)</f>
        <v>15.347857905839742</v>
      </c>
      <c r="ET18" s="12">
        <f t="shared" si="17"/>
        <v>15.194379326781345</v>
      </c>
      <c r="EU18" s="12">
        <f t="shared" si="17"/>
        <v>15.042435533513531</v>
      </c>
      <c r="EV18" s="12">
        <f t="shared" si="17"/>
        <v>14.892011178178397</v>
      </c>
      <c r="EW18" s="12">
        <f t="shared" si="17"/>
        <v>14.743091066396612</v>
      </c>
      <c r="EX18" s="12">
        <f t="shared" si="17"/>
        <v>14.595660155732647</v>
      </c>
      <c r="EY18" s="12">
        <f t="shared" si="17"/>
        <v>14.44970355417532</v>
      </c>
      <c r="EZ18" s="12">
        <f t="shared" si="17"/>
        <v>14.305206518633566</v>
      </c>
      <c r="FA18" s="12">
        <f t="shared" si="17"/>
        <v>14.162154453447231</v>
      </c>
      <c r="FB18" s="12">
        <f t="shared" si="17"/>
        <v>14.020532908912758</v>
      </c>
      <c r="FC18" s="12">
        <f t="shared" si="17"/>
        <v>13.88032757982363</v>
      </c>
      <c r="FD18" s="12">
        <f t="shared" si="17"/>
        <v>13.741524304025393</v>
      </c>
      <c r="FE18" s="12">
        <f t="shared" si="17"/>
        <v>13.60410906098514</v>
      </c>
      <c r="FF18" s="12">
        <f t="shared" si="17"/>
        <v>13.468067970375289</v>
      </c>
      <c r="FG18" s="12">
        <f t="shared" si="17"/>
        <v>13.333387290671537</v>
      </c>
      <c r="FH18" s="12">
        <f t="shared" si="17"/>
        <v>13.200053417764821</v>
      </c>
      <c r="FI18" s="12">
        <f t="shared" si="17"/>
        <v>13.068052883587173</v>
      </c>
      <c r="FJ18" s="12">
        <f t="shared" si="17"/>
        <v>12.937372354751302</v>
      </c>
      <c r="FK18" s="12">
        <f t="shared" si="17"/>
        <v>12.807998631203789</v>
      </c>
      <c r="FL18" s="12">
        <f t="shared" si="17"/>
        <v>12.679918644891751</v>
      </c>
      <c r="FM18" s="12">
        <f t="shared" si="17"/>
        <v>12.553119458442834</v>
      </c>
      <c r="FN18" s="12">
        <f t="shared" si="17"/>
        <v>12.427588263858405</v>
      </c>
      <c r="FO18" s="12">
        <f t="shared" si="17"/>
        <v>12.303312381219822</v>
      </c>
      <c r="FP18" s="12">
        <f t="shared" si="17"/>
        <v>12.180279257407623</v>
      </c>
      <c r="FQ18" s="12">
        <f t="shared" si="17"/>
        <v>12.058476464833547</v>
      </c>
      <c r="FR18" s="12">
        <f t="shared" si="17"/>
        <v>11.937891700185212</v>
      </c>
      <c r="FS18" s="12">
        <f t="shared" si="17"/>
        <v>11.81851278318336</v>
      </c>
      <c r="FT18" s="12">
        <f t="shared" si="17"/>
        <v>11.700327655351526</v>
      </c>
      <c r="FU18" s="12">
        <f t="shared" si="17"/>
        <v>11.583324378798011</v>
      </c>
      <c r="FV18" s="12">
        <f t="shared" si="17"/>
        <v>11.467491135010031</v>
      </c>
      <c r="FW18" s="12">
        <f t="shared" si="17"/>
        <v>11.35281622365993</v>
      </c>
      <c r="FX18" s="12">
        <f t="shared" si="17"/>
        <v>11.239288061423331</v>
      </c>
      <c r="FY18" s="12">
        <f t="shared" si="17"/>
        <v>11.126895180809097</v>
      </c>
      <c r="FZ18" s="12">
        <f t="shared" si="17"/>
        <v>11.015626229001006</v>
      </c>
      <c r="GA18" s="12">
        <f t="shared" si="17"/>
        <v>10.905469966710996</v>
      </c>
      <c r="GB18" s="12">
        <f t="shared" si="17"/>
        <v>10.796415267043885</v>
      </c>
      <c r="GC18" s="12">
        <f t="shared" si="17"/>
        <v>10.688451114373446</v>
      </c>
      <c r="GD18" s="12">
        <f t="shared" si="17"/>
        <v>10.581566603229712</v>
      </c>
      <c r="GE18" s="12">
        <f t="shared" si="17"/>
        <v>10.475750937197414</v>
      </c>
      <c r="GF18" s="12">
        <f t="shared" si="17"/>
        <v>10.370993427825439</v>
      </c>
      <c r="GG18" s="12">
        <f t="shared" si="17"/>
        <v>10.267283493547184</v>
      </c>
      <c r="GH18" s="12">
        <f t="shared" si="17"/>
        <v>10.164610658611712</v>
      </c>
      <c r="GI18" s="12">
        <f t="shared" si="17"/>
        <v>10.062964552025596</v>
      </c>
      <c r="GJ18" s="12">
        <f t="shared" si="17"/>
        <v>9.9623349065053404</v>
      </c>
      <c r="GK18" s="12">
        <f t="shared" si="17"/>
        <v>9.8627115574402868</v>
      </c>
      <c r="GL18" s="12">
        <f t="shared" si="17"/>
        <v>9.7640844418658848</v>
      </c>
      <c r="GM18" s="12">
        <f t="shared" si="17"/>
        <v>9.6664435974472251</v>
      </c>
      <c r="GN18" s="12">
        <f t="shared" si="17"/>
        <v>9.5697791614727521</v>
      </c>
      <c r="GO18" s="12">
        <f t="shared" si="17"/>
        <v>9.4740813698580251</v>
      </c>
      <c r="GP18" s="12">
        <f t="shared" si="17"/>
        <v>9.3793405561594447</v>
      </c>
      <c r="GQ18" s="12">
        <f t="shared" si="17"/>
        <v>9.28554715059785</v>
      </c>
      <c r="GR18" s="12">
        <f t="shared" si="17"/>
        <v>9.1926916790918707</v>
      </c>
      <c r="GS18" s="12">
        <f t="shared" si="17"/>
        <v>9.1007647623009511</v>
      </c>
      <c r="GT18" s="12">
        <f t="shared" si="17"/>
        <v>9.0097571146779423</v>
      </c>
      <c r="GU18" s="12">
        <f t="shared" si="17"/>
        <v>8.9196595435311625</v>
      </c>
      <c r="GV18" s="12">
        <f t="shared" si="17"/>
        <v>8.8304629480958514</v>
      </c>
      <c r="GW18" s="12">
        <f t="shared" si="17"/>
        <v>8.7421583186148926</v>
      </c>
      <c r="GX18" s="12">
        <f t="shared" si="17"/>
        <v>8.6547367354287434</v>
      </c>
      <c r="GY18" s="12">
        <f t="shared" si="17"/>
        <v>8.5681893680744565</v>
      </c>
      <c r="GZ18" s="12">
        <f t="shared" si="17"/>
        <v>8.4825074743937119</v>
      </c>
      <c r="HA18" s="12">
        <f t="shared" si="17"/>
        <v>8.3976823996497743</v>
      </c>
      <c r="HB18" s="12">
        <f t="shared" si="17"/>
        <v>8.3137055756532767</v>
      </c>
      <c r="HC18" s="12">
        <f t="shared" si="17"/>
        <v>8.2305685198967442</v>
      </c>
      <c r="HD18" s="12">
        <f t="shared" si="17"/>
        <v>8.1482628346977766</v>
      </c>
      <c r="HE18" s="12">
        <f t="shared" ref="HE18:IM18" si="18">HD18*(1+$V$22)</f>
        <v>8.0667802063507992</v>
      </c>
      <c r="HF18" s="12">
        <f t="shared" si="18"/>
        <v>7.9861124042872911</v>
      </c>
      <c r="HG18" s="12">
        <f t="shared" si="18"/>
        <v>7.906251280244418</v>
      </c>
      <c r="HH18" s="12">
        <f t="shared" si="18"/>
        <v>7.8271887674419736</v>
      </c>
      <c r="HI18" s="12">
        <f t="shared" si="18"/>
        <v>7.7489168797675534</v>
      </c>
      <c r="HJ18" s="12">
        <f t="shared" si="18"/>
        <v>7.6714277109698781</v>
      </c>
      <c r="HK18" s="12">
        <f t="shared" si="18"/>
        <v>7.5947134338601794</v>
      </c>
      <c r="HL18" s="12">
        <f t="shared" si="18"/>
        <v>7.5187662995215776</v>
      </c>
      <c r="HM18" s="12">
        <f t="shared" si="18"/>
        <v>7.4435786365263619</v>
      </c>
      <c r="HN18" s="12">
        <f t="shared" si="18"/>
        <v>7.369142850161098</v>
      </c>
      <c r="HO18" s="12">
        <f t="shared" si="18"/>
        <v>7.2954514216594868</v>
      </c>
      <c r="HP18" s="12">
        <f t="shared" si="18"/>
        <v>7.222496907442892</v>
      </c>
      <c r="HQ18" s="12">
        <f t="shared" si="18"/>
        <v>7.150271938368463</v>
      </c>
      <c r="HR18" s="12">
        <f t="shared" si="18"/>
        <v>7.0787692189847782</v>
      </c>
      <c r="HS18" s="12">
        <f t="shared" si="18"/>
        <v>7.0079815267949304</v>
      </c>
      <c r="HT18" s="12">
        <f t="shared" si="18"/>
        <v>6.9379017115269814</v>
      </c>
      <c r="HU18" s="12">
        <f t="shared" si="18"/>
        <v>6.8685226944117117</v>
      </c>
      <c r="HV18" s="12">
        <f t="shared" si="18"/>
        <v>6.7998374674675945</v>
      </c>
      <c r="HW18" s="12">
        <f t="shared" si="18"/>
        <v>6.7318390927929181</v>
      </c>
      <c r="HX18" s="12">
        <f t="shared" si="18"/>
        <v>6.6645207018649888</v>
      </c>
      <c r="HY18" s="12">
        <f t="shared" si="18"/>
        <v>6.5978754948463392</v>
      </c>
      <c r="HZ18" s="12">
        <f t="shared" si="18"/>
        <v>6.531896739897876</v>
      </c>
      <c r="IA18" s="12">
        <f t="shared" si="18"/>
        <v>6.4665777724988969</v>
      </c>
      <c r="IB18" s="12">
        <f t="shared" si="18"/>
        <v>6.4019119947739078</v>
      </c>
      <c r="IC18" s="12">
        <f t="shared" si="18"/>
        <v>6.3378928748261689</v>
      </c>
      <c r="ID18" s="12">
        <f t="shared" si="18"/>
        <v>6.2745139460779074</v>
      </c>
      <c r="IE18" s="12">
        <f t="shared" si="18"/>
        <v>6.2117688066171279</v>
      </c>
      <c r="IF18" s="12">
        <f t="shared" si="18"/>
        <v>6.149651118550957</v>
      </c>
      <c r="IG18" s="12">
        <f t="shared" si="18"/>
        <v>6.0881546073654471</v>
      </c>
      <c r="IH18" s="12">
        <f t="shared" si="18"/>
        <v>6.0272730612917922</v>
      </c>
      <c r="II18" s="12">
        <f t="shared" si="18"/>
        <v>5.9670003306788741</v>
      </c>
      <c r="IJ18" s="12">
        <f t="shared" si="18"/>
        <v>5.907330327372085</v>
      </c>
      <c r="IK18" s="12">
        <f t="shared" si="18"/>
        <v>5.8482570240983645</v>
      </c>
      <c r="IL18" s="12">
        <f t="shared" si="18"/>
        <v>5.7897744538573805</v>
      </c>
      <c r="IM18" s="12">
        <f t="shared" si="18"/>
        <v>5.731876709318807</v>
      </c>
    </row>
    <row r="19" spans="3:247" x14ac:dyDescent="0.25">
      <c r="C19" s="2" t="s">
        <v>48</v>
      </c>
      <c r="D19" s="10"/>
      <c r="E19" s="10"/>
      <c r="F19" s="10"/>
      <c r="G19" s="10"/>
      <c r="H19" s="10">
        <v>269.21901400000002</v>
      </c>
      <c r="I19" s="10">
        <v>269.21901400000002</v>
      </c>
      <c r="J19" s="10">
        <v>269.21901400000002</v>
      </c>
      <c r="K19" s="10">
        <v>269.21901400000002</v>
      </c>
      <c r="L19" s="10">
        <v>269.21901400000002</v>
      </c>
      <c r="M19" s="10">
        <v>269.21901400000002</v>
      </c>
      <c r="N19" s="10">
        <v>269.21901400000002</v>
      </c>
      <c r="O19" s="10">
        <v>269.21901400000002</v>
      </c>
      <c r="P19" s="10">
        <v>269.21901400000002</v>
      </c>
      <c r="Q19" s="10">
        <v>269.21901400000002</v>
      </c>
      <c r="R19" s="10">
        <v>269.21901400000002</v>
      </c>
      <c r="S19" s="10">
        <v>269.21901400000002</v>
      </c>
    </row>
    <row r="20" spans="3:247" x14ac:dyDescent="0.25">
      <c r="C20" s="2" t="s">
        <v>49</v>
      </c>
      <c r="D20" s="9" t="e">
        <f t="shared" ref="D20:G20" si="19">D18/D19</f>
        <v>#DIV/0!</v>
      </c>
      <c r="E20" s="9" t="e">
        <f t="shared" si="19"/>
        <v>#DIV/0!</v>
      </c>
      <c r="F20" s="9" t="e">
        <f t="shared" si="19"/>
        <v>#DIV/0!</v>
      </c>
      <c r="G20" s="9" t="e">
        <f t="shared" si="19"/>
        <v>#DIV/0!</v>
      </c>
      <c r="H20" s="9">
        <f>H18/H19</f>
        <v>0.22861683907660335</v>
      </c>
      <c r="I20" s="9">
        <f>I18/I19</f>
        <v>0.22839768665076532</v>
      </c>
      <c r="J20" s="9">
        <f t="shared" ref="J20:S20" si="20">J18/J19</f>
        <v>0.21055557390905522</v>
      </c>
      <c r="K20" s="9">
        <f t="shared" si="20"/>
        <v>0.21055557390905522</v>
      </c>
      <c r="L20" s="9">
        <f t="shared" si="20"/>
        <v>0.21055557390905522</v>
      </c>
      <c r="M20" s="9">
        <f t="shared" si="20"/>
        <v>0.21055557390905522</v>
      </c>
      <c r="N20" s="9">
        <f t="shared" si="20"/>
        <v>0.21055557390905522</v>
      </c>
      <c r="O20" s="9">
        <f t="shared" si="20"/>
        <v>0.21055557390905522</v>
      </c>
      <c r="P20" s="9">
        <f t="shared" si="20"/>
        <v>0.21055557390905522</v>
      </c>
      <c r="Q20" s="9">
        <f t="shared" si="20"/>
        <v>0.21055557390905522</v>
      </c>
      <c r="R20" s="9">
        <f t="shared" si="20"/>
        <v>0.21055557390905522</v>
      </c>
      <c r="S20" s="9">
        <f t="shared" si="20"/>
        <v>0.21055557390905522</v>
      </c>
    </row>
    <row r="21" spans="3:247" x14ac:dyDescent="0.25">
      <c r="C21" s="1"/>
      <c r="U21" s="2" t="s">
        <v>128</v>
      </c>
      <c r="V21" s="25">
        <v>0.08</v>
      </c>
    </row>
    <row r="22" spans="3:247" x14ac:dyDescent="0.25">
      <c r="C22" s="1" t="s">
        <v>33</v>
      </c>
      <c r="D22" s="14"/>
      <c r="E22" s="14">
        <f t="shared" ref="E22:H22" si="21">(E6-D6)/D6</f>
        <v>2.8729947899001417E-2</v>
      </c>
      <c r="F22" s="14">
        <f t="shared" si="21"/>
        <v>8.8912239578071164E-2</v>
      </c>
      <c r="G22" s="14">
        <f t="shared" si="21"/>
        <v>0.10581108811518822</v>
      </c>
      <c r="H22" s="14">
        <f t="shared" si="21"/>
        <v>2.1553840881549727E-2</v>
      </c>
      <c r="I22" s="14">
        <f>(I6-H6)/H6</f>
        <v>4.2405655931958705E-2</v>
      </c>
      <c r="J22" s="14">
        <f t="shared" ref="J22:S22" si="22">(J6-I6)/I6</f>
        <v>-4.0642415586099444E-5</v>
      </c>
      <c r="K22" s="14">
        <f t="shared" si="22"/>
        <v>0</v>
      </c>
      <c r="L22" s="14">
        <f t="shared" si="22"/>
        <v>0</v>
      </c>
      <c r="M22" s="14">
        <f t="shared" si="22"/>
        <v>0</v>
      </c>
      <c r="N22" s="14">
        <f t="shared" si="22"/>
        <v>0</v>
      </c>
      <c r="O22" s="14">
        <f t="shared" si="22"/>
        <v>0</v>
      </c>
      <c r="P22" s="14">
        <f t="shared" si="22"/>
        <v>0</v>
      </c>
      <c r="Q22" s="14">
        <f t="shared" si="22"/>
        <v>0</v>
      </c>
      <c r="R22" s="14">
        <f t="shared" si="22"/>
        <v>0</v>
      </c>
      <c r="S22" s="14">
        <f t="shared" si="22"/>
        <v>0</v>
      </c>
      <c r="U22" s="2" t="s">
        <v>129</v>
      </c>
      <c r="V22" s="25">
        <v>-0.01</v>
      </c>
    </row>
    <row r="23" spans="3:247" x14ac:dyDescent="0.25">
      <c r="C23" s="2" t="s">
        <v>94</v>
      </c>
      <c r="D23" s="13">
        <f t="shared" ref="D23:S23" si="23">D8/D6</f>
        <v>0.36910198535220151</v>
      </c>
      <c r="E23" s="13">
        <f t="shared" si="23"/>
        <v>0.3534580586289009</v>
      </c>
      <c r="F23" s="13">
        <f t="shared" si="23"/>
        <v>0.33440249723348958</v>
      </c>
      <c r="G23" s="13">
        <f t="shared" si="23"/>
        <v>0.36424339420661572</v>
      </c>
      <c r="H23" s="13">
        <f t="shared" si="23"/>
        <v>0.37769444859937512</v>
      </c>
      <c r="I23" s="13">
        <f t="shared" si="23"/>
        <v>0.37965490441982125</v>
      </c>
      <c r="J23" s="13">
        <f t="shared" si="23"/>
        <v>0.35</v>
      </c>
      <c r="K23" s="13">
        <f t="shared" si="23"/>
        <v>0.35</v>
      </c>
      <c r="L23" s="13">
        <f t="shared" si="23"/>
        <v>0.35</v>
      </c>
      <c r="M23" s="13">
        <f t="shared" si="23"/>
        <v>0.35</v>
      </c>
      <c r="N23" s="13">
        <f t="shared" si="23"/>
        <v>0.35</v>
      </c>
      <c r="O23" s="13">
        <f t="shared" si="23"/>
        <v>0.35</v>
      </c>
      <c r="P23" s="13">
        <f t="shared" si="23"/>
        <v>0.35</v>
      </c>
      <c r="Q23" s="13">
        <f t="shared" si="23"/>
        <v>0.35</v>
      </c>
      <c r="R23" s="13">
        <f t="shared" si="23"/>
        <v>0.35</v>
      </c>
      <c r="S23" s="13">
        <f t="shared" si="23"/>
        <v>0.35</v>
      </c>
      <c r="U23" s="24" t="s">
        <v>130</v>
      </c>
      <c r="V23" s="26">
        <f>NPV(V21,J18:HU18)*Modell!B12</f>
        <v>7294.1161782352938</v>
      </c>
    </row>
    <row r="24" spans="3:247" x14ac:dyDescent="0.25">
      <c r="C24" s="2" t="s">
        <v>57</v>
      </c>
      <c r="D24" s="13">
        <f t="shared" ref="D24:S24" si="24">D13/D6</f>
        <v>7.7305759118768899E-2</v>
      </c>
      <c r="E24" s="13">
        <f t="shared" si="24"/>
        <v>5.7513243775877271E-2</v>
      </c>
      <c r="F24" s="13">
        <f t="shared" si="24"/>
        <v>4.0800779018081719E-2</v>
      </c>
      <c r="G24" s="13">
        <f t="shared" si="24"/>
        <v>9.0778209979261254E-2</v>
      </c>
      <c r="H24" s="13">
        <f t="shared" si="24"/>
        <v>8.5989775123617468E-2</v>
      </c>
      <c r="I24" s="13">
        <f t="shared" si="24"/>
        <v>8.9947471751447586E-2</v>
      </c>
      <c r="J24" s="13">
        <f t="shared" si="24"/>
        <v>6.0280792443189513E-2</v>
      </c>
      <c r="K24" s="13">
        <f t="shared" si="24"/>
        <v>6.0280792443189513E-2</v>
      </c>
      <c r="L24" s="13">
        <f t="shared" si="24"/>
        <v>6.0280792443189513E-2</v>
      </c>
      <c r="M24" s="13">
        <f t="shared" si="24"/>
        <v>6.0280792443189513E-2</v>
      </c>
      <c r="N24" s="13">
        <f t="shared" si="24"/>
        <v>6.0280792443189513E-2</v>
      </c>
      <c r="O24" s="13">
        <f t="shared" si="24"/>
        <v>6.0280792443189513E-2</v>
      </c>
      <c r="P24" s="13">
        <f t="shared" si="24"/>
        <v>6.0280792443189513E-2</v>
      </c>
      <c r="Q24" s="13">
        <f t="shared" si="24"/>
        <v>6.0280792443189513E-2</v>
      </c>
      <c r="R24" s="13">
        <f t="shared" si="24"/>
        <v>6.0280792443189513E-2</v>
      </c>
      <c r="S24" s="13">
        <f t="shared" si="24"/>
        <v>6.0280792443189513E-2</v>
      </c>
      <c r="U24" s="2" t="s">
        <v>2</v>
      </c>
      <c r="V24" s="10">
        <v>269.21901400000002</v>
      </c>
    </row>
    <row r="25" spans="3:247" x14ac:dyDescent="0.25">
      <c r="U25" s="22" t="s">
        <v>131</v>
      </c>
      <c r="V25" s="10">
        <f>V23/V24</f>
        <v>27.093614488296481</v>
      </c>
    </row>
    <row r="26" spans="3:247" x14ac:dyDescent="0.25">
      <c r="U26" s="1" t="s">
        <v>140</v>
      </c>
      <c r="V26" s="36">
        <f>(V25-Modell!B4)/Modell!B4</f>
        <v>-0.19484057984260084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Segementer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(Student) Hodt, August</cp:lastModifiedBy>
  <dcterms:created xsi:type="dcterms:W3CDTF">2025-02-09T20:32:11Z</dcterms:created>
  <dcterms:modified xsi:type="dcterms:W3CDTF">2026-08-18T13:50:26Z</dcterms:modified>
</cp:coreProperties>
</file>