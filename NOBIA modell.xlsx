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166925"/>
  <mc:AlternateContent xmlns:mc="http://schemas.openxmlformats.org/markup-compatibility/2006">
    <mc:Choice Requires="x15">
      <x15ac:absPath xmlns:x15ac="http://schemas.microsoft.com/office/spreadsheetml/2010/11/ac" url="/Users/augusthodt/Desktop/Aksjemodellering/"/>
    </mc:Choice>
  </mc:AlternateContent>
  <xr:revisionPtr revIDLastSave="0" documentId="13_ncr:1_{E812D616-0382-F54A-93B6-F7C810E136E0}" xr6:coauthVersionLast="47" xr6:coauthVersionMax="47" xr10:uidLastSave="{00000000-0000-0000-0000-000000000000}"/>
  <bookViews>
    <workbookView xWindow="25180" yWindow="500" windowWidth="26020" windowHeight="26700" activeTab="1" xr2:uid="{177C31CA-1628-2444-93DA-6A86DFA9C13C}"/>
  </bookViews>
  <sheets>
    <sheet name="Info" sheetId="1" r:id="rId1"/>
    <sheet name="Modell" sheetId="2" r:id="rId2"/>
    <sheet name="Markets" sheetId="4" r:id="rId3"/>
    <sheet name="Nøkkeltall"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 i="2" l="1"/>
  <c r="AJ4" i="2"/>
  <c r="T28" i="2"/>
  <c r="B8" i="2"/>
  <c r="B7" i="2"/>
  <c r="T88" i="2"/>
  <c r="T81" i="2"/>
  <c r="T74" i="2"/>
  <c r="T94" i="2" s="1"/>
  <c r="T67" i="2"/>
  <c r="A12" i="2"/>
  <c r="T63" i="2"/>
  <c r="T64" i="2" s="1"/>
  <c r="T52" i="2"/>
  <c r="T47" i="2"/>
  <c r="T6" i="2"/>
  <c r="T8" i="2" s="1"/>
  <c r="T26" i="2"/>
  <c r="AI25" i="2"/>
  <c r="S26" i="2"/>
  <c r="Z12" i="4"/>
  <c r="Y12" i="4"/>
  <c r="X12" i="4"/>
  <c r="W12" i="4"/>
  <c r="AA11" i="4"/>
  <c r="Z10" i="4"/>
  <c r="Y10" i="4"/>
  <c r="X10" i="4"/>
  <c r="W10" i="4"/>
  <c r="AA9" i="4"/>
  <c r="Z8" i="4"/>
  <c r="Y8" i="4"/>
  <c r="X8" i="4"/>
  <c r="W8" i="4"/>
  <c r="AA7" i="4"/>
  <c r="AK9" i="2"/>
  <c r="AL9" i="2" s="1"/>
  <c r="AM9" i="2" s="1"/>
  <c r="AN9" i="2" s="1"/>
  <c r="AO9" i="2" s="1"/>
  <c r="AP9" i="2" s="1"/>
  <c r="AQ9" i="2" s="1"/>
  <c r="AR9" i="2" s="1"/>
  <c r="AS9" i="2" s="1"/>
  <c r="G26" i="2"/>
  <c r="H26" i="2"/>
  <c r="I26" i="2"/>
  <c r="J26" i="2"/>
  <c r="K26" i="2"/>
  <c r="L26" i="2"/>
  <c r="M26" i="2"/>
  <c r="N26" i="2"/>
  <c r="O26" i="2"/>
  <c r="P26" i="2"/>
  <c r="Q26" i="2"/>
  <c r="R26" i="2"/>
  <c r="V7" i="4"/>
  <c r="R88" i="2"/>
  <c r="S88" i="2"/>
  <c r="R81" i="2"/>
  <c r="S81" i="2"/>
  <c r="R74" i="2"/>
  <c r="S74" i="2"/>
  <c r="R63" i="2"/>
  <c r="S63" i="2"/>
  <c r="R52" i="2"/>
  <c r="S52" i="2"/>
  <c r="R47" i="2"/>
  <c r="S47" i="2"/>
  <c r="Y8" i="2"/>
  <c r="Y21" i="2" s="1"/>
  <c r="Z17" i="2"/>
  <c r="Y17" i="2"/>
  <c r="Z8" i="2"/>
  <c r="Z21" i="2" s="1"/>
  <c r="Z19" i="2"/>
  <c r="AA19" i="2"/>
  <c r="AA21" i="2"/>
  <c r="Y22" i="2"/>
  <c r="Z22" i="2"/>
  <c r="AA22" i="2"/>
  <c r="T92" i="2" l="1"/>
  <c r="T11" i="2"/>
  <c r="T21" i="2"/>
  <c r="T19" i="2"/>
  <c r="AA12" i="4"/>
  <c r="AA8" i="4"/>
  <c r="AA10" i="4"/>
  <c r="S92" i="2"/>
  <c r="S94" i="2"/>
  <c r="S64" i="2"/>
  <c r="R92" i="2"/>
  <c r="R94" i="2"/>
  <c r="R64" i="2"/>
  <c r="AC22" i="2"/>
  <c r="AB22" i="2"/>
  <c r="AC21" i="2"/>
  <c r="AB21" i="2"/>
  <c r="AC19" i="2"/>
  <c r="AB19" i="2"/>
  <c r="AB17" i="2"/>
  <c r="AA17" i="2"/>
  <c r="T13" i="2" l="1"/>
  <c r="T15" i="2" s="1"/>
  <c r="T17" i="2" s="1"/>
  <c r="T22" i="2"/>
  <c r="Q76" i="2"/>
  <c r="Q81" i="2" s="1"/>
  <c r="Q88" i="2"/>
  <c r="Q74" i="2"/>
  <c r="Q63" i="2"/>
  <c r="Q52" i="2"/>
  <c r="Q47" i="2"/>
  <c r="Q64" i="2" l="1"/>
  <c r="Q92" i="2"/>
  <c r="Q94" i="2"/>
  <c r="Q7" i="4" l="1"/>
  <c r="Q6" i="2"/>
  <c r="R6" i="2"/>
  <c r="R8" i="2" s="1"/>
  <c r="R11" i="2" s="1"/>
  <c r="S6" i="2"/>
  <c r="S8" i="2" s="1"/>
  <c r="S11" i="2" s="1"/>
  <c r="P6" i="2"/>
  <c r="S13" i="2" l="1"/>
  <c r="S15" i="2" s="1"/>
  <c r="S17" i="2" s="1"/>
  <c r="S67" i="2"/>
  <c r="R13" i="2"/>
  <c r="R15" i="2" s="1"/>
  <c r="R17" i="2" s="1"/>
  <c r="R67" i="2"/>
  <c r="Q8" i="2"/>
  <c r="Q11" i="2" s="1"/>
  <c r="Q67" i="2" s="1"/>
  <c r="P29" i="2"/>
  <c r="Q13" i="2" l="1"/>
  <c r="Q15" i="2" s="1"/>
  <c r="Q17" i="2" s="1"/>
  <c r="P88" i="2"/>
  <c r="P63" i="2"/>
  <c r="P52" i="2"/>
  <c r="P47" i="2"/>
  <c r="P8" i="2"/>
  <c r="P11" i="2" s="1"/>
  <c r="P13" i="2" s="1"/>
  <c r="P15" i="2" s="1"/>
  <c r="P17" i="2" s="1"/>
  <c r="O6" i="2"/>
  <c r="P81" i="2"/>
  <c r="P74" i="2"/>
  <c r="AI88" i="2"/>
  <c r="AI74" i="2"/>
  <c r="AI94" i="2" s="1"/>
  <c r="AI81" i="2"/>
  <c r="V14" i="4"/>
  <c r="V18" i="4"/>
  <c r="V16" i="4"/>
  <c r="V11" i="4"/>
  <c r="V9" i="4"/>
  <c r="V8" i="4"/>
  <c r="U19" i="4"/>
  <c r="T19" i="4"/>
  <c r="S19" i="4"/>
  <c r="R19" i="4"/>
  <c r="U17" i="4"/>
  <c r="T17" i="4"/>
  <c r="S17" i="4"/>
  <c r="R17" i="4"/>
  <c r="U15" i="4"/>
  <c r="T15" i="4"/>
  <c r="S15" i="4"/>
  <c r="R15" i="4"/>
  <c r="R12" i="4"/>
  <c r="S12" i="4"/>
  <c r="T12" i="4"/>
  <c r="U12" i="4"/>
  <c r="R10" i="4"/>
  <c r="S10" i="4"/>
  <c r="T10" i="4"/>
  <c r="U10" i="4"/>
  <c r="R8" i="4"/>
  <c r="S8" i="4"/>
  <c r="T8" i="4"/>
  <c r="U8" i="4"/>
  <c r="O8" i="4"/>
  <c r="Q18" i="4"/>
  <c r="Q19" i="4" s="1"/>
  <c r="Q16" i="4"/>
  <c r="Q17" i="4" s="1"/>
  <c r="Q15" i="4"/>
  <c r="Q14" i="4"/>
  <c r="Q11" i="4"/>
  <c r="Q12" i="4" s="1"/>
  <c r="Q9" i="4"/>
  <c r="Q10" i="4" s="1"/>
  <c r="Q8" i="4"/>
  <c r="L19" i="4"/>
  <c r="L17" i="4"/>
  <c r="L16" i="4"/>
  <c r="L15" i="4"/>
  <c r="L14" i="4"/>
  <c r="L18" i="4"/>
  <c r="L8" i="4"/>
  <c r="L7" i="4"/>
  <c r="L11" i="4"/>
  <c r="L12" i="4" s="1"/>
  <c r="L9" i="4"/>
  <c r="L10" i="4" s="1"/>
  <c r="G18" i="4"/>
  <c r="G17" i="4"/>
  <c r="G16" i="4"/>
  <c r="G14" i="4"/>
  <c r="G19" i="4"/>
  <c r="G10" i="4"/>
  <c r="G12" i="4"/>
  <c r="G11" i="4"/>
  <c r="G9" i="4"/>
  <c r="G7" i="4"/>
  <c r="L6" i="2"/>
  <c r="AH76" i="2"/>
  <c r="AH73" i="2"/>
  <c r="AH12" i="2"/>
  <c r="AH10" i="2"/>
  <c r="AH9" i="2"/>
  <c r="AG4" i="2"/>
  <c r="AH4" i="2"/>
  <c r="AH86" i="2"/>
  <c r="AH87" i="2"/>
  <c r="AH80" i="2"/>
  <c r="AH77" i="2"/>
  <c r="AH74" i="2"/>
  <c r="AG76" i="2"/>
  <c r="AG81" i="2" s="1"/>
  <c r="AC76" i="2"/>
  <c r="AC81" i="2" s="1"/>
  <c r="AC73" i="2"/>
  <c r="AC74" i="2" s="1"/>
  <c r="AD76" i="2"/>
  <c r="AD81" i="2" s="1"/>
  <c r="AD73" i="2"/>
  <c r="AD74" i="2" s="1"/>
  <c r="AE76" i="2"/>
  <c r="AE81" i="2" s="1"/>
  <c r="AE73" i="2"/>
  <c r="AC88" i="2"/>
  <c r="AD88" i="2"/>
  <c r="AE88" i="2"/>
  <c r="AF88" i="2"/>
  <c r="AF80" i="2"/>
  <c r="AF76" i="2"/>
  <c r="AG88" i="2"/>
  <c r="AF73" i="2"/>
  <c r="AE74" i="2"/>
  <c r="AE94" i="2" s="1"/>
  <c r="AF74" i="2"/>
  <c r="AG73" i="2"/>
  <c r="AG74" i="2" s="1"/>
  <c r="AG94" i="2" s="1"/>
  <c r="AC67" i="2"/>
  <c r="AD67" i="2"/>
  <c r="AE67" i="2"/>
  <c r="AG12" i="2"/>
  <c r="AG10" i="2"/>
  <c r="AG9" i="2"/>
  <c r="D88" i="2"/>
  <c r="O88" i="2"/>
  <c r="F88" i="2"/>
  <c r="E88" i="2"/>
  <c r="AF6" i="2"/>
  <c r="G88" i="2"/>
  <c r="H88" i="2"/>
  <c r="I88" i="2"/>
  <c r="J88" i="2"/>
  <c r="K88" i="2"/>
  <c r="L88" i="2"/>
  <c r="M88" i="2"/>
  <c r="N88" i="2"/>
  <c r="D81" i="2"/>
  <c r="E81" i="2"/>
  <c r="F81" i="2"/>
  <c r="G81" i="2"/>
  <c r="H81" i="2"/>
  <c r="I81" i="2"/>
  <c r="J81" i="2"/>
  <c r="K81" i="2"/>
  <c r="L81" i="2"/>
  <c r="M81" i="2"/>
  <c r="N81" i="2"/>
  <c r="D74" i="2"/>
  <c r="D94" i="2" s="1"/>
  <c r="E74" i="2"/>
  <c r="E94" i="2" s="1"/>
  <c r="F74" i="2"/>
  <c r="F94" i="2" s="1"/>
  <c r="G74" i="2"/>
  <c r="H74" i="2"/>
  <c r="H94" i="2" s="1"/>
  <c r="I74" i="2"/>
  <c r="I94" i="2" s="1"/>
  <c r="J74" i="2"/>
  <c r="K74" i="2"/>
  <c r="K94" i="2" s="1"/>
  <c r="L74" i="2"/>
  <c r="L94" i="2" s="1"/>
  <c r="M74" i="2"/>
  <c r="M94" i="2" s="1"/>
  <c r="N74" i="2"/>
  <c r="K19" i="2"/>
  <c r="O81" i="2"/>
  <c r="O74" i="2"/>
  <c r="AI92" i="2" l="1"/>
  <c r="V17" i="4"/>
  <c r="V19" i="4"/>
  <c r="AK4" i="2"/>
  <c r="AL4" i="2" s="1"/>
  <c r="AM4" i="2" s="1"/>
  <c r="AN4" i="2" s="1"/>
  <c r="AO4" i="2" s="1"/>
  <c r="AP4" i="2" s="1"/>
  <c r="AQ4" i="2" s="1"/>
  <c r="AR4" i="2" s="1"/>
  <c r="AS4" i="2" s="1"/>
  <c r="AH88" i="2"/>
  <c r="AG92" i="2"/>
  <c r="AH94" i="2"/>
  <c r="O92" i="2"/>
  <c r="AF81" i="2"/>
  <c r="AF92" i="2" s="1"/>
  <c r="AF94" i="2"/>
  <c r="AH81" i="2"/>
  <c r="P67" i="2"/>
  <c r="P92" i="2"/>
  <c r="P94" i="2"/>
  <c r="P64" i="2"/>
  <c r="V10" i="4"/>
  <c r="V12" i="4"/>
  <c r="V15" i="4"/>
  <c r="AC94" i="2"/>
  <c r="AC92" i="2"/>
  <c r="AD92" i="2"/>
  <c r="AD94" i="2"/>
  <c r="AE92" i="2"/>
  <c r="D92" i="2"/>
  <c r="I92" i="2"/>
  <c r="K92" i="2"/>
  <c r="G92" i="2"/>
  <c r="F92" i="2"/>
  <c r="E92" i="2"/>
  <c r="G94" i="2"/>
  <c r="H92" i="2"/>
  <c r="L92" i="2"/>
  <c r="M92" i="2"/>
  <c r="J92" i="2"/>
  <c r="J94" i="2"/>
  <c r="N92" i="2"/>
  <c r="N94" i="2"/>
  <c r="O94" i="2"/>
  <c r="O29" i="2"/>
  <c r="AE19" i="2"/>
  <c r="AD19" i="2"/>
  <c r="AE17" i="2"/>
  <c r="AD17" i="2"/>
  <c r="AC17" i="2"/>
  <c r="AD21" i="2"/>
  <c r="AE21" i="2"/>
  <c r="AD22" i="2"/>
  <c r="AE22" i="2"/>
  <c r="AF10" i="2"/>
  <c r="P21" i="2"/>
  <c r="Q21" i="2"/>
  <c r="R21" i="2"/>
  <c r="S21" i="2"/>
  <c r="AH92" i="2" l="1"/>
  <c r="D63" i="2"/>
  <c r="E63" i="2"/>
  <c r="F63" i="2"/>
  <c r="G63" i="2"/>
  <c r="H63" i="2"/>
  <c r="I63" i="2"/>
  <c r="J63" i="2"/>
  <c r="K63" i="2"/>
  <c r="L63" i="2"/>
  <c r="M63" i="2"/>
  <c r="D52" i="2"/>
  <c r="E52" i="2"/>
  <c r="F52" i="2"/>
  <c r="G52" i="2"/>
  <c r="H52" i="2"/>
  <c r="I52" i="2"/>
  <c r="J52" i="2"/>
  <c r="K52" i="2"/>
  <c r="L52" i="2"/>
  <c r="M52" i="2"/>
  <c r="D47" i="2"/>
  <c r="E47" i="2"/>
  <c r="F47" i="2"/>
  <c r="G47" i="2"/>
  <c r="H47" i="2"/>
  <c r="I47" i="2"/>
  <c r="J47" i="2"/>
  <c r="K47" i="2"/>
  <c r="L47" i="2"/>
  <c r="M47" i="2"/>
  <c r="O19" i="2"/>
  <c r="C19" i="4"/>
  <c r="D19" i="4"/>
  <c r="E19" i="4"/>
  <c r="F19" i="4"/>
  <c r="H19" i="4"/>
  <c r="I19" i="4"/>
  <c r="J19" i="4"/>
  <c r="K19" i="4"/>
  <c r="M19" i="4"/>
  <c r="N19" i="4"/>
  <c r="O19" i="4"/>
  <c r="P19" i="4"/>
  <c r="C12" i="4"/>
  <c r="D12" i="4"/>
  <c r="E12" i="4"/>
  <c r="F12" i="4"/>
  <c r="H12" i="4"/>
  <c r="I12" i="4"/>
  <c r="J12" i="4"/>
  <c r="K12" i="4"/>
  <c r="M12" i="4"/>
  <c r="N12" i="4"/>
  <c r="O12" i="4"/>
  <c r="P12" i="4"/>
  <c r="H15" i="4"/>
  <c r="I15" i="4"/>
  <c r="J15" i="4"/>
  <c r="K15" i="4"/>
  <c r="M15" i="4"/>
  <c r="N15" i="4"/>
  <c r="O15" i="4"/>
  <c r="P15" i="4"/>
  <c r="H8" i="4"/>
  <c r="P8" i="4"/>
  <c r="J8" i="4"/>
  <c r="K8" i="4"/>
  <c r="M8" i="4"/>
  <c r="N8" i="4"/>
  <c r="I8" i="4"/>
  <c r="P19" i="2"/>
  <c r="P22" i="2"/>
  <c r="Q22" i="2"/>
  <c r="R22" i="2"/>
  <c r="S22" i="2"/>
  <c r="P28" i="2"/>
  <c r="Q28" i="2"/>
  <c r="R28" i="2"/>
  <c r="S28" i="2"/>
  <c r="Q29" i="2"/>
  <c r="R29" i="2"/>
  <c r="S29" i="2"/>
  <c r="O63" i="2"/>
  <c r="O52" i="2"/>
  <c r="O47" i="2"/>
  <c r="D64" i="2" l="1"/>
  <c r="E64" i="2"/>
  <c r="F64" i="2"/>
  <c r="J64" i="2"/>
  <c r="G64" i="2"/>
  <c r="K64" i="2"/>
  <c r="H64" i="2"/>
  <c r="L64" i="2"/>
  <c r="I64" i="2"/>
  <c r="M64" i="2"/>
  <c r="O64" i="2"/>
  <c r="O28" i="2"/>
  <c r="AH7" i="2"/>
  <c r="AH5" i="2"/>
  <c r="AG8" i="2"/>
  <c r="AG21" i="2" s="1"/>
  <c r="AG5" i="2"/>
  <c r="AF4" i="2"/>
  <c r="AF14" i="2"/>
  <c r="AF12" i="2"/>
  <c r="AF9" i="2"/>
  <c r="AF7" i="2"/>
  <c r="AF19" i="2"/>
  <c r="AF5" i="2"/>
  <c r="H28" i="2"/>
  <c r="I28" i="2"/>
  <c r="J28" i="2"/>
  <c r="K28" i="2"/>
  <c r="L28" i="2"/>
  <c r="M28" i="2"/>
  <c r="H29" i="2"/>
  <c r="I29" i="2"/>
  <c r="J29" i="2"/>
  <c r="K29" i="2"/>
  <c r="L29" i="2"/>
  <c r="M29" i="2"/>
  <c r="D8" i="2"/>
  <c r="D21" i="2" s="1"/>
  <c r="E8" i="2"/>
  <c r="F8" i="2"/>
  <c r="G8" i="2"/>
  <c r="K8" i="2"/>
  <c r="H6" i="2"/>
  <c r="L19" i="2" s="1"/>
  <c r="L8" i="2"/>
  <c r="I6" i="2"/>
  <c r="I8" i="2" s="1"/>
  <c r="M6" i="2"/>
  <c r="Q19" i="2" s="1"/>
  <c r="N63" i="2"/>
  <c r="N52" i="2"/>
  <c r="N47" i="2"/>
  <c r="N29" i="2"/>
  <c r="N28" i="2"/>
  <c r="J6" i="2"/>
  <c r="J8" i="2" s="1"/>
  <c r="N6" i="2"/>
  <c r="B6" i="2"/>
  <c r="AH6" i="2" l="1"/>
  <c r="AH8" i="2" s="1"/>
  <c r="AF8" i="2"/>
  <c r="G11" i="2"/>
  <c r="G21" i="2"/>
  <c r="J11" i="2"/>
  <c r="J21" i="2"/>
  <c r="I11" i="2"/>
  <c r="I21" i="2"/>
  <c r="AG19" i="2"/>
  <c r="K11" i="2"/>
  <c r="K21" i="2"/>
  <c r="F11" i="2"/>
  <c r="F21" i="2"/>
  <c r="E11" i="2"/>
  <c r="E21" i="2"/>
  <c r="D11" i="2"/>
  <c r="L11" i="2"/>
  <c r="L21" i="2"/>
  <c r="H19" i="2"/>
  <c r="N64" i="2"/>
  <c r="I19" i="2"/>
  <c r="N19" i="2"/>
  <c r="R19" i="2"/>
  <c r="S19" i="2"/>
  <c r="M19" i="2"/>
  <c r="O8" i="2"/>
  <c r="AG11" i="2"/>
  <c r="AG67" i="2" s="1"/>
  <c r="H8" i="2"/>
  <c r="M8" i="2"/>
  <c r="J19" i="2"/>
  <c r="N8" i="2"/>
  <c r="B9" i="2"/>
  <c r="J13" i="2" l="1"/>
  <c r="J15" i="2" s="1"/>
  <c r="J17" i="2" s="1"/>
  <c r="J67" i="2"/>
  <c r="G22" i="2"/>
  <c r="G67" i="2"/>
  <c r="K22" i="2"/>
  <c r="K67" i="2"/>
  <c r="D13" i="2"/>
  <c r="D15" i="2" s="1"/>
  <c r="D17" i="2" s="1"/>
  <c r="D67" i="2"/>
  <c r="F13" i="2"/>
  <c r="F15" i="2" s="1"/>
  <c r="F17" i="2" s="1"/>
  <c r="F67" i="2"/>
  <c r="L13" i="2"/>
  <c r="L15" i="2" s="1"/>
  <c r="L17" i="2" s="1"/>
  <c r="L67" i="2"/>
  <c r="AF11" i="2"/>
  <c r="AF21" i="2"/>
  <c r="E13" i="2"/>
  <c r="E15" i="2" s="1"/>
  <c r="E17" i="2" s="1"/>
  <c r="E67" i="2"/>
  <c r="I22" i="2"/>
  <c r="I67" i="2"/>
  <c r="AI6" i="2"/>
  <c r="AJ6" i="2"/>
  <c r="AJ7" i="2" s="1"/>
  <c r="E22" i="2"/>
  <c r="J22" i="2"/>
  <c r="G13" i="2"/>
  <c r="G15" i="2" s="1"/>
  <c r="G17" i="2" s="1"/>
  <c r="I13" i="2"/>
  <c r="I15" i="2" s="1"/>
  <c r="I17" i="2" s="1"/>
  <c r="F22" i="2"/>
  <c r="L22" i="2"/>
  <c r="D22" i="2"/>
  <c r="K13" i="2"/>
  <c r="K15" i="2" s="1"/>
  <c r="K17" i="2" s="1"/>
  <c r="O11" i="2"/>
  <c r="O21" i="2"/>
  <c r="H11" i="2"/>
  <c r="H21" i="2"/>
  <c r="N11" i="2"/>
  <c r="N21" i="2"/>
  <c r="M11" i="2"/>
  <c r="M21" i="2"/>
  <c r="AH11" i="2"/>
  <c r="AH21" i="2"/>
  <c r="AG13" i="2"/>
  <c r="AG15" i="2" s="1"/>
  <c r="AG17" i="2" s="1"/>
  <c r="AG22" i="2"/>
  <c r="AH19" i="2"/>
  <c r="AI8" i="2" l="1"/>
  <c r="AI21" i="2" s="1"/>
  <c r="AI19" i="2"/>
  <c r="AF22" i="2"/>
  <c r="AF67" i="2"/>
  <c r="AH22" i="2"/>
  <c r="AH67" i="2"/>
  <c r="O13" i="2"/>
  <c r="O15" i="2" s="1"/>
  <c r="O17" i="2" s="1"/>
  <c r="O67" i="2"/>
  <c r="N22" i="2"/>
  <c r="N67" i="2"/>
  <c r="M13" i="2"/>
  <c r="M15" i="2" s="1"/>
  <c r="M17" i="2" s="1"/>
  <c r="M67" i="2"/>
  <c r="AF13" i="2"/>
  <c r="AF15" i="2" s="1"/>
  <c r="AF17" i="2" s="1"/>
  <c r="H22" i="2"/>
  <c r="H67" i="2"/>
  <c r="AK6" i="2"/>
  <c r="AK7" i="2" s="1"/>
  <c r="H13" i="2"/>
  <c r="H15" i="2" s="1"/>
  <c r="H17" i="2" s="1"/>
  <c r="AJ8" i="2"/>
  <c r="AJ11" i="2" s="1"/>
  <c r="AJ19" i="2"/>
  <c r="AH13" i="2"/>
  <c r="AH15" i="2" s="1"/>
  <c r="AH17" i="2" s="1"/>
  <c r="M22" i="2"/>
  <c r="O22" i="2"/>
  <c r="N13" i="2"/>
  <c r="N15" i="2" s="1"/>
  <c r="N17" i="2" s="1"/>
  <c r="AL6" i="2" l="1"/>
  <c r="AL7" i="2" s="1"/>
  <c r="AI11" i="2"/>
  <c r="AI67" i="2" s="1"/>
  <c r="AK8" i="2"/>
  <c r="AK19" i="2"/>
  <c r="AJ21" i="2"/>
  <c r="AM6" i="2" l="1"/>
  <c r="AM7" i="2" s="1"/>
  <c r="AL8" i="2"/>
  <c r="AL19" i="2"/>
  <c r="AK21" i="2"/>
  <c r="AK11" i="2"/>
  <c r="AJ22" i="2"/>
  <c r="AJ13" i="2"/>
  <c r="AJ14" i="2" s="1"/>
  <c r="AJ15" i="2" s="1"/>
  <c r="AJ17" i="2" s="1"/>
  <c r="F8" i="3" s="1"/>
  <c r="F7" i="3"/>
  <c r="AI13" i="2"/>
  <c r="AI22" i="2"/>
  <c r="AI15" i="2" l="1"/>
  <c r="AI17" i="2" s="1"/>
  <c r="AN6" i="2"/>
  <c r="AN7" i="2" s="1"/>
  <c r="AL11" i="2"/>
  <c r="AL21" i="2"/>
  <c r="AK22" i="2"/>
  <c r="AK13" i="2"/>
  <c r="AK14" i="2" s="1"/>
  <c r="AK15" i="2" s="1"/>
  <c r="AK17" i="2" s="1"/>
  <c r="G8" i="3" s="1"/>
  <c r="G7" i="3"/>
  <c r="AM8" i="2"/>
  <c r="AM19" i="2"/>
  <c r="AL13" i="2" l="1"/>
  <c r="AL14" i="2" s="1"/>
  <c r="AL15" i="2" s="1"/>
  <c r="AL17" i="2" s="1"/>
  <c r="H8" i="3" s="1"/>
  <c r="H7" i="3"/>
  <c r="AO6" i="2"/>
  <c r="AO7" i="2" s="1"/>
  <c r="AL22" i="2"/>
  <c r="AN8" i="2"/>
  <c r="AN19" i="2"/>
  <c r="AM11" i="2"/>
  <c r="AM21" i="2"/>
  <c r="AP6" i="2" l="1"/>
  <c r="AP7" i="2" s="1"/>
  <c r="AN21" i="2"/>
  <c r="AN11" i="2"/>
  <c r="AM22" i="2"/>
  <c r="AM13" i="2"/>
  <c r="AM14" i="2" s="1"/>
  <c r="AM15" i="2" s="1"/>
  <c r="AM17" i="2" s="1"/>
  <c r="AO8" i="2"/>
  <c r="AO19" i="2"/>
  <c r="AQ6" i="2" l="1"/>
  <c r="AQ7" i="2" s="1"/>
  <c r="AO11" i="2"/>
  <c r="AO21" i="2"/>
  <c r="AP8" i="2"/>
  <c r="AP19" i="2"/>
  <c r="AN22" i="2"/>
  <c r="AN13" i="2"/>
  <c r="AN14" i="2" s="1"/>
  <c r="AN15" i="2" s="1"/>
  <c r="AR6" i="2" l="1"/>
  <c r="AR7" i="2" s="1"/>
  <c r="AQ19" i="2"/>
  <c r="AQ8" i="2"/>
  <c r="AP21" i="2"/>
  <c r="AP11" i="2"/>
  <c r="AN17" i="2"/>
  <c r="AO22" i="2"/>
  <c r="AO13" i="2"/>
  <c r="AO14" i="2" s="1"/>
  <c r="AO15" i="2" s="1"/>
  <c r="AO17" i="2" s="1"/>
  <c r="AS6" i="2" l="1"/>
  <c r="AS7" i="2" s="1"/>
  <c r="AQ21" i="2"/>
  <c r="AQ11" i="2"/>
  <c r="AP22" i="2"/>
  <c r="AP13" i="2"/>
  <c r="AP14" i="2" s="1"/>
  <c r="AP15" i="2" s="1"/>
  <c r="AP17" i="2" s="1"/>
  <c r="AR8" i="2"/>
  <c r="AR19" i="2"/>
  <c r="AS8" i="2" l="1"/>
  <c r="AS19" i="2"/>
  <c r="AR21" i="2"/>
  <c r="AR11" i="2"/>
  <c r="AQ22" i="2"/>
  <c r="AQ13" i="2"/>
  <c r="AQ14" i="2" s="1"/>
  <c r="AQ15" i="2" s="1"/>
  <c r="AQ17" i="2" s="1"/>
  <c r="AR22" i="2" l="1"/>
  <c r="AR13" i="2"/>
  <c r="AR14" i="2" s="1"/>
  <c r="AR15" i="2" s="1"/>
  <c r="AS11" i="2"/>
  <c r="AS21" i="2"/>
  <c r="AS22" i="2" l="1"/>
  <c r="AS13" i="2"/>
  <c r="AS14" i="2" s="1"/>
  <c r="AS15" i="2" s="1"/>
  <c r="AR17" i="2"/>
  <c r="AS17" i="2" l="1"/>
  <c r="AT15" i="2"/>
  <c r="AU15" i="2" l="1"/>
  <c r="AV15" i="2" s="1"/>
  <c r="AW15" i="2" s="1"/>
  <c r="AX15" i="2" s="1"/>
  <c r="AY15" i="2" s="1"/>
  <c r="AZ15" i="2" s="1"/>
  <c r="BA15" i="2" s="1"/>
  <c r="BB15" i="2" s="1"/>
  <c r="BC15" i="2" s="1"/>
  <c r="BD15" i="2" s="1"/>
  <c r="BE15" i="2" s="1"/>
  <c r="BF15" i="2" s="1"/>
  <c r="BG15" i="2" s="1"/>
  <c r="BH15" i="2" s="1"/>
  <c r="BI15" i="2" s="1"/>
  <c r="BJ15" i="2" s="1"/>
  <c r="BK15" i="2" s="1"/>
  <c r="BL15" i="2" s="1"/>
  <c r="BM15" i="2" s="1"/>
  <c r="BN15" i="2" s="1"/>
  <c r="BO15" i="2" s="1"/>
  <c r="BP15" i="2" s="1"/>
  <c r="BQ15" i="2" s="1"/>
  <c r="BR15" i="2" s="1"/>
  <c r="BS15" i="2" s="1"/>
  <c r="BT15" i="2" s="1"/>
  <c r="BU15" i="2" s="1"/>
  <c r="BV15" i="2" s="1"/>
  <c r="BW15" i="2" s="1"/>
  <c r="BX15" i="2" s="1"/>
  <c r="BY15" i="2" s="1"/>
  <c r="BZ15" i="2" s="1"/>
  <c r="CA15" i="2" s="1"/>
  <c r="CB15" i="2" s="1"/>
  <c r="CC15" i="2" s="1"/>
  <c r="CD15" i="2" s="1"/>
  <c r="CE15" i="2" s="1"/>
  <c r="CF15" i="2" s="1"/>
  <c r="CG15" i="2" s="1"/>
  <c r="CH15" i="2" s="1"/>
  <c r="CI15" i="2" s="1"/>
  <c r="CJ15" i="2" s="1"/>
  <c r="CK15" i="2" s="1"/>
  <c r="CL15" i="2" s="1"/>
  <c r="CM15" i="2" s="1"/>
  <c r="CN15" i="2" s="1"/>
  <c r="CO15" i="2" s="1"/>
  <c r="CP15" i="2" s="1"/>
  <c r="CQ15" i="2" s="1"/>
  <c r="CR15" i="2" s="1"/>
  <c r="CS15" i="2" s="1"/>
  <c r="CT15" i="2" s="1"/>
  <c r="CU15" i="2" s="1"/>
  <c r="CV15" i="2" s="1"/>
  <c r="CW15" i="2" s="1"/>
  <c r="CX15" i="2" s="1"/>
  <c r="CY15" i="2" s="1"/>
  <c r="CZ15" i="2" s="1"/>
  <c r="DA15" i="2" s="1"/>
  <c r="DB15" i="2" s="1"/>
  <c r="DC15" i="2" s="1"/>
  <c r="DD15" i="2" s="1"/>
  <c r="DE15" i="2" s="1"/>
  <c r="DF15" i="2" s="1"/>
  <c r="DG15" i="2" s="1"/>
  <c r="DH15" i="2" s="1"/>
  <c r="DI15" i="2" s="1"/>
  <c r="DJ15" i="2" s="1"/>
  <c r="DK15" i="2" s="1"/>
  <c r="DL15" i="2" s="1"/>
  <c r="DM15" i="2" s="1"/>
  <c r="DN15" i="2" s="1"/>
  <c r="DO15" i="2" s="1"/>
  <c r="DP15" i="2" s="1"/>
  <c r="DQ15" i="2" s="1"/>
  <c r="DR15" i="2" s="1"/>
  <c r="DS15" i="2" s="1"/>
  <c r="DT15" i="2" s="1"/>
  <c r="DU15" i="2" s="1"/>
  <c r="DV15" i="2" s="1"/>
  <c r="DW15" i="2" s="1"/>
  <c r="DX15" i="2" s="1"/>
  <c r="DY15" i="2" s="1"/>
  <c r="DZ15" i="2" s="1"/>
  <c r="AV21" i="2" l="1"/>
  <c r="AV23" i="2" s="1"/>
  <c r="AV24"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tc={F12BE4BA-697F-B147-93D9-81EFBAF2ADA5}</author>
    <author>tc={4D7415F0-88F9-1E44-A307-1D4EA9CC08A5}</author>
    <author>tc={87EE1B53-146B-154D-BDEA-3999507242D5}</author>
    <author>august hodt</author>
    <author>tc={B26C876B-3318-E84A-9829-695B7E3FD60D}</author>
    <author>tc={02160312-D9A7-8849-BA49-839637E65432}</author>
    <author>tc={7C353F78-A5AD-314F-8A5E-7BFCF260A6A1}</author>
    <author>tc={76186719-F830-FB4E-B440-81CC64464507}</author>
    <author>tc={5E979D1B-C744-6E4C-935C-F29673413D85}</author>
    <author>tc={17701691-764F-7247-8533-0A17B16F67B5}</author>
    <author>tc={B34EF567-1475-9C4F-B0A6-FB9EDA38E78F}</author>
    <author>tc={76E7005F-18C7-C44E-889B-333AF71DCA04}</author>
    <author>tc={DA885FDC-EC76-7D45-B716-17A3971C24A0}</author>
  </authors>
  <commentList>
    <comment ref="S3" authorId="0" shapeId="0" xr:uid="{F12BE4BA-697F-B147-93D9-81EFBAF2ADA5}">
      <text>
        <t>[Kommentartråd]
Din versjon av Excel lar deg lese denne kommentartråden. Eventuelle endringer i den vil imidlertid bli fjernet hvis filen åpnes i en nyere versjon av Excel. Finn ut mer: https://go.microsoft.com/fwlink/?linkid=870924
Kommentar:
    Etter salget av UK rapporterer de kun Nordics</t>
      </text>
    </comment>
    <comment ref="AD3" authorId="1" shapeId="0" xr:uid="{4D7415F0-88F9-1E44-A307-1D4EA9CC08A5}">
      <text>
        <t>[Kommentartråd]
Din versjon av Excel lar deg lese denne kommentartråden. Eventuelle endringer i den vil imidlertid bli fjernet hvis filen åpnes i en nyere versjon av Excel. Finn ut mer: https://go.microsoft.com/fwlink/?linkid=870924
Kommentar:
    Nobia betalte utbytte i 20-21</t>
      </text>
    </comment>
    <comment ref="AI3" authorId="2" shapeId="0" xr:uid="{87EE1B53-146B-154D-BDEA-3999507242D5}">
      <text>
        <t>[Kommentartråd]
Din versjon av Excel lar deg lese denne kommentartråden. Eventuelle endringer i den vil imidlertid bli fjernet hvis filen åpnes i en nyere versjon av Excel. Finn ut mer: https://go.microsoft.com/fwlink/?linkid=870924
Kommentar:
    Nobia selger seg ut av UK</t>
      </text>
    </comment>
    <comment ref="AF6" authorId="3" shapeId="0" xr:uid="{162DF058-ED02-4D4B-923C-C9E764E9E453}">
      <text>
        <r>
          <rPr>
            <b/>
            <sz val="10"/>
            <color rgb="FF000000"/>
            <rFont val="Tahoma"/>
            <family val="2"/>
          </rPr>
          <t>august hodt:</t>
        </r>
        <r>
          <rPr>
            <sz val="10"/>
            <color rgb="FF000000"/>
            <rFont val="Tahoma"/>
            <family val="2"/>
          </rPr>
          <t xml:space="preserve">
</t>
        </r>
        <r>
          <rPr>
            <sz val="10"/>
            <color rgb="FF000000"/>
            <rFont val="Tahoma"/>
            <family val="2"/>
          </rPr>
          <t>I 2022 og litt 2023 så hadde Nobia 3 deler de rapporte revenue fra. Dette er tatt hensyn til i revenue-linjen</t>
        </r>
      </text>
    </comment>
    <comment ref="B8" authorId="4" shapeId="0" xr:uid="{B26C876B-3318-E84A-9829-695B7E3FD60D}">
      <text>
        <t>[Kommentartråd]
Din versjon av Excel lar deg lese denne kommentartråden. Eventuelle endringer i den vil imidlertid bli fjernet hvis filen åpnes i en nyere versjon av Excel. Finn ut mer: https://go.microsoft.com/fwlink/?linkid=870924
Kommentar:
    Rammen på 3,25 mrd</t>
      </text>
    </comment>
    <comment ref="O10" authorId="3" shapeId="0" xr:uid="{1E948127-BCFC-EF4D-9056-F261985C2857}">
      <text>
        <r>
          <rPr>
            <b/>
            <sz val="10"/>
            <color rgb="FF000000"/>
            <rFont val="Tahoma"/>
            <family val="2"/>
          </rPr>
          <t>august hodt:</t>
        </r>
        <r>
          <rPr>
            <sz val="10"/>
            <color rgb="FF000000"/>
            <rFont val="Tahoma"/>
            <family val="2"/>
          </rPr>
          <t xml:space="preserve">
</t>
        </r>
        <r>
          <rPr>
            <sz val="10"/>
            <color rgb="FF000000"/>
            <rFont val="Tahoma"/>
            <family val="2"/>
          </rPr>
          <t xml:space="preserve">ink impairment på -478 på goodwill
</t>
        </r>
      </text>
    </comment>
    <comment ref="S10" authorId="5" shapeId="0" xr:uid="{02160312-D9A7-8849-BA49-839637E65432}">
      <text>
        <t>[Kommentartråd]
Din versjon av Excel lar deg lese denne kommentartråden. Eventuelle endringer i den vil imidlertid bli fjernet hvis filen åpnes i en nyere versjon av Excel. Finn ut mer: https://go.microsoft.com/fwlink/?linkid=870924
Kommentar:
    Non-cash impairment 750 m</t>
      </text>
    </comment>
    <comment ref="R11" authorId="6" shapeId="0" xr:uid="{7C353F78-A5AD-314F-8A5E-7BFCF260A6A1}">
      <text>
        <t>[Kommentartråd]
Din versjon av Excel lar deg lese denne kommentartråden. Eventuelle endringer i den vil imidlertid bli fjernet hvis filen åpnes i en nyere versjon av Excel. Finn ut mer: https://go.microsoft.com/fwlink/?linkid=870924
Kommentar:
    justert for impairment på 1882 = OP 1 SEKm</t>
      </text>
    </comment>
    <comment ref="K57" authorId="7" shapeId="0" xr:uid="{76186719-F830-FB4E-B440-81CC64464507}">
      <text>
        <t>[Kommentartråd]
Din versjon av Excel lar deg lese denne kommentartråden. Eventuelle endringer i den vil imidlertid bli fjernet hvis filen åpnes i en nyere versjon av Excel. Finn ut mer: https://go.microsoft.com/fwlink/?linkid=870924
Kommentar:
    Ramme på 5 mrd SEK, Brukt 3,9 mrd SEK</t>
      </text>
    </comment>
    <comment ref="L57" authorId="8" shapeId="0" xr:uid="{5E979D1B-C744-6E4C-935C-F29673413D85}">
      <text>
        <t>[Kommentartråd]
Din versjon av Excel lar deg lese denne kommentartråden. Eventuelle endringer i den vil imidlertid bli fjernet hvis filen åpnes i en nyere versjon av Excel. Finn ut mer: https://go.microsoft.com/fwlink/?linkid=870924
Kommentar:
    Ramme på 4,2 mrd SEK, Brukt 3,56 mrd SEK</t>
      </text>
    </comment>
    <comment ref="M57" authorId="9" shapeId="0" xr:uid="{17701691-764F-7247-8533-0A17B16F67B5}">
      <text>
        <t>[Kommentartråd]
Din versjon av Excel lar deg lese denne kommentartråden. Eventuelle endringer i den vil imidlertid bli fjernet hvis filen åpnes i en nyere versjon av Excel. Finn ut mer: https://go.microsoft.com/fwlink/?linkid=870924
Kommentar:
    Ramme på 3,45 mrd SEK, Brukt 1,9 mrd SEK</t>
      </text>
    </comment>
    <comment ref="N57" authorId="10" shapeId="0" xr:uid="{B34EF567-1475-9C4F-B0A6-FB9EDA38E78F}">
      <text>
        <t>[Kommentartråd]
Din versjon av Excel lar deg lese denne kommentartråden. Eventuelle endringer i den vil imidlertid bli fjernet hvis filen åpnes i en nyere versjon av Excel. Finn ut mer: https://go.microsoft.com/fwlink/?linkid=870924
Kommentar:
    Ramme på 3,45 mrd SEK, brukt 2,55 mrd SEK</t>
      </text>
    </comment>
    <comment ref="O57" authorId="11" shapeId="0" xr:uid="{76E7005F-18C7-C44E-889B-333AF71DCA04}">
      <text>
        <t>[Kommentartråd]
Din versjon av Excel lar deg lese denne kommentartråden. Eventuelle endringer i den vil imidlertid bli fjernet hvis filen åpnes i en nyere versjon av Excel. Finn ut mer: https://go.microsoft.com/fwlink/?linkid=870924
Kommentar:
    Ramme på 3,45 mrd SEK, brukt 2,6 mrd SEK</t>
      </text>
    </comment>
    <comment ref="M86" authorId="12" shapeId="0" xr:uid="{DA885FDC-EC76-7D45-B716-17A3971C24A0}">
      <text>
        <t xml:space="preserve">[Kommentartråd]
Din versjon av Excel lar deg lese denne kommentartråden. Eventuelle endringer i den vil imidlertid bli fjernet hvis filen åpnes i en nyere versjon av Excel. Finn ut mer: https://go.microsoft.com/fwlink/?linkid=870924
Kommentar:
    Hentet 1,25 mrd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tc={C7617C8C-09EF-9C41-84BE-E6EA150A5CC0}</author>
  </authors>
  <commentList>
    <comment ref="R14" authorId="0" shapeId="0" xr:uid="{C7617C8C-09EF-9C41-84BE-E6EA150A5CC0}">
      <text>
        <t xml:space="preserve">[Kommentartråd]
Din versjon av Excel lar deg lese denne kommentartråden. Eventuelle endringer i den vil imidlertid bli fjernet hvis filen åpnes i en nyere versjon av Excel. Finn ut mer: https://go.microsoft.com/fwlink/?linkid=870924
Kommentar:
    Effekt av stegning av butikker. 170 butikker her kontra 191 et år tilbake
</t>
      </text>
    </comment>
  </commentList>
</comments>
</file>

<file path=xl/sharedStrings.xml><?xml version="1.0" encoding="utf-8"?>
<sst xmlns="http://schemas.openxmlformats.org/spreadsheetml/2006/main" count="199" uniqueCount="169">
  <si>
    <t>Kapitalstruktur</t>
  </si>
  <si>
    <t>Price</t>
  </si>
  <si>
    <t>S/O</t>
  </si>
  <si>
    <t>MC SEKm</t>
  </si>
  <si>
    <t>Debt SEKm</t>
  </si>
  <si>
    <t>EV SEKm</t>
  </si>
  <si>
    <t>Q122</t>
  </si>
  <si>
    <t>Q222</t>
  </si>
  <si>
    <t>Q322</t>
  </si>
  <si>
    <t>Q422</t>
  </si>
  <si>
    <t>Q123</t>
  </si>
  <si>
    <t>Q223</t>
  </si>
  <si>
    <t>Q323</t>
  </si>
  <si>
    <t>Q423</t>
  </si>
  <si>
    <t>Q124</t>
  </si>
  <si>
    <t>Q224</t>
  </si>
  <si>
    <t>Q324</t>
  </si>
  <si>
    <t>Q424</t>
  </si>
  <si>
    <t>FY 2022</t>
  </si>
  <si>
    <t>FY 2023</t>
  </si>
  <si>
    <t>FY 2024</t>
  </si>
  <si>
    <t>FY 2025</t>
  </si>
  <si>
    <t>FY 2026</t>
  </si>
  <si>
    <t>FY 2027</t>
  </si>
  <si>
    <t>FY 2028</t>
  </si>
  <si>
    <t>FY 2029</t>
  </si>
  <si>
    <t>FY 2030</t>
  </si>
  <si>
    <t>FY 2031</t>
  </si>
  <si>
    <t>FY 2032</t>
  </si>
  <si>
    <t>FY 2033</t>
  </si>
  <si>
    <t>FY 2034</t>
  </si>
  <si>
    <t>FY 2035</t>
  </si>
  <si>
    <t>SEK million</t>
  </si>
  <si>
    <t>Nordic region</t>
  </si>
  <si>
    <t>UK region</t>
  </si>
  <si>
    <t>Revenues</t>
  </si>
  <si>
    <t>COGS</t>
  </si>
  <si>
    <t>Gross profit</t>
  </si>
  <si>
    <t>Selling/admin expense</t>
  </si>
  <si>
    <t>Operating profit (EBIT)</t>
  </si>
  <si>
    <t>Net financials items</t>
  </si>
  <si>
    <t>PTP</t>
  </si>
  <si>
    <t>Tax</t>
  </si>
  <si>
    <t>Net income</t>
  </si>
  <si>
    <t>Shares</t>
  </si>
  <si>
    <t>EPS</t>
  </si>
  <si>
    <t>Revenue y/y</t>
  </si>
  <si>
    <t>EBIT margin</t>
  </si>
  <si>
    <t>Nordic y/y</t>
  </si>
  <si>
    <t>UK y/y</t>
  </si>
  <si>
    <t>Balanse SEKm</t>
  </si>
  <si>
    <t>Goodwill</t>
  </si>
  <si>
    <t>Other intangible fix assets</t>
  </si>
  <si>
    <t xml:space="preserve">Tangible fixed assets </t>
  </si>
  <si>
    <t>Right-of-use assets</t>
  </si>
  <si>
    <t>Long-term receivabls (IB)</t>
  </si>
  <si>
    <t>Long-term receivables</t>
  </si>
  <si>
    <t>Deferred tax assets</t>
  </si>
  <si>
    <t>Inventories</t>
  </si>
  <si>
    <t>Accounts receivable</t>
  </si>
  <si>
    <t>Current receivables (IB)</t>
  </si>
  <si>
    <t>Cash</t>
  </si>
  <si>
    <t>Assets held for sale</t>
  </si>
  <si>
    <t>Total assets</t>
  </si>
  <si>
    <t>Share capital</t>
  </si>
  <si>
    <t>Other capital contributions</t>
  </si>
  <si>
    <t>Reserves</t>
  </si>
  <si>
    <t>Profit brought forward</t>
  </si>
  <si>
    <t>Total Equity</t>
  </si>
  <si>
    <t>Provisons for pensions</t>
  </si>
  <si>
    <t>other provisions</t>
  </si>
  <si>
    <t>Deferred tax liabilities</t>
  </si>
  <si>
    <t>Lease liabilities (IB)</t>
  </si>
  <si>
    <t>Accounts payable</t>
  </si>
  <si>
    <t>Current liabilities and provisons</t>
  </si>
  <si>
    <t>Liabilities to assets held for sale</t>
  </si>
  <si>
    <t>Total debt</t>
  </si>
  <si>
    <t>Total E/D</t>
  </si>
  <si>
    <t>Cash flow SEKm</t>
  </si>
  <si>
    <t>CFFO</t>
  </si>
  <si>
    <t>CFFF</t>
  </si>
  <si>
    <t>CFFI</t>
  </si>
  <si>
    <t>Press release:</t>
  </si>
  <si>
    <t>27.03.24: Tony Buffins blir valgt som ny styeleder</t>
  </si>
  <si>
    <t>Nobia er en svensk kjøkken-produsent lokalisert i Sverige.</t>
  </si>
  <si>
    <t>De største markedene til Nobia er Norden og UK</t>
  </si>
  <si>
    <t>EV/EBIT</t>
  </si>
  <si>
    <t>P/E</t>
  </si>
  <si>
    <t>Q125</t>
  </si>
  <si>
    <t>Q225</t>
  </si>
  <si>
    <t>Q325</t>
  </si>
  <si>
    <t>Q425</t>
  </si>
  <si>
    <t>Net sales</t>
  </si>
  <si>
    <t>gross margin</t>
  </si>
  <si>
    <t>Operating profit</t>
  </si>
  <si>
    <t>Nordic</t>
  </si>
  <si>
    <t>UK</t>
  </si>
  <si>
    <t>SEKm</t>
  </si>
  <si>
    <t xml:space="preserve">Nobia har sterke merkevarer i Norden og Tyskland med HTH. </t>
  </si>
  <si>
    <t xml:space="preserve">De har i tillegg Sigdal i Norge, Marbodal i Sverige, Novart Finland og Invita i Danmark. </t>
  </si>
  <si>
    <t>Growth %</t>
  </si>
  <si>
    <t>Operating margin %</t>
  </si>
  <si>
    <t>Other Income/expense</t>
  </si>
  <si>
    <t>Discount</t>
  </si>
  <si>
    <t>TV</t>
  </si>
  <si>
    <t>NPV</t>
  </si>
  <si>
    <t>NPV/Share</t>
  </si>
  <si>
    <t>Opp-/nedside</t>
  </si>
  <si>
    <t xml:space="preserve">20.02.24: Henter inn 1,25 mrd og forlenger sin kredittfasilitet, formålet var å fullføre jönköping og bedre balansen, 1mrd gikk til fabrikken, resterende 250 til balanse, Hentet penger på 2,50 </t>
  </si>
  <si>
    <t>10.04.24: Begynner å rapportere kun Nordic og UK etter at de har solgt seg ut av nederland og østerriket</t>
  </si>
  <si>
    <t>Gjelden til Nobia har en maturity i juni 2027</t>
  </si>
  <si>
    <t>27.02.24: Kristoffer Ljungfelt blir ny CEO 1.mai 2024</t>
  </si>
  <si>
    <t>FY 2020</t>
  </si>
  <si>
    <t>FY 2021</t>
  </si>
  <si>
    <t>FY 2019</t>
  </si>
  <si>
    <t>27.06.24: Fortsetter å gjøre UK til en assetlight bissnis og reduserer kostnader i supply-chain i Norden. Gått fra 5 fabrikker til 2 i UK</t>
  </si>
  <si>
    <t>07.03.24: George Dymond appointed EVP of UK etter at kristoffer ljungfelt ble ny CEO</t>
  </si>
  <si>
    <t>19.02.24: Legger ned både i Nederland (Bribus) og Østerriket (Ewe)</t>
  </si>
  <si>
    <t xml:space="preserve">19.01.24: Sale-leaseback av Jönköping fabrikken. Bindende avtale med Hines. Nobia får ut SEK 1090m. 330 er holdt tilbake av kjøperen frem til visse betingelser er oppfyllt frem til den starter opp. Nobias leie er 20 år med opsjon om 20 til </t>
  </si>
  <si>
    <t>17.12.23: Jon Sintorn forlater Nobia som CEO</t>
  </si>
  <si>
    <t>Fabrikken i Jönköping har de kjørt en sale-leaseback i 1.kvartal 2024</t>
  </si>
  <si>
    <t>25.03.25: CFO Henrik Skogsfors går av, sitter frem til 4.nov eller til Nobia finner en ny CFO</t>
  </si>
  <si>
    <t>Model OP</t>
  </si>
  <si>
    <t>Reported OP</t>
  </si>
  <si>
    <t>D/A</t>
  </si>
  <si>
    <t>Non-cash adjustments</t>
  </si>
  <si>
    <t>WC</t>
  </si>
  <si>
    <t>Capex</t>
  </si>
  <si>
    <t>Other items</t>
  </si>
  <si>
    <t>Intersest received</t>
  </si>
  <si>
    <t>Change in IB assets</t>
  </si>
  <si>
    <t>Divestment of companies</t>
  </si>
  <si>
    <t>Change in IB liabiliteis</t>
  </si>
  <si>
    <t>Change in pension liability</t>
  </si>
  <si>
    <t>New share issue</t>
  </si>
  <si>
    <t>CIC</t>
  </si>
  <si>
    <t>FCF</t>
  </si>
  <si>
    <t>Profit/loss discontinued operations</t>
  </si>
  <si>
    <t>FX</t>
  </si>
  <si>
    <t>Dividend</t>
  </si>
  <si>
    <t>Interest paid</t>
  </si>
  <si>
    <t>02.04.2024: Konsoliderer Halifax produksjonen inn i Darlington, Halifax blir lager (UK)</t>
  </si>
  <si>
    <t>Gross margin</t>
  </si>
  <si>
    <t>23.12.24: Ny funding-avtale, i 25 har de en EBITDA-covenant som vil bli overtatt av en leverage covenant i 26. De har en ramme på 3,45mrd SEK med forfall 30.juni 27</t>
  </si>
  <si>
    <t>ROE</t>
  </si>
  <si>
    <t>FY 2017</t>
  </si>
  <si>
    <t>FY 2018</t>
  </si>
  <si>
    <t>FY 2015</t>
  </si>
  <si>
    <t>FY 2016</t>
  </si>
  <si>
    <t>Other receivables</t>
  </si>
  <si>
    <t>18.07.25: CFO går av, vil jobbe fremt til 4. nov eller til en ny er funnet</t>
  </si>
  <si>
    <t>02.09.25: Nobia ansetter Robert Belkic som midlertidig CFO</t>
  </si>
  <si>
    <t>Organic growth</t>
  </si>
  <si>
    <t>Number of stores</t>
  </si>
  <si>
    <t>Current lease liabilities (IB)</t>
  </si>
  <si>
    <t>Other long-term liabilities</t>
  </si>
  <si>
    <t>Other long-term liabilities (IB)</t>
  </si>
  <si>
    <t>EBITDA</t>
  </si>
  <si>
    <t>EBITDA %</t>
  </si>
  <si>
    <t>Cash SEKm</t>
  </si>
  <si>
    <t>Leverage</t>
  </si>
  <si>
    <t>EBITDA LTM</t>
  </si>
  <si>
    <t>14.01.26: Nobia selge unna UK for å rendyrke selskapet til en Nordisk modell, selger til 0 kr, men kjøper tar over leasing på 746 m</t>
  </si>
  <si>
    <t>P/B</t>
  </si>
  <si>
    <t>Q126</t>
  </si>
  <si>
    <t>Q226</t>
  </si>
  <si>
    <t>Q326</t>
  </si>
  <si>
    <t>Q426</t>
  </si>
  <si>
    <t>14.01.26: Nobia henter inn 1,5 mrd til 1,78SEK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</si>
</sst>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kr&quot;\ #,##0.00_);[Red]\(&quot;kr&quot;\ #,##0.00\)"/>
    <numFmt numFmtId="164" formatCode="0.0"/>
    <numFmt numFmtId="165" formatCode="#,##0.0"/>
    <numFmt numFmtId="166" formatCode="0.0\ %"/>
    <numFmt numFmtId="167" formatCode="#,##0.0000"/>
  </numFmts>
  <fonts count="13">
    <font>
      <sz val="12"/>
      <color theme="1"/>
      <name val="Calibri"/>
      <family val="2"/>
      <scheme val="minor"/>
    </font>
    <font>
      <sz val="14"/>
      <color theme="1"/>
      <name val="Calibri"/>
      <family val="2"/>
      <scheme val="minor"/>
    </font>
    <font>
      <b/>
      <i/>
      <sz val="14"/>
      <color theme="1"/>
      <name val="Calibri"/>
      <family val="2"/>
      <scheme val="minor"/>
    </font>
    <font>
      <b/>
      <sz val="14"/>
      <color theme="1"/>
      <name val="Calibri"/>
      <family val="2"/>
      <scheme val="minor"/>
    </font>
    <font>
      <i/>
      <sz val="14"/>
      <color theme="1"/>
      <name val="Calibri"/>
      <family val="2"/>
      <scheme val="minor"/>
    </font>
    <font>
      <sz val="10"/>
      <color rgb="FF000000"/>
      <name val="Tahoma"/>
      <family val="2"/>
    </font>
    <font>
      <b/>
      <sz val="10"/>
      <color rgb="FF000000"/>
      <name val="Tahoma"/>
      <family val="2"/>
    </font>
    <font>
      <b/>
      <sz val="14"/>
      <color theme="1"/>
      <name val="Calibri (Brødtekst)_x0000_"/>
    </font>
    <font>
      <b/>
      <sz val="72"/>
      <color theme="1"/>
      <name val="Calibri"/>
      <family val="2"/>
      <scheme val="minor"/>
    </font>
    <font>
      <sz val="72"/>
      <color theme="1"/>
      <name val="Calibri"/>
      <family val="2"/>
      <scheme val="minor"/>
    </font>
    <font>
      <sz val="8"/>
      <name val="Calibri"/>
      <family val="2"/>
      <scheme val="minor"/>
    </font>
    <font>
      <sz val="20"/>
      <color theme="1"/>
      <name val="Calibri"/>
      <family val="2"/>
      <scheme val="minor"/>
    </font>
    <font>
      <b/>
      <sz val="20"/>
      <color theme="1"/>
      <name val="Calibri"/>
      <family val="2"/>
      <scheme val="minor"/>
    </font>
  </fonts>
  <fills count="2">
    <fill>
      <patternFill patternType="none"/>
    </fill>
    <fill>
      <patternFill patternType="gray125"/>
    </fill>
  </fills>
  <borders count="10">
    <border>
      <left/>
      <right/>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70">
    <xf numFmtId="0" fontId="0" fillId="0" borderId="0" xfId="0"/>
    <xf numFmtId="0" fontId="1" fillId="0" borderId="0" xfId="0" applyFont="1"/>
    <xf numFmtId="0" fontId="2" fillId="0" borderId="0" xfId="0" applyFont="1"/>
    <xf numFmtId="0" fontId="3" fillId="0" borderId="0" xfId="0" applyFont="1"/>
    <xf numFmtId="0" fontId="1" fillId="0" borderId="1" xfId="0" applyFont="1" applyBorder="1"/>
    <xf numFmtId="0" fontId="1" fillId="0" borderId="2" xfId="0" applyFont="1" applyBorder="1"/>
    <xf numFmtId="0" fontId="4" fillId="0" borderId="1" xfId="0" applyFont="1" applyBorder="1"/>
    <xf numFmtId="0" fontId="4" fillId="0" borderId="0" xfId="0" applyFont="1"/>
    <xf numFmtId="0" fontId="3" fillId="0" borderId="1" xfId="0" applyFont="1" applyBorder="1"/>
    <xf numFmtId="164" fontId="1" fillId="0" borderId="0" xfId="0" applyNumberFormat="1" applyFont="1"/>
    <xf numFmtId="2" fontId="1" fillId="0" borderId="2" xfId="0" applyNumberFormat="1" applyFont="1" applyBorder="1"/>
    <xf numFmtId="165" fontId="1" fillId="0" borderId="0" xfId="0" applyNumberFormat="1" applyFont="1"/>
    <xf numFmtId="165" fontId="2" fillId="0" borderId="0" xfId="0" applyNumberFormat="1" applyFont="1"/>
    <xf numFmtId="2" fontId="1" fillId="0" borderId="0" xfId="0" applyNumberFormat="1" applyFont="1"/>
    <xf numFmtId="10" fontId="1" fillId="0" borderId="0" xfId="0" applyNumberFormat="1" applyFont="1"/>
    <xf numFmtId="10" fontId="1" fillId="0" borderId="2" xfId="0" applyNumberFormat="1" applyFont="1" applyBorder="1"/>
    <xf numFmtId="10" fontId="3" fillId="0" borderId="0" xfId="0" applyNumberFormat="1" applyFont="1"/>
    <xf numFmtId="0" fontId="1" fillId="0" borderId="0" xfId="0" applyFont="1" applyAlignment="1">
      <alignment horizontal="right"/>
    </xf>
    <xf numFmtId="0" fontId="1" fillId="0" borderId="2" xfId="0" applyFont="1" applyBorder="1" applyAlignment="1">
      <alignment horizontal="right"/>
    </xf>
    <xf numFmtId="0" fontId="2" fillId="0" borderId="1" xfId="0" applyFont="1" applyBorder="1"/>
    <xf numFmtId="3" fontId="1" fillId="0" borderId="2" xfId="0" applyNumberFormat="1" applyFont="1" applyBorder="1"/>
    <xf numFmtId="3" fontId="3" fillId="0" borderId="2" xfId="0" applyNumberFormat="1" applyFont="1" applyBorder="1"/>
    <xf numFmtId="3" fontId="1" fillId="0" borderId="0" xfId="0" applyNumberFormat="1" applyFont="1"/>
    <xf numFmtId="3" fontId="3" fillId="0" borderId="0" xfId="0" applyNumberFormat="1" applyFont="1"/>
    <xf numFmtId="3" fontId="4" fillId="0" borderId="0" xfId="0" applyNumberFormat="1" applyFont="1"/>
    <xf numFmtId="166" fontId="4" fillId="0" borderId="0" xfId="0" applyNumberFormat="1" applyFont="1"/>
    <xf numFmtId="166" fontId="1" fillId="0" borderId="0" xfId="0" applyNumberFormat="1" applyFont="1"/>
    <xf numFmtId="0" fontId="7" fillId="0" borderId="0" xfId="0" applyFont="1" applyAlignment="1">
      <alignment horizontal="left"/>
    </xf>
    <xf numFmtId="0" fontId="8" fillId="0" borderId="3" xfId="0" applyFont="1" applyBorder="1"/>
    <xf numFmtId="10" fontId="4" fillId="0" borderId="0" xfId="0" applyNumberFormat="1" applyFont="1"/>
    <xf numFmtId="166" fontId="1" fillId="0" borderId="2" xfId="0" applyNumberFormat="1" applyFont="1" applyBorder="1"/>
    <xf numFmtId="166" fontId="3" fillId="0" borderId="0" xfId="0" applyNumberFormat="1" applyFont="1"/>
    <xf numFmtId="0" fontId="4" fillId="0" borderId="4" xfId="0" applyFont="1" applyBorder="1"/>
    <xf numFmtId="166" fontId="4" fillId="0" borderId="4" xfId="0" applyNumberFormat="1" applyFont="1" applyBorder="1"/>
    <xf numFmtId="0" fontId="1" fillId="0" borderId="4" xfId="0" applyFont="1" applyBorder="1"/>
    <xf numFmtId="9" fontId="1" fillId="0" borderId="0" xfId="0" applyNumberFormat="1" applyFont="1"/>
    <xf numFmtId="8" fontId="1" fillId="0" borderId="4" xfId="0" applyNumberFormat="1" applyFont="1" applyBorder="1"/>
    <xf numFmtId="8" fontId="3" fillId="0" borderId="0" xfId="0" applyNumberFormat="1" applyFont="1"/>
    <xf numFmtId="164" fontId="9" fillId="0" borderId="3" xfId="0" applyNumberFormat="1" applyFont="1" applyBorder="1"/>
    <xf numFmtId="0" fontId="3" fillId="0" borderId="4" xfId="0" applyFont="1" applyBorder="1"/>
    <xf numFmtId="9" fontId="3" fillId="0" borderId="4" xfId="0" applyNumberFormat="1" applyFont="1" applyBorder="1"/>
    <xf numFmtId="167" fontId="1" fillId="0" borderId="0" xfId="0" applyNumberFormat="1" applyFont="1"/>
    <xf numFmtId="0" fontId="11" fillId="0" borderId="0" xfId="0" applyFont="1"/>
    <xf numFmtId="0" fontId="12" fillId="0" borderId="0" xfId="0" applyFont="1"/>
    <xf numFmtId="14" fontId="11" fillId="0" borderId="0" xfId="0" applyNumberFormat="1" applyFont="1"/>
    <xf numFmtId="0" fontId="1" fillId="0" borderId="0" xfId="0" quotePrefix="1" applyFont="1"/>
    <xf numFmtId="1" fontId="3" fillId="0" borderId="0" xfId="0" applyNumberFormat="1" applyFont="1"/>
    <xf numFmtId="166" fontId="4" fillId="0" borderId="1" xfId="0" applyNumberFormat="1" applyFont="1" applyBorder="1"/>
    <xf numFmtId="166" fontId="4" fillId="0" borderId="5" xfId="0" applyNumberFormat="1" applyFont="1" applyBorder="1"/>
    <xf numFmtId="0" fontId="3" fillId="0" borderId="7" xfId="0" applyFont="1" applyBorder="1" applyAlignment="1">
      <alignment horizontal="right"/>
    </xf>
    <xf numFmtId="0" fontId="3" fillId="0" borderId="7" xfId="0" applyFont="1" applyBorder="1"/>
    <xf numFmtId="0" fontId="1" fillId="0" borderId="7" xfId="0" applyFont="1" applyBorder="1"/>
    <xf numFmtId="0" fontId="7" fillId="0" borderId="7" xfId="0" applyFont="1" applyBorder="1" applyAlignment="1">
      <alignment horizontal="left"/>
    </xf>
    <xf numFmtId="166" fontId="4" fillId="0" borderId="2" xfId="0" applyNumberFormat="1" applyFont="1" applyBorder="1"/>
    <xf numFmtId="166" fontId="4" fillId="0" borderId="8" xfId="0" applyNumberFormat="1" applyFont="1" applyBorder="1"/>
    <xf numFmtId="3" fontId="3" fillId="0" borderId="7" xfId="0" applyNumberFormat="1" applyFont="1" applyBorder="1"/>
    <xf numFmtId="166" fontId="2" fillId="0" borderId="7" xfId="0" applyNumberFormat="1" applyFont="1" applyBorder="1"/>
    <xf numFmtId="166" fontId="2" fillId="0" borderId="6" xfId="0" applyNumberFormat="1" applyFont="1" applyBorder="1"/>
    <xf numFmtId="1" fontId="1" fillId="0" borderId="0" xfId="0" applyNumberFormat="1" applyFont="1"/>
    <xf numFmtId="0" fontId="1" fillId="0" borderId="6" xfId="0" applyFont="1" applyBorder="1"/>
    <xf numFmtId="10" fontId="1" fillId="0" borderId="1" xfId="0" applyNumberFormat="1" applyFont="1" applyBorder="1"/>
    <xf numFmtId="164" fontId="1" fillId="0" borderId="0" xfId="0" applyNumberFormat="1" applyFont="1" applyAlignment="1">
      <alignment horizontal="left"/>
    </xf>
    <xf numFmtId="2" fontId="1" fillId="0" borderId="0" xfId="0" applyNumberFormat="1" applyFont="1" applyAlignment="1">
      <alignment horizontal="left"/>
    </xf>
    <xf numFmtId="2" fontId="3" fillId="0" borderId="0" xfId="0" applyNumberFormat="1" applyFont="1"/>
    <xf numFmtId="4" fontId="1" fillId="0" borderId="0" xfId="0" applyNumberFormat="1" applyFont="1"/>
    <xf numFmtId="166" fontId="2" fillId="0" borderId="0" xfId="0" applyNumberFormat="1" applyFont="1"/>
    <xf numFmtId="0" fontId="1" fillId="0" borderId="9" xfId="0" applyFont="1" applyBorder="1"/>
    <xf numFmtId="165" fontId="1" fillId="0" borderId="2" xfId="0" applyNumberFormat="1" applyFont="1" applyBorder="1"/>
    <xf numFmtId="10" fontId="3" fillId="0" borderId="2" xfId="0" applyNumberFormat="1" applyFont="1" applyBorder="1"/>
    <xf numFmtId="1" fontId="3" fillId="0" borderId="2"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8</xdr:row>
      <xdr:rowOff>101602</xdr:rowOff>
    </xdr:from>
    <xdr:to>
      <xdr:col>14</xdr:col>
      <xdr:colOff>435430</xdr:colOff>
      <xdr:row>22</xdr:row>
      <xdr:rowOff>275638</xdr:rowOff>
    </xdr:to>
    <xdr:pic>
      <xdr:nvPicPr>
        <xdr:cNvPr id="3" name="Bilde 2">
          <a:extLst>
            <a:ext uri="{FF2B5EF4-FFF2-40B4-BE49-F238E27FC236}">
              <a16:creationId xmlns:a16="http://schemas.microsoft.com/office/drawing/2014/main" id="{452899FF-CCF7-9D6F-0240-1224A9E099C2}"/>
            </a:ext>
          </a:extLst>
        </xdr:cNvPr>
        <xdr:cNvPicPr>
          <a:picLocks noChangeAspect="1"/>
        </xdr:cNvPicPr>
      </xdr:nvPicPr>
      <xdr:blipFill>
        <a:blip xmlns:r="http://schemas.openxmlformats.org/officeDocument/2006/relationships" r:embed="rId1"/>
        <a:stretch>
          <a:fillRect/>
        </a:stretch>
      </xdr:blipFill>
      <xdr:spPr>
        <a:xfrm>
          <a:off x="1" y="2714173"/>
          <a:ext cx="12192000" cy="4746036"/>
        </a:xfrm>
        <a:prstGeom prst="rect">
          <a:avLst/>
        </a:prstGeom>
      </xdr:spPr>
    </xdr:pic>
    <xdr:clientData/>
  </xdr:twoCellAnchor>
  <xdr:twoCellAnchor editAs="oneCell">
    <xdr:from>
      <xdr:col>10</xdr:col>
      <xdr:colOff>417285</xdr:colOff>
      <xdr:row>0</xdr:row>
      <xdr:rowOff>145141</xdr:rowOff>
    </xdr:from>
    <xdr:to>
      <xdr:col>15</xdr:col>
      <xdr:colOff>337040</xdr:colOff>
      <xdr:row>7</xdr:row>
      <xdr:rowOff>18142</xdr:rowOff>
    </xdr:to>
    <xdr:pic>
      <xdr:nvPicPr>
        <xdr:cNvPr id="5" name="Bilde 4">
          <a:extLst>
            <a:ext uri="{FF2B5EF4-FFF2-40B4-BE49-F238E27FC236}">
              <a16:creationId xmlns:a16="http://schemas.microsoft.com/office/drawing/2014/main" id="{1C030863-6E1A-5536-6440-8B6E21665E2B}"/>
            </a:ext>
          </a:extLst>
        </xdr:cNvPr>
        <xdr:cNvPicPr>
          <a:picLocks noChangeAspect="1"/>
        </xdr:cNvPicPr>
      </xdr:nvPicPr>
      <xdr:blipFill>
        <a:blip xmlns:r="http://schemas.openxmlformats.org/officeDocument/2006/relationships" r:embed="rId2"/>
        <a:stretch>
          <a:fillRect/>
        </a:stretch>
      </xdr:blipFill>
      <xdr:spPr>
        <a:xfrm>
          <a:off x="8835571" y="145141"/>
          <a:ext cx="4092612" cy="2159001"/>
        </a:xfrm>
        <a:prstGeom prst="rect">
          <a:avLst/>
        </a:prstGeom>
      </xdr:spPr>
    </xdr:pic>
    <xdr:clientData/>
  </xdr:twoCellAnchor>
  <xdr:twoCellAnchor editAs="oneCell">
    <xdr:from>
      <xdr:col>15</xdr:col>
      <xdr:colOff>635000</xdr:colOff>
      <xdr:row>2</xdr:row>
      <xdr:rowOff>222250</xdr:rowOff>
    </xdr:from>
    <xdr:to>
      <xdr:col>31</xdr:col>
      <xdr:colOff>285750</xdr:colOff>
      <xdr:row>10</xdr:row>
      <xdr:rowOff>127000</xdr:rowOff>
    </xdr:to>
    <xdr:pic>
      <xdr:nvPicPr>
        <xdr:cNvPr id="6" name="Bilde 5">
          <a:extLst>
            <a:ext uri="{FF2B5EF4-FFF2-40B4-BE49-F238E27FC236}">
              <a16:creationId xmlns:a16="http://schemas.microsoft.com/office/drawing/2014/main" id="{396E27E2-5857-3ACD-BAA8-F8C0C04D1076}"/>
            </a:ext>
          </a:extLst>
        </xdr:cNvPr>
        <xdr:cNvPicPr>
          <a:picLocks noChangeAspect="1"/>
        </xdr:cNvPicPr>
      </xdr:nvPicPr>
      <xdr:blipFill>
        <a:blip xmlns:r="http://schemas.openxmlformats.org/officeDocument/2006/relationships" r:embed="rId3"/>
        <a:stretch>
          <a:fillRect/>
        </a:stretch>
      </xdr:blipFill>
      <xdr:spPr>
        <a:xfrm>
          <a:off x="13096875" y="889000"/>
          <a:ext cx="12858750" cy="2571750"/>
        </a:xfrm>
        <a:prstGeom prst="rect">
          <a:avLst/>
        </a:prstGeom>
      </xdr:spPr>
    </xdr:pic>
    <xdr:clientData/>
  </xdr:twoCellAnchor>
  <xdr:twoCellAnchor editAs="oneCell">
    <xdr:from>
      <xdr:col>15</xdr:col>
      <xdr:colOff>158749</xdr:colOff>
      <xdr:row>11</xdr:row>
      <xdr:rowOff>31750</xdr:rowOff>
    </xdr:from>
    <xdr:to>
      <xdr:col>30</xdr:col>
      <xdr:colOff>118196</xdr:colOff>
      <xdr:row>22</xdr:row>
      <xdr:rowOff>190500</xdr:rowOff>
    </xdr:to>
    <xdr:pic>
      <xdr:nvPicPr>
        <xdr:cNvPr id="2" name="Bilde 1">
          <a:extLst>
            <a:ext uri="{FF2B5EF4-FFF2-40B4-BE49-F238E27FC236}">
              <a16:creationId xmlns:a16="http://schemas.microsoft.com/office/drawing/2014/main" id="{FEB72BBE-9057-EF44-4E6B-BBEA440F0AE4}"/>
            </a:ext>
          </a:extLst>
        </xdr:cNvPr>
        <xdr:cNvPicPr>
          <a:picLocks noChangeAspect="1"/>
        </xdr:cNvPicPr>
      </xdr:nvPicPr>
      <xdr:blipFill>
        <a:blip xmlns:r="http://schemas.openxmlformats.org/officeDocument/2006/relationships" r:embed="rId4"/>
        <a:stretch>
          <a:fillRect/>
        </a:stretch>
      </xdr:blipFill>
      <xdr:spPr>
        <a:xfrm>
          <a:off x="12620624" y="3698875"/>
          <a:ext cx="12341947" cy="38258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ugust Hodt" id="{DF6667AF-8280-6C4F-9439-A5E35D90B0B8}" userId="a530012ce760c12d" providerId="Windows Live"/>
</personList>
</file>

<file path=xl/theme/theme1.xml><?xml version="1.0" encoding="utf-8"?>
<a:theme xmlns:a="http://schemas.openxmlformats.org/drawingml/2006/main" name="Office 2013 – 2022-tema">
  <a:themeElements>
    <a:clrScheme name="Office 2013–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S3" dT="2026-02-11T15:18:52.55" personId="{DF6667AF-8280-6C4F-9439-A5E35D90B0B8}" id="{F12BE4BA-697F-B147-93D9-81EFBAF2ADA5}">
    <text>Etter salget av UK rapporterer de kun Nordics</text>
  </threadedComment>
  <threadedComment ref="AD3" dT="2025-02-23T20:20:22.86" personId="{DF6667AF-8280-6C4F-9439-A5E35D90B0B8}" id="{4D7415F0-88F9-1E44-A307-1D4EA9CC08A5}">
    <text>Nobia betalte utbytte i 20-21</text>
  </threadedComment>
  <threadedComment ref="AI3" dT="2026-02-11T15:36:57.38" personId="{DF6667AF-8280-6C4F-9439-A5E35D90B0B8}" id="{87EE1B53-146B-154D-BDEA-3999507242D5}">
    <text>Nobia selger seg ut av UK</text>
  </threadedComment>
  <threadedComment ref="B8" dT="2025-02-23T16:15:30.84" personId="{DF6667AF-8280-6C4F-9439-A5E35D90B0B8}" id="{B26C876B-3318-E84A-9829-695B7E3FD60D}">
    <text>Rammen på 3,25 mrd</text>
  </threadedComment>
  <threadedComment ref="S10" dT="2026-01-14T17:39:41.22" personId="{DF6667AF-8280-6C4F-9439-A5E35D90B0B8}" id="{02160312-D9A7-8849-BA49-839637E65432}">
    <text>Non-cash impairment 750 m</text>
  </threadedComment>
  <threadedComment ref="R11" dT="2025-11-04T07:54:35.09" personId="{DF6667AF-8280-6C4F-9439-A5E35D90B0B8}" id="{7C353F78-A5AD-314F-8A5E-7BFCF260A6A1}">
    <text>justert for impairment på 1882 = OP 1 SEKm</text>
  </threadedComment>
  <threadedComment ref="K57" dT="2025-02-23T16:02:04.85" personId="{DF6667AF-8280-6C4F-9439-A5E35D90B0B8}" id="{76186719-F830-FB4E-B440-81CC64464507}">
    <text>Ramme på 5 mrd SEK, Brukt 3,9 mrd SEK</text>
  </threadedComment>
  <threadedComment ref="L57" dT="2025-02-23T15:43:43.00" personId="{DF6667AF-8280-6C4F-9439-A5E35D90B0B8}" id="{5E979D1B-C744-6E4C-935C-F29673413D85}">
    <text>Ramme på 4,2 mrd SEK, Brukt 3,56 mrd SEK</text>
  </threadedComment>
  <threadedComment ref="M57" dT="2025-02-23T15:48:41.56" personId="{DF6667AF-8280-6C4F-9439-A5E35D90B0B8}" id="{17701691-764F-7247-8533-0A17B16F67B5}">
    <text>Ramme på 3,45 mrd SEK, Brukt 1,9 mrd SEK</text>
  </threadedComment>
  <threadedComment ref="N57" dT="2025-02-23T15:52:33.40" personId="{DF6667AF-8280-6C4F-9439-A5E35D90B0B8}" id="{B34EF567-1475-9C4F-B0A6-FB9EDA38E78F}">
    <text>Ramme på 3,45 mrd SEK, brukt 2,55 mrd SEK</text>
  </threadedComment>
  <threadedComment ref="O57" dT="2025-02-23T15:53:49.03" personId="{DF6667AF-8280-6C4F-9439-A5E35D90B0B8}" id="{76E7005F-18C7-C44E-889B-333AF71DCA04}">
    <text>Ramme på 3,45 mrd SEK, brukt 2,6 mrd SEK</text>
  </threadedComment>
  <threadedComment ref="M86" dT="2025-03-29T18:57:07.00" personId="{DF6667AF-8280-6C4F-9439-A5E35D90B0B8}" id="{DA885FDC-EC76-7D45-B716-17A3971C24A0}">
    <text xml:space="preserve">Hentet 1,25 mrd
</text>
  </threadedComment>
</ThreadedComments>
</file>

<file path=xl/threadedComments/threadedComment2.xml><?xml version="1.0" encoding="utf-8"?>
<ThreadedComments xmlns="http://schemas.microsoft.com/office/spreadsheetml/2018/threadedcomments" xmlns:x="http://schemas.openxmlformats.org/spreadsheetml/2006/main">
  <threadedComment ref="R14" dT="2025-04-29T06:46:37.90" personId="{DF6667AF-8280-6C4F-9439-A5E35D90B0B8}" id="{C7617C8C-09EF-9C41-84BE-E6EA150A5CC0}">
    <text xml:space="preserve">Effekt av stegning av butikker. 170 butikker her kontra 191 et år tilbake
</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8327316-C97F-774E-BD0A-59AA16515167}">
  <we:reference id="wa200009404" version="1.0.0.5" store="nb-NO" storeType="OMEX"/>
  <we:alternateReferences>
    <we:reference id="wa200009404" version="1.0.0.5" store="nb-NO" storeType="OMEX"/>
  </we:alternateReferences>
  <we:properties>
    <we:property name="Office.AutoShowTaskpaneWithDocument" value="true"/>
    <we:property name="claude.fileId" value="&quot;181bab64-d6c3-4f83-999a-b64de2109b77&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EFC6-6113-A64D-9B86-1446637F7675}">
  <dimension ref="A1:T40"/>
  <sheetViews>
    <sheetView showGridLines="0" topLeftCell="F1" zoomScale="80" zoomScaleNormal="80" workbookViewId="0">
      <selection activeCell="A26" sqref="A26"/>
    </sheetView>
  </sheetViews>
  <sheetFormatPr baseColWidth="10" defaultRowHeight="26"/>
  <cols>
    <col min="1" max="1" width="11.83203125" style="42" bestFit="1" customWidth="1"/>
    <col min="2" max="16384" width="10.83203125" style="42"/>
  </cols>
  <sheetData>
    <row r="1" spans="1:20">
      <c r="Q1" s="43" t="s">
        <v>90</v>
      </c>
    </row>
    <row r="2" spans="1:20">
      <c r="A2" s="42" t="s">
        <v>84</v>
      </c>
    </row>
    <row r="3" spans="1:20">
      <c r="A3" s="42" t="s">
        <v>85</v>
      </c>
    </row>
    <row r="5" spans="1:20">
      <c r="A5" s="42" t="s">
        <v>98</v>
      </c>
    </row>
    <row r="6" spans="1:20">
      <c r="A6" s="42" t="s">
        <v>99</v>
      </c>
    </row>
    <row r="8" spans="1:20">
      <c r="A8" s="42" t="s">
        <v>120</v>
      </c>
    </row>
    <row r="9" spans="1:20">
      <c r="A9" s="42" t="s">
        <v>110</v>
      </c>
    </row>
    <row r="14" spans="1:20">
      <c r="T14" s="43"/>
    </row>
    <row r="24" spans="1:1">
      <c r="A24" s="43" t="s">
        <v>82</v>
      </c>
    </row>
    <row r="25" spans="1:1">
      <c r="A25" s="42" t="s">
        <v>168</v>
      </c>
    </row>
    <row r="26" spans="1:1">
      <c r="A26" s="42" t="s">
        <v>162</v>
      </c>
    </row>
    <row r="27" spans="1:1">
      <c r="A27" s="42" t="s">
        <v>151</v>
      </c>
    </row>
    <row r="28" spans="1:1">
      <c r="A28" s="42" t="s">
        <v>150</v>
      </c>
    </row>
    <row r="29" spans="1:1">
      <c r="A29" s="42" t="s">
        <v>121</v>
      </c>
    </row>
    <row r="30" spans="1:1">
      <c r="A30" s="44" t="s">
        <v>143</v>
      </c>
    </row>
    <row r="31" spans="1:1">
      <c r="A31" s="44" t="s">
        <v>115</v>
      </c>
    </row>
    <row r="32" spans="1:1">
      <c r="A32" s="42" t="s">
        <v>109</v>
      </c>
    </row>
    <row r="33" spans="1:1">
      <c r="A33" s="44" t="s">
        <v>141</v>
      </c>
    </row>
    <row r="34" spans="1:1">
      <c r="A34" s="42" t="s">
        <v>83</v>
      </c>
    </row>
    <row r="35" spans="1:1">
      <c r="A35" s="42" t="s">
        <v>116</v>
      </c>
    </row>
    <row r="36" spans="1:1">
      <c r="A36" s="42" t="s">
        <v>111</v>
      </c>
    </row>
    <row r="37" spans="1:1">
      <c r="A37" s="42" t="s">
        <v>108</v>
      </c>
    </row>
    <row r="38" spans="1:1">
      <c r="A38" s="44" t="s">
        <v>117</v>
      </c>
    </row>
    <row r="39" spans="1:1">
      <c r="A39" s="42" t="s">
        <v>118</v>
      </c>
    </row>
    <row r="40" spans="1:1">
      <c r="A40" s="42" t="s">
        <v>119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B5374-9A38-D140-B567-CB847FFBC953}">
  <dimension ref="A2:DZ95"/>
  <sheetViews>
    <sheetView showGridLines="0" tabSelected="1" zoomScale="90" zoomScaleNormal="90" workbookViewId="0">
      <pane xSplit="3" ySplit="3" topLeftCell="AC4" activePane="bottomRight" state="frozen"/>
      <selection pane="topRight" activeCell="D1" sqref="D1"/>
      <selection pane="bottomLeft" activeCell="A4" sqref="A4"/>
      <selection pane="bottomRight" activeCell="W42" sqref="W42"/>
    </sheetView>
  </sheetViews>
  <sheetFormatPr baseColWidth="10" defaultRowHeight="19"/>
  <cols>
    <col min="1" max="1" width="16.33203125" style="1" bestFit="1" customWidth="1"/>
    <col min="2" max="2" width="10.83203125" style="1"/>
    <col min="3" max="3" width="33" style="4" customWidth="1"/>
    <col min="4" max="6" width="10.83203125" style="1"/>
    <col min="7" max="7" width="9.1640625" style="1" bestFit="1" customWidth="1"/>
    <col min="8" max="8" width="9.33203125" style="1" bestFit="1" customWidth="1"/>
    <col min="9" max="10" width="10.83203125" style="1"/>
    <col min="11" max="11" width="9.33203125" style="1" bestFit="1" customWidth="1"/>
    <col min="12" max="13" width="10.83203125" style="1"/>
    <col min="14" max="14" width="11.5" style="1" bestFit="1" customWidth="1"/>
    <col min="15" max="16" width="10.83203125" style="1"/>
    <col min="17" max="17" width="10.5" style="1" customWidth="1"/>
    <col min="18" max="18" width="11.6640625" style="1" customWidth="1"/>
    <col min="19" max="35" width="10.83203125" style="1"/>
    <col min="36" max="36" width="10.83203125" style="5"/>
    <col min="37" max="46" width="10.83203125" style="1"/>
    <col min="47" max="47" width="15.33203125" style="1" bestFit="1" customWidth="1"/>
    <col min="48" max="48" width="14.83203125" style="1" bestFit="1" customWidth="1"/>
    <col min="49" max="16384" width="10.83203125" style="1"/>
  </cols>
  <sheetData>
    <row r="2" spans="1:130">
      <c r="AG2" s="22"/>
    </row>
    <row r="3" spans="1:130">
      <c r="A3" s="3" t="s">
        <v>0</v>
      </c>
      <c r="C3" s="4" t="s">
        <v>32</v>
      </c>
      <c r="D3" s="17" t="s">
        <v>6</v>
      </c>
      <c r="E3" s="17" t="s">
        <v>7</v>
      </c>
      <c r="F3" s="17" t="s">
        <v>8</v>
      </c>
      <c r="G3" s="17" t="s">
        <v>9</v>
      </c>
      <c r="H3" s="17" t="s">
        <v>10</v>
      </c>
      <c r="I3" s="17" t="s">
        <v>11</v>
      </c>
      <c r="J3" s="17" t="s">
        <v>12</v>
      </c>
      <c r="K3" s="17" t="s">
        <v>13</v>
      </c>
      <c r="L3" s="17" t="s">
        <v>14</v>
      </c>
      <c r="M3" s="17" t="s">
        <v>15</v>
      </c>
      <c r="N3" s="17" t="s">
        <v>16</v>
      </c>
      <c r="O3" s="17" t="s">
        <v>17</v>
      </c>
      <c r="P3" s="17" t="s">
        <v>88</v>
      </c>
      <c r="Q3" s="17" t="s">
        <v>89</v>
      </c>
      <c r="R3" s="17" t="s">
        <v>90</v>
      </c>
      <c r="S3" s="17" t="s">
        <v>91</v>
      </c>
      <c r="T3" s="17" t="s">
        <v>164</v>
      </c>
      <c r="U3" s="17" t="s">
        <v>165</v>
      </c>
      <c r="V3" s="17" t="s">
        <v>166</v>
      </c>
      <c r="W3" s="17" t="s">
        <v>167</v>
      </c>
      <c r="X3" s="17"/>
      <c r="Y3" s="17" t="s">
        <v>147</v>
      </c>
      <c r="Z3" s="17" t="s">
        <v>148</v>
      </c>
      <c r="AA3" s="17" t="s">
        <v>145</v>
      </c>
      <c r="AB3" s="17" t="s">
        <v>146</v>
      </c>
      <c r="AC3" s="17" t="s">
        <v>114</v>
      </c>
      <c r="AD3" s="17" t="s">
        <v>112</v>
      </c>
      <c r="AE3" s="17" t="s">
        <v>113</v>
      </c>
      <c r="AF3" s="17" t="s">
        <v>18</v>
      </c>
      <c r="AG3" s="17" t="s">
        <v>19</v>
      </c>
      <c r="AH3" s="17" t="s">
        <v>20</v>
      </c>
      <c r="AI3" s="17" t="s">
        <v>21</v>
      </c>
      <c r="AJ3" s="18" t="s">
        <v>22</v>
      </c>
      <c r="AK3" s="17" t="s">
        <v>23</v>
      </c>
      <c r="AL3" s="17" t="s">
        <v>24</v>
      </c>
      <c r="AM3" s="17" t="s">
        <v>25</v>
      </c>
      <c r="AN3" s="17" t="s">
        <v>26</v>
      </c>
      <c r="AO3" s="17" t="s">
        <v>27</v>
      </c>
      <c r="AP3" s="17" t="s">
        <v>28</v>
      </c>
      <c r="AQ3" s="17" t="s">
        <v>29</v>
      </c>
      <c r="AR3" s="17" t="s">
        <v>30</v>
      </c>
      <c r="AS3" s="17" t="s">
        <v>31</v>
      </c>
    </row>
    <row r="4" spans="1:130">
      <c r="A4" s="1" t="s">
        <v>1</v>
      </c>
      <c r="B4" s="13">
        <v>1.8280000000000001</v>
      </c>
      <c r="C4" s="4" t="s">
        <v>33</v>
      </c>
      <c r="D4" s="1">
        <v>2040</v>
      </c>
      <c r="E4" s="22">
        <v>2155</v>
      </c>
      <c r="F4" s="22">
        <v>1778</v>
      </c>
      <c r="G4" s="22">
        <v>2057</v>
      </c>
      <c r="H4" s="22">
        <v>1959</v>
      </c>
      <c r="I4" s="22">
        <v>1869</v>
      </c>
      <c r="J4" s="22">
        <v>1490</v>
      </c>
      <c r="K4" s="22">
        <v>1569</v>
      </c>
      <c r="L4" s="22">
        <v>1464</v>
      </c>
      <c r="M4" s="22">
        <v>1614</v>
      </c>
      <c r="N4" s="22">
        <v>1283</v>
      </c>
      <c r="O4" s="22">
        <v>1404</v>
      </c>
      <c r="P4" s="22">
        <v>1446</v>
      </c>
      <c r="Q4" s="22">
        <v>1514</v>
      </c>
      <c r="R4" s="22">
        <v>1262</v>
      </c>
      <c r="S4" s="22">
        <v>1400</v>
      </c>
      <c r="T4" s="22">
        <v>1424</v>
      </c>
      <c r="V4" s="22"/>
      <c r="W4" s="22"/>
      <c r="AF4" s="22">
        <f>SUM(H4:K4)</f>
        <v>6887</v>
      </c>
      <c r="AG4" s="22">
        <f>SUM(H4:K4)</f>
        <v>6887</v>
      </c>
      <c r="AH4" s="22">
        <f>SUM(L4:O4)</f>
        <v>5765</v>
      </c>
      <c r="AI4" s="22">
        <v>5622</v>
      </c>
      <c r="AJ4" s="20">
        <f>AI4*1.02</f>
        <v>5734.4400000000005</v>
      </c>
      <c r="AK4" s="22">
        <f>AJ4*1.05</f>
        <v>6021.1620000000012</v>
      </c>
      <c r="AL4" s="22">
        <f>AK4*1.05</f>
        <v>6322.2201000000014</v>
      </c>
      <c r="AM4" s="22">
        <f t="shared" ref="AM4:AS4" si="0">AL4*1.05</f>
        <v>6638.331105000002</v>
      </c>
      <c r="AN4" s="22">
        <f t="shared" si="0"/>
        <v>6970.2476602500028</v>
      </c>
      <c r="AO4" s="22">
        <f t="shared" si="0"/>
        <v>7318.7600432625031</v>
      </c>
      <c r="AP4" s="22">
        <f t="shared" si="0"/>
        <v>7684.6980454256291</v>
      </c>
      <c r="AQ4" s="22">
        <f t="shared" si="0"/>
        <v>8068.9329476969106</v>
      </c>
      <c r="AR4" s="22">
        <f t="shared" si="0"/>
        <v>8472.3795950817566</v>
      </c>
      <c r="AS4" s="22">
        <f t="shared" si="0"/>
        <v>8895.9985748358449</v>
      </c>
    </row>
    <row r="5" spans="1:130">
      <c r="A5" s="1" t="s">
        <v>2</v>
      </c>
      <c r="B5" s="11">
        <v>1516.316026</v>
      </c>
      <c r="C5" s="4" t="s">
        <v>34</v>
      </c>
      <c r="D5" s="22">
        <v>1279</v>
      </c>
      <c r="E5" s="22">
        <v>1286</v>
      </c>
      <c r="F5" s="22">
        <v>1240</v>
      </c>
      <c r="G5" s="22">
        <v>1196</v>
      </c>
      <c r="H5" s="22">
        <v>1282</v>
      </c>
      <c r="I5" s="22">
        <v>1223</v>
      </c>
      <c r="J5" s="22">
        <v>1208</v>
      </c>
      <c r="K5" s="22">
        <v>1001</v>
      </c>
      <c r="L5" s="22">
        <v>1151</v>
      </c>
      <c r="M5" s="22">
        <v>1319</v>
      </c>
      <c r="N5" s="22">
        <v>1195</v>
      </c>
      <c r="O5" s="22">
        <v>1108</v>
      </c>
      <c r="P5" s="22">
        <v>1028</v>
      </c>
      <c r="Q5" s="22">
        <v>1181</v>
      </c>
      <c r="R5" s="22">
        <v>1046</v>
      </c>
      <c r="S5" s="22">
        <v>0</v>
      </c>
      <c r="T5" s="22">
        <v>0</v>
      </c>
      <c r="V5" s="22"/>
      <c r="W5" s="22"/>
      <c r="AF5" s="22">
        <f>SUM(D5:G5)</f>
        <v>5001</v>
      </c>
      <c r="AG5" s="22">
        <f>SUM(H5:K5)</f>
        <v>4714</v>
      </c>
      <c r="AH5" s="22">
        <f>SUM(L5:O5)</f>
        <v>4773</v>
      </c>
      <c r="AI5" s="22">
        <v>3255</v>
      </c>
      <c r="AJ5" s="20">
        <v>0</v>
      </c>
      <c r="AK5" s="22">
        <v>0</v>
      </c>
      <c r="AL5" s="22">
        <v>0</v>
      </c>
      <c r="AM5" s="22">
        <v>0</v>
      </c>
      <c r="AN5" s="22">
        <v>0</v>
      </c>
      <c r="AO5" s="22">
        <v>0</v>
      </c>
      <c r="AP5" s="22">
        <v>0</v>
      </c>
      <c r="AQ5" s="22">
        <v>0</v>
      </c>
      <c r="AR5" s="22">
        <v>0</v>
      </c>
      <c r="AS5" s="22">
        <v>0</v>
      </c>
      <c r="AT5" s="22"/>
      <c r="AU5" s="22"/>
    </row>
    <row r="6" spans="1:130">
      <c r="A6" s="1" t="s">
        <v>3</v>
      </c>
      <c r="B6" s="11">
        <f>B4*B5</f>
        <v>2771.8256955279999</v>
      </c>
      <c r="C6" s="8" t="s">
        <v>35</v>
      </c>
      <c r="D6" s="23">
        <v>3779</v>
      </c>
      <c r="E6" s="23">
        <v>3890</v>
      </c>
      <c r="F6" s="23">
        <v>3480</v>
      </c>
      <c r="G6" s="23">
        <v>3780</v>
      </c>
      <c r="H6" s="23">
        <f t="shared" ref="H6:N6" si="1">H4+H5</f>
        <v>3241</v>
      </c>
      <c r="I6" s="23">
        <f t="shared" si="1"/>
        <v>3092</v>
      </c>
      <c r="J6" s="23">
        <f t="shared" si="1"/>
        <v>2698</v>
      </c>
      <c r="K6" s="23">
        <v>2642</v>
      </c>
      <c r="L6" s="23">
        <f t="shared" si="1"/>
        <v>2615</v>
      </c>
      <c r="M6" s="23">
        <f t="shared" si="1"/>
        <v>2933</v>
      </c>
      <c r="N6" s="23">
        <f t="shared" si="1"/>
        <v>2478</v>
      </c>
      <c r="O6" s="23">
        <f>O4+O5</f>
        <v>2512</v>
      </c>
      <c r="P6" s="23">
        <f>P4+P5</f>
        <v>2474</v>
      </c>
      <c r="Q6" s="23">
        <f t="shared" ref="Q6:S6" si="2">Q4+Q5</f>
        <v>2695</v>
      </c>
      <c r="R6" s="23">
        <f t="shared" si="2"/>
        <v>2308</v>
      </c>
      <c r="S6" s="23">
        <f t="shared" si="2"/>
        <v>1400</v>
      </c>
      <c r="T6" s="23">
        <f t="shared" ref="T6" si="3">T4+T5</f>
        <v>1424</v>
      </c>
      <c r="V6" s="23"/>
      <c r="W6" s="23"/>
      <c r="X6" s="22"/>
      <c r="Y6" s="23">
        <v>12266</v>
      </c>
      <c r="Z6" s="23">
        <v>12648</v>
      </c>
      <c r="AA6" s="23">
        <v>12744</v>
      </c>
      <c r="AB6" s="23">
        <v>13209</v>
      </c>
      <c r="AC6" s="23">
        <v>13930</v>
      </c>
      <c r="AD6" s="23">
        <v>12741</v>
      </c>
      <c r="AE6" s="23">
        <v>13719</v>
      </c>
      <c r="AF6" s="23">
        <f>SUM(D6:G6)</f>
        <v>14929</v>
      </c>
      <c r="AG6" s="23">
        <v>13373</v>
      </c>
      <c r="AH6" s="23">
        <f>AH4+AH5</f>
        <v>10538</v>
      </c>
      <c r="AI6" s="23">
        <f t="shared" ref="AI6:AS6" si="4">AI4+AI5</f>
        <v>8877</v>
      </c>
      <c r="AJ6" s="21">
        <f t="shared" si="4"/>
        <v>5734.4400000000005</v>
      </c>
      <c r="AK6" s="23">
        <f t="shared" si="4"/>
        <v>6021.1620000000012</v>
      </c>
      <c r="AL6" s="23">
        <f t="shared" si="4"/>
        <v>6322.2201000000014</v>
      </c>
      <c r="AM6" s="23">
        <f t="shared" si="4"/>
        <v>6638.331105000002</v>
      </c>
      <c r="AN6" s="23">
        <f t="shared" si="4"/>
        <v>6970.2476602500028</v>
      </c>
      <c r="AO6" s="23">
        <f t="shared" si="4"/>
        <v>7318.7600432625031</v>
      </c>
      <c r="AP6" s="23">
        <f t="shared" si="4"/>
        <v>7684.6980454256291</v>
      </c>
      <c r="AQ6" s="23">
        <f t="shared" si="4"/>
        <v>8068.9329476969106</v>
      </c>
      <c r="AR6" s="23">
        <f t="shared" si="4"/>
        <v>8472.3795950817566</v>
      </c>
      <c r="AS6" s="23">
        <f t="shared" si="4"/>
        <v>8895.9985748358449</v>
      </c>
    </row>
    <row r="7" spans="1:130">
      <c r="A7" s="1" t="s">
        <v>159</v>
      </c>
      <c r="B7" s="11">
        <f>T45</f>
        <v>31</v>
      </c>
      <c r="C7" s="4" t="s">
        <v>36</v>
      </c>
      <c r="D7" s="22">
        <v>-2333</v>
      </c>
      <c r="E7" s="22">
        <v>-2476</v>
      </c>
      <c r="F7" s="22">
        <v>-2238</v>
      </c>
      <c r="G7" s="22">
        <v>-2519</v>
      </c>
      <c r="H7" s="22">
        <v>-2167</v>
      </c>
      <c r="I7" s="22">
        <v>-1979</v>
      </c>
      <c r="J7" s="22">
        <v>-1711</v>
      </c>
      <c r="K7" s="22">
        <v>-1703</v>
      </c>
      <c r="L7" s="22">
        <v>-1657</v>
      </c>
      <c r="M7" s="22">
        <v>-1889</v>
      </c>
      <c r="N7" s="22">
        <v>-1580</v>
      </c>
      <c r="O7" s="1">
        <v>-1569</v>
      </c>
      <c r="P7" s="1">
        <v>-1540</v>
      </c>
      <c r="Q7" s="58">
        <v>-1716</v>
      </c>
      <c r="R7" s="22">
        <v>-1450</v>
      </c>
      <c r="S7" s="22">
        <v>-930</v>
      </c>
      <c r="T7" s="22">
        <v>-933</v>
      </c>
      <c r="Y7" s="22"/>
      <c r="Z7" s="22"/>
      <c r="AA7" s="22"/>
      <c r="AB7" s="22"/>
      <c r="AC7" s="22"/>
      <c r="AD7" s="22"/>
      <c r="AE7" s="22"/>
      <c r="AF7" s="22">
        <f>SUM(D7:G7)</f>
        <v>-9566</v>
      </c>
      <c r="AG7" s="22">
        <v>-8729</v>
      </c>
      <c r="AH7" s="22">
        <f>SUM(L7:O7)</f>
        <v>-6695</v>
      </c>
      <c r="AI7" s="22">
        <v>-5636</v>
      </c>
      <c r="AJ7" s="20">
        <f>AJ6*-0.65</f>
        <v>-3727.3860000000004</v>
      </c>
      <c r="AK7" s="22">
        <f t="shared" ref="AK7:AS7" si="5">AK6*-0.65</f>
        <v>-3913.7553000000007</v>
      </c>
      <c r="AL7" s="22">
        <f t="shared" si="5"/>
        <v>-4109.4430650000013</v>
      </c>
      <c r="AM7" s="22">
        <f t="shared" si="5"/>
        <v>-4314.9152182500011</v>
      </c>
      <c r="AN7" s="22">
        <f t="shared" si="5"/>
        <v>-4530.6609791625024</v>
      </c>
      <c r="AO7" s="22">
        <f t="shared" si="5"/>
        <v>-4757.1940281206271</v>
      </c>
      <c r="AP7" s="22">
        <f t="shared" si="5"/>
        <v>-4995.0537295266595</v>
      </c>
      <c r="AQ7" s="22">
        <f t="shared" si="5"/>
        <v>-5244.8064160029917</v>
      </c>
      <c r="AR7" s="22">
        <f t="shared" si="5"/>
        <v>-5507.0467368031423</v>
      </c>
      <c r="AS7" s="22">
        <f t="shared" si="5"/>
        <v>-5782.3990736432997</v>
      </c>
    </row>
    <row r="8" spans="1:130">
      <c r="A8" s="1" t="s">
        <v>4</v>
      </c>
      <c r="B8" s="11">
        <f>T57</f>
        <v>1751</v>
      </c>
      <c r="C8" s="4" t="s">
        <v>37</v>
      </c>
      <c r="D8" s="22">
        <f t="shared" ref="D8:S8" si="6">SUM(D6:D7)</f>
        <v>1446</v>
      </c>
      <c r="E8" s="22">
        <f t="shared" si="6"/>
        <v>1414</v>
      </c>
      <c r="F8" s="22">
        <f t="shared" si="6"/>
        <v>1242</v>
      </c>
      <c r="G8" s="22">
        <f t="shared" si="6"/>
        <v>1261</v>
      </c>
      <c r="H8" s="22">
        <f t="shared" si="6"/>
        <v>1074</v>
      </c>
      <c r="I8" s="22">
        <f t="shared" si="6"/>
        <v>1113</v>
      </c>
      <c r="J8" s="22">
        <f t="shared" si="6"/>
        <v>987</v>
      </c>
      <c r="K8" s="22">
        <f t="shared" si="6"/>
        <v>939</v>
      </c>
      <c r="L8" s="22">
        <f t="shared" si="6"/>
        <v>958</v>
      </c>
      <c r="M8" s="22">
        <f t="shared" si="6"/>
        <v>1044</v>
      </c>
      <c r="N8" s="22">
        <f t="shared" si="6"/>
        <v>898</v>
      </c>
      <c r="O8" s="22">
        <f t="shared" si="6"/>
        <v>943</v>
      </c>
      <c r="P8" s="22">
        <f t="shared" si="6"/>
        <v>934</v>
      </c>
      <c r="Q8" s="22">
        <f t="shared" si="6"/>
        <v>979</v>
      </c>
      <c r="R8" s="22">
        <f t="shared" si="6"/>
        <v>858</v>
      </c>
      <c r="S8" s="22">
        <f t="shared" si="6"/>
        <v>470</v>
      </c>
      <c r="T8" s="22">
        <f t="shared" ref="T8" si="7">SUM(T6:T7)</f>
        <v>491</v>
      </c>
      <c r="V8" s="22"/>
      <c r="W8" s="22"/>
      <c r="Y8" s="22">
        <f>Y6*0.4</f>
        <v>4906.4000000000005</v>
      </c>
      <c r="Z8" s="22">
        <f>Z6*0.39</f>
        <v>4932.72</v>
      </c>
      <c r="AA8" s="22">
        <v>5014</v>
      </c>
      <c r="AB8" s="22">
        <v>5090</v>
      </c>
      <c r="AC8" s="22">
        <v>5305</v>
      </c>
      <c r="AD8" s="22">
        <v>4444</v>
      </c>
      <c r="AE8" s="22">
        <v>5278</v>
      </c>
      <c r="AF8" s="22">
        <f>SUM(AF6:AF7)</f>
        <v>5363</v>
      </c>
      <c r="AG8" s="22">
        <f>SUM(AG6:AG7)</f>
        <v>4644</v>
      </c>
      <c r="AH8" s="22">
        <f>SUM(AH6:AH7)</f>
        <v>3843</v>
      </c>
      <c r="AI8" s="22">
        <f>SUM(AI6:AI7)</f>
        <v>3241</v>
      </c>
      <c r="AJ8" s="20">
        <f t="shared" ref="AJ8:AS8" si="8">SUM(AJ6:AJ7)</f>
        <v>2007.0540000000001</v>
      </c>
      <c r="AK8" s="22">
        <f t="shared" si="8"/>
        <v>2107.4067000000005</v>
      </c>
      <c r="AL8" s="22">
        <f>SUM(AL6:AL7)</f>
        <v>2212.7770350000001</v>
      </c>
      <c r="AM8" s="22">
        <f t="shared" si="8"/>
        <v>2323.4158867500009</v>
      </c>
      <c r="AN8" s="22">
        <f t="shared" si="8"/>
        <v>2439.5866810875004</v>
      </c>
      <c r="AO8" s="22">
        <f t="shared" si="8"/>
        <v>2561.5660151418761</v>
      </c>
      <c r="AP8" s="22">
        <f t="shared" si="8"/>
        <v>2689.6443158989696</v>
      </c>
      <c r="AQ8" s="22">
        <f t="shared" si="8"/>
        <v>2824.1265316939189</v>
      </c>
      <c r="AR8" s="22">
        <f t="shared" si="8"/>
        <v>2965.3328582786144</v>
      </c>
      <c r="AS8" s="22">
        <f t="shared" si="8"/>
        <v>3113.5995011925452</v>
      </c>
    </row>
    <row r="9" spans="1:130">
      <c r="A9" s="2" t="s">
        <v>5</v>
      </c>
      <c r="B9" s="12">
        <f>B6-B7+B8</f>
        <v>4491.8256955279994</v>
      </c>
      <c r="C9" s="4" t="s">
        <v>38</v>
      </c>
      <c r="D9" s="22">
        <v>-1287</v>
      </c>
      <c r="E9" s="22">
        <v>-1386</v>
      </c>
      <c r="F9" s="22">
        <v>-1202</v>
      </c>
      <c r="G9" s="22">
        <v>-1441</v>
      </c>
      <c r="H9" s="22">
        <v>-1349</v>
      </c>
      <c r="I9" s="22">
        <v>-1160</v>
      </c>
      <c r="J9" s="22">
        <v>-1050</v>
      </c>
      <c r="K9" s="22">
        <v>-1082</v>
      </c>
      <c r="L9" s="22">
        <v>-1014</v>
      </c>
      <c r="M9" s="22">
        <v>-1225</v>
      </c>
      <c r="N9" s="22">
        <v>-955</v>
      </c>
      <c r="O9" s="1">
        <v>-1053</v>
      </c>
      <c r="P9" s="1">
        <v>-939</v>
      </c>
      <c r="Q9" s="1">
        <v>-999</v>
      </c>
      <c r="R9" s="22">
        <v>-857</v>
      </c>
      <c r="S9" s="22">
        <v>-567</v>
      </c>
      <c r="T9" s="22">
        <v>-478</v>
      </c>
      <c r="AA9" s="22"/>
      <c r="AB9" s="22"/>
      <c r="AC9" s="22"/>
      <c r="AD9" s="22"/>
      <c r="AE9" s="22"/>
      <c r="AF9" s="22">
        <f>SUM(D9:G9)</f>
        <v>-5316</v>
      </c>
      <c r="AG9" s="22">
        <f>-4040-989</f>
        <v>-5029</v>
      </c>
      <c r="AH9" s="22">
        <f>-3434-813</f>
        <v>-4247</v>
      </c>
      <c r="AI9" s="22">
        <v>-3362</v>
      </c>
      <c r="AJ9" s="20">
        <v>-1720</v>
      </c>
      <c r="AK9" s="22">
        <f>AJ9*1.02</f>
        <v>-1754.4</v>
      </c>
      <c r="AL9" s="22">
        <f t="shared" ref="AL9:AS9" si="9">AK9*1.02</f>
        <v>-1789.4880000000001</v>
      </c>
      <c r="AM9" s="22">
        <f t="shared" si="9"/>
        <v>-1825.2777600000002</v>
      </c>
      <c r="AN9" s="22">
        <f t="shared" si="9"/>
        <v>-1861.7833152000003</v>
      </c>
      <c r="AO9" s="22">
        <f t="shared" si="9"/>
        <v>-1899.0189815040003</v>
      </c>
      <c r="AP9" s="22">
        <f t="shared" si="9"/>
        <v>-1936.9993611340803</v>
      </c>
      <c r="AQ9" s="22">
        <f t="shared" si="9"/>
        <v>-1975.7393483567621</v>
      </c>
      <c r="AR9" s="22">
        <f t="shared" si="9"/>
        <v>-2015.2541353238973</v>
      </c>
      <c r="AS9" s="22">
        <f t="shared" si="9"/>
        <v>-2055.5592180303752</v>
      </c>
    </row>
    <row r="10" spans="1:130">
      <c r="C10" s="4" t="s">
        <v>102</v>
      </c>
      <c r="D10" s="22">
        <v>23</v>
      </c>
      <c r="E10" s="22">
        <v>34</v>
      </c>
      <c r="F10" s="22">
        <v>38</v>
      </c>
      <c r="G10" s="22">
        <v>49</v>
      </c>
      <c r="H10" s="22">
        <v>29</v>
      </c>
      <c r="I10" s="22">
        <v>61</v>
      </c>
      <c r="J10" s="22">
        <v>163</v>
      </c>
      <c r="K10" s="22">
        <v>33</v>
      </c>
      <c r="L10" s="22">
        <v>12</v>
      </c>
      <c r="M10" s="22">
        <v>10</v>
      </c>
      <c r="N10" s="22">
        <v>20</v>
      </c>
      <c r="O10" s="1">
        <v>-465</v>
      </c>
      <c r="P10" s="1">
        <v>-1</v>
      </c>
      <c r="Q10" s="1">
        <v>8</v>
      </c>
      <c r="R10" s="22">
        <v>-1883</v>
      </c>
      <c r="S10" s="22">
        <v>46</v>
      </c>
      <c r="T10" s="22">
        <v>15</v>
      </c>
      <c r="V10" s="22"/>
      <c r="W10" s="22"/>
      <c r="X10" s="22"/>
      <c r="Y10" s="22"/>
      <c r="Z10" s="22"/>
      <c r="AA10" s="22"/>
      <c r="AB10" s="22"/>
      <c r="AC10" s="22"/>
      <c r="AD10" s="22"/>
      <c r="AE10" s="22"/>
      <c r="AF10" s="22">
        <f>SUM(D10:G10)</f>
        <v>144</v>
      </c>
      <c r="AG10" s="22">
        <f>664-378</f>
        <v>286</v>
      </c>
      <c r="AH10" s="22">
        <f>-786+363</f>
        <v>-423</v>
      </c>
      <c r="AI10" s="22">
        <v>0</v>
      </c>
      <c r="AJ10" s="20">
        <v>0</v>
      </c>
      <c r="AK10" s="22">
        <v>0</v>
      </c>
      <c r="AL10" s="22">
        <v>0</v>
      </c>
      <c r="AM10" s="22">
        <v>0</v>
      </c>
      <c r="AN10" s="22">
        <v>0</v>
      </c>
      <c r="AO10" s="22">
        <v>0</v>
      </c>
      <c r="AP10" s="22">
        <v>0</v>
      </c>
      <c r="AQ10" s="22">
        <v>0</v>
      </c>
      <c r="AR10" s="22">
        <v>0</v>
      </c>
      <c r="AS10" s="22">
        <v>0</v>
      </c>
    </row>
    <row r="11" spans="1:130">
      <c r="A11" s="3" t="s">
        <v>163</v>
      </c>
      <c r="C11" s="8" t="s">
        <v>39</v>
      </c>
      <c r="D11" s="23">
        <f t="shared" ref="D11:S11" si="10">SUM(D8:D10)</f>
        <v>182</v>
      </c>
      <c r="E11" s="23">
        <f t="shared" si="10"/>
        <v>62</v>
      </c>
      <c r="F11" s="23">
        <f t="shared" si="10"/>
        <v>78</v>
      </c>
      <c r="G11" s="23">
        <f t="shared" si="10"/>
        <v>-131</v>
      </c>
      <c r="H11" s="23">
        <f t="shared" si="10"/>
        <v>-246</v>
      </c>
      <c r="I11" s="23">
        <f t="shared" si="10"/>
        <v>14</v>
      </c>
      <c r="J11" s="23">
        <f t="shared" si="10"/>
        <v>100</v>
      </c>
      <c r="K11" s="23">
        <f t="shared" si="10"/>
        <v>-110</v>
      </c>
      <c r="L11" s="23">
        <f t="shared" si="10"/>
        <v>-44</v>
      </c>
      <c r="M11" s="23">
        <f t="shared" si="10"/>
        <v>-171</v>
      </c>
      <c r="N11" s="23">
        <f t="shared" si="10"/>
        <v>-37</v>
      </c>
      <c r="O11" s="23">
        <f t="shared" si="10"/>
        <v>-575</v>
      </c>
      <c r="P11" s="23">
        <f t="shared" si="10"/>
        <v>-6</v>
      </c>
      <c r="Q11" s="23">
        <f t="shared" si="10"/>
        <v>-12</v>
      </c>
      <c r="R11" s="23">
        <f t="shared" si="10"/>
        <v>-1882</v>
      </c>
      <c r="S11" s="23">
        <f t="shared" si="10"/>
        <v>-51</v>
      </c>
      <c r="T11" s="23">
        <f t="shared" ref="T11" si="11">SUM(T8:T10)</f>
        <v>28</v>
      </c>
      <c r="V11" s="23"/>
      <c r="W11" s="23"/>
      <c r="X11" s="23"/>
      <c r="Y11" s="23">
        <v>1189</v>
      </c>
      <c r="Z11" s="23">
        <v>1298</v>
      </c>
      <c r="AA11" s="23">
        <v>1286</v>
      </c>
      <c r="AB11" s="23">
        <v>1018</v>
      </c>
      <c r="AC11" s="23">
        <v>1132</v>
      </c>
      <c r="AD11" s="23">
        <v>437</v>
      </c>
      <c r="AE11" s="23">
        <v>1009</v>
      </c>
      <c r="AF11" s="23">
        <f>SUM(AF8:AF10)</f>
        <v>191</v>
      </c>
      <c r="AG11" s="23">
        <f t="shared" ref="AG11:AS11" si="12">SUM(AG8:AG10)</f>
        <v>-99</v>
      </c>
      <c r="AH11" s="23">
        <f>SUM(AH8:AH10)</f>
        <v>-827</v>
      </c>
      <c r="AI11" s="23">
        <f t="shared" si="12"/>
        <v>-121</v>
      </c>
      <c r="AJ11" s="21">
        <f t="shared" si="12"/>
        <v>287.05400000000009</v>
      </c>
      <c r="AK11" s="23">
        <f t="shared" si="12"/>
        <v>353.00670000000036</v>
      </c>
      <c r="AL11" s="23">
        <f t="shared" si="12"/>
        <v>423.28903500000001</v>
      </c>
      <c r="AM11" s="23">
        <f t="shared" si="12"/>
        <v>498.13812675000077</v>
      </c>
      <c r="AN11" s="23">
        <f t="shared" si="12"/>
        <v>577.80336588750015</v>
      </c>
      <c r="AO11" s="23">
        <f t="shared" si="12"/>
        <v>662.54703363787576</v>
      </c>
      <c r="AP11" s="23">
        <f t="shared" si="12"/>
        <v>752.64495476488923</v>
      </c>
      <c r="AQ11" s="23">
        <f t="shared" si="12"/>
        <v>848.38718333715678</v>
      </c>
      <c r="AR11" s="23">
        <f t="shared" si="12"/>
        <v>950.07872295471702</v>
      </c>
      <c r="AS11" s="23">
        <f t="shared" si="12"/>
        <v>1058.04028316217</v>
      </c>
    </row>
    <row r="12" spans="1:130">
      <c r="A12" s="62">
        <f>B6/T52</f>
        <v>1.2952456521158877</v>
      </c>
      <c r="C12" s="4" t="s">
        <v>40</v>
      </c>
      <c r="D12" s="22">
        <v>-21</v>
      </c>
      <c r="E12" s="22">
        <v>-40</v>
      </c>
      <c r="F12" s="22">
        <v>-47</v>
      </c>
      <c r="G12" s="22">
        <v>-53</v>
      </c>
      <c r="H12" s="22">
        <v>-53</v>
      </c>
      <c r="I12" s="22">
        <v>-59</v>
      </c>
      <c r="J12" s="22">
        <v>-80</v>
      </c>
      <c r="K12" s="22">
        <v>-80</v>
      </c>
      <c r="L12" s="22">
        <v>-123</v>
      </c>
      <c r="M12" s="22">
        <v>-92</v>
      </c>
      <c r="N12" s="22">
        <v>-67</v>
      </c>
      <c r="O12" s="1">
        <v>-74</v>
      </c>
      <c r="P12" s="1">
        <v>-77</v>
      </c>
      <c r="Q12" s="22">
        <v>-89</v>
      </c>
      <c r="R12" s="22">
        <v>-90</v>
      </c>
      <c r="S12" s="22">
        <v>-81</v>
      </c>
      <c r="T12" s="22">
        <v>-70</v>
      </c>
      <c r="AA12" s="22"/>
      <c r="AB12" s="22"/>
      <c r="AC12" s="22"/>
      <c r="AD12" s="22"/>
      <c r="AE12" s="22"/>
      <c r="AF12" s="22">
        <f>SUM(D12:G12)</f>
        <v>-161</v>
      </c>
      <c r="AG12" s="22">
        <f>28-302</f>
        <v>-274</v>
      </c>
      <c r="AH12" s="22">
        <f>-327+35</f>
        <v>-292</v>
      </c>
      <c r="AI12" s="22">
        <v>-337</v>
      </c>
      <c r="AJ12" s="20">
        <v>-150</v>
      </c>
      <c r="AK12" s="22">
        <v>-150</v>
      </c>
      <c r="AL12" s="22">
        <v>-150</v>
      </c>
      <c r="AM12" s="22">
        <v>-150</v>
      </c>
      <c r="AN12" s="22">
        <v>-150</v>
      </c>
      <c r="AO12" s="22">
        <v>-150</v>
      </c>
      <c r="AP12" s="22">
        <v>-150</v>
      </c>
      <c r="AQ12" s="22">
        <v>-150</v>
      </c>
      <c r="AR12" s="22">
        <v>-150</v>
      </c>
      <c r="AS12" s="22">
        <v>-150</v>
      </c>
    </row>
    <row r="13" spans="1:130">
      <c r="C13" s="4" t="s">
        <v>41</v>
      </c>
      <c r="D13" s="22">
        <f t="shared" ref="D13:S13" si="13">SUM(D11:D12)</f>
        <v>161</v>
      </c>
      <c r="E13" s="22">
        <f t="shared" si="13"/>
        <v>22</v>
      </c>
      <c r="F13" s="22">
        <f t="shared" si="13"/>
        <v>31</v>
      </c>
      <c r="G13" s="22">
        <f t="shared" si="13"/>
        <v>-184</v>
      </c>
      <c r="H13" s="22">
        <f t="shared" si="13"/>
        <v>-299</v>
      </c>
      <c r="I13" s="22">
        <f t="shared" si="13"/>
        <v>-45</v>
      </c>
      <c r="J13" s="22">
        <f t="shared" si="13"/>
        <v>20</v>
      </c>
      <c r="K13" s="22">
        <f t="shared" si="13"/>
        <v>-190</v>
      </c>
      <c r="L13" s="22">
        <f t="shared" si="13"/>
        <v>-167</v>
      </c>
      <c r="M13" s="22">
        <f t="shared" si="13"/>
        <v>-263</v>
      </c>
      <c r="N13" s="22">
        <f t="shared" si="13"/>
        <v>-104</v>
      </c>
      <c r="O13" s="22">
        <f t="shared" si="13"/>
        <v>-649</v>
      </c>
      <c r="P13" s="22">
        <f t="shared" si="13"/>
        <v>-83</v>
      </c>
      <c r="Q13" s="22">
        <f t="shared" si="13"/>
        <v>-101</v>
      </c>
      <c r="R13" s="22">
        <f t="shared" si="13"/>
        <v>-1972</v>
      </c>
      <c r="S13" s="22">
        <f t="shared" si="13"/>
        <v>-132</v>
      </c>
      <c r="T13" s="22">
        <f t="shared" ref="T13" si="14">SUM(T11:T12)</f>
        <v>-42</v>
      </c>
      <c r="V13" s="22"/>
      <c r="W13" s="22"/>
      <c r="AA13" s="22"/>
      <c r="AB13" s="22"/>
      <c r="AC13" s="22"/>
      <c r="AD13" s="41"/>
      <c r="AE13" s="22"/>
      <c r="AF13" s="22">
        <f>SUM(AF11:AF12)</f>
        <v>30</v>
      </c>
      <c r="AG13" s="22">
        <f>SUM(AG11:AG12)</f>
        <v>-373</v>
      </c>
      <c r="AH13" s="22">
        <f>SUM(AH11:AH12)</f>
        <v>-1119</v>
      </c>
      <c r="AI13" s="22">
        <f>SUM(AI11:AI12)</f>
        <v>-458</v>
      </c>
      <c r="AJ13" s="20">
        <f t="shared" ref="AJ13:AS13" si="15">SUM(AJ11:AJ12)</f>
        <v>137.05400000000009</v>
      </c>
      <c r="AK13" s="22">
        <f t="shared" si="15"/>
        <v>203.00670000000036</v>
      </c>
      <c r="AL13" s="22">
        <f>SUM(AL11:AL12)</f>
        <v>273.28903500000001</v>
      </c>
      <c r="AM13" s="22">
        <f t="shared" si="15"/>
        <v>348.13812675000077</v>
      </c>
      <c r="AN13" s="22">
        <f t="shared" si="15"/>
        <v>427.80336588750015</v>
      </c>
      <c r="AO13" s="22">
        <f t="shared" si="15"/>
        <v>512.54703363787576</v>
      </c>
      <c r="AP13" s="22">
        <f t="shared" si="15"/>
        <v>602.64495476488923</v>
      </c>
      <c r="AQ13" s="22">
        <f t="shared" si="15"/>
        <v>698.38718333715678</v>
      </c>
      <c r="AR13" s="22">
        <f t="shared" si="15"/>
        <v>800.07872295471702</v>
      </c>
      <c r="AS13" s="22">
        <f t="shared" si="15"/>
        <v>908.04028316217</v>
      </c>
    </row>
    <row r="14" spans="1:130">
      <c r="C14" s="4" t="s">
        <v>42</v>
      </c>
      <c r="D14" s="22">
        <v>-33</v>
      </c>
      <c r="E14" s="22">
        <v>-5</v>
      </c>
      <c r="F14" s="22">
        <v>-12</v>
      </c>
      <c r="G14" s="22">
        <v>18</v>
      </c>
      <c r="H14" s="22">
        <v>63</v>
      </c>
      <c r="I14" s="22">
        <v>11</v>
      </c>
      <c r="J14" s="22">
        <v>-2</v>
      </c>
      <c r="K14" s="22">
        <v>-12</v>
      </c>
      <c r="L14" s="22">
        <v>69</v>
      </c>
      <c r="M14" s="22">
        <v>54</v>
      </c>
      <c r="N14" s="22">
        <v>21</v>
      </c>
      <c r="O14" s="58">
        <v>-207</v>
      </c>
      <c r="P14" s="1">
        <v>-41</v>
      </c>
      <c r="Q14" s="1">
        <v>-2</v>
      </c>
      <c r="R14" s="22">
        <v>61</v>
      </c>
      <c r="S14" s="22">
        <v>-97</v>
      </c>
      <c r="T14" s="22">
        <v>-30</v>
      </c>
      <c r="AA14" s="22"/>
      <c r="AB14" s="22"/>
      <c r="AC14" s="22"/>
      <c r="AD14" s="22"/>
      <c r="AE14" s="22"/>
      <c r="AF14" s="22">
        <f>SUM(D14:G14)</f>
        <v>-32</v>
      </c>
      <c r="AG14" s="22">
        <v>26</v>
      </c>
      <c r="AH14" s="22">
        <v>-76</v>
      </c>
      <c r="AI14" s="22">
        <v>-79</v>
      </c>
      <c r="AJ14" s="20">
        <f t="shared" ref="AJ14:AS14" si="16">AJ13*-0.22</f>
        <v>-30.15188000000002</v>
      </c>
      <c r="AK14" s="22">
        <f t="shared" si="16"/>
        <v>-44.661474000000084</v>
      </c>
      <c r="AL14" s="22">
        <f t="shared" si="16"/>
        <v>-60.123587700000002</v>
      </c>
      <c r="AM14" s="22">
        <f t="shared" si="16"/>
        <v>-76.590387885000169</v>
      </c>
      <c r="AN14" s="22">
        <f t="shared" si="16"/>
        <v>-94.116740495250028</v>
      </c>
      <c r="AO14" s="22">
        <f t="shared" si="16"/>
        <v>-112.76034740033266</v>
      </c>
      <c r="AP14" s="22">
        <f t="shared" si="16"/>
        <v>-132.58189004827562</v>
      </c>
      <c r="AQ14" s="22">
        <f t="shared" si="16"/>
        <v>-153.64518033417448</v>
      </c>
      <c r="AR14" s="22">
        <f t="shared" si="16"/>
        <v>-176.01731905003774</v>
      </c>
      <c r="AS14" s="22">
        <f t="shared" si="16"/>
        <v>-199.76886229567739</v>
      </c>
    </row>
    <row r="15" spans="1:130">
      <c r="A15" s="3" t="s">
        <v>160</v>
      </c>
      <c r="C15" s="8" t="s">
        <v>43</v>
      </c>
      <c r="D15" s="23">
        <f t="shared" ref="D15:N15" si="17">SUM(D13:D14)</f>
        <v>128</v>
      </c>
      <c r="E15" s="23">
        <f t="shared" si="17"/>
        <v>17</v>
      </c>
      <c r="F15" s="23">
        <f t="shared" si="17"/>
        <v>19</v>
      </c>
      <c r="G15" s="23">
        <f t="shared" si="17"/>
        <v>-166</v>
      </c>
      <c r="H15" s="23">
        <f t="shared" si="17"/>
        <v>-236</v>
      </c>
      <c r="I15" s="23">
        <f t="shared" si="17"/>
        <v>-34</v>
      </c>
      <c r="J15" s="23">
        <f t="shared" si="17"/>
        <v>18</v>
      </c>
      <c r="K15" s="23">
        <f t="shared" si="17"/>
        <v>-202</v>
      </c>
      <c r="L15" s="23">
        <f t="shared" si="17"/>
        <v>-98</v>
      </c>
      <c r="M15" s="23">
        <f t="shared" si="17"/>
        <v>-209</v>
      </c>
      <c r="N15" s="23">
        <f t="shared" si="17"/>
        <v>-83</v>
      </c>
      <c r="O15" s="23">
        <f>SUM(O13:O14)</f>
        <v>-856</v>
      </c>
      <c r="P15" s="23">
        <f>SUM(P13:P14)</f>
        <v>-124</v>
      </c>
      <c r="Q15" s="23">
        <f t="shared" ref="Q15:S15" si="18">SUM(Q13:Q14)</f>
        <v>-103</v>
      </c>
      <c r="R15" s="23">
        <f t="shared" si="18"/>
        <v>-1911</v>
      </c>
      <c r="S15" s="23">
        <f t="shared" si="18"/>
        <v>-229</v>
      </c>
      <c r="T15" s="23">
        <f t="shared" ref="T15" si="19">SUM(T13:T14)</f>
        <v>-72</v>
      </c>
      <c r="V15" s="23"/>
      <c r="W15" s="23"/>
      <c r="Y15" s="3">
        <v>828</v>
      </c>
      <c r="Z15" s="3">
        <v>455</v>
      </c>
      <c r="AA15" s="23">
        <v>1015</v>
      </c>
      <c r="AB15" s="23">
        <v>753</v>
      </c>
      <c r="AC15" s="23">
        <v>810</v>
      </c>
      <c r="AD15" s="23">
        <v>253</v>
      </c>
      <c r="AE15" s="23">
        <v>706</v>
      </c>
      <c r="AF15" s="23">
        <f>SUM(AF13:AF14)</f>
        <v>-2</v>
      </c>
      <c r="AG15" s="23">
        <f>SUM(AG13:AG14)</f>
        <v>-347</v>
      </c>
      <c r="AH15" s="23">
        <f>SUM(AH13:AH14)</f>
        <v>-1195</v>
      </c>
      <c r="AI15" s="23">
        <f>SUM(AI13:AI14)</f>
        <v>-537</v>
      </c>
      <c r="AJ15" s="21">
        <f t="shared" ref="AJ15:AS15" si="20">SUM(AJ13:AJ14)</f>
        <v>106.90212000000007</v>
      </c>
      <c r="AK15" s="23">
        <f t="shared" si="20"/>
        <v>158.34522600000028</v>
      </c>
      <c r="AL15" s="23">
        <f t="shared" si="20"/>
        <v>213.16544730000001</v>
      </c>
      <c r="AM15" s="23">
        <f t="shared" si="20"/>
        <v>271.54773886500061</v>
      </c>
      <c r="AN15" s="23">
        <f t="shared" si="20"/>
        <v>333.68662539225011</v>
      </c>
      <c r="AO15" s="23">
        <f t="shared" si="20"/>
        <v>399.78668623754311</v>
      </c>
      <c r="AP15" s="23">
        <f t="shared" si="20"/>
        <v>470.06306471661361</v>
      </c>
      <c r="AQ15" s="23">
        <f t="shared" si="20"/>
        <v>544.7420030029823</v>
      </c>
      <c r="AR15" s="23">
        <f t="shared" si="20"/>
        <v>624.06140390467931</v>
      </c>
      <c r="AS15" s="23">
        <f t="shared" si="20"/>
        <v>708.27142086649258</v>
      </c>
      <c r="AT15" s="23">
        <f>AS15*(1+$AV$20)</f>
        <v>701.18870665782765</v>
      </c>
      <c r="AU15" s="23">
        <f t="shared" ref="AU15:DF15" si="21">AT15*(1+$AV$20)</f>
        <v>694.17681959124934</v>
      </c>
      <c r="AV15" s="23">
        <f t="shared" si="21"/>
        <v>687.23505139533688</v>
      </c>
      <c r="AW15" s="23">
        <f t="shared" si="21"/>
        <v>680.36270088138349</v>
      </c>
      <c r="AX15" s="23">
        <f t="shared" si="21"/>
        <v>673.55907387256968</v>
      </c>
      <c r="AY15" s="23">
        <f t="shared" si="21"/>
        <v>666.82348313384398</v>
      </c>
      <c r="AZ15" s="23">
        <f t="shared" si="21"/>
        <v>660.15524830250558</v>
      </c>
      <c r="BA15" s="23">
        <f t="shared" si="21"/>
        <v>653.55369581948048</v>
      </c>
      <c r="BB15" s="23">
        <f t="shared" si="21"/>
        <v>647.01815886128566</v>
      </c>
      <c r="BC15" s="23">
        <f t="shared" si="21"/>
        <v>640.54797727267282</v>
      </c>
      <c r="BD15" s="23">
        <f t="shared" si="21"/>
        <v>634.1424974999461</v>
      </c>
      <c r="BE15" s="23">
        <f t="shared" si="21"/>
        <v>627.80107252494668</v>
      </c>
      <c r="BF15" s="23">
        <f t="shared" si="21"/>
        <v>621.52306179969719</v>
      </c>
      <c r="BG15" s="23">
        <f t="shared" si="21"/>
        <v>615.30783118170018</v>
      </c>
      <c r="BH15" s="23">
        <f t="shared" si="21"/>
        <v>609.15475286988317</v>
      </c>
      <c r="BI15" s="23">
        <f t="shared" si="21"/>
        <v>603.06320534118436</v>
      </c>
      <c r="BJ15" s="23">
        <f t="shared" si="21"/>
        <v>597.03257328777249</v>
      </c>
      <c r="BK15" s="23">
        <f t="shared" si="21"/>
        <v>591.06224755489472</v>
      </c>
      <c r="BL15" s="23">
        <f t="shared" si="21"/>
        <v>585.15162507934576</v>
      </c>
      <c r="BM15" s="23">
        <f t="shared" si="21"/>
        <v>579.30010882855231</v>
      </c>
      <c r="BN15" s="23">
        <f t="shared" si="21"/>
        <v>573.50710774026675</v>
      </c>
      <c r="BO15" s="23">
        <f t="shared" si="21"/>
        <v>567.77203666286402</v>
      </c>
      <c r="BP15" s="23">
        <f t="shared" si="21"/>
        <v>562.09431629623543</v>
      </c>
      <c r="BQ15" s="23">
        <f t="shared" si="21"/>
        <v>556.47337313327307</v>
      </c>
      <c r="BR15" s="23">
        <f t="shared" si="21"/>
        <v>550.90863940194038</v>
      </c>
      <c r="BS15" s="23">
        <f t="shared" si="21"/>
        <v>545.39955300792099</v>
      </c>
      <c r="BT15" s="23">
        <f t="shared" si="21"/>
        <v>539.94555747784182</v>
      </c>
      <c r="BU15" s="23">
        <f t="shared" si="21"/>
        <v>534.54610190306335</v>
      </c>
      <c r="BV15" s="23">
        <f t="shared" si="21"/>
        <v>529.20064088403274</v>
      </c>
      <c r="BW15" s="23">
        <f t="shared" si="21"/>
        <v>523.90863447519246</v>
      </c>
      <c r="BX15" s="23">
        <f t="shared" si="21"/>
        <v>518.66954813044049</v>
      </c>
      <c r="BY15" s="23">
        <f t="shared" si="21"/>
        <v>513.48285264913613</v>
      </c>
      <c r="BZ15" s="23">
        <f t="shared" si="21"/>
        <v>508.34802412264474</v>
      </c>
      <c r="CA15" s="23">
        <f t="shared" si="21"/>
        <v>503.26454388141832</v>
      </c>
      <c r="CB15" s="23">
        <f t="shared" si="21"/>
        <v>498.23189844260412</v>
      </c>
      <c r="CC15" s="23">
        <f t="shared" si="21"/>
        <v>493.24957945817806</v>
      </c>
      <c r="CD15" s="23">
        <f t="shared" si="21"/>
        <v>488.31708366359629</v>
      </c>
      <c r="CE15" s="23">
        <f t="shared" si="21"/>
        <v>483.43391282696035</v>
      </c>
      <c r="CF15" s="23">
        <f t="shared" si="21"/>
        <v>478.59957369869073</v>
      </c>
      <c r="CG15" s="23">
        <f t="shared" si="21"/>
        <v>473.8135779617038</v>
      </c>
      <c r="CH15" s="23">
        <f t="shared" si="21"/>
        <v>469.07544218208676</v>
      </c>
      <c r="CI15" s="23">
        <f t="shared" si="21"/>
        <v>464.38468776026588</v>
      </c>
      <c r="CJ15" s="23">
        <f t="shared" si="21"/>
        <v>459.74084088266324</v>
      </c>
      <c r="CK15" s="23">
        <f t="shared" si="21"/>
        <v>455.14343247383658</v>
      </c>
      <c r="CL15" s="23">
        <f t="shared" si="21"/>
        <v>450.59199814909823</v>
      </c>
      <c r="CM15" s="23">
        <f t="shared" si="21"/>
        <v>446.08607816760724</v>
      </c>
      <c r="CN15" s="23">
        <f t="shared" si="21"/>
        <v>441.62521738593114</v>
      </c>
      <c r="CO15" s="23">
        <f t="shared" si="21"/>
        <v>437.2089652120718</v>
      </c>
      <c r="CP15" s="23">
        <f t="shared" si="21"/>
        <v>432.83687555995107</v>
      </c>
      <c r="CQ15" s="23">
        <f t="shared" si="21"/>
        <v>428.50850680435155</v>
      </c>
      <c r="CR15" s="23">
        <f t="shared" si="21"/>
        <v>424.22342173630801</v>
      </c>
      <c r="CS15" s="23">
        <f t="shared" si="21"/>
        <v>419.98118751894492</v>
      </c>
      <c r="CT15" s="23">
        <f t="shared" si="21"/>
        <v>415.7813756437555</v>
      </c>
      <c r="CU15" s="23">
        <f t="shared" si="21"/>
        <v>411.62356188731792</v>
      </c>
      <c r="CV15" s="23">
        <f t="shared" si="21"/>
        <v>407.50732626844473</v>
      </c>
      <c r="CW15" s="23">
        <f t="shared" si="21"/>
        <v>403.43225300576029</v>
      </c>
      <c r="CX15" s="23">
        <f t="shared" si="21"/>
        <v>399.39793047570271</v>
      </c>
      <c r="CY15" s="23">
        <f t="shared" si="21"/>
        <v>395.40395117094567</v>
      </c>
      <c r="CZ15" s="23">
        <f t="shared" si="21"/>
        <v>391.44991165923619</v>
      </c>
      <c r="DA15" s="23">
        <f t="shared" si="21"/>
        <v>387.53541254264383</v>
      </c>
      <c r="DB15" s="23">
        <f t="shared" si="21"/>
        <v>383.66005841721739</v>
      </c>
      <c r="DC15" s="23">
        <f t="shared" si="21"/>
        <v>379.82345783304521</v>
      </c>
      <c r="DD15" s="23">
        <f t="shared" si="21"/>
        <v>376.02522325471477</v>
      </c>
      <c r="DE15" s="23">
        <f t="shared" si="21"/>
        <v>372.26497102216763</v>
      </c>
      <c r="DF15" s="23">
        <f t="shared" si="21"/>
        <v>368.54232131194595</v>
      </c>
      <c r="DG15" s="23">
        <f t="shared" ref="DG15:DZ15" si="22">DF15*(1+$AV$20)</f>
        <v>364.85689809882649</v>
      </c>
      <c r="DH15" s="23">
        <f t="shared" si="22"/>
        <v>361.20832911783822</v>
      </c>
      <c r="DI15" s="23">
        <f t="shared" si="22"/>
        <v>357.59624582665981</v>
      </c>
      <c r="DJ15" s="23">
        <f t="shared" si="22"/>
        <v>354.02028336839322</v>
      </c>
      <c r="DK15" s="23">
        <f t="shared" si="22"/>
        <v>350.48008053470926</v>
      </c>
      <c r="DL15" s="23">
        <f t="shared" si="22"/>
        <v>346.97527972936217</v>
      </c>
      <c r="DM15" s="23">
        <f t="shared" si="22"/>
        <v>343.50552693206856</v>
      </c>
      <c r="DN15" s="23">
        <f t="shared" si="22"/>
        <v>340.07047166274788</v>
      </c>
      <c r="DO15" s="23">
        <f t="shared" si="22"/>
        <v>336.66976694612038</v>
      </c>
      <c r="DP15" s="23">
        <f t="shared" si="22"/>
        <v>333.30306927665919</v>
      </c>
      <c r="DQ15" s="23">
        <f t="shared" si="22"/>
        <v>329.97003858389257</v>
      </c>
      <c r="DR15" s="23">
        <f t="shared" si="22"/>
        <v>326.67033819805363</v>
      </c>
      <c r="DS15" s="23">
        <f t="shared" si="22"/>
        <v>323.40363481607307</v>
      </c>
      <c r="DT15" s="23">
        <f t="shared" si="22"/>
        <v>320.16959846791235</v>
      </c>
      <c r="DU15" s="23">
        <f t="shared" si="22"/>
        <v>316.96790248323322</v>
      </c>
      <c r="DV15" s="23">
        <f t="shared" si="22"/>
        <v>313.79822345840086</v>
      </c>
      <c r="DW15" s="23">
        <f t="shared" si="22"/>
        <v>310.66024122381685</v>
      </c>
      <c r="DX15" s="23">
        <f t="shared" si="22"/>
        <v>307.55363881157871</v>
      </c>
      <c r="DY15" s="23">
        <f t="shared" si="22"/>
        <v>304.47810242346293</v>
      </c>
      <c r="DZ15" s="23">
        <f t="shared" si="22"/>
        <v>301.4333213992283</v>
      </c>
    </row>
    <row r="16" spans="1:130">
      <c r="A16" s="61">
        <f>(T57-T45)/T26</f>
        <v>4.2892768079800501</v>
      </c>
      <c r="C16" s="4" t="s">
        <v>44</v>
      </c>
      <c r="D16" s="9">
        <v>370</v>
      </c>
      <c r="E16" s="9">
        <v>370</v>
      </c>
      <c r="F16" s="9">
        <v>370</v>
      </c>
      <c r="G16" s="9">
        <v>370</v>
      </c>
      <c r="H16" s="9">
        <v>370</v>
      </c>
      <c r="I16" s="9">
        <v>370</v>
      </c>
      <c r="J16" s="9">
        <v>370</v>
      </c>
      <c r="K16" s="9">
        <v>370</v>
      </c>
      <c r="L16" s="9">
        <v>370</v>
      </c>
      <c r="M16" s="9">
        <v>675.05192099999999</v>
      </c>
      <c r="N16" s="9">
        <v>675.05192099999999</v>
      </c>
      <c r="O16" s="9">
        <v>675.05192099999999</v>
      </c>
      <c r="P16" s="9">
        <v>675.05192099999999</v>
      </c>
      <c r="Q16" s="9">
        <v>675.05192099999999</v>
      </c>
      <c r="R16" s="9">
        <v>675.05192099999999</v>
      </c>
      <c r="S16" s="9">
        <v>675.05192099999999</v>
      </c>
      <c r="T16" s="11">
        <v>1516.6025999999999</v>
      </c>
      <c r="U16" s="11"/>
      <c r="V16" s="11"/>
      <c r="W16" s="11"/>
      <c r="X16" s="11"/>
      <c r="Y16" s="9">
        <v>168.281305</v>
      </c>
      <c r="Z16" s="9">
        <v>168.473468</v>
      </c>
      <c r="AA16" s="9">
        <v>168.25282100000001</v>
      </c>
      <c r="AB16" s="9">
        <v>168.25282100000001</v>
      </c>
      <c r="AC16" s="9">
        <v>168.25282100000001</v>
      </c>
      <c r="AD16" s="9">
        <v>168.25282100000001</v>
      </c>
      <c r="AE16" s="9">
        <v>168.25282100000001</v>
      </c>
      <c r="AF16" s="9">
        <v>168.25282100000001</v>
      </c>
      <c r="AG16" s="9">
        <v>168.25282100000001</v>
      </c>
      <c r="AH16" s="9">
        <v>675.05192099999999</v>
      </c>
      <c r="AI16" s="9">
        <v>675.05192099999999</v>
      </c>
      <c r="AJ16" s="67">
        <v>1516.316026</v>
      </c>
      <c r="AK16" s="11">
        <v>1516.316026</v>
      </c>
      <c r="AL16" s="11">
        <v>1516.316026</v>
      </c>
      <c r="AM16" s="11">
        <v>1516.316026</v>
      </c>
      <c r="AN16" s="11">
        <v>1516.316026</v>
      </c>
      <c r="AO16" s="11">
        <v>1516.316026</v>
      </c>
      <c r="AP16" s="11">
        <v>1516.316026</v>
      </c>
      <c r="AQ16" s="11">
        <v>1516.316026</v>
      </c>
      <c r="AR16" s="11">
        <v>1516.316026</v>
      </c>
      <c r="AS16" s="11">
        <v>1516.316026</v>
      </c>
    </row>
    <row r="17" spans="1:48">
      <c r="C17" s="4" t="s">
        <v>45</v>
      </c>
      <c r="D17" s="13">
        <f t="shared" ref="D17:P17" si="23">D15/D16</f>
        <v>0.34594594594594597</v>
      </c>
      <c r="E17" s="13">
        <f t="shared" si="23"/>
        <v>4.5945945945945948E-2</v>
      </c>
      <c r="F17" s="13">
        <f t="shared" si="23"/>
        <v>5.1351351351351354E-2</v>
      </c>
      <c r="G17" s="13">
        <f t="shared" si="23"/>
        <v>-0.44864864864864867</v>
      </c>
      <c r="H17" s="13">
        <f t="shared" si="23"/>
        <v>-0.63783783783783787</v>
      </c>
      <c r="I17" s="13">
        <f t="shared" si="23"/>
        <v>-9.1891891891891897E-2</v>
      </c>
      <c r="J17" s="13">
        <f t="shared" si="23"/>
        <v>4.8648648648648651E-2</v>
      </c>
      <c r="K17" s="13">
        <f t="shared" si="23"/>
        <v>-0.54594594594594592</v>
      </c>
      <c r="L17" s="13">
        <f t="shared" si="23"/>
        <v>-0.26486486486486488</v>
      </c>
      <c r="M17" s="13">
        <f t="shared" si="23"/>
        <v>-0.30960581475035903</v>
      </c>
      <c r="N17" s="13">
        <f t="shared" si="23"/>
        <v>-0.12295350537932918</v>
      </c>
      <c r="O17" s="13">
        <f t="shared" si="23"/>
        <v>-1.2680506096952504</v>
      </c>
      <c r="P17" s="13">
        <f t="shared" si="23"/>
        <v>-0.18368957430164842</v>
      </c>
      <c r="Q17" s="13">
        <f t="shared" ref="Q17:S17" si="24">Q15/Q16</f>
        <v>-0.15258085607314345</v>
      </c>
      <c r="R17" s="13">
        <f t="shared" si="24"/>
        <v>-2.8308933587939529</v>
      </c>
      <c r="S17" s="13">
        <f t="shared" si="24"/>
        <v>-0.33923316544417331</v>
      </c>
      <c r="T17" s="13">
        <f t="shared" ref="T17" si="25">T15/T16</f>
        <v>-4.7474532880268046E-2</v>
      </c>
      <c r="V17" s="13"/>
      <c r="W17" s="13"/>
      <c r="Y17" s="13">
        <f t="shared" ref="Y17:AB17" si="26">Y15/Y16</f>
        <v>4.9203326537074332</v>
      </c>
      <c r="Z17" s="13">
        <f t="shared" si="26"/>
        <v>2.7007219914295346</v>
      </c>
      <c r="AA17" s="13">
        <f t="shared" si="26"/>
        <v>6.032588303526869</v>
      </c>
      <c r="AB17" s="13">
        <f t="shared" si="26"/>
        <v>4.4754078744391448</v>
      </c>
      <c r="AC17" s="13">
        <f t="shared" ref="AC17:AE17" si="27">AC15/AC16</f>
        <v>4.8141837693170082</v>
      </c>
      <c r="AD17" s="13">
        <f t="shared" si="27"/>
        <v>1.5036894983175348</v>
      </c>
      <c r="AE17" s="13">
        <f t="shared" si="27"/>
        <v>4.1960663470837138</v>
      </c>
      <c r="AF17" s="13">
        <f>AF15/AF16</f>
        <v>-1.1886873504486441E-2</v>
      </c>
      <c r="AG17" s="13">
        <f>AG15/AG16</f>
        <v>-2.0623725530283976</v>
      </c>
      <c r="AH17" s="13">
        <f>AH15/AH16</f>
        <v>-1.7702342039554022</v>
      </c>
      <c r="AI17" s="13">
        <f t="shared" ref="AI17:AS17" si="28">AI15/AI16</f>
        <v>-0.79549436612891289</v>
      </c>
      <c r="AJ17" s="10">
        <f t="shared" si="28"/>
        <v>7.0501213577492103E-2</v>
      </c>
      <c r="AK17" s="13">
        <f t="shared" si="28"/>
        <v>0.10442758850060474</v>
      </c>
      <c r="AL17" s="13">
        <f t="shared" si="28"/>
        <v>0.14058114775870609</v>
      </c>
      <c r="AM17" s="13">
        <f t="shared" si="28"/>
        <v>0.17908386788032313</v>
      </c>
      <c r="AN17" s="13">
        <f t="shared" si="28"/>
        <v>0.22006403656664256</v>
      </c>
      <c r="AO17" s="13">
        <f t="shared" si="28"/>
        <v>0.2636565724970733</v>
      </c>
      <c r="AP17" s="13">
        <f t="shared" si="28"/>
        <v>0.31000336121001576</v>
      </c>
      <c r="AQ17" s="13">
        <f t="shared" si="28"/>
        <v>0.3592536078643162</v>
      </c>
      <c r="AR17" s="13">
        <f t="shared" si="28"/>
        <v>0.41156420772715574</v>
      </c>
      <c r="AS17" s="13">
        <f t="shared" si="28"/>
        <v>0.4671001352764787</v>
      </c>
    </row>
    <row r="18" spans="1:48">
      <c r="D18" s="26"/>
      <c r="E18" s="26"/>
      <c r="F18" s="26"/>
      <c r="G18" s="26"/>
      <c r="H18" s="26"/>
      <c r="I18" s="26"/>
      <c r="J18" s="26"/>
      <c r="K18" s="26"/>
      <c r="L18" s="26"/>
      <c r="M18" s="26"/>
      <c r="N18" s="26"/>
      <c r="O18" s="26"/>
      <c r="P18" s="26"/>
      <c r="Q18" s="26"/>
      <c r="R18" s="26"/>
      <c r="S18" s="26"/>
      <c r="T18" s="26"/>
      <c r="U18" s="26"/>
      <c r="V18" s="26"/>
      <c r="W18" s="26"/>
    </row>
    <row r="19" spans="1:48">
      <c r="A19" s="3"/>
      <c r="C19" s="8" t="s">
        <v>46</v>
      </c>
      <c r="D19" s="31"/>
      <c r="E19" s="31"/>
      <c r="F19" s="31"/>
      <c r="G19" s="31"/>
      <c r="H19" s="31">
        <f>(H6-D6)/D6</f>
        <v>-0.14236570521301931</v>
      </c>
      <c r="I19" s="31">
        <f>(I6-E6)/E6</f>
        <v>-0.2051413881748072</v>
      </c>
      <c r="J19" s="31">
        <f t="shared" ref="J19:L19" si="29">(J6-F6)/F6</f>
        <v>-0.22471264367816091</v>
      </c>
      <c r="K19" s="31">
        <f>(K6-G6)/G6</f>
        <v>-0.30105820105820108</v>
      </c>
      <c r="L19" s="31">
        <f t="shared" si="29"/>
        <v>-0.19315026226473311</v>
      </c>
      <c r="M19" s="31">
        <f>(M6-I6)/I6</f>
        <v>-5.1423027166882275E-2</v>
      </c>
      <c r="N19" s="31">
        <f>(N6-J6)/J6</f>
        <v>-8.1541882876204591E-2</v>
      </c>
      <c r="O19" s="31">
        <f>(O6-K6)/K6</f>
        <v>-4.9205147615442847E-2</v>
      </c>
      <c r="P19" s="31">
        <f t="shared" ref="P19:T19" si="30">(P6-L6)/L6</f>
        <v>-5.3919694072657745E-2</v>
      </c>
      <c r="Q19" s="31">
        <f>(Q6-M6)/M6</f>
        <v>-8.1145584725536998E-2</v>
      </c>
      <c r="R19" s="31">
        <f t="shared" si="30"/>
        <v>-6.8603712671509276E-2</v>
      </c>
      <c r="S19" s="31">
        <f t="shared" si="30"/>
        <v>-0.4426751592356688</v>
      </c>
      <c r="T19" s="31">
        <f t="shared" si="30"/>
        <v>-0.42441390460792239</v>
      </c>
      <c r="U19" s="31"/>
      <c r="V19" s="31"/>
      <c r="W19" s="31"/>
      <c r="X19" s="16"/>
      <c r="Y19" s="16"/>
      <c r="Z19" s="16">
        <f t="shared" ref="Z19" si="31">(Z6-Y6)/Y6</f>
        <v>3.1142996902005542E-2</v>
      </c>
      <c r="AA19" s="16">
        <f t="shared" ref="AA19" si="32">(AA6-Z6)/Z6</f>
        <v>7.5901328273244783E-3</v>
      </c>
      <c r="AB19" s="16">
        <f t="shared" ref="AB19:AC19" si="33">(AB6-AA6)/AA6</f>
        <v>3.6487758945386063E-2</v>
      </c>
      <c r="AC19" s="16">
        <f t="shared" si="33"/>
        <v>5.4583995760466346E-2</v>
      </c>
      <c r="AD19" s="16">
        <f>(AD6-AC6)/AC6</f>
        <v>-8.5355348169418518E-2</v>
      </c>
      <c r="AE19" s="16">
        <f>(AE6-AD6)/AD6</f>
        <v>7.676006592889098E-2</v>
      </c>
      <c r="AF19" s="16">
        <f t="shared" ref="AF19" si="34">(AF6-AE6)/AE6</f>
        <v>8.8198848312559225E-2</v>
      </c>
      <c r="AG19" s="16">
        <f>(AG6-AF6)/AF6</f>
        <v>-0.10422667291848081</v>
      </c>
      <c r="AH19" s="16">
        <f>(AH6-AG6)/AG6</f>
        <v>-0.21199431690720108</v>
      </c>
      <c r="AI19" s="16">
        <f>(AI6-AH6)/AH6</f>
        <v>-0.15762004175365343</v>
      </c>
      <c r="AJ19" s="68">
        <f t="shared" ref="AJ19:AS19" si="35">(AJ6-AI6)/AI6</f>
        <v>-0.35401149036836765</v>
      </c>
      <c r="AK19" s="16">
        <f t="shared" si="35"/>
        <v>5.0000000000000114E-2</v>
      </c>
      <c r="AL19" s="16">
        <f t="shared" si="35"/>
        <v>5.0000000000000024E-2</v>
      </c>
      <c r="AM19" s="16">
        <f t="shared" si="35"/>
        <v>5.0000000000000093E-2</v>
      </c>
      <c r="AN19" s="16">
        <f t="shared" si="35"/>
        <v>5.00000000000001E-2</v>
      </c>
      <c r="AO19" s="16">
        <f t="shared" si="35"/>
        <v>5.0000000000000024E-2</v>
      </c>
      <c r="AP19" s="16">
        <f t="shared" si="35"/>
        <v>5.0000000000000107E-2</v>
      </c>
      <c r="AQ19" s="16">
        <f t="shared" si="35"/>
        <v>0.05</v>
      </c>
      <c r="AR19" s="16">
        <f t="shared" si="35"/>
        <v>5.0000000000000065E-2</v>
      </c>
      <c r="AS19" s="16">
        <f t="shared" si="35"/>
        <v>5.0000000000000051E-2</v>
      </c>
      <c r="AU19" s="1" t="s">
        <v>103</v>
      </c>
      <c r="AV19" s="35">
        <v>0.08</v>
      </c>
    </row>
    <row r="20" spans="1:48">
      <c r="C20" s="8" t="s">
        <v>152</v>
      </c>
      <c r="D20" s="31"/>
      <c r="E20" s="31"/>
      <c r="F20" s="31"/>
      <c r="G20" s="31"/>
      <c r="H20" s="31"/>
      <c r="I20" s="31"/>
      <c r="J20" s="31"/>
      <c r="K20" s="31"/>
      <c r="L20" s="31"/>
      <c r="M20" s="31"/>
      <c r="N20" s="31">
        <v>0.06</v>
      </c>
      <c r="O20" s="31"/>
      <c r="P20" s="31"/>
      <c r="Q20" s="31"/>
      <c r="R20" s="31">
        <v>-0.03</v>
      </c>
      <c r="S20" s="31">
        <v>0.03</v>
      </c>
      <c r="T20" s="31">
        <v>0.02</v>
      </c>
      <c r="U20" s="31"/>
      <c r="V20" s="31"/>
      <c r="W20" s="31"/>
      <c r="X20" s="16"/>
      <c r="Y20" s="16"/>
      <c r="Z20" s="16"/>
      <c r="AA20" s="16"/>
      <c r="AB20" s="16"/>
      <c r="AC20" s="16"/>
      <c r="AD20" s="16"/>
      <c r="AE20" s="16"/>
      <c r="AF20" s="16"/>
      <c r="AG20" s="16"/>
      <c r="AH20" s="16"/>
      <c r="AI20" s="16"/>
      <c r="AJ20" s="68"/>
      <c r="AK20" s="16"/>
      <c r="AL20" s="16"/>
      <c r="AM20" s="16"/>
      <c r="AN20" s="16"/>
      <c r="AO20" s="16"/>
      <c r="AP20" s="16"/>
      <c r="AQ20" s="16"/>
      <c r="AR20" s="16"/>
      <c r="AS20" s="16"/>
      <c r="AU20" s="1" t="s">
        <v>104</v>
      </c>
      <c r="AV20" s="35">
        <v>-0.01</v>
      </c>
    </row>
    <row r="21" spans="1:48">
      <c r="B21" s="9"/>
      <c r="C21" s="4" t="s">
        <v>142</v>
      </c>
      <c r="D21" s="26">
        <f t="shared" ref="D21:S21" si="36">D8/D6</f>
        <v>0.38264091029372849</v>
      </c>
      <c r="E21" s="26">
        <f t="shared" si="36"/>
        <v>0.36349614395886887</v>
      </c>
      <c r="F21" s="26">
        <f t="shared" si="36"/>
        <v>0.35689655172413792</v>
      </c>
      <c r="G21" s="26">
        <f t="shared" si="36"/>
        <v>0.33359788359788362</v>
      </c>
      <c r="H21" s="26">
        <f t="shared" si="36"/>
        <v>0.33137920394939835</v>
      </c>
      <c r="I21" s="26">
        <f t="shared" si="36"/>
        <v>0.35996119016817596</v>
      </c>
      <c r="J21" s="26">
        <f t="shared" si="36"/>
        <v>0.36582653817642696</v>
      </c>
      <c r="K21" s="26">
        <f t="shared" si="36"/>
        <v>0.35541256623769873</v>
      </c>
      <c r="L21" s="26">
        <f t="shared" si="36"/>
        <v>0.36634799235181642</v>
      </c>
      <c r="M21" s="26">
        <f t="shared" si="36"/>
        <v>0.35594953972042276</v>
      </c>
      <c r="N21" s="26">
        <f t="shared" si="36"/>
        <v>0.36238902340597257</v>
      </c>
      <c r="O21" s="26">
        <f t="shared" si="36"/>
        <v>0.37539808917197454</v>
      </c>
      <c r="P21" s="26">
        <f t="shared" si="36"/>
        <v>0.37752627324171384</v>
      </c>
      <c r="Q21" s="26">
        <f t="shared" si="36"/>
        <v>0.36326530612244901</v>
      </c>
      <c r="R21" s="26">
        <f t="shared" si="36"/>
        <v>0.37175043327556329</v>
      </c>
      <c r="S21" s="26">
        <f t="shared" si="36"/>
        <v>0.33571428571428569</v>
      </c>
      <c r="T21" s="26">
        <f t="shared" ref="T21" si="37">T8/T6</f>
        <v>0.34480337078651685</v>
      </c>
      <c r="U21" s="26"/>
      <c r="V21" s="26"/>
      <c r="W21" s="26"/>
      <c r="X21" s="14"/>
      <c r="Y21" s="26">
        <f t="shared" ref="Y21:AS21" si="38">Y8/Y6</f>
        <v>0.4</v>
      </c>
      <c r="Z21" s="26">
        <f t="shared" si="38"/>
        <v>0.39</v>
      </c>
      <c r="AA21" s="26">
        <f t="shared" si="38"/>
        <v>0.39344005021971123</v>
      </c>
      <c r="AB21" s="26">
        <f t="shared" si="38"/>
        <v>0.38534332651979708</v>
      </c>
      <c r="AC21" s="26">
        <f t="shared" si="38"/>
        <v>0.38083273510409188</v>
      </c>
      <c r="AD21" s="26">
        <f t="shared" si="38"/>
        <v>0.3487952280040813</v>
      </c>
      <c r="AE21" s="26">
        <f t="shared" si="38"/>
        <v>0.38472191850717985</v>
      </c>
      <c r="AF21" s="26">
        <f t="shared" si="38"/>
        <v>0.3592337062093911</v>
      </c>
      <c r="AG21" s="26">
        <f t="shared" si="38"/>
        <v>0.34726688102893893</v>
      </c>
      <c r="AH21" s="26">
        <f t="shared" si="38"/>
        <v>0.36468020497248055</v>
      </c>
      <c r="AI21" s="26">
        <f t="shared" si="38"/>
        <v>0.36510082234989299</v>
      </c>
      <c r="AJ21" s="30">
        <f t="shared" si="38"/>
        <v>0.35</v>
      </c>
      <c r="AK21" s="26">
        <f t="shared" si="38"/>
        <v>0.35000000000000003</v>
      </c>
      <c r="AL21" s="26">
        <f t="shared" si="38"/>
        <v>0.34999999999999992</v>
      </c>
      <c r="AM21" s="26">
        <f t="shared" si="38"/>
        <v>0.35000000000000003</v>
      </c>
      <c r="AN21" s="26">
        <f t="shared" si="38"/>
        <v>0.34999999999999992</v>
      </c>
      <c r="AO21" s="26">
        <f t="shared" si="38"/>
        <v>0.35</v>
      </c>
      <c r="AP21" s="26">
        <f t="shared" si="38"/>
        <v>0.34999999999999992</v>
      </c>
      <c r="AQ21" s="26">
        <f t="shared" si="38"/>
        <v>0.35000000000000003</v>
      </c>
      <c r="AR21" s="26">
        <f t="shared" si="38"/>
        <v>0.34999999999999992</v>
      </c>
      <c r="AS21" s="26">
        <f t="shared" si="38"/>
        <v>0.34999999999999992</v>
      </c>
      <c r="AU21" s="34" t="s">
        <v>105</v>
      </c>
      <c r="AV21" s="36">
        <f>NPV(AV19,AI15:DZ15)</f>
        <v>4963.8365346211285</v>
      </c>
    </row>
    <row r="22" spans="1:48">
      <c r="C22" s="4" t="s">
        <v>47</v>
      </c>
      <c r="D22" s="26">
        <f t="shared" ref="D22:S22" si="39">D11/D6</f>
        <v>4.8160889124106904E-2</v>
      </c>
      <c r="E22" s="26">
        <f t="shared" si="39"/>
        <v>1.5938303341902313E-2</v>
      </c>
      <c r="F22" s="26">
        <f t="shared" si="39"/>
        <v>2.2413793103448276E-2</v>
      </c>
      <c r="G22" s="26">
        <f t="shared" si="39"/>
        <v>-3.4656084656084656E-2</v>
      </c>
      <c r="H22" s="26">
        <f t="shared" si="39"/>
        <v>-7.5902499228633138E-2</v>
      </c>
      <c r="I22" s="26">
        <f t="shared" si="39"/>
        <v>4.5278137128072441E-3</v>
      </c>
      <c r="J22" s="26">
        <f t="shared" si="39"/>
        <v>3.7064492216456635E-2</v>
      </c>
      <c r="K22" s="26">
        <f t="shared" si="39"/>
        <v>-4.1635124905374715E-2</v>
      </c>
      <c r="L22" s="26">
        <f t="shared" si="39"/>
        <v>-1.6826003824091777E-2</v>
      </c>
      <c r="M22" s="26">
        <f t="shared" si="39"/>
        <v>-5.8302079781793387E-2</v>
      </c>
      <c r="N22" s="26">
        <f t="shared" si="39"/>
        <v>-1.493139628732849E-2</v>
      </c>
      <c r="O22" s="26">
        <f t="shared" si="39"/>
        <v>-0.22890127388535031</v>
      </c>
      <c r="P22" s="26">
        <f t="shared" si="39"/>
        <v>-2.425222312045271E-3</v>
      </c>
      <c r="Q22" s="26">
        <f t="shared" si="39"/>
        <v>-4.4526901669758815E-3</v>
      </c>
      <c r="R22" s="26">
        <f t="shared" si="39"/>
        <v>-0.81542461005199307</v>
      </c>
      <c r="S22" s="26">
        <f t="shared" si="39"/>
        <v>-3.6428571428571428E-2</v>
      </c>
      <c r="T22" s="26">
        <f t="shared" ref="T22" si="40">T11/T6</f>
        <v>1.9662921348314606E-2</v>
      </c>
      <c r="U22" s="26"/>
      <c r="V22" s="26"/>
      <c r="W22" s="26"/>
      <c r="X22" s="14"/>
      <c r="Y22" s="26">
        <f t="shared" ref="Y22:AS22" si="41">Y11/Y6</f>
        <v>9.6934616011739763E-2</v>
      </c>
      <c r="Z22" s="26">
        <f t="shared" si="41"/>
        <v>0.10262492093611639</v>
      </c>
      <c r="AA22" s="26">
        <f t="shared" si="41"/>
        <v>0.10091023226616447</v>
      </c>
      <c r="AB22" s="26">
        <f t="shared" si="41"/>
        <v>7.7068665303959422E-2</v>
      </c>
      <c r="AC22" s="26">
        <f t="shared" si="41"/>
        <v>8.1263460157932524E-2</v>
      </c>
      <c r="AD22" s="26">
        <f t="shared" si="41"/>
        <v>3.4298720665567849E-2</v>
      </c>
      <c r="AE22" s="26">
        <f t="shared" si="41"/>
        <v>7.3547634667249798E-2</v>
      </c>
      <c r="AF22" s="26">
        <f t="shared" si="41"/>
        <v>1.2793891084466475E-2</v>
      </c>
      <c r="AG22" s="26">
        <f t="shared" si="41"/>
        <v>-7.402976145965752E-3</v>
      </c>
      <c r="AH22" s="26">
        <f t="shared" si="41"/>
        <v>-7.8477889542607704E-2</v>
      </c>
      <c r="AI22" s="26">
        <f t="shared" si="41"/>
        <v>-1.3630731102850062E-2</v>
      </c>
      <c r="AJ22" s="30">
        <f t="shared" si="41"/>
        <v>5.0057895801508094E-2</v>
      </c>
      <c r="AK22" s="26">
        <f t="shared" si="41"/>
        <v>5.8627670207179329E-2</v>
      </c>
      <c r="AL22" s="26">
        <f t="shared" si="41"/>
        <v>6.6952593915545575E-2</v>
      </c>
      <c r="AM22" s="26">
        <f t="shared" si="41"/>
        <v>7.5039662660815798E-2</v>
      </c>
      <c r="AN22" s="26">
        <f t="shared" si="41"/>
        <v>8.2895672299078113E-2</v>
      </c>
      <c r="AO22" s="26">
        <f t="shared" si="41"/>
        <v>9.0527224519104527E-2</v>
      </c>
      <c r="AP22" s="26">
        <f t="shared" si="41"/>
        <v>9.7940732389987198E-2</v>
      </c>
      <c r="AQ22" s="26">
        <f t="shared" si="41"/>
        <v>0.10514242575027336</v>
      </c>
      <c r="AR22" s="26">
        <f t="shared" si="41"/>
        <v>0.11213835644312263</v>
      </c>
      <c r="AS22" s="26">
        <f t="shared" si="41"/>
        <v>0.11893440340189057</v>
      </c>
      <c r="AU22" s="1" t="s">
        <v>2</v>
      </c>
      <c r="AV22" s="11">
        <v>1516.316026</v>
      </c>
    </row>
    <row r="23" spans="1:48">
      <c r="D23" s="26"/>
      <c r="E23" s="26"/>
      <c r="F23" s="26"/>
      <c r="G23" s="26"/>
      <c r="H23" s="26"/>
      <c r="I23" s="26"/>
      <c r="J23" s="26"/>
      <c r="K23" s="26"/>
      <c r="L23" s="26"/>
      <c r="M23" s="26"/>
      <c r="N23" s="26"/>
      <c r="O23" s="26"/>
      <c r="P23" s="26"/>
      <c r="Q23" s="26"/>
      <c r="R23" s="26"/>
      <c r="S23" s="26"/>
      <c r="T23" s="26"/>
      <c r="U23" s="26"/>
      <c r="V23" s="26"/>
      <c r="W23" s="26"/>
      <c r="X23" s="14"/>
      <c r="Y23" s="26"/>
      <c r="Z23" s="26"/>
      <c r="AA23" s="26"/>
      <c r="AB23" s="26"/>
      <c r="AC23" s="26"/>
      <c r="AD23" s="26"/>
      <c r="AE23" s="26"/>
      <c r="AF23" s="26"/>
      <c r="AG23" s="26"/>
      <c r="AH23" s="26"/>
      <c r="AI23" s="26"/>
      <c r="AJ23" s="30"/>
      <c r="AK23" s="26"/>
      <c r="AL23" s="26"/>
      <c r="AM23" s="26"/>
      <c r="AN23" s="26"/>
      <c r="AO23" s="26"/>
      <c r="AP23" s="26"/>
      <c r="AQ23" s="26"/>
      <c r="AR23" s="26"/>
      <c r="AS23" s="26"/>
      <c r="AU23" s="3" t="s">
        <v>106</v>
      </c>
      <c r="AV23" s="37">
        <f>AV21/AV22</f>
        <v>3.2736160862954096</v>
      </c>
    </row>
    <row r="24" spans="1:48">
      <c r="A24" s="3"/>
      <c r="B24" s="63"/>
      <c r="C24" s="4" t="s">
        <v>157</v>
      </c>
      <c r="D24" s="1">
        <v>-18</v>
      </c>
      <c r="E24" s="1">
        <v>254</v>
      </c>
      <c r="F24" s="1">
        <v>336</v>
      </c>
      <c r="G24" s="1">
        <v>431</v>
      </c>
      <c r="H24" s="1">
        <v>386</v>
      </c>
      <c r="I24" s="1">
        <v>303</v>
      </c>
      <c r="J24" s="1">
        <v>272</v>
      </c>
      <c r="K24" s="1">
        <v>97</v>
      </c>
      <c r="L24" s="1">
        <v>169</v>
      </c>
      <c r="M24" s="1">
        <v>176</v>
      </c>
      <c r="N24" s="1">
        <v>207</v>
      </c>
      <c r="O24" s="1">
        <v>107</v>
      </c>
      <c r="P24" s="1">
        <v>143</v>
      </c>
      <c r="Q24" s="1">
        <v>76</v>
      </c>
      <c r="R24" s="1">
        <v>154</v>
      </c>
      <c r="S24" s="1">
        <v>48</v>
      </c>
      <c r="T24" s="58">
        <v>123</v>
      </c>
      <c r="X24" s="14"/>
      <c r="Y24" s="22">
        <v>1486</v>
      </c>
      <c r="Z24" s="22">
        <v>1585</v>
      </c>
      <c r="AA24" s="22">
        <v>1573</v>
      </c>
      <c r="AB24" s="22">
        <v>1344</v>
      </c>
      <c r="AC24" s="22">
        <v>1967</v>
      </c>
      <c r="AD24" s="22">
        <v>1426</v>
      </c>
      <c r="AE24" s="22">
        <v>1809</v>
      </c>
      <c r="AF24" s="22">
        <v>1090</v>
      </c>
      <c r="AG24" s="22">
        <v>549</v>
      </c>
      <c r="AH24" s="22">
        <v>470</v>
      </c>
      <c r="AI24" s="22">
        <v>421</v>
      </c>
      <c r="AJ24" s="20"/>
      <c r="AK24" s="22"/>
      <c r="AL24" s="22"/>
      <c r="AM24" s="22"/>
      <c r="AN24" s="22"/>
      <c r="AO24" s="22"/>
      <c r="AP24" s="22"/>
      <c r="AQ24" s="22"/>
      <c r="AR24" s="22"/>
      <c r="AU24" s="39" t="s">
        <v>107</v>
      </c>
      <c r="AV24" s="40">
        <f>(AV23-B4)/B4</f>
        <v>0.7908184279515369</v>
      </c>
    </row>
    <row r="25" spans="1:48">
      <c r="C25" s="60" t="s">
        <v>158</v>
      </c>
      <c r="D25" s="14">
        <v>-5.0000000000000001E-3</v>
      </c>
      <c r="E25" s="14">
        <v>7.0999999999999994E-2</v>
      </c>
      <c r="F25" s="14">
        <v>0.108</v>
      </c>
      <c r="G25" s="14">
        <v>0.123</v>
      </c>
      <c r="H25" s="14">
        <v>0.10199999999999999</v>
      </c>
      <c r="I25" s="14">
        <v>7.8E-2</v>
      </c>
      <c r="J25" s="14">
        <v>7.8E-2</v>
      </c>
      <c r="K25" s="14">
        <v>3.9E-2</v>
      </c>
      <c r="L25" s="14">
        <v>6.8000000000000005E-2</v>
      </c>
      <c r="M25" s="14">
        <v>6.5000000000000002E-2</v>
      </c>
      <c r="N25" s="14">
        <v>0.09</v>
      </c>
      <c r="O25" s="14">
        <v>0.04</v>
      </c>
      <c r="P25" s="14">
        <v>5.5E-2</v>
      </c>
      <c r="Q25" s="14">
        <v>2.5999999999999999E-2</v>
      </c>
      <c r="R25" s="14">
        <v>6.2E-2</v>
      </c>
      <c r="S25" s="14">
        <v>3.4000000000000002E-2</v>
      </c>
      <c r="T25" s="14">
        <v>3.4000000000000002E-2</v>
      </c>
      <c r="U25" s="14"/>
      <c r="V25" s="14"/>
      <c r="W25" s="14"/>
      <c r="X25" s="14"/>
      <c r="Y25" s="14">
        <v>0.121</v>
      </c>
      <c r="Z25" s="14">
        <v>0.125</v>
      </c>
      <c r="AA25" s="14">
        <v>0.123</v>
      </c>
      <c r="AB25" s="14">
        <v>0.10199999999999999</v>
      </c>
      <c r="AC25" s="14">
        <v>0.14099999999999999</v>
      </c>
      <c r="AD25" s="14">
        <v>0.112</v>
      </c>
      <c r="AE25" s="14">
        <v>0.13200000000000001</v>
      </c>
      <c r="AF25" s="14">
        <v>7.2999999999999995E-2</v>
      </c>
      <c r="AG25" s="14">
        <v>4.7E-2</v>
      </c>
      <c r="AH25" s="14">
        <v>4.4999999999999998E-2</v>
      </c>
      <c r="AI25" s="14">
        <f>AI24/AI6</f>
        <v>4.7425932184296499E-2</v>
      </c>
      <c r="AJ25" s="15"/>
      <c r="AK25" s="14"/>
      <c r="AL25" s="14"/>
      <c r="AM25" s="14"/>
      <c r="AN25" s="14"/>
      <c r="AO25" s="14"/>
      <c r="AP25" s="14"/>
      <c r="AQ25" s="14"/>
      <c r="AR25" s="14"/>
      <c r="AS25" s="14"/>
    </row>
    <row r="26" spans="1:48">
      <c r="C26" s="60" t="s">
        <v>161</v>
      </c>
      <c r="G26" s="22">
        <f>SUM(D24:G24)</f>
        <v>1003</v>
      </c>
      <c r="H26" s="22">
        <f>SUM(E24:H24)</f>
        <v>1407</v>
      </c>
      <c r="I26" s="22">
        <f t="shared" ref="I26:Q26" si="42">SUM(F24:I24)</f>
        <v>1456</v>
      </c>
      <c r="J26" s="22">
        <f t="shared" si="42"/>
        <v>1392</v>
      </c>
      <c r="K26" s="22">
        <f t="shared" si="42"/>
        <v>1058</v>
      </c>
      <c r="L26" s="22">
        <f t="shared" si="42"/>
        <v>841</v>
      </c>
      <c r="M26" s="22">
        <f t="shared" si="42"/>
        <v>714</v>
      </c>
      <c r="N26" s="22">
        <f t="shared" si="42"/>
        <v>649</v>
      </c>
      <c r="O26" s="22">
        <f t="shared" si="42"/>
        <v>659</v>
      </c>
      <c r="P26" s="22">
        <f t="shared" si="42"/>
        <v>633</v>
      </c>
      <c r="Q26" s="22">
        <f t="shared" si="42"/>
        <v>533</v>
      </c>
      <c r="R26" s="22">
        <f>SUM(O24:R24)</f>
        <v>480</v>
      </c>
      <c r="S26" s="22">
        <f>SUM(P24:S24)</f>
        <v>421</v>
      </c>
      <c r="T26" s="22">
        <f>SUM(Q24:T24)</f>
        <v>401</v>
      </c>
      <c r="U26" s="22"/>
      <c r="V26" s="22"/>
      <c r="W26" s="22"/>
      <c r="X26" s="22"/>
      <c r="Y26" s="14"/>
      <c r="Z26" s="14"/>
      <c r="AA26" s="14"/>
      <c r="AB26" s="14"/>
      <c r="AC26" s="14"/>
      <c r="AD26" s="14"/>
      <c r="AE26" s="14"/>
      <c r="AF26" s="14"/>
      <c r="AG26" s="14"/>
      <c r="AH26" s="14"/>
      <c r="AI26" s="14"/>
      <c r="AJ26" s="15"/>
      <c r="AK26" s="14"/>
      <c r="AL26" s="14"/>
      <c r="AM26" s="14"/>
      <c r="AN26" s="14"/>
      <c r="AO26" s="14"/>
      <c r="AP26" s="14"/>
      <c r="AQ26" s="14"/>
      <c r="AR26" s="14"/>
      <c r="AS26" s="14"/>
    </row>
    <row r="27" spans="1:48">
      <c r="D27" s="26"/>
      <c r="E27" s="26"/>
      <c r="F27" s="26"/>
      <c r="G27" s="26"/>
      <c r="H27" s="26"/>
      <c r="I27" s="26"/>
      <c r="J27" s="26"/>
      <c r="K27" s="26"/>
      <c r="L27" s="26"/>
      <c r="M27" s="26"/>
      <c r="N27" s="26"/>
      <c r="O27" s="26"/>
      <c r="P27" s="26"/>
      <c r="Q27" s="26"/>
      <c r="R27" s="26"/>
      <c r="S27" s="26"/>
      <c r="T27" s="26"/>
      <c r="U27" s="26"/>
      <c r="V27" s="26"/>
      <c r="W27" s="26"/>
    </row>
    <row r="28" spans="1:48">
      <c r="C28" s="4" t="s">
        <v>48</v>
      </c>
      <c r="D28" s="26"/>
      <c r="E28" s="26"/>
      <c r="F28" s="26"/>
      <c r="G28" s="26"/>
      <c r="H28" s="26">
        <f t="shared" ref="H28:T29" si="43">(H4-D4)/D4</f>
        <v>-3.9705882352941174E-2</v>
      </c>
      <c r="I28" s="26">
        <f t="shared" si="43"/>
        <v>-0.13271461716937355</v>
      </c>
      <c r="J28" s="26">
        <f t="shared" si="43"/>
        <v>-0.16197975253093364</v>
      </c>
      <c r="K28" s="26">
        <f t="shared" si="43"/>
        <v>-0.23723869713174525</v>
      </c>
      <c r="L28" s="26">
        <f t="shared" si="43"/>
        <v>-0.25267993874425726</v>
      </c>
      <c r="M28" s="26">
        <f t="shared" si="43"/>
        <v>-0.13643659711075443</v>
      </c>
      <c r="N28" s="26">
        <f t="shared" si="43"/>
        <v>-0.13892617449664429</v>
      </c>
      <c r="O28" s="26">
        <f t="shared" si="43"/>
        <v>-0.10516252390057361</v>
      </c>
      <c r="P28" s="26">
        <f t="shared" si="43"/>
        <v>-1.2295081967213115E-2</v>
      </c>
      <c r="Q28" s="26">
        <f t="shared" si="43"/>
        <v>-6.1957868649318466E-2</v>
      </c>
      <c r="R28" s="26">
        <f t="shared" si="43"/>
        <v>-1.6367887763055339E-2</v>
      </c>
      <c r="S28" s="26">
        <f t="shared" si="43"/>
        <v>-2.8490028490028491E-3</v>
      </c>
      <c r="T28" s="26">
        <f t="shared" si="43"/>
        <v>-1.5214384508990318E-2</v>
      </c>
      <c r="U28" s="26"/>
      <c r="V28" s="26"/>
      <c r="W28" s="26"/>
      <c r="X28" s="14"/>
      <c r="Y28" s="14"/>
      <c r="Z28" s="14"/>
      <c r="AA28" s="14"/>
      <c r="AB28" s="14"/>
      <c r="AC28" s="14"/>
      <c r="AG28" s="14"/>
      <c r="AH28" s="14"/>
      <c r="AI28" s="14"/>
      <c r="AJ28" s="15"/>
      <c r="AK28" s="14"/>
      <c r="AL28" s="14"/>
      <c r="AM28" s="14"/>
      <c r="AN28" s="14"/>
      <c r="AO28" s="14"/>
      <c r="AP28" s="14"/>
      <c r="AQ28" s="14"/>
      <c r="AR28" s="14"/>
      <c r="AS28" s="14"/>
    </row>
    <row r="29" spans="1:48">
      <c r="C29" s="4" t="s">
        <v>49</v>
      </c>
      <c r="D29" s="26"/>
      <c r="E29" s="26"/>
      <c r="F29" s="26"/>
      <c r="G29" s="26"/>
      <c r="H29" s="26">
        <f t="shared" si="43"/>
        <v>2.3455824863174357E-3</v>
      </c>
      <c r="I29" s="26">
        <f t="shared" si="43"/>
        <v>-4.8989113530326596E-2</v>
      </c>
      <c r="J29" s="26">
        <f t="shared" si="43"/>
        <v>-2.5806451612903226E-2</v>
      </c>
      <c r="K29" s="26">
        <f t="shared" si="43"/>
        <v>-0.16304347826086957</v>
      </c>
      <c r="L29" s="26">
        <f t="shared" si="43"/>
        <v>-0.10218408736349453</v>
      </c>
      <c r="M29" s="26">
        <f t="shared" si="43"/>
        <v>7.8495502861815211E-2</v>
      </c>
      <c r="N29" s="26">
        <f t="shared" si="43"/>
        <v>-1.0761589403973509E-2</v>
      </c>
      <c r="O29" s="26">
        <f t="shared" si="43"/>
        <v>0.1068931068931069</v>
      </c>
      <c r="P29" s="26">
        <f t="shared" si="43"/>
        <v>-0.10686359687228497</v>
      </c>
      <c r="Q29" s="26">
        <f t="shared" si="43"/>
        <v>-0.10462471569370735</v>
      </c>
      <c r="R29" s="26">
        <f t="shared" si="43"/>
        <v>-0.12468619246861924</v>
      </c>
      <c r="S29" s="26">
        <f t="shared" si="43"/>
        <v>-1</v>
      </c>
      <c r="T29" s="26"/>
      <c r="U29" s="26"/>
      <c r="V29" s="26"/>
      <c r="W29" s="26"/>
      <c r="X29" s="14"/>
      <c r="Y29" s="14"/>
      <c r="Z29" s="14"/>
      <c r="AA29" s="14"/>
      <c r="AB29" s="14"/>
      <c r="AC29" s="14"/>
      <c r="AG29" s="14"/>
      <c r="AH29" s="14"/>
      <c r="AI29" s="14"/>
      <c r="AJ29" s="15"/>
      <c r="AK29" s="14"/>
      <c r="AL29" s="14"/>
      <c r="AM29" s="14"/>
      <c r="AN29" s="14"/>
      <c r="AO29" s="14"/>
      <c r="AP29" s="14"/>
      <c r="AQ29" s="14"/>
      <c r="AR29" s="14"/>
      <c r="AS29" s="14"/>
    </row>
    <row r="30" spans="1:48">
      <c r="D30" s="26"/>
      <c r="E30" s="26"/>
      <c r="F30" s="26"/>
      <c r="G30" s="26"/>
      <c r="H30" s="26"/>
      <c r="I30" s="26"/>
      <c r="J30" s="26"/>
      <c r="K30" s="26"/>
      <c r="L30" s="26"/>
      <c r="M30" s="26"/>
      <c r="N30" s="26"/>
      <c r="O30" s="26"/>
      <c r="P30" s="26"/>
      <c r="Q30" s="26"/>
      <c r="R30" s="26"/>
      <c r="S30" s="26"/>
      <c r="T30" s="26"/>
      <c r="U30" s="26"/>
      <c r="V30" s="26"/>
      <c r="W30" s="26"/>
      <c r="X30" s="14"/>
      <c r="Y30" s="14"/>
      <c r="Z30" s="14"/>
      <c r="AA30" s="14"/>
      <c r="AB30" s="14"/>
      <c r="AC30" s="14"/>
      <c r="AG30" s="14"/>
      <c r="AH30" s="14"/>
      <c r="AI30" s="14"/>
      <c r="AJ30" s="15"/>
      <c r="AK30" s="14"/>
      <c r="AL30" s="14"/>
      <c r="AM30" s="14"/>
      <c r="AN30" s="14"/>
      <c r="AO30" s="14"/>
      <c r="AP30" s="14"/>
      <c r="AQ30" s="14"/>
      <c r="AR30" s="14"/>
      <c r="AS30" s="14"/>
    </row>
    <row r="31" spans="1:48">
      <c r="C31" s="4" t="s">
        <v>144</v>
      </c>
      <c r="D31" s="14"/>
      <c r="E31" s="14"/>
      <c r="F31" s="14"/>
      <c r="G31" s="14"/>
      <c r="H31" s="14"/>
      <c r="I31" s="14"/>
      <c r="J31" s="14"/>
      <c r="K31" s="14"/>
      <c r="L31" s="14"/>
      <c r="M31" s="14"/>
      <c r="N31" s="14"/>
      <c r="O31" s="14"/>
      <c r="P31" s="14"/>
      <c r="Q31" s="14"/>
      <c r="R31" s="14"/>
      <c r="S31" s="14"/>
      <c r="T31" s="14"/>
      <c r="U31" s="14"/>
      <c r="V31" s="14"/>
      <c r="W31" s="14"/>
      <c r="X31" s="14"/>
      <c r="Y31" s="14">
        <v>0.24099999999999999</v>
      </c>
      <c r="Z31" s="14">
        <v>0.13</v>
      </c>
      <c r="AA31" s="14">
        <v>0.27800000000000002</v>
      </c>
      <c r="AB31" s="14">
        <v>0.20200000000000001</v>
      </c>
      <c r="AC31" s="14">
        <v>0.20399999999999999</v>
      </c>
      <c r="AD31" s="14">
        <v>6.0999999999999999E-2</v>
      </c>
      <c r="AE31" s="14">
        <v>0.151</v>
      </c>
      <c r="AF31" s="14">
        <v>0</v>
      </c>
      <c r="AG31" s="14">
        <v>-7.6999999999999999E-2</v>
      </c>
      <c r="AH31" s="14">
        <v>-0.31</v>
      </c>
      <c r="AI31" s="14"/>
      <c r="AJ31" s="15"/>
      <c r="AK31" s="14"/>
      <c r="AL31" s="14"/>
      <c r="AM31" s="14"/>
      <c r="AN31" s="14"/>
      <c r="AO31" s="14"/>
      <c r="AP31" s="14"/>
      <c r="AQ31" s="14"/>
      <c r="AR31" s="14"/>
      <c r="AS31" s="14"/>
    </row>
    <row r="33" spans="3:32">
      <c r="C33" s="19" t="s">
        <v>50</v>
      </c>
      <c r="AF33" s="22"/>
    </row>
    <row r="34" spans="3:32">
      <c r="C34" s="4" t="s">
        <v>51</v>
      </c>
      <c r="D34" s="22">
        <v>3093</v>
      </c>
      <c r="E34" s="22">
        <v>3160</v>
      </c>
      <c r="F34" s="22">
        <v>3187</v>
      </c>
      <c r="G34" s="22">
        <v>3232</v>
      </c>
      <c r="H34" s="22">
        <v>3275</v>
      </c>
      <c r="I34" s="22">
        <v>3461</v>
      </c>
      <c r="J34" s="22">
        <v>3366</v>
      </c>
      <c r="K34" s="22">
        <v>3247</v>
      </c>
      <c r="L34" s="22">
        <v>2631</v>
      </c>
      <c r="M34" s="22">
        <v>2617</v>
      </c>
      <c r="N34" s="22">
        <v>2626</v>
      </c>
      <c r="O34" s="22">
        <v>2190</v>
      </c>
      <c r="P34" s="22">
        <v>2069</v>
      </c>
      <c r="Q34" s="22">
        <v>2085</v>
      </c>
      <c r="R34" s="22">
        <v>687</v>
      </c>
      <c r="S34" s="22">
        <v>674</v>
      </c>
      <c r="T34" s="22">
        <v>685</v>
      </c>
      <c r="U34" s="22"/>
      <c r="V34" s="22"/>
      <c r="W34" s="22"/>
      <c r="X34" s="22"/>
      <c r="AF34" s="22"/>
    </row>
    <row r="35" spans="3:32">
      <c r="C35" s="4" t="s">
        <v>52</v>
      </c>
      <c r="D35" s="22">
        <v>409</v>
      </c>
      <c r="E35" s="22">
        <v>400</v>
      </c>
      <c r="F35" s="22">
        <v>390</v>
      </c>
      <c r="G35" s="22">
        <v>418</v>
      </c>
      <c r="H35" s="22">
        <v>421</v>
      </c>
      <c r="I35" s="22">
        <v>478</v>
      </c>
      <c r="J35" s="22">
        <v>524</v>
      </c>
      <c r="K35" s="22">
        <v>560</v>
      </c>
      <c r="L35" s="22">
        <v>633</v>
      </c>
      <c r="M35" s="22">
        <v>672</v>
      </c>
      <c r="N35" s="22">
        <v>652</v>
      </c>
      <c r="O35" s="22">
        <v>684</v>
      </c>
      <c r="P35" s="22">
        <v>706</v>
      </c>
      <c r="Q35" s="22">
        <v>735</v>
      </c>
      <c r="R35" s="22">
        <v>508</v>
      </c>
      <c r="S35" s="22">
        <v>520</v>
      </c>
      <c r="T35" s="22">
        <v>534</v>
      </c>
      <c r="U35" s="22"/>
      <c r="V35" s="22"/>
      <c r="W35" s="22"/>
      <c r="X35" s="22"/>
      <c r="AF35" s="22"/>
    </row>
    <row r="36" spans="3:32">
      <c r="C36" s="4" t="s">
        <v>53</v>
      </c>
      <c r="D36" s="22">
        <v>2119</v>
      </c>
      <c r="E36" s="22">
        <v>2435</v>
      </c>
      <c r="F36" s="22">
        <v>2786</v>
      </c>
      <c r="G36" s="22">
        <v>3131</v>
      </c>
      <c r="H36" s="22">
        <v>3406</v>
      </c>
      <c r="I36" s="22">
        <v>3661</v>
      </c>
      <c r="J36" s="22">
        <v>3983</v>
      </c>
      <c r="K36" s="22">
        <v>3189</v>
      </c>
      <c r="L36" s="22">
        <v>3121</v>
      </c>
      <c r="M36" s="22">
        <v>3172</v>
      </c>
      <c r="N36" s="22">
        <v>3367</v>
      </c>
      <c r="O36" s="22">
        <v>3569</v>
      </c>
      <c r="P36" s="22">
        <v>3575</v>
      </c>
      <c r="Q36" s="22">
        <v>3633</v>
      </c>
      <c r="R36" s="22">
        <v>3613</v>
      </c>
      <c r="S36" s="22">
        <v>3062</v>
      </c>
      <c r="T36" s="22">
        <v>3083</v>
      </c>
      <c r="U36" s="22"/>
      <c r="V36" s="22"/>
      <c r="W36" s="22"/>
      <c r="X36" s="22"/>
      <c r="AF36" s="22"/>
    </row>
    <row r="37" spans="3:32">
      <c r="C37" s="4" t="s">
        <v>54</v>
      </c>
      <c r="D37" s="22">
        <v>1795</v>
      </c>
      <c r="E37" s="22">
        <v>1733</v>
      </c>
      <c r="F37" s="22">
        <v>1732</v>
      </c>
      <c r="G37" s="22">
        <v>1826</v>
      </c>
      <c r="H37" s="22">
        <v>1808</v>
      </c>
      <c r="I37" s="22">
        <v>1778</v>
      </c>
      <c r="J37" s="22">
        <v>1748</v>
      </c>
      <c r="K37" s="22">
        <v>1627</v>
      </c>
      <c r="L37" s="22">
        <v>2507</v>
      </c>
      <c r="M37" s="22">
        <v>2463</v>
      </c>
      <c r="N37" s="22">
        <v>2482</v>
      </c>
      <c r="O37" s="22">
        <v>2433</v>
      </c>
      <c r="P37" s="22">
        <v>2234</v>
      </c>
      <c r="Q37" s="22">
        <v>2310</v>
      </c>
      <c r="R37" s="22">
        <v>1955</v>
      </c>
      <c r="S37" s="22">
        <v>1452</v>
      </c>
      <c r="T37" s="22">
        <v>1369</v>
      </c>
      <c r="U37" s="22"/>
      <c r="V37" s="22"/>
      <c r="W37" s="22"/>
      <c r="X37" s="22"/>
      <c r="AF37" s="22"/>
    </row>
    <row r="38" spans="3:32">
      <c r="C38" s="4" t="s">
        <v>55</v>
      </c>
      <c r="D38" s="22">
        <v>0</v>
      </c>
      <c r="E38" s="22">
        <v>0</v>
      </c>
      <c r="F38" s="22">
        <v>0</v>
      </c>
      <c r="G38" s="22">
        <v>0</v>
      </c>
      <c r="H38" s="22">
        <v>0</v>
      </c>
      <c r="I38" s="22">
        <v>0</v>
      </c>
      <c r="J38" s="22">
        <v>0</v>
      </c>
      <c r="K38" s="22">
        <v>0</v>
      </c>
      <c r="L38" s="22">
        <v>56</v>
      </c>
      <c r="M38" s="22">
        <v>59</v>
      </c>
      <c r="N38" s="22">
        <v>59</v>
      </c>
      <c r="O38" s="22">
        <v>61</v>
      </c>
      <c r="P38" s="22">
        <v>58</v>
      </c>
      <c r="Q38" s="22">
        <v>62</v>
      </c>
      <c r="R38" s="22">
        <v>62</v>
      </c>
      <c r="S38" s="22">
        <v>87</v>
      </c>
      <c r="T38" s="22">
        <v>77</v>
      </c>
      <c r="U38" s="22"/>
      <c r="V38" s="22"/>
      <c r="W38" s="22"/>
      <c r="X38" s="22"/>
      <c r="AF38" s="22"/>
    </row>
    <row r="39" spans="3:32">
      <c r="C39" s="4" t="s">
        <v>56</v>
      </c>
      <c r="D39" s="22">
        <v>83</v>
      </c>
      <c r="E39" s="22">
        <v>87</v>
      </c>
      <c r="F39" s="22">
        <v>85</v>
      </c>
      <c r="G39" s="22">
        <v>86</v>
      </c>
      <c r="H39" s="22">
        <v>92</v>
      </c>
      <c r="I39" s="22">
        <v>87</v>
      </c>
      <c r="J39" s="22">
        <v>85</v>
      </c>
      <c r="K39" s="22">
        <v>79</v>
      </c>
      <c r="L39" s="22">
        <v>77</v>
      </c>
      <c r="M39" s="22">
        <v>74</v>
      </c>
      <c r="N39" s="22">
        <v>71</v>
      </c>
      <c r="O39" s="22">
        <v>90</v>
      </c>
      <c r="P39" s="22">
        <v>79</v>
      </c>
      <c r="Q39" s="22">
        <v>80</v>
      </c>
      <c r="R39" s="22">
        <v>78</v>
      </c>
      <c r="S39" s="22">
        <v>38</v>
      </c>
      <c r="T39" s="22">
        <v>38</v>
      </c>
      <c r="U39" s="22"/>
      <c r="V39" s="22"/>
      <c r="W39" s="22"/>
      <c r="X39" s="22"/>
      <c r="AF39" s="22"/>
    </row>
    <row r="40" spans="3:32">
      <c r="C40" s="4" t="s">
        <v>57</v>
      </c>
      <c r="D40" s="22">
        <v>70</v>
      </c>
      <c r="E40" s="22">
        <v>68</v>
      </c>
      <c r="F40" s="22">
        <v>137</v>
      </c>
      <c r="G40" s="22">
        <v>240</v>
      </c>
      <c r="H40" s="22">
        <v>330</v>
      </c>
      <c r="I40" s="22">
        <v>364</v>
      </c>
      <c r="J40" s="22">
        <v>378</v>
      </c>
      <c r="K40" s="22">
        <v>390</v>
      </c>
      <c r="L40" s="22">
        <v>511</v>
      </c>
      <c r="M40" s="22">
        <v>547</v>
      </c>
      <c r="N40" s="22">
        <v>577</v>
      </c>
      <c r="O40" s="22">
        <v>472</v>
      </c>
      <c r="P40" s="22">
        <v>445</v>
      </c>
      <c r="Q40" s="22">
        <v>449</v>
      </c>
      <c r="R40" s="22">
        <v>503</v>
      </c>
      <c r="S40" s="22">
        <v>200</v>
      </c>
      <c r="T40" s="22">
        <v>203</v>
      </c>
      <c r="U40" s="22"/>
      <c r="V40" s="22"/>
      <c r="W40" s="22"/>
      <c r="X40" s="22"/>
      <c r="AF40" s="22"/>
    </row>
    <row r="41" spans="3:32">
      <c r="C41" s="4" t="s">
        <v>58</v>
      </c>
      <c r="D41" s="22">
        <v>1302</v>
      </c>
      <c r="E41" s="22">
        <v>1437</v>
      </c>
      <c r="F41" s="22">
        <v>1516</v>
      </c>
      <c r="G41" s="22">
        <v>1478</v>
      </c>
      <c r="H41" s="22">
        <v>1429</v>
      </c>
      <c r="I41" s="22">
        <v>1417</v>
      </c>
      <c r="J41" s="22">
        <v>1347</v>
      </c>
      <c r="K41" s="22">
        <v>1218</v>
      </c>
      <c r="L41" s="22">
        <v>1189</v>
      </c>
      <c r="M41" s="22">
        <v>1164</v>
      </c>
      <c r="N41" s="22">
        <v>1126</v>
      </c>
      <c r="O41" s="22">
        <v>1068</v>
      </c>
      <c r="P41" s="22">
        <v>1065</v>
      </c>
      <c r="Q41" s="22">
        <v>1043</v>
      </c>
      <c r="R41" s="22">
        <v>998</v>
      </c>
      <c r="S41" s="22">
        <v>399</v>
      </c>
      <c r="T41" s="22">
        <v>421</v>
      </c>
      <c r="U41" s="22"/>
      <c r="V41" s="22"/>
      <c r="W41" s="22"/>
      <c r="X41" s="22"/>
      <c r="AF41" s="22"/>
    </row>
    <row r="42" spans="3:32">
      <c r="C42" s="4" t="s">
        <v>59</v>
      </c>
      <c r="D42" s="22">
        <v>1701</v>
      </c>
      <c r="E42" s="22">
        <v>1694</v>
      </c>
      <c r="F42" s="22">
        <v>1791</v>
      </c>
      <c r="G42" s="22">
        <v>1495</v>
      </c>
      <c r="H42" s="22">
        <v>1697</v>
      </c>
      <c r="I42" s="22">
        <v>1684</v>
      </c>
      <c r="J42" s="22">
        <v>1505</v>
      </c>
      <c r="K42" s="22">
        <v>1160</v>
      </c>
      <c r="L42" s="22">
        <v>1270</v>
      </c>
      <c r="M42" s="22">
        <v>1263</v>
      </c>
      <c r="N42" s="22">
        <v>1191</v>
      </c>
      <c r="O42" s="22">
        <v>940</v>
      </c>
      <c r="P42" s="22">
        <v>1054</v>
      </c>
      <c r="Q42" s="22">
        <v>1065</v>
      </c>
      <c r="R42" s="22">
        <v>991</v>
      </c>
      <c r="S42" s="22">
        <v>486</v>
      </c>
      <c r="T42" s="22">
        <v>681</v>
      </c>
      <c r="U42" s="22"/>
      <c r="V42" s="22"/>
      <c r="W42" s="22"/>
      <c r="X42" s="22"/>
      <c r="AF42" s="22"/>
    </row>
    <row r="43" spans="3:32">
      <c r="C43" s="4" t="s">
        <v>60</v>
      </c>
      <c r="D43" s="22">
        <v>2</v>
      </c>
      <c r="E43" s="22">
        <v>1</v>
      </c>
      <c r="F43" s="22">
        <v>1</v>
      </c>
      <c r="G43" s="22">
        <v>2</v>
      </c>
      <c r="H43" s="22">
        <v>2</v>
      </c>
      <c r="I43" s="22">
        <v>1</v>
      </c>
      <c r="J43" s="22">
        <v>8</v>
      </c>
      <c r="K43" s="22">
        <v>3</v>
      </c>
      <c r="L43" s="22">
        <v>4</v>
      </c>
      <c r="M43" s="22">
        <v>7</v>
      </c>
      <c r="N43" s="22">
        <v>6</v>
      </c>
      <c r="O43" s="22">
        <v>17</v>
      </c>
      <c r="P43" s="22">
        <v>11</v>
      </c>
      <c r="Q43" s="22">
        <v>11</v>
      </c>
      <c r="R43" s="22">
        <v>0</v>
      </c>
      <c r="S43" s="22">
        <v>16</v>
      </c>
      <c r="T43" s="22">
        <v>17</v>
      </c>
      <c r="U43" s="22"/>
      <c r="V43" s="22"/>
      <c r="W43" s="22"/>
      <c r="X43" s="22"/>
      <c r="AF43" s="22"/>
    </row>
    <row r="44" spans="3:32">
      <c r="C44" s="4" t="s">
        <v>149</v>
      </c>
      <c r="D44" s="22">
        <v>505</v>
      </c>
      <c r="E44" s="22">
        <v>584</v>
      </c>
      <c r="F44" s="22">
        <v>598</v>
      </c>
      <c r="G44" s="22">
        <v>524</v>
      </c>
      <c r="H44" s="22">
        <v>599</v>
      </c>
      <c r="I44" s="22">
        <v>619</v>
      </c>
      <c r="J44" s="22">
        <v>852</v>
      </c>
      <c r="K44" s="22">
        <v>596</v>
      </c>
      <c r="L44" s="22">
        <v>963</v>
      </c>
      <c r="M44" s="22">
        <v>870</v>
      </c>
      <c r="N44" s="22">
        <v>883</v>
      </c>
      <c r="O44" s="22">
        <v>503</v>
      </c>
      <c r="P44" s="22">
        <v>599</v>
      </c>
      <c r="Q44" s="22">
        <v>570</v>
      </c>
      <c r="R44" s="22">
        <v>481</v>
      </c>
      <c r="S44" s="22">
        <v>339</v>
      </c>
      <c r="T44" s="22">
        <v>358</v>
      </c>
      <c r="U44" s="22"/>
      <c r="V44" s="22"/>
      <c r="W44" s="22"/>
      <c r="X44" s="22"/>
      <c r="AF44" s="22"/>
    </row>
    <row r="45" spans="3:32">
      <c r="C45" s="4" t="s">
        <v>61</v>
      </c>
      <c r="D45" s="22">
        <v>1394</v>
      </c>
      <c r="E45" s="22">
        <v>905</v>
      </c>
      <c r="F45" s="22">
        <v>387</v>
      </c>
      <c r="G45" s="22">
        <v>340</v>
      </c>
      <c r="H45" s="22">
        <v>715</v>
      </c>
      <c r="I45" s="22">
        <v>667</v>
      </c>
      <c r="J45" s="22">
        <v>330</v>
      </c>
      <c r="K45" s="22">
        <v>412</v>
      </c>
      <c r="L45" s="22">
        <v>244</v>
      </c>
      <c r="M45" s="22">
        <v>0</v>
      </c>
      <c r="N45" s="22">
        <v>129</v>
      </c>
      <c r="O45" s="22">
        <v>270</v>
      </c>
      <c r="P45" s="22">
        <v>86</v>
      </c>
      <c r="Q45" s="22">
        <v>50</v>
      </c>
      <c r="R45" s="22">
        <v>0</v>
      </c>
      <c r="S45" s="22">
        <v>39</v>
      </c>
      <c r="T45" s="22">
        <v>31</v>
      </c>
      <c r="U45" s="22"/>
      <c r="V45" s="22"/>
      <c r="W45" s="22"/>
      <c r="X45" s="22"/>
      <c r="AF45" s="22"/>
    </row>
    <row r="46" spans="3:32">
      <c r="C46" s="4" t="s">
        <v>62</v>
      </c>
      <c r="D46" s="22">
        <v>0</v>
      </c>
      <c r="E46" s="22">
        <v>0</v>
      </c>
      <c r="F46" s="22">
        <v>0</v>
      </c>
      <c r="G46" s="22">
        <v>0</v>
      </c>
      <c r="H46" s="22">
        <v>0</v>
      </c>
      <c r="I46" s="22">
        <v>57</v>
      </c>
      <c r="J46" s="22">
        <v>0</v>
      </c>
      <c r="K46" s="22">
        <v>1134</v>
      </c>
      <c r="L46" s="22">
        <v>0</v>
      </c>
      <c r="M46" s="22">
        <v>0</v>
      </c>
      <c r="N46" s="22">
        <v>0</v>
      </c>
      <c r="O46" s="22">
        <v>0</v>
      </c>
      <c r="P46" s="22">
        <v>0</v>
      </c>
      <c r="Q46" s="22">
        <v>0</v>
      </c>
      <c r="R46" s="22">
        <v>0</v>
      </c>
      <c r="S46" s="22">
        <v>1724</v>
      </c>
      <c r="T46" s="22">
        <v>0</v>
      </c>
      <c r="U46" s="22"/>
      <c r="V46" s="22"/>
      <c r="W46" s="22"/>
      <c r="X46" s="22"/>
      <c r="AF46" s="64"/>
    </row>
    <row r="47" spans="3:32">
      <c r="C47" s="8" t="s">
        <v>63</v>
      </c>
      <c r="D47" s="23">
        <f t="shared" ref="D47:M47" si="44">SUM(D34:D46)</f>
        <v>12473</v>
      </c>
      <c r="E47" s="23">
        <f t="shared" si="44"/>
        <v>12504</v>
      </c>
      <c r="F47" s="23">
        <f t="shared" si="44"/>
        <v>12610</v>
      </c>
      <c r="G47" s="23">
        <f t="shared" si="44"/>
        <v>12772</v>
      </c>
      <c r="H47" s="23">
        <f t="shared" si="44"/>
        <v>13774</v>
      </c>
      <c r="I47" s="23">
        <f t="shared" si="44"/>
        <v>14274</v>
      </c>
      <c r="J47" s="23">
        <f t="shared" si="44"/>
        <v>14126</v>
      </c>
      <c r="K47" s="23">
        <f t="shared" si="44"/>
        <v>13615</v>
      </c>
      <c r="L47" s="23">
        <f t="shared" si="44"/>
        <v>13206</v>
      </c>
      <c r="M47" s="23">
        <f t="shared" si="44"/>
        <v>12908</v>
      </c>
      <c r="N47" s="23">
        <f>SUM(N34:N46)</f>
        <v>13169</v>
      </c>
      <c r="O47" s="23">
        <f>SUM(O34:O46)</f>
        <v>12297</v>
      </c>
      <c r="P47" s="23">
        <f>SUM(P34:P46)</f>
        <v>11981</v>
      </c>
      <c r="Q47" s="23">
        <f>SUM(Q34:Q46)</f>
        <v>12093</v>
      </c>
      <c r="R47" s="23">
        <f t="shared" ref="R47:T47" si="45">SUM(R34:R46)</f>
        <v>9876</v>
      </c>
      <c r="S47" s="23">
        <f t="shared" si="45"/>
        <v>9036</v>
      </c>
      <c r="T47" s="23">
        <f t="shared" si="45"/>
        <v>7497</v>
      </c>
      <c r="U47" s="22"/>
      <c r="V47" s="22"/>
      <c r="W47" s="22"/>
      <c r="X47" s="22"/>
    </row>
    <row r="48" spans="3:32">
      <c r="C48" s="4" t="s">
        <v>64</v>
      </c>
      <c r="D48" s="22">
        <v>57</v>
      </c>
      <c r="E48" s="22">
        <v>57</v>
      </c>
      <c r="F48" s="22">
        <v>57</v>
      </c>
      <c r="G48" s="22">
        <v>57</v>
      </c>
      <c r="H48" s="22">
        <v>57</v>
      </c>
      <c r="I48" s="22">
        <v>57</v>
      </c>
      <c r="J48" s="22">
        <v>57</v>
      </c>
      <c r="K48" s="22">
        <v>57</v>
      </c>
      <c r="L48" s="22">
        <v>57</v>
      </c>
      <c r="M48" s="22">
        <v>225</v>
      </c>
      <c r="N48" s="22">
        <v>225</v>
      </c>
      <c r="O48" s="22">
        <v>225</v>
      </c>
      <c r="P48" s="22">
        <v>225</v>
      </c>
      <c r="Q48" s="22">
        <v>225</v>
      </c>
      <c r="R48" s="22">
        <v>225</v>
      </c>
      <c r="S48" s="22">
        <v>225</v>
      </c>
      <c r="T48" s="22">
        <v>233</v>
      </c>
      <c r="U48" s="22"/>
      <c r="V48" s="22"/>
      <c r="W48" s="22"/>
      <c r="X48" s="22"/>
    </row>
    <row r="49" spans="3:24">
      <c r="C49" s="4" t="s">
        <v>65</v>
      </c>
      <c r="D49" s="22">
        <v>1460</v>
      </c>
      <c r="E49" s="22">
        <v>1460</v>
      </c>
      <c r="F49" s="22">
        <v>1460</v>
      </c>
      <c r="G49" s="22">
        <v>1460</v>
      </c>
      <c r="H49" s="22">
        <v>1461</v>
      </c>
      <c r="I49" s="22">
        <v>1461</v>
      </c>
      <c r="J49" s="22">
        <v>1461</v>
      </c>
      <c r="K49" s="22">
        <v>1459</v>
      </c>
      <c r="L49" s="22">
        <v>1459</v>
      </c>
      <c r="M49" s="22">
        <v>2503</v>
      </c>
      <c r="N49" s="22">
        <v>2502</v>
      </c>
      <c r="O49" s="22">
        <v>2514</v>
      </c>
      <c r="P49" s="22">
        <v>2514</v>
      </c>
      <c r="Q49" s="22">
        <v>2514</v>
      </c>
      <c r="R49" s="22">
        <v>2514</v>
      </c>
      <c r="S49" s="22">
        <v>2514</v>
      </c>
      <c r="T49" s="22">
        <v>3962</v>
      </c>
      <c r="U49" s="22"/>
      <c r="V49" s="22"/>
      <c r="W49" s="22"/>
      <c r="X49" s="22"/>
    </row>
    <row r="50" spans="3:24">
      <c r="C50" s="4" t="s">
        <v>66</v>
      </c>
      <c r="D50" s="22">
        <v>14</v>
      </c>
      <c r="E50" s="22">
        <v>181</v>
      </c>
      <c r="F50" s="22">
        <v>252</v>
      </c>
      <c r="G50" s="22">
        <v>347</v>
      </c>
      <c r="H50" s="22">
        <v>414</v>
      </c>
      <c r="I50" s="22">
        <v>701</v>
      </c>
      <c r="J50" s="22">
        <v>516</v>
      </c>
      <c r="K50" s="22">
        <v>317</v>
      </c>
      <c r="L50" s="22">
        <v>407</v>
      </c>
      <c r="M50" s="22">
        <v>369</v>
      </c>
      <c r="N50" s="22">
        <v>376</v>
      </c>
      <c r="O50" s="22">
        <v>438</v>
      </c>
      <c r="P50" s="22">
        <v>275</v>
      </c>
      <c r="Q50" s="22">
        <v>316</v>
      </c>
      <c r="R50" s="22">
        <v>313</v>
      </c>
      <c r="S50" s="22">
        <v>274</v>
      </c>
      <c r="T50" s="22">
        <v>195</v>
      </c>
      <c r="U50" s="22"/>
      <c r="V50" s="22"/>
      <c r="W50" s="22"/>
      <c r="X50" s="22"/>
    </row>
    <row r="51" spans="3:24">
      <c r="C51" s="4" t="s">
        <v>67</v>
      </c>
      <c r="D51" s="22">
        <v>3631</v>
      </c>
      <c r="E51" s="22">
        <v>3222</v>
      </c>
      <c r="F51" s="22">
        <v>3002</v>
      </c>
      <c r="G51" s="22">
        <v>2851</v>
      </c>
      <c r="H51" s="22">
        <v>2648</v>
      </c>
      <c r="I51" s="22">
        <v>2628</v>
      </c>
      <c r="J51" s="22">
        <v>2630</v>
      </c>
      <c r="K51" s="22">
        <v>2495</v>
      </c>
      <c r="L51" s="22">
        <v>2225</v>
      </c>
      <c r="M51" s="22">
        <v>2033</v>
      </c>
      <c r="N51" s="22">
        <v>2011</v>
      </c>
      <c r="O51" s="22">
        <v>1147</v>
      </c>
      <c r="P51" s="22">
        <v>1051</v>
      </c>
      <c r="Q51" s="22">
        <v>933</v>
      </c>
      <c r="R51" s="22">
        <v>-981</v>
      </c>
      <c r="S51" s="22">
        <v>-2066</v>
      </c>
      <c r="T51" s="22">
        <v>-2250</v>
      </c>
      <c r="U51" s="22"/>
      <c r="V51" s="22"/>
      <c r="W51" s="22"/>
      <c r="X51" s="22"/>
    </row>
    <row r="52" spans="3:24">
      <c r="C52" s="6" t="s">
        <v>68</v>
      </c>
      <c r="D52" s="24">
        <f t="shared" ref="D52:M52" si="46">SUM(D48:D51)</f>
        <v>5162</v>
      </c>
      <c r="E52" s="24">
        <f t="shared" si="46"/>
        <v>4920</v>
      </c>
      <c r="F52" s="24">
        <f t="shared" si="46"/>
        <v>4771</v>
      </c>
      <c r="G52" s="24">
        <f t="shared" si="46"/>
        <v>4715</v>
      </c>
      <c r="H52" s="24">
        <f t="shared" si="46"/>
        <v>4580</v>
      </c>
      <c r="I52" s="24">
        <f t="shared" si="46"/>
        <v>4847</v>
      </c>
      <c r="J52" s="24">
        <f t="shared" si="46"/>
        <v>4664</v>
      </c>
      <c r="K52" s="24">
        <f t="shared" si="46"/>
        <v>4328</v>
      </c>
      <c r="L52" s="24">
        <f t="shared" si="46"/>
        <v>4148</v>
      </c>
      <c r="M52" s="24">
        <f t="shared" si="46"/>
        <v>5130</v>
      </c>
      <c r="N52" s="24">
        <f>SUM(N48:N51)</f>
        <v>5114</v>
      </c>
      <c r="O52" s="24">
        <f>SUM(O48:O51)</f>
        <v>4324</v>
      </c>
      <c r="P52" s="24">
        <f>SUM(P48:P51)</f>
        <v>4065</v>
      </c>
      <c r="Q52" s="24">
        <f>SUM(Q48:Q51)</f>
        <v>3988</v>
      </c>
      <c r="R52" s="24">
        <f t="shared" ref="R52:T52" si="47">SUM(R48:R51)</f>
        <v>2071</v>
      </c>
      <c r="S52" s="24">
        <f t="shared" si="47"/>
        <v>947</v>
      </c>
      <c r="T52" s="24">
        <f t="shared" si="47"/>
        <v>2140</v>
      </c>
      <c r="U52" s="22"/>
      <c r="V52" s="22"/>
      <c r="W52" s="22"/>
      <c r="X52" s="22"/>
    </row>
    <row r="53" spans="3:24">
      <c r="C53" s="4" t="s">
        <v>69</v>
      </c>
      <c r="D53" s="22">
        <v>97</v>
      </c>
      <c r="E53" s="22">
        <v>95</v>
      </c>
      <c r="F53" s="22">
        <v>405</v>
      </c>
      <c r="G53" s="22">
        <v>384</v>
      </c>
      <c r="H53" s="22">
        <v>357</v>
      </c>
      <c r="I53" s="22">
        <v>383</v>
      </c>
      <c r="J53" s="22">
        <v>410</v>
      </c>
      <c r="K53" s="22">
        <v>350</v>
      </c>
      <c r="L53" s="22">
        <v>324</v>
      </c>
      <c r="M53" s="22">
        <v>286</v>
      </c>
      <c r="N53" s="22">
        <v>256</v>
      </c>
      <c r="O53" s="22">
        <v>173</v>
      </c>
      <c r="P53" s="22">
        <v>125</v>
      </c>
      <c r="Q53" s="22">
        <v>132</v>
      </c>
      <c r="R53" s="22">
        <v>107</v>
      </c>
      <c r="S53" s="22">
        <v>165</v>
      </c>
      <c r="T53" s="22">
        <v>166</v>
      </c>
      <c r="U53" s="22"/>
      <c r="V53" s="22"/>
      <c r="W53" s="22"/>
      <c r="X53" s="22"/>
    </row>
    <row r="54" spans="3:24">
      <c r="C54" s="4" t="s">
        <v>70</v>
      </c>
      <c r="D54" s="22">
        <v>43</v>
      </c>
      <c r="E54" s="22">
        <v>27</v>
      </c>
      <c r="F54" s="22">
        <v>29</v>
      </c>
      <c r="G54" s="22">
        <v>40</v>
      </c>
      <c r="H54" s="22">
        <v>23</v>
      </c>
      <c r="I54" s="22">
        <v>8</v>
      </c>
      <c r="J54" s="22">
        <v>26</v>
      </c>
      <c r="K54" s="22">
        <v>29</v>
      </c>
      <c r="L54" s="22">
        <v>23</v>
      </c>
      <c r="M54" s="22">
        <v>7</v>
      </c>
      <c r="N54" s="22">
        <v>8</v>
      </c>
      <c r="O54" s="22">
        <v>7</v>
      </c>
      <c r="P54" s="22">
        <v>7</v>
      </c>
      <c r="Q54" s="22">
        <v>7</v>
      </c>
      <c r="R54" s="22">
        <v>7</v>
      </c>
      <c r="S54" s="22">
        <v>7</v>
      </c>
      <c r="T54" s="22">
        <v>7</v>
      </c>
      <c r="U54" s="22"/>
      <c r="V54" s="22"/>
      <c r="W54" s="22"/>
      <c r="X54" s="22"/>
    </row>
    <row r="55" spans="3:24">
      <c r="C55" s="4" t="s">
        <v>71</v>
      </c>
      <c r="D55" s="22">
        <v>73</v>
      </c>
      <c r="E55" s="22">
        <v>81</v>
      </c>
      <c r="F55" s="22">
        <v>73</v>
      </c>
      <c r="G55" s="22">
        <v>60</v>
      </c>
      <c r="H55" s="22">
        <v>66</v>
      </c>
      <c r="I55" s="22">
        <v>72</v>
      </c>
      <c r="J55" s="22">
        <v>64</v>
      </c>
      <c r="K55" s="22">
        <v>55</v>
      </c>
      <c r="L55" s="22">
        <v>49</v>
      </c>
      <c r="M55" s="22">
        <v>47</v>
      </c>
      <c r="N55" s="22">
        <v>69</v>
      </c>
      <c r="O55" s="22">
        <v>90</v>
      </c>
      <c r="P55" s="22">
        <v>94</v>
      </c>
      <c r="Q55" s="22">
        <v>98</v>
      </c>
      <c r="R55" s="22">
        <v>98</v>
      </c>
      <c r="S55" s="22">
        <v>119</v>
      </c>
      <c r="T55" s="22">
        <v>120</v>
      </c>
      <c r="U55" s="22"/>
      <c r="V55" s="22"/>
      <c r="W55" s="22"/>
      <c r="X55" s="22"/>
    </row>
    <row r="56" spans="3:24">
      <c r="C56" s="4" t="s">
        <v>72</v>
      </c>
      <c r="D56" s="22">
        <v>1400</v>
      </c>
      <c r="E56" s="22">
        <v>1354</v>
      </c>
      <c r="F56" s="22">
        <v>1353</v>
      </c>
      <c r="G56" s="22">
        <v>1418</v>
      </c>
      <c r="H56" s="22">
        <v>1407</v>
      </c>
      <c r="I56" s="22">
        <v>1379</v>
      </c>
      <c r="J56" s="22">
        <v>1361</v>
      </c>
      <c r="K56" s="22">
        <v>1281</v>
      </c>
      <c r="L56" s="22">
        <v>2129</v>
      </c>
      <c r="M56" s="22">
        <v>2110</v>
      </c>
      <c r="N56" s="22">
        <v>2139</v>
      </c>
      <c r="O56" s="22">
        <v>2106</v>
      </c>
      <c r="P56" s="22">
        <v>1941</v>
      </c>
      <c r="Q56" s="22">
        <v>2020</v>
      </c>
      <c r="R56" s="22">
        <v>1945</v>
      </c>
      <c r="S56" s="22">
        <v>1325</v>
      </c>
      <c r="T56" s="22">
        <v>1273</v>
      </c>
      <c r="U56" s="22"/>
      <c r="V56" s="22"/>
      <c r="W56" s="22"/>
      <c r="X56" s="22"/>
    </row>
    <row r="57" spans="3:24">
      <c r="C57" s="4" t="s">
        <v>156</v>
      </c>
      <c r="D57" s="22">
        <v>2000</v>
      </c>
      <c r="E57" s="22">
        <v>1800</v>
      </c>
      <c r="F57" s="22">
        <v>1982</v>
      </c>
      <c r="G57" s="22">
        <v>2181</v>
      </c>
      <c r="H57" s="22">
        <v>2783</v>
      </c>
      <c r="I57" s="22">
        <v>3173</v>
      </c>
      <c r="J57" s="22">
        <v>3377</v>
      </c>
      <c r="K57" s="22">
        <v>3879</v>
      </c>
      <c r="L57" s="22">
        <v>3138</v>
      </c>
      <c r="M57" s="22">
        <v>1860</v>
      </c>
      <c r="N57" s="22">
        <v>2514</v>
      </c>
      <c r="O57" s="22">
        <v>2569</v>
      </c>
      <c r="P57" s="22">
        <v>2617</v>
      </c>
      <c r="Q57" s="22">
        <v>2622</v>
      </c>
      <c r="R57" s="22">
        <v>2677</v>
      </c>
      <c r="S57" s="22">
        <v>2983</v>
      </c>
      <c r="T57" s="22">
        <v>1751</v>
      </c>
      <c r="U57" s="22"/>
      <c r="V57" s="22"/>
      <c r="W57" s="22"/>
      <c r="X57" s="22"/>
    </row>
    <row r="58" spans="3:24">
      <c r="C58" s="4" t="s">
        <v>155</v>
      </c>
      <c r="D58" s="22">
        <v>8</v>
      </c>
      <c r="E58" s="22">
        <v>8</v>
      </c>
      <c r="F58" s="22">
        <v>8</v>
      </c>
      <c r="G58" s="22">
        <v>4</v>
      </c>
      <c r="H58" s="22">
        <v>4</v>
      </c>
      <c r="I58" s="22">
        <v>4</v>
      </c>
      <c r="J58" s="22">
        <v>4</v>
      </c>
      <c r="K58" s="22">
        <v>0</v>
      </c>
      <c r="L58" s="22">
        <v>0</v>
      </c>
      <c r="M58" s="22">
        <v>1</v>
      </c>
      <c r="N58" s="22">
        <v>1</v>
      </c>
      <c r="O58" s="22">
        <v>1</v>
      </c>
      <c r="P58" s="22">
        <v>5</v>
      </c>
      <c r="Q58" s="22">
        <v>4</v>
      </c>
      <c r="R58" s="22">
        <v>4</v>
      </c>
      <c r="S58" s="22">
        <v>1</v>
      </c>
      <c r="T58" s="22">
        <v>1</v>
      </c>
      <c r="U58" s="22"/>
      <c r="V58" s="22"/>
      <c r="W58" s="22"/>
      <c r="X58" s="22"/>
    </row>
    <row r="59" spans="3:24">
      <c r="C59" s="4" t="s">
        <v>154</v>
      </c>
      <c r="D59" s="22">
        <v>341</v>
      </c>
      <c r="E59" s="22">
        <v>325</v>
      </c>
      <c r="F59" s="22">
        <v>323</v>
      </c>
      <c r="G59" s="22">
        <v>339</v>
      </c>
      <c r="H59" s="22">
        <v>346</v>
      </c>
      <c r="I59" s="22">
        <v>339</v>
      </c>
      <c r="J59" s="22">
        <v>327</v>
      </c>
      <c r="K59" s="22">
        <v>288</v>
      </c>
      <c r="L59" s="22">
        <v>312</v>
      </c>
      <c r="M59" s="22">
        <v>301</v>
      </c>
      <c r="N59" s="22">
        <v>299</v>
      </c>
      <c r="O59" s="22">
        <v>296</v>
      </c>
      <c r="P59" s="22">
        <v>290</v>
      </c>
      <c r="Q59" s="22">
        <v>304</v>
      </c>
      <c r="R59" s="22">
        <v>286</v>
      </c>
      <c r="S59" s="22">
        <v>154</v>
      </c>
      <c r="T59" s="22">
        <v>122</v>
      </c>
      <c r="U59" s="22"/>
      <c r="V59" s="22"/>
      <c r="W59" s="22"/>
      <c r="X59" s="22"/>
    </row>
    <row r="60" spans="3:24">
      <c r="C60" s="4" t="s">
        <v>73</v>
      </c>
      <c r="D60" s="22">
        <v>1744</v>
      </c>
      <c r="E60" s="22">
        <v>2055</v>
      </c>
      <c r="F60" s="22">
        <v>2070</v>
      </c>
      <c r="G60" s="22">
        <v>2038</v>
      </c>
      <c r="H60" s="22">
        <v>2465</v>
      </c>
      <c r="I60" s="22">
        <v>0</v>
      </c>
      <c r="J60" s="22">
        <v>2185</v>
      </c>
      <c r="K60" s="22">
        <v>1722</v>
      </c>
      <c r="L60" s="22">
        <v>1613</v>
      </c>
      <c r="M60" s="22">
        <v>140</v>
      </c>
      <c r="N60" s="22">
        <v>1381</v>
      </c>
      <c r="O60" s="22">
        <v>1406</v>
      </c>
      <c r="P60" s="22">
        <v>1384</v>
      </c>
      <c r="Q60" s="22">
        <v>1326</v>
      </c>
      <c r="R60" s="22">
        <v>30</v>
      </c>
      <c r="S60" s="22">
        <v>798</v>
      </c>
      <c r="T60" s="22">
        <v>899</v>
      </c>
      <c r="U60" s="22"/>
      <c r="V60" s="22"/>
      <c r="W60" s="22"/>
      <c r="X60" s="22"/>
    </row>
    <row r="61" spans="3:24">
      <c r="C61" s="4" t="s">
        <v>74</v>
      </c>
      <c r="D61" s="22">
        <v>1605</v>
      </c>
      <c r="E61" s="22">
        <v>1839</v>
      </c>
      <c r="F61" s="22">
        <v>1596</v>
      </c>
      <c r="G61" s="22">
        <v>1593</v>
      </c>
      <c r="H61" s="22">
        <v>1743</v>
      </c>
      <c r="I61" s="22">
        <v>2244</v>
      </c>
      <c r="J61" s="22">
        <v>1708</v>
      </c>
      <c r="K61" s="22">
        <v>1593</v>
      </c>
      <c r="L61" s="22">
        <v>1470</v>
      </c>
      <c r="M61" s="22">
        <v>1453</v>
      </c>
      <c r="N61" s="22">
        <v>1388</v>
      </c>
      <c r="O61" s="22">
        <v>1325</v>
      </c>
      <c r="P61" s="22">
        <v>1453</v>
      </c>
      <c r="Q61" s="22">
        <v>1592</v>
      </c>
      <c r="R61" s="22">
        <v>1227</v>
      </c>
      <c r="S61" s="22">
        <v>905</v>
      </c>
      <c r="T61" s="22">
        <v>1018</v>
      </c>
      <c r="U61" s="22"/>
      <c r="V61" s="22"/>
      <c r="W61" s="22"/>
      <c r="X61" s="22"/>
    </row>
    <row r="62" spans="3:24">
      <c r="C62" s="4" t="s">
        <v>75</v>
      </c>
      <c r="D62" s="22">
        <v>0</v>
      </c>
      <c r="E62" s="22">
        <v>0</v>
      </c>
      <c r="F62" s="22">
        <v>0</v>
      </c>
      <c r="G62" s="22">
        <v>0</v>
      </c>
      <c r="H62" s="22">
        <v>0</v>
      </c>
      <c r="I62" s="22">
        <v>1825</v>
      </c>
      <c r="J62" s="22">
        <v>0</v>
      </c>
      <c r="K62" s="22">
        <v>90</v>
      </c>
      <c r="L62" s="22">
        <v>0</v>
      </c>
      <c r="M62" s="22">
        <v>1573</v>
      </c>
      <c r="N62" s="22">
        <v>0</v>
      </c>
      <c r="O62" s="22">
        <v>0</v>
      </c>
      <c r="P62" s="22">
        <v>0</v>
      </c>
      <c r="Q62" s="22">
        <v>0</v>
      </c>
      <c r="R62" s="22">
        <v>1424</v>
      </c>
      <c r="S62" s="22">
        <v>1632</v>
      </c>
      <c r="T62" s="22">
        <v>0</v>
      </c>
      <c r="U62" s="22"/>
      <c r="V62" s="22"/>
      <c r="W62" s="22"/>
      <c r="X62" s="22"/>
    </row>
    <row r="63" spans="3:24">
      <c r="C63" s="6" t="s">
        <v>76</v>
      </c>
      <c r="D63" s="24">
        <f t="shared" ref="D63:M63" si="48">SUM(D53:D62)</f>
        <v>7311</v>
      </c>
      <c r="E63" s="24">
        <f t="shared" si="48"/>
        <v>7584</v>
      </c>
      <c r="F63" s="24">
        <f t="shared" si="48"/>
        <v>7839</v>
      </c>
      <c r="G63" s="24">
        <f t="shared" si="48"/>
        <v>8057</v>
      </c>
      <c r="H63" s="24">
        <f t="shared" si="48"/>
        <v>9194</v>
      </c>
      <c r="I63" s="24">
        <f t="shared" si="48"/>
        <v>9427</v>
      </c>
      <c r="J63" s="24">
        <f t="shared" si="48"/>
        <v>9462</v>
      </c>
      <c r="K63" s="24">
        <f>SUM(K53:K62)</f>
        <v>9287</v>
      </c>
      <c r="L63" s="24">
        <f t="shared" si="48"/>
        <v>9058</v>
      </c>
      <c r="M63" s="24">
        <f t="shared" si="48"/>
        <v>7778</v>
      </c>
      <c r="N63" s="24">
        <f>SUM(N53:N62)</f>
        <v>8055</v>
      </c>
      <c r="O63" s="24">
        <f>SUM(O53:O62)</f>
        <v>7973</v>
      </c>
      <c r="P63" s="24">
        <f>SUM(P53:P62)</f>
        <v>7916</v>
      </c>
      <c r="Q63" s="24">
        <f>SUM(Q53:Q62)</f>
        <v>8105</v>
      </c>
      <c r="R63" s="24">
        <f t="shared" ref="R63:S63" si="49">SUM(R53:R62)</f>
        <v>7805</v>
      </c>
      <c r="S63" s="24">
        <f t="shared" si="49"/>
        <v>8089</v>
      </c>
      <c r="T63" s="24">
        <f t="shared" ref="T63" si="50">SUM(T53:T62)</f>
        <v>5357</v>
      </c>
      <c r="U63" s="22"/>
      <c r="V63" s="22"/>
      <c r="W63" s="22"/>
      <c r="X63" s="22"/>
    </row>
    <row r="64" spans="3:24">
      <c r="C64" s="8" t="s">
        <v>77</v>
      </c>
      <c r="D64" s="23">
        <f t="shared" ref="D64:M64" si="51">D63+D52</f>
        <v>12473</v>
      </c>
      <c r="E64" s="23">
        <f t="shared" si="51"/>
        <v>12504</v>
      </c>
      <c r="F64" s="23">
        <f t="shared" si="51"/>
        <v>12610</v>
      </c>
      <c r="G64" s="23">
        <f t="shared" si="51"/>
        <v>12772</v>
      </c>
      <c r="H64" s="23">
        <f t="shared" si="51"/>
        <v>13774</v>
      </c>
      <c r="I64" s="23">
        <f t="shared" si="51"/>
        <v>14274</v>
      </c>
      <c r="J64" s="23">
        <f t="shared" si="51"/>
        <v>14126</v>
      </c>
      <c r="K64" s="23">
        <f t="shared" si="51"/>
        <v>13615</v>
      </c>
      <c r="L64" s="23">
        <f t="shared" si="51"/>
        <v>13206</v>
      </c>
      <c r="M64" s="23">
        <f t="shared" si="51"/>
        <v>12908</v>
      </c>
      <c r="N64" s="23">
        <f>N63+N52</f>
        <v>13169</v>
      </c>
      <c r="O64" s="23">
        <f>O63+O52</f>
        <v>12297</v>
      </c>
      <c r="P64" s="23">
        <f>P63+P52</f>
        <v>11981</v>
      </c>
      <c r="Q64" s="23">
        <f>Q63+Q52</f>
        <v>12093</v>
      </c>
      <c r="R64" s="23">
        <f t="shared" ref="R64:S64" si="52">R63+R52</f>
        <v>9876</v>
      </c>
      <c r="S64" s="23">
        <f t="shared" si="52"/>
        <v>9036</v>
      </c>
      <c r="T64" s="23">
        <f t="shared" ref="T64" si="53">T63+T52</f>
        <v>7497</v>
      </c>
      <c r="U64" s="22"/>
      <c r="V64" s="22"/>
      <c r="W64" s="22"/>
      <c r="X64" s="22"/>
    </row>
    <row r="66" spans="3:37">
      <c r="C66" s="19" t="s">
        <v>78</v>
      </c>
      <c r="Q66" s="22"/>
    </row>
    <row r="67" spans="3:37">
      <c r="C67" s="4" t="s">
        <v>122</v>
      </c>
      <c r="D67" s="22">
        <f t="shared" ref="D67:T67" si="54">D11</f>
        <v>182</v>
      </c>
      <c r="E67" s="22">
        <f t="shared" si="54"/>
        <v>62</v>
      </c>
      <c r="F67" s="22">
        <f t="shared" si="54"/>
        <v>78</v>
      </c>
      <c r="G67" s="22">
        <f t="shared" si="54"/>
        <v>-131</v>
      </c>
      <c r="H67" s="22">
        <f t="shared" si="54"/>
        <v>-246</v>
      </c>
      <c r="I67" s="22">
        <f t="shared" si="54"/>
        <v>14</v>
      </c>
      <c r="J67" s="22">
        <f t="shared" si="54"/>
        <v>100</v>
      </c>
      <c r="K67" s="22">
        <f t="shared" si="54"/>
        <v>-110</v>
      </c>
      <c r="L67" s="22">
        <f t="shared" si="54"/>
        <v>-44</v>
      </c>
      <c r="M67" s="22">
        <f t="shared" si="54"/>
        <v>-171</v>
      </c>
      <c r="N67" s="22">
        <f t="shared" si="54"/>
        <v>-37</v>
      </c>
      <c r="O67" s="22">
        <f t="shared" si="54"/>
        <v>-575</v>
      </c>
      <c r="P67" s="22">
        <f t="shared" si="54"/>
        <v>-6</v>
      </c>
      <c r="Q67" s="22">
        <f t="shared" si="54"/>
        <v>-12</v>
      </c>
      <c r="R67" s="22">
        <f t="shared" si="54"/>
        <v>-1882</v>
      </c>
      <c r="S67" s="22">
        <f t="shared" si="54"/>
        <v>-51</v>
      </c>
      <c r="T67" s="22">
        <f t="shared" si="54"/>
        <v>28</v>
      </c>
      <c r="U67" s="22"/>
      <c r="V67" s="22"/>
      <c r="W67" s="22"/>
      <c r="X67" s="22"/>
      <c r="Y67" s="22"/>
      <c r="Z67" s="22"/>
      <c r="AA67" s="22"/>
      <c r="AB67" s="22"/>
      <c r="AC67" s="22">
        <f t="shared" ref="AC67:AI67" si="55">AC11</f>
        <v>1132</v>
      </c>
      <c r="AD67" s="22">
        <f t="shared" si="55"/>
        <v>437</v>
      </c>
      <c r="AE67" s="22">
        <f t="shared" si="55"/>
        <v>1009</v>
      </c>
      <c r="AF67" s="22">
        <f t="shared" si="55"/>
        <v>191</v>
      </c>
      <c r="AG67" s="22">
        <f t="shared" si="55"/>
        <v>-99</v>
      </c>
      <c r="AH67" s="22">
        <f t="shared" si="55"/>
        <v>-827</v>
      </c>
      <c r="AI67" s="22">
        <f t="shared" si="55"/>
        <v>-121</v>
      </c>
      <c r="AJ67" s="20"/>
    </row>
    <row r="68" spans="3:37">
      <c r="C68" s="4" t="s">
        <v>123</v>
      </c>
      <c r="D68" s="22">
        <v>182</v>
      </c>
      <c r="E68" s="22">
        <v>62</v>
      </c>
      <c r="F68" s="22">
        <v>78</v>
      </c>
      <c r="G68" s="22">
        <v>-131</v>
      </c>
      <c r="H68" s="22">
        <v>-246</v>
      </c>
      <c r="I68" s="22">
        <v>14</v>
      </c>
      <c r="J68" s="22">
        <v>99</v>
      </c>
      <c r="K68" s="22">
        <v>-110</v>
      </c>
      <c r="L68" s="22">
        <v>-44</v>
      </c>
      <c r="M68" s="22">
        <v>-171</v>
      </c>
      <c r="N68" s="22">
        <v>-37</v>
      </c>
      <c r="O68" s="22">
        <v>-575</v>
      </c>
      <c r="P68" s="1">
        <v>-6</v>
      </c>
      <c r="Q68" s="1">
        <v>-12</v>
      </c>
      <c r="R68" s="22">
        <v>-1882</v>
      </c>
      <c r="S68" s="22">
        <v>-50</v>
      </c>
      <c r="T68" s="22">
        <v>28</v>
      </c>
      <c r="U68" s="22"/>
      <c r="V68" s="22"/>
      <c r="W68" s="22"/>
      <c r="X68" s="22"/>
      <c r="Y68" s="22"/>
      <c r="Z68" s="22"/>
      <c r="AA68" s="22"/>
      <c r="AB68" s="22"/>
      <c r="AC68" s="1">
        <v>1132</v>
      </c>
      <c r="AD68" s="1">
        <v>437</v>
      </c>
      <c r="AE68" s="1">
        <v>1009</v>
      </c>
      <c r="AF68" s="1">
        <v>191</v>
      </c>
      <c r="AG68" s="1">
        <v>-99</v>
      </c>
      <c r="AH68" s="1">
        <v>-827</v>
      </c>
      <c r="AI68" s="1">
        <v>-1950</v>
      </c>
    </row>
    <row r="69" spans="3:37">
      <c r="C69" s="4" t="s">
        <v>137</v>
      </c>
      <c r="F69" s="22">
        <v>0</v>
      </c>
      <c r="G69" s="1">
        <v>0</v>
      </c>
      <c r="H69" s="22">
        <v>29</v>
      </c>
      <c r="I69" s="22">
        <v>47</v>
      </c>
      <c r="J69" s="22">
        <v>32</v>
      </c>
      <c r="K69" s="22">
        <v>35</v>
      </c>
      <c r="L69" s="22">
        <v>22</v>
      </c>
      <c r="M69" s="22">
        <v>0</v>
      </c>
      <c r="N69" s="22">
        <v>0</v>
      </c>
      <c r="O69" s="22">
        <v>0</v>
      </c>
      <c r="P69" s="1">
        <v>0</v>
      </c>
      <c r="Q69" s="1">
        <v>0</v>
      </c>
      <c r="R69" s="22">
        <v>0</v>
      </c>
      <c r="S69" s="22">
        <v>-90</v>
      </c>
      <c r="T69" s="22">
        <v>-5</v>
      </c>
      <c r="U69" s="22"/>
      <c r="V69" s="22"/>
      <c r="W69" s="22"/>
      <c r="X69" s="22"/>
      <c r="Y69" s="22"/>
      <c r="Z69" s="22"/>
      <c r="AA69" s="22"/>
      <c r="AB69" s="22"/>
      <c r="AC69" s="1">
        <v>0</v>
      </c>
      <c r="AD69" s="1">
        <v>0</v>
      </c>
      <c r="AE69" s="1">
        <v>0</v>
      </c>
      <c r="AF69" s="1">
        <v>0</v>
      </c>
      <c r="AG69" s="1">
        <v>0</v>
      </c>
      <c r="AH69" s="22">
        <v>22</v>
      </c>
      <c r="AI69" s="1">
        <v>-90</v>
      </c>
    </row>
    <row r="70" spans="3:37">
      <c r="C70" s="4" t="s">
        <v>124</v>
      </c>
      <c r="D70" s="22">
        <v>204</v>
      </c>
      <c r="E70" s="22">
        <v>241</v>
      </c>
      <c r="F70" s="22">
        <v>193</v>
      </c>
      <c r="G70" s="22">
        <v>260</v>
      </c>
      <c r="H70" s="22">
        <v>236</v>
      </c>
      <c r="I70" s="22">
        <v>193</v>
      </c>
      <c r="J70" s="22">
        <v>204</v>
      </c>
      <c r="K70" s="22">
        <v>237</v>
      </c>
      <c r="L70" s="22">
        <v>205</v>
      </c>
      <c r="M70" s="22">
        <v>247</v>
      </c>
      <c r="N70" s="22">
        <v>191</v>
      </c>
      <c r="O70" s="22">
        <v>672</v>
      </c>
      <c r="P70" s="1">
        <v>175</v>
      </c>
      <c r="Q70" s="1">
        <v>188</v>
      </c>
      <c r="R70" s="22">
        <v>2089</v>
      </c>
      <c r="S70" s="22">
        <v>142</v>
      </c>
      <c r="T70" s="22">
        <v>109</v>
      </c>
      <c r="U70" s="22"/>
      <c r="V70" s="22"/>
      <c r="W70" s="22"/>
      <c r="X70" s="22"/>
      <c r="Y70" s="22"/>
      <c r="Z70" s="22"/>
      <c r="AA70" s="22"/>
      <c r="AB70" s="22"/>
      <c r="AC70" s="1">
        <v>835</v>
      </c>
      <c r="AD70" s="1">
        <v>989</v>
      </c>
      <c r="AE70" s="1">
        <v>800</v>
      </c>
      <c r="AF70" s="1">
        <v>899</v>
      </c>
      <c r="AG70" s="1">
        <v>870</v>
      </c>
      <c r="AH70" s="22">
        <v>1314</v>
      </c>
      <c r="AI70" s="1">
        <v>2594</v>
      </c>
    </row>
    <row r="71" spans="3:37">
      <c r="C71" s="4" t="s">
        <v>125</v>
      </c>
      <c r="D71" s="22">
        <v>5</v>
      </c>
      <c r="E71" s="22">
        <v>25</v>
      </c>
      <c r="F71" s="22">
        <v>10</v>
      </c>
      <c r="G71" s="22">
        <v>9</v>
      </c>
      <c r="H71" s="22">
        <v>11</v>
      </c>
      <c r="I71" s="22">
        <v>10</v>
      </c>
      <c r="J71" s="22">
        <v>-5</v>
      </c>
      <c r="K71" s="22">
        <v>8</v>
      </c>
      <c r="L71" s="22">
        <v>6</v>
      </c>
      <c r="M71" s="22">
        <v>14</v>
      </c>
      <c r="N71" s="22">
        <v>-16</v>
      </c>
      <c r="O71" s="22">
        <v>-74</v>
      </c>
      <c r="P71" s="1">
        <v>9</v>
      </c>
      <c r="Q71" s="1">
        <v>16</v>
      </c>
      <c r="R71" s="22">
        <v>1</v>
      </c>
      <c r="S71" s="22">
        <v>-27</v>
      </c>
      <c r="T71" s="22">
        <v>-52</v>
      </c>
      <c r="U71" s="22"/>
      <c r="V71" s="22"/>
      <c r="W71" s="22"/>
      <c r="X71" s="22"/>
      <c r="Y71" s="22"/>
      <c r="Z71" s="22"/>
      <c r="AA71" s="22"/>
      <c r="AB71" s="22"/>
      <c r="AC71" s="1">
        <v>29</v>
      </c>
      <c r="AD71" s="1">
        <v>50</v>
      </c>
      <c r="AE71" s="1">
        <v>30</v>
      </c>
      <c r="AF71" s="1">
        <v>48</v>
      </c>
      <c r="AG71" s="1">
        <v>23</v>
      </c>
      <c r="AH71" s="22">
        <v>-69</v>
      </c>
      <c r="AI71" s="1">
        <v>-1</v>
      </c>
    </row>
    <row r="72" spans="3:37">
      <c r="C72" s="4" t="s">
        <v>42</v>
      </c>
      <c r="D72" s="22">
        <v>-51</v>
      </c>
      <c r="E72" s="22">
        <v>-25</v>
      </c>
      <c r="F72" s="22">
        <v>-3</v>
      </c>
      <c r="G72" s="22">
        <v>-129</v>
      </c>
      <c r="H72" s="22">
        <v>-74</v>
      </c>
      <c r="I72" s="22">
        <v>-18</v>
      </c>
      <c r="J72" s="22">
        <v>-10</v>
      </c>
      <c r="K72" s="22">
        <v>18</v>
      </c>
      <c r="L72" s="22">
        <v>-44</v>
      </c>
      <c r="M72" s="22">
        <v>-8</v>
      </c>
      <c r="N72" s="22">
        <v>-2</v>
      </c>
      <c r="O72" s="22">
        <v>-23</v>
      </c>
      <c r="P72" s="1">
        <v>-34</v>
      </c>
      <c r="Q72" s="1">
        <v>-6</v>
      </c>
      <c r="R72" s="22">
        <v>-4</v>
      </c>
      <c r="S72" s="22">
        <v>-44</v>
      </c>
      <c r="T72" s="22">
        <v>-32</v>
      </c>
      <c r="U72" s="22"/>
      <c r="V72" s="22"/>
      <c r="W72" s="22"/>
      <c r="X72" s="22"/>
      <c r="Y72" s="22"/>
      <c r="Z72" s="22"/>
      <c r="AA72" s="22"/>
      <c r="AB72" s="22"/>
      <c r="AC72" s="1">
        <v>-305</v>
      </c>
      <c r="AD72" s="1">
        <v>-118</v>
      </c>
      <c r="AE72" s="1">
        <v>-182</v>
      </c>
      <c r="AF72" s="1">
        <v>-208</v>
      </c>
      <c r="AG72" s="1">
        <v>-84</v>
      </c>
      <c r="AH72" s="22">
        <v>-77</v>
      </c>
      <c r="AI72" s="22">
        <v>-88</v>
      </c>
    </row>
    <row r="73" spans="3:37">
      <c r="C73" s="4" t="s">
        <v>126</v>
      </c>
      <c r="D73" s="22">
        <v>-382</v>
      </c>
      <c r="E73" s="22">
        <v>391</v>
      </c>
      <c r="F73" s="22">
        <v>-409</v>
      </c>
      <c r="G73" s="22">
        <v>389</v>
      </c>
      <c r="H73" s="22">
        <v>379</v>
      </c>
      <c r="I73" s="22">
        <v>-180</v>
      </c>
      <c r="J73" s="22">
        <v>-143</v>
      </c>
      <c r="K73" s="22">
        <v>125</v>
      </c>
      <c r="L73" s="22">
        <v>-403</v>
      </c>
      <c r="M73" s="22">
        <v>83</v>
      </c>
      <c r="N73" s="22">
        <v>-156</v>
      </c>
      <c r="O73" s="22">
        <v>332</v>
      </c>
      <c r="P73" s="1">
        <v>-116</v>
      </c>
      <c r="Q73" s="1">
        <v>50</v>
      </c>
      <c r="R73" s="22">
        <v>-22</v>
      </c>
      <c r="S73" s="22">
        <v>109</v>
      </c>
      <c r="T73" s="22">
        <v>52</v>
      </c>
      <c r="U73" s="22"/>
      <c r="V73" s="22"/>
      <c r="W73" s="22"/>
      <c r="X73" s="22"/>
      <c r="Y73" s="22"/>
      <c r="Z73" s="22"/>
      <c r="AA73" s="22"/>
      <c r="AB73" s="22"/>
      <c r="AC73" s="1">
        <f>-150+110-18</f>
        <v>-58</v>
      </c>
      <c r="AD73" s="1">
        <f>-26+32+704</f>
        <v>710</v>
      </c>
      <c r="AE73" s="1">
        <f>-153-82+118</f>
        <v>-117</v>
      </c>
      <c r="AF73" s="1">
        <f>-232-139+360</f>
        <v>-11</v>
      </c>
      <c r="AG73" s="1">
        <f>233+306-359</f>
        <v>180</v>
      </c>
      <c r="AH73" s="22">
        <f>133+279-565</f>
        <v>-153</v>
      </c>
      <c r="AI73" s="1">
        <v>21</v>
      </c>
    </row>
    <row r="74" spans="3:37">
      <c r="C74" s="8" t="s">
        <v>79</v>
      </c>
      <c r="D74" s="23">
        <f>SUM(D68:D73)</f>
        <v>-42</v>
      </c>
      <c r="E74" s="23">
        <f t="shared" ref="E74:N74" si="56">SUM(E68:E73)</f>
        <v>694</v>
      </c>
      <c r="F74" s="23">
        <f t="shared" si="56"/>
        <v>-131</v>
      </c>
      <c r="G74" s="23">
        <f t="shared" si="56"/>
        <v>398</v>
      </c>
      <c r="H74" s="23">
        <f t="shared" si="56"/>
        <v>335</v>
      </c>
      <c r="I74" s="23">
        <f t="shared" si="56"/>
        <v>66</v>
      </c>
      <c r="J74" s="23">
        <f t="shared" si="56"/>
        <v>177</v>
      </c>
      <c r="K74" s="23">
        <f t="shared" si="56"/>
        <v>313</v>
      </c>
      <c r="L74" s="23">
        <f t="shared" si="56"/>
        <v>-258</v>
      </c>
      <c r="M74" s="23">
        <f t="shared" si="56"/>
        <v>165</v>
      </c>
      <c r="N74" s="23">
        <f t="shared" si="56"/>
        <v>-20</v>
      </c>
      <c r="O74" s="23">
        <f>SUM(O68:O73)</f>
        <v>332</v>
      </c>
      <c r="P74" s="23">
        <f>SUM(P68:P73)</f>
        <v>28</v>
      </c>
      <c r="Q74" s="23">
        <f>SUM(Q68:Q73)</f>
        <v>236</v>
      </c>
      <c r="R74" s="23">
        <f t="shared" ref="R74:T74" si="57">SUM(R68:R73)</f>
        <v>182</v>
      </c>
      <c r="S74" s="23">
        <f t="shared" si="57"/>
        <v>40</v>
      </c>
      <c r="T74" s="23">
        <f t="shared" si="57"/>
        <v>100</v>
      </c>
      <c r="U74" s="22"/>
      <c r="V74" s="22"/>
      <c r="W74" s="22"/>
      <c r="X74" s="22"/>
      <c r="Y74" s="22"/>
      <c r="Z74" s="22"/>
      <c r="AA74" s="22"/>
      <c r="AB74" s="22"/>
      <c r="AC74" s="3">
        <f t="shared" ref="AC74:AF74" si="58">SUM(AC68:AC73)</f>
        <v>1633</v>
      </c>
      <c r="AD74" s="3">
        <f t="shared" si="58"/>
        <v>2068</v>
      </c>
      <c r="AE74" s="3">
        <f t="shared" si="58"/>
        <v>1540</v>
      </c>
      <c r="AF74" s="3">
        <f t="shared" si="58"/>
        <v>919</v>
      </c>
      <c r="AG74" s="3">
        <f>SUM(AG68:AG73)</f>
        <v>890</v>
      </c>
      <c r="AH74" s="3">
        <f>SUM(AH68:AH73)</f>
        <v>210</v>
      </c>
      <c r="AI74" s="3">
        <f>SUM(AI68:AI73)</f>
        <v>486</v>
      </c>
      <c r="AJ74" s="69"/>
      <c r="AK74" s="46"/>
    </row>
    <row r="75" spans="3:37">
      <c r="D75" s="24"/>
      <c r="E75" s="24"/>
      <c r="F75" s="24"/>
      <c r="G75" s="24"/>
      <c r="H75" s="24"/>
      <c r="I75" s="24"/>
      <c r="J75" s="24"/>
      <c r="K75" s="24"/>
      <c r="L75" s="24"/>
      <c r="M75" s="24"/>
      <c r="N75" s="24"/>
      <c r="O75" s="24"/>
      <c r="R75" s="22"/>
      <c r="S75" s="22"/>
      <c r="T75" s="22"/>
      <c r="U75" s="22"/>
      <c r="V75" s="22"/>
      <c r="W75" s="22"/>
      <c r="X75" s="22"/>
      <c r="Y75" s="22"/>
      <c r="Z75" s="22"/>
      <c r="AA75" s="22"/>
      <c r="AB75" s="22"/>
    </row>
    <row r="76" spans="3:37">
      <c r="C76" s="4" t="s">
        <v>127</v>
      </c>
      <c r="D76" s="1">
        <v>-387</v>
      </c>
      <c r="E76" s="1">
        <v>-408</v>
      </c>
      <c r="F76" s="1">
        <v>-405</v>
      </c>
      <c r="G76" s="1">
        <v>-484</v>
      </c>
      <c r="H76" s="1">
        <v>-368</v>
      </c>
      <c r="I76" s="1">
        <v>-356</v>
      </c>
      <c r="J76" s="1">
        <v>-484</v>
      </c>
      <c r="K76" s="1">
        <v>-508</v>
      </c>
      <c r="L76" s="1">
        <v>-324</v>
      </c>
      <c r="M76" s="1">
        <v>-227</v>
      </c>
      <c r="N76" s="1">
        <v>-138</v>
      </c>
      <c r="O76" s="1">
        <v>-198</v>
      </c>
      <c r="P76" s="1">
        <v>-139</v>
      </c>
      <c r="Q76" s="1">
        <f>-138</f>
        <v>-138</v>
      </c>
      <c r="R76" s="22">
        <v>-83</v>
      </c>
      <c r="S76" s="22">
        <v>-130</v>
      </c>
      <c r="T76" s="22">
        <v>-72</v>
      </c>
      <c r="U76" s="22"/>
      <c r="V76" s="22"/>
      <c r="W76" s="22"/>
      <c r="X76" s="22"/>
      <c r="Y76" s="22"/>
      <c r="Z76" s="22"/>
      <c r="AA76" s="22"/>
      <c r="AB76" s="22"/>
      <c r="AC76" s="1">
        <f>-372-93</f>
        <v>-465</v>
      </c>
      <c r="AD76" s="1">
        <f>-199-109</f>
        <v>-308</v>
      </c>
      <c r="AE76" s="1">
        <f>-715-177</f>
        <v>-892</v>
      </c>
      <c r="AF76" s="1">
        <f>-1487-197</f>
        <v>-1684</v>
      </c>
      <c r="AG76" s="1">
        <f>-1517-200</f>
        <v>-1717</v>
      </c>
      <c r="AH76" s="1">
        <f>-722-165</f>
        <v>-887</v>
      </c>
      <c r="AI76" s="1">
        <v>-490</v>
      </c>
      <c r="AJ76" s="5">
        <v>-250</v>
      </c>
    </row>
    <row r="77" spans="3:37">
      <c r="C77" s="4" t="s">
        <v>128</v>
      </c>
      <c r="D77" s="1">
        <v>9</v>
      </c>
      <c r="E77" s="1">
        <v>0</v>
      </c>
      <c r="F77" s="1">
        <v>6</v>
      </c>
      <c r="G77" s="1">
        <v>5</v>
      </c>
      <c r="H77" s="1">
        <v>-5</v>
      </c>
      <c r="I77" s="1">
        <v>14</v>
      </c>
      <c r="J77" s="1">
        <v>2</v>
      </c>
      <c r="K77" s="1">
        <v>7</v>
      </c>
      <c r="L77" s="1">
        <v>8</v>
      </c>
      <c r="M77" s="1">
        <v>9</v>
      </c>
      <c r="N77" s="1">
        <v>4</v>
      </c>
      <c r="O77" s="1">
        <v>4</v>
      </c>
      <c r="P77" s="1">
        <v>26</v>
      </c>
      <c r="Q77" s="1">
        <v>2</v>
      </c>
      <c r="R77" s="22">
        <v>3</v>
      </c>
      <c r="S77" s="22">
        <v>-2</v>
      </c>
      <c r="T77" s="22">
        <v>2</v>
      </c>
      <c r="U77" s="22"/>
      <c r="V77" s="22"/>
      <c r="W77" s="22"/>
      <c r="X77" s="22"/>
      <c r="Y77" s="22"/>
      <c r="Z77" s="22"/>
      <c r="AA77" s="22"/>
      <c r="AB77" s="22"/>
      <c r="AC77" s="1">
        <v>67</v>
      </c>
      <c r="AD77" s="1">
        <v>49</v>
      </c>
      <c r="AE77" s="1">
        <v>8</v>
      </c>
      <c r="AF77" s="1">
        <v>12</v>
      </c>
      <c r="AG77" s="1">
        <v>10</v>
      </c>
      <c r="AH77" s="1">
        <f t="shared" ref="AH77" si="59">SUM(L77:O77)</f>
        <v>25</v>
      </c>
      <c r="AI77" s="1">
        <v>29</v>
      </c>
    </row>
    <row r="78" spans="3:37">
      <c r="C78" s="4" t="s">
        <v>129</v>
      </c>
      <c r="D78" s="1">
        <v>0</v>
      </c>
      <c r="E78" s="45">
        <v>1</v>
      </c>
      <c r="F78" s="1">
        <v>0</v>
      </c>
      <c r="G78" s="1">
        <v>3</v>
      </c>
      <c r="H78" s="1">
        <v>1</v>
      </c>
      <c r="I78" s="1">
        <v>0</v>
      </c>
      <c r="J78" s="1">
        <v>2</v>
      </c>
      <c r="K78" s="1">
        <v>21</v>
      </c>
      <c r="L78" s="1">
        <v>0</v>
      </c>
      <c r="M78" s="1">
        <v>1</v>
      </c>
      <c r="N78" s="1">
        <v>1</v>
      </c>
      <c r="O78" s="1">
        <v>21</v>
      </c>
      <c r="P78" s="1">
        <v>1</v>
      </c>
      <c r="Q78" s="1">
        <v>1</v>
      </c>
      <c r="R78" s="22">
        <v>1</v>
      </c>
      <c r="S78" s="22">
        <v>10</v>
      </c>
      <c r="T78" s="22">
        <v>1</v>
      </c>
      <c r="U78" s="22"/>
      <c r="V78" s="22"/>
      <c r="W78" s="22"/>
      <c r="X78" s="22"/>
      <c r="Y78" s="22"/>
      <c r="Z78" s="22"/>
      <c r="AA78" s="22"/>
      <c r="AB78" s="22"/>
      <c r="AC78" s="1">
        <v>1</v>
      </c>
      <c r="AD78" s="1">
        <v>2</v>
      </c>
      <c r="AE78" s="1">
        <v>2</v>
      </c>
      <c r="AF78" s="1">
        <v>4</v>
      </c>
      <c r="AG78" s="1">
        <v>24</v>
      </c>
      <c r="AH78" s="1">
        <v>24</v>
      </c>
      <c r="AI78" s="1">
        <v>13</v>
      </c>
    </row>
    <row r="79" spans="3:37">
      <c r="C79" s="4" t="s">
        <v>130</v>
      </c>
      <c r="D79" s="1">
        <v>0</v>
      </c>
      <c r="E79" s="1">
        <v>0</v>
      </c>
      <c r="F79" s="1">
        <v>0</v>
      </c>
      <c r="G79" s="1">
        <v>0</v>
      </c>
      <c r="H79" s="1">
        <v>1</v>
      </c>
      <c r="I79" s="1">
        <v>0</v>
      </c>
      <c r="J79" s="1">
        <v>-7</v>
      </c>
      <c r="K79" s="1">
        <v>5</v>
      </c>
      <c r="L79" s="1">
        <v>-2</v>
      </c>
      <c r="M79" s="1">
        <v>-5</v>
      </c>
      <c r="N79" s="1">
        <v>1</v>
      </c>
      <c r="O79" s="1">
        <v>-13</v>
      </c>
      <c r="P79" s="1">
        <v>8</v>
      </c>
      <c r="Q79" s="1">
        <v>-3</v>
      </c>
      <c r="R79" s="22">
        <v>0</v>
      </c>
      <c r="S79" s="22">
        <v>45</v>
      </c>
      <c r="T79" s="22">
        <v>0</v>
      </c>
      <c r="U79" s="22"/>
      <c r="V79" s="22"/>
      <c r="W79" s="22"/>
      <c r="X79" s="22"/>
      <c r="Y79" s="22"/>
      <c r="Z79" s="22"/>
      <c r="AA79" s="22"/>
      <c r="AB79" s="22"/>
      <c r="AC79" s="1">
        <v>29</v>
      </c>
      <c r="AD79" s="1">
        <v>5</v>
      </c>
      <c r="AE79" s="1">
        <v>0</v>
      </c>
      <c r="AF79" s="1">
        <v>0</v>
      </c>
      <c r="AG79" s="1">
        <v>-1</v>
      </c>
      <c r="AH79" s="1">
        <v>-19</v>
      </c>
      <c r="AI79" s="1">
        <v>50</v>
      </c>
    </row>
    <row r="80" spans="3:37">
      <c r="C80" s="4" t="s">
        <v>131</v>
      </c>
      <c r="D80" s="1">
        <v>-59</v>
      </c>
      <c r="E80" s="1">
        <v>0</v>
      </c>
      <c r="F80" s="1">
        <v>0</v>
      </c>
      <c r="G80" s="1">
        <v>0</v>
      </c>
      <c r="H80" s="1">
        <v>0</v>
      </c>
      <c r="I80" s="1">
        <v>0</v>
      </c>
      <c r="J80" s="1">
        <v>0</v>
      </c>
      <c r="K80" s="1">
        <v>0</v>
      </c>
      <c r="L80" s="1">
        <v>1396</v>
      </c>
      <c r="M80" s="1">
        <v>-2</v>
      </c>
      <c r="N80" s="1">
        <v>0</v>
      </c>
      <c r="O80" s="1">
        <v>190</v>
      </c>
      <c r="P80" s="1">
        <v>0</v>
      </c>
      <c r="Q80" s="1">
        <v>0</v>
      </c>
      <c r="R80" s="22">
        <v>0</v>
      </c>
      <c r="S80" s="22">
        <v>0</v>
      </c>
      <c r="T80" s="22">
        <v>-50</v>
      </c>
      <c r="U80" s="22"/>
      <c r="V80" s="22"/>
      <c r="W80" s="22"/>
      <c r="X80" s="22"/>
      <c r="Y80" s="22"/>
      <c r="Z80" s="22"/>
      <c r="AA80" s="22"/>
      <c r="AB80" s="22"/>
      <c r="AC80" s="1">
        <v>-56</v>
      </c>
      <c r="AD80" s="1">
        <v>-1</v>
      </c>
      <c r="AE80" s="1">
        <v>14</v>
      </c>
      <c r="AF80" s="1">
        <f>7-59</f>
        <v>-52</v>
      </c>
      <c r="AG80" s="1">
        <v>7</v>
      </c>
      <c r="AH80" s="1">
        <f>SUM(L80:O80)</f>
        <v>1584</v>
      </c>
      <c r="AI80" s="1">
        <v>0</v>
      </c>
    </row>
    <row r="81" spans="3:35">
      <c r="C81" s="8" t="s">
        <v>81</v>
      </c>
      <c r="D81" s="3">
        <f t="shared" ref="D81:N81" si="60">SUM(D76:D80)</f>
        <v>-437</v>
      </c>
      <c r="E81" s="3">
        <f t="shared" si="60"/>
        <v>-407</v>
      </c>
      <c r="F81" s="3">
        <f t="shared" si="60"/>
        <v>-399</v>
      </c>
      <c r="G81" s="3">
        <f t="shared" si="60"/>
        <v>-476</v>
      </c>
      <c r="H81" s="3">
        <f t="shared" si="60"/>
        <v>-371</v>
      </c>
      <c r="I81" s="3">
        <f t="shared" si="60"/>
        <v>-342</v>
      </c>
      <c r="J81" s="3">
        <f t="shared" si="60"/>
        <v>-487</v>
      </c>
      <c r="K81" s="3">
        <f t="shared" si="60"/>
        <v>-475</v>
      </c>
      <c r="L81" s="3">
        <f t="shared" si="60"/>
        <v>1078</v>
      </c>
      <c r="M81" s="3">
        <f t="shared" si="60"/>
        <v>-224</v>
      </c>
      <c r="N81" s="3">
        <f t="shared" si="60"/>
        <v>-132</v>
      </c>
      <c r="O81" s="3">
        <f>SUM(O76:O80)</f>
        <v>4</v>
      </c>
      <c r="P81" s="3">
        <f>SUM(P76:P80)</f>
        <v>-104</v>
      </c>
      <c r="Q81" s="3">
        <f>SUM(Q76:Q80)</f>
        <v>-138</v>
      </c>
      <c r="R81" s="23">
        <f t="shared" ref="R81:T81" si="61">SUM(R76:R80)</f>
        <v>-79</v>
      </c>
      <c r="S81" s="23">
        <f t="shared" si="61"/>
        <v>-77</v>
      </c>
      <c r="T81" s="23">
        <f t="shared" si="61"/>
        <v>-119</v>
      </c>
      <c r="U81" s="22"/>
      <c r="V81" s="22"/>
      <c r="W81" s="22"/>
      <c r="X81" s="22"/>
      <c r="Y81" s="22"/>
      <c r="Z81" s="22"/>
      <c r="AA81" s="22"/>
      <c r="AB81" s="22"/>
      <c r="AC81" s="3">
        <f t="shared" ref="AC81:AF81" si="62">SUM(AC76:AC80)</f>
        <v>-424</v>
      </c>
      <c r="AD81" s="3">
        <f t="shared" si="62"/>
        <v>-253</v>
      </c>
      <c r="AE81" s="3">
        <f t="shared" si="62"/>
        <v>-868</v>
      </c>
      <c r="AF81" s="3">
        <f t="shared" si="62"/>
        <v>-1720</v>
      </c>
      <c r="AG81" s="3">
        <f>SUM(AG76:AG80)</f>
        <v>-1677</v>
      </c>
      <c r="AH81" s="3">
        <f>SUM(AH76:AH80)</f>
        <v>727</v>
      </c>
      <c r="AI81" s="3">
        <f>SUM(AI76:AI80)</f>
        <v>-398</v>
      </c>
    </row>
    <row r="82" spans="3:35">
      <c r="R82" s="22"/>
      <c r="S82" s="22"/>
      <c r="T82" s="22"/>
      <c r="U82" s="22"/>
      <c r="V82" s="22"/>
      <c r="W82" s="22"/>
      <c r="X82" s="22"/>
      <c r="Y82" s="22"/>
      <c r="Z82" s="22"/>
      <c r="AA82" s="22"/>
      <c r="AB82" s="22"/>
    </row>
    <row r="83" spans="3:35">
      <c r="C83" s="4" t="s">
        <v>140</v>
      </c>
      <c r="D83" s="1">
        <v>-23</v>
      </c>
      <c r="E83" s="1">
        <v>-15</v>
      </c>
      <c r="F83" s="1">
        <v>-43</v>
      </c>
      <c r="G83" s="1">
        <v>-45</v>
      </c>
      <c r="H83" s="1">
        <v>-51</v>
      </c>
      <c r="I83" s="1">
        <v>-49</v>
      </c>
      <c r="J83" s="1">
        <v>-72</v>
      </c>
      <c r="K83" s="1">
        <v>-100</v>
      </c>
      <c r="L83" s="1">
        <v>-98</v>
      </c>
      <c r="M83" s="1">
        <v>-120</v>
      </c>
      <c r="N83" s="1">
        <v>-101</v>
      </c>
      <c r="O83" s="1">
        <v>-107</v>
      </c>
      <c r="P83" s="1">
        <v>-89</v>
      </c>
      <c r="Q83" s="1">
        <v>-53</v>
      </c>
      <c r="R83" s="22">
        <v>-128</v>
      </c>
      <c r="S83" s="22">
        <v>-75</v>
      </c>
      <c r="T83" s="22">
        <v>-134</v>
      </c>
      <c r="U83" s="22"/>
      <c r="V83" s="22"/>
      <c r="W83" s="22"/>
      <c r="X83" s="22"/>
      <c r="Y83" s="22"/>
      <c r="Z83" s="22"/>
      <c r="AA83" s="22"/>
      <c r="AB83" s="22"/>
      <c r="AC83" s="1">
        <v>-70</v>
      </c>
      <c r="AD83" s="1">
        <v>-63</v>
      </c>
      <c r="AE83" s="1">
        <v>-82</v>
      </c>
      <c r="AF83" s="1">
        <v>-125</v>
      </c>
      <c r="AG83" s="1">
        <v>-272</v>
      </c>
      <c r="AH83" s="1">
        <v>-418</v>
      </c>
      <c r="AI83" s="1">
        <v>-345</v>
      </c>
    </row>
    <row r="84" spans="3:35">
      <c r="C84" s="4" t="s">
        <v>132</v>
      </c>
      <c r="D84" s="1">
        <v>1429</v>
      </c>
      <c r="E84" s="1">
        <v>-320</v>
      </c>
      <c r="F84" s="1">
        <v>50</v>
      </c>
      <c r="G84" s="1">
        <v>45</v>
      </c>
      <c r="H84" s="1">
        <v>470</v>
      </c>
      <c r="I84" s="1">
        <v>255</v>
      </c>
      <c r="J84" s="1">
        <v>52</v>
      </c>
      <c r="K84" s="1">
        <v>363</v>
      </c>
      <c r="L84" s="1">
        <v>-887</v>
      </c>
      <c r="M84" s="1">
        <v>-1262</v>
      </c>
      <c r="N84" s="1">
        <v>384</v>
      </c>
      <c r="O84" s="1">
        <v>-67</v>
      </c>
      <c r="P84" s="1">
        <v>-47</v>
      </c>
      <c r="Q84" s="1">
        <v>-93</v>
      </c>
      <c r="R84" s="22">
        <v>-19</v>
      </c>
      <c r="S84" s="22">
        <v>167</v>
      </c>
      <c r="T84" s="22">
        <v>-84</v>
      </c>
      <c r="U84" s="22"/>
      <c r="V84" s="22"/>
      <c r="W84" s="22"/>
      <c r="X84" s="22"/>
      <c r="Y84" s="22"/>
      <c r="Z84" s="22"/>
      <c r="AA84" s="22"/>
      <c r="AB84" s="22"/>
      <c r="AC84" s="1">
        <v>89</v>
      </c>
      <c r="AD84" s="1">
        <v>-911</v>
      </c>
      <c r="AE84" s="1">
        <v>24</v>
      </c>
      <c r="AF84" s="1">
        <v>1712</v>
      </c>
      <c r="AG84" s="1">
        <v>1621</v>
      </c>
      <c r="AH84" s="1">
        <v>-1400</v>
      </c>
      <c r="AI84" s="1">
        <v>8</v>
      </c>
    </row>
    <row r="85" spans="3:35">
      <c r="C85" s="4" t="s">
        <v>133</v>
      </c>
      <c r="D85" s="1">
        <v>0</v>
      </c>
      <c r="E85" s="1">
        <v>0</v>
      </c>
      <c r="F85" s="1">
        <v>0</v>
      </c>
      <c r="G85" s="1">
        <v>0</v>
      </c>
      <c r="H85" s="1">
        <v>0</v>
      </c>
      <c r="I85" s="1">
        <v>0</v>
      </c>
      <c r="J85" s="1">
        <v>0</v>
      </c>
      <c r="K85" s="1">
        <v>0</v>
      </c>
      <c r="L85" s="1">
        <v>0</v>
      </c>
      <c r="M85" s="1">
        <v>0</v>
      </c>
      <c r="N85" s="1">
        <v>0</v>
      </c>
      <c r="O85" s="1">
        <v>0</v>
      </c>
      <c r="P85" s="1">
        <v>0</v>
      </c>
      <c r="Q85" s="1">
        <v>0</v>
      </c>
      <c r="R85" s="22">
        <v>0</v>
      </c>
      <c r="S85" s="22">
        <v>0</v>
      </c>
      <c r="T85" s="22">
        <v>-1244</v>
      </c>
      <c r="U85" s="22"/>
      <c r="V85" s="22"/>
      <c r="W85" s="22"/>
      <c r="X85" s="22"/>
      <c r="Y85" s="22"/>
      <c r="Z85" s="22"/>
      <c r="AA85" s="22"/>
      <c r="AB85" s="22"/>
      <c r="AC85" s="1">
        <v>-475</v>
      </c>
      <c r="AD85" s="1">
        <v>-449</v>
      </c>
      <c r="AE85" s="1">
        <v>-493</v>
      </c>
      <c r="AF85" s="1">
        <v>-508</v>
      </c>
      <c r="AG85" s="1">
        <v>-481</v>
      </c>
      <c r="AH85" s="1">
        <v>-432</v>
      </c>
      <c r="AI85" s="1">
        <v>0</v>
      </c>
    </row>
    <row r="86" spans="3:35">
      <c r="C86" s="4" t="s">
        <v>134</v>
      </c>
      <c r="D86" s="1">
        <v>0</v>
      </c>
      <c r="E86" s="1">
        <v>0</v>
      </c>
      <c r="F86" s="1">
        <v>0</v>
      </c>
      <c r="G86" s="1">
        <v>0</v>
      </c>
      <c r="H86" s="1">
        <v>0</v>
      </c>
      <c r="I86" s="1">
        <v>0</v>
      </c>
      <c r="J86" s="1">
        <v>0</v>
      </c>
      <c r="K86" s="1">
        <v>0</v>
      </c>
      <c r="L86" s="1">
        <v>0</v>
      </c>
      <c r="M86" s="1">
        <v>1212</v>
      </c>
      <c r="N86" s="1">
        <v>-1</v>
      </c>
      <c r="O86" s="1">
        <v>2</v>
      </c>
      <c r="P86" s="1">
        <v>0</v>
      </c>
      <c r="Q86" s="1">
        <v>0</v>
      </c>
      <c r="R86" s="22">
        <v>0</v>
      </c>
      <c r="S86" s="22">
        <v>0</v>
      </c>
      <c r="T86" s="22">
        <v>1456</v>
      </c>
      <c r="U86" s="22"/>
      <c r="V86" s="22"/>
      <c r="W86" s="22"/>
      <c r="X86" s="22"/>
      <c r="Y86" s="22"/>
      <c r="Z86" s="22"/>
      <c r="AA86" s="22"/>
      <c r="AB86" s="22"/>
      <c r="AC86" s="1">
        <v>9</v>
      </c>
      <c r="AD86" s="1">
        <v>0</v>
      </c>
      <c r="AE86" s="1">
        <v>-43</v>
      </c>
      <c r="AF86" s="1">
        <v>0</v>
      </c>
      <c r="AG86" s="1">
        <v>0</v>
      </c>
      <c r="AH86" s="1">
        <f t="shared" ref="AH86:AH87" si="63">SUM(L86:O86)</f>
        <v>1213</v>
      </c>
      <c r="AI86" s="1">
        <v>0</v>
      </c>
    </row>
    <row r="87" spans="3:35">
      <c r="C87" s="4" t="s">
        <v>139</v>
      </c>
      <c r="D87" s="1">
        <v>0</v>
      </c>
      <c r="E87" s="1">
        <v>-421</v>
      </c>
      <c r="F87" s="1">
        <v>0</v>
      </c>
      <c r="G87" s="1">
        <v>0</v>
      </c>
      <c r="H87" s="1">
        <v>0</v>
      </c>
      <c r="I87" s="1">
        <v>0</v>
      </c>
      <c r="J87" s="1">
        <v>0</v>
      </c>
      <c r="K87" s="1">
        <v>0</v>
      </c>
      <c r="L87" s="1">
        <v>0</v>
      </c>
      <c r="M87" s="1">
        <v>0</v>
      </c>
      <c r="N87" s="1">
        <v>0</v>
      </c>
      <c r="O87" s="1">
        <v>0</v>
      </c>
      <c r="P87" s="1">
        <v>0</v>
      </c>
      <c r="Q87" s="1">
        <v>0</v>
      </c>
      <c r="R87" s="22">
        <v>0</v>
      </c>
      <c r="S87" s="22">
        <v>0</v>
      </c>
      <c r="T87" s="22">
        <v>0</v>
      </c>
      <c r="U87" s="22"/>
      <c r="V87" s="22"/>
      <c r="W87" s="22"/>
      <c r="X87" s="22"/>
      <c r="Y87" s="22"/>
      <c r="Z87" s="22"/>
      <c r="AA87" s="22"/>
      <c r="AB87" s="22"/>
      <c r="AC87" s="1">
        <v>-675</v>
      </c>
      <c r="AD87" s="1">
        <v>0</v>
      </c>
      <c r="AE87" s="1">
        <v>-338</v>
      </c>
      <c r="AF87" s="1">
        <v>-421</v>
      </c>
      <c r="AG87" s="1">
        <v>0</v>
      </c>
      <c r="AH87" s="1">
        <f t="shared" si="63"/>
        <v>0</v>
      </c>
      <c r="AI87" s="1">
        <v>0</v>
      </c>
    </row>
    <row r="88" spans="3:35">
      <c r="C88" s="8" t="s">
        <v>80</v>
      </c>
      <c r="D88" s="3">
        <f>SUM(D83:D87)</f>
        <v>1406</v>
      </c>
      <c r="E88" s="3">
        <f>SUM(E83:E87)</f>
        <v>-756</v>
      </c>
      <c r="F88" s="3">
        <f>SUM(F83:F87)</f>
        <v>7</v>
      </c>
      <c r="G88" s="3">
        <f t="shared" ref="G88:N88" si="64">SUM(G83:G86)</f>
        <v>0</v>
      </c>
      <c r="H88" s="3">
        <f t="shared" si="64"/>
        <v>419</v>
      </c>
      <c r="I88" s="3">
        <f t="shared" si="64"/>
        <v>206</v>
      </c>
      <c r="J88" s="3">
        <f t="shared" si="64"/>
        <v>-20</v>
      </c>
      <c r="K88" s="3">
        <f t="shared" si="64"/>
        <v>263</v>
      </c>
      <c r="L88" s="3">
        <f t="shared" si="64"/>
        <v>-985</v>
      </c>
      <c r="M88" s="3">
        <f>SUM(M83:M86)</f>
        <v>-170</v>
      </c>
      <c r="N88" s="3">
        <f t="shared" si="64"/>
        <v>282</v>
      </c>
      <c r="O88" s="3">
        <f>SUM(O83:O86)</f>
        <v>-172</v>
      </c>
      <c r="P88" s="3">
        <f>SUM(P83:P87)</f>
        <v>-136</v>
      </c>
      <c r="Q88" s="3">
        <f>SUM(Q83:Q87)</f>
        <v>-146</v>
      </c>
      <c r="R88" s="23">
        <f t="shared" ref="R88:T88" si="65">SUM(R83:R87)</f>
        <v>-147</v>
      </c>
      <c r="S88" s="23">
        <f t="shared" si="65"/>
        <v>92</v>
      </c>
      <c r="T88" s="23">
        <f t="shared" si="65"/>
        <v>-6</v>
      </c>
      <c r="U88" s="23"/>
      <c r="V88" s="23"/>
      <c r="W88" s="23"/>
      <c r="X88" s="22"/>
      <c r="Y88" s="22"/>
      <c r="Z88" s="22"/>
      <c r="AA88" s="22"/>
      <c r="AB88" s="22"/>
      <c r="AC88" s="3">
        <f t="shared" ref="AC88:AF88" si="66">SUM(AC83:AC87)</f>
        <v>-1122</v>
      </c>
      <c r="AD88" s="3">
        <f t="shared" si="66"/>
        <v>-1423</v>
      </c>
      <c r="AE88" s="3">
        <f t="shared" si="66"/>
        <v>-932</v>
      </c>
      <c r="AF88" s="3">
        <f t="shared" si="66"/>
        <v>658</v>
      </c>
      <c r="AG88" s="3">
        <f>SUM(AG83:AG87)</f>
        <v>868</v>
      </c>
      <c r="AH88" s="3">
        <f>SUM(AH83:AH87)</f>
        <v>-1037</v>
      </c>
      <c r="AI88" s="3">
        <f>SUM(AI83:AI87)</f>
        <v>-337</v>
      </c>
    </row>
    <row r="89" spans="3:35">
      <c r="C89" s="8"/>
      <c r="O89" s="3"/>
      <c r="R89" s="22"/>
      <c r="S89" s="22"/>
      <c r="T89" s="22"/>
      <c r="U89" s="22"/>
      <c r="V89" s="22"/>
      <c r="W89" s="22"/>
      <c r="X89" s="22"/>
      <c r="Y89" s="22"/>
      <c r="Z89" s="22"/>
      <c r="AA89" s="22"/>
      <c r="AB89" s="22"/>
    </row>
    <row r="90" spans="3:35">
      <c r="C90" s="4" t="s">
        <v>138</v>
      </c>
      <c r="D90" s="1">
        <v>45</v>
      </c>
      <c r="E90" s="1">
        <v>-20</v>
      </c>
      <c r="F90" s="1">
        <v>5</v>
      </c>
      <c r="G90" s="1">
        <v>31</v>
      </c>
      <c r="H90" s="1">
        <v>-8</v>
      </c>
      <c r="I90" s="1">
        <v>22</v>
      </c>
      <c r="J90" s="1">
        <v>-7</v>
      </c>
      <c r="K90" s="1">
        <v>-19</v>
      </c>
      <c r="L90" s="1">
        <v>8</v>
      </c>
      <c r="M90" s="1">
        <v>-15</v>
      </c>
      <c r="N90" s="1">
        <v>-1</v>
      </c>
      <c r="O90" s="1">
        <v>-23</v>
      </c>
      <c r="P90" s="1">
        <v>28</v>
      </c>
      <c r="Q90" s="1">
        <v>12</v>
      </c>
      <c r="R90" s="22">
        <v>-6</v>
      </c>
      <c r="S90" s="22">
        <v>-7</v>
      </c>
      <c r="T90" s="22">
        <v>17</v>
      </c>
      <c r="U90" s="22"/>
      <c r="V90" s="22"/>
      <c r="W90" s="22"/>
      <c r="X90" s="22"/>
      <c r="Y90" s="22"/>
      <c r="Z90" s="22"/>
      <c r="AA90" s="22"/>
      <c r="AB90" s="22"/>
      <c r="AC90" s="1">
        <v>0</v>
      </c>
      <c r="AD90" s="1">
        <v>0</v>
      </c>
      <c r="AE90" s="1">
        <v>0</v>
      </c>
      <c r="AF90" s="1">
        <v>61</v>
      </c>
      <c r="AG90" s="1">
        <v>-9</v>
      </c>
      <c r="AH90" s="1">
        <v>-42</v>
      </c>
      <c r="AI90" s="1">
        <v>27</v>
      </c>
    </row>
    <row r="91" spans="3:35">
      <c r="R91" s="22"/>
      <c r="S91" s="22"/>
      <c r="T91" s="22"/>
      <c r="U91" s="22"/>
      <c r="V91" s="22"/>
      <c r="W91" s="22"/>
      <c r="X91" s="22"/>
      <c r="Y91" s="22"/>
      <c r="Z91" s="22"/>
      <c r="AA91" s="22"/>
      <c r="AB91" s="22"/>
    </row>
    <row r="92" spans="3:35">
      <c r="C92" s="8" t="s">
        <v>135</v>
      </c>
      <c r="D92" s="23">
        <f t="shared" ref="D92:N92" si="67">D74+D81+D88+D90</f>
        <v>972</v>
      </c>
      <c r="E92" s="23">
        <f t="shared" si="67"/>
        <v>-489</v>
      </c>
      <c r="F92" s="23">
        <f t="shared" si="67"/>
        <v>-518</v>
      </c>
      <c r="G92" s="23">
        <f t="shared" si="67"/>
        <v>-47</v>
      </c>
      <c r="H92" s="23">
        <f t="shared" si="67"/>
        <v>375</v>
      </c>
      <c r="I92" s="23">
        <f t="shared" si="67"/>
        <v>-48</v>
      </c>
      <c r="J92" s="23">
        <f t="shared" si="67"/>
        <v>-337</v>
      </c>
      <c r="K92" s="23">
        <f t="shared" si="67"/>
        <v>82</v>
      </c>
      <c r="L92" s="23">
        <f t="shared" si="67"/>
        <v>-157</v>
      </c>
      <c r="M92" s="23">
        <f t="shared" si="67"/>
        <v>-244</v>
      </c>
      <c r="N92" s="23">
        <f t="shared" si="67"/>
        <v>129</v>
      </c>
      <c r="O92" s="23">
        <f>O74+O81+O88+O90</f>
        <v>141</v>
      </c>
      <c r="P92" s="23">
        <f>P74+P81+P88+P90</f>
        <v>-184</v>
      </c>
      <c r="Q92" s="23">
        <f>Q74+Q81+Q88+Q90</f>
        <v>-36</v>
      </c>
      <c r="R92" s="23">
        <f t="shared" ref="R92:S92" si="68">R74+R81+R88+R90</f>
        <v>-50</v>
      </c>
      <c r="S92" s="23">
        <f t="shared" si="68"/>
        <v>48</v>
      </c>
      <c r="T92" s="23">
        <f t="shared" ref="T92" si="69">T74+T81+T88+T90</f>
        <v>-8</v>
      </c>
      <c r="U92" s="22"/>
      <c r="V92" s="22"/>
      <c r="W92" s="22"/>
      <c r="X92" s="22"/>
      <c r="Y92" s="22"/>
      <c r="Z92" s="22"/>
      <c r="AA92" s="22"/>
      <c r="AB92" s="22"/>
      <c r="AC92" s="1">
        <f t="shared" ref="AC92:AF92" si="70">AC74+AC81+AC88+AC90</f>
        <v>87</v>
      </c>
      <c r="AD92" s="1">
        <f t="shared" si="70"/>
        <v>392</v>
      </c>
      <c r="AE92" s="1">
        <f t="shared" si="70"/>
        <v>-260</v>
      </c>
      <c r="AF92" s="1">
        <f t="shared" si="70"/>
        <v>-82</v>
      </c>
      <c r="AG92" s="1">
        <f>AG74+AG81+AG88+AG90</f>
        <v>72</v>
      </c>
      <c r="AH92" s="1">
        <f>AH74+AH81+AH88+AH90</f>
        <v>-142</v>
      </c>
      <c r="AI92" s="1">
        <f>AI74+AI81+AI88+AI90</f>
        <v>-222</v>
      </c>
    </row>
    <row r="93" spans="3:35">
      <c r="R93" s="22"/>
      <c r="S93" s="22"/>
      <c r="T93" s="22"/>
      <c r="U93" s="22"/>
      <c r="V93" s="22"/>
      <c r="W93" s="22"/>
      <c r="X93" s="22"/>
      <c r="Y93" s="22"/>
      <c r="Z93" s="22"/>
      <c r="AA93" s="22"/>
      <c r="AB93" s="22"/>
    </row>
    <row r="94" spans="3:35">
      <c r="C94" s="4" t="s">
        <v>136</v>
      </c>
      <c r="D94" s="22">
        <f t="shared" ref="D94:N94" si="71">D74+D76</f>
        <v>-429</v>
      </c>
      <c r="E94" s="22">
        <f t="shared" si="71"/>
        <v>286</v>
      </c>
      <c r="F94" s="22">
        <f t="shared" si="71"/>
        <v>-536</v>
      </c>
      <c r="G94" s="22">
        <f t="shared" si="71"/>
        <v>-86</v>
      </c>
      <c r="H94" s="22">
        <f t="shared" si="71"/>
        <v>-33</v>
      </c>
      <c r="I94" s="22">
        <f t="shared" si="71"/>
        <v>-290</v>
      </c>
      <c r="J94" s="22">
        <f t="shared" si="71"/>
        <v>-307</v>
      </c>
      <c r="K94" s="22">
        <f t="shared" si="71"/>
        <v>-195</v>
      </c>
      <c r="L94" s="22">
        <f t="shared" si="71"/>
        <v>-582</v>
      </c>
      <c r="M94" s="22">
        <f t="shared" si="71"/>
        <v>-62</v>
      </c>
      <c r="N94" s="22">
        <f t="shared" si="71"/>
        <v>-158</v>
      </c>
      <c r="O94" s="22">
        <f>O74+O76</f>
        <v>134</v>
      </c>
      <c r="P94" s="22">
        <f>P74+P76</f>
        <v>-111</v>
      </c>
      <c r="Q94" s="22">
        <f>Q74+Q76</f>
        <v>98</v>
      </c>
      <c r="R94" s="22">
        <f t="shared" ref="R94:S94" si="72">R74+R76</f>
        <v>99</v>
      </c>
      <c r="S94" s="22">
        <f t="shared" si="72"/>
        <v>-90</v>
      </c>
      <c r="T94" s="22">
        <f t="shared" ref="T94" si="73">T74+T76</f>
        <v>28</v>
      </c>
      <c r="U94" s="22"/>
      <c r="V94" s="22"/>
      <c r="W94" s="22"/>
      <c r="X94" s="22"/>
      <c r="Y94" s="22"/>
      <c r="Z94" s="22"/>
      <c r="AA94" s="22"/>
      <c r="AB94" s="22"/>
      <c r="AC94" s="1">
        <f t="shared" ref="AC94:AE94" si="74">AC74+AC76</f>
        <v>1168</v>
      </c>
      <c r="AD94" s="1">
        <f t="shared" si="74"/>
        <v>1760</v>
      </c>
      <c r="AE94" s="1">
        <f t="shared" si="74"/>
        <v>648</v>
      </c>
      <c r="AF94" s="1">
        <f>AF74+AF76</f>
        <v>-765</v>
      </c>
      <c r="AG94" s="1">
        <f>AG74+AG76</f>
        <v>-827</v>
      </c>
      <c r="AH94" s="1">
        <f>AH74+AH76</f>
        <v>-677</v>
      </c>
      <c r="AI94" s="1">
        <f>AI74+AI76</f>
        <v>-4</v>
      </c>
    </row>
    <row r="95" spans="3:35">
      <c r="AA95" s="22"/>
    </row>
  </sheetData>
  <phoneticPr fontId="10"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CB7A8-6F3C-4A43-87A8-3268264AFD16}">
  <dimension ref="B5:AA20"/>
  <sheetViews>
    <sheetView showGridLines="0" zoomScale="90" zoomScaleNormal="90" workbookViewId="0">
      <pane xSplit="2" ySplit="5" topLeftCell="L6" activePane="bottomRight" state="frozen"/>
      <selection pane="topRight" activeCell="C1" sqref="C1"/>
      <selection pane="bottomLeft" activeCell="A6" sqref="A6"/>
      <selection pane="bottomRight" activeCell="S24" sqref="S24"/>
    </sheetView>
  </sheetViews>
  <sheetFormatPr baseColWidth="10" defaultRowHeight="19"/>
  <cols>
    <col min="1" max="1" width="5.33203125" style="1" customWidth="1"/>
    <col min="2" max="2" width="20.83203125" style="1" bestFit="1" customWidth="1"/>
    <col min="3" max="4" width="10.83203125" style="1"/>
    <col min="5" max="5" width="11.83203125" style="1" customWidth="1"/>
    <col min="6" max="14" width="10.83203125" style="1"/>
    <col min="15" max="15" width="11.5" style="1" bestFit="1" customWidth="1"/>
    <col min="16" max="19" width="10.83203125" style="1"/>
    <col min="20" max="20" width="11.6640625" style="1" bestFit="1" customWidth="1"/>
    <col min="21" max="16384" width="10.83203125" style="1"/>
  </cols>
  <sheetData>
    <row r="5" spans="2:27">
      <c r="B5" s="1" t="s">
        <v>97</v>
      </c>
      <c r="C5" s="17" t="s">
        <v>6</v>
      </c>
      <c r="D5" s="17" t="s">
        <v>7</v>
      </c>
      <c r="E5" s="17" t="s">
        <v>8</v>
      </c>
      <c r="F5" s="17" t="s">
        <v>9</v>
      </c>
      <c r="G5" s="49">
        <v>2022</v>
      </c>
      <c r="H5" s="17" t="s">
        <v>10</v>
      </c>
      <c r="I5" s="17" t="s">
        <v>11</v>
      </c>
      <c r="J5" s="17" t="s">
        <v>12</v>
      </c>
      <c r="K5" s="17" t="s">
        <v>13</v>
      </c>
      <c r="L5" s="49">
        <v>2023</v>
      </c>
      <c r="M5" s="17" t="s">
        <v>14</v>
      </c>
      <c r="N5" s="17" t="s">
        <v>15</v>
      </c>
      <c r="O5" s="17" t="s">
        <v>16</v>
      </c>
      <c r="P5" s="17" t="s">
        <v>17</v>
      </c>
      <c r="Q5" s="49">
        <v>2024</v>
      </c>
      <c r="R5" s="17" t="s">
        <v>88</v>
      </c>
      <c r="S5" s="17" t="s">
        <v>89</v>
      </c>
      <c r="T5" s="17" t="s">
        <v>90</v>
      </c>
      <c r="U5" s="17" t="s">
        <v>91</v>
      </c>
      <c r="V5" s="50">
        <v>2025</v>
      </c>
      <c r="W5" s="17" t="s">
        <v>164</v>
      </c>
      <c r="X5" s="17" t="s">
        <v>165</v>
      </c>
      <c r="Y5" s="17" t="s">
        <v>166</v>
      </c>
      <c r="Z5" s="17" t="s">
        <v>167</v>
      </c>
      <c r="AA5" s="50">
        <v>2026</v>
      </c>
    </row>
    <row r="6" spans="2:27">
      <c r="B6" s="3" t="s">
        <v>95</v>
      </c>
      <c r="C6" s="3"/>
      <c r="D6" s="3"/>
      <c r="E6" s="3"/>
      <c r="F6" s="3"/>
      <c r="G6" s="50"/>
      <c r="H6" s="3"/>
      <c r="I6" s="3"/>
      <c r="J6" s="3"/>
      <c r="K6" s="3"/>
      <c r="L6" s="50"/>
      <c r="M6" s="3"/>
      <c r="N6" s="3"/>
      <c r="O6" s="3"/>
      <c r="P6" s="3"/>
      <c r="Q6" s="50"/>
      <c r="V6" s="51"/>
      <c r="AA6" s="51"/>
    </row>
    <row r="7" spans="2:27">
      <c r="B7" s="1" t="s">
        <v>92</v>
      </c>
      <c r="C7" s="22">
        <v>2040</v>
      </c>
      <c r="D7" s="22">
        <v>2155</v>
      </c>
      <c r="E7" s="22">
        <v>1778</v>
      </c>
      <c r="F7" s="22">
        <v>2057</v>
      </c>
      <c r="G7" s="55">
        <f>SUM(C7:F7)</f>
        <v>8030</v>
      </c>
      <c r="H7" s="22">
        <v>1959</v>
      </c>
      <c r="I7" s="22">
        <v>1869</v>
      </c>
      <c r="J7" s="22">
        <v>1490</v>
      </c>
      <c r="K7" s="22">
        <v>1579</v>
      </c>
      <c r="L7" s="55">
        <f>SUM(H7:K7)</f>
        <v>6897</v>
      </c>
      <c r="M7" s="22">
        <v>1464</v>
      </c>
      <c r="N7" s="22">
        <v>1614</v>
      </c>
      <c r="O7" s="22">
        <v>1283</v>
      </c>
      <c r="P7" s="22">
        <v>1404</v>
      </c>
      <c r="Q7" s="55">
        <f>SUM(M7:P7)</f>
        <v>5765</v>
      </c>
      <c r="R7" s="22">
        <v>1446</v>
      </c>
      <c r="S7" s="22">
        <v>1514</v>
      </c>
      <c r="T7" s="22">
        <v>1262</v>
      </c>
      <c r="U7" s="22">
        <v>1400</v>
      </c>
      <c r="V7" s="55">
        <f>SUM(R7:U7)</f>
        <v>5622</v>
      </c>
      <c r="W7" s="22"/>
      <c r="X7" s="22"/>
      <c r="Y7" s="22"/>
      <c r="Z7" s="22"/>
      <c r="AA7" s="55">
        <f>SUM(W7:Z7)</f>
        <v>0</v>
      </c>
    </row>
    <row r="8" spans="2:27">
      <c r="B8" s="7" t="s">
        <v>100</v>
      </c>
      <c r="C8" s="25"/>
      <c r="D8" s="25"/>
      <c r="E8" s="25"/>
      <c r="F8" s="25"/>
      <c r="G8" s="56"/>
      <c r="H8" s="25">
        <f t="shared" ref="H8:Q8" si="0">(H7-C7)/C7</f>
        <v>-3.9705882352941174E-2</v>
      </c>
      <c r="I8" s="25">
        <f t="shared" si="0"/>
        <v>-0.13271461716937355</v>
      </c>
      <c r="J8" s="25">
        <f t="shared" si="0"/>
        <v>-0.16197975253093364</v>
      </c>
      <c r="K8" s="25">
        <f t="shared" si="0"/>
        <v>-0.23237724842002916</v>
      </c>
      <c r="L8" s="56">
        <f t="shared" si="0"/>
        <v>-0.14109589041095891</v>
      </c>
      <c r="M8" s="25">
        <f t="shared" si="0"/>
        <v>-0.25267993874425726</v>
      </c>
      <c r="N8" s="25">
        <f t="shared" si="0"/>
        <v>-0.13643659711075443</v>
      </c>
      <c r="O8" s="25">
        <f t="shared" si="0"/>
        <v>-0.13892617449664429</v>
      </c>
      <c r="P8" s="53">
        <f t="shared" si="0"/>
        <v>-0.11082963901203294</v>
      </c>
      <c r="Q8" s="56">
        <f t="shared" si="0"/>
        <v>-0.16412933159344642</v>
      </c>
      <c r="R8" s="47">
        <f t="shared" ref="R8:U8" si="1">(R7-M7)/M7</f>
        <v>-1.2295081967213115E-2</v>
      </c>
      <c r="S8" s="25">
        <f t="shared" si="1"/>
        <v>-6.1957868649318466E-2</v>
      </c>
      <c r="T8" s="25">
        <f t="shared" si="1"/>
        <v>-1.6367887763055339E-2</v>
      </c>
      <c r="U8" s="53">
        <f t="shared" si="1"/>
        <v>-2.8490028490028491E-3</v>
      </c>
      <c r="V8" s="56">
        <f>(V7-Q7)/Q7</f>
        <v>-2.4804856895056376E-2</v>
      </c>
      <c r="W8" s="47">
        <f t="shared" ref="W8" si="2">(W7-R7)/R7</f>
        <v>-1</v>
      </c>
      <c r="X8" s="25">
        <f t="shared" ref="X8" si="3">(X7-S7)/S7</f>
        <v>-1</v>
      </c>
      <c r="Y8" s="25">
        <f t="shared" ref="Y8" si="4">(Y7-T7)/T7</f>
        <v>-1</v>
      </c>
      <c r="Z8" s="53">
        <f t="shared" ref="Z8" si="5">(Z7-U7)/U7</f>
        <v>-1</v>
      </c>
      <c r="AA8" s="56">
        <f>(AA7-V7)/V7</f>
        <v>-1</v>
      </c>
    </row>
    <row r="9" spans="2:27">
      <c r="B9" s="1" t="s">
        <v>37</v>
      </c>
      <c r="C9" s="1">
        <v>737</v>
      </c>
      <c r="D9" s="1">
        <v>767</v>
      </c>
      <c r="E9" s="1">
        <v>561</v>
      </c>
      <c r="F9" s="1">
        <v>632</v>
      </c>
      <c r="G9" s="55">
        <f>SUM(C9:F9)</f>
        <v>2697</v>
      </c>
      <c r="H9" s="1">
        <v>596</v>
      </c>
      <c r="I9" s="1">
        <v>596</v>
      </c>
      <c r="J9" s="1">
        <v>491</v>
      </c>
      <c r="K9" s="1">
        <v>463</v>
      </c>
      <c r="L9" s="55">
        <f>SUM(H9:K9)</f>
        <v>2146</v>
      </c>
      <c r="M9" s="1">
        <v>480</v>
      </c>
      <c r="N9" s="1">
        <v>583</v>
      </c>
      <c r="O9" s="1">
        <v>441</v>
      </c>
      <c r="P9" s="5">
        <v>488</v>
      </c>
      <c r="Q9" s="55">
        <f>SUM(M9:P9)</f>
        <v>1992</v>
      </c>
      <c r="R9" s="1">
        <v>507</v>
      </c>
      <c r="S9" s="1">
        <v>483</v>
      </c>
      <c r="T9" s="1">
        <v>429</v>
      </c>
      <c r="U9" s="1">
        <v>470</v>
      </c>
      <c r="V9" s="55">
        <f>SUM(R9:U9)</f>
        <v>1889</v>
      </c>
      <c r="AA9" s="55">
        <f>SUM(W9:Z9)</f>
        <v>0</v>
      </c>
    </row>
    <row r="10" spans="2:27">
      <c r="B10" s="7" t="s">
        <v>93</v>
      </c>
      <c r="C10" s="25">
        <v>0.36099999999999999</v>
      </c>
      <c r="D10" s="25">
        <v>0.35599999999999998</v>
      </c>
      <c r="E10" s="25">
        <v>0.316</v>
      </c>
      <c r="F10" s="25">
        <v>0.307</v>
      </c>
      <c r="G10" s="56">
        <f>G9/G7</f>
        <v>0.33586550435865503</v>
      </c>
      <c r="H10" s="25">
        <v>0.30399999999999999</v>
      </c>
      <c r="I10" s="25">
        <v>0.31900000000000001</v>
      </c>
      <c r="J10" s="25">
        <v>0.33</v>
      </c>
      <c r="K10" s="25">
        <v>0.29299999999999998</v>
      </c>
      <c r="L10" s="56">
        <f>L9/L7</f>
        <v>0.3111497752646078</v>
      </c>
      <c r="M10" s="25">
        <v>0.32800000000000001</v>
      </c>
      <c r="N10" s="25">
        <v>0.36099999999999999</v>
      </c>
      <c r="O10" s="25">
        <v>0.34399999999999997</v>
      </c>
      <c r="P10" s="53">
        <v>0.34799999999999998</v>
      </c>
      <c r="Q10" s="56">
        <f>Q9/Q7</f>
        <v>0.34553339115351256</v>
      </c>
      <c r="R10" s="47">
        <f t="shared" ref="R10:U10" si="6">R9/R7</f>
        <v>0.35062240663900412</v>
      </c>
      <c r="S10" s="25">
        <f t="shared" si="6"/>
        <v>0.3190224570673712</v>
      </c>
      <c r="T10" s="25">
        <f t="shared" si="6"/>
        <v>0.33993660855784469</v>
      </c>
      <c r="U10" s="53">
        <f t="shared" si="6"/>
        <v>0.33571428571428569</v>
      </c>
      <c r="V10" s="56">
        <f>V9/V7</f>
        <v>0.33600142298114549</v>
      </c>
      <c r="W10" s="47" t="e">
        <f t="shared" ref="W10:Z10" si="7">W9/W7</f>
        <v>#DIV/0!</v>
      </c>
      <c r="X10" s="25" t="e">
        <f t="shared" si="7"/>
        <v>#DIV/0!</v>
      </c>
      <c r="Y10" s="25" t="e">
        <f t="shared" si="7"/>
        <v>#DIV/0!</v>
      </c>
      <c r="Z10" s="53" t="e">
        <f t="shared" si="7"/>
        <v>#DIV/0!</v>
      </c>
      <c r="AA10" s="56" t="e">
        <f>AA9/AA7</f>
        <v>#DIV/0!</v>
      </c>
    </row>
    <row r="11" spans="2:27">
      <c r="B11" s="1" t="s">
        <v>94</v>
      </c>
      <c r="C11" s="1">
        <v>213</v>
      </c>
      <c r="D11" s="1">
        <v>242</v>
      </c>
      <c r="E11" s="1">
        <v>97</v>
      </c>
      <c r="F11" s="1">
        <v>43</v>
      </c>
      <c r="G11" s="50">
        <f>SUM(C11:F11)</f>
        <v>595</v>
      </c>
      <c r="H11" s="1">
        <v>13</v>
      </c>
      <c r="I11" s="1">
        <v>82</v>
      </c>
      <c r="J11" s="1">
        <v>65</v>
      </c>
      <c r="K11" s="1">
        <v>-34</v>
      </c>
      <c r="L11" s="50">
        <f>SUM(H11:K11)</f>
        <v>126</v>
      </c>
      <c r="M11" s="1">
        <v>6</v>
      </c>
      <c r="N11" s="1">
        <v>79</v>
      </c>
      <c r="O11" s="1">
        <v>61</v>
      </c>
      <c r="P11" s="5">
        <v>79</v>
      </c>
      <c r="Q11" s="50">
        <f>SUM(M11:P11)</f>
        <v>225</v>
      </c>
      <c r="R11" s="58">
        <v>87</v>
      </c>
      <c r="S11" s="1">
        <v>54</v>
      </c>
      <c r="T11" s="1">
        <v>60</v>
      </c>
      <c r="U11" s="1">
        <v>0</v>
      </c>
      <c r="V11" s="50">
        <f>SUM(R11:U11)</f>
        <v>201</v>
      </c>
      <c r="W11" s="58"/>
      <c r="AA11" s="50">
        <f>SUM(W11:Z11)</f>
        <v>0</v>
      </c>
    </row>
    <row r="12" spans="2:27">
      <c r="B12" s="32" t="s">
        <v>101</v>
      </c>
      <c r="C12" s="33">
        <f t="shared" ref="C12:O12" si="8">C11/C7</f>
        <v>0.10441176470588236</v>
      </c>
      <c r="D12" s="33">
        <f t="shared" si="8"/>
        <v>0.1122969837587007</v>
      </c>
      <c r="E12" s="33">
        <f t="shared" si="8"/>
        <v>5.4555680539932511E-2</v>
      </c>
      <c r="F12" s="33">
        <f t="shared" si="8"/>
        <v>2.0904229460379193E-2</v>
      </c>
      <c r="G12" s="57">
        <f>G11/G7</f>
        <v>7.4097135740971362E-2</v>
      </c>
      <c r="H12" s="33">
        <f t="shared" si="8"/>
        <v>6.636038795303726E-3</v>
      </c>
      <c r="I12" s="33">
        <f t="shared" si="8"/>
        <v>4.3873729266987696E-2</v>
      </c>
      <c r="J12" s="33">
        <f t="shared" si="8"/>
        <v>4.3624161073825503E-2</v>
      </c>
      <c r="K12" s="33">
        <f t="shared" si="8"/>
        <v>-2.1532615579480684E-2</v>
      </c>
      <c r="L12" s="57">
        <f>L11/L7</f>
        <v>1.8268812527185731E-2</v>
      </c>
      <c r="M12" s="33">
        <f t="shared" si="8"/>
        <v>4.0983606557377051E-3</v>
      </c>
      <c r="N12" s="33">
        <f t="shared" si="8"/>
        <v>4.8946716232961589E-2</v>
      </c>
      <c r="O12" s="33">
        <f t="shared" si="8"/>
        <v>4.7544816835541702E-2</v>
      </c>
      <c r="P12" s="33">
        <f>P11/P7</f>
        <v>5.6267806267806267E-2</v>
      </c>
      <c r="Q12" s="57">
        <f>Q11/Q7</f>
        <v>3.9028620988725067E-2</v>
      </c>
      <c r="R12" s="48">
        <f t="shared" ref="R12:U12" si="9">R11/R7</f>
        <v>6.0165975103734441E-2</v>
      </c>
      <c r="S12" s="33">
        <f t="shared" si="9"/>
        <v>3.5667107001321002E-2</v>
      </c>
      <c r="T12" s="33">
        <f t="shared" si="9"/>
        <v>4.7543581616481777E-2</v>
      </c>
      <c r="U12" s="54">
        <f t="shared" si="9"/>
        <v>0</v>
      </c>
      <c r="V12" s="57">
        <f>V11/V7</f>
        <v>3.5752401280683029E-2</v>
      </c>
      <c r="W12" s="48" t="e">
        <f t="shared" ref="W12:Z12" si="10">W11/W7</f>
        <v>#DIV/0!</v>
      </c>
      <c r="X12" s="33" t="e">
        <f t="shared" si="10"/>
        <v>#DIV/0!</v>
      </c>
      <c r="Y12" s="33" t="e">
        <f t="shared" si="10"/>
        <v>#DIV/0!</v>
      </c>
      <c r="Z12" s="54" t="e">
        <f t="shared" si="10"/>
        <v>#DIV/0!</v>
      </c>
      <c r="AA12" s="57" t="e">
        <f>AA11/AA7</f>
        <v>#DIV/0!</v>
      </c>
    </row>
    <row r="13" spans="2:27">
      <c r="B13" s="27" t="s">
        <v>96</v>
      </c>
      <c r="C13" s="27"/>
      <c r="D13" s="27"/>
      <c r="E13" s="27"/>
      <c r="F13" s="27"/>
      <c r="G13" s="52"/>
      <c r="H13" s="27"/>
      <c r="I13" s="27"/>
      <c r="J13" s="27"/>
      <c r="K13" s="27"/>
      <c r="L13" s="52"/>
      <c r="M13" s="27"/>
      <c r="N13" s="27"/>
      <c r="O13" s="27"/>
      <c r="P13" s="27"/>
      <c r="Q13" s="52"/>
      <c r="V13" s="66"/>
    </row>
    <row r="14" spans="2:27">
      <c r="B14" s="1" t="s">
        <v>92</v>
      </c>
      <c r="C14" s="22">
        <v>1279</v>
      </c>
      <c r="D14" s="22">
        <v>1286</v>
      </c>
      <c r="E14" s="22">
        <v>1240</v>
      </c>
      <c r="F14" s="22">
        <v>1196</v>
      </c>
      <c r="G14" s="55">
        <f>SUM(C14:F14)</f>
        <v>5001</v>
      </c>
      <c r="H14" s="22">
        <v>1282</v>
      </c>
      <c r="I14" s="22">
        <v>1223</v>
      </c>
      <c r="J14" s="22">
        <v>1208</v>
      </c>
      <c r="K14" s="22">
        <v>1063</v>
      </c>
      <c r="L14" s="55">
        <f>SUM(H14:K14)</f>
        <v>4776</v>
      </c>
      <c r="M14" s="22">
        <v>1151</v>
      </c>
      <c r="N14" s="22">
        <v>1319</v>
      </c>
      <c r="O14" s="22">
        <v>1195</v>
      </c>
      <c r="P14" s="22">
        <v>1108</v>
      </c>
      <c r="Q14" s="55">
        <f>SUM(M14:P14)</f>
        <v>4773</v>
      </c>
      <c r="R14" s="22">
        <v>1028</v>
      </c>
      <c r="S14" s="22">
        <v>1181</v>
      </c>
      <c r="T14" s="22">
        <v>1046</v>
      </c>
      <c r="U14" s="22"/>
      <c r="V14" s="55">
        <f>SUM(R14:U14)</f>
        <v>3255</v>
      </c>
      <c r="W14" s="22"/>
      <c r="X14" s="22"/>
      <c r="Y14" s="22"/>
      <c r="Z14" s="22"/>
      <c r="AA14" s="23"/>
    </row>
    <row r="15" spans="2:27">
      <c r="B15" s="7" t="s">
        <v>100</v>
      </c>
      <c r="C15" s="29"/>
      <c r="D15" s="29"/>
      <c r="E15" s="29"/>
      <c r="F15" s="29"/>
      <c r="G15" s="56"/>
      <c r="H15" s="29">
        <f t="shared" ref="H15:Q15" si="11">(H14-C14)/C14</f>
        <v>2.3455824863174357E-3</v>
      </c>
      <c r="I15" s="29">
        <f t="shared" si="11"/>
        <v>-4.8989113530326596E-2</v>
      </c>
      <c r="J15" s="29">
        <f t="shared" si="11"/>
        <v>-2.5806451612903226E-2</v>
      </c>
      <c r="K15" s="29">
        <f t="shared" si="11"/>
        <v>-0.11120401337792642</v>
      </c>
      <c r="L15" s="56">
        <f t="shared" si="11"/>
        <v>-4.4991001799640072E-2</v>
      </c>
      <c r="M15" s="29">
        <f t="shared" si="11"/>
        <v>-0.10218408736349453</v>
      </c>
      <c r="N15" s="29">
        <f t="shared" si="11"/>
        <v>7.8495502861815211E-2</v>
      </c>
      <c r="O15" s="29">
        <f t="shared" si="11"/>
        <v>-1.0761589403973509E-2</v>
      </c>
      <c r="P15" s="29">
        <f t="shared" si="11"/>
        <v>4.2333019755409221E-2</v>
      </c>
      <c r="Q15" s="56">
        <f t="shared" si="11"/>
        <v>-6.2814070351758795E-4</v>
      </c>
      <c r="R15" s="47">
        <f t="shared" ref="R15" si="12">(R14-M14)/M14</f>
        <v>-0.10686359687228497</v>
      </c>
      <c r="S15" s="25">
        <f t="shared" ref="S15" si="13">(S14-N14)/N14</f>
        <v>-0.10462471569370735</v>
      </c>
      <c r="T15" s="25">
        <f t="shared" ref="T15" si="14">(T14-O14)/O14</f>
        <v>-0.12468619246861924</v>
      </c>
      <c r="U15" s="53">
        <f t="shared" ref="U15" si="15">(U14-P14)/P14</f>
        <v>-1</v>
      </c>
      <c r="V15" s="56">
        <f>(V14-Q14)/Q14</f>
        <v>-0.31803896920175989</v>
      </c>
      <c r="W15" s="25"/>
      <c r="X15" s="25"/>
      <c r="Y15" s="25"/>
      <c r="Z15" s="25"/>
      <c r="AA15" s="65"/>
    </row>
    <row r="16" spans="2:27">
      <c r="B16" s="1" t="s">
        <v>37</v>
      </c>
      <c r="C16" s="1">
        <v>558</v>
      </c>
      <c r="D16" s="1">
        <v>530</v>
      </c>
      <c r="E16" s="1">
        <v>533</v>
      </c>
      <c r="F16" s="1">
        <v>481</v>
      </c>
      <c r="G16" s="55">
        <f>SUM(C16:F16)</f>
        <v>2102</v>
      </c>
      <c r="H16" s="1">
        <v>458</v>
      </c>
      <c r="I16" s="1">
        <v>500</v>
      </c>
      <c r="J16" s="1">
        <v>477</v>
      </c>
      <c r="K16" s="1">
        <v>457</v>
      </c>
      <c r="L16" s="55">
        <f>SUM(H16:K16)</f>
        <v>1892</v>
      </c>
      <c r="M16" s="1">
        <v>471</v>
      </c>
      <c r="N16" s="1">
        <v>458</v>
      </c>
      <c r="O16" s="1">
        <v>454</v>
      </c>
      <c r="P16" s="1">
        <v>452</v>
      </c>
      <c r="Q16" s="55">
        <f>SUM(M16:P16)</f>
        <v>1835</v>
      </c>
      <c r="R16" s="1">
        <v>425</v>
      </c>
      <c r="S16" s="1">
        <v>491</v>
      </c>
      <c r="T16" s="1">
        <v>427</v>
      </c>
      <c r="V16" s="55">
        <f>SUM(R16:U16)</f>
        <v>1343</v>
      </c>
      <c r="AA16" s="23"/>
    </row>
    <row r="17" spans="2:27">
      <c r="B17" s="7" t="s">
        <v>93</v>
      </c>
      <c r="C17" s="25">
        <v>0.436</v>
      </c>
      <c r="D17" s="25">
        <v>0.41199999999999998</v>
      </c>
      <c r="E17" s="25">
        <v>0.43</v>
      </c>
      <c r="F17" s="25">
        <v>0.40200000000000002</v>
      </c>
      <c r="G17" s="56">
        <f>G16/G14</f>
        <v>0.42031593681263746</v>
      </c>
      <c r="H17" s="25">
        <v>0.35699999999999998</v>
      </c>
      <c r="I17" s="25">
        <v>0.40899999999999997</v>
      </c>
      <c r="J17" s="25">
        <v>0.39500000000000002</v>
      </c>
      <c r="K17" s="25">
        <v>0.43</v>
      </c>
      <c r="L17" s="56">
        <f>L16/L14</f>
        <v>0.3961474036850921</v>
      </c>
      <c r="M17" s="25">
        <v>0.40899999999999997</v>
      </c>
      <c r="N17" s="25">
        <v>0.34699999999999998</v>
      </c>
      <c r="O17" s="25">
        <v>0.38</v>
      </c>
      <c r="P17" s="25">
        <v>0.40799999999999997</v>
      </c>
      <c r="Q17" s="56">
        <f>Q16/Q14</f>
        <v>0.384454221663524</v>
      </c>
      <c r="R17" s="47">
        <f t="shared" ref="R17" si="16">R16/R14</f>
        <v>0.41342412451361865</v>
      </c>
      <c r="S17" s="25">
        <f t="shared" ref="S17" si="17">S16/S14</f>
        <v>0.4157493649449619</v>
      </c>
      <c r="T17" s="25">
        <f t="shared" ref="T17" si="18">T16/T14</f>
        <v>0.40822179732313574</v>
      </c>
      <c r="U17" s="53" t="e">
        <f t="shared" ref="U17" si="19">U16/U14</f>
        <v>#DIV/0!</v>
      </c>
      <c r="V17" s="56">
        <f>V16/V14</f>
        <v>0.41259600614439323</v>
      </c>
      <c r="W17" s="25"/>
      <c r="X17" s="25"/>
      <c r="Y17" s="25"/>
      <c r="Z17" s="25"/>
      <c r="AA17" s="65"/>
    </row>
    <row r="18" spans="2:27">
      <c r="B18" s="1" t="s">
        <v>94</v>
      </c>
      <c r="C18" s="1">
        <v>0</v>
      </c>
      <c r="D18" s="1">
        <v>-101</v>
      </c>
      <c r="E18" s="1">
        <v>-11</v>
      </c>
      <c r="F18" s="1">
        <v>-72</v>
      </c>
      <c r="G18" s="50">
        <f>SUM(C18:F18)</f>
        <v>-184</v>
      </c>
      <c r="H18" s="1">
        <v>-216</v>
      </c>
      <c r="I18" s="1">
        <v>-28</v>
      </c>
      <c r="J18" s="1">
        <v>65</v>
      </c>
      <c r="K18" s="1">
        <v>-38</v>
      </c>
      <c r="L18" s="50">
        <f>SUM(H18:K18)</f>
        <v>-217</v>
      </c>
      <c r="M18" s="1">
        <v>-11</v>
      </c>
      <c r="N18" s="1">
        <v>-211</v>
      </c>
      <c r="O18" s="1">
        <v>-58</v>
      </c>
      <c r="P18" s="1">
        <v>-145</v>
      </c>
      <c r="Q18" s="50">
        <f>SUM(M18:P18)</f>
        <v>-425</v>
      </c>
      <c r="R18" s="58">
        <v>-53</v>
      </c>
      <c r="S18" s="58">
        <v>-21</v>
      </c>
      <c r="T18" s="58">
        <v>-261</v>
      </c>
      <c r="U18" s="58"/>
      <c r="V18" s="50">
        <f>SUM(R18:U18)</f>
        <v>-335</v>
      </c>
      <c r="W18" s="58"/>
      <c r="X18" s="58"/>
      <c r="Y18" s="58"/>
      <c r="Z18" s="58"/>
      <c r="AA18" s="3"/>
    </row>
    <row r="19" spans="2:27">
      <c r="B19" s="7" t="s">
        <v>101</v>
      </c>
      <c r="C19" s="25">
        <f t="shared" ref="C19:O19" si="20">C18/C14</f>
        <v>0</v>
      </c>
      <c r="D19" s="25">
        <f t="shared" si="20"/>
        <v>-7.8538102643856925E-2</v>
      </c>
      <c r="E19" s="25">
        <f t="shared" si="20"/>
        <v>-8.870967741935484E-3</v>
      </c>
      <c r="F19" s="25">
        <f t="shared" si="20"/>
        <v>-6.0200668896321072E-2</v>
      </c>
      <c r="G19" s="56">
        <f>G18/G14</f>
        <v>-3.6792641471705662E-2</v>
      </c>
      <c r="H19" s="25">
        <f t="shared" si="20"/>
        <v>-0.16848673946957879</v>
      </c>
      <c r="I19" s="25">
        <f t="shared" si="20"/>
        <v>-2.2894521668029435E-2</v>
      </c>
      <c r="J19" s="25">
        <f t="shared" si="20"/>
        <v>5.3807947019867547E-2</v>
      </c>
      <c r="K19" s="25">
        <f t="shared" si="20"/>
        <v>-3.574788334901223E-2</v>
      </c>
      <c r="L19" s="56">
        <f>L18/L14</f>
        <v>-4.5435510887772194E-2</v>
      </c>
      <c r="M19" s="25">
        <f t="shared" si="20"/>
        <v>-9.5569070373588191E-3</v>
      </c>
      <c r="N19" s="25">
        <f t="shared" si="20"/>
        <v>-0.15996967399545109</v>
      </c>
      <c r="O19" s="25">
        <f t="shared" si="20"/>
        <v>-4.8535564853556486E-2</v>
      </c>
      <c r="P19" s="25">
        <f>P18/P14</f>
        <v>-0.13086642599277978</v>
      </c>
      <c r="Q19" s="56">
        <f>Q18/Q14</f>
        <v>-8.904253090299602E-2</v>
      </c>
      <c r="R19" s="25">
        <f t="shared" ref="R19" si="21">R18/R14</f>
        <v>-5.1556420233463032E-2</v>
      </c>
      <c r="S19" s="25">
        <f t="shared" ref="S19" si="22">S18/S14</f>
        <v>-1.7781541066892465E-2</v>
      </c>
      <c r="T19" s="25">
        <f t="shared" ref="T19" si="23">T18/T14</f>
        <v>-0.24952198852772467</v>
      </c>
      <c r="U19" s="25" t="e">
        <f t="shared" ref="U19" si="24">U18/U14</f>
        <v>#DIV/0!</v>
      </c>
      <c r="V19" s="56">
        <f>V18/V14</f>
        <v>-0.10291858678955453</v>
      </c>
      <c r="W19" s="25"/>
      <c r="X19" s="25"/>
      <c r="Y19" s="25"/>
      <c r="Z19" s="25"/>
      <c r="AA19" s="65"/>
    </row>
    <row r="20" spans="2:27">
      <c r="B20" s="34" t="s">
        <v>153</v>
      </c>
      <c r="C20" s="34"/>
      <c r="D20" s="34"/>
      <c r="E20" s="34"/>
      <c r="F20" s="34"/>
      <c r="G20" s="59"/>
      <c r="H20" s="34"/>
      <c r="I20" s="34"/>
      <c r="J20" s="34"/>
      <c r="K20" s="34"/>
      <c r="L20" s="59"/>
      <c r="M20" s="34"/>
      <c r="N20" s="34"/>
      <c r="O20" s="34">
        <v>172</v>
      </c>
      <c r="P20" s="34"/>
      <c r="Q20" s="59"/>
      <c r="R20" s="34"/>
      <c r="S20" s="34"/>
      <c r="T20" s="34">
        <v>168</v>
      </c>
      <c r="U20" s="34"/>
      <c r="V20" s="59"/>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72C7F-7827-3247-835A-FB09D6B94BAF}">
  <dimension ref="E6:H8"/>
  <sheetViews>
    <sheetView showGridLines="0" topLeftCell="C1" zoomScale="90" zoomScaleNormal="90" workbookViewId="0">
      <selection activeCell="H15" sqref="H15"/>
    </sheetView>
  </sheetViews>
  <sheetFormatPr baseColWidth="10" defaultRowHeight="16"/>
  <cols>
    <col min="5" max="5" width="44.1640625" bestFit="1" customWidth="1"/>
    <col min="6" max="8" width="42" bestFit="1" customWidth="1"/>
    <col min="9" max="9" width="29.33203125" customWidth="1"/>
  </cols>
  <sheetData>
    <row r="6" spans="5:8" ht="92">
      <c r="E6" s="28"/>
      <c r="F6" s="28">
        <v>2026</v>
      </c>
      <c r="G6" s="28">
        <v>2027</v>
      </c>
      <c r="H6" s="28">
        <v>2028</v>
      </c>
    </row>
    <row r="7" spans="5:8" ht="92">
      <c r="E7" s="28" t="s">
        <v>86</v>
      </c>
      <c r="F7" s="38">
        <f>Modell!$B$9/Modell!AJ11</f>
        <v>15.648016385516307</v>
      </c>
      <c r="G7" s="38">
        <f>Modell!$B$9/Modell!AK11</f>
        <v>12.724477171475767</v>
      </c>
      <c r="H7" s="38">
        <f>Modell!$B$9/Modell!AL11</f>
        <v>10.61172230820484</v>
      </c>
    </row>
    <row r="8" spans="5:8" ht="92">
      <c r="E8" s="28" t="s">
        <v>87</v>
      </c>
      <c r="F8" s="38">
        <f>Modell!$B$4/Modell!AJ17</f>
        <v>25.928631682215453</v>
      </c>
      <c r="G8" s="38">
        <f>Modell!$B$4/Modell!AK17</f>
        <v>17.504952726064474</v>
      </c>
      <c r="H8" s="38">
        <f>Modell!$B$4/Modell!AL17</f>
        <v>13.003165994473063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Regneark</vt:lpstr>
      </vt:variant>
      <vt:variant>
        <vt:i4>4</vt:i4>
      </vt:variant>
    </vt:vector>
  </HeadingPairs>
  <TitlesOfParts>
    <vt:vector size="4" baseType="lpstr">
      <vt:lpstr>Info</vt:lpstr>
      <vt:lpstr>Modell</vt:lpstr>
      <vt:lpstr>Markets</vt:lpstr>
      <vt:lpstr>Nøkkeltall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august hodt</dc:creator>
  <cp:lastModifiedBy>(Student) Hodt, August</cp:lastModifiedBy>
  <dcterms:created xsi:type="dcterms:W3CDTF">2025-01-22T16:22:47Z</dcterms:created>
  <dcterms:modified xsi:type="dcterms:W3CDTF">2026-05-27T17:27:42Z</dcterms:modified>
</cp:coreProperties>
</file>